
<file path=[Content_Types].xml><?xml version="1.0" encoding="utf-8"?>
<Types xmlns="http://schemas.openxmlformats.org/package/2006/content-types">
  <Default ContentType="application/vnd.openxmlformats-officedocument.vmlDrawing" Extension="vml"/>
  <Default ContentType="application/xml" Extension="xml"/>
  <Default ContentType="image/png" Extension="png"/>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pivotCacheDefinition+xml" PartName="/xl/pivotCache/pivotCacheDefinition3.xml"/>
  <Override ContentType="application/vnd.openxmlformats-officedocument.spreadsheetml.pivotCacheDefinition+xml" PartName="/xl/pivotCache/pivotCacheDefinition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spreadsheetml.comments+xml" PartName="/xl/comments3.xml"/>
  <Override ContentType="application/vnd.openxmlformats-officedocument.spreadsheetml.comments+xml" PartName="/xl/comments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adme" sheetId="1" r:id="rId4"/>
    <sheet state="visible" name="Diagnostico" sheetId="2" r:id="rId5"/>
    <sheet state="visible" name="Prueba" sheetId="3" r:id="rId6"/>
    <sheet state="visible" name="MGDE" sheetId="4" r:id="rId7"/>
    <sheet state="visible" name="CWySSTT" sheetId="5" r:id="rId8"/>
    <sheet state="visible" name="Inf_CWySSTT" sheetId="6" r:id="rId9"/>
    <sheet state="visible" name="Ej.v1" sheetId="7" r:id="rId10"/>
    <sheet state="visible" name="Ej.v1.1" sheetId="8" r:id="rId11"/>
    <sheet state="visible" name="Ej.v2" sheetId="9" r:id="rId12"/>
    <sheet state="visible" name="Ej.v3" sheetId="10" r:id="rId13"/>
    <sheet state="visible" name="Resumen" sheetId="11" r:id="rId14"/>
  </sheets>
  <definedNames>
    <definedName hidden="1" localSheetId="1" name="_xlnm._FilterDatabase">Diagnostico!$A$1:$V$778</definedName>
    <definedName hidden="1" localSheetId="4" name="_xlnm._FilterDatabase">CWySSTT!$A$1:$T$1000</definedName>
  </definedNames>
  <calcPr/>
  <pivotCaches>
    <pivotCache cacheId="0" r:id="rId15"/>
    <pivotCache cacheId="1" r:id="rId16"/>
    <pivotCache cacheId="2" r:id="rId17"/>
  </pivotCaches>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C303">
      <text>
        <t xml:space="preserve">"Informe de implementación del plan"
	-Jose Inostroza</t>
      </text>
    </comment>
    <comment authorId="0" ref="C302">
      <text>
        <t xml:space="preserve">"publicado"?
	-Jose Inostroza</t>
      </text>
    </comment>
    <comment authorId="0" ref="C301">
      <text>
        <t xml:space="preserve">"elaborar el plan de gestión del cambio con 2 acciones de comunicación, 1 de capacitación....nada más" Más simple
	-Jose Inostroza</t>
      </text>
    </comment>
    <comment authorId="0" ref="C299">
      <text>
        <t xml:space="preserve">"Designar un responsable" en la misma lógica, más simple
	-Jose Inostroza</t>
      </text>
    </comment>
    <comment authorId="0" ref="C226">
      <text>
        <t xml:space="preserve">sacaría misma razón anterior; así queda en una actividad, más simple y eficiente, sin pérdida de calidad
	-Jose Inostroza</t>
      </text>
    </comment>
    <comment authorId="0" ref="C224">
      <text>
        <t xml:space="preserve">sacaría, más que expresada en HITO
	-Jose Inostroza</t>
      </text>
    </comment>
    <comment authorId="0" ref="C225">
      <text>
        <t xml:space="preserve">"publicada"
	-Jose Inostroza</t>
      </text>
    </comment>
    <comment authorId="0" ref="C223">
      <text>
        <t xml:space="preserve">"¿O actividades equivalentes"?
	-Jose Inostroza</t>
      </text>
    </comment>
    <comment authorId="0" ref="C181">
      <text>
        <t xml:space="preserve">@pcerda@digital.gob.cl ¿"publicar"?
_Asignado a pcerda@digital.gob.cl_
	-Jose Inostroza</t>
      </text>
    </comment>
    <comment authorId="0" ref="C161">
      <text>
        <t xml:space="preserve">@pcerda@digital.gob.cl sacar lo de "automatizado", es muy restrictivo.
_Asignado a pcerda@digital.gob.cl_
	-Jose Inostroza</t>
      </text>
    </comment>
    <comment authorId="0" ref="C123">
      <text>
        <t xml:space="preserve">@pcerda@digital.gob.cl mejor "formalizar la obligatoriedad" Lo otro muy rígido y es una palabra que no calza en todos los casos.
_Asignado a pcerda@digital.gob.cl_
	-Jose Inostroza</t>
      </text>
    </comment>
  </commentList>
</comments>
</file>

<file path=xl/comments2.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
      <text>
        <t xml:space="preserve">Falta agregar el objetivo de la iniciativa
	-Macarena Calderón</t>
      </text>
    </comment>
  </commentList>
</comments>
</file>

<file path=xl/comments3.xml><?xml version="1.0" encoding="utf-8"?>
<comments xmlns:r="http://schemas.openxmlformats.org/officeDocument/2006/relationships" xmlns="http://schemas.openxmlformats.org/spreadsheetml/2006/main" xmlns:xr="http://schemas.microsoft.com/office/spreadsheetml/2014/revision">
  <authors>
    <author/>
  </authors>
  <commentList>
    <comment authorId="0" ref="C244">
      <text>
        <t xml:space="preserve">Gobernanza, Organización, 9.- ¿Existen roles o funciones institucionales responsables del liderazgo de datos?.... Está asociado a la pregunta 9 del mgde??? si es así la subdimensión está mal, pues debería ser "Gobernanza".... lo que está escrito de "roles y responsabilidades" lo definió la IA gemini??. Se debe revisar todos los nombres de subdimensiones y congruencia con la iniciativa para evitar posibles fusiones de parámetros que haya realizado la IA y que rompa el modelo 1 a 1 de iniciativa con subdimensión CC @kschramm@digital.gob.cl @pcerda@digital.gob.cl
	-Nabelka</t>
      </text>
    </comment>
    <comment authorId="0" ref="E1">
      <text>
        <t xml:space="preserve">Los nombres de las iniciativas parecen muy escuetos, es dificil establecer de qué se tratan sin más descripción
	-Macarena Calderón</t>
      </text>
    </comment>
    <comment authorId="0" ref="G5">
      <text>
        <t xml:space="preserve">En algunos textos se utiliza procedimientos, en otros procedimientos administrativos, quizás es mejor homologar
	-Macarena Calderón</t>
      </text>
    </comment>
    <comment authorId="0" ref="A1">
      <text>
        <t xml:space="preserve">La dimensión es calidad web (no calidad web y servicios digitales)
	-Macarena Calderón</t>
      </text>
    </comment>
    <comment authorId="0" ref="B1">
      <text>
        <t xml:space="preserve">Los instrumentos son: Catálogo de Procedimientos Administrativos y Tramitaciones, Pauta de evaluación de sitios web y servicios digitales, Marco de Referencia de Gestión de Datos
	-Macarena Calderón</t>
      </text>
    </comment>
    <comment authorId="0" ref="E17">
      <text>
        <t xml:space="preserve">@pcerda@digital.gob.cl pagos en línea no es una subdimensión del instrumento CPAT, no tenemos diagnóstico en esta materia. Favor revisar
_Asignado a pcerda@digital.gob.cl_
	-Macarena Calderón</t>
      </text>
    </comment>
  </commentList>
</comments>
</file>

<file path=xl/sharedStrings.xml><?xml version="1.0" encoding="utf-8"?>
<sst xmlns="http://schemas.openxmlformats.org/spreadsheetml/2006/main" count="25497" uniqueCount="3508">
  <si>
    <t>Rango</t>
  </si>
  <si>
    <t>Denominación sugerida</t>
  </si>
  <si>
    <t>Montos por rango</t>
  </si>
  <si>
    <t>Costo Base</t>
  </si>
  <si>
    <t>Hasta 1.000 UTM</t>
  </si>
  <si>
    <t>Costo Medio</t>
  </si>
  <si>
    <t>Entre 1.001 y 5.000 UTM</t>
  </si>
  <si>
    <t>Costo Significativo</t>
  </si>
  <si>
    <t>Entre 5.001 y 10.000 UTM</t>
  </si>
  <si>
    <t>Alto Costo</t>
  </si>
  <si>
    <t>Entre 10.001 y 15.000 UTM</t>
  </si>
  <si>
    <t>Muy Alto Costo</t>
  </si>
  <si>
    <t>Más de 15.000 UTM</t>
  </si>
  <si>
    <t>Instrumento de evaluación de calidad para sitios web</t>
  </si>
  <si>
    <t>DIMENSIONES</t>
  </si>
  <si>
    <t>PONDERACIÓN</t>
  </si>
  <si>
    <t>% cumplimiento Imprescindible</t>
  </si>
  <si>
    <t>1.</t>
  </si>
  <si>
    <t>Contenido y lenguaje claro</t>
  </si>
  <si>
    <t>% cumplimiento Esperable</t>
  </si>
  <si>
    <t>2.</t>
  </si>
  <si>
    <t>Usabilidad</t>
  </si>
  <si>
    <t>% cumplimiento Deseable</t>
  </si>
  <si>
    <t>3.</t>
  </si>
  <si>
    <t>Accesibilidad web</t>
  </si>
  <si>
    <t>4.</t>
  </si>
  <si>
    <t>Arquitectura de información</t>
  </si>
  <si>
    <t>5.</t>
  </si>
  <si>
    <t>Búsqueda y encontrabilidad</t>
  </si>
  <si>
    <t>6.</t>
  </si>
  <si>
    <t>Responsividad móvil</t>
  </si>
  <si>
    <t>7.</t>
  </si>
  <si>
    <t>Diseño e imagen institucional</t>
  </si>
  <si>
    <t>8.</t>
  </si>
  <si>
    <t>Seguridad</t>
  </si>
  <si>
    <t>9.</t>
  </si>
  <si>
    <t>Tecnología</t>
  </si>
  <si>
    <t>10.</t>
  </si>
  <si>
    <t>Atención a la ciudadanía</t>
  </si>
  <si>
    <t>11.</t>
  </si>
  <si>
    <t>Audiovisualidad</t>
  </si>
  <si>
    <t>12.</t>
  </si>
  <si>
    <t>Enfoque de género</t>
  </si>
  <si>
    <t>13.</t>
  </si>
  <si>
    <t>Imparcialidad e igualdad de trato</t>
  </si>
  <si>
    <t>14.</t>
  </si>
  <si>
    <t>Inclusión</t>
  </si>
  <si>
    <t>15.</t>
  </si>
  <si>
    <t>Promoción</t>
  </si>
  <si>
    <t>16.</t>
  </si>
  <si>
    <t>Transparencia y apertura</t>
  </si>
  <si>
    <t>17.</t>
  </si>
  <si>
    <t>Prevención de errores</t>
  </si>
  <si>
    <t>18.</t>
  </si>
  <si>
    <t>Facilidad de acceso e independencia tecnológica</t>
  </si>
  <si>
    <t>19.</t>
  </si>
  <si>
    <t>Interacción y retroalimentación</t>
  </si>
  <si>
    <t>20.</t>
  </si>
  <si>
    <t>Rapidez de respuesta</t>
  </si>
  <si>
    <t>Instrumento de evaluación de calidad para servicios digitales transaccionales</t>
  </si>
  <si>
    <t>Interoperabilidad</t>
  </si>
  <si>
    <t>Resolutividad</t>
  </si>
  <si>
    <t>Indicador de finalización de la iniciativa: Estado General de la Iniciativa. Valores Posibles:</t>
  </si>
  <si>
    <t>En Planificación</t>
  </si>
  <si>
    <t>En Ejecución</t>
  </si>
  <si>
    <t>Completada</t>
  </si>
  <si>
    <t>Cancelada</t>
  </si>
  <si>
    <t>En Pausa</t>
  </si>
  <si>
    <t xml:space="preserve">Administración y Finanzas </t>
  </si>
  <si>
    <t>Bienes y servicios</t>
  </si>
  <si>
    <t>Control de gestión</t>
  </si>
  <si>
    <t>Fiscalía - jurídica</t>
  </si>
  <si>
    <t>Recursos humanos - gestión de personas</t>
  </si>
  <si>
    <t>Atención de usuarios - clientes</t>
  </si>
  <si>
    <t>Oficina de partes</t>
  </si>
  <si>
    <t>Comunicaciones</t>
  </si>
  <si>
    <t>Gabinete</t>
  </si>
  <si>
    <t>Áreas asociadas al mandato institucional</t>
  </si>
  <si>
    <t>DIMENSIÓN</t>
  </si>
  <si>
    <t>Instrumento de Diagnóstico</t>
  </si>
  <si>
    <t>n_subdimensión</t>
  </si>
  <si>
    <t>subdimensión</t>
  </si>
  <si>
    <t>descripción_subdimensión</t>
  </si>
  <si>
    <t>n_tipo</t>
  </si>
  <si>
    <t>tipo</t>
  </si>
  <si>
    <t>n_indicador</t>
  </si>
  <si>
    <t>indicador</t>
  </si>
  <si>
    <t>criterio</t>
  </si>
  <si>
    <t>n_pregunta</t>
  </si>
  <si>
    <t>pregunta</t>
  </si>
  <si>
    <t>respuesta</t>
  </si>
  <si>
    <t>nivel de madurez_concepto</t>
  </si>
  <si>
    <t>concat_dimcritmadurez</t>
  </si>
  <si>
    <t>n_corr</t>
  </si>
  <si>
    <t>n</t>
  </si>
  <si>
    <t>texto_concatenado</t>
  </si>
  <si>
    <t>nivel de madurez</t>
  </si>
  <si>
    <t>acción</t>
  </si>
  <si>
    <t>orden</t>
  </si>
  <si>
    <t>tipo_pregunta_u_otro</t>
  </si>
  <si>
    <t>Procedimientos administrativos y otras tramitaciones electrónicas</t>
  </si>
  <si>
    <t xml:space="preserve">  Instrumento de evaluación de Procedimientos administrativos</t>
  </si>
  <si>
    <t>Autenticación digital</t>
  </si>
  <si>
    <t>De acuerdo a lo descrito en la Norma Técnica de Autenticación, la autenticación corresponde al proceso electrónico que valida los datos de identificación de una persona usuaria para permitirle el acceso a una plataforma electrónica. Los órganos de la Administración del Estado deberán utilizar mecanismos oficiales de autenticación para el acceso de los interesados a sus plataformas electrónicas. Corresponden a mecanismos oficiales de autenticación la ClaveÚnica, de uso exclusivo para personas naturales, basado en el estándar OpenID Connect, cuyo Factor de Autenticación es una contraseña creada y administrada por la persona, vinculada a su rol único nacional (RUN), y la Clave Tributaria, de uso exclusivo para personas jurídicas o entidades o agrupaciones sin personalidad jurídica que actúen en su calidad de agrupación, cuyo Factor de Autenticación consiste en una contraseña entregada por el Servicio de Impuestos Internos a los(as) contribuyentes.</t>
  </si>
  <si>
    <t>Utilizar autenticación digital mediante mecanismos oficiales</t>
  </si>
  <si>
    <t>En % de 0 a 100%</t>
  </si>
  <si>
    <t>Para que los procedimientos administrativos de cara a los usuarios (función específica) den cumplimiento a este mandato, la institución puede iniciar el proceso de integración de ClaveÚnica, siguiendo los siguientes pasos:
1. Participar obligatoriamente en la capacitación “ClaveÚnica: Integración de plataformas”, inscribiéndose en https://gobdigital.cerofilas.gob.cl/tramites/informativo/2785.
2. Revisar el material de apoyo elaborado por la Secretaría de Gobierno Digital sobre los productos y plataformas en https://wikiguias.digital.gob.cl/ 
3. Ingresar a https://gobdigital.cerofilas.gob.cl y completar la “Solicitud de Credenciales de Integración a ClaveÚnica”, incluyendo los datos del contacto técnico y administrativo. El contacto administrativo debe pertenecer a la institución, mientras que el técnico puede ser un agente externo. La Mesa de Servicios revisará la solicitud, informando su aprobación o rechazo a través de Cerofilas. En caso de ser aprobada, se enviará un archivo comprimido con el set de credenciales al correo registrado. La institución debe integrar dichas credenciales, apoyándose en los manuales y capacitaciones disponibles.
4. Una vez completada la integración, debe solicitar la certificación correspondiente en https://gobdigital.cerofilas.gob.cl/. La Mesa de Servicios verificará el cumplimiento técnico y, si es conforme, habilitará las credenciales en ambiente de producción.</t>
  </si>
  <si>
    <t>Pregunta</t>
  </si>
  <si>
    <t>De acuerdo a lo establecido en el artículo 16 bis de la Ley 19.880, en la tramitación de los procedimientos administrativos por medios electrónicos se deberá cumplir con varios principios, entre los cuales se destaca el de interoperabilidad y el de cooperación. El principio de interoperabilidad consiste en que los medios electrónicos deben ser capaces de interactuar y operar entre sí al interior de la Administración del Estado, a través de estándares abiertos que permitan una interconexión segura y expedita entre ellos. En complemento, el principio de cooperación establece que los distintos órganos de la Administración del Estado deben cooperar efectivamente entre sí en la utilización de medios electrónicos.
Siguiendo lo anterior, de acuerdo a lo descrito en la Norma Técnica de Interoperabilidad, interoperar corresponde a cualquier operación que permita a dos órganos de la Administración del Estado, conectados directamente entre sí por medio de una pieza de software denominada nodo, intercambiar o transmitir datos, documentos o expedientes electrónicos. De acuerdo a esta norma técnica, para dar cumplimiento a lo previsto en ley N°19.880, que establece Bases de los Procedimientos Administrativos que rigen los Actos de los Órganos de la Administración del Estado, se utilizará la red de interoperabilidad con los estándares de trazabilidad obligatoria y de interconexión comunes que se describen en esta norma técnica. La red de interoperabilidad consiste en un conjunto de conexiones directas y seguras a través de internet, en base a nodos de interoperabilidad alojados en la infraestructura informática de los órganos de la Administración del Estado, quienes, actuando como proveedores y/o consumidores a través de plataformas electrónicas, permiten el intercambio y la transmisión de datos, documentos y expedientes electrónicos.</t>
  </si>
  <si>
    <t>Interoperar para obtener y/o entregar datos, documentos y expedientes de otros Órganos de la Administración del Estado</t>
  </si>
  <si>
    <r>
      <rPr>
        <b/>
        <sz val="11.0"/>
      </rPr>
      <t xml:space="preserve">Para que los procedimientos administrativos que requieren información de otros órganos de la administración del Estado den cumplimiento a este mandato, la institución debe integrarse a la Red de Interoperabilidad mediante el Nodo provisto por la Secretaría de Gobierno Digital (SGD) o realizar las adaptaciones definidas en la Norma Técnica de Interoperabilidad. 
Si optan por utilizar el Nodo de la SGD la institución debe:
1. Participar obligatoriamente a la capacitación “PISEE: Introducción a la red de interoperabilidad”, inscribiéndose en </t>
    </r>
    <r>
      <rPr>
        <b/>
        <color rgb="FF1155CC"/>
        <sz val="11.0"/>
        <u/>
      </rPr>
      <t>https://gobdigital.cerofilas.gob.cl/tramites/informativo/2785</t>
    </r>
    <r>
      <rPr>
        <b/>
        <sz val="11.0"/>
      </rPr>
      <t xml:space="preserve">
2. Revisar el material de apoyo elaborado por la Secretaría de Gobierno Digital sobre los productos y plataformas en </t>
    </r>
    <r>
      <rPr>
        <b/>
        <color rgb="FF1155CC"/>
        <sz val="11.0"/>
        <u/>
      </rPr>
      <t>https://wikiguias.digital.gob.cl/</t>
    </r>
    <r>
      <rPr>
        <b/>
        <sz val="11.0"/>
      </rPr>
      <t xml:space="preserve"> 
3. Solicitar el Nodo de Desarrollo para realizar pruebas y validar la integración en </t>
    </r>
    <r>
      <rPr>
        <b/>
        <color rgb="FF1155CC"/>
        <sz val="11.0"/>
        <u/>
      </rPr>
      <t>https://gobdigital.cerofilas.gob.cl/tramites/informativo/3020.</t>
    </r>
    <r>
      <rPr>
        <b/>
        <sz val="11.0"/>
      </rPr>
      <t xml:space="preserve"> Según su rol, la institución debe participar en los talleres técnicos correspondientes (consumidor, proveedor de servicios de información, o ambos). 
4. Solicitar el Nodo de Producción, que permite consumir o proveer servicios en ambiente productivo.</t>
    </r>
  </si>
  <si>
    <t>Notificaciones</t>
  </si>
  <si>
    <t>De acuerdo a lo establecido en el artículo 45 de la Ley 19.880, sobre la notificación, los actos administrativos de efectos individuales, deberán ser notificados a los interesados conteniendo su texto íntegro. Cabe recordar que el artículo 3° de esta misma normativa aborda el concepto de acto administrativo como las decisiones escritas que adopte la Administración, decisiones formales que emiten los órganos de la Administración del Estado en las cuales se contienen declaraciones de voluntad, realizados en el ejercicio de una potestad pública. Continuando con lo establecido en el artículo 46 de la Ley 19.880 y en la Norma Técnica de Notificaciones, las notificaciones se practicarán por medios electrónicos, utilizando para ello la Plataforma de Notificaciones.</t>
  </si>
  <si>
    <t>Enviar notificaciones por medios electrónicos</t>
  </si>
  <si>
    <r>
      <rPr>
        <b/>
        <sz val="11.0"/>
      </rPr>
      <t xml:space="preserve">Para que los procedimientos administrativos que contemplan el envio de notificaciones den cumplimiento a este mandato, la institución debe integrarse a la Plataforma de Notificaciones Electrónicas de la SGD, siguiendo los siguientes pasos: 
1. Participar obligatoriamente en la ronda de capacitaciones mensuales sobre la plataforma, inscribiéndose en </t>
    </r>
    <r>
      <rPr>
        <b/>
        <color rgb="FF1155CC"/>
        <sz val="11.0"/>
        <u/>
      </rPr>
      <t>https://gobdigital.cerofilas.gob.cl/tramites/informativo/2785</t>
    </r>
    <r>
      <rPr>
        <b/>
        <sz val="11.0"/>
      </rPr>
      <t xml:space="preserve"> 
2. Revisar el material de apoyo elaborado por la Secretaría de Gobierno Digital sobre los productos y plataformas en </t>
    </r>
    <r>
      <rPr>
        <b/>
        <color rgb="FF1155CC"/>
        <sz val="11.0"/>
        <u/>
      </rPr>
      <t>https://wikiguias.digital.gob.cl/</t>
    </r>
    <r>
      <rPr>
        <b/>
        <sz val="11.0"/>
      </rPr>
      <t xml:space="preserve"> 
3. Enviar un ticket a la Mesa de Servicios, manifestando formalmente su intención de incorporarse. 
4. El equipo de la Plataforma de Notificaciones se pondrá en contacto con la institución interesada mediante correo electrónico. En respuesta, la institución deberá indicar los procedimientos administrativos registrados en el Catálogo de Procedimientos Administrativos y otras Tramitaciones sobre los cuales emitirán notificaciones, conforme a los criterios definidos por la Secretaría de Gobierno Digital;  y designar un equipo de contacto institucional, que incluya referentes técnicos, de negocio y un/a administrador/a institucional.
5. Solicitar su habilitación en Cerofilas para acceder al ambiente demo, donde realizará las configuraciones necesarias según el canal de notificación elegido (web o API). En caso de haber observaciones por parte de la Secretaría, estas deberán ser subsanadas. 
6. Una vez validadas las configuraciones, la institución será habilitada en ambiente de producción y podrá comenzar la preparación y envío de notificaciones a la ciudadanía.</t>
    </r>
  </si>
  <si>
    <t>Ingreso de solicitudes</t>
  </si>
  <si>
    <t>El Decreto con Fuerza de Ley N° 1 de 2020 del Ministerio Secretaría General de la Presidencia, establece que el ingreso de las solicitudes, formularios o documentos, se hará mediante documentos electrónicos o por medio de formatos electrónicos a través de las plataformas de los órganos de la Administración del Estado, en virtud de lo dispuesto en el inciso cuarto del artículo 18, y en el inciso cuarto del artículo 30 de la ley Nº 19.880.
Para tales efectos, cuando el procedimiento administrativo contemple el ingreso de solicitudes, formularios o documentos, estos deben realizarse por medios electrónicos y debe informarse en la plataforma del Catálogo de Procedimientos Administrativos y Tramitaciones CPAT según corresponda.</t>
  </si>
  <si>
    <t>Utilizar una  o más plataformas  electrónicas (Ingreso de solicitudes)</t>
  </si>
  <si>
    <t>Para que los procedimientos administrativos que contemplan el ingreso de solicitudes de personas naturales y/o jurídicas den cumplimiento a este mandato, la institución debe habilitar formularios que cumplan los mismos requisitos que el ingreso de una solicitud en forma manual y además debe permitir ingresar al formulario usando el medio de autenticación oficial.</t>
  </si>
  <si>
    <t>Expediente electrónico</t>
  </si>
  <si>
    <t>De acuerdo a lo establecido en el artículo 18 de la Ley N° 19.880, todo el procedimiento administrativo deberá constar en un expediente electrónico, salvo las excepciones contempladas en la ley, en el que se asentarán los documentos presentados por los interesados, por terceros y por otros órganos públicos, con expresión de la fecha y hora de su recepción, respetando su orden de ingreso. Asimismo, se incorporarán las actuaciones y los documentos y resoluciones que el órgano administrativo remita a los interesados, a terceros u otros órganos públicos y las notificaciones y comunicaciones a que éstas den lugar, con expresión de la fecha y hora de su envío, en estricto orden de ocurrencia o egreso.
En tanto, de acuerdo a lo descrito en la Norma Técnica de documentos y expedientes electrónicos para la gestión de procedimientos administrativos, un expediente electrónico corresponde a una unidad documental individualizada por medio de un identificador único, funcionalmente estructurado por el conjunto de índices, documentos electrónicos, metadatos y registros, que es generada por un órgano de la Administración del Estado a través de una plataforma electrónica, para el registro de sus expedientes administrativos en soporte electrónico.</t>
  </si>
  <si>
    <t>Contar con expediente electrónico que brinda acceso a los interesados</t>
  </si>
  <si>
    <r>
      <rPr>
        <b/>
        <sz val="11.0"/>
      </rPr>
      <t xml:space="preserve">Para que los procedimientos administrativos cuenten con expediente electrónico y den cumplimiento a este mandato, la institución debe revisar en detalle la Norma técnica de documentos y expedientes electrónicos para la gestión de procedimientos administrativos y el material de apoyo elaborado por la Secretaría de Gobierno Digital sobre los productos y plataformas en </t>
    </r>
    <r>
      <rPr>
        <b/>
        <color rgb="FF1155CC"/>
        <sz val="11.0"/>
        <u/>
      </rPr>
      <t>https://wikiguias.digital.gob.cl/</t>
    </r>
    <r>
      <rPr>
        <b/>
        <sz val="11.0"/>
      </rPr>
      <t xml:space="preserve"> </t>
    </r>
  </si>
  <si>
    <t>Comunicaciones oficiales</t>
  </si>
  <si>
    <t>De acuerdo a lo establecido en el artículo 9 de la Ley N° 19.880, toda comunicación entre órganos de la Administración que se practique en el marco del procedimiento se realizará por medios electrónicos, dejándose constancia del órgano requirente, el funcionario responsable que practica el requerimiento, destinatario, procedimiento a que corresponde, gestión que se encarga y el plazo establecido para su realización. En complemento, el artículo 19 de la Ley N° 19.880 establece que las comunicaciones oficiales entre los órganos de la Administración serán registradas en una plataforma electrónica destinada al efecto, que en este caso corresponde a DocDigital, plataforma de comunicaciones oficiales del Estado.
De acuerdo a lo descrito en la Norma Técnica de documentos y expedientes electrónicos para la gestión de procedimientos administrativos, una comunicación oficial corresponde al mensaje entre órganos de la Administración del Estado, suscrito por el la Jefatura Superior de Servicio o quien tenga facultades delegadas para la representación del órgano, emitido o recibido a través de un medio electrónico de carácter formal que asegure la integridad y registro de dicha comunicación.</t>
  </si>
  <si>
    <t>Enviar y recepcionar electrónicamente las comunicaciones oficiales entre los Órganos de la Administración del Estado</t>
  </si>
  <si>
    <r>
      <rPr>
        <b/>
        <sz val="11.0"/>
      </rPr>
      <t xml:space="preserve">Para que los procedimientos administrativos que contemplen comunicaciones oficiales den cumplimiento a este mandato, la institución debe iniciar el proceso de habilitación en la Plataforma DocDigital, siguiendo los siguientes pasos:
1. Participar obligatoriamente en la ronda de capacitaciones mensuales sobre la plataforma, inscribiéndose en </t>
    </r>
    <r>
      <rPr>
        <b/>
        <color rgb="FF1155CC"/>
        <sz val="11.0"/>
        <u/>
      </rPr>
      <t>https://gobdigital.cerofilas.gob.cl/tramites/informativo/2785</t>
    </r>
    <r>
      <rPr>
        <b/>
        <sz val="11.0"/>
      </rPr>
      <t xml:space="preserve"> 
2. Revisar el material de apoyo elaborado por la Secretaría de Gobierno Digital sobre los productos y plataformas en </t>
    </r>
    <r>
      <rPr>
        <b/>
        <color rgb="FF1155CC"/>
        <sz val="11.0"/>
        <u/>
      </rPr>
      <t>https://wikiguias.digital.gob.cl/</t>
    </r>
    <r>
      <rPr>
        <b/>
        <sz val="11.0"/>
      </rPr>
      <t xml:space="preserve"> 
3. El/la Coordinador/a de Transformación Digital debe designar a un/a “Administrador/a Principal” en el siguiente enlace: </t>
    </r>
    <r>
      <rPr>
        <b/>
        <color rgb="FF1155CC"/>
        <sz val="11.0"/>
        <u/>
      </rPr>
      <t>https://gobdigital.cerofilas.gob.cl/tramites/iniciar/2678.</t>
    </r>
    <r>
      <rPr>
        <b/>
        <sz val="11.0"/>
      </rPr>
      <t xml:space="preserve">   Cada institución puede designar hasta tres Administradores/as Principales, quienes podrán gestionar usuarios, dependencias y realizar pruebas funcionales.
4. Una vez creado este rol, la institución será incorporada en la versión Demo de DocDigital. 
5. La habilitación en el ambiente de producción será informada mensualmente. El/la Administrador/a deberá configurar los usuarios y promover el uso oficial de DocDigital en su institución.
</t>
    </r>
  </si>
  <si>
    <t>Gestión de datos</t>
  </si>
  <si>
    <t xml:space="preserve">  Instrumento de evaluación de la Gestión de datos</t>
  </si>
  <si>
    <t>Visión Estratégica</t>
  </si>
  <si>
    <t xml:space="preserve">La Visión Estratégica se encarga de generar el compromiso de la institución con la gestión de datos,
asegurándose que esté alineada con los objetivos estratégicos institucionales y se traduzca en un mandato institucional de largo plazo.
Para esto debe impulsar la visión de una institución orientada a la toma de decisiones con datos (data-driven), instalando una cultura orientada a los datos en el Estado, que significa:
•        Reconocer a los datos como un activo estratégico para la mejora en los servicios y políticas públicas.
•        Realizar esfuerzos activos para remover barreras para administrar, compartir y reutilizar los datos, tanto al interior de las instituciones del Estado como entre ellas.
•        Utilizar los datos para transformar el diseño, prestación y monitoreo de los servicios y políticas públicas.
•        Promover el uso de datos entre organizaciones del sector público y privado, especialmente a través de la publicación de datos abiertos.
•        Entender los derechos de los ciudadanos en torno a los datos, en particular respecto a los comportamientos éticos, de transparencia y seguridad de los datos.
Por otra parte, la visión estratégica apunta a instalar el tema a nivel directivo para que se provean los medios institucionales, financieros y humanos requeridos para para la instalación de la gobernanza de datos. 
La gestión de datos debe integrarse a otros componentes organizacionales, como los procesos, las tecnologías y las personas. Los procesos usan las TIC para capturar, procesar y producir datos. En este sentido, la definición y mantención de una arquitectura empresarial es necesaria para alinear los procesos, los datos,los  sistemas de información y la infraestructura tecnológica con los objetivos estratégicos institucionales.
Algunos de los factores críticos de éxito, desde la visión estratégica, para la instalación de la gobernanza de datos son:
•        Alinearse con la estrategia o plan de desarrollo institucional 
•        Disponer los recursos financieros requeridos
•        Establecer y sostener planes multianuales
•        Promover los beneficios hasta provocar convicción a través de la organización
•        Mostrar resultados tempranos
•        Compatibilizar con la implementación de la Ley de Transformación Digital y otras iniciativas tecnológicas o de información.
•        Compartir conocimiento y experiencias
•        Disponer de talento interno y externo
•        Considerar la gestión del cambio
</t>
  </si>
  <si>
    <t>1.1.</t>
  </si>
  <si>
    <t>Visión</t>
  </si>
  <si>
    <t>¿Existe un compromiso directivo formal y efectivo con la gestión y gobernanza de datos como elementos que aportan valor público?</t>
  </si>
  <si>
    <t>No</t>
  </si>
  <si>
    <t>Insuficiente</t>
  </si>
  <si>
    <t>Visión EstratégicaVisiónBásico</t>
  </si>
  <si>
    <t>Básico</t>
  </si>
  <si>
    <t>Generar compromiso directivo con la gestión y gobernanza de datos como elementos que aportan valor público.</t>
  </si>
  <si>
    <t>Visión EstratégicaVisiónMedio</t>
  </si>
  <si>
    <t>Medio</t>
  </si>
  <si>
    <t>Otro</t>
  </si>
  <si>
    <t>Sí</t>
  </si>
  <si>
    <t>Avanzado</t>
  </si>
  <si>
    <t>Visión EstratégicaVisiónAvanzado</t>
  </si>
  <si>
    <t>1.2.</t>
  </si>
  <si>
    <t>Estrategia</t>
  </si>
  <si>
    <t>¿Están incluidos los temas de datos en los objetivos e iniciativas estratégicas de la organización?</t>
  </si>
  <si>
    <t>Visión EstratégicaEstrategiaMedio</t>
  </si>
  <si>
    <t>Incluir de manera clara los temas de datos en los objetivos e iniciativas estratégicas de la organización, incluyendo el cumplimiento de los aspectos legales y normativos.</t>
  </si>
  <si>
    <t>Sí, pero de forma indirecta</t>
  </si>
  <si>
    <t>Visión EstratégicaEstrategiaBásico</t>
  </si>
  <si>
    <t>Sí, de forma clara y explícita</t>
  </si>
  <si>
    <t>Visión EstratégicaEstrategiaAvanzado</t>
  </si>
  <si>
    <t>1.3.</t>
  </si>
  <si>
    <t>Presupuesto y Recursos</t>
  </si>
  <si>
    <t>¿Existe una asignación de presupuestos y recursos para cumplimiento de hoja de ruta o plan de gobernanza? (cuando existe)</t>
  </si>
  <si>
    <t>No Aplica</t>
  </si>
  <si>
    <t>Visión EstratégicaPresupuesto y RecursosBásico</t>
  </si>
  <si>
    <t>Asignar presupuestos y recursos para cumplimiento de hoja de ruta.</t>
  </si>
  <si>
    <t>Visión EstratégicaPresupuesto y RecursosMedio</t>
  </si>
  <si>
    <t>Visión EstratégicaPresupuesto y RecursosAvanzado</t>
  </si>
  <si>
    <t>1.4.</t>
  </si>
  <si>
    <t>Capacidades</t>
  </si>
  <si>
    <t>¿Existen actualmente en la institución capacidades para la gestión de datos?</t>
  </si>
  <si>
    <t>Sí, pero personas específicas en ámbitos específicos del MGDE</t>
  </si>
  <si>
    <t>Visión EstratégicaCapacidadesBásico</t>
  </si>
  <si>
    <t>Capacitar a personas específicas en gestión de datos y en el Marco de Referencia de Datos del Estado - MGDE (general) y en los aspectos legales y normativos relacionados.</t>
  </si>
  <si>
    <t>Sí, equipos que abordan algunos ámbitos del MGDE</t>
  </si>
  <si>
    <t>Visión EstratégicaCapacidadesMedio</t>
  </si>
  <si>
    <t>Capacitar a los equipos definidos para gestión de datos en el Marco de Referencia de Datos del Estado (general) y en los aspectos legales y normativos relacionados.</t>
  </si>
  <si>
    <t>Sí, equipos que abordan a la mayoría (o todos) los ámbitos del MGDE</t>
  </si>
  <si>
    <t>Visión EstratégicaCapacidadesAvanzado</t>
  </si>
  <si>
    <t>Capacitar a los equipos definidos para gestión de datos en el Marco de Referencia de Datos del Estado, en sus dimensiones específicas y en los aspectos legales y normativos relacionados.</t>
  </si>
  <si>
    <t>1.5.</t>
  </si>
  <si>
    <t>Gestión del Cambio</t>
  </si>
  <si>
    <t>¿Existe un plan de gestión del cambio, ya sea específico en torno a la Ley de Transformación Digital o Institucional que aborde los temas de datos?</t>
  </si>
  <si>
    <t>Visión EstratégicaGestión del CambioBásico</t>
  </si>
  <si>
    <t>Generar un plan de gestión del cambio, utilizando la guía base, ya sea en torno a la Ley de TD o con un alcance más amplio de transformación Digital o Institucional.</t>
  </si>
  <si>
    <t>Sí, se usa la guía base</t>
  </si>
  <si>
    <t>Visión EstratégicaGestión del CambioMedio</t>
  </si>
  <si>
    <t>Generar un plan de gestión del cambio, adaptando la guía base, ya sea en torno a la Ley de TD o con un alcance más amplio de transformación Digital o Institucional.</t>
  </si>
  <si>
    <t>Sí, adaptada de la guía base</t>
  </si>
  <si>
    <t>Visión EstratégicaGestión del CambioAvanzado</t>
  </si>
  <si>
    <t>Generar un plan de gestión del cambio, internamente o con apoyo externo, ya sea en torno a la Ley de TD o con un alcance más amplio de transformación Digital o Institucional.</t>
  </si>
  <si>
    <t>Sí, de elaboración propia</t>
  </si>
  <si>
    <t>1.6.</t>
  </si>
  <si>
    <t>Alianzas y Colaboraciones</t>
  </si>
  <si>
    <t>¿Se cuenta con múltiples alianzas o colaboraciones con otros OAE y/o privados en torno a los datos (intercambio de información, análisis de datos, etc.) y se busca activamente ampliarlas?</t>
  </si>
  <si>
    <t>Existen unas pocas alianzas o colaboración con otros OAE y/o privados, se cubre lo básico</t>
  </si>
  <si>
    <t>Visión EstratégicaAlianzas y ColaboracionesBásico</t>
  </si>
  <si>
    <t>Desarrollar alianzas o colaboración con otros OAE y/o privados en torno a los datos (intercambio de información, análisis de datos, etc.) que cubran las necesidades básicas de la institución.</t>
  </si>
  <si>
    <t>Existen alianzas o colaboraciones con otros OAE y/o privados y se están definiendo mecanismos para ampliarlas</t>
  </si>
  <si>
    <t>Visión EstratégicaAlianzas y ColaboracionesMedio</t>
  </si>
  <si>
    <t>Desarrollar alianzas o colaboraciones con otros OAE y/o privados en torno a los datos (intercambio de información, análisis de datos, etc.) y definir los mecanismos para ampliarlas.</t>
  </si>
  <si>
    <t>Existen alianzas o colaboraciones con otros OAE y/o privados, y existen mecanismos para activamente ampliarlas y explorar nuevas oportunidades</t>
  </si>
  <si>
    <t>Visión EstratégicaAlianzas y ColaboracionesAvanzado</t>
  </si>
  <si>
    <t>Desarrollar múltiples alianzas o colaboraciones con otros OAE y/o privados en torno a los datos (intercambio de información, análisis de datos, etc.) e institucionalizar los mecanismos para activamente ampliarlas y explorar nuevas oportunidades.</t>
  </si>
  <si>
    <t>1.7.</t>
  </si>
  <si>
    <t>Medición y Seguimiento</t>
  </si>
  <si>
    <t>¿Existen métricas claras para evaluar el éxito de la estrategia e implantación del MGDE? ¿Se realizan revisiones periódicas para evaluar el progreso y realizar ajustes si es necesario?</t>
  </si>
  <si>
    <t>Se está en proceso de definir las métricas</t>
  </si>
  <si>
    <t>Visión EstratégicaMedición y SeguimientoBásico</t>
  </si>
  <si>
    <t>Definir las métricas para evaluar el éxito de la estrategia e implantación del MGDE.</t>
  </si>
  <si>
    <t>Sí, se cuenta con métricas y se está en proceso de recopilar los datos para evaluar.</t>
  </si>
  <si>
    <t>Visión EstratégicaMedición y SeguimientoMedio</t>
  </si>
  <si>
    <t>Recopilar los datos para evaluar el éxito de la estrategia e implantación del MGDE, en base a las métricas ya definidas.</t>
  </si>
  <si>
    <t>Sí, se cuenta con métricas, se realizan revisiones periódicas y se realizan ajustes si es necesario.</t>
  </si>
  <si>
    <t>Visión EstratégicaMedición y SeguimientoAvanzado</t>
  </si>
  <si>
    <t>Realizar revisiones periódicas de las métricas para evaluar el éxito de la estrategia e implantación del MGDE para evaluar el progreso y realizar ajustes si es necesario.</t>
  </si>
  <si>
    <t>Gobernanza de Datos</t>
  </si>
  <si>
    <t>La gobernanza de datos constituye el corazón del MGDE y debe dirigir a todas las otras dimensiones de la gestión de datos. La gobernanza de datos se enfoca en cómo se toman las decisiones sobre datos y sobre cómo se espera que las personas y los procesos se comporten en relación a los datos. La gobernanza de datos no es un objetivo en sí mismo, sino que debe alinearse de manera directa con la visión estratégica institucional y la normativa vigente.
Un punto central de la gobernanza es la definición de una política de gestión de datos, que son directivas que establecen los principios y las reglas fundamentales que rigen la creación, adquisición, integridad, seguridad, calidad y uso de datos. Las políticas de gestión de datos son globales, establecen estándares, así como comportamientos esperados relacionados con aspectos clave del manejo y uso de datos. Las políticas de datos pueden variar entre las instituciones, pero existen algunos principios “base”. Las políticas de datos describen el "qué" de la gobernanza de datos (qué hacer y qué no hacer), mientras que los estándares y procedimientos describen "cómo" hacer gobernanza de datos. Debería existir un número prudente de políticas de gestión de datos (debe partir con una), y deberían establecerse breve y directamente, considerando criterios de eficiencia.
Algunos principios “base” que se orientan a las buenas prácticas de gestión de datos son:
•	Los datos tanto internos como externos serán tratados como activos estratégicos para el logro de las metas y objetivos de la institución. Esto incluye los documentos y otros contenidos digitales (imágenes, audio, video).
•	Todo activo o conjunto de datos será catalogado y documentado con variables descriptivas y de clasificación (metadatos).
•	Todo activo o conjunto de datos tendrá asignado una persona responsable (administrador o custodio) que deberá velar por su actualización y mantenimiento, procurando su confiabilidad, precisión, completitud y disponibilidad.
•	Se promoverá la digitalización, el uso analítico y el trabajo colaborativo en torno a los datos.
•	Se promoverá la evaluación de la calidad de los datos para contar con datos confiables y/o con grados de certeza conocidos.
•	Se promoverá la interoperabilidad de los datos interna y externamente.
•	Se procurará un uso de datos de manera ética y de acuerdo con las normas y leyes vigentes, en particular aquellas relativas a la protección de datos personales.
•	Toda tarea en la cual las personas usuarias accedan a datos, debe contar con una definición de roles y responsabilidades y debe hacerse en el marco de las definiciones de seguridad institucionales.
•	Se planificará, implementará, evaluará y mejorará la gestión de datos de manera integral a lo largo del ciclo de vida de los datos.
Otra práctica de gestión de datos es la identificación de los activos de datos, al igual que en la gestión de otros activos se necesita conocer y caracterizar los activos a gestionar (esto incluye los documentos y otros contenidos). En el caso de los datos esto requiere un nivel de conceptualización (arquitectura, modelos). Además se gestiona por “objetos”, (ej.: un computador como un todo, no cada pieza), se gestiona por valor o relevancia (ej.: un escritorio sí, un lápiz no). Aplicando esto al caso de los datos se gestiona por conjuntos de datos (y no por datos individuales), se gestiona de acuerdo al aporte de valor o relevancia (ej.: por su uso, por definiciones misionales o por cumplimiento normativo, por necesidad para la gestión o de entrega de información). Una vez identificados los activos de datos relevantes a gestionar es necesario caracterizarlos y aquí intervienen las distintas prácticas:
•	Se quiere poder describir, clasificar el activo (arquitectura)
•	Interesa tener documentación del activo (metadatos, modelos, diccionarios)
•	Se requiere conocer dónde está alojado y cómo se administra (almacenamiento y operación).
•	Se requiere poder definir los niveles de seguridad a los que está sometido el dato (público, restringido)
•	Se requiere conocer las reglas de integración (consolidación) y requerimientos de interoperabilidad (intercambio) de los datos.
•	Si se trata de datos maestros o referenciales se requiere centralizarlos y estandarizarlos para asegurar un uso consistente a lo largo de la organización.
•	Se precisa sacarles el mayor provecho mediante la analítica e inteligencia de negocios.
•	Se requiere poder evaluar y mejorar su calidad.
Para lo anterior es relevante contar con un inventario o catálogo de datos.</t>
  </si>
  <si>
    <t>2.1.</t>
  </si>
  <si>
    <t>Política de gobernanza de datos</t>
  </si>
  <si>
    <t>¿Existe una política/estrategia de gobernanza de datos que cubra la gestión de los datos a lo largo de su ciclo de vida, desde su creación hasta su eliminación o archivo?</t>
  </si>
  <si>
    <t>Sí, se ha adoptado la política base o se ha desarrollado una propia</t>
  </si>
  <si>
    <t>Gobernanza de DatosPolítica de gobernanza de datosBásico</t>
  </si>
  <si>
    <t>Adoptar la política/estrategia base o generar una de elaboración propia que cubra la gestión de los datos a lo largo de su ciclo de vida, desde su creación hasta su eliminación o archivo.</t>
  </si>
  <si>
    <t>Sí, se ha adaptado la política base (para mejor alineamiento a la institución)</t>
  </si>
  <si>
    <t>Gobernanza de DatosPolítica de gobernanza de datosMedio</t>
  </si>
  <si>
    <t>Adaptar la política/estrategia base, buscando el alineamiento con la institución, para cubrir la gestión de los datos a lo largo de su ciclo de vida, desde su creación hasta su eliminación o archivo.</t>
  </si>
  <si>
    <t>Sí, se ha adaptado la política base, alineada con la Ley de TD, y se ha extendido para incluir temas específicos de la institución</t>
  </si>
  <si>
    <t>Gobernanza de DatosPolítica de gobernanza de datosAvanzado</t>
  </si>
  <si>
    <t>Adaptar la política/estrategia base, incluyendo temas específicos de la institución, para cubrir la gestión de los datos a lo largo de su ciclo de vida, desde su creación hasta su eliminación o archivo.</t>
  </si>
  <si>
    <t>2.2.</t>
  </si>
  <si>
    <t>Organización</t>
  </si>
  <si>
    <t>¿Existen roles o funciones institucionales responsables del liderazgo de datos?</t>
  </si>
  <si>
    <t>Sí, rol y/o equipo compartido</t>
  </si>
  <si>
    <t>Gobernanza de DatosOrganizaciónBásico</t>
  </si>
  <si>
    <t>Asignar rol y/o equipo de trabajo (comité u otro) responsable de Gobierno de Datos, en esquema compartido con otras responsabilidades.</t>
  </si>
  <si>
    <t>Sí, rol y/o equipo dedicado</t>
  </si>
  <si>
    <t>Gobernanza de DatosOrganizaciónMedio</t>
  </si>
  <si>
    <t>Asignar rol y/o equipo de trabajo (comité u otro) responsable de Gobierno de Datos, de dedicación exclusiva (o a lo más compartida con temas relacionados como TD y/o procesos)</t>
  </si>
  <si>
    <t>Sí, unidad responsable formalmente definida</t>
  </si>
  <si>
    <t>Gobernanza de DatosOrganizaciónAvanzado</t>
  </si>
  <si>
    <t>Definir un equipo de Gobernanza de datos como se recomienda en la Estrategia de Datos del Estado.</t>
  </si>
  <si>
    <t>2.3.</t>
  </si>
  <si>
    <t>Implementación</t>
  </si>
  <si>
    <t>¿Existe un plan de implementación de la gobernanza de datos?</t>
  </si>
  <si>
    <t>Sí, guía base</t>
  </si>
  <si>
    <t>Gobernanza de DatosImplementaciónBásico</t>
  </si>
  <si>
    <t>Generar plan de implementación usando la guía de implementación base.</t>
  </si>
  <si>
    <t>Sí, adaptado de la guía base</t>
  </si>
  <si>
    <t>Gobernanza de DatosImplementaciónMedio</t>
  </si>
  <si>
    <t>Generar plan de implementación adaptando la guía de implementación base.</t>
  </si>
  <si>
    <t>Gobernanza de DatosImplementaciónAvanzado</t>
  </si>
  <si>
    <t>Generar plan de implementación adaptando y complementando la guía de implementación, en línea con plan de implementación de la Ley de TD.</t>
  </si>
  <si>
    <t>2.4.</t>
  </si>
  <si>
    <t>Herramientas</t>
  </si>
  <si>
    <t>¿Se han incorporado herramientas para apoyo a la gobernanza?</t>
  </si>
  <si>
    <t>Sí, planillas, presentaciones, documentos</t>
  </si>
  <si>
    <t>Gobernanza de DatosHerramientasBásico</t>
  </si>
  <si>
    <t>Utilizar planillas, presentaciones y documentos como herramientas de gobernanza.</t>
  </si>
  <si>
    <t>Sí, Herramientas de catálogo</t>
  </si>
  <si>
    <t>Gobernanza de DatosHerramientasMedio</t>
  </si>
  <si>
    <t>Utilizar herramientas de gobernanza básica (catálogo).</t>
  </si>
  <si>
    <t>Sí, herramientas de gobernanza que cubren más que el catálogo</t>
  </si>
  <si>
    <t>Gobernanza de DatosHerramientasAvanzado</t>
  </si>
  <si>
    <t>Utilizar herramientas de gobernanza especializadas (catálogo, MDM, calidad, etc.)</t>
  </si>
  <si>
    <t>2.5.</t>
  </si>
  <si>
    <t>Capacitación</t>
  </si>
  <si>
    <t>¿Se han realizado capacitaciones de gobernanza y gestión de datos en base al MGDE (o DAMA) en la institución?</t>
  </si>
  <si>
    <t>Sí, básica (seminarios, presentaciones)</t>
  </si>
  <si>
    <t>Gobernanza de DatosCapacitaciónBásico</t>
  </si>
  <si>
    <t>Realizar capacitación básica (seminarios, presentaciones) de gobernanza.</t>
  </si>
  <si>
    <t>Sí, a responsables de datos</t>
  </si>
  <si>
    <t>Gobernanza de DatosCapacitaciónMedio</t>
  </si>
  <si>
    <t>Realizar capacitación en gobernanza a rol y/o equipo responsable de datos.</t>
  </si>
  <si>
    <t>Sí, a equipos que manejan datos</t>
  </si>
  <si>
    <t>Gobernanza de DatosCapacitaciónAvanzado</t>
  </si>
  <si>
    <t>Realizar capacitación en gobernanza y MGDE a rol y/o equipo responsable y equipos que manejan datos.</t>
  </si>
  <si>
    <t>2.6.</t>
  </si>
  <si>
    <t>Gestión de Riesgos</t>
  </si>
  <si>
    <t>¿Se han identificado y evaluado los riesgos asociados con la gestión de datos y existen procesos para mitigar y gestionar estos riesgos de manera efectiva?</t>
  </si>
  <si>
    <t>Sí, se han evaluado y se están definiendo un plan para su gestión</t>
  </si>
  <si>
    <t>Gobernanza de DatosGestión de RiesgosBásico</t>
  </si>
  <si>
    <t>Identificar y evaluar los riesgos asociados con la gestión de datos y desarrollar un plan para su gestión.</t>
  </si>
  <si>
    <t>Sí, se han evaluado y se están desarrollando los procesos para su gestión</t>
  </si>
  <si>
    <t>Gobernanza de DatosGestión de RiesgosMedio</t>
  </si>
  <si>
    <t>Identificar y evaluar los riesgos asociados con la gestión de datos y desarrollar procesos para mitigarlos y gestionarlos de manera efectiva.</t>
  </si>
  <si>
    <t>Sí, se han evaluado y se cuenta con procesos para su gestión</t>
  </si>
  <si>
    <t>Gobernanza de DatosGestión de RiesgosAvanzado</t>
  </si>
  <si>
    <t>Identificar y evaluar los riesgos asociados con la gestión de datos y tener procesos instalados para mitigar y gestionar estos riesgos de manera efectiva.</t>
  </si>
  <si>
    <t>2.7.</t>
  </si>
  <si>
    <t>Gestión ética de datos</t>
  </si>
  <si>
    <t>¿Existen políticas, directivas o estándares para promover el uso ético de datos?</t>
  </si>
  <si>
    <t>Gobernanza de DatosGestión ética de datosMedio</t>
  </si>
  <si>
    <t>Definir políticas, directivas y estándares para promover el uso ético de datos.</t>
  </si>
  <si>
    <t>Gobernanza de DatosGestión ética de datosAvanzado</t>
  </si>
  <si>
    <t>Arquitectura, Diseño y Documentación</t>
  </si>
  <si>
    <t>Esta dimensión se encarga de la identificación de los activos y requerimientos globales de información de la organización y la generación de modelos que, mediante distintos niveles de abstracción, puedan ser utilizados por las otras dimensiones para conocer las estructuras y contenidos de los datos de una institución. Esto también abarca los diseños globales de las plataformas para gestionar los datos.
Los modelos de datos se utilizan normalmente para el diseño y la construcción de las bases de datos y sistemas, los que posteriormente quedan como documentación. Un modelo de datos ayuda a entender el detalle de cómo se estructuran los datos y es por tanto un conocimiento institucional respecto de una base de datos. Si la arquitectura proporciona una visión global, los modelos son una visión detallada, pero de nivel agregado. Los modelos de datos más usados actualmente son:
Entidad-Relación: Se basa en identificar entidades de datos y las relaciones entre ellas. Se presentan como un diagrama más una descripción de las entidades y sus atributos (datos).
Dimensional (cubo): Variante del modelo entidad-relación, se basa en definir una o más entidades “de hechos” (datos) y dimensiones. Es utilizado para representar bases orientadas al análisis de datos (data mart, data warehouse, data lake).
Jerárquico: También llamado de taxonomía, como indica su nombre consiste en definir una jerarquía de múltiples niveles; es el más usado para representar estructuras de tipo documental o de contenidos.
No estructurados (NoSQL): Modelos flexibles orientados al manejo de grandes volúmenes de datos y también para análisis. Existen distintas variantes a veces asociadas a la tecnología subyacente:
•	Modelo llave-valor: los datos se asocian a un dato “llave” (único)
•	Modelo columnar: los datos se almacenan por columnas asociados a una llave
•	Modelo de objetos: Los datos se estructuran de manera jerárquica en base a “nodos”.
La documentación de los datos suele ser el nivel más detallado y puede tomar varias formas: glosario de datos, diccionario de datos, metadatos.
Los metadatos son datos estructurados y codificados que describen características que sirven para identificar, describir, buscar y administrar los datos. Algunos metadatos (básicos) de un dato son: nombre, descripción, tipo de dato (numérico, alfabético, etc.), valores posibles. Los metadatos pueden definirse a nivel de grupos de datos o de datos individuales. Un modelo de datos es un metadato que describe un conjunto de datos, también un diccionario de datos. Los documentos o contenidos suelen contener metadatos que se pueden definir y gestionar con las herramientas que permiten editarlos.</t>
  </si>
  <si>
    <t>3.1.</t>
  </si>
  <si>
    <t>Arquitectura Institucional de datos</t>
  </si>
  <si>
    <t>¿Existe una conceptualización formalizada de la información relevante para el quehacer institucional?</t>
  </si>
  <si>
    <t>Sí, en documento o presentación</t>
  </si>
  <si>
    <t>Arquitectura, Diseño y DocumentaciónArquitectura Institucional de datosBásico</t>
  </si>
  <si>
    <t>Generar una conceptualización formalizada (documento, presentación) de los datos relevantes para el quehacer institucional.</t>
  </si>
  <si>
    <t>Sí, mediante clasificaciones y/o modelos de alto nivel para algunos datos, en algunas áreas (los más relevantes).</t>
  </si>
  <si>
    <t>Arquitectura, Diseño y DocumentaciónArquitectura Institucional de datosMedio</t>
  </si>
  <si>
    <t>Generar clasificaciones y/o modelos de alto nivel, orientados al quehacer institucional, para algunos datos en algunas áreas (los más relevantes).</t>
  </si>
  <si>
    <t>Sí, mediante clasificaciones y/o modelos de alto nivel para la totalidad de la información relevante</t>
  </si>
  <si>
    <t>Arquitectura, Diseño y DocumentaciónArquitectura Institucional de datosAvanzado</t>
  </si>
  <si>
    <t>Generar clasificaciones y/o modelos de alto nivel, orientados al quehacer institucional, que reflejen la totalidad de los datos relevantes.</t>
  </si>
  <si>
    <t>3.2.</t>
  </si>
  <si>
    <t>Catálogo</t>
  </si>
  <si>
    <t>¿Existe un levantamiento, catálogo o inventario de los datos que maneja la institución?</t>
  </si>
  <si>
    <t>Sí, levantamiento general (documentos, planillas)</t>
  </si>
  <si>
    <t>Arquitectura, Diseño y DocumentaciónCatálogoBásico</t>
  </si>
  <si>
    <t>Generar un levantamiento general de los datos que maneja la institución.</t>
  </si>
  <si>
    <t>Sí, catálogo parcial con definiciones de acceso (seguridad) y caracterización de datos personales, para algunos datos en algunas áreas (los más relevantes).</t>
  </si>
  <si>
    <t>Arquitectura, Diseño y DocumentaciónCatálogoMedio</t>
  </si>
  <si>
    <t>Generar un catálogo o inventario de datos, con definiciones de acceso (seguridad) y caracterización de datos personales, para algunos datos en algunas áreas (los más relevantes).</t>
  </si>
  <si>
    <t>Sí, catálogo documentado, con definiciones de acceso (seguridad) y caracterización de datos personales, de los datos relevantes y con procedimiento para su actualización.</t>
  </si>
  <si>
    <t>Arquitectura, Diseño y DocumentaciónCatálogoAvanzado</t>
  </si>
  <si>
    <t>Generar un catálogo inventario documentado de los datos relevantes, con definiciones de acceso (seguridad) y caracterización de datos personales y procedimiento para su actualización.</t>
  </si>
  <si>
    <t>¿Existe evaluación de la calidad de los catálogos o inventarios de datos?</t>
  </si>
  <si>
    <t>No, pero se está en proceso de definición</t>
  </si>
  <si>
    <t>Arquitectura, Diseño y DocumentaciónModelos y DocumentaciónBásico</t>
  </si>
  <si>
    <t>Recopilar modelos o documentación (diseño, diccionario de datos), aunque sean parciales o desactualizados y sólo para algunas bases de datos o de documentos.</t>
  </si>
  <si>
    <t>Sí y se cuenta con un plan para su aplicación</t>
  </si>
  <si>
    <t>Arquitectura, Diseño y DocumentaciónModelos y DocumentaciónMedio</t>
  </si>
  <si>
    <t>Generar modelos y documentación (diseño, diccionario de datos) actualizada para las bases de datos o de documentos más relevantes.</t>
  </si>
  <si>
    <t>Sí y se aplica sistemáticamente</t>
  </si>
  <si>
    <t>Arquitectura, Diseño y DocumentaciónModelos y DocumentaciónAvanzado</t>
  </si>
  <si>
    <t>Generar modelos y documentación (diseño, diccionario de datos) para todas las bases de datos o de documentos relevantes y procedimiento para su actualización.</t>
  </si>
  <si>
    <t>3.3.</t>
  </si>
  <si>
    <t>Modelos y Documentación</t>
  </si>
  <si>
    <t>¿Existen modelos o documentación (diseño, diccionario de datos) de las bases de datos?</t>
  </si>
  <si>
    <t>Sí, parcial o desactualizado y sólo para algunas bases de datos o de documentos.</t>
  </si>
  <si>
    <t>Sí, actualizada para las bases de datos o de documentos más relevantes.</t>
  </si>
  <si>
    <t>Sí, para todas las bases de datos o de documentos relevantes y procedimiento para su actualización.</t>
  </si>
  <si>
    <t>3.4.</t>
  </si>
  <si>
    <t>Metadatos</t>
  </si>
  <si>
    <t>¿Existen directrices y estándares para la definición y gestión de metadatos asociados a datos y documentos?</t>
  </si>
  <si>
    <t>Si y se cuenta con un plan para su aplicación</t>
  </si>
  <si>
    <t>Si y se aplica de manera sistemática</t>
  </si>
  <si>
    <t>¿Existen metadatos asociados a las bases de datos?</t>
  </si>
  <si>
    <t>Sí, algunos metadatos asociados a bases de datos o de documentos determinados, pero no existe un estándar.</t>
  </si>
  <si>
    <t>Arquitectura, Diseño y DocumentaciónMetadatosBásico</t>
  </si>
  <si>
    <t>Generar directrices y estándares para la definición y gestión de metadatos asociados a datos y documentos.</t>
  </si>
  <si>
    <t>Sí, existe un estándar de metadatos aplicado a las bases de datos o de documentos más relevantes.</t>
  </si>
  <si>
    <t>Arquitectura, Diseño y DocumentaciónMetadatosMedio</t>
  </si>
  <si>
    <t>Generar un plan de aplicación de las directrices y estándares para la definición y gestión de metadatos asociados a datos y documentos.</t>
  </si>
  <si>
    <t>Sí, existen un estándar de metadatos aplicado a todos las bases de datos o de documentos relevantes y herramientas para gestionarlos</t>
  </si>
  <si>
    <t>Arquitectura, Diseño y DocumentaciónMetadatosAvanzado</t>
  </si>
  <si>
    <t>Aplicar las directrices y estándares para la gestión de metadatos a las bases de datos y documentos de manera sistemática.</t>
  </si>
  <si>
    <t>Almacenamiento y Operación</t>
  </si>
  <si>
    <t>Esta dimensión dice relación con el diseño, implementación y operación de las plataformas de gestión de datos, es decir, de las plataformas y sistemas que alojan datos, en particular las bases de datos.
Esto significa identificar los requerimientos de las otras dimensiones del MGDE, en particular Integración e Interoperabilidad, Analítica e Inteligencia de Negocios, Documentos y Contenidos, Seguridad en términos de almacenamientos y operación de plataformas tecnológicas para el manejo de datos.
Desde el punto de vista de la operación y gestión de plataformas tecnológicas que soportan datos esto implica abordar el monitoreo y soporte de las mismas, pero también la administración (DBA) que permita:
●	Asegurar la disponibilidad de las plataformas (monitoreo, mantención preventiva).
●	Implementar la seguridad en el acceso a los datos almacenados.
●	Evaluar y mejorar el desempeño del acceso a los datos (performance y tuning).
●	Asegurar la integridad de los datos mediante políticas y procedimientos de respaldo y recuperación.
●	Planificar capacidades futuras requeridas (capacity planning)</t>
  </si>
  <si>
    <t>4.1.</t>
  </si>
  <si>
    <t>Gestión de la operación y almacenamiento</t>
  </si>
  <si>
    <t>¿Se gestiona la operación y el almacenamiento de los datos mediante la administración de las bases, internamente o con apoyo externo?</t>
  </si>
  <si>
    <t>Sí, para las bases más relevantes.</t>
  </si>
  <si>
    <t>Almacenamiento y OperaciónGestión de la operación y almacenamientoBásico</t>
  </si>
  <si>
    <t>Gestionar la operación y el almacenamiento de los datos mediante la administración de las bases de datos o de documentos más relevantes, internamente o con apoyo externo.</t>
  </si>
  <si>
    <t>Sí, incluyendo monitoreo de las bases más relevantes.</t>
  </si>
  <si>
    <t>Almacenamiento y OperaciónGestión de la operación y almacenamientoMedio</t>
  </si>
  <si>
    <t>Gestionar la operación y el almacenamiento de los datos mediante la administración y monitoreo de las bases de datos o de documentos más relevantes, internamente o con apoyo externo.</t>
  </si>
  <si>
    <t>Sí, incluyendo monitoreo y planes de crecimiento/mejora (planificación de la capacidad o capacity planning), para todas las bases de datos relevantes con herramientas especializadas.</t>
  </si>
  <si>
    <t>Almacenamiento y OperaciónGestión de la operación y almacenamientoAvanzado</t>
  </si>
  <si>
    <t>Gestionar la operación y el almacenamiento de los datos mediante la administración, monitoreo y planes de crecimiento/mejora (planificación de la capacidad o capacity planning) con apoyo de herramientas especializadas, para todas las bases de datos o de documentos relevantes, internamente o con apoyo externo.</t>
  </si>
  <si>
    <t>Seguridad y Ciberseguridad de Datos</t>
  </si>
  <si>
    <t>Se entiende por Seguridad de la Información al conjunto de procesos, metodologías, políticas, normativas estándares, procedimientos, controles, software, hardware y otros elementos necesarios que permiten resguardar y proteger los datos buscando mantener la confidencialidad, disponibilidad e integridad de los datos. Por otra parte, la ciberseguridad se enfoca en la protección de la infraestructura computacional que maneja datos y todo lo vinculado con la misma, desde los datos contenidos en una computadora a los que circulan a través de las redes públicas o privadas.
La seguridad y ciberseguridad de los datos se debe entender dentro de un marco mayor de protección de la infraestructura tecnológica de las instituciones, por lo que debe circunscribirse en ese marco. En ese contexto, los sistemas de gestión de la seguridad de la información deben tener en cuenta la normativa sobre protección de datos de carácter personal, las recomendaciones del Consejo para la Transparencia y las que dicte la Agencia de Protección de Datos Personales.
En particular, la norma técnica sobre seguridad de la información y ciberseguridad (Decreto 7 ESTABLECE NORMA TÉCNICA DE SEGURIDAD DE LA INFORMACIÓN Y CIBERSEGURIDAD CONFORME LA LEY Nº 21.180, del 17-ago-2023) establece que los OAE deben generar e implementar una Política de Seguridad de la Información y Ciberseguridad, partiendo de un diagnóstico. Además, esta norma establece diversas funciones de seguridad y ciberseguridad: identificación, protección, detección, respuesta y recuperación. Este último punto requiere contar con un Plan de Recuperación ante Desastres (DRP) y Plan de Continuidad de Negocio (BCP) herramientas que  resultan de especial relevancia considerando los crecientes ataques a la infraestructura tecnológica del Estado y de sus proveedores.</t>
  </si>
  <si>
    <t>5.1.</t>
  </si>
  <si>
    <t>¿Existen políticas y procedimientos para el cumplimiento de la normativa de seguridad de la información?</t>
  </si>
  <si>
    <t>Sí, pero no se auditan.</t>
  </si>
  <si>
    <t>Seguridad y Ciberseguridad de DatosSeguridadBásico</t>
  </si>
  <si>
    <t>Definir políticas y procedimientos para el cumplimiento de la normativa de seguridad de la información.</t>
  </si>
  <si>
    <t>Sí, existe un Sistema de Gestión de Seguridad de la Información (SGSI) con políticas y procedimientos de seguridad, pero requiere ajuste y/o auditoria.</t>
  </si>
  <si>
    <t>Seguridad y Ciberseguridad de DatosSeguridadMedio</t>
  </si>
  <si>
    <t>Instalar un Sistema de Gestión de Seguridad de la Información (SGSI) con políticas y procedimientos de seguridad.</t>
  </si>
  <si>
    <t>Sí, existe un Sistema de Gestión de Seguridad de la Información (SGSI) con políticas y procedimientos de seguridad activo y auditado periódicamente.</t>
  </si>
  <si>
    <t>Seguridad y Ciberseguridad de DatosSeguridadAvanzado</t>
  </si>
  <si>
    <t>Instalar un Sistema de Gestión de Seguridad de la Información (SGSI) con políticas y procedimientos de seguridad activos y auditados periódicamente.</t>
  </si>
  <si>
    <t>5.2.</t>
  </si>
  <si>
    <t>Ciberseguridad</t>
  </si>
  <si>
    <t>¿Existen políticas y procedimientos de ciberseguridad de la información?</t>
  </si>
  <si>
    <t>Seguridad y Ciberseguridad de DatosCiberseguridadBásico</t>
  </si>
  <si>
    <t>Definir políticas y procedimientos de ciberseguridad de la información.</t>
  </si>
  <si>
    <t>Sí y se validan regularmente en forma interna.</t>
  </si>
  <si>
    <t>Seguridad y Ciberseguridad de DatosCiberseguridadMedio</t>
  </si>
  <si>
    <t>Definir políticas y procedimientos de ciberseguridad de la información que se validan regularmente en forma interna.</t>
  </si>
  <si>
    <t>Sí y se validan por terceros y se actualizan regularmente.</t>
  </si>
  <si>
    <t>Seguridad y Ciberseguridad de DatosCiberseguridadAvanzado</t>
  </si>
  <si>
    <t>Definir políticas y procedimientos de ciberseguridad de la información que se validan por terceros y se actualizan regularmente.</t>
  </si>
  <si>
    <t>5.3.</t>
  </si>
  <si>
    <t>Protección de Datos Personales</t>
  </si>
  <si>
    <t>¿Existe un responsable de la protección de datos?</t>
  </si>
  <si>
    <t>Seguridad y Ciberseguridad de DatosProtección de Datos PersonalesAvanzado</t>
  </si>
  <si>
    <t>Asignar un responsable institucional de la privacidad y protección de datos personales</t>
  </si>
  <si>
    <t>¿Existen políticas y procedimientos asociados al cumplimiento de la privacidad y protección de datos personales?</t>
  </si>
  <si>
    <t>Seguridad y Ciberseguridad de DatosProtección de Datos PersonalesBásico</t>
  </si>
  <si>
    <t>Seguridad y Ciberseguridad de DatosProtección de Datos PersonalesMedio</t>
  </si>
  <si>
    <t>Sí, incluyendo mecanismos de anonimización (en caso de ser necesarios) que son validados por terceros regularmente.</t>
  </si>
  <si>
    <t>Sí, incluyendo mecanismos de anonimización que son validados por terceros regularmente.</t>
  </si>
  <si>
    <t>¿Existen directrices para la anonimización de datos cuando es requerido?</t>
  </si>
  <si>
    <t>5.4.</t>
  </si>
  <si>
    <t>Recuperación ante desastres</t>
  </si>
  <si>
    <t>¿Existen mecanismos de respaldo y recuperación, planes de recuperación ante desastres (DRP) o planes de continuidad de negocio (BCP) probados y operativos?</t>
  </si>
  <si>
    <t>Sí, existen mecanismos de respaldo y recuperación</t>
  </si>
  <si>
    <t>Seguridad y Ciberseguridad de DatosRecuperación ante desastresBásico</t>
  </si>
  <si>
    <t>Definir mecanismos técnicos de respaldo y recuperación de los datos, probarlos, operativizarlos y realizar ejercicios periódicos de recuperación.</t>
  </si>
  <si>
    <t>Sí, existe plan de recuperación ante desastres (DRP)</t>
  </si>
  <si>
    <t>Seguridad y Ciberseguridad de DatosRecuperación ante desastresMedio</t>
  </si>
  <si>
    <t>Definir plan de recuperación ante desastres (DRP), probarlo, operativizarlo y difundirlo en la institución.</t>
  </si>
  <si>
    <t>Sí, existe plan de recuperación ante desastres (DRP) y plan de continuidad de negocio (BCP) probado, operativo y conocido por toda la institución.</t>
  </si>
  <si>
    <t>Seguridad y Ciberseguridad de DatosRecuperación ante desastresAvanzado</t>
  </si>
  <si>
    <t>Definir plan de recuperación ante desastres (DRP) y plan de continuidad de negocio (BCP), probarlo, operativizarlo y difundirlo en toda la institución.</t>
  </si>
  <si>
    <t>Integración e Interoperabilidad</t>
  </si>
  <si>
    <t>Esta dimensión se encarga de lo relacionado con operaciones para convertir, migrar, integrar, compartir y distribuir datos. La integración consolida datos a formatos físicos o lógicos que sean consistentes. La interoperabilidad se refiere a la capacidad de múltiples sistemas de intercambiar datos, ya sea interna o externamente.
La integración de datos suele requerirse para generar bases consolidadas de datos, ya sea como tal (data mart, data warehouse, data lake) o en la forma de planillas y que suele darse fuera de los sistemas (usuarios analistas).
La integración de datos puede ser compleja debido a:
•	Falta de consolidación de datos maestros y de estandarización de datos de referencia
•	Falta de conocimiento y/o documentación de las estructuras y contenidos de los datos (catálogos, diccionarios, modelos y diseño).
•	Distintos niveles de detalle en distintas bases.
•	Datos faltantes para el cruce de información.
Las principales herramientas para integración de datos son las de extracción, transformación y carga o ETL por su sigla en inglés (Extract, Transform, Load).
La interoperabilidad es un concepto amplio que tiene múltiples aristas:
•	Legal y normativa: ¿puedo hacerlo?, ¿debo hacerlo? ¿cómo puedo hacerlo respetando la normativa legal?
•	Organizativa: ¿Quiénes son responsables? ¿Qué procesos se requieren?
•	Semántica: ¿Cómo se interpretan los datos? (entrada / salida)
•	Técnica: ¿Qué mecanismos y/o herramientas usar?
La interoperabilidad entre instituciones del Estado es uno de los ejes de la Ley de Transformación Digital; en concordancia, la norma técnica de Interoperabilidad (Decreto 12 ESTABLECE NORMA TÉCNICA DE INTEROPERABILIDAD del 17-ago-2023) establece estándares, protocolos y herramientas para que los OAE interoperen datos, documentos y expedientes electrónicos. Para ello se ha definido utilizar una red de interoperabilidad que consiste en un conjunto de conexiones directas y seguras a través de internet, en base a nodos de interoperabilidad descentralizados, alojados en la infraestructura informática de los OAE, quienes, actuando como proveedores y/o consumidores, permitirán el intercambio y la transmisión de datos, documentos y expedientes electrónicos.</t>
  </si>
  <si>
    <t>6.1.</t>
  </si>
  <si>
    <t>Integración</t>
  </si>
  <si>
    <t>¿Existen mecanismos de integración y consolidación de datos mediante herramientas tipo ETL o Ingesta para las bases de datos y/o bases de gestión (datamart, datawarehouse, datalake)?</t>
  </si>
  <si>
    <t>Sí, para algunas bases</t>
  </si>
  <si>
    <t>Integración e InteroperabilidadIntegraciónBásico</t>
  </si>
  <si>
    <t>Definir e implementar mecanismos de integración y consolidación de datos mediante herramientas tipo ETL o Ingesta para algunas bases y/o bases de gestión (almacén de datos o data mart, bodega de datos o data warehouse, lago de datos o data lake)</t>
  </si>
  <si>
    <t>Integración e InteroperabilidadIntegraciónMedio</t>
  </si>
  <si>
    <t>Definir e implementar mecanismos de integración y consolidación de datos mediante herramientas tipo ETL o Ingesta para las bases y/o bases de gestión (almacén de datos o data mart, bodega de datos o data warehouse, lago de datos o data lake) más relevantes.</t>
  </si>
  <si>
    <t>Sí, para todas las bases relevantes</t>
  </si>
  <si>
    <t>Integración e InteroperabilidadIntegraciónAvanzado</t>
  </si>
  <si>
    <t>Definir e implementar mecanismos de integración y consolidación de datos mediante herramientas tipo ETL o Ingesta para todas las bases y/o bases de gestión (almacén de datos o data mart, bodega de datos o data warehouse, lago de datos o data lake) relevantes.</t>
  </si>
  <si>
    <t>6.2.</t>
  </si>
  <si>
    <t>¿Existen acuerdos de acceso y/o intercambio de datos con terceros, sean estas instituciones del sector público, privado o internacional?</t>
  </si>
  <si>
    <t>Sí, pero son los mínimos necesarios</t>
  </si>
  <si>
    <t>Integración e InteroperabilidadInteroperabilidadBásico</t>
  </si>
  <si>
    <t>Establecer las necesidades de acceso y/o intercambio de datos con terceros estableciendo prioridades.</t>
  </si>
  <si>
    <t>Sí, y se está buscando ampliarlos</t>
  </si>
  <si>
    <t>Integración e InteroperabilidadInteroperabilidadMedio</t>
  </si>
  <si>
    <t>Desarrollar un plan para cubrir las necesidades de acceso y/o intercambio de datos con terceros de acuerdo a la priorización establecida.</t>
  </si>
  <si>
    <t>Sí, todos los necesarios</t>
  </si>
  <si>
    <t>Integración e InteroperabilidadInteroperabilidadAvanzado</t>
  </si>
  <si>
    <t>Establecer y operativizar los acuerdos de acceso y/o intercambio de datos con terceros de acuerdo a la priorización establecida.</t>
  </si>
  <si>
    <t>¿Se han identificado los requerimientos de interoperabilidad (tanto de entrada como de salida) y existen mecanismos de interoperabilidad?</t>
  </si>
  <si>
    <t>Sí, incluyendo mecanismos de interoperabilidad ya sea mediante PISEE 2.0 u otros.</t>
  </si>
  <si>
    <t>Documentos y ContenidosDefinicionesBásico</t>
  </si>
  <si>
    <t>Generar un diagnóstico del estado de la gestión documental y definir una política de gestión documental.</t>
  </si>
  <si>
    <t>Sí y se han habilitado y se utilizan regularmente (como parte de la operación) algunos servicios de interoperabilidad ya sea mediante PISEE 2.0 u otros.</t>
  </si>
  <si>
    <t>Documentos y ContenidosDefinicionesMedio</t>
  </si>
  <si>
    <t>Definir una política de gestión documental que incluye la definición de ciclo de vida, la clasificación, valoración, retención y eliminación de documentos y partir su proceso de implementación.</t>
  </si>
  <si>
    <t>Sí y todo el intercambio de información con otras entidades se realiza mediante la plataforma PISEE 2.0</t>
  </si>
  <si>
    <t>Documentos y ContenidosDefinicionesAvanzado</t>
  </si>
  <si>
    <t>Definir e implementar una política de gestión documental, con procesos asociados y mecanismos de evaluación y seguimiento.</t>
  </si>
  <si>
    <t>¿Se utiliza la Plataforma de Interoperabilidad del Estado para la interoperabilidad con otras instituciones?</t>
  </si>
  <si>
    <t>Documentos y Contenidos</t>
  </si>
  <si>
    <t>Se entiende por gestión de documentos y contenidos al conjunto de normas técnicas, procedimientos y herramientas usadas para administrar los documentos de todo tipo, ya sean recibidos o creados en la institución. Esto incluye:
●	Facilitar el almacenamiento, la clasificación y la recuperación de los documentos
●	Aplicar las definiciones de seguridad en el acceso a los documentos
●	Asegurar la preservación de los documentos (custodia), de acuerdo al tiempo que los documentos deben guardarse y eliminar los que ya no sirven,
En la actualidad, coexisten distintos sistemas de gestión documental, desde el simple registro manual de la correspondencia que entra y sale hasta los más sofisticados sistemas informáticos que manejan no sólo la documentación administrativa propiamente, venga ella en papel o en formato electrónico, sino que además controlan los flujos de trabajo del proceso de tramitación de los expedientes, capturan información desde bases de datos, enlazan con el contenido de archivos, bibliotecas, centros de documentación y permiten realizar búsquedas sofisticadas y recuperar información de cualquier lugar. Esto último se denomina gestión documental electrónica.
Esto significa que los OAE deben contar al menos con:
•	Una plataforma de gestión de documentos y expedientes que sirva de soporte a sus procedimientos administrativos.
•	Uno o más repositorios documentales, según las necesidades e infraestructura de la institución.
•	La determinación de sus procesos de creación de documentos electrónicos estandarizados e interoperables asociados a sus procedimientos administrativos.
La Guía Técnica de Gestión Documental del Estado, proyecto conjunto del Archivo Nacional, el programa de Modernización del Ministerio de Hacienda y la División de Gobierno Digital del Ministerio Secretaría General de la Presidencia (SEGPRES) establece definiciones, ciclo de vida, recomendaciones de política, valoración, retención, guía paso a paso, buenas prácticas y beneficios de la gestión documental electrónica.
La Norma Técnica de Documentos y Expedientes Electrónicos (Decreto 10 ESTABLECE NORMA TÉCNICA DE DOCUMENTOS Y EXPEDIENTES ELECTRÓNICOS PARA LA GESTIÓN DE PROCEDIMIENTOS ADMINISTRATIVOS del 17-ago-2023) define los “estándares, formatos, metadatos, registros de trazabilidad, fases y procesos que deben cumplir los OAE para administrar y gestionar los documentos y expedientes electrónicos que obren en su poder a raíz de la tramitación de un procedimiento administrativo”. Establece también que los OAE “deberán definir una Política de Gestión Documental elaborando una estructura institucional de gestión documental y almacenamiento de los documentos y expedientes electrónicos, bajo la conformación de plataformas de gestión, repositorios y archivos institucionales”.</t>
  </si>
  <si>
    <t>7.1.</t>
  </si>
  <si>
    <t>Definiciones</t>
  </si>
  <si>
    <t>¿Existe un diagnóstico del estado de la gestión documental y una política de gestión documental?</t>
  </si>
  <si>
    <t>Sí, existe diagnóstico y se está trabajando en la política</t>
  </si>
  <si>
    <t>Sí, existe una política de gestión documental que incluye la definición de ciclo de vida, la clasificación, valoración, retención y eliminación de documentos en proceso de implementación.</t>
  </si>
  <si>
    <t>Sí, existen una política de gestión documental, procesos asociados y mecanismos de evaluación y seguimiento.</t>
  </si>
  <si>
    <t>7.2.</t>
  </si>
  <si>
    <t>¿Se ha revisado la definición del documento "Metadatos para la Gestión Documental de las Instituciones Públicas" identificando las brechas y generando un plan de cumplimiento?</t>
  </si>
  <si>
    <t>Documentos y ContenidosMetadatosBásico</t>
  </si>
  <si>
    <t>Revisar la definición del documento "Metadatos para la Gestión Documental de las Instituciones Públicas" identificando las brechas y generando un plan de cumplimiento.</t>
  </si>
  <si>
    <t>Sí y se está trabajando en el plan de cumplimiento</t>
  </si>
  <si>
    <t>Documentos y ContenidosMetadatosMedio</t>
  </si>
  <si>
    <t>Implementar un plan de cumplimiento de brechas en metadatos.</t>
  </si>
  <si>
    <t>Sí, se cumple a cabalidad con el documento</t>
  </si>
  <si>
    <t>Documentos y ContenidosMetadatosAvanzado</t>
  </si>
  <si>
    <t>Cumplir a cabalidad con el documento "Metadatos para la Gestión Documental de las Instituciones Públicas".</t>
  </si>
  <si>
    <t>7.3.</t>
  </si>
  <si>
    <t>Expediente Electrónico</t>
  </si>
  <si>
    <t>¿Se cuenta con una definición y plan de implementación del expediente electrónico de acuerdo a lo requerido en la Ley 21.180 (Ley de TD)?</t>
  </si>
  <si>
    <t>Documentos y ContenidosExpediente ElectrónicoBásico</t>
  </si>
  <si>
    <t>Generar una definición y plan de implementación del expediente electrónico de acuerdo a lo requerido en la Ley 21.180 (Ley de TD).</t>
  </si>
  <si>
    <t>Sí y se está trabajando en su implementación</t>
  </si>
  <si>
    <t>Documentos y ContenidosExpediente ElectrónicoMedio</t>
  </si>
  <si>
    <t>Implementar expediente electrónico de acuerdo a lo requerido en la Ley 21.180 (Ley de TD).</t>
  </si>
  <si>
    <t>Sí y se cumple a cabalidad</t>
  </si>
  <si>
    <t>Documentos y ContenidosExpediente ElectrónicoAvanzado</t>
  </si>
  <si>
    <t>Cumplir a cabalidad con la implementación del expediente electrónico de acuerdo a la Ley 21.180.</t>
  </si>
  <si>
    <t>7.4.</t>
  </si>
  <si>
    <t>Repositorio Documental</t>
  </si>
  <si>
    <t>¿Se ha incorporado una herramienta de repositorio documental?</t>
  </si>
  <si>
    <t>Sí en una o más áreas.</t>
  </si>
  <si>
    <t>Documentos y ContenidosRepositorio DocumentalBásico</t>
  </si>
  <si>
    <t>Incorporar herramientas de repositorio documental en algunas áreas.</t>
  </si>
  <si>
    <t>Sí y cumplen con los estándares definidos en la política institucional de gestión documental.</t>
  </si>
  <si>
    <t>Documentos y ContenidosRepositorio DocumentalMedio</t>
  </si>
  <si>
    <t>Incorporar herramientas de repositorio documental que cumplan con los estándares definidos en la política institucional de gestión documental.</t>
  </si>
  <si>
    <t>Sí y se han implementado sistemáticamente cumpliendo los estándares definidos en la política institucional de gestión documental.</t>
  </si>
  <si>
    <t>Documentos y ContenidosRepositorio DocumentalAvanzado</t>
  </si>
  <si>
    <t>Implementar sistemáticamente herramientas de repositorio documental que cumplen con los estándares definidos en la política institucional de gestión documental</t>
  </si>
  <si>
    <t>Datos Maestros y de Referencia</t>
  </si>
  <si>
    <t>Los datos maestros son aquellos datos que son constitutivos o centrales de la organización; son generalmente utilizados en múltiples aplicaciones o plataformas de datos. Son afectados por algunas operaciones (transacciones), es decir son modificados. Se identifican subjetivamente (se declaran). Algunos ejemplos de datos maestros son: funcionarias/os, ciudadanas/os, sujetos regulados (empresas o instituciones), etc. 
La importancia de gestionar los datos maestros radica en tener una sola “visión de la verdad” respecto de datos que son fundamentales, por ejemplo, los datos de contacto de un ciudadano o de un sujeto regulado. Cuando los datos maestros no están gestionados se producen problemas y errores porque no se sabe qué dato es el actualizado y/o distintas áreas utilizarán distintos datos. Cuando hay múltiples valores de los datos maestros, se requiere “conciliarlos”, esto es definir reglas de negocio que permitan obtener los valores “correctos” (lo que en algunos casos puede ser complejo de determinar) o más representativos.
Los datos de referencia (o referenciales) son datos internos o externos que se usan fundamentalmente para clasificar o relacionar otros datos. Generalmente son de la forma código y descripción. Son identificables objetivamente y se modifican esporádicamente. En general interesan aquellos datos de referencia que son de uso transversal o entre instituciones. Algunos ejemplos son: regiones, comunas, códigos de actividad económica, etc. Cuando los datos referenciales no están gestionados hay problemas para cruzar y/o consolidar los datos, esto impacta especialmente el análisis de datos. Cuando hay múltiples valores de los datos referenciales (en distintos sistemas), se requiere “estandarizarlos” para que se use una misma codificación en toda la institución o entre instituciones.
Los datos maestros y referenciales se pueden gestionar centralizadamente o mediante réplicas que aseguren la consistencia mediante sincronización (copia automatizada), para ello existen herramientas llamadas de Master Data Management (MDM).
La gestión de los datos maestros y de referencia requerirá, por tanto:
●	Definir políticas, estándares de diseño, técnicas y herramientas de gestión de los datos maestros y de referencia.
●	Identificar y gestionar los datos maestros y de referencia, tanto internos como externos, que sean de uso transversal.
●	Implementar técnicas y herramientas para gestionar los datos maestros y referenciales
●	Auditar y revisar el uso consistente de los datos maestros y la aplicación de políticas y estándares, generar medidas correctivas.
●	Implementar medidas correctivas, retroalimentar las políticas y estándares, evaluar nuevas técnicas y herramientas para la mejora continua.</t>
  </si>
  <si>
    <t>8.1.</t>
  </si>
  <si>
    <t>Datos referenciales</t>
  </si>
  <si>
    <t>¿Existen estandarización de códigos de la información que se comparte entre áreas y/o con externos?</t>
  </si>
  <si>
    <t>Sí, los códigos básicos para datos que se comparten entre áreas y/o con externos.</t>
  </si>
  <si>
    <t>Datos Maestros y de ReferenciaDatos referencialesBásico</t>
  </si>
  <si>
    <t>Estandarizar códigos básicos para datos que se comparte entre áreas y/o con externos.</t>
  </si>
  <si>
    <t>Sí, todos los códigos para los datos más relevantes que se comparten entre áreas y/o con externos.</t>
  </si>
  <si>
    <t>Datos Maestros y de ReferenciaDatos referencialesMedio</t>
  </si>
  <si>
    <t>Estandarizar códigos para los datos más relevantes que se comparte entre áreas y/o con externos.</t>
  </si>
  <si>
    <t>Sí, los códigos para todos los datos relevantes que se comparten entre áreas y/o con externos.</t>
  </si>
  <si>
    <t>Datos Maestros y de ReferenciaDatos referencialesAvanzado</t>
  </si>
  <si>
    <t>Estandarizar códigos para todos los datos relevante que se comparte entre áreas y/o con externos.</t>
  </si>
  <si>
    <t>8.2.</t>
  </si>
  <si>
    <t>Datos maestros</t>
  </si>
  <si>
    <t>¿Existe una identificación de los datos maestros y estos se consolidan y gestionan centralmente?</t>
  </si>
  <si>
    <t>Sí, pero no están consolidados ni gestionados centralmente.</t>
  </si>
  <si>
    <t>Datos Maestros y de ReferenciaDatos maestrosBásico</t>
  </si>
  <si>
    <t>Identificar los datos maestros (sin consolidarlos ni gestionados centralmente)</t>
  </si>
  <si>
    <t>Sí, algunos datos maestros, los más relevantes o prioritarios, están consolidados y gestionados, aunque no centralmente.</t>
  </si>
  <si>
    <t>Datos Maestros y de ReferenciaDatos maestrosMedio</t>
  </si>
  <si>
    <t>Consolidar y gestionar, aunque no sea centralmente, algunos datos maestros, los más relevantes o prioritarios.</t>
  </si>
  <si>
    <t>Sí, los datos maestros relevantes están consolidados y gestionados centralmente.</t>
  </si>
  <si>
    <t>Datos Maestros y de ReferenciaDatos maestrosAvanzado</t>
  </si>
  <si>
    <t>Consolidar y gestionar los datos maestros relevantes.</t>
  </si>
  <si>
    <t>8.3.</t>
  </si>
  <si>
    <t>¿Se cuenta con desarrollos ad-hoc o herramientas de Master Data Management (MDM) que apoyan la gestión de los datos maestros y referenciales?</t>
  </si>
  <si>
    <t>Sí, se cuenta con desarrollos ad-hoc</t>
  </si>
  <si>
    <t>Datos Maestros y de ReferenciaHerramientasBásico</t>
  </si>
  <si>
    <t>Generar desarrollos ad-hoc para apoyar la gestión de los datos maestros y referenciales.</t>
  </si>
  <si>
    <t>Sí, se está en proceso de implementación de herramientas MDM</t>
  </si>
  <si>
    <t>Datos Maestros y de ReferenciaHerramientasMedio</t>
  </si>
  <si>
    <t>Incorporar herramientas de Master Data Management (MDM).</t>
  </si>
  <si>
    <t>Sí, se cuenta con herramientas de MDM completamente implementadas</t>
  </si>
  <si>
    <t>Datos Maestros y de ReferenciaHerramientasAvanzado</t>
  </si>
  <si>
    <t>Implementar herramientas de Master Data Management (MDM) para la gestión de datos maestros y referenciales de manera centralizada.</t>
  </si>
  <si>
    <t>Analítica e Inteligencia de Negocios</t>
  </si>
  <si>
    <t>Esta dimensión se focaliza en el uso de los datos para generar valor público. 
En principio la Inteligencia de Negocios (Ingl. Business intelligence, BI) apunta al análisis de los datos obtenidos mientras que la Analítica de Negocios (Ingl. Business analytics, BA) apunta a la predicción a partir de los datos obtenidos.  Esto puede verse como una evolución del nivel de uso de los datos: análisis descriptivo (“¿qué ocurrió?”), análisis diagnóstico (“¿por qué ocurrió?”), análisis predictivo (“¿qué ocurrirá?”) y análisis prescriptivo (“¿cómo podemos hacer que ocurra?”)
Comprenden la recolección de datos, su cruce y consolidación, así como la limpieza y procesamiento para un correcto uso.  La Analítica y la Inteligencia de Negocios puede usarse para problemas en distintos niveles de la institución:
•	Nivel Operativo: orientada a las decisiones operativas o habituales, considera datos detallados de un proceso, subproceso o incluso actividad.
•	Nivel Táctico: considera datos más agrupados a nivel de uno o más procesos; predomina el análisis predictivo y eventualmente el prospectivo.
•	Nivel Estratégico: considera datos globales o de macroprocesos a nivel institucional o incluso con datos externos. Acá predomina el análisis predictivo y prospectivo.
Una componente muy relevante de la Analítica e Inteligencia de Negocios es la visualización, que incluye las herramientas y técnicas utilizadas para mostrar los resultados del procesamiento de los datos. El objetivo de la visualización es facilitar la comprensión y asimilación de la información, suministrando herramientas que apoyen el análisis de los datos.
Una de las formas de visualización más comunes es la de Panel de Control o Dashboard, que muestra indicadores (KPI), métricas y datos. Generalmente tienen cierto grado de interactividad: filtro, reordenamiento, ir a detalle (drill) a diferencia de un reporte que es estático. Este tipo de visualización puede servir para hacer un seguimiento del estado de una institución, un departamento, o un proceso o tema específico.
Para dar soporte a los datos y a las capacidades de visualización, existen arquitecturas o plataformas especializadas tales como:
•	Data warehouse/Data mart: primeras arquitecturas para BI tienen problemas en el soporte para ingeniería de datos avanzada, ciencia de datos y aprendizaje automático.
•	Data lake: arquitecturas basadas en la nube y orientadas a BigData. Normalmente luchan con la calidad de los datos, el soporte transaccional, la gobernanza de las soluciones y los problemas de rendimiento de sus consultas.
•	Data lakehouse: arquitectura que intenta integrar y unificar un data warehouse y un data lake.
Muchas veces conviven múltiples arquitecturas cuando se está en procesos de convergencia o en etapas de transición hacia el uso de las arquitecturas más modernas.
Un tema a cuidar es lo que se llama el “pantano de los datos”, esto es cuando se cargan a estas plataformas muchos datos pero que no siempre relevantes, o se cargan sin procedimientos de actualización o sin haber limpiado o controlado su calidad o bien sin documentación y sin gobierno. Esto hace muchas veces que los datos no sean utilizables y lleva al fracaso de este tipo de iniciativas.</t>
  </si>
  <si>
    <t>9.1.</t>
  </si>
  <si>
    <t>Toma de decisiones basada en información</t>
  </si>
  <si>
    <t>¿Existe la definición institucional y la práctica de hacer análisis de datos para la gestión y toma de decisiones?</t>
  </si>
  <si>
    <t>Sí, existe la definición institucional y se está trabajando en incorporar la práctica</t>
  </si>
  <si>
    <t>Analítica e Inteligencia de NegociosToma de decisiones basada en informaciónBásico</t>
  </si>
  <si>
    <t>Definir institucionalmente e incorporar la práctica de hacer análisis de datos para la gestión y toma de decisiones (institución data-driven).</t>
  </si>
  <si>
    <t>Sí, existe la definición institucional y la práctica a nivel de algunas unidades</t>
  </si>
  <si>
    <t>Analítica e Inteligencia de NegociosToma de decisiones basada en informaciónMedio</t>
  </si>
  <si>
    <t>Incorporar la práctica, a nivel de algunas unidades, de hacer análisis de datos para la gestión y toma de decisiones</t>
  </si>
  <si>
    <t>Sí, existe la definición y la práctica a nivel institucional</t>
  </si>
  <si>
    <t>Analítica e Inteligencia de NegociosToma de decisiones basada en informaciónAvanzado</t>
  </si>
  <si>
    <t>Incorporar la práctica a nivel institucional de hacer análisis de datos para la gestión y toma de decisiones</t>
  </si>
  <si>
    <t>9.2.</t>
  </si>
  <si>
    <t>Información de gestión</t>
  </si>
  <si>
    <t>¿Existen repositorios de gestión de tipo data mart / data warehouse o data lake para la gestión institucional?</t>
  </si>
  <si>
    <t>Sí y abordan algunos ámbitos de la gestión institucional</t>
  </si>
  <si>
    <t>Analítica e Inteligencia de NegociosInformación de gestiónBásico</t>
  </si>
  <si>
    <t>Implementar repositorios de gestión de tipo data mart / data warehouse o data lake que abordan algunos ámbitos de gestión institucional.</t>
  </si>
  <si>
    <t>Sí y abordan los principales ámbitos de la gestión institucional</t>
  </si>
  <si>
    <t>Analítica e Inteligencia de NegociosInformación de gestiónMedio</t>
  </si>
  <si>
    <t>Implementar repositorios de gestión de tipo data mart / data warehouse o data lake que abordan los principales ámbitos de gestión institucional.</t>
  </si>
  <si>
    <t>Sí y abordan los principales ámbitos de gestión institucional y se incorporan nuevos proyectos en la medida de las necesidades.</t>
  </si>
  <si>
    <t>Analítica e Inteligencia de NegociosInformación de gestiónAvanzado</t>
  </si>
  <si>
    <t>Implementar repositorios de gestión de tipo data mart /data warehouse o data lake que abordan los principales ámbitos de gestión institucional y se incorporan nuevos proyectos en la medida de las necesidades.</t>
  </si>
  <si>
    <t>9.3.</t>
  </si>
  <si>
    <t>¿Existen herramientas de tipo inteligencia de negocios y otras para hacer analítica o ciencia de datos, incluyendo IA?</t>
  </si>
  <si>
    <t>Sí, de inteligencia de negocios para visualización de información (paneles de control)</t>
  </si>
  <si>
    <t>Analítica e Inteligencia de NegociosHerramientasBásico</t>
  </si>
  <si>
    <t>Incorporar herramientas de tipo inteligencia de negocios que se utilizan para visualización de información (paneles de control)</t>
  </si>
  <si>
    <t>Sí, de inteligencia de negocios y analítica o ciencia de datos, incluyendo IA</t>
  </si>
  <si>
    <t>Analítica e Inteligencia de NegociosHerramientasMedio</t>
  </si>
  <si>
    <t>Incorporar institucionalmente herramientas de tipo inteligencia de negocios para visualización de información (paneles de control) y otras para hacer analítica o ciencia de datos, incluyendo IA.</t>
  </si>
  <si>
    <t>Sí, de inteligencia de negocios y analítica o ciencia de datos, incluyendo IA utilizadas institucionalmente</t>
  </si>
  <si>
    <t>Analítica e Inteligencia de NegociosHerramientasAvanzado</t>
  </si>
  <si>
    <t>Implementar institucionalmente herramientas de tipo inteligencia de negocios para visualización de información (paneles de control) y otras para hacer analítica o ciencia de datos, incluyendo IA.</t>
  </si>
  <si>
    <t>Calidad de Datos</t>
  </si>
  <si>
    <t>Esta dimensión se ocupa de los requerimientos para la gestión de la calidad de datos.
Se entiende por calidad de datos el grado de conformidad de los valores de un dato o conjunto de datos respecto de los requerimientos y criterios de aceptación para su correcto y adecuado uso por parte de la institución o público destinatario. Para poder determinar ese grado de conformidad es necesario entonces definir los requerimientos y criterios de aceptación. Estas definiciones pueden ser variables en el tiempo y dentro de la institución (no todos requieren la misma calidad). 
La calidad se debe aplicar tanto a los datos mismos como a los modelos, documentación y metadatos.
Para controlar de manera sistemática la calidad es necesario:
●	Evaluar la calidad (assessment), es decir evaluar el grado de conformidad con respecto a los requerimientos.
●	Controlar los procesos que generan la información a lo largo del ciclo de vida, lo que no siempre es posible, por ejemplo, en el caso de datos externos.
●	Mejorar los procesos que generan información para asegurar el cumplimiento de la calidad requerida.
El costo de la mala calidad de datos puede medirse a veces (impacto de los errores), aunque muchas veces es inconmensurable o intangible (ej.: daño reputacional). Un punto de partida es realizar un análisis del impacto de tomar decisiones o informar datos erróneos.
Para mejorar la calidad de datos se opta muchas veces por hacer “limpieza de datos” (data cleansing), esta consiste en remover, corregir o “normalizar” (homogenizar) datos (ej.: dejar los textos en mayúsculas, dejar las fechas en un solo formato DD/MM/YYYY). Es importante preservar los datos originales y conocer el origen de los datos para saber si han sido modificados y de qué forma.
Algunos atributos de calidad a considerar:
●	Conformidad: Los valores de los datos son consistentes con la definición del dato (ej.: tipo de dato)
●	Completitud: los datos contienen toda la información requerida, puede ser a nivel de registro (ej.: no hay fechas faltantes) o dato (ej.: no hay valores nulos)
●	Validez:	Los valores de los datos se ajustan a las especificaciones (ej.: valores posibles, reglas de negocio)
●	Precisión: los valores de los datos son correctos (ej.: no hay datos fuera de rango)
●	No duplicación: no hay registros duplicados
Los OAE deben mantener un proceso para la gestión de calidad de datos, incluyendo una definición formal de roles y actividades. Las actividades incluyen, entre otras, la caracterización del escenario sobre el cual se va a aplicar el marco de trabajo, examinar los datos objetivo, definir un modelo de calidad de datos y monitorear sus resultados.
Existen variados marcos de referencia de calidad de datos que pueden ser consultados y utilizados por los OAE, tales como:
●	ISO 8000215 que aborda la gestión de la calidad de datos y los datos maestros.
●	ISO/IEC 25012216 orientado a calidad de datos en desarrollo de software.
●	Marco de trabajo para la Gestión de la Calidad de Datos en Gobierno Digital desarrollado por la Agencia de Gobierno Electrónico y Sociedad de la Información y del Conocimiento (AGESIC) de Uruguay</t>
  </si>
  <si>
    <t>10.1.</t>
  </si>
  <si>
    <t>Definición</t>
  </si>
  <si>
    <t>¿Existe una definición de calidad de datos que permita evaluar y auditar la calidad de datos a nivel institucional?</t>
  </si>
  <si>
    <t>Se está trabajando en generarla</t>
  </si>
  <si>
    <t>Calidad de DatosDefiniciónBásico</t>
  </si>
  <si>
    <t>Generar una definición y estándares de calidad de datos.</t>
  </si>
  <si>
    <t>Sí, existe una definición que se está en proceso de aplicar</t>
  </si>
  <si>
    <t>Calidad de DatosDefiniciónMedio</t>
  </si>
  <si>
    <t>Implementar la definición y estándares de calidad de datos.</t>
  </si>
  <si>
    <t>Sí, existe una definición de calidad de datos que se evalúa y controla en los procesos definidos</t>
  </si>
  <si>
    <t>Calidad de DatosDefiniciónAvanzado</t>
  </si>
  <si>
    <t>Implementar la definición y estándares de calidad de datos y mecanismos de evaluación y control en los procesos definidos.</t>
  </si>
  <si>
    <t>10.2.</t>
  </si>
  <si>
    <t>Metodología y Herramientas</t>
  </si>
  <si>
    <t>¿Se utilizan metodologías (o estándares) y herramientas para la gestión de calidad?</t>
  </si>
  <si>
    <t>Se han identificado y evaluado</t>
  </si>
  <si>
    <t>Calidad de DatosMetodología y HerramientasBásico</t>
  </si>
  <si>
    <t>Identificar y evaluar metodologías (o estándares) y herramientas para la gestión de calidad.</t>
  </si>
  <si>
    <t>Sí, se está en el proceso de incorporar metodologías (o estándares) y herramientas.</t>
  </si>
  <si>
    <t>Calidad de DatosMetodología y HerramientasMedio</t>
  </si>
  <si>
    <t>Incorporar metodologías (o estándares) y herramientas para la gestión de calidad.</t>
  </si>
  <si>
    <t>Sí, y se aplican de manera regular en todos los procesos relevantes</t>
  </si>
  <si>
    <t>Calidad de DatosMetodología y HerramientasAvanzado</t>
  </si>
  <si>
    <t>Aplicar metodologías (o estándares) y herramientas para la gestión de calidad de manera regular en todos los procesos relevantes.</t>
  </si>
  <si>
    <t>Datos Abiertos</t>
  </si>
  <si>
    <t>La Carta de Datos Abiertos (Open Data Charter - ODC, 2015) los define como aquellos datos digitales “que son puestos a disposición con las características técnicas y jurídicas necesarias para que puedan ser usados, reutilizados y redistribuidos libremente por cualquier persona, en cualquier momento y en cualquier lugar”. Los principios del ODC recomiendan que los datos deben ser:
●	Abiertos por defecto: se debe justificar los datos que se mantienen cerrados.
●	Oportunos y exhaustivos: publicación de forma rápida y completa.
●	Accesibles y utilizables: que los datos sean legibles por máquinas y fáciles de encontrar.
●	Comparables e Interoperables: que los datos sean estandarizados dentro de la organización (para comparar en el tiempo) y con otras instituciones (para cruzarlos).
●	Para mejorar la Gobernanza y la Participación Ciudadana: la apertura de datos puede mejorar los servicios públicos y ayudar a que los gobiernos rindan cuentas.
●	Para el desarrollo económico e inclusivo: para que gobierno y privados puedan mejorar el desempeño del gobierno y generar valor público.
Los OAE deben adherir a estos principios y mantener políticas en donde establezcan cómo se implementarán acciones concretas para la gestión de datos abiertos.
Un tema relevante a la hora de publicar datos es la normativa respecto de Protección de Datos Personales – PDP (ver dimensión Seguridad), en particular aplica la «Guía para el resguardo de los datos personales en el desarrollo e implementación de plataformas de datos abiertos por parte de los órganos de la administración del Estado» del Consejo para la Transparencia (2020).</t>
  </si>
  <si>
    <t>11.1.</t>
  </si>
  <si>
    <t>¿Existe una estrategia de datos abiertos?</t>
  </si>
  <si>
    <t>Datos AbiertosDefinicionesAvanzado</t>
  </si>
  <si>
    <t>Definir una estrategia institucional de datos abiertos</t>
  </si>
  <si>
    <t>¿Se ha incorporado institucionalmente la definición de datos abiertos por defecto y los principios de datos abiertos (Open Data Charter)?</t>
  </si>
  <si>
    <t>Datos AbiertosDefinicionesBásico</t>
  </si>
  <si>
    <t>Sí, existe la definición institucional y se está trabajando activamente en iniciativas específicas.</t>
  </si>
  <si>
    <t>Datos AbiertosDefinicionesMedio</t>
  </si>
  <si>
    <t>Sí, existe la definición institucional y existen avances concretos.</t>
  </si>
  <si>
    <t>Sí, existe la definición institucional y se cumplen a cabalidad (salvo los casos justificados) los principios de datos abiertos.</t>
  </si>
  <si>
    <t>11.2.</t>
  </si>
  <si>
    <t>Publicación</t>
  </si>
  <si>
    <t>¿Se publican datos abiertos de manera regular?</t>
  </si>
  <si>
    <t>SÍ, datos básicos</t>
  </si>
  <si>
    <t>Datos AbiertosPublicaciónBásico</t>
  </si>
  <si>
    <t>Publicar datos abiertos básicos de manera regular.</t>
  </si>
  <si>
    <t>Sí, datos procesados o consolidados</t>
  </si>
  <si>
    <t>Datos AbiertosPublicaciónMedio</t>
  </si>
  <si>
    <t>Publicar datos abiertos de manera regular y realizar seguimiento y evaluación de su uso.</t>
  </si>
  <si>
    <t>Sí, datos evaluados como de alto valor</t>
  </si>
  <si>
    <t>Datos AbiertosPublicaciónAvanzado</t>
  </si>
  <si>
    <t>Publicar datos abiertos de manera regular, realizar seguimiento y evaluación de su uso y evaluar los requerimientos de 3ros para ampliar su cobertura.</t>
  </si>
  <si>
    <t>Si se publican datos abiertos ¿en qué lugar se publican?</t>
  </si>
  <si>
    <t>No se publica</t>
  </si>
  <si>
    <t>Portal propio</t>
  </si>
  <si>
    <t>Datos AbiertosMecanismos de acceso, formato, documentación y condiciones de usoBásico</t>
  </si>
  <si>
    <t>Publicar datos abiertos descargables, no siempre documentados y en algunos casos en formatos de imagen (documentos).</t>
  </si>
  <si>
    <t>Portal nacional</t>
  </si>
  <si>
    <t>Datos AbiertosMecanismos de acceso, formato, documentación y condiciones de usoMedio</t>
  </si>
  <si>
    <t>Publicar datos abiertos descargables, documentados y con formatos siempre legibles (no imágenes)</t>
  </si>
  <si>
    <t>Portal propio y portal nacional</t>
  </si>
  <si>
    <t>Datos AbiertosMecanismos de acceso, formato, documentación y condiciones de usoAvanzado</t>
  </si>
  <si>
    <t>Publicar datos abiertos descargables y accesibles mediante APIs, documentados, con formatos siempre legibles (no imágenes) y con condiciones de uso definidas (licencia).</t>
  </si>
  <si>
    <t>¿Existen las condiciones (recursos) e incentivos para la publicación de datos abiertos?</t>
  </si>
  <si>
    <t>No o no son suficientes</t>
  </si>
  <si>
    <t>No, pero se están definiendo</t>
  </si>
  <si>
    <t>Sí, aunque están en proceso de implementación o redefinición</t>
  </si>
  <si>
    <t>Sí y son efectivos</t>
  </si>
  <si>
    <t>¿Se incentiva la publicación de datasets de alta contribución según lo que estipula la normativa de datos abiertos y estrategia nacional de datos abiertos?</t>
  </si>
  <si>
    <t>No, pero se está desarrollado un plan de cumplimiento</t>
  </si>
  <si>
    <t>Sí, se está implementando el plan de cumplimiento</t>
  </si>
  <si>
    <t>Sí, se cumple a cabalidad la normativa</t>
  </si>
  <si>
    <t>11.3.</t>
  </si>
  <si>
    <t>Mecanismos de acceso, formato, documentación y condiciones de uso</t>
  </si>
  <si>
    <t>¿Con qué mecanismos de acceso, formato, documentación y condiciones de uso se publican los datos abiertos?</t>
  </si>
  <si>
    <t>No Aplica (no se publican datos abiertos)</t>
  </si>
  <si>
    <t>Descargables no siempre documentados y en algunos casos en formatos de imagen (documentos)</t>
  </si>
  <si>
    <t>Descargables, documentados y con formatos siempre legibles (no imágenes)</t>
  </si>
  <si>
    <t>Descargables y accesibles mediante APIs, documentados, con formatos siempre legibles (no imágenes) y con condiciones de uso definida (licencia)</t>
  </si>
  <si>
    <t>Aspectos Legales y Normativos</t>
  </si>
  <si>
    <t xml:space="preserve">La Gobernanza de Datos se relaciona con el principio de responsabilidad que rige toda la administración pública. Una entidad es responsable cuando es capaz de demostrar que, en el ejercicio de sus funciones, cumple oportuna e íntegramente la normativa que los rige. Así, contar con un modelo de Gobernanza de Datos es un factor habilitante porque permite actuar en medios digitales con eficacia y eficiencia, a través de la toma de decisiones con información fiable y de calidad.
La persona o área responsable de atender los aspectos jurídicos de una institución, debe participar al menos en la definición y validación de políticas y procedimientos de Gobernanza de Datos.
Las instituciones deben suscribir los lineamientos y estándares que emita la Secretaría de Gobierno Digital, en su calidad de ente rector en el uso estratégico de tecnologías digitales, datos e información pública para mejorar la gestión de los órganos de la Administración del Estado y la entrega de servicios (Ley N° 21.658 de 2024).
Las instituciones deben mantener planes de cumplimiento legal y normativo, que indiquen qué norma se debe cumplir, con qué frecuencia o ante la ocurrencia de qué evento, el órgano auditor o fiscalizador encargado de verificar el cumplimiento y cuáles son las condiciones en que se puede dar por cumplidauna obligación, por ejemplo en relación con los datos que verifiquen la ejecución de un procedimiento administrativo u otras tramitaciones.
Las instituciones deben priorizar las acciones que aseguren el cumplimiento de las leyes y normativas sobre protección de datos personales.
</t>
  </si>
  <si>
    <t>12.1.</t>
  </si>
  <si>
    <t>Participación del área jurídica</t>
  </si>
  <si>
    <t>¿Existe participación del área jurídica en la definición y validación de políticas y procedimientos de gobierno de datos para asegurar cumplimiento de las leyes y normativas?</t>
  </si>
  <si>
    <t>Sólo es informada</t>
  </si>
  <si>
    <t>Aspectos Legales y NormativosParticipación del área jurídicaBásico</t>
  </si>
  <si>
    <t>Informar al área jurídica de políticas y procedimientos de gobierno de datos.</t>
  </si>
  <si>
    <t>Es informada y valida</t>
  </si>
  <si>
    <t>Aspectos Legales y NormativosParticipación del área jurídicaMedio</t>
  </si>
  <si>
    <t>Informar y solicitar validación del área jurídica de políticas y procedimientos de gobierno de datos para asegurar el cumplimiento de las leyes y normativas.</t>
  </si>
  <si>
    <t>Participa en la definición y validación</t>
  </si>
  <si>
    <t>Aspectos Legales y NormativosParticipación del área jurídicaAvanzado</t>
  </si>
  <si>
    <t>Incorporar al área jurídica para que participe en la definición y validación de políticas y procedimientos de gobernanza de datos para asegurar el cumplimiento de las leyes y normativas.</t>
  </si>
  <si>
    <t>12.2.</t>
  </si>
  <si>
    <t>Cumplimiento aspectos legales y normativos</t>
  </si>
  <si>
    <t>¿Se cumple con las regulaciones y estándares relevantes en cuanto a la gestión y protección de datos personales (PDP) y existen procedimientos para garantizar el cumplimiento frente a cambios legislativos o normativos?</t>
  </si>
  <si>
    <t>SÍ, se ha realizado revisión y definido plan de cumplimiento</t>
  </si>
  <si>
    <t>Aspectos Legales y NormativosCumplimiento aspectos legales y normativosBásico</t>
  </si>
  <si>
    <t>Realizar una revisión jurídica de las regulaciones y estándares relevantes en cuanto a la gestión y protección de datos personales, para detectar los potenciales incumplimientos y definir acciones a realizar.</t>
  </si>
  <si>
    <t>Sí, se ha realizado revisión y se está aplicando plan de cumplimiento</t>
  </si>
  <si>
    <t>Aspectos Legales y NormativosCumplimiento aspectos legales y normativosMedio</t>
  </si>
  <si>
    <t>Realizar una revisión jurídica de las regulaciones y estándares relevantes en cuanto a la gestión y protección de datos personales (PDP) y aplicar plan de cumplimiento.</t>
  </si>
  <si>
    <t>Sí, se cumple y se cuenta con procedimientos para garantizar cumplimiento frente a cambios</t>
  </si>
  <si>
    <t>Aspectos Legales y NormativosCumplimiento aspectos legales y normativosAvanzado</t>
  </si>
  <si>
    <t>Cumplir con las regulaciones y estándares relevantes en cuanto a la gestión y protección de datos personales (PDP) e instalar procedimientos para garantizar el cumplimiento frente a cambios legislativos o normativos.</t>
  </si>
  <si>
    <t>Calidad web y servicios digitales</t>
  </si>
  <si>
    <t xml:space="preserve">  Instrumento de evaluación de calidad para sitios web</t>
  </si>
  <si>
    <t>Información representada por texto, imagen, video, sonido u otros tipos de medios. Debe utilizarse un lenguaje comprensible para la ciudadanía, además de cumplir con criterios de relevancia, actualización, precisión, fiabilidad y legibilidad, entre otros.</t>
  </si>
  <si>
    <t>1.1</t>
  </si>
  <si>
    <t>IMPRESCINDIBLES</t>
  </si>
  <si>
    <t>1.1.1</t>
  </si>
  <si>
    <t>Fiabilidad</t>
  </si>
  <si>
    <t>Entrega de información veraz, segura y rigurosa.</t>
  </si>
  <si>
    <t xml:space="preserve">¿Es fácil reconocer la fuente o autoría de la información publicada?
Por ejemplo: se identifica claramente el nombre de la institución que publica en el encabezado o pie de cada página, o la unidad interna o externa que entregó alguna información específica, con frases del tipo "Departamento de Estudios" como firma al final del texto o "Fuente: Instituto Nacional de Estadísticas (INE)".
</t>
  </si>
  <si>
    <t>Seleccionar entre Sí o No.</t>
  </si>
  <si>
    <t>1.1.2</t>
  </si>
  <si>
    <t>Completitud</t>
  </si>
  <si>
    <t>Entrega de información con la cobertura y datos necesarios para divulgar un tema con exhaustividad.</t>
  </si>
  <si>
    <t xml:space="preserve">¿Los contenidos representan de manera fiel lo enunciado en su título?
</t>
  </si>
  <si>
    <t xml:space="preserve">¿Se cumple con la recomendación de no incluir páginas sin contenido, contenido incompleto o "En construcción"?
</t>
  </si>
  <si>
    <t xml:space="preserve">¿El texto destaca los datos clave de la información?
Por ejemplo: se presenta un resumen con las respuestas a las preguntas qué, cómo, dónde, cuándo y para quién o existe un recuadro con fechas importantes.
</t>
  </si>
  <si>
    <t xml:space="preserve">En el caso de textos referidos a trámites, ¿se brinda información suficiente para que las personas usuarias puedan realizarlos autónomamente?
La opción "No aplica" es solo para el caso en que no se encuentren textos referidos a trámites.
</t>
  </si>
  <si>
    <t>1.1.3</t>
  </si>
  <si>
    <t>Lenguaje plano</t>
  </si>
  <si>
    <t>Estilo de redacción simple y centrado en las personas usuarias, alejado de jergas legales y tecnicismos.</t>
  </si>
  <si>
    <t xml:space="preserve">¿El lenguaje utilizado está orientado a que una persona pueda entender el contenido, aun aquellas con mayor dificultad de comprensión lectora?
Por ejemplo: se recomienda revisar con alguna herramienta en línea como Legible (de los cinco indicadores evaluados que se visualizan en la tabla Legibilidad del texto, al menos tres deben indicar dificultad Normal para aprobar este indicador).
</t>
  </si>
  <si>
    <t xml:space="preserve">¿El tono y voz son amables, respetuosos y cercanos con las personas usuarias?
</t>
  </si>
  <si>
    <t xml:space="preserve">¿La redacción prescinde de la jerga técnica o legal?
Por ejemplo: en el texto se evitan conceptos legales, administrativos o informáticos que tengan un equivalente más fácil de entender por parte de las personas usuarias ("resolución" en vez de "acto administrativo" o "memoria temporal" en vez de "caché") o se evitan referencias números de leyes y normativas sin una clara identificación del tema ("Ley de acoso laboral" en vez de "Ley 21643").
</t>
  </si>
  <si>
    <t xml:space="preserve">¿Se evitan abreviaturas, extranjerismos, eufemismos, modismos o términos muy especializados o rebuscados en al menos un 50% de los contenidos revisados?
</t>
  </si>
  <si>
    <t xml:space="preserve">¿Se define cada sigla y acrónimo y se emplean solo si es necesario?
La opción "No aplica" es solo para el caso en que no se encuentren siglas o acrónimos.
</t>
  </si>
  <si>
    <t xml:space="preserve">¿Los contenidos están escritos en tono positivo indicando lo que se puede hacer y evitando enfocar los mensajes desde el "no se puede"?
</t>
  </si>
  <si>
    <t>1.1.4</t>
  </si>
  <si>
    <t>Actualización</t>
  </si>
  <si>
    <t xml:space="preserve">Renovación permanente de los contenidos, con el objeto de garantizar la entrega de información eficaz y oportuna a la ciudadanía.
</t>
  </si>
  <si>
    <t xml:space="preserve">¿Los contenidos están actualizados y muestran información vigente al año en curso?
Por ejemplo: se indica expresamente su fecha de publicación o última fecha de actualización.
</t>
  </si>
  <si>
    <t>1.1.5</t>
  </si>
  <si>
    <t>Redacción y ortografía</t>
  </si>
  <si>
    <t>Correcta escritura de los textos publicados.</t>
  </si>
  <si>
    <t xml:space="preserve">¿Son correctas la ortografía –literal, acentual y puntual– y la gramática en los contenidos?
Por ejemplo: para revisar este aspecto, se puede usar un corrector ortográfico y gramatical para revisar los contenidos de las páginas de muestra. Tanto Microsoft Word como Documentos de Google lo ofrecen; o bien utilizar herramientas en línea como LanguageTool.
(Revisar la muestra de contenidos escogidos, si hay más de un error, entonces no cumple este criterio).
</t>
  </si>
  <si>
    <t xml:space="preserve">¿Los signos de puntuación empleados facilitan la lectura del documento? 
Por ejemplo: se privilegia el uso de puntos seguidos, frente a las frases intercaladas entre comas.
</t>
  </si>
  <si>
    <t xml:space="preserve">¿Las frases se relacionan entre sí por medio de conectores? 
Por ejemplo: "A su vez,", "Por otra parte,", "Sin embargo," o "De igual modo,".
</t>
  </si>
  <si>
    <t>1.1.6</t>
  </si>
  <si>
    <t>Propiedad intelectual</t>
  </si>
  <si>
    <t>Posesión de los derechos de uso de contenidos publicados en un sitio web.</t>
  </si>
  <si>
    <t xml:space="preserve">¿El sitio cuenta con información de permisos de uso de sus contenidos en algún lugar del sitio? 
Por ejemplo: se señala en las condiciones de uso del sitio que ningún contenido se puede utilizar sin autorización (copyright o todos los derechos de autor reservados) o se indica un modelo de licencias flexibles de propiedad intelectual, como Creative Commons, que autorizan la reutilización bajo ciertas condiciones. 
</t>
  </si>
  <si>
    <t xml:space="preserve">¿Se evita la redifusión de material protegido por derechos de autor sin autorización? 
Por ejemplo: para comprobar este factor se puede descargar una imagen del sitio que no consigne sus créditos y subirla al buscador de imágenes de Google, para ver si aparece en otros sitios.
</t>
  </si>
  <si>
    <t>1.1.7</t>
  </si>
  <si>
    <t>Privacidad y datos personales</t>
  </si>
  <si>
    <t>Protección de los datos e información personal de las personas usuarias de un sitio web.</t>
  </si>
  <si>
    <t xml:space="preserve">Si se mencionan listados de personas, ¿se evita la publicación de sus RUN en el sitio web?
La opción "No aplica" es solo para el caso en que no se encuentren listados de personas.
</t>
  </si>
  <si>
    <t xml:space="preserve">¿El sitio protege la privacidad al no publicar direcciones ni teléfonos particulares?
</t>
  </si>
  <si>
    <t xml:space="preserve">¿Existe información sobre cómo las personas usuarias pueden ejercer los derechos sobre acceso, rectificación, cancelación o eliminación, oposición (ARCO) y bloqueo de datos personales, incluidos en la Ley sobre Protección de la Vida Privada? 
Por ejemplo: se menciona el procedimiento en la Política de Privacidad o se enlaza el formulario de solicitud en la sección de Transparencia.
</t>
  </si>
  <si>
    <t>1.1.8</t>
  </si>
  <si>
    <t>Contenidos sensibles</t>
  </si>
  <si>
    <t>Respeto de la intimidad de las personas usuarias de un sitio web a partir de la no publicación de información que pueda menoscabar su honra y perjudicar su imagen personal en Internet.</t>
  </si>
  <si>
    <t xml:space="preserve">Si el sitio publica información sobre menores de edad, ¿se protege la identidad de los mismos en textos y fotografías?
La opción "No aplica" es solo para el caso en que no se encuentre información sobre menores de edad.
</t>
  </si>
  <si>
    <t xml:space="preserve">¿El contenido es apto para ser leído por menores de edad?
</t>
  </si>
  <si>
    <t xml:space="preserve">¿El sitio evita exhibir material que pueda afectar la susceptibilidad de las personas o las menoscaben? 
Por ejemplo: características físicas o morales de las personas o hechos o circunstancias de su vida privada o intimidad, tales como los hábitos personales, el origen racial, las ideologías y opiniones políticas, las creencias o convicciones religiosas, los estados de salud físicos o psíquicos y la vida sexual (como lo señala la Ley 19628 sobre Protección de la Vida Privada).
</t>
  </si>
  <si>
    <t>1.2</t>
  </si>
  <si>
    <t>ESPERABLES</t>
  </si>
  <si>
    <t>1.2.1</t>
  </si>
  <si>
    <t>Claridad</t>
  </si>
  <si>
    <t>Redacción orientada hacia una facilidad de comprensión de los contenidos.</t>
  </si>
  <si>
    <t xml:space="preserve">¿Los contenidos están estructurados como respuestas a las preguntas frecuentes que podrían hacerse las personas usuarias?
</t>
  </si>
  <si>
    <t xml:space="preserve">¿Las palabras, frases y conceptos utilizados tienen un lenguaje claro para las personas usuarias?
</t>
  </si>
  <si>
    <t xml:space="preserve">¿Predomina el tiempo presente simple y la voz activa de los verbos? 
Por ejemplo: "Este documento acredita cómo obtener el beneficio".
</t>
  </si>
  <si>
    <t xml:space="preserve">¿Las oraciones están ordenadas según la forma sujeto-verbo-predicado? 
Por ejemplo: "Las y los interesados deben dirigirse a la oficina comunal" (correcto); "A la oficina comunal deben dirigirse las y los interesados" (incorrecto).
</t>
  </si>
  <si>
    <t xml:space="preserve">Cuando se listan requisitos en contenidos referidos a servicios a la ciudadanía, ¿se usa modo infinitivo? (Modo que engloba las formas no personales del verbo, puede terminar en  –ar, –er o –ir).
Por ejemplo: "Ser mayor de 18 años", "Enviar su solicitud a través de correo electrónico".
La opción "No aplica" es solo para el caso en que no se listen requisitos referidos a servicios a la ciudadanía.
</t>
  </si>
  <si>
    <t>1.2.2</t>
  </si>
  <si>
    <t>Concisión</t>
  </si>
  <si>
    <t>Capacidad de los sitios de presentar sus contenidos de manera breve.</t>
  </si>
  <si>
    <t xml:space="preserve">¿Los textos son breves y utilizan frases cortas en su redacción? 
Por ejemplo: al menos 2 párrafos y como máximo 8 por página. 
</t>
  </si>
  <si>
    <t xml:space="preserve">Al revisar el sitio web en versión de escritorio, ¿los párrafos son cortos, con menos de 8 líneas?
</t>
  </si>
  <si>
    <t xml:space="preserve">¿Se explica una idea por párrafo?
</t>
  </si>
  <si>
    <t xml:space="preserve">¿Las oraciones son simples y directas, evitando el exceso de palabras?
</t>
  </si>
  <si>
    <t xml:space="preserve">Si existe un texto extenso –de cuatro o más párrafos–, ¿hay un resumen al inicio?
La opción "No aplica" es solo para el caso en que no se encuentren textos de cuatro o más párrafos.
</t>
  </si>
  <si>
    <t>1.2.3</t>
  </si>
  <si>
    <t>Legibilidad</t>
  </si>
  <si>
    <t>Facilidad de lectura de los contenidos publicados.</t>
  </si>
  <si>
    <t xml:space="preserve">¿Hay espacio entre los párrafos?
</t>
  </si>
  <si>
    <t xml:space="preserve">¿El texto está alineado a la izquierda?
</t>
  </si>
  <si>
    <t xml:space="preserve">¿Se utilizan listas numeradas, viñetas o tablas para presentar la información más ordenada?
</t>
  </si>
  <si>
    <t>1.2.4</t>
  </si>
  <si>
    <t>Escritura para la web</t>
  </si>
  <si>
    <t>Adaptación de la redacción optimizada para su lectoría en una interfaz digital.</t>
  </si>
  <si>
    <t xml:space="preserve">¿Los contenidos del sitio aplican el modelo de "pirámide invertida" que los estructura desde lo más a lo menos importante?
</t>
  </si>
  <si>
    <t xml:space="preserve">¿Las páginas están bien organizadas, con títulos claros y subtítulos que facilitan la lectura y la búsqueda de información? </t>
  </si>
  <si>
    <t xml:space="preserve">¿Es fácil escanear visualmente los contenidos?
</t>
  </si>
  <si>
    <t xml:space="preserve">¿Se utilizan negritas para destacar palabras claves de cada párrafo?
</t>
  </si>
  <si>
    <t xml:space="preserve">¿Se evitan las frases escritas únicamente en mayúsculas?
</t>
  </si>
  <si>
    <t xml:space="preserve">¿Se vinculan contenidos del mismo sitio a través de enlaces relacionados?
</t>
  </si>
  <si>
    <t xml:space="preserve">Cuando se enlazan documentos, ¿se especifican el título, formato y peso?
Por ejemplo: "Informe sobre ciberseguridad en Chile 2024 (pdf, 345 KB)".
Selecciona "Sí" solo si se cumplen los tres elementos (título, formato y peso) en todos los documentos enlazados.
La opción "No aplica" corresponde únicamente si no hay documentos en el sitio web.
</t>
  </si>
  <si>
    <t xml:space="preserve">¿Se entrega una breve descripción de los documentos enlazados para mejorar su capacidad de búsqueda, usabilidad y accesibilidad?
La opción "No aplica" es solo para el caso en que no se encuentren documentos.
</t>
  </si>
  <si>
    <t>1.3</t>
  </si>
  <si>
    <t>DESEABLES</t>
  </si>
  <si>
    <t>1.3.1</t>
  </si>
  <si>
    <t>Visualización de la información</t>
  </si>
  <si>
    <t xml:space="preserve">Uso de elementos visuales para presentar información o datos.
</t>
  </si>
  <si>
    <t>¿Se utilizan apoyos visuales como íconos, imágenes, gráficos o infografías para presentar datos?
La opción "No aplica" es solo si el sitio web no presenta datos que requieran apoyos visuales.</t>
  </si>
  <si>
    <t>1.3.2</t>
  </si>
  <si>
    <t>Objetividad</t>
  </si>
  <si>
    <t>Imparcialidad y neutralidad de la información publicada.</t>
  </si>
  <si>
    <t xml:space="preserve">¿Los contenidos tienen información objetiva y presentan una redacción neutra, sin reflejar la opinión de quién los escribió?
</t>
  </si>
  <si>
    <t xml:space="preserve">¿En al menos un 80% de los contenidos se privilegia exponer datos y hechos por sobre el uso de adjetivos calificativos?
</t>
  </si>
  <si>
    <t>1.3.3</t>
  </si>
  <si>
    <t>Archivo</t>
  </si>
  <si>
    <t>Conservación del contenido histórico del sitio web cuando se realice un reemplazo del mismo.</t>
  </si>
  <si>
    <t xml:space="preserve">Si el sitio presenta versiones anteriores de contenidos, ¿están rotuladas claramente como contenidos o documentos de archivo no vigentes? Por ejemplo: títulos del tipo "Requisitos de postulación 2015", donde señala claramente el año al que se refiera la información.
La opción "No aplica" es solo para el caso en que no se encuentren versiones anteriores de contenidos.
</t>
  </si>
  <si>
    <t>Medida en que los usuarios pueden utilizar un sistema para lograr determinados objetivos con eficacia, eficiencia y satisfacción en un contexto de uso especificado.</t>
  </si>
  <si>
    <t>2.1</t>
  </si>
  <si>
    <t>2.1.1</t>
  </si>
  <si>
    <t>Coherencia y estandarización</t>
  </si>
  <si>
    <t xml:space="preserve">Apego a las convenciones de los sitios web y servicios digitales, de manera tal que las personas usuarias no tengan que preguntarse si diferentes palabras, situaciones o acciones significan lo mismo en cada plataforma.
</t>
  </si>
  <si>
    <t xml:space="preserve">¿Se respeta la organización del sitio web y se preserva su consistencia en todas las páginas?
Por ejemplo: los enlaces del menú global aparecen en la misma posición en todo el sitio.
</t>
  </si>
  <si>
    <t xml:space="preserve">En el caso de los sitios del gobierno central, ¿Se utilizan los componentes del UI Kit del Gobierno Digital?
La opción "No aplica" es solo para el caso en que el sitio web examinado no pertenezca al gobierno central.
</t>
  </si>
  <si>
    <t xml:space="preserve">¿Los iconos son fácilmente comprensibles sin texto adicional y siguen convenciones o figuras reconocibles por cualquier persona?
Por ejemplo: una casa para volver al inicio, una lupa para el buscador, líneas horizontales del ícono de menú de "hamburguesa" para colapsar o una "X" para cerrar.
La opción "No aplica" se debe seleccionar solo si el sitio no utiliza iconos.
</t>
  </si>
  <si>
    <t>2.1.2</t>
  </si>
  <si>
    <t>Diseño estético y minimalista</t>
  </si>
  <si>
    <t xml:space="preserve">Simplicidad y limpieza de las interfaces, las que no deben contener información que sea irrelevante o que rara vez se necesite. Cada elemento en una interfaz compite con las unidades de información relevantes y disminuye su visibilidad relativa.
</t>
  </si>
  <si>
    <t xml:space="preserve">¿Los llamados a la acción y botones están claramente destacados y se identifican fácilmente por su forma o color?
Por ejemplo: los enlaces y botones se destacan visualmente, haciéndolos fáciles de reconocer a simple vista.
</t>
  </si>
  <si>
    <t>2.1.3</t>
  </si>
  <si>
    <t>Diagnóstico y corrección de errores</t>
  </si>
  <si>
    <t>Asistencia a las personas usuarias ante errores, brindándoles una solución o un acceso directo para que pueda resolver el error de inmediato.
Redacción de los mensajes de error en un lenguaje sencillo (sin códigos de error), indicando con precisión el problema y sugiriendo una solución de manera constructiva.</t>
  </si>
  <si>
    <t xml:space="preserve">¿Los mensajes de alerta ante un error brindan información clara del problema y ofrecen una vía de solución? 
Por ejemplo: ante una página no encontrada, en vez de indicar "error 404" el sitio muestra alternativas de enlaces para que la persona usuaria pueda seguir a un nuevo contenido o volver al anterior. 
Para evaluar una página no encontrada es necesario escribir la URL del sitio y después del "/" final, agregar un texto falso, como: https://sitioejemplo.gob.cl/abcde
</t>
  </si>
  <si>
    <t xml:space="preserve">¿Se puede verificar que los mensajes de error no interfieren con la navegación en la página? 
Por ejemplo: las ventanas emergentes se pueden cerrar fácilmente con el teclado y no generan bloqueo de navegación. Esto se puede hacer con la tecla "Esc".
La opción "No aplica" es solo para el caso en que no se observen mensajes de error.
</t>
  </si>
  <si>
    <t>2.1.4</t>
  </si>
  <si>
    <t>Ventanas modales o emergentes (pop-up)</t>
  </si>
  <si>
    <t xml:space="preserve">Cuidado de no utilizar excesiva o innecesariamente ventanas modales y emergentes (pop-up).
</t>
  </si>
  <si>
    <t xml:space="preserve">¿El sitio permite navegar sin interrupciones de modales o ventanas emergentes que tapen el contenido?
Por ejemplo: no aparecen anuncios, mensajes de marketing o formularios de suscripción que bloqueen la visualización o navegación.
</t>
  </si>
  <si>
    <t xml:space="preserve">Una vez cerrada la ventana emergente (pop-up) o modal, ¿queda guardada esa decisión para que no vuelva a aparecer al volver a ingresar, cargar o cambiar de página?
Por ejemplo: al cerrar una ventana modal esta no vuelve a aparecer durante la navegación del sitio web.
La opción "No aplica" es solo para el caso en que no se observen ventanas emergentes o modales en el sitio web.
</t>
  </si>
  <si>
    <t>2.1.5</t>
  </si>
  <si>
    <t>Mensajes de error</t>
  </si>
  <si>
    <t xml:space="preserve">Interrupción generada por el sistema que le informa a la persona usuaria de una situación incompleta, incompatible o indeseable dentro del flujo de navegación.
</t>
  </si>
  <si>
    <t xml:space="preserve">En caso de aparecer un mensaje de error, ¿se ofrecen soluciones claras y efectivas para que la persona usuaria pueda resolver el problema?
Por ejemplo: las indicaciones del mensaje de error permiten realizar la acción correctamente sin que se repita el error.
La opción "No aplica" es solo para el caso en que no se observen mensajes de error.
</t>
  </si>
  <si>
    <t xml:space="preserve">En caso de aparecer un mensaje de error inesperado de origen técnico, ¿se entrega información clara en vez de mensajes ambiguos como "Intente más tarde" o "Comuníquese con el administrador"?
La opción "No aplica" es solo para el caso en que no se observen mensajes de error.
</t>
  </si>
  <si>
    <t>2.2</t>
  </si>
  <si>
    <t>2.2.1</t>
  </si>
  <si>
    <t>Similitud del sistema con el mundo real</t>
  </si>
  <si>
    <t>Utilización de conceptos, frases y diseños familiares para las personas usuarias. Correspondencia con las convenciones del mundo real, haciendo que la información aparezca en un orden natural y lógico.</t>
  </si>
  <si>
    <t xml:space="preserve">¿El sitio web presenta información en un orden lógico y con zonas bien delimitadas? 
Por ejemplo: se diferencian las zonas de encabezado, menú principal, contenido y pie de página.
</t>
  </si>
  <si>
    <t>2.2.2</t>
  </si>
  <si>
    <t>Control y libertad para la persona usuaria</t>
  </si>
  <si>
    <t>Alternativa claramente marcada para abandonar una acción no deseada o detener un proceso prolongado.</t>
  </si>
  <si>
    <t xml:space="preserve">¿Las páginas permiten avanzar o retroceder sin quedar atrapadas, ofreciendo opciones claras para continuar o finalizar?
Por ejemplo: al completar un trámite, la página muestra una confirmación en lugar de quedar en blanco, y los formularios se envían sin que el sistema quede "guardando" indefinidamente.
</t>
  </si>
  <si>
    <t xml:space="preserve">Si al ingresar al sitio web por primera vez aparece un mensaje que ocupe toda la pantalla (del tipo ventana modal, emergente o pop-up), ¿este tiene una opción de cerrarse fácilmente identificable? 
Por ejemplo: un enlace que diga "Cerrar" o un botón con el icono de "X".
La opción "No aplica" es solo para el caso en que no se observan ventanas del tipo modal, emergente o pop-up.
</t>
  </si>
  <si>
    <t xml:space="preserve">¿Los videos cuentan con todos sus botones de reproducción?
La opción "No aplica" es solo para el caso en que no existan videos en el sitio web.
</t>
  </si>
  <si>
    <t>2.3</t>
  </si>
  <si>
    <t>2.3.1</t>
  </si>
  <si>
    <t>Reducción del esfuerzo cognitivo</t>
  </si>
  <si>
    <t xml:space="preserve">Disminución de la carga de memoria a corto plazo para la persona usuaria, haciendo fácilmente reconocibles los elementos, acciones y opciones. El sistema debería ayudar a los usuarios a reconocer los elementos de la interfaz sin la necesidad de analizarlos cada vez en detalle, gastando más energía y tiempo.
</t>
  </si>
  <si>
    <t xml:space="preserve">¿Es visible el icono personalizado del sitio (favicon) en la pestaña del navegador? 
Por ejemplo: aparece un cuadrado azul y rojo en los sitios del Gobierno de Chile.
</t>
  </si>
  <si>
    <t xml:space="preserve">¿Se ofrece ayuda en contexto, en lugar de presentar a las personas usuarias un largo tutorial para memorizar? 
Por ejemplo: aparece una línea punteada bajo los acrónimos para acceder a su definición o un icono de interrogación ("?") al lado de una instrucción para acceder a una ayuda específica.
La opción "No aplica" es solo para el caso en el que, por la naturaleza de los contenidos ofrecidos, no existan opciones de ayuda.
</t>
  </si>
  <si>
    <t>2.3.2</t>
  </si>
  <si>
    <t>Flexibilidad y eficiencia de uso</t>
  </si>
  <si>
    <t>Oferta de distintas maneras para acceder al contenido y opción de aceleradores y acciones personalizadas tanto para personas usuarias avanzadas como menos experimentadas.</t>
  </si>
  <si>
    <t xml:space="preserve">¿Las personas usuarias cuentan con opciones para ordenar y filtrar resultados y tablas de datos? 
Por ejemplo: búsqueda avanzada con filtro alfabético o por fecha.
La opción "No aplica" es solo para el caso en que no se encuentren resultados o tablas de datos.
</t>
  </si>
  <si>
    <t>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t>
  </si>
  <si>
    <t>3.1.1</t>
  </si>
  <si>
    <t>Texto alternativo</t>
  </si>
  <si>
    <t xml:space="preserve">Presentación de una alternativa textual a todo el contenido no textual (imágenes, botones, iconos), por ejemplo, mediante las etiquetas "alt", "title" o "description" del código HTML.
</t>
  </si>
  <si>
    <t xml:space="preserve">¿Los elementos visuales presentan una alternativa textual, es decir el uso de atributos HTML como "alt" para las imágenes o "description" y "title" en botones o enlaces? 
Esto se puede revisar abriendo al código fuente con los comandos "Ctrl" + "U" o "Cmd" + "U" y buscando las etiquetas "alt", "description" o "title", si se encuentran y tienen contenido este punto se cumple.
En el punto I de la guía, puede consultar cómo ver el código fuente de la página.
</t>
  </si>
  <si>
    <t xml:space="preserve">¿Los textos alternativos describen de manera suficientemente detallada la información visual de las imágenes? 
Por ejemplo: "El alcalde observa un plano de arquitectura desplegado sobre una mesa".
</t>
  </si>
  <si>
    <t>3.1.2</t>
  </si>
  <si>
    <t>Subtítulos</t>
  </si>
  <si>
    <t xml:space="preserve">Alternativa textual para los diálogos presentes en los videos, en el caso de no poder escucharlos.
</t>
  </si>
  <si>
    <t xml:space="preserve">¿Los videos cuentan con subtítulos en español y garantizan una correcta legibilidad, con una tipografía sin serifa (sans-serif) y alto contraste entre fondo y texto? 
La opción "No aplica" es solo para el caso en que no existan videos en el sitio web.
</t>
  </si>
  <si>
    <t>3.1.3</t>
  </si>
  <si>
    <t>Navegación por teclado</t>
  </si>
  <si>
    <t>Orden lógico y fluido al navegar el sitio web con el teclado en que se respeta el sentido de izquierda a derecha, de arriba hacia abajo, y sin una determinada velocidad de pulsación.</t>
  </si>
  <si>
    <t xml:space="preserve">¿Al navegar el sitio web con el teclado con la tecla "Tab" se respeta el orden de izquierda a derecha, de arriba hacia abajo?
En el punto VI de la guía, puede consultar cómo navegar el sitio web con el teclado.
</t>
  </si>
  <si>
    <t xml:space="preserve">¿Es posible una navegación mediante el teclado fluida y sin saltarse ninguna información?
</t>
  </si>
  <si>
    <t xml:space="preserve">¿Es posible navegar el sitio web con el teclado sin una determinada velocidad de pulsación? 
Por ejemplo: si se navega el sitio con la tecla "Tab" y la persona usuaria se detiene por más de 10 segundos para luego retomar la navegación, no debe empezar toda la navegación desde el inicio, sino que se mantiene donde había quedado.
</t>
  </si>
  <si>
    <t>3.1.4</t>
  </si>
  <si>
    <t>Ajuste del tamaño de la fuente</t>
  </si>
  <si>
    <t xml:space="preserve">Posibilidad de agrandar el texto del sitio web en hasta un 200% cuidando de que se mantenga el diseño y no se pierda funcionalidad.
</t>
  </si>
  <si>
    <t xml:space="preserve">¿Existen botones para que el usuario pueda agrandar o achicar la fuente?
</t>
  </si>
  <si>
    <t xml:space="preserve">¿Es posible agrandar el texto hasta un 200% (con "Ctrl +" o "Cmd +") sin que se pierda el contenido, diseño o funcionalidad?
</t>
  </si>
  <si>
    <t>3.1.5</t>
  </si>
  <si>
    <t>Control de audio</t>
  </si>
  <si>
    <t>Mecanismos para pausar audios de reproducción automática.</t>
  </si>
  <si>
    <t>¿En el sitio web se evitan elementos que reproduzcan sonidos automáticamente?
Por ejemplo: los videos en la portada permanecen en silencio al ingresar, a menos que la persona usuaria decida activarlos.</t>
  </si>
  <si>
    <t xml:space="preserve">¿Se proporcionan mecanismos para pausar audios de reproducción automática?
La opción "No aplica" es solo para el caso en que no existan audios de reproducción automática en el sitio web.
</t>
  </si>
  <si>
    <t>3.1.6</t>
  </si>
  <si>
    <t>Umbral de destellos</t>
  </si>
  <si>
    <t xml:space="preserve">Cuidado al implementar animaciones para que no destellen más de 3 veces en 1 segundo para evitar posibles convulsiones. Se entiende como destello, un cambio repentino y brusco en el contraste, generalmente de color blanco y de muy corta duración, de forma muy repetitiva puede provocar convulsiones en algunas personas.
</t>
  </si>
  <si>
    <t>¿El sitio web evita elementos que destellan más de 3 veces en 1 segundo?
Por ejemplo: los videos y animaciones no contienen secuencias con destellos rápidos que puedan causar molestias o distracciones.</t>
  </si>
  <si>
    <t>3.1.7</t>
  </si>
  <si>
    <t>Etiquetas en iconos</t>
  </si>
  <si>
    <t xml:space="preserve">Soporte textual que explique la función de los iconos utilizados para ejecutar una acción.
</t>
  </si>
  <si>
    <t xml:space="preserve">¿En el sitio web se presenta alternativa de texto para iconografía que ejecuta una acción? 
Por ejemplo: se presenta el botón "A+" para aumentar el tamaño del texto y al poner el cursor por encima se muestra el texto "Agrandar tamaño de fuente", o al ver un icono de lupa se muestra el texto "Buscar".
La opción "No aplica" es solo para el caso en que no exista  iconografía que ejecuta una acción.
</t>
  </si>
  <si>
    <t>3.1.8</t>
  </si>
  <si>
    <t>Predecible al recibir el foco</t>
  </si>
  <si>
    <t>Preocupación de que no se cambie el contexto al recibir el foco cuando se utiliza la navegación por teclado.</t>
  </si>
  <si>
    <t>¿Al utilizar navegación por teclado, el sitio mantiene el contexto al recibir el foco?
Por ejemplo: al navegar un menú con la tecla "Tab", el sitio no redirige automáticamente al posicionarse en un elemento. Es necesario presionar la tecla "Enter" para acceder a cada página.</t>
  </si>
  <si>
    <t>3.1.9</t>
  </si>
  <si>
    <t>Estructura de la interfaz</t>
  </si>
  <si>
    <t xml:space="preserve">Identificación clara de las diferentes zonas de una página para que los software de lectura puedan identificar las estructuras y relaciones del contenido.
</t>
  </si>
  <si>
    <t xml:space="preserve">¿El código HTML es semántico y sus etiquetas se usan adecuadamente en el sitio web?
Por ejemplo: las etiquetas que se utilizan varían de acuerdo a su significado, un título principal se ve representado con una etiqueta "h1", subtítulos con "h2" o "h3", párrafos con "p" y texto destacado en negrita con "strong". 
Esto se puede verificar abriendo al código fuente con los comandos "Ctrl" + "U" o "Cmd" + "U" y revisando la presencia del correcto uso de las etiquetas señaladas en el ejemplo.
</t>
  </si>
  <si>
    <t>3.1.10</t>
  </si>
  <si>
    <t>Contraste mínimo</t>
  </si>
  <si>
    <t xml:space="preserve">Atención a los contrastes de color al diseñar la interfaz, los textos e imágenes de texto, que deben tener un contraste mínimo de 4,5:1 entre el color de fondo y del texto o icono.
</t>
  </si>
  <si>
    <t xml:space="preserve">¿Los textos tienen un contraste de color mayor a 4.5:1? 
Por ejemplo: se evita el uso de texto gris sobre fondo blanco u otras combinaciones de color con bajo contraste.
En el punto III de la guía, puede consultar cómo verificar el contraste de textos con la herramienta "Inspeccionar". Si desea revisar en mayor detalle puede hacerlo con herramientas como Colour Contrast Analyser o Contrast Checker de WebAIM.
</t>
  </si>
  <si>
    <t xml:space="preserve">3.2  </t>
  </si>
  <si>
    <t>3.2.1</t>
  </si>
  <si>
    <t>Audio y video con texto alternativo</t>
  </si>
  <si>
    <t xml:space="preserve">Alternativa textual para los elementos de audio o video, en que se describe lo que está pasando en la escena.
</t>
  </si>
  <si>
    <t xml:space="preserve">¿Los elementos de audio o video presentan un texto alternativo que describe lo que está pasando? 
Por ejemplo: el sitio brinda la posibilidad de acceder a la transcripción de todo lo que se menciona y sucede en el audio.
La opción "No aplica" es solo para el caso en que no existan videos o audios en el sitio web.
</t>
  </si>
  <si>
    <t>3.2.2</t>
  </si>
  <si>
    <t>Componentes accesibles</t>
  </si>
  <si>
    <t xml:space="preserve">Información de estados, roles e información de valor en todos los componentes de interfaz de usuario para permitir la compatibilidad con la tecnología asistiva utilizada para acceder al contenido. Por ejemplo: personas que utilizan lectores de pantalla, ampliadores de pantalla y software de reconocimiento de voz.
</t>
  </si>
  <si>
    <t xml:space="preserve">¿Se utilizan etiquetas semánticas HTML adecuadas para estructurar el contenido, facilitando la interpretación por parte de tecnologías de asistencia? 
Por ejemplo: se utiliza código HTML semántico, es decir se usan etiquetas como "header", "main" y "footer".
Esto se puede verificar revisando el código fuente del sitio web o con la herramienta "inspeccionar elemento" utilizando la herramienta "Selector de objetos" ("Ctrl" + "Shift" + "C"): se debe posicionar en los distintos elementos y revisar los ejemplos.
</t>
  </si>
  <si>
    <t>3.2.3</t>
  </si>
  <si>
    <t>Llamado a la acción claro</t>
  </si>
  <si>
    <t xml:space="preserve">Presencia de enlaces y botones con llamados a la acción claros y descriptivos.
</t>
  </si>
  <si>
    <t xml:space="preserve">¿Los enlaces del sitio web tienen llamados a la acción claros? 
Por ejemplo: para acceder a un formulario de registro el botón dice claramente la palabra "Registrarse" en vez de decir "Haga clic aquí".
</t>
  </si>
  <si>
    <t>3.2.4</t>
  </si>
  <si>
    <t>Predecible al recibir entrada</t>
  </si>
  <si>
    <t xml:space="preserve">Preocupación por que los cambios y acciones que ocurran en el sitio web sean predecibles, esto se hace al explicar la acción antes de que se ejecute.
</t>
  </si>
  <si>
    <t xml:space="preserve">¿Los cambios y acciones que ocurren en el sitio son predecibles o están explicados antes de que ocurra una acción? 
Por ejemplo: los enlaces externos cuentan con un icono identificador que indica a las personas usuarias que al hacer clic en el enlace este lo sacará de la navegación actual.
</t>
  </si>
  <si>
    <t>3.2.5</t>
  </si>
  <si>
    <t>Foco visible</t>
  </si>
  <si>
    <t xml:space="preserve">Preocupación de que al navegar el sitio web por teclado se muestre de forma visible el indicador del foco donde está ubicado el usuario.
</t>
  </si>
  <si>
    <t xml:space="preserve">Al navegar el sitio web por el teclado con la tecla "Tab", ¿el foco es claramente visible?
Por ejemplo: el foco es marcado con una línea de color que contraste con el diseño del sitio.
</t>
  </si>
  <si>
    <t xml:space="preserve">3.3  </t>
  </si>
  <si>
    <t>3.3.1</t>
  </si>
  <si>
    <t>Pausar, detener u ocultar</t>
  </si>
  <si>
    <t xml:space="preserve">Alternativa para pausar, detener u ocultar cuando se presenta información que tiene movimiento o se actualiza automáticamente.
</t>
  </si>
  <si>
    <t xml:space="preserve">¿La información que tiene movimiento o se actualiza automáticamente ofrece alternativas para pausar, detener u ocultar? 
Por ejemplo: un carrusel de noticias destacadas con un botón de pausa para detener el movimiento.
La opción "No aplica" es solo para el caso en que no existan elementos con movimiento en el sitio web.
</t>
  </si>
  <si>
    <t>3.3.2</t>
  </si>
  <si>
    <t>Audiodescripción</t>
  </si>
  <si>
    <t>Descripción clara del contenido de un audio o video.</t>
  </si>
  <si>
    <t xml:space="preserve">¿Los videos cuentan con audiodescripción que detalla todo lo que ocurre? 
Por ejemplo: descripción de sonidos ("[Golpe de puerta]"), presenta los nombres de los personajes ("[Ministra Pérez]") y cambios de escena ("[Entra el Presidente]").
La opción "No aplica" es solo para el caso en que no existan videos en el sitio web.
</t>
  </si>
  <si>
    <t>3.3.3</t>
  </si>
  <si>
    <t>Atajo hacia el contenido</t>
  </si>
  <si>
    <t>Posibilidad de saltar el encabezado del sitio web y pasar directamente al contenido. Se recomienda el uso del atributo "accesskey" en el código HTML.</t>
  </si>
  <si>
    <t xml:space="preserve">¿Se ofrecen alternativas para llegar directo al contenido con la navegación por teclado? 
Por ejemplo: presionando las teclas "Alt" y "S" se salta el encabezado del sitio web y lleva el foco al contenido de una noticia. Para Mac la combinación de teclas es "Control" + "Option" + "S".
</t>
  </si>
  <si>
    <t>3.3.4</t>
  </si>
  <si>
    <t>Documentos accesibles</t>
  </si>
  <si>
    <t xml:space="preserve">Preocupación de ofrecer documentos descargables accesibles para todos los usuarios.
</t>
  </si>
  <si>
    <t xml:space="preserve">¿Los documentos descargables que están presentes en el sitio web son accesibles?
Para comprobar accesibilidad en un documento Word debe dirigirse a la pestaña Revisar de Word, luego seleccionar la opción Comprobar accesibilidad, aparecerá una ventana que señalará que no presenta problemas de accesibilidad. 
Para comprobar accesibilidad en un documento PDF puede utilizar la herramienta MAUVE++ seleccionando la opción para validar PDF, luego agregar el PDF con su URL o subiendo el archivo y revisar que los resultados entreguen 0 fallas.
La opción "No aplica" es solo para el caso en que no se encuentren documentos.
</t>
  </si>
  <si>
    <t>3.3.5</t>
  </si>
  <si>
    <t>Declaración de accesibilidad</t>
  </si>
  <si>
    <t xml:space="preserve">Presencia de una página que explique los aspectos de accesibilidad presentes en el sitio web y declare el nivel de conformidad obtenido al aplicar las Pautas de Accesibilidad para el Contenido Web (WCAG) de la W3C.
</t>
  </si>
  <si>
    <t xml:space="preserve">¿El sitio web cuenta con un contenido sobre "Accesibilidad" donde menciona el nivel de conformidad de las Pautas de Accesibilidad para el Contenido Web (WCAG) y otras consideraciones para la accesibilidad?
</t>
  </si>
  <si>
    <t>Práctica de decidir cómo organizar y rotular de forma lógica el contenido y la navegación de un producto digital para que sea comprensible y que las personas usuarias localicen fácilmente lo que buscan.</t>
  </si>
  <si>
    <t>4.1</t>
  </si>
  <si>
    <t>4.1.1</t>
  </si>
  <si>
    <t>Similitud de criterio de organización</t>
  </si>
  <si>
    <t xml:space="preserve">Organización de los contenidos según el criterio más adecuado para el contexto, nivel cultural, hábitos informacionales y estructuras mentales de su público objetivo.
</t>
  </si>
  <si>
    <t>¿Los contenidos están clasificados con criterios que les sean intuitivos y familiares para las personas usuarias? 
Por ejemplo: el menú principal está ordenado por temas y no por unidades del organigrama interno.</t>
  </si>
  <si>
    <t>4.1.2</t>
  </si>
  <si>
    <t>Jerarquización de la portada</t>
  </si>
  <si>
    <t xml:space="preserve">Consonancia entre la distribución de las secciones de la página de inicio y las necesidades de las personas usuarias.
</t>
  </si>
  <si>
    <t xml:space="preserve">¿La portada destaca claramente los contenidos posiblemente más demandados por las personas usuarias?
</t>
  </si>
  <si>
    <t xml:space="preserve">¿La página antepone el acceso a trámites y servicios por sobre la información institucional?
La opción "No aplica" es solo para el caso en que no existan trámites o servicios en el sitio web examinado.
</t>
  </si>
  <si>
    <t xml:space="preserve">¿Existe información institucional en el pie de página? 
Por ejemplo: aparece el nombre completo de la institución, su dependencia o dirección física.
</t>
  </si>
  <si>
    <t xml:space="preserve">¿Se evita el uso excesivo de banners en la portada?
Por ejemplo: no más de 10 banners informativos.
</t>
  </si>
  <si>
    <t>4.1.3</t>
  </si>
  <si>
    <t>Consistencia del rotulado</t>
  </si>
  <si>
    <t xml:space="preserve">Coherencia en el uso y estilo de las etiquetas en todo el sitio.
</t>
  </si>
  <si>
    <t>¿Se mantienen constantes los rótulos o etiquetas tanto en la portada como en las páginas interiores?</t>
  </si>
  <si>
    <t>4.1.4</t>
  </si>
  <si>
    <t>Claridad del rotulado</t>
  </si>
  <si>
    <t>Facilidad de comprensión de las etiquetas del menú.</t>
  </si>
  <si>
    <t xml:space="preserve">¿Los rótulos o etiquetas describen de forma clara y directa el contenido de cada categoría?
</t>
  </si>
  <si>
    <t>4.1.5</t>
  </si>
  <si>
    <t>Notoriedad de la navegación</t>
  </si>
  <si>
    <t>Presencia y visibilidad del menú de navegación, sus opciones, localización del usuario, estado del sistema y etapa o paso del trámite.</t>
  </si>
  <si>
    <t xml:space="preserve">¿Se advierten claramente las opciones del menú de navegación?
</t>
  </si>
  <si>
    <t xml:space="preserve">¿El menú está en una posición destacada?
</t>
  </si>
  <si>
    <t xml:space="preserve">¿Se identifican fácilmente los elementos cliqueables en el menú?
</t>
  </si>
  <si>
    <t xml:space="preserve">¿Existen elementos que contextualizan a la persona usuaria respecto de su ubicación, nivel de avance en la navegación y estado del sistema?
</t>
  </si>
  <si>
    <t>4.1.6</t>
  </si>
  <si>
    <t>Menú de navegación principal</t>
  </si>
  <si>
    <t>Presencia de una navegación principal clara y consistente para las personas usuarias, que además privilegie la navegación dentro del mismo sitio web.</t>
  </si>
  <si>
    <t xml:space="preserve">¿Se evita el uso de siglas en el menú de navegación principal?
</t>
  </si>
  <si>
    <t xml:space="preserve">¿Todos los enlaces del menú de navegación están en español?
</t>
  </si>
  <si>
    <t xml:space="preserve">¿Todos los enlaces del menú de navegación principal funcionan correctamente?
</t>
  </si>
  <si>
    <t xml:space="preserve">¿Todos los enlaces del menú principal conducen a páginas dentro del mismo sitio web?
</t>
  </si>
  <si>
    <t xml:space="preserve">¿Todos los enlaces del menú principal conducen a páginas y no a documentos?
Por ejemplo: no se enlazan archivos PDFs, Word, Excel o documentos compartidos de Google desde las opciones del menú.
</t>
  </si>
  <si>
    <t>4.2</t>
  </si>
  <si>
    <t>4.2.1</t>
  </si>
  <si>
    <t>Marca o nombre de fantasía</t>
  </si>
  <si>
    <t>Identificación formal de la institución que usa un nombre de fantasía.</t>
  </si>
  <si>
    <t xml:space="preserve">Si la institución cuenta con una marca o nombre de fantasía, ¿su significado se explica con un texto complementario?
Por ejemplo: "ChileAtiende: trámites y beneficios del Estado", "Salud Responde: asistencia telefónica y vía redes sociales", "IFE Laboral Apoya: incentivo al empleo formal".
La opción "No aplica" es solo para el caso en que la institución no cuente con una marca o nombre de fantasía.
</t>
  </si>
  <si>
    <t>4.2.2</t>
  </si>
  <si>
    <t>Regla de los 3 clics</t>
  </si>
  <si>
    <t xml:space="preserve">Acceso a los contenidos desde portada o cualquier parte del sitio web en no más de tres enlaces de distancia.
</t>
  </si>
  <si>
    <t>¿Los contenidos y servicios más relevantes para las personas usuarias se pueden encontrar a no más de 3 clics desde la portada?</t>
  </si>
  <si>
    <t>4.2.3</t>
  </si>
  <si>
    <t>Precisión del rotulado</t>
  </si>
  <si>
    <t>Capacidad de los rótulos para expresar su significado de manera directa y concisa.</t>
  </si>
  <si>
    <t xml:space="preserve">¿Se evita el uso de siglas, eufemismos o términos rebuscados en los rótulos o etiquetas?
</t>
  </si>
  <si>
    <t xml:space="preserve">¿Se evita el exceso de palabras?
</t>
  </si>
  <si>
    <t xml:space="preserve">¿Los textos de los enlaces (rótulos) son descriptivos del contenido o sitio al que dirigen o directos en el llamado a la acción que impulsan, evitando términos ambiguos como "Haga clic aquí" o "Más"? 
</t>
  </si>
  <si>
    <t>4.2.4</t>
  </si>
  <si>
    <t>Concisión del rotulado</t>
  </si>
  <si>
    <t xml:space="preserve">Brevedad y economía de palabras en las etiquetas, acorde al tiempo de lectura en internet y al espacio reducido en dispositivos móviles.
</t>
  </si>
  <si>
    <t xml:space="preserve">¿Se alcanza a leer todo el menú global del sitio en breves segundos?
</t>
  </si>
  <si>
    <t xml:space="preserve">¿Los textos se ajustan correctamente a la pantalla en dispositivos móviles? Para verificar la visualización en diferentes dispositivos, presiona F12 para abrir las herramientas del navegador y ajusta la vista seleccionando diferentes tamaños de pantalla en la opción "Dimensiones".
</t>
  </si>
  <si>
    <t>4.2.5</t>
  </si>
  <si>
    <t>Equilibrio de la navegación</t>
  </si>
  <si>
    <t xml:space="preserve">Apropiado número de opciones del menú. Balance entre su extensión y nivel de profundidad.
</t>
  </si>
  <si>
    <t xml:space="preserve">¿El menú global presenta menos de ocho opciones?
</t>
  </si>
  <si>
    <t xml:space="preserve">¿Se evita que haya más de dos niveles de submenús?
</t>
  </si>
  <si>
    <t>4.2.6</t>
  </si>
  <si>
    <t>Pertinencia de la navegación</t>
  </si>
  <si>
    <t>Adecuada ubicación de los enlaces, de manera tal que aparezcan en contexto y brinden acceso oportuno a la información.</t>
  </si>
  <si>
    <t xml:space="preserve">¿Los botones de llamado a la acción están situados en una posición que estimule su uso?
</t>
  </si>
  <si>
    <t xml:space="preserve">¿Existen enlaces contextuales al contenido de la página que se está visitando? 
Por ejemplo: en la descripción de un trámite, aparecen accesos del tipo "Otros trámites relacionados" o "Ver también".
</t>
  </si>
  <si>
    <t xml:space="preserve">¿Existen categorías o etiquetas (tags) que permitan acceder a otros contenidos con la misma clasificación? 
Por ejemplo: navegar por todas las noticias clasificadas con la etiqueta "Cuenta Pública 2024".
</t>
  </si>
  <si>
    <t>4.3</t>
  </si>
  <si>
    <t>4.3.1</t>
  </si>
  <si>
    <t>Flexibilidad de organización</t>
  </si>
  <si>
    <t xml:space="preserve">Clasificación de la información por distintos esquemas o estructuras de organización con el objetivo de ofrecer opciones de acceso a los usuarios.
</t>
  </si>
  <si>
    <t>¿Cuenta el sitio web con más de una forma de organización para acceder a la información? 
Por ejemplo: una institución puede tener una navegación principal por temas, pero tener un segundo menú por tipos de público o contar con un mapa del sitio.</t>
  </si>
  <si>
    <t xml:space="preserve">Disposición para ayudar a las personas usuarias a encontrar lo que necesitan: implica que debe contar con un sistema de navegación visible y completo, pero que además debe estar complementado por algún sistema de búsqueda que sea efectivo para acceder al contenido que no se encuentra a simple vista. </t>
  </si>
  <si>
    <t>5.1</t>
  </si>
  <si>
    <t>5.1.1</t>
  </si>
  <si>
    <t>Búsqueda interna</t>
  </si>
  <si>
    <t xml:space="preserve">Presencia destacada de un buscador interno, que rastree, indexe y recupere todas las páginas del sitio y ofrezca eficientemente los contenidos más relevantes frente a las consultas de las personas usuarias.
</t>
  </si>
  <si>
    <t xml:space="preserve">¿El sitio cuenta con un buscador interno que permita acceder a todas las páginas del sitio?
</t>
  </si>
  <si>
    <t xml:space="preserve">¿Está ubicado de manera destacada, idealmente en la parte superior de la página?
</t>
  </si>
  <si>
    <t xml:space="preserve">En la página de inicio, ¿la búsqueda es una caja de texto (campo que permite escribir directamente) y no un enlace?
</t>
  </si>
  <si>
    <t xml:space="preserve">¿El buscador interno funciona correctamente?
</t>
  </si>
  <si>
    <t xml:space="preserve">¿El buscador interno indica expresamente cuando no se encuentran resultados?
</t>
  </si>
  <si>
    <t>5.2</t>
  </si>
  <si>
    <t>5.2.1</t>
  </si>
  <si>
    <t>Mapa del sitio</t>
  </si>
  <si>
    <t xml:space="preserve">Opción de navegación suplementaria que enlaza todo el sitio, refleja su estructura y evita la presencia de páginas aisladas.
</t>
  </si>
  <si>
    <t xml:space="preserve">¿Existe un mapa del sitio con enlace a todas las secciones y principales contenidos?
</t>
  </si>
  <si>
    <t>5.2.2</t>
  </si>
  <si>
    <t>Optimización</t>
  </si>
  <si>
    <t xml:space="preserve">Adecuación y jerarquización del contenido sobre la base de las palabras más buscadas y el patrón de navegación de las personas usuarias.
</t>
  </si>
  <si>
    <t xml:space="preserve">¿Las palabras clave más representativas del quehacer de la institución están presentes en los títulos, descripción y URLs de las páginas del sitio? 
Por ejemplo: para identificarlas, éstas se pueden encontrar en la misión, en los nombres de los principales servicios y en los temas que aborda la institución, las que idealmente deberían coincidir con las palabras que buscarían las personas usuarias.
</t>
  </si>
  <si>
    <t xml:space="preserve">¿Se repiten estas palabras claves en las páginas internas de contenido? 
Una forma de comprobarlo es utilizando la opción "Buscar" del navegador (Control + F en Google Chrome).
</t>
  </si>
  <si>
    <t xml:space="preserve">¿La estructura de las páginas está organizada de forma lógica e intuitiva, con un tamaño de texto que permite identificar claramente las jerarquías visuales?
Por ejemplo: los títulos son visiblemente más grandes que los subtítulos, y los títulos son considerablemente más grandes que el texto.
</t>
  </si>
  <si>
    <t>5.3</t>
  </si>
  <si>
    <t>5.3.1</t>
  </si>
  <si>
    <t>Búsqueda predictiva</t>
  </si>
  <si>
    <t xml:space="preserve">Proporción de un texto predictivo en la búsqueda para minimizar los errores.
</t>
  </si>
  <si>
    <t>¿El buscador del sitio tiene texto predictivo?
Por ejemplo, al escribir "certificado", se despliegan opciones como "certificado de matrimonio", "certificado de nacimiento" o "certificado de defunción".
La opción "No aplica" solo corresponde si el sitio web no cuenta con un buscador.</t>
  </si>
  <si>
    <t>5.3.2</t>
  </si>
  <si>
    <t>Búsqueda avanzada</t>
  </si>
  <si>
    <t>Buscador interno con mayores opciones de refinamiento de las consultas y parametrización de los resultados.</t>
  </si>
  <si>
    <t xml:space="preserve">¿Existe una búsqueda avanzada?
Por ejemplo: que permita buscar solo sobre tipos de contenidos específicos (como trámites, noticias, actividades, productos o servicios) o permita seleccionar campos específicos para buscar, como autor, título o publicación.
</t>
  </si>
  <si>
    <t xml:space="preserve">¿Permite ordenar los resultados de búsqueda? 
Por ejemplo: por criterios de fecha o relevancia.
</t>
  </si>
  <si>
    <t>5.3.3</t>
  </si>
  <si>
    <t>Recomendación predictiva</t>
  </si>
  <si>
    <t xml:space="preserve">Oferta de contenidos y enlaces relacionados que permita a los usuarios profundizar o descubrir nueva información, sobre la base de sus preferencias y patrones de navegación previos.
</t>
  </si>
  <si>
    <t xml:space="preserve">¿En el sitio se recomiendan enlaces que puedan ser de interés según el comportamiento de navegación de las personas usuarias? 
Por ejemplo: "Porque buscaste 'x', te puede interesar 'z'...".
</t>
  </si>
  <si>
    <t>5.3.4</t>
  </si>
  <si>
    <t>Alternativas de búsqueda</t>
  </si>
  <si>
    <t>Entrega de opciones de búsqueda en caso de no encontrar resultados.</t>
  </si>
  <si>
    <t xml:space="preserve">Si no hubo resultados después de una búsqueda, ¿el sistema ofrece ideas u opciones para mejorar la búsqueda basados en problemas identificables con la búsqueda de la persona usuaria? 
Por ejemplo: la persona usuaria busca "bono marzo" y el sistema no arroja resultados, pero da la opción de buscar "Aporte familiar permanente (ex bono marzo)".
</t>
  </si>
  <si>
    <t>Cualidad que posee un sitio web para adaptarse a todos los dispositivos y tamaños de pantalla, sin perder calidad ni información esencial.</t>
  </si>
  <si>
    <t>6.1</t>
  </si>
  <si>
    <t>6.1.1</t>
  </si>
  <si>
    <t>Visualización móvil</t>
  </si>
  <si>
    <t>Diseño responsivo, formulado y desarrollado para ser accesible desde cualquier dispositivo móvil.</t>
  </si>
  <si>
    <t xml:space="preserve">¿El sitio web se puede visualizar correctamente desde un teléfono celular o una tablet? 
</t>
  </si>
  <si>
    <t xml:space="preserve">¿Las funcionalidades del sitio se pueden usar correctamente desde un teléfono celular o una tablet? 
Por ejemplo: si en un formulario se pide cargar documentos, esta funcionalidad no se ve interrumpida si se hace desde un teléfono celular o una tablet.
</t>
  </si>
  <si>
    <t xml:space="preserve">¿El menú de navegación del sitio web se convierte en un menú desplegable o se reorganiza para mejorar la navegación en los diversos dispositivos móviles?
</t>
  </si>
  <si>
    <t xml:space="preserve">¿Solo existe una versión del sitio y se evita la creación de una versión especial para dispositivos móviles paralela o una aplicación para descarga, que muestre otra información? 
Por ejemplo: al navegar el sitio, este no debiera pedir descargar alguna aplicación para acceder a un contenido o servicio.
</t>
  </si>
  <si>
    <t xml:space="preserve">¿Los textos se ven enteros, sin cortarse o sobreponerse a otros elementos?
</t>
  </si>
  <si>
    <t xml:space="preserve">En móvil, ¿se prioriza la presentación del logo institucional y menú por sobre otros enlaces?
Por ejemplo: la primera franja que se ve en móvil es la imagen institucional y el menú de navegación.
</t>
  </si>
  <si>
    <t>6.2</t>
  </si>
  <si>
    <t>6.2.1</t>
  </si>
  <si>
    <t>Adaptabilidad</t>
  </si>
  <si>
    <t xml:space="preserve">Adecuación automática de un sitio web con sus elementos visuales y contenidos para que sean visualizados correctamente en cualquier dispositivo.
</t>
  </si>
  <si>
    <t xml:space="preserve">¿El sitio web se adapta y visualiza correctamente en diferentes tamaños de pantalla? 
Por ejemplo: se visualiza de forma correcta tanto en un monitor de un notebook pequeño como en un monitor grande de un PC.
</t>
  </si>
  <si>
    <t xml:space="preserve">¿Los números telefónicos están enlazados o cuentan con el formato correcto para marcar directamente desde un celular?
La opción "No aplica" es solo para el caso en que no exista canal telefónico.
</t>
  </si>
  <si>
    <t>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t>
  </si>
  <si>
    <t>7.1</t>
  </si>
  <si>
    <t>7.1.1</t>
  </si>
  <si>
    <t>Imagen gubernamental</t>
  </si>
  <si>
    <t xml:space="preserve">Conectores visuales que vinculan e identifican a los organismos de administración del Estado, como tipografías, colores y definiciones gráficas.
</t>
  </si>
  <si>
    <t xml:space="preserve">¿Se visualiza claramente que el sitio web se identifica como un Órgano de la Administración del Estado? 
Por ejemplo: se visualiza el logo del Gobierno, sus elementos icónicos, algún texto de referencia o enlace en la cabecera o el pie del sitio.
</t>
  </si>
  <si>
    <t xml:space="preserve">En el caso de los organismos gubernamentales, ¿los elementos gráficos del sitio web son elaborados a partir de las directrices del Gobierno? 
Por ejemplo: se usan y aplican los fundamentos de diseño del UI Kit del Gobierno Digital como "colores, tipografías, espaciado" y elementos gráficos como "botones, alertas, etc.."
La opción "No aplica" es solo para el caso en que el sitio web examinado no pertenezca al gobierno central.
</t>
  </si>
  <si>
    <t xml:space="preserve">¿El texto del logo de la institución es totalmente legible?
</t>
  </si>
  <si>
    <t>7.1.2</t>
  </si>
  <si>
    <t>Enlaces perceptibles</t>
  </si>
  <si>
    <t>Condición de los enlaces del sitio web, que se deben diferenciar claramente de un párrafo de texto o títulos.</t>
  </si>
  <si>
    <t xml:space="preserve">¿Los textos que son enlaces se diferencian claramente de otro texto que no sea enlace? 
Por ejemplo: se utilizan enlaces subrayados o en un color notoriamente contrastante.
</t>
  </si>
  <si>
    <t>7.1.3</t>
  </si>
  <si>
    <t>Integridad estética</t>
  </si>
  <si>
    <t xml:space="preserve">Coherencia de los elementos visuales, los que deben disponerse de la misma manera y permitir mantener una apariencia consistente en todo el sitio, para que brinden una experiencia visual unificada para las personas usuarias.
</t>
  </si>
  <si>
    <t xml:space="preserve">¿El sitio web mantiene un diseño gráfico consistente en todas sus secciones, utilizando colores, tipografías y estilos gráficos homogéneos para ofrecer una experiencia visual coherente?
Por ejemplo: los contenidos interiores mantienen una apariencia similar a la portada, utilizando elementos gráficos, paletas de colores y tipografía consistentes.
</t>
  </si>
  <si>
    <t>7.2</t>
  </si>
  <si>
    <t>7.2.1</t>
  </si>
  <si>
    <t>Tipografía</t>
  </si>
  <si>
    <t>Uso de tipografías que faciliten la legibilidad, con un tamaño adaptable a las diferentes condiciones de las personas usuarias y dispositivos. Adopción de las familias tipográficas establecidas en el sistema de diseño gubernamental.</t>
  </si>
  <si>
    <t xml:space="preserve">¿Se utilizan familias tipográficas optimizadas para la lectura en pantalla, especialmente las de palo seco (sin conectores visuales entre las letras) o sin "serif? 
Por ejemplo: Roboto, Verdana, Arial.
En el punto IV de la guía, puede consultar cómo verificar el tipo de fuente.
</t>
  </si>
  <si>
    <t xml:space="preserve">¿Su tamaño permite una adecuada legibilidad? 
Por ejemplo: igual o superior a 16 puntos, con un espaciado de al menos 1,5 veces del tamaño de la fuente y alto contraste, evitando letras grises sobre fondos blancos. 
En el punto IV de la guía, puede consultar cómo verificar el tamaño de los textos.
</t>
  </si>
  <si>
    <t xml:space="preserve">¿Su tamaño se adapta automáticamente al dispositivo?
Esto se puede verificar revisando la estructura jerárquica adecuada entre los tamaños de los títulos, subtítulos y párrafos de texto y que el interlineado de cada párrafo facilite para la lectura. También puede reducir el ancho de su navegador y evaluar si se adapta al nuevo espacio.
</t>
  </si>
  <si>
    <t xml:space="preserve">En el caso de organismos del Gobierno central, ¿el sitio web utiliza las tipografías recomendadas en el sistema de diseño gubernamental? 
Por ejemplo: las tipografías las tipografías  Roboto Sans y Roboto Slab (solo para títulos)
La opción "No aplica" es solo para el caso en que el sitio web examinado no pertenezca al gobierno central.
</t>
  </si>
  <si>
    <t>7.2.2</t>
  </si>
  <si>
    <t>Uso del color</t>
  </si>
  <si>
    <t xml:space="preserve">Definición de una paleta de colores formulada para afianzar la imagen de la institución, sobre la base de criterios de una adecuada combinación, atractivo visual, coherencia y contraste. Estos deberán estar sujetos a las normas de accesibilidad y, si corresponde, adoptar los lineamientos del sistema de diseño gubernamental.
</t>
  </si>
  <si>
    <t xml:space="preserve">¿Los colores apoyan el reconocimiento visual de la institución? 
Por ejemplo: los colores azul y rojo oficiales del Gobierno.
</t>
  </si>
  <si>
    <t xml:space="preserve">En el caso de organismos del Gobierno central, ¿se consideran los colores de la paleta del UI Kit del Gobierno Digital?
La opción "No aplica" es solo para el caso en que el sitio web examinado no pertenezca al gobierno central.
</t>
  </si>
  <si>
    <t>7.2.3</t>
  </si>
  <si>
    <t>Uso de imágenes</t>
  </si>
  <si>
    <t>Selección cuidadosa de imágenes, fotografías y visualizaciones para afianzar la identidad institucional y complementar la información entregada. Es decir, que cuenten con un tratamiento y optimización técnica para el soporte web.</t>
  </si>
  <si>
    <t xml:space="preserve">¿Se incorpora el logo o elemento icónico de la institución en el encabezado?
</t>
  </si>
  <si>
    <t xml:space="preserve">¿Las imágenes tienen la calidad adecuada para su correcta visualización y se evita que se vean pixeladas a primera vista?
La opción "No aplica" es solo para el caso en que no existan imágenes en el sitio web.
</t>
  </si>
  <si>
    <t xml:space="preserve">¿Las imágenes tienen títulos, descripciones o pies de fotos apropiados? El pie de foto es una explicación breve que se sitúa bajo cada ilustración, foto o figura en una publicación. Aunque sea el pie lo que le da nombre, también puede ubicarse en otros lugares, como en la parte superior.
La opción "No aplica" es solo para el caso en que no existan imágenes en el sitio web.
</t>
  </si>
  <si>
    <t xml:space="preserve">¿Las fotografías están bien recortadas y tienen un encuadre adecuado? 
Por ejemplo: los banners tienen un contenedor rectangular. Para minimizar o evitar recortes, hay que asegurarse de que la forma de la imagen coincida con la forma del contenedor y no quede recortada la información visual importante.
La opción "No aplica" es solo para el caso en que no existan imágenes en el sitio web.
</t>
  </si>
  <si>
    <t xml:space="preserve">¿Se privilegia el uso de fotografías en el que aparezcan personas usuarias, lugares y situaciones reales en vez de usar imágenes de bancos de fotos comerciales?
La opción "No aplica" es solo para el caso en que no existan imágenes en el sitio web.
</t>
  </si>
  <si>
    <t xml:space="preserve">Los elementos que contienen texto informativo, como botones de acción e infografías, se disponen como texto seleccionable en vez de presentarlo dentro de una imagen.
La opción "No aplica" corresponde solo cuando no hay botones de acción, infografías u otros elementos con texto informativo en el sitio web.
</t>
  </si>
  <si>
    <t>7.2.4</t>
  </si>
  <si>
    <t>Distribución de los elementos</t>
  </si>
  <si>
    <t>Jerarquía de los elementos que se deben comprender a primera vista, sin ruido visual ni sobrecarga informativa.</t>
  </si>
  <si>
    <t xml:space="preserve">¿Los elementos de la interfaz se pueden identificar claramente a primera vista? 
Por ejemplo: se puede encontrar fácilmente donde está el menú principal, el pie de página o el buscador.
</t>
  </si>
  <si>
    <t xml:space="preserve">¿Es una interfaz limpia, sin ruido visual? 
Por ejemplo: los elementos visuales como figuras o colores, no están demasiado saturados y se evitan las ventanas emergentes que no aportan a la navegación del sitio.
</t>
  </si>
  <si>
    <t>7.2.5</t>
  </si>
  <si>
    <t>Atractivo visual</t>
  </si>
  <si>
    <t>Apariencia atractiva y armoniosa que logra captar la atención del usuario.</t>
  </si>
  <si>
    <t xml:space="preserve">¿La presentación visual del sitio es armoniosa, limpia y minimalista, orientada a la funcionalidad? 
Por ejemplo: mantener sólo unos pocos componentes necesarios en la interfaz del sitio y dejar espacios en blanco o aires, para permitir centrar la atención en el contenido principal con más facilidad.
</t>
  </si>
  <si>
    <t>7.2.6</t>
  </si>
  <si>
    <t>Expresividad de iconos</t>
  </si>
  <si>
    <t xml:space="preserve">Capacidad de los iconos para ser claros y precisos en lo que quieren expresar, sin llevar a una interpretación o confusión.
</t>
  </si>
  <si>
    <t>¿La iconografía es clara y ayuda a llamar a la acción de manera más rápida? 
Por ejemplo: el icono de "flecha a la derecha" significa "siguiente" o "continuar".
La opción "No aplica" corresponde solo cuando no iconografía.</t>
  </si>
  <si>
    <t>7.3</t>
  </si>
  <si>
    <t>7.3.1</t>
  </si>
  <si>
    <t>Familiaridad</t>
  </si>
  <si>
    <t xml:space="preserve">Cercanía y capacidad de reconocimiento a simple vista del diseño, sin necesidad de un aprendizaje previo.
</t>
  </si>
  <si>
    <t xml:space="preserve">¿El diseño y la distribución de los elementos siguen un orden familiar para las personas usuarias, similar a otros sitios web?
Por ejemplo: el menú principal está en el encabezado, el logo en la esquina superior izquierda y el buscador a la derecha.
</t>
  </si>
  <si>
    <t>Apego a estándares de desarrollo, compatibilidad y directrices para cautelar la seguridad de los sistemas. Esto protege la disponibilidad, integridad y confidencialidad de la información y datos institucionales y personales.</t>
  </si>
  <si>
    <t>8.1</t>
  </si>
  <si>
    <t>8.1.1</t>
  </si>
  <si>
    <t>Certificado SSL válido y vigente</t>
  </si>
  <si>
    <t>Utilización de mecanismos SSL/TLS o los protocolos de seguridad que los reemplacen. El certificado debe ser válido y estar vigente.</t>
  </si>
  <si>
    <t>"¿El sitio web utiliza el protocolo seguro HTTPS en su URL?
Para verificarlo, haga doble clic en la barra de direcciones y asegúrese de que la URL comience con "https://".</t>
  </si>
  <si>
    <t xml:space="preserve">¿El certificado SSL/TLS es válido? 
Por ejemplo: al revisar en Google Chrome a través del ícono "Consulta la información del sitio", que se encuentra inmediatamente a la izquierda de la URL en la barra de direcciones del navegador, luego verificar que existe el texto "La conexión es segura".
En el punto VII de la guía, puede verificar la conexión segura y si el certificado es válido.
</t>
  </si>
  <si>
    <t>8.1.2</t>
  </si>
  <si>
    <t>Redirección de HTTP a HTTPS</t>
  </si>
  <si>
    <t xml:space="preserve">Redirección de las solicitudes con protocolo HTTP a su equivalente con protocolo HTTPS.
</t>
  </si>
  <si>
    <t xml:space="preserve">¿Al acceder con el protocolo HTTP a las páginas del sitio se realiza la redirección a la versión con protocolo HTTPS? 
Por ejemplo: al ingresar en la URL "http://sitioejemplo.gob.cl/algo" esta redirige a "https://sitioejemplo.gob.cl/algo". Se puede probar quitando la letra "s" del protocolo de la url  de la página que está probando.
</t>
  </si>
  <si>
    <t>8.1.3</t>
  </si>
  <si>
    <t>Bloqueo de enmascarado</t>
  </si>
  <si>
    <t>Inhibición de la posibilidad de enmascarar el sitio dentro de un sitio externo a través de un "frame".</t>
  </si>
  <si>
    <t xml:space="preserve">¿El sitio web tiene configurada la cabecera "X-Frame-Options" con los valores "DENY" o "SAMEORIGIN"?
Para la verificación se deben revisar las cabeceras de la página, usando la herramienta https://securityheaders.com:
1. Primero se debe ingresar la URL de una página diferente de la portada y 
2. luego dentro de los resultados el subtítulo "Encabezados sin formato" (Raw Headers en inglés), se encontrarán la lista de cabeceras de la página, en la que se debe buscar la cabecera "X-Frame-Options" y verificar que tenga los valores "DENY" o "SAMEORIGIN".
</t>
  </si>
  <si>
    <t>8.1.4</t>
  </si>
  <si>
    <t>Directorios desactivados</t>
  </si>
  <si>
    <t xml:space="preserve">Configuración del servidor web debe mantener inhabilitado el acceso a ver los contenidos de los directorios.
</t>
  </si>
  <si>
    <t xml:space="preserve">¿El servidor web está configurado de manera que no se muestra el contenido de los directorios (carpetas internas)? 
Para la verificación:
1. Identificar una fotografía que sea parte del contenido de una noticia, sobre esta hacer un clic con el botón secundario del mouse y seleccionar la opción "Copiar dirección de la imagen".
2. La forma de probar será ver si es visible el directorio que contiene la imagen.
3. Se debe pegar y editar la url de la imagen de la siguiente manera: por ejemplo, si la URL es "https://sitioejemplo.gob.cl/images/foto.jpg" se debe eliminar el nombre del archivo de la imagen –en este caso, sacando "foto.jpg"– y probando la URL "https://sitioejemplo.gob.cl/images/". 
4. Un servidor seguro mostrará algún tipo de error en vez de un listado de los contenidos que contiene el directorio.
</t>
  </si>
  <si>
    <t>8.2</t>
  </si>
  <si>
    <t>8.2.1</t>
  </si>
  <si>
    <t>Política de privacidad</t>
  </si>
  <si>
    <t xml:space="preserve">Presencia de una política que describa cómo se recopila, utiliza, gestiona, protege y divulga la información de las personas usuarias que utilizan el sitio web.
</t>
  </si>
  <si>
    <t xml:space="preserve">¿Se presenta un enlace a la política de privacidad en el sitio web?
</t>
  </si>
  <si>
    <t xml:space="preserve">¿Este enlace está en el pie de cada página del sitio web?
La opción "No aplica" es solo para el caso en que no exista un enlace a la política de privacidad.
</t>
  </si>
  <si>
    <t>8.3</t>
  </si>
  <si>
    <t>8.3.1</t>
  </si>
  <si>
    <t>Prevención de ataques MIME</t>
  </si>
  <si>
    <t xml:space="preserve">Uso de la cabecera "X-Content-Type-Options" con el valor "nosniff" para así indicar a los navegadores que deben respetar el tipo MIME (Multipurpose Internet Mail Extensions) especificado por el servidor.
</t>
  </si>
  <si>
    <t xml:space="preserve">¿El sitio tiene configurada la cabecera "X-Content-Type-Options" con el valor "nosniff"?
Para la verificación se deben revisar las cabeceras de la página, usando la herramienta https://securityheaders.com:
1. Primero se debe ingresar la URL de una página diferente de la portada y 
2. Luego, dentro de los resultados, el subtítulo "Encabezados sin formato" (Raw Headers en inglés), se encontrarán la lista de cabeceras de la página, en la que se debe buscar la cabecera "X-Content-Type-Options" y verificar que tenga el valor "nosniff".
</t>
  </si>
  <si>
    <t>8.3.2</t>
  </si>
  <si>
    <t>Límite de referencias Referrer-Policy</t>
  </si>
  <si>
    <t xml:space="preserve">Utilización de la cabecera "Referrer-Policy" con el valor "strict-origin" para controlar la cantidad de información de referencia que se envía al realizar solicitudes desde una página.
</t>
  </si>
  <si>
    <t xml:space="preserve">¿El sitio web tiene configurada la cabecera "Referrer-Policy" con el valor "strict-origin"? 
Para la verificación se deben revisar las cabeceras de la página, usando la herramienta https://securityheaders.com:
1. Primero se debe ingresar la URL de una página diferente de la portada y 
2. Luego, dentro de los resultados, el subtítulo "Encabezados sin formato" (Raw Headers en inglés), se encontrarán la lista de cabeceras de la página, en la que se debe buscar la cabecera "Referrer-Policy" y verificar que tenga el valor "strict-origin".
</t>
  </si>
  <si>
    <t>8.3.3</t>
  </si>
  <si>
    <t>Aviso de uso de cookies</t>
  </si>
  <si>
    <t xml:space="preserve">Información clara que informe al usuario sobre la política de uso de cookies.
</t>
  </si>
  <si>
    <t xml:space="preserve">¿Proporciona el sitio web información clara y comprensible sobre el tipo de cookies que utiliza, sus finalidades y las opciones de control disponibles para el usuario?
Por ejemplo: en la Política de Privacidad del sitio web se indica que las cookies no almacenan datos personales, ni el sitio web las comparte con terceros.
</t>
  </si>
  <si>
    <t>Conjunto de herramientas y estándares para la creación y funcionamiento de productos digitales. Se deben priorizar las herramientas y tecnologías que faciliten crear un servicio de alta calidad de forma rentable y que permitan minimizar el costo de cambiar en el futuro.</t>
  </si>
  <si>
    <t>9.1</t>
  </si>
  <si>
    <t>9.1.1</t>
  </si>
  <si>
    <t>Disponibilidad y estabilidad</t>
  </si>
  <si>
    <t xml:space="preserve">Capacidad de un sitio web para estar accesible y operativo en todo momento. Además de mantener su funcionamiento sin caídas, errores o interrupciones, proporcionando una experiencia consistente.
</t>
  </si>
  <si>
    <t xml:space="preserve">¿El servicio o sitio web estuvo disponible durante todo el período de evaluación?
</t>
  </si>
  <si>
    <t xml:space="preserve">¿Los multicanales digitales para realizar consultas generales o solicitar información personalizada estuvieron disponibles durante la evaluación? 
Por ejemplo: asistentes virtuales o chats.
La opción "No aplica" es solo para el caso en que no existan multicanales digitales para realizar consultas o solicitar información.
</t>
  </si>
  <si>
    <t xml:space="preserve">¿Las funcionalidades del sitio web están disponibles las 24 horas los 7 días de la semana?
Por ejemplo: un formulario de contacto se puede completar y enviar cualquier día a cualquier hora.
La opción "No aplica" es solo para el caso en que no existan formularios u otras funcionalidades.
</t>
  </si>
  <si>
    <t>9.1.2</t>
  </si>
  <si>
    <t>Codificación de caracteres</t>
  </si>
  <si>
    <t xml:space="preserve">Definición del set de caracteres del sitio web, el que debe ser preferentemente "UTF-8".
</t>
  </si>
  <si>
    <t xml:space="preserve">¿Se explicita el juego de caracteres UTF-8 a través de un metadato en el código fuente de la página? 
Por ejemplo: es posible encontrar la referencia "&lt;meta charset="utf-8"&gt;" en las primeras líneas del código fuente.
</t>
  </si>
  <si>
    <t>9.1.3</t>
  </si>
  <si>
    <t>Hojas de estilo en cascada (CSS)</t>
  </si>
  <si>
    <t xml:space="preserve">Utilización de código CSS (hojas de estilo en cascada), en la diagramación y diseño de las páginas, separando el contenido, la estructura y la presentación.
</t>
  </si>
  <si>
    <t xml:space="preserve">¿El sitio web se presenta completamente sin diseño al deshabilitar las hojas de estilo?
Una opción para la verificación:
1. Ingresar al inspector de código de Google Chrome (opción "Inspeccionar" con el botón secundario del mouse), específicamente a la pestaña "Consola" ("Console" si se está en inglés)
2. En el inspector se verá la consola en la que se pueden escribir comandos, se podrá reconocer una fila que comienza con el signo "&gt;", en el caso de haber más de una fila esta se verá en la parte inferior del listado, en esta fila se debe pegar el comando "document.querySelectorAll('link[rel=stylesheet]').forEach(link =&gt; link.disabled = true)" (sin las comillas) y luego ejecutar con el botón Enter.
3. Es probable que al copiar y pegar el comando en la consola, el navegador haga una advertencia que comienza así: "No pegues en la consola de Herramientas para desarrolladores código que no entiendas….". Para habilitar pegar comandos en la consola antes deberás escribir el texto : "permitir el pegado" ("allow pasting" si está en inglés) y a continuación presionar Enter para permitir pegar comandos.
Se recomienda luego de la comprobación cerrar el inspector y actualizar la página (F5 o Control + F5 para Mac) para seguir con la revisión.
</t>
  </si>
  <si>
    <t>9.1.4</t>
  </si>
  <si>
    <t>Especificación de idioma</t>
  </si>
  <si>
    <t>Uso del atributo HTML "lang" para especificar el idioma del sitio o los textos del mismo.</t>
  </si>
  <si>
    <t xml:space="preserve">¿Está presente en la etiqueta "html" del código fuente el atributo "lang"? 
Por ejemplo: al buscar esta referencia lang="es" en el código fuente, deberá aparecer de una manera equivalente a esta: &lt;html lang="es"&gt;.
</t>
  </si>
  <si>
    <t>9.1.5</t>
  </si>
  <si>
    <t>Funcionamiento de los enlaces</t>
  </si>
  <si>
    <t xml:space="preserve">Ausencia de enlaces rotos, enlaces redirigidos y enlaces inválidos.
</t>
  </si>
  <si>
    <t xml:space="preserve">¿Todos los enlaces del sitio web funcionan correctamente? 
Por ejemplo: al utilizar la herramienta de revisión de la W3C Check Link Validator sobre todo el sitio, en la tabla de resultados no aparece ningún resultado con código de error 404 .
</t>
  </si>
  <si>
    <t>9.1.6</t>
  </si>
  <si>
    <t>Soporte a URLs con y sin prefijo www</t>
  </si>
  <si>
    <t xml:space="preserve">Habilitación de acceso utilizando o no el prefijo "www". Los sitios web deberán visualizarse independiente de la utilización de este prefijo, redirigiendo a la URL final del sitio.
</t>
  </si>
  <si>
    <t xml:space="preserve">¿La URL del sitio funciona sin y con "www" como prefijo de dominio? 
Por ejemplo: al verificar que las URLs "https://www.sitioejemplo.gob.cl" y también "https://sitioejemplo.gob.cl", ambas llevan al mismo contenido del sitio web.
</t>
  </si>
  <si>
    <t>9.1.7</t>
  </si>
  <si>
    <t>Dominio ".gob.cl"</t>
  </si>
  <si>
    <t xml:space="preserve">Utilización del dominio ".gob.cl", registrándolo previamente ante la División de Informática del Ministerio del Interior y Seguridad Pública y en el sitio web Administración de Dominios gob.cl (nic.gob.cl).
</t>
  </si>
  <si>
    <t xml:space="preserve">Si se trata un sitio web del gobierno central, ¿utiliza el dominio .gob.cl? 
La opción "No aplica" es solo para el caso en que el sitio web examinado no pertenezca al gobierno central.
</t>
  </si>
  <si>
    <t xml:space="preserve">Si existen otros dominios desde los que se pueda acceder al servicio, ¿estos redirigen al sitio web que utiliza el dominio .gob.cl?
La opción "No aplica" es solo para el caso en que no exista o no se tenga conocimiento de otras urls alternativas a la oficial .gob.cl.
</t>
  </si>
  <si>
    <t>9.2</t>
  </si>
  <si>
    <t>9.2.1</t>
  </si>
  <si>
    <t>Lenguaje HTML5</t>
  </si>
  <si>
    <t xml:space="preserve">Utilización del lenguaje de marcado HTML5 para la creación y estructuración de contenido en las páginas web.
</t>
  </si>
  <si>
    <t>¿Se encuentra la identificación de HTML5 en la primera línea del código fuente? 
Por ejemplo: la referencia "&lt;!DOCTYPE html&gt;" está presente en la primera línea del código fuente HTML.</t>
  </si>
  <si>
    <t>9.2.2</t>
  </si>
  <si>
    <t>Compatibilidad HTML</t>
  </si>
  <si>
    <t xml:space="preserve">Validación del código HTML en el validador de la W3C: el código debe cumplir o cumplir con reparos.
</t>
  </si>
  <si>
    <t xml:space="preserve">¿El código HTML del sitio web no presenta errores al comprobarlo en el validador de la W3C?
La opción "No aplica" es solo para el caso en que no sea posible utilizar la herramienta externa.
</t>
  </si>
  <si>
    <t>9.2.3</t>
  </si>
  <si>
    <t>Compatibilidad CSS</t>
  </si>
  <si>
    <t xml:space="preserve">Validación de la escritura y compatibilidad del código CSS, el que no debe tener errores.
</t>
  </si>
  <si>
    <t xml:space="preserve">¿El código CSS del sitio web no presenta errores al comprobarlo en el validador de la W3C?
La opción "No aplica" es solo para el caso en que no sea posible utilizar la herramienta externa.
</t>
  </si>
  <si>
    <t>9.2.4</t>
  </si>
  <si>
    <t>Optimización y rendimiento</t>
  </si>
  <si>
    <t xml:space="preserve">Capacidad de un sitio web para manejar el aumento en el tráfico y la demanda sin comprometer la estabilidad o la rapidez de respuesta.
</t>
  </si>
  <si>
    <t xml:space="preserve">¿La portada del sitio cumple con un resultado sobre 60 en el parámetro rendimiento de Google PageSpeed Insights para la opción escritorio (ordenador)? 
Para verificar se debe entrar en el sitio web PageSpeed Insights, ingresar la URL de la portada del sitio y accionar el botón "Analizar". Luego del análisis se podrá ver el valor que otorga para el indicador "Rendimiento", bajo el subtítulo "Diagnostica problemas de rendimiento".
</t>
  </si>
  <si>
    <t xml:space="preserve">¿La portada del sitio cumple con un resultado sobre 60 en el parámetro rendimiento de Google PageSpeed Insights para la opción celulares (móvil)? 
Para verificar se debe entrar en el sitio web PageSpeed Insights, ingresar la URL de la portada del sitio y accionar el botón "Analizar". Luego del análisis se podrá ver el valor que otorga para el indicador "Rendimiento", bajo el subtítulo "Diagnostica problemas de rendimiento".
</t>
  </si>
  <si>
    <t>9.2.5</t>
  </si>
  <si>
    <t>Versión de impresión</t>
  </si>
  <si>
    <t xml:space="preserve">Adaptación del contenido para una óptima impresión. La finalización de un trámite, sea ésta una página de entrega de información o un certificado, debe poder imprimirse sin dificultad o alteraciones significativas de su apariencia.
</t>
  </si>
  <si>
    <t>¿Los contenidos tienen una versión de impresión optimizada?
Por ejemplo, al revisar con Ctrl + P, el contenido se muestra sin elementos que dificulten su lectura. La navegación del sitio no aparece, pero sí el nombre o logo institucional.</t>
  </si>
  <si>
    <t xml:space="preserve">¿Los certificados o documentos descargables están optimizados para imprimirse sin dificultades o alteraciones significativas de su apariencia?
La opción "No aplica" es solo para el caso en que no se encuentren documentos.
</t>
  </si>
  <si>
    <t>9.3</t>
  </si>
  <si>
    <t>9.3.1</t>
  </si>
  <si>
    <t>Javascript sin errores</t>
  </si>
  <si>
    <t xml:space="preserve">Ausencia de errores de JavaScript en la consola del navegador.
</t>
  </si>
  <si>
    <t xml:space="preserve">¿El código JavaScript está libre de errores en la consola del navegador? 
Por ejemplo: no figuran errores en la consola del navegador. 
Para la verificación se ingresa en la pestaña "Consola" (en inglés "Console") del inspector de código de Google Chrome (opción "Inspeccionar" en el botón secundario o derecho del mouse). En la consola pueden aparecer filas horizontales que muestren advertencias y errores, en el caso de aparecer filas resaltadas con un fondo de color rojo pálido significa que existen errores.
</t>
  </si>
  <si>
    <t xml:space="preserve">Atención a la ciudadanía </t>
  </si>
  <si>
    <t>Recursos y documentación que ayuden a la persona usuaria a responder sus consultas y necesidades que surjan al utilizar un producto digital. Es recomendable contar con múltiples canales de comunicación para satisfacer las necesidades de soporte.</t>
  </si>
  <si>
    <t>10.1</t>
  </si>
  <si>
    <t>10.1.1</t>
  </si>
  <si>
    <t>Contacto</t>
  </si>
  <si>
    <t>Oferta de múltiples vías de comunicación de las personas usuarias con los puntos de contacto del organismo.</t>
  </si>
  <si>
    <t xml:space="preserve">¿Se presentan vías de comunicación entre las personas usuarias y el organismo? 
Por ejemplo: formulario de contacto, correo electrónico, teléfono.
</t>
  </si>
  <si>
    <t xml:space="preserve">¿Existe un enlace a la Oficina de Información, Reclamos y Sugerencias (OIRS)?
La opción "No aplica" es solo para el caso de que el sitio corresponda a las siguientes entidades: ministerios, intendencias, gobernaciones, empresas públicas creadas por Ley y diversos servicios públicos.
</t>
  </si>
  <si>
    <t>10.1.2</t>
  </si>
  <si>
    <t>Horario de atención</t>
  </si>
  <si>
    <t xml:space="preserve">Información de horarios de atención en los cuales se pueda acceder a los servicios ofrecidos por la institución.
</t>
  </si>
  <si>
    <t xml:space="preserve">¿Existe y es visible al menos en la portada la información sobre los horarios de atención?
La opción "No aplica" es solo para el caso en que el organismo no tenga atención al público.
</t>
  </si>
  <si>
    <t>10.2</t>
  </si>
  <si>
    <t>10.2.1</t>
  </si>
  <si>
    <t>Recursos de apoyo y documentación</t>
  </si>
  <si>
    <t xml:space="preserve">Presencia de recursos y documentación de ayuda a las personas usuarias para responder sus consultas y necesidades de información que les surjan al utilizar un sitio web o servicios digitales.
</t>
  </si>
  <si>
    <t xml:space="preserve">¿Ofrece un área de preguntas frecuentes con datos de ayuda a las personas usuarias?
</t>
  </si>
  <si>
    <t xml:space="preserve">¿Se presentan documentos o recursos de información para que la persona usuaria entienda los trámites y procesos? 
Por ejemplo: guías, tutoriales, videos explicativos, manuales descargables.
La opción "No aplica" es solo para el caso en que no existan trámites o servicios en el sitio web examinado.
</t>
  </si>
  <si>
    <t>10.2.2</t>
  </si>
  <si>
    <t>Sección de ayuda</t>
  </si>
  <si>
    <t xml:space="preserve">Existencia de una sección especialmente dedicada a la ayuda para las personas usuarias, que reúna tanto los canales de atención como la documentación.
</t>
  </si>
  <si>
    <t xml:space="preserve">¿Existe una sección o mesa de ayuda en el sitio web?
</t>
  </si>
  <si>
    <t xml:space="preserve">El enlace a la sección de ayuda, ¿está ubicado en una zona visible y destacada?
La opción "No aplica" es solo para el caso en que no exista una sección o mesa de ayuda.
</t>
  </si>
  <si>
    <t>10.2.3</t>
  </si>
  <si>
    <t>Asistencia en línea</t>
  </si>
  <si>
    <t>Canales de atención al ciudadano de manera sincrónica para satisfacer las necesidades de soporte que tengan las personas usuarias.</t>
  </si>
  <si>
    <t xml:space="preserve">¿Se presentan canales de atención interactivos o en tiempo real para las personas usuarias? 
Por ejemplo: chat, teléfono de atención, videollamada, asistentes virtuales.
</t>
  </si>
  <si>
    <t xml:space="preserve">¿Es fácil contactarse con alguien para ser asistido ante una consulta? 
Por ejemplo: hacer una pregunta de prueba en un chat, contactar a través de un teléfono o correo electrónico.
</t>
  </si>
  <si>
    <t xml:space="preserve">En el caso de los chatbots generados con inteligencia artificial, ¿se le advierte al usuario claramente que es una herramienta automatizada y no una persona real?
La opción "No aplica" es solo para el caso en que no existan chatbots.
</t>
  </si>
  <si>
    <t xml:space="preserve">¿Se evita denominar estos chatbots con nombres propios para minimizar el riesgo de confusión para las personas usuarias? Por ejemplo: SofIA o ClaudIA.
La opción "No aplica" es solo para el caso en que no existan chatbots.
</t>
  </si>
  <si>
    <t>10.3</t>
  </si>
  <si>
    <t>10.3.1</t>
  </si>
  <si>
    <t>Espacios participativos</t>
  </si>
  <si>
    <t xml:space="preserve">Presencia de espacios para promover la democracia participativa donde se recoja la opinión de la ciudadanía y fomenten hábitos de socialización.
</t>
  </si>
  <si>
    <t xml:space="preserve">¿Se presentan en el sitio encuestas, consultas ciudadanas o foros de debate donde se recabe la opinión de las personas usuarias y se fomente la participación activa?
</t>
  </si>
  <si>
    <t>Conjunto de objetos interactivos o no interactivos que contienen información representada por texto, imagen, video, animación, sonido u otro tipo de medios.</t>
  </si>
  <si>
    <t>11.1</t>
  </si>
  <si>
    <t>11.1.1</t>
  </si>
  <si>
    <t>Derechos de uso de imágenes, videos y archivos de audio</t>
  </si>
  <si>
    <t>Posesión de los derechos de uso de imágenes, videos o audios publicados en un sitio web.</t>
  </si>
  <si>
    <t xml:space="preserve">¿El sitio presenta imágenes, videos y archivos de audio propios? 
Por ejemplo: una manera de comprobar autoría es buscando una imagen del sitio en el buscador de imágenes de Google.
</t>
  </si>
  <si>
    <t xml:space="preserve">Si se utiliza contenido ajeno, ¿se declara la fuente o autoría y se menciona el respectivo permiso de uso del autor o propietario? 
Por ejemplo: "Foto: Juan Pérez, licenciada bajo CC BY 4.0 Internacional", "Video cortesía de Memoria Chilena".
La opción "No aplica" es solo para el caso en que no exista contenido ajeno.
</t>
  </si>
  <si>
    <t>11.2</t>
  </si>
  <si>
    <t>11.2.1</t>
  </si>
  <si>
    <t>Complementariedad</t>
  </si>
  <si>
    <t xml:space="preserve">Uso de imágenes, videos y audios para complementar la información publicada en los contenidos.
</t>
  </si>
  <si>
    <t xml:space="preserve">¿Las imágenes, videos y audios publicados en el sitio web complementan (representan elementos de apoyo) los contenidos publicados? 
Por ejemplo: en un contenido referente a cómo obtener la Clave Única, además del texto explicando secuencialmente los pasos que se deben seguir, se puede agregar un video mostrando el paso a paso en la pantalla de un computador, tablet o celular al realizar el trámite. De este modo, el material audiovisual complementa lo expresado a través de texto.
</t>
  </si>
  <si>
    <t>11.2.2</t>
  </si>
  <si>
    <t>Formato de imágenes</t>
  </si>
  <si>
    <t>Especificaciones técnicas de las imágenes publicadas en un sitio web.</t>
  </si>
  <si>
    <t xml:space="preserve">¿Predomina el uso de imágenes en formato de nueva generación como WebP que proporciona una mejor compresión que JPG, PNG o GIF?
En el punto V de la guía, puede consultar cómo verificar el formato de las imágenes.
</t>
  </si>
  <si>
    <t xml:space="preserve">¿Las imágenes pesan menos de 600 KB para no ralentizar la carga de la página?
En el punto V de la guía, puede consultar cómo verificar el peso de las imágenes.
</t>
  </si>
  <si>
    <t>11.2.3</t>
  </si>
  <si>
    <t>Formato de videos</t>
  </si>
  <si>
    <t>Especificaciones técnicas de los videos publicados en un sitio web.</t>
  </si>
  <si>
    <t xml:space="preserve">¿Los videos tienen la calidad adecuada para su correcta visualización? 
Por ejemplo: el video no demora en cargar y la imagen se ve nítida.
La opción "No aplica" es solo para el caso en que no existan videos en el sitio web.
</t>
  </si>
  <si>
    <t xml:space="preserve">¿Los videos tienen título y descripción?
La opción "No aplica" es solo para el caso en que no existan videos en el sitio web.
</t>
  </si>
  <si>
    <t xml:space="preserve">¿Se usa streaming adaptable para adecuar la calidad del video según el dispositivo y velocidad de conexión? 
Por ejemplo: el video demora menos de 2 segundos en comenzar a reproducirlo.
La opción "No aplica" es solo para el caso en que no existan videos en el sitio web.
</t>
  </si>
  <si>
    <t>11.2.4</t>
  </si>
  <si>
    <t>Formato de audios</t>
  </si>
  <si>
    <t>Especificaciones técnicas de los audios publicados en un sitio web.</t>
  </si>
  <si>
    <t xml:space="preserve">¿Los audios tienen la calidad de sonido adecuada y el volumen mínimo por defecto para su correcta audición? 
La opción "No aplica" es solo para el caso en que no existan audios en el sitio web.
</t>
  </si>
  <si>
    <t xml:space="preserve">¿Los audios tienen título y texto de descripción?
La opción "No aplica" es solo para el caso en que no existan audios en el sitio web.
</t>
  </si>
  <si>
    <t>Incorporación de la perspectiva de género en un sitio web, a través de acciones como el uso de lenguaje inclusivo y la proporcionalidad de representación en contenidos o materiales audiovisuales, para evitar reproducir desigualdades e inequidades.</t>
  </si>
  <si>
    <t>12.1</t>
  </si>
  <si>
    <t>12.1.1</t>
  </si>
  <si>
    <t>Lenguaje inclusivo</t>
  </si>
  <si>
    <t>Expresión verbal, escrita o visual que visibiliza lo femenino y masculino, elimina estereotipos, el sexismo, el androcentrismo y el masculino como genérico universal. Se fundamenta en una comunicación institucional basada en los principios de igualdad, respeto y no discriminación.</t>
  </si>
  <si>
    <t xml:space="preserve">¿Se utiliza un lenguaje inclusivo, respetuoso de la diversidad y que no reproduzca estereotipos de género? 
Por ejemplo:
- Aplicar sustitutos de las palabras que pueden incluir algún sesgo de género, duplicando artículos que determinan el sustantivo ("Las y los beneficiarios").
- Prescindir de la referencia al sujeto y recurrir a formas pasivas ("Se deben cumplir los requisitos de postulación").
- Usar formas no personales del verbo ("Es necesario considerar").
- Usar pronombres sin marca de género ("Quien suscribe", "Cada postulante", "Cada persona puede postular").
- Quitar el artículo y usar determinantes sin marca de género ("Cualquier integrante puede acceder").
- Reemplazar genéricos masculinos comúnmente utilizados (en vez de "Niños", usar "Infancia", en vez de "Beneficiarios", usar "Personas beneficiarias", en vez de "Ciudadanos", usar "Ciudadanía").
</t>
  </si>
  <si>
    <t xml:space="preserve">¿Los contenidos del sitio están libres de palabras o términos discriminatorios? 
Por ejemplo: frases o términos sexistas o discriminatorios como "El que te quiere te aporrea", "Calladita te ves más bonita", "Los hombres no lloran".
</t>
  </si>
  <si>
    <t>12.2</t>
  </si>
  <si>
    <t>12.2.1</t>
  </si>
  <si>
    <t>Fotografías y videos con enfoque de género</t>
  </si>
  <si>
    <t>Uso de imágenes y videos con perspectiva de género, respetando principios de igualdad, respeto y no discriminación.</t>
  </si>
  <si>
    <t xml:space="preserve">¿Las imágenes del sitio están libres de sexismo y estereotipos de género?
Por ejemplo: no se identifican profesiones ni actividades exclusivamente como femeninas o masculinas (como representar la ingeniería con fotos sólo masculinas o en el caso de la educación parvularia, con fotos solo femeninas); se evita asociar a través de las imágenes las tareas domésticas y de cuidado solo a mujeres.
</t>
  </si>
  <si>
    <t xml:space="preserve">Cuando se utiliza musicalización en videos o archivos de audios, ¿las letras de canciones utilizadas están libres de sexismo y de palabras o términos discriminatorios?
La opción "No aplica" es solo para el caso en que no existan videos en el sitio web.
</t>
  </si>
  <si>
    <t>12.2.2</t>
  </si>
  <si>
    <t>Representatividad</t>
  </si>
  <si>
    <t>Proporcionalidad de género en los contenidos, imágenes, videos y audios publicados en un sitio web.</t>
  </si>
  <si>
    <t xml:space="preserve">¿Es proporcional por género la representatividad en contenidos, imágenes, videos y audios publicados?
</t>
  </si>
  <si>
    <t>12.3</t>
  </si>
  <si>
    <t>12.3.1</t>
  </si>
  <si>
    <t>Formularios representativos</t>
  </si>
  <si>
    <t xml:space="preserve">Diseño de formularios con perspectiva de género, respetando principios de igualdad, respeto, diversidad y no discriminación.
</t>
  </si>
  <si>
    <t xml:space="preserve">En los formularios cuando se pregunta el género de quien responde, ¿además de "Femenino" y "Masculino", se incluye también a lo menos el campo "Otro"?
La opción "No aplica" se debe utilizar únicamente cuando no exista un formulario o el campo de género no esté presente.
</t>
  </si>
  <si>
    <t>12.3.2</t>
  </si>
  <si>
    <t>Noticias con enfoque de género</t>
  </si>
  <si>
    <t xml:space="preserve">Publicación de noticias con perspectiva de género, respetando principios de igualdad, respeto y no discriminación.
</t>
  </si>
  <si>
    <t xml:space="preserve">¿En las noticias se respeta el equilibrio entre géneros en la elección de especialistas o fuentes?
</t>
  </si>
  <si>
    <t>13.2</t>
  </si>
  <si>
    <t>13.2.1</t>
  </si>
  <si>
    <t>Diversidad en formularios</t>
  </si>
  <si>
    <t>Especial cuidado en la redacción de preguntas en formularios para considerar la diversidad de personas usuarias y evitar discriminaciones.</t>
  </si>
  <si>
    <t xml:space="preserve">¿En los campos de los formularios se considera una amplia diversidad de personas usuarias?
Por ejemplo: evitar que personas queden fuera de los rangos etarios del selector de un formulario; cautelar que aparezcan todas las comunas, pueblos originarios o credos religiosos.
La opción "No aplica" es solo para el caso en que no existan formularios en el sitio web y/o sean personas jurísdicas.
</t>
  </si>
  <si>
    <t>13.3</t>
  </si>
  <si>
    <t>13.3.1</t>
  </si>
  <si>
    <t>Versiones en otros idiomas</t>
  </si>
  <si>
    <t xml:space="preserve">Presencia de información en otros idiomas, especialmente para personas de pueblos originarios y migrantes que no hablen español.
</t>
  </si>
  <si>
    <t xml:space="preserve">¿Existe una versión o información en otro idioma? 
Por ejemplo: inglés, mapudungún, creole u otros.
</t>
  </si>
  <si>
    <t xml:space="preserve">¿El sitio web permite ser traducido con la opción de traducción automática del navegador?
Para verificar este aspecto, en Google Chrome al hacer clic con el botón secundario elegir la opción "Traducir al español" (aunque ya esté en ese idioma). Con ello se activa el icono de traducción al lado derecho de la URL en la barra de navegación, donde podemos añadir otro idioma y comprobar.
</t>
  </si>
  <si>
    <t>13.3.2</t>
  </si>
  <si>
    <t>Descentralización</t>
  </si>
  <si>
    <t>Especial cuidado en la redacción de los contenidos y acceso a los servicios para evitar un sesgo desde la centralización.</t>
  </si>
  <si>
    <t xml:space="preserve">¿Los contenidos y servicios están formulados con igualdad de oportunidades de acceso para personas usuarias de todas las regiones? 
Por ejemplo: evitar que los selectores de región de los formularios comiencen con la Región Metropolitana.
</t>
  </si>
  <si>
    <t>Incorporación de un enfoque inclusivo que responda a la diversidad y diferencias individuales, garantizando igualdad de acceso a políticas y servicios públicos para todas y todos, sin importar características, habilidades u origen.</t>
  </si>
  <si>
    <t>14.1</t>
  </si>
  <si>
    <t>14.1.1</t>
  </si>
  <si>
    <t>Menús desplegables</t>
  </si>
  <si>
    <t xml:space="preserve">Cautela en el uso de menús desplegables, porque para algunas personas usuarias pueden significar una barrera de acceso, por ejemplo, personas con motricidad reducida.
</t>
  </si>
  <si>
    <t xml:space="preserve">En el caso de existir menús desplegables en el sitio web, ¿se pueden utilizar sin problemas? 
Por ejemplo: se puede navegar fácilmente por el menú desplegable sin que se cierre inesperadamente, no flotan sobre otros menús o imágenes en movimiento.
La opción "No aplica" es solo para el caso en que no existan menús desplegables en el sitio web.
</t>
  </si>
  <si>
    <t>14.2</t>
  </si>
  <si>
    <t>14.2.1</t>
  </si>
  <si>
    <t>Interpretación en lengua de señas chilena</t>
  </si>
  <si>
    <t xml:space="preserve">Presencia de interpretación en lengua de señas chilena para los contenidos audiovisuales.
</t>
  </si>
  <si>
    <t xml:space="preserve">¿Los videos cuentan con interpretación en lengua de señas chilena en un tamaño y formato entendible?
Por ejemplo: el video cuenta con un recuadro ubicado en el costado inferior derecho de la pantalla en el que el intérprete se ve claramente, diferenciándose del fondo y las señas se pueden distinguir y reconocer.
La opción "No aplica" es solo para el caso en que no existan videos en el sitio web.
</t>
  </si>
  <si>
    <t>14.3</t>
  </si>
  <si>
    <t>14.3.1</t>
  </si>
  <si>
    <t>Apto para daltonismo</t>
  </si>
  <si>
    <t xml:space="preserve">Preocupación en el diseño por considerar contrastes y combinaciones de color aptos para personas con daltonismo.
</t>
  </si>
  <si>
    <t xml:space="preserve">¿El diseño considera contrastes y combinaciones de color aptos para el daltonismo? 
Por ejemplo: esto se puede evaluar sacando una captura de pantalla del sitio web y revisando en el simulador de daltonismo del sitio web de Color Lite Lens, luego de subir la imagen seleccionar los distintos tipos de daltonismo y revisar uno a uno si con los cambios de color se pueden identificar correctamente los elementos y no se pierde información importante.
</t>
  </si>
  <si>
    <t>14.3.2</t>
  </si>
  <si>
    <t>Lectura fácil</t>
  </si>
  <si>
    <t xml:space="preserve">Método de creación y adaptación de textos que los hace más fáciles de comprender para personas con dificultades de comprensión lectora.
</t>
  </si>
  <si>
    <t xml:space="preserve">¿Se presenta al menos un texto redactado con la técnica de Lectura Fácil? 
Por ejemplo: es posible observar un texto organizado con frases sencillas y cortas; y, en caso de existir palabras poco comunes, estas cuentan con un cuadro con la definición al costado derecho. Los contenidos deben verse como los del sitio Planeta Inclusión.
</t>
  </si>
  <si>
    <t>14.3.3</t>
  </si>
  <si>
    <t>Escala de grises y alto contraste</t>
  </si>
  <si>
    <t xml:space="preserve">Opción para que las personas usuarias puedan cambiar los colores del sitio a escala de grises y alto contraste.
</t>
  </si>
  <si>
    <t>¿Las personas usuarias pueden modificar el diseño del sitio web o servicio digital para verlo en escala de grises o alto contraste por medio de un botón presente en el sitio?</t>
  </si>
  <si>
    <t>14.3.4</t>
  </si>
  <si>
    <t>Lector de texto incorporado</t>
  </si>
  <si>
    <t xml:space="preserve">Herramienta para la lectura de texto incorporada en el sitio web.
</t>
  </si>
  <si>
    <t xml:space="preserve">¿El sitio web o servicio digital cuenta con una opción de lector de texto?
</t>
  </si>
  <si>
    <t>Conjunto de acciones orientadas a extender los contenidos del sitio web a la ciudadanía, como la optimización para el posicionamiento en buscadores y difusión en redes sociales.</t>
  </si>
  <si>
    <t>15.1</t>
  </si>
  <si>
    <t>15.1.1</t>
  </si>
  <si>
    <t>Indexación en buscadores</t>
  </si>
  <si>
    <t>Habilitación del acceso de los robots de búsqueda para indexar el sitio mediante el metadato "robots" o el archivo "robots.txt".</t>
  </si>
  <si>
    <t xml:space="preserve">¿Está presente la meta etiqueta "robots" sin los parámetros "noindex", "nofollow" o "none"? 
Por ejemplo: al buscar la palabra "robots" con CTRL+F en el código fuente de la página, la referencia "&lt;meta name='robots' content='noindex'&gt;" no está presente. Tampoco cuando está con más de un valor: "&lt;meta name='robots' content='noindex,nofollow'/&gt;"
Si la meta etiqueta robots no está presente se debe responder afirmativamente a la pregunta.
</t>
  </si>
  <si>
    <t xml:space="preserve">Si existe un archivo denominado "robots.txt" en la raíz del sitio web, ¿este permite la indexación? 
Por ejemplo: si está presente el archivo "robots.txt" en la raíz del sitio web –es decir en la URL: "https://sitioejemplo.gob.cl/robots.txt"–, este no deniega el acceso. 
La denegación de acceso se podría ver de esta manera: 
User-agent: * 
Disallow: /
Si al ingresar a la URL https://sitioejemplo.gob.cl/robots.txt el navegador arroja un error, esto significa que el archivo no existe y se debe marcar que esta pregunta no aplica.
La opción "No aplica" es solo para el caso en que no exista el archivo "robots.txt" en el sitio web.
</t>
  </si>
  <si>
    <t>15.1.2</t>
  </si>
  <si>
    <t>Persistencia de las URLs</t>
  </si>
  <si>
    <t xml:space="preserve">Estabilidad de las direcciones web en el tiempo. En el caso de un cambio de dominio o URL, se aplica una redirección que permita no dejar enlaces rotos, para que se pueda seguir accediendo a las páginas y documentos. Ello porque cada URL de un sitio puede estar enlazada desde documentos o sitios externos.
</t>
  </si>
  <si>
    <t xml:space="preserve">¿El dominio del sitio web permanece estable y constante en el tiempo durante los últimos 5 años? </t>
  </si>
  <si>
    <t xml:space="preserve">¿En caso de rediseño o reubicación de páginas, es posible acceder a los contenidos del nuevo sitio desde las URLs de la versión anterior?
La opción "No aplica" solo si el sitio web no ha tenido rediseños o reubicaciones de páginas.
</t>
  </si>
  <si>
    <t>15.1.3</t>
  </si>
  <si>
    <t>Compatibilidad de URLs</t>
  </si>
  <si>
    <t xml:space="preserve">Uso exclusivo de letras minúsculas en la URL del sitio, evitando la utilización de caracteres especiales y tildes, para garantizar su compatibilidad y buen funcionamiento. 
</t>
  </si>
  <si>
    <t xml:space="preserve">¿La URL está compuesta solo de letras minúsculas y sin caracteres especiales ni tildes?
</t>
  </si>
  <si>
    <t xml:space="preserve">Las palabras que tienen la letra ñ, ¿en la URL la reemplazan por la letra n?
La opción "No aplica" es solo para el caso en que la URL no contenga palabras con la letra ñ.
</t>
  </si>
  <si>
    <t xml:space="preserve">En el caso de requerir la ñ dentro del nombre del dominio, ¿se redirecciona a la versión que con letra n?
La opción "No aplica" es solo para el caso en que la URL no contenga palabras con la letra ñ.
</t>
  </si>
  <si>
    <t>15.1.4</t>
  </si>
  <si>
    <t>Títulos indexables</t>
  </si>
  <si>
    <t xml:space="preserve">Presencia del tema principal de cada página del sitio en su título (etiqueta "title") para garantizar que el propósito de cada una sea claro para los motores de búsqueda.
</t>
  </si>
  <si>
    <t xml:space="preserve">Al revisar el código fuente, ¿el texto dentro de la etiqueta "title" utiliza el título o las palabras claves para identificar el contenido que la página contiene? 
Por ejemplo: en las primeras líneas se puede reconocer un código del tipo "&lt;title&gt;Ministerio de Salud - Gobierno de Chile&lt;/title&gt;" (sin comillas).
</t>
  </si>
  <si>
    <t xml:space="preserve">¿Cada página tiene una etiqueta "title" única que diferencia cada página dentro del sitio?
</t>
  </si>
  <si>
    <t>15.1.5</t>
  </si>
  <si>
    <t>Título principal en "h1"</t>
  </si>
  <si>
    <t>Uso de la etiqueta "h1" para describir el contenido principal de la página: ésta debe estar presente solo una vez en cada una.</t>
  </si>
  <si>
    <t xml:space="preserve">¿Está presente en la página el título principal dentro de la etiqueta "h1"? 
Por ejemplo: se puede buscar la referencia "&lt;h1" en el código fuente de la página.
</t>
  </si>
  <si>
    <t xml:space="preserve">¿El título "h1" utiliza las palabras claves para identificar el contenido que la página contiene?
</t>
  </si>
  <si>
    <t xml:space="preserve">¿Existe solo un título identificado con la etiqueta "h1" dentro del código fuente de la página?
</t>
  </si>
  <si>
    <t>15.1.6</t>
  </si>
  <si>
    <t>Facilitar compartir en redes sociales</t>
  </si>
  <si>
    <t xml:space="preserve">Facilidad para que las páginas de contenidos del sitio web se compartan, con el uso de metadatos apropiados, a través de redes sociales con una previsualización.
</t>
  </si>
  <si>
    <t xml:space="preserve">¿Se genera una previsualización que muestra una imagen y el título del contenido al compartir el contenido por redes sociales? 
Por ejemplo: al pegar la URL de un contenido del sitio web en una conversación en WhatsApp el mensaje genera una vista previa con una foto y título del contenido.
</t>
  </si>
  <si>
    <t>15.1.7</t>
  </si>
  <si>
    <t>Publicidad en sitio y videos</t>
  </si>
  <si>
    <t>Precaución de no mostrar publicidad que anuncie o promocione productos, servicios o marcas externas a la organización en el sitio web o en videos incrustados.</t>
  </si>
  <si>
    <t xml:space="preserve">Durante la revisión del sitio web no se observa publicidad externa a la organización.
</t>
  </si>
  <si>
    <t xml:space="preserve">En caso de haber algún video en el sitio web, no se observa publicidad externa a la organización.
La opción "No aplica" es solo para el caso en que no existan videos en el sitio web.
</t>
  </si>
  <si>
    <t>15.2</t>
  </si>
  <si>
    <t>15.2.1</t>
  </si>
  <si>
    <t>Legibilidad de las URLs</t>
  </si>
  <si>
    <t>Preocupación por el uso de URLs amigables para las personas usuarias y semánticas para buscadores.</t>
  </si>
  <si>
    <t xml:space="preserve">¿Para separar palabras dentro de la URL se usa guión medio? 
Por ejemplo: "https://sitioejemplo.gob.cl/palabras-separadas".
</t>
  </si>
  <si>
    <t xml:space="preserve">¿Las URLs que quedan fijas al ingresar al sitio corresponden a la raíz y no se añaden segmentos o directorios internos?
Por ejemplo: se puede comprobar si termina en ".cl" y no aparece más texto del tipo "index.php", "/#/pages/body/" o "/01/w3-channel.html"
</t>
  </si>
  <si>
    <t>15.2.2</t>
  </si>
  <si>
    <t>Metadescripción de páginas</t>
  </si>
  <si>
    <t>Correcta descripción de cada página al entregar información sobre su contenido en la meta etiqueta "description".</t>
  </si>
  <si>
    <t xml:space="preserve">¿La metaetiqueta "description" utiliza las palabras claves para identificar el contenido que esta contiene y lo hace en menos de 160 caracteres? 
Por ejemplo: al revisar el código fuente del sitio del Ministerio de Salud, se podría leer una línea del tipo "&lt;meta name="description" content="El Minsal fija políticas de salud pública y prevención de enfermedades y coordina las redes asistenciales de Chile"&gt;". 
Para medir la extensión de caracteres con espacio, puede usar la opción "Contar palabras" de Microsoft Word o la herramienta en línea Word Counter. 
</t>
  </si>
  <si>
    <t xml:space="preserve">¿Las metaetiquetas "description" son únicas para cada página en el sitio web?
</t>
  </si>
  <si>
    <t xml:space="preserve">¿Las metaetiquetas "description" están centradas en el valor agregado entregado por cada página y de forma completamente clara?
</t>
  </si>
  <si>
    <t>15.2.3</t>
  </si>
  <si>
    <t>Patrones engañosos</t>
  </si>
  <si>
    <t xml:space="preserve">Estrategias y técnicas poco éticas que se utilizan en los sitios web, que obligan a las personas usuarias a realizar una acción que no desean, como comprar un producto o registrarse en algún servicio.
</t>
  </si>
  <si>
    <t xml:space="preserve">¿El sitio web está libre de preguntas que parecen plantear una cosa, pero al leerlas detenidamente se revela una pregunta totalmente distinta? Por ejemplo: la persona usuaria puede ser manipulada para proporcionar una respuesta que no pretendía ofrecer (mientras completa un formulario, responde a una pregunta que la engaña para dar una respuesta no deseada).
</t>
  </si>
  <si>
    <t xml:space="preserve">¿El sitio web evita testimonios de personas usuarias cuyo origen no está claro o no son creíbles y confiables?
</t>
  </si>
  <si>
    <t xml:space="preserve">¿El sitio permite a la persona usuaria completar su tarea u obtener un servicio sin requerir acciones forzadas?
Por ejemplo: no es necesario registrar una cuenta o suscribirse a un boletín informativo para avanzar.
</t>
  </si>
  <si>
    <t>15.2.4</t>
  </si>
  <si>
    <t>Presencia de redes sociales</t>
  </si>
  <si>
    <t xml:space="preserve">Visualización de los enlaces de las cuentas oficiales en redes sociales de la institución o servicio digital. 
</t>
  </si>
  <si>
    <t>¿Se encuentran presentes enlaces a las cuentas de redes sociales oficiales del servicio en las zonas permanentes del sitio, como la cabecera o el pie de página?</t>
  </si>
  <si>
    <t>15.3</t>
  </si>
  <si>
    <t>15.3.1</t>
  </si>
  <si>
    <t>Datos estructurados</t>
  </si>
  <si>
    <t>Presencia de datos estructurados dentro de los contenidos estratégicos del sitio web como: artículos, noticias, eventos, videos y preguntas frecuentes.</t>
  </si>
  <si>
    <t xml:space="preserve">¿Se utilizan etiquetas de marcado schema.org? 
Por ejemplo: se puede buscar la referencia "https://schema.org/NewsArticle" en el código fuente de una noticia o en una actividad o evento de calendario se puede buscar la referencia "https://schema.org/Event" en el código fuente para confirmar su uso.
</t>
  </si>
  <si>
    <t>15.3.2</t>
  </si>
  <si>
    <t>Dominio representativo</t>
  </si>
  <si>
    <t>Representatividad del tema principal de la institución en el dominio del sitio web.</t>
  </si>
  <si>
    <t xml:space="preserve">¿El dominio incorpora el nombre, palabra clave o tema más representativo de la institución?
Por ejemplo: se privilegian URLs del tipo "concepto.gob.cl" o "tema.gob.cl" por sobre una sigla o el tipo de organización o plataforma.
</t>
  </si>
  <si>
    <t>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t>
  </si>
  <si>
    <t>16.1</t>
  </si>
  <si>
    <t>16.1.1</t>
  </si>
  <si>
    <t>Transparencia activa</t>
  </si>
  <si>
    <t>Presencia actualizada de la información pública relacionada con el funcionamiento administrativo y financiero de la institución, tal como lo indica la Ley de Transparencia de la Función Pública y de Acceso a la Información de la Administración del Estado (Ley 20.285), más conocida como Ley de Transparencia. Esta información puede estar disponible en el propio sitio de la institución o en el Portal de Transparencia.</t>
  </si>
  <si>
    <t xml:space="preserve">¿El sitio presenta un botón de acceso a la información pública de la institución de manera fácil de identificar y acceso expedito? 
</t>
  </si>
  <si>
    <t xml:space="preserve">¿Presenta información sobre actos administrativos y documentos publicados en Diario Oficial?
</t>
  </si>
  <si>
    <t xml:space="preserve">¿Presenta información sobre las potestades del organismo y su marco normativo?
</t>
  </si>
  <si>
    <t xml:space="preserve">¿Presenta información sobre la estructura orgánica, sus facultades, funciones y atribuciones?
</t>
  </si>
  <si>
    <t xml:space="preserve">¿Presenta información sobre el personal de planta, a contrata y a honorarios, con sus remuneraciones?
</t>
  </si>
  <si>
    <t xml:space="preserve">¿Presenta información sobre las adquisiciones y contrataciones (compras públicas, actas de evaluación, contrataciones relativas a bienes inmuebles y otras compras)?
</t>
  </si>
  <si>
    <t xml:space="preserve">¿Presenta información sobre transferencias de fondos y aportes económicos entregados?
</t>
  </si>
  <si>
    <t xml:space="preserve">¿Presenta información sobre actos administrativos y resoluciones con efectos sobre terceras personas (patentes, permisos, derechos, concesiones, concursos otros)?
</t>
  </si>
  <si>
    <t xml:space="preserve">¿Presenta información sobre trámites ante el organismo? 
Por ejemplo: ChileAtiende.
</t>
  </si>
  <si>
    <t xml:space="preserve">¿Presenta información sobre subsidios y beneficios (nómina de beneficiarios)?
</t>
  </si>
  <si>
    <t xml:space="preserve">¿Presenta información sobre los mecanismos de participación ciudadana (normativa, actas y mecanismos)?
</t>
  </si>
  <si>
    <t xml:space="preserve">¿Presenta su información presupuestaria (gastos de avisaje y publicidad, presupuesto del organismo, y gastos de representación, protocolo y ceremonial)?
</t>
  </si>
  <si>
    <t xml:space="preserve">¿Presenta información sobre auditorías al ejercicio presupuestario y aclaraciones?
</t>
  </si>
  <si>
    <t xml:space="preserve">¿Presenta información sobre la participación en otras entidades?
</t>
  </si>
  <si>
    <t xml:space="preserve">¿Presenta información sobre los antecedentes preparatorios de normas jurídicas generales que afecten a empresas de menor tamaño?
</t>
  </si>
  <si>
    <t>16.1.2</t>
  </si>
  <si>
    <t>Declaración de patrimonio e intereses</t>
  </si>
  <si>
    <t xml:space="preserve">Información de las autoridades y funcionarios dando cuenta de dónde permanecen sus intereses y a cuánto asciende su patrimonio al asumir y mientras permanecen en sus cargos. Siguiendo el principio de probidad administrativa, la declaración busca transparentar las relaciones económicas y patrimoniales que pueden afectar la imparcialidad al momento de la toma de decisiones, y se encuentra regulada por la Ley sobre Probidad en la Función Pública y Prevención de los Conflictos de Intereses (Ley 20.880).
</t>
  </si>
  <si>
    <t xml:space="preserve">¿El sitio presenta las declaraciones de intereses y patrimonio (DIP) de sus autoridades y funcionarios? O, en su defecto, ¿cuenta con un contenido con información sobre las DIP enlazando el portal web de la Contraloría General de la República (declaracionjurada.cl)?
</t>
  </si>
  <si>
    <t>16.1.3</t>
  </si>
  <si>
    <t>Transparencia pasiva</t>
  </si>
  <si>
    <t>Disposición visible del canal de consulta o solicitud de información pública que cualquier persona puede realizar a la institución, tal como lo indica la Ley de Transparencia de la Función Pública y de Acceso a la Información de la Administración del Estado (Ley 20.285), más conocida como Ley de Transparencia.</t>
  </si>
  <si>
    <t xml:space="preserve">¿El sitio cuenta con un canal de Transparencia de fácil identificación y acceso expedito para realizar las solicitudes de información pública de la institución? 
Por ejemplo: mediante un correo electrónico o formulario. 
</t>
  </si>
  <si>
    <t xml:space="preserve">¿Están expresamente publicados los requisitos y plazos para cumplir las solicitudes de información pública? 
Por ejemplo: "Una vez ingresada una solicitud de información pública, la institución cuenta con un plazo máximo de 20 días hábiles..."
</t>
  </si>
  <si>
    <t>16.1.4</t>
  </si>
  <si>
    <t>Banner de Transparencia</t>
  </si>
  <si>
    <t xml:space="preserve">Ícono, botón o sección ubicada en portada de la institución a través de la cual se accede de manera diferenciada a la información pública (Transparencia Activa) y al canal de consulta o solicitud de información pública (Solicitud de Acceso a Información).
</t>
  </si>
  <si>
    <t xml:space="preserve">¿El sitio posee un botón, banner o sección fija claramente diferenciable para acceder a la información de "Transparencia" y otro para "Solicitar información"?
</t>
  </si>
  <si>
    <t xml:space="preserve">¿Se encuentra ubicado en la parte inferior de cada página? 
</t>
  </si>
  <si>
    <t>¿El botón o banner posee algún ícono como ayuda diferenciadora? 
Por ejemplo: que el botón de transparencia activa incluya un símbolo de una página de texto y que el botón para solicitar información incluya la letra i minúscula, tal como se sugiere en el sitio web del Consejo para la Transparencia y se muestra en la sección VIII) de la Guía</t>
  </si>
  <si>
    <t>16.1.5</t>
  </si>
  <si>
    <t>Acceso abierto</t>
  </si>
  <si>
    <t xml:space="preserve">Disponibilidad inmediata –sin requerimientos de registro, suscripción o pago– para acceder o descargar los datos, tablas y documentos con información relevante que deba generar la institución.
</t>
  </si>
  <si>
    <t>¿Las personas usuarias pueden acceder a los datos, tablas y documentos publicados en el sitio de manera abierta, sin necesidad de registro y de forma gratuita? 
Por ejemplo: datos geográficos, meteorológicos, de tráfico, de la gestión del Gobierno, el uso de los recursos fiscales, de salud, permisos de circulación, patentes entregadas, listado de colegios, organizaciones comunitarias entre otros.</t>
  </si>
  <si>
    <t>16.2</t>
  </si>
  <si>
    <t>16.2.1</t>
  </si>
  <si>
    <t>Lobby y gestión de intereses</t>
  </si>
  <si>
    <t>Información sobre las audiencias y reuniones, viajes y donativos recibidos por las autoridades del organismo en la actividad de lobby y en la gestión de intereses particulares, con el objeto de fortalecer la transparencia y probidad en las relaciones con los órganos del Estado. Esta información puede estar disponible en el propio sitio de la institución o en la Plataforma de Ley del Lobby.</t>
  </si>
  <si>
    <t xml:space="preserve">¿El sitio presenta información sobre sus autoridades y funcionarios (titulares, suplentes, subrogantes o transitorios) frente a los cuales se realiza lobby o gestión de intereses (sujetos pasivos)?
</t>
  </si>
  <si>
    <t xml:space="preserve">¿Presenta información sobre el listado de registro público de lobbistas y de gestores de intereses particulares (sujetos activos)?
</t>
  </si>
  <si>
    <t xml:space="preserve">¿Presenta información sobre las audiencias y reuniones llevadas a cabo por sus autoridades y funcionarios (sujetos pasivos) con personas o entidades, chilenas o extranjeras promotoras, defensoras o representantes de un interés particular (lobistas, sujetos activos)? 
</t>
  </si>
  <si>
    <t xml:space="preserve">¿Presenta un contenido o formulario de solicitud de audiencia con sus autoridades o funcionarios?
</t>
  </si>
  <si>
    <t xml:space="preserve">¿Presenta información sobre los viajes realizados por sus autoridades y funcionarios en el ejercicio de sus funciones?
</t>
  </si>
  <si>
    <t xml:space="preserve">¿Presenta información sobre los donativos recibidos por sus autoridades y funcionarios en el ejercicio de sus funciones?
</t>
  </si>
  <si>
    <t xml:space="preserve">¿Presenta información sobre la normativa aplicable?
</t>
  </si>
  <si>
    <t>16.2.2</t>
  </si>
  <si>
    <t>Facilidad de lectura y usabilidad</t>
  </si>
  <si>
    <t xml:space="preserve">Disposición en el sitio web de la información pública de manera que facilite su lectura, comprensión y utilización, acogiendo buenas prácticas de orden, diseño y formato de los contenidos y documentos para que las personas usuarias puedan encontrar y entender la información sin necesidad de invertir una gran cantidad de tiempo y esfuerzos, o de tener conocimientos sobre la institución.
</t>
  </si>
  <si>
    <t xml:space="preserve">¿Se dispone de la información de manera ordenada, simple y libre de restricciones técnicas? 
Por ejemplo: las remuneraciones del personal a contrata se disponen por orden alfabético en una página de contenido y no como un archivo PDF.
</t>
  </si>
  <si>
    <t xml:space="preserve">¿Se privilegia la publicación de contenido en formato HTML por sobre el formato PDF o conjunto de documentos comprimidos?
</t>
  </si>
  <si>
    <t xml:space="preserve">¿La documentación en formato PDF corresponde a archivos abiertos (sin clave) y reutilizables, en vez de ser escaneos de otros documentos?
La opción "No aplica" es solo para el caso en que no se encuentren documentos.
</t>
  </si>
  <si>
    <t xml:space="preserve">¿El diseño y formato de los documentos es igual y consistente con todos los documentos dispuestos? 
Por ejemplo: que si la información del mes de marzo del ítem "Otras transferencias" se publicó en formato HTML, que la información de abril, mayo y todos los meses también se publique en el mismo formato.
</t>
  </si>
  <si>
    <t xml:space="preserve">¿El sitio informa un medio de contacto para notificar en caso de que exista alguna dificultad técnica respecto al sitio de Transparencia Activa?
</t>
  </si>
  <si>
    <t xml:space="preserve">¿El sitio incluye una sección que informe las personas usuarias que pueden presentar un reclamo por infracción a las normas sobre Transparencia Activa ante el Consejo para la Transparencia (en el caso de detectarse incumplimientos en la publicación)?
</t>
  </si>
  <si>
    <t>16.3</t>
  </si>
  <si>
    <t>16.3.1</t>
  </si>
  <si>
    <t>Transparencia proactiva</t>
  </si>
  <si>
    <t xml:space="preserve">Información pública de la gestión administrativa de la institución que se publica de manera adicional a la requerida por la Ley de Transparencia de la Función Pública y de Acceso a la Información de la Administración del Estado (Ley 20.285), más conocida como Ley de Transparencia.
</t>
  </si>
  <si>
    <t>¿El sitio del organismo presenta información en la que dé cuenta de su gestión administrativa o financiera más allá de la contemplada en la Ley de Transparencia? 
Por ejemplo: planes de gestión; comités de administración; estudios, publicaciones, encuestas; otros gastos o procedimientos.</t>
  </si>
  <si>
    <t>16.3.2</t>
  </si>
  <si>
    <t>Notas legales</t>
  </si>
  <si>
    <t xml:space="preserve">Presencia de una página que indique los aspectos legales concernientes al sitio web y presente a sus responsables o representantes legales.
</t>
  </si>
  <si>
    <t xml:space="preserve">¿El sitio web cuenta con un contenido sobre aspectos legales que presente a los responsables del sitio web?
</t>
  </si>
  <si>
    <t>16.3.3</t>
  </si>
  <si>
    <t>Reutilización</t>
  </si>
  <si>
    <t xml:space="preserve">Disponibilidad de los datos en bruto –sin requerimientos de registro, suscripción o pago ni restricciones de copyright– para que puedan ser reutilizados de modo que puedan crearse nuevas formas de información, interrelación, reusabilidad y nuevos usos.
</t>
  </si>
  <si>
    <t>¿El sitio cuenta con una sección específica donde se publican sus datos abiertos, instrucciones para su uso y descarga de un conjunto de datos, o en su defecto, un enlace hacia el sitio de Gobierno https://datos.gob.cl/? 
Por ejemplo: las bases de datos del Índice de Precios al Consumidor (IPC) en el sitio web del Instituto Nacional de Estadísticas (INE).</t>
  </si>
  <si>
    <t>Eliminación de las condiciones del sistema que confundan o induzcan a errores a las personas usuarias. Es clave verificarlas, ofrecer ejemplos y presentar una opción de confirmación antes de comprometerse con una acción.</t>
  </si>
  <si>
    <t>17.1</t>
  </si>
  <si>
    <t>17.1.1</t>
  </si>
  <si>
    <t>Entrega de información oportuna</t>
  </si>
  <si>
    <t>Presentación de información sobre los procesos que busca realizar la persona usuaria.</t>
  </si>
  <si>
    <t xml:space="preserve">¿Se presenta información sobre la temática que está revisando la persona usuaria antes de entrar al trámite? 
Por ejemplo: se señala con un enlace "compra de bonos" y al entrar se inicia el proceso para comprar bonos.
La opción "No aplica" es solo para el caso en que no se presente información sobre un trámite.
</t>
  </si>
  <si>
    <t>17.1.2</t>
  </si>
  <si>
    <t>Diseño de formularios</t>
  </si>
  <si>
    <t>Entrega de información clara sobre los errores ocurridos durante el proceso de envío de un formulario.</t>
  </si>
  <si>
    <t xml:space="preserve">¿Las etiquetas de los campos explican claramente cuáles datos debe entregar la persona usuaria? 
Por ejemplo: el campo de texto tiene una etiqueta "Teléfono" al lado.
La opción "No aplica" es solo para el caso en que no exista ningún formulario en el sitio web.
</t>
  </si>
  <si>
    <t xml:space="preserve">¿Las etiquetas para los campos explican claramente cuáles son requeridos (obligatorios)?
Por ejemplo: se indica la obligatoriedad de un campo con un asterisco.
La opción "No aplica" es solo para el caso en que no exista ningún formulario en el sitio web.
</t>
  </si>
  <si>
    <t xml:space="preserve">¿Se presentan ejemplos o información contextual sobre el correcto modo de llenado de los campos? 
Por ejemplo: "RUT sin puntos y con guion: 12345789-0".
La opción "No aplica" es solo para el caso en que no exista ningún formulario en el sitio web.
</t>
  </si>
  <si>
    <t xml:space="preserve">¿El sistema genera una alerta visual en tiempo real cuando un dato no se está ingresando correctamente? 
Por ejemplo: la persona usuaria se equivocó al ingresar su RUT y el campo se marca con un borde de color rojo y abajo del señala "RUT incorrecto".
La opción "No aplica" es solo para el caso en que no exista ningún formulario en el sitio web.
</t>
  </si>
  <si>
    <t xml:space="preserve">¿Se informa a la persona usuaria cuál es el error en la información ingresada? 
Por ejemplo: no se ingresó el RUT que era un campo obligatorio y al enviar el formulario este señala claramente "Debe ingresar un RUT"; o se indica "La contraseña debe tener por lo menos 6 caracteres" en vez de tan solo "contraseña no válida".
La opción "No aplica" es solo para el caso en que no exista ningún formulario en el sitio web.
</t>
  </si>
  <si>
    <t xml:space="preserve">¿Los formularios permiten cancelar o rehacer una acción?
Por ejemplo, al avanzar en un formulario con múltiples pasos, existe un botón con la etiqueta "Atrás" para regresar a la ventana anterior.
La opción "No aplica" es sólo si el sitio web no tiene formularios o si estos son simples (de un solo paso) y no requieren navegación entre secciones.
</t>
  </si>
  <si>
    <t xml:space="preserve">¿El formulario automáticamente introduce el formateo de los datos? 
Por ejemplo: las personas usuarias no necesitan introducir caracteres como "." o "-" al ingresar su RUT. En el caso de ingresar estos caracteres el sistema lo reconoce de igual forma.
La opción "No aplica" es solo para el caso en que no exista ningún formulario en el sitio web.
</t>
  </si>
  <si>
    <t xml:space="preserve">¿En los campos del formulario solo se pueden ingresar los datos que se solicitan? 
Por ejemplo: si en un campo solo se pide que ingrese números, el campo no aceptará otro tipo de caracteres.
La opción "No aplica" es solo para el caso en que no exista ningún formulario en el sitio web.
</t>
  </si>
  <si>
    <t xml:space="preserve">Los formularios no contienen campos o datos duplicados.
Por ejemplo: en un selector, cada elemento aparece una sola vez y no se repite ninguno.
La opción "No aplica" es solo para el caso en que no exista ningún formulario en el sitio web.
</t>
  </si>
  <si>
    <t>17.2</t>
  </si>
  <si>
    <t>17.2.1</t>
  </si>
  <si>
    <t>Eliminación de las condiciones de la interfaz que induzcan a error en las personas usuarias. Los buenos mensajes de error son importantes, pero los mejores diseños evitan que los problemas ocurran.</t>
  </si>
  <si>
    <t xml:space="preserve">Antes de enviar una información o finalizar una interacción avanzada, ¿aparece una opción para confirmar que la acción se realizará? 
Por ejemplo: "¿Está segura/o de eliminar el archivo".
La opción "No aplica" es solo para el caso en que no exista ningún formulario en el sitio web o este sea sencillo sin interacción avanzada.
</t>
  </si>
  <si>
    <t xml:space="preserve">Antes de enviar un formulario, ¿la persona usuaria puede ver un resumen con la información?
La opción "No aplica" es solo para el caso en que no exista ningún formulario en el sitio web.
</t>
  </si>
  <si>
    <t xml:space="preserve">18. </t>
  </si>
  <si>
    <t>Condición del sitio web que permite a las personas usuarias acceder a la información expedita y oportuna, independiente de la calidad o tipo de dispositivo a través del que se está conectando.</t>
  </si>
  <si>
    <t>18.1</t>
  </si>
  <si>
    <t>18.1.1</t>
  </si>
  <si>
    <t xml:space="preserve">Velocidad de acceso
</t>
  </si>
  <si>
    <t xml:space="preserve">Rapidez con la que las personas usuarias pueden cargar y acceder al contenido de un sitio web. Es un factor crítico en la experiencia del usuario y puede influir significativamente en la retención de visitantes, la tasa de rebote y el posicionamiento en los motores de búsqueda.
</t>
  </si>
  <si>
    <t xml:space="preserve">¿El sitio web puede ser navegado con la velocidad más baja de Internet móvil? 
Por ejemplo: la página web carga en menos de 3 segundos con una conexión 3G de datos móviles.
1. Se puede realizar una prueba de rendimiento en Webpagetest, copiando la URL de la portada del sitio web y pegando en el sector que dice: "Enter a website URL...". 
2. Más abajo seleccionar la opción: "MOBILE 3G Mumbai, IN".
3. Luego iniciar el test presionando el botón "Start Test". 
4. Hay que esperar unos minutos y aparecerá el resultado. En el sector de "Speed Index" se verán los segundos aproximados que deben ser menores o iguales a 3.
La opción "No aplica" es solo para el caso en que no sea posible utilizar la herramienta externa.
</t>
  </si>
  <si>
    <t>18.1.2</t>
  </si>
  <si>
    <t xml:space="preserve">Compatibilidad de navegadores
</t>
  </si>
  <si>
    <t xml:space="preserve">Garantía de acceso y correcta visualización de los sitios web en los diversos navegadores de Internet.
</t>
  </si>
  <si>
    <t xml:space="preserve">¿El sitio web carga correctamente en los navegadores web más utilizados? 
Por ejemplo: Google Chrome, Mozilla Firefox, Safari y Microsoft Edge.
Se puede emular la visualización de una página web en otros navegadores con Google Chrome:
1. Primero presionar F12 para abrir el inspector
2. Luego, ir a los tres puntos verticales ubicados en el sector superior derecho y seleccionar "Más herramientas" (en inglés "More tools")
3. Seleccionar la opción que dice "Condiciones de red" (en inglés "Network conditions")
4. Después, buscar en lado izquierdo la opción "Usuario-agente" (en inglés "User agent"), y desmarcar la casilla de "Usar la configuración predeterminada del navegador" (en inglés "Use browser default")
5. Aparecerá un listado con varios navegadores, seleccione por ejemplo: Microsoft Edge (Chromium - Windows o Mac) y actualice el navegador con F5 para comprobar que la página visitada no presenta grandes cambios. 
6. Puede realizar la prueba cuantas veces estime conveniente, seleccionando otro navegador de la lista y actualizando con F5. 
7. Al terminar las pruebas, recuerde dejar los valores editados como estaban antes.
</t>
  </si>
  <si>
    <t>18.1.3</t>
  </si>
  <si>
    <t xml:space="preserve">Accesibilidad técnica
</t>
  </si>
  <si>
    <t xml:space="preserve">Capacidad de un sitio web para ser accesible y funcional en una amplia gama de dispositivos y tecnologías, sin importar las limitaciones técnicas o las preferencias de la persona usuaria. Esto implica que el sitio web debe ser diseñado y desarrollado de manera que pueda ser utilizado fácilmente por cualquier persona, independientemente del dispositivo que estén utilizando.
</t>
  </si>
  <si>
    <t xml:space="preserve">¿El sitio web está diseñado para cargar correctamente en cualquier dispositivo? 
Por ejemplo: que el sitio web sea correctamente visualizado en un celular de baja gama.
Se puede emular la visualización de una página web en otros dispositivos con Google Chrome:
1. Primero presionar F12 para abrir el inspector, luego ir al icono, que es un celular dentro de una pantalla de notebook, llamado "Activar o desactivar la barra de herramientas del dispositivo" (en inglés"Toggle device toolbar"), ubicado en el sector superior izquierdo y seleccionar.
2. De forma predeterminada, la barra de herramientas, ubicada en el centro superior de la pantalla, se abre con la opción "Dimensiones" (en inglés "Dimensions"), establecida en "Respuesta inmediata" o "Reactivo" (en inglés "Responsive").
3. Aquí puede elegir entre diversos dispositivos, por ejemplo: el iPhone SE y examinar cómo se comporta la página web, luego puede elegir otro dispositivo y así sucesivamente. 
4. Por otro lado, para emular una conexión más baja de Internet en el sector derecho está la opción "No hay limitación" (en inglés "No throttling"), aquí puede seleccionar "Dispositivos móviles de gama baja" (en inglés "Low-end mobile").
5. Luego, actualizar la página con F5 y observar cómo se va cargando la estructura del sitio. 
6. Con esto puede evaluar si la página web está diseñada para ser visualizada en los diversos dispositivos. 
7. Al terminar las pruebas, recuerde dejar los valores editados como estaban antes, seleccionando el icono de "Activar o desactivar la barra de herramientas del dispositivo" (en inglés "Toggle device toolbar").
</t>
  </si>
  <si>
    <t>18.1.4</t>
  </si>
  <si>
    <t xml:space="preserve">Independencia de conectividad
</t>
  </si>
  <si>
    <t xml:space="preserve">Grado de equidad con que el sitio web brinda acceso a la ciudadanía, independientemente de sus diversos dispositivos y la continuidad, la calidad de señal y la rapidez de su conexión a internet.
</t>
  </si>
  <si>
    <t xml:space="preserve">¿El sitio muestra la misma información en todos los tipos de conexión? 
Por ejemplo: el sitio web, independiente de que se utilicen datos móviles, wifi o por cable LAN (ethernet), carga todas las imágenes.
Para emular la visualización de una página web con una conexión lenta en Google Chrome:
1. Primero presionar F12 para abrir el inspector.
2. Luego, ir a los tres puntos verticales ubicados en el sector superior derecho y seleccionar "Más herramientas" (en inglés "More tools"). 
3. Seleccionar la opción que dice "Condiciones de red" (en inglés "Network conditions").
4. Después, seleccionar "Limitación de red" (en inglés "Network throttling") y elegir la opción de "3G" o "slow 3G". 
5. Finalmente, actualizar el navegador con F5 y para comprobar esto, la página visitada no debería presentar cambios. 
7. Al terminar las pruebas, recuerde dejar los valores editados como estaban antes.
</t>
  </si>
  <si>
    <t xml:space="preserve">¿El sitio se comporta de igual manera desde diferentes ubicaciones geográficas?
Para emular la visualización de una página web desde diferentes ubicaciones geográficas:
1. En Webpagetest, copiando la URL de la portada del sitio web y pegando en el sector que dice: "Enter a website URL...". 
2. Más abajo seleccionar la opción: "DESKTOP Cable Toronto, CA" y luego iniciar el test presionando el botón "Start Test". 
3. Abrir otra pestaña y hacer lo mismo, pero seleccionando la opción: "DESKTOP Cable Frankfurt, DE". 
4. Hay que esperar unos minutos y aparecerá el resultado.
5. Una vez finalizadas las pruebas, observe las capturas de pantalla en el sector derecho de cada pestaña. No debería haber cambios significativos en la visualización entre ambas ubicaciones. 
La opción "No aplica" es solo para el caso en que no sea posible utilizar la herramienta externa.
</t>
  </si>
  <si>
    <t>18.1.5</t>
  </si>
  <si>
    <t>Compatibilidad retroactiva</t>
  </si>
  <si>
    <t>Solidez del contenido para ser interpretado de manera confiable por una amplia variedad de navegadores. Es decir, que las personas usuarias sigan accediendo al contenido a medida que avanzan y evolucionan las tecnologías.</t>
  </si>
  <si>
    <t xml:space="preserve">¿El sitio web sigue siendo comprensible y funcional en navegadores más antiguos o menos comunes, asegurando su compatibilidad retroactiva?
Se puede emular la visualización de una página web en un navegador más antiguo en Google Chrome:
1. Primero presionar F12 para abrir el inspector.
2. Luego, ir a los tres puntos verticales ubicados en el sector superior derecho y seleccionar "Más herramientas" (en inglés "More tools"), 
3. Seleccionar la opción que dice "Condiciones de red" (en inglés "Network conditions").
4. Después, buscar en lado izquierdo la opción "Usuario-agente" (en inglés "User agent"), y desmarcar la casilla de "Usar la configuración predeterminada del navegador" (en inglés "Use browser default").
5. Aparecerá un listado con varios navegadores, seleccione por ejemplo: Internet Explorer 11 y actualice el navegador con F5 para comprobar que la página visitada no presenta grandes cambios. 
6. Puede realizar la prueba seleccionando otro navegador antiguo de la lista y actualizando con F5. 
7. Al terminar las pruebas, recuerde dejar los valores editados como estaban antes.
</t>
  </si>
  <si>
    <t xml:space="preserve">19. </t>
  </si>
  <si>
    <t>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t>
  </si>
  <si>
    <t>19.1</t>
  </si>
  <si>
    <t>19.1.1</t>
  </si>
  <si>
    <t>Visibilidad del estado del sistema</t>
  </si>
  <si>
    <t xml:space="preserve">Información oportuna para las personas usuarias sobre lo que está sucediendo durante cada interacción y sus efectos.
</t>
  </si>
  <si>
    <t xml:space="preserve">¿Existe un cambio visible cuando se selecciona o apunta a algún elemento cliqueable? 
Por ejemplo: cuando el puntero del cursor pasa por sobre una zona cliqueable, este cambia de flecha a mano y además se percibe un cambio de diseño, como subrayado y/o color.
</t>
  </si>
  <si>
    <t xml:space="preserve">¿Se informa adecuadamente a las personas usuarias de la efectividad de sus interacciones? 
Por ejemplo: en un formulario, al seleccionar una opción de una lista, esta queda marcada de manera visible; al escoger una fecha para una cita en un calendario, esta queda registrada de manera visible en la pantalla; al pulsar "Reproducir" (Play) en un reproductor de video, la imagen muestra el icono de un triángulo por algunos milisegundos sobre la imagen. 
</t>
  </si>
  <si>
    <t xml:space="preserve">¿Al completarse un formulario se indica que los datos registrados fueron enviados exitosamente?
</t>
  </si>
  <si>
    <t xml:space="preserve">¿El sistema le informa visualmente a la persona usuaria si algo sucede o sucederá tras sus interacciones? 
La opción "No aplica" es solo para el caso en que no existan formularios en el sitio web.
</t>
  </si>
  <si>
    <t>19.1.2</t>
  </si>
  <si>
    <t xml:space="preserve">Indicador de proceso
</t>
  </si>
  <si>
    <t xml:space="preserve">Existencia de elementos de la interfaz de usuario que indica en qué parte del sitio web se encuentra la persona usuaria.
</t>
  </si>
  <si>
    <t xml:space="preserve">¿Se informa a la persona usuaria claramente el área o página que está visitando? 
Por ejemplo: se marca el elemento del menú que se está visitando o existe un menú de miga de pan (breadcrumb).
</t>
  </si>
  <si>
    <t>19.3</t>
  </si>
  <si>
    <t>19.3.1</t>
  </si>
  <si>
    <t>Enlaces visitados</t>
  </si>
  <si>
    <t xml:space="preserve">Existe una diferencia perceptible entre enlaces visitados y por visitar.
</t>
  </si>
  <si>
    <t xml:space="preserve">¿El sitio web diferencia entre enlaces visitados y enlaces por visitar? 
Por ejemplo: los enlaces por visitar son de color azul, mientras que los enlaces visitados son de un color morado.
La opción "No aplica" se utiliza solo si el sitio web no incluye enlaces.
</t>
  </si>
  <si>
    <t>19.3.2</t>
  </si>
  <si>
    <t>Foros y encuestas</t>
  </si>
  <si>
    <t xml:space="preserve">Presencia de espacios que permitan la comunicación, el intercambio y la participación entre las personas usuarias y los responsables.
</t>
  </si>
  <si>
    <t xml:space="preserve">¿Existen foros o blogs que permitan la comunicación, intercambio y participación entre las personas usuarias y los responsables del sitio web?
</t>
  </si>
  <si>
    <t>19.3.3</t>
  </si>
  <si>
    <t>Comunicación con responsable</t>
  </si>
  <si>
    <t xml:space="preserve">Posibilidad de comunicarse con la persona encargada, para realizar consultas, sugerencias o comentarios respecto del servicio digital.
</t>
  </si>
  <si>
    <t xml:space="preserve">¿Existen formas de comunicarse con la persona responsable o unidad de soporte técnico del sitio web?
</t>
  </si>
  <si>
    <t xml:space="preserve">¿El acceso a este contacto es fácil de encontrar?
La opción "No aplica" es solo para el caso en que no exista ninguna forma de comunicación con el responsable del sitio web.
</t>
  </si>
  <si>
    <t xml:space="preserve">20. </t>
  </si>
  <si>
    <t>Capacidad del servicio digital para entregar una experiencia usuaria rápida y con una navegación fluida, sobre todo en los trámites. También considera los tiempos de la institución para dar respuestas a las solicitudes en plazos breves y acotados.</t>
  </si>
  <si>
    <t>20.1</t>
  </si>
  <si>
    <t>20.1.1</t>
  </si>
  <si>
    <t>Tiempo de respuesta</t>
  </si>
  <si>
    <t>Velocidad con la que un sitio web puede procesar y responder a las solicitudes de las personas usuarias, proporcionando una experiencia de navegación ágil y eficiente.</t>
  </si>
  <si>
    <t>¿El sitio web proporciona respuestas rápidas a las interacciones de la persona usuaria, como hacer clic en botones o enviar formularios? 
Por ejemplo: los formularios se envían y procesan rápidamente, proporcionando una respuesta inmediata a la persona usuaria.</t>
  </si>
  <si>
    <t xml:space="preserve">¿El sitio web envía respuestas o confirmaciones de recepción automáticas e inmediatas? 
Por ejemplo: al enviar un formulario de contacto se recibe una notificación inmediata al correo electrónico de que fue recibido correctamente.
</t>
  </si>
  <si>
    <t xml:space="preserve">¿La portada del sitio web se carga completamente en menos de tres segundos? 
Por ejemplo: al visitar desde un PC o notebook en el navegador Google Chrome la página principal con todo el contenido, incluidas las imágenes, las hojas de estilos y los scripts, estos se cargan en menos de tres segundos. 
Para esto, se recomienda realizar una prueba de rendimiento en WebPageTest:
1. Pegar la URL de la página a revisar y elegir la opción: "DESKTOP Cable Virginia, US".
2. Luego iniciar el test. 
3. Más abajo aparecerá el resultado en el sector de "Speed Index", se verán los segundos aproximados que deben ser menor o igual a 3.
La opción "No aplica" es solo para el caso en que no sea posible utilizar la herramienta externa.
</t>
  </si>
  <si>
    <t xml:space="preserve">¿La portada del sitio web está diseñada y desarrollada para cargar rápidamente incluso en conexiones de Internet lentas o con límites de datos? 
Por ejemplo: se recomienda que pese menos de 2 MB, en total, para garantizar que se visualice rápidamente en conexiones 3G. 
Para saber el peso de la página web evaluada, se recomienda hacer un test con la herramienta Pingdom: 
1. Pegar la URL de la página a revisar y elegir la opción "South America - Brazil - São Paulo".
2. Luego iniciar el test. 
3. Más abajo aparecerá el resultado en "Page size", este debe ser menor a 2MB en total.
</t>
  </si>
  <si>
    <t xml:space="preserve">  Instrumento de evaluación de calidad para servicios digitales transaccionales</t>
  </si>
  <si>
    <t xml:space="preserve">¿Se respeta la organización del servicio digital y se preserva su consistencia en todas las páginas?
Por ejemplo: los enlaces del menú global o los pasos del trámite aparecen en la misma posición en todo el sitio.
</t>
  </si>
  <si>
    <t xml:space="preserve">¿Los iconos son fácilmente comprensibles sin texto adicional y siguen convenciones o figuras reconocibles por cualquier persona?
Por ejemplo: una casa para volver al inicio, una lupa para el buscador, líneas horizontales del ícono de menú de "hamburguesa" para colapsar o una "X" para cerrar.
La opción "No aplica" se debe seleccionar sólo si el sitio no utiliza iconos.
</t>
  </si>
  <si>
    <t>Asistencia a las personas usuarias ante errores, brindándoles una solución o un acceso directo que pueda resolver el error de inmediato.
Redacción de los mensajes de error en un lenguaje sencillo (sin códigos de error), indicando con precisión el problema y sugerir una solución de manera constructiva.</t>
  </si>
  <si>
    <t xml:space="preserve">¿Se puede verificar que los mensajes de error no interfieren con la navegación en la página? 
Por ejemplo: las ventanas emergentes se pueden cerrar fácilmente con el teclado y no generan bloqueo de navegación. Esto se puede hacer con la tecla "Esc".
La opción "No aplica" es solo para el caso en que no se observen mensajes de error.
</t>
  </si>
  <si>
    <t xml:space="preserve">Cuidado de no utilizar excesiva o innecesariamente ventanas modales y emergentes (pop-up)
</t>
  </si>
  <si>
    <t xml:space="preserve">En caso de aparecer un mensaje de error inesperado de origen técnico, ¿se entrega información clara en vez de mensajes ambiguos como "Intente más tarde" o "Comuníquese con el administrador"?
La opción "No aplica" es solo para el caso en que no se observen mensajes de error.
</t>
  </si>
  <si>
    <t xml:space="preserve">Utilización de conceptos, frases y diseños familiares para las personas usuarias. Correspondencia con las convenciones del mundo real, haciendo que la información aparezca en un orden natural y lógico.
</t>
  </si>
  <si>
    <t xml:space="preserve">¿El servicio digital presenta información en un orden lógico y con zonas bien delimitadas? 
Por ejemplo: se diferencian las zonas de encabezado, menú, contenido y pie de página.
</t>
  </si>
  <si>
    <t>¿Las páginas permiten avanzar o retroceder sin quedar atrapadas, ofreciendo opciones claras para continuar o finalizar?
Por ejemplo: al completar un trámite, la página muestra una confirmación en lugar de quedar en blanco, y los formularios se envían sin que el sistema quede "guardando" indefinidamente.</t>
  </si>
  <si>
    <t xml:space="preserve">Si al ingresar al servicio digital por primera vez aparece un mensaje que ocupe toda la pantalla (del tipo ventana modal, emergente o pop-up), ¿este tiene una opción de cerrarse fácilmente identificable? 
Por ejemplo: un enlace que diga "Cerrar" o un botón con el icono de "X".
La opción "No aplica" es solo para el caso en que no se observan ventanas del tipo modal, emergente o pop-up.
</t>
  </si>
  <si>
    <t xml:space="preserve">Disminución de la carga de memoria a corto plazo para la persona usuaria, haciendo fácilmente reconocibles los elementos, acciones y opciones. El sistema debería ayudar a los usuarios a reconocer los elementos de la interfaz sin la necesidad de analizarlos cada vez al detalle, gastando más energía y tiempo.
</t>
  </si>
  <si>
    <t xml:space="preserve">¿Se ofrece ayuda en contexto, en lugar de presentar a las personas usuarias un largo tutorial para memorizar? 
Por ejemplo: aparece una línea punteada bajo los acrónimos para acceder a su definición o un icono de interrogación ("?") al lado de una instrucción para acceder a una ayuda específica.
</t>
  </si>
  <si>
    <t>Oferta de distintas maneras de acceder al contenido y opción de aceleradores y acciones personalizadas tanto para personas usuarias avanzadas como menos experimentadas.</t>
  </si>
  <si>
    <t xml:space="preserve">En los servicios en que la persona usuaria se encuentre autenticada, ¿se brinda la opción personalizada de destacar o anclar las interacciones más frecuentes?
La opción "No aplica" es solo para el caso en que el servicio evaluado no requiera autenticación.
</t>
  </si>
  <si>
    <t xml:space="preserve">¿Se presenta información sobre la temática que está revisando la persona usuaria antes de entrar al trámite? 
Por ejemplo: se señala con un enlace "compra de bonos" y al entrar se inicia el proceso para comprar bonos.
La opción "No aplica" es solo para el caso en que el sitio web no tenga contenidos.
</t>
  </si>
  <si>
    <t>Entrega de información clara sobre los errores ocurridos durante el proceso de envío de formulario.</t>
  </si>
  <si>
    <t xml:space="preserve">¿Las etiquetas de los campos explican claramente cuáles datos debe entregar la persona usuaria? 
Por ejemplo: el campo de texto tiene una etiqueta "Teléfono" al lado.
</t>
  </si>
  <si>
    <t xml:space="preserve">¿Las etiquetas para los campos explican claramente cuáles son requeridos (obligatorios)?
Por ejemplo: se indica la obligatoriedad de un campo con un asterisco.
</t>
  </si>
  <si>
    <t xml:space="preserve">¿Se presentan ejemplos o información contextual sobre el correcto modo de llenado de los campos? 
Por ejemplo: "RUT sin puntos y con guión: 12345789-0".
</t>
  </si>
  <si>
    <t xml:space="preserve">¿El sistema genera una alerta visual en tiempo real cuando un dato no se está ingresando correctamente? 
Por ejemplo: la persona usuaria se equivocó al ingresar su RUT y el campo se marca con un borde de color rojo y abajo se señala "RUT incorrecto".
</t>
  </si>
  <si>
    <t xml:space="preserve">¿Se informa a la persona usuaria cuál es el error en la información ingresada? 
Por ejemplo: no se ingresó el RUT que era un campo obligatorio, al enviar el formulario señala claramente "Debe ingresar un RUT" o se indica "La contraseña debe tener por lo menos 6 caracteres" en vez de tan solo "contraseña no válida".
</t>
  </si>
  <si>
    <t xml:space="preserve">¿El formulario automáticamente introduce el formateo de los datos? 
Por ejemplo: las personas usuarias no necesitan introducir caracteres como "." o "-" al ingresar su RUT. En el caso de ingresar estos caracteres el sistema los reconoce de igual forma.
</t>
  </si>
  <si>
    <t xml:space="preserve">¿En los campos del formulario solo se pueden ingresar los datos que se solicitan? 
Por ejemplo: si en un campo solo se pide que ingrese números, el campo no aceptará otro tipo de caracteres.
</t>
  </si>
  <si>
    <t xml:space="preserve">Los formularios no contienen campos o datos duplicados.
Por ejemplo: en un selector, cada elemento aparece una sola vez y no se repite ninguno.
</t>
  </si>
  <si>
    <t xml:space="preserve">Antes de enviar un formulario, ¿la persona usuaria puede ver un resumen con la información?
</t>
  </si>
  <si>
    <t xml:space="preserve">¿El sistema permite acceder a un historial de acciones realizadas?
</t>
  </si>
  <si>
    <t xml:space="preserve">¿Al navegar con el teclado con la tecla "Tab" se respeta el orden de izquierda a derecha, de arriba hacia abajo?
En el punto VI de la guía, puede consultar cómo navegar el sitio web con el teclado.
</t>
  </si>
  <si>
    <t xml:space="preserve">¿Es posible navegar con el teclado sin una determinada velocidad de pulsación? 
Por ejemplo: si se navega el sitio con la tecla "Tab" y la persona usuaria se detiene por más de 10 segundos para luego retomar la navegación, no debe empezar toda la navegación desde el inicio, sino que se mantiene donde había quedado.
</t>
  </si>
  <si>
    <t>Color como único medio de información</t>
  </si>
  <si>
    <t xml:space="preserve">Precaución de no entregar instrucciones o información utilizando el color como único medio de significado.
</t>
  </si>
  <si>
    <t>El sitio web no presenta comandos o botones de instrucción que utilicen el color como único medio de información. 
Por ejemplo: no se presentan botones rojos sin texto para la acción de "cancelar".</t>
  </si>
  <si>
    <t xml:space="preserve">Posibilidad de agrandar el texto del sitio web en hasta un 200% cuidando de que se mantenga el diseño y no se pierda funcionalidad en el sitio web.
</t>
  </si>
  <si>
    <t>Tiempo suficiente para realizar tareas</t>
  </si>
  <si>
    <t xml:space="preserve">Precaución de establecer tiempos más holgados en las sesiones, para que las personas usuarias puedan completar una tarea como llenar un formulario sin cambios inesperados por límite de tiempo.
</t>
  </si>
  <si>
    <t xml:space="preserve">¿Las personas usuarias pueden completar una tarea sin cambios inesperados por límite de tiempo (exceptuando casos donde se debe cerrar la sesión con un límite de tiempo por seguridad)? 
Por ejemplo: completar un formulario sin que se borren los datos antes de terminar de completarlo o que el sistema impida guardar por tiempo de expiración.
</t>
  </si>
  <si>
    <t xml:space="preserve">Identificación clara de las diferentes zonas de una página para que los software de lectura pueden identificar las estructuras y relaciones del contenido.
</t>
  </si>
  <si>
    <t xml:space="preserve">¿El código HTML es semántico y sus etiquetas se usan adecuadamente en el sitio web?
Por ejemplo: las etiquetas que se utilizan varían de acuerdo a su significado, un título principal se ve representado con una etiqueta "h1", subtítulos con "h2" o "h3", párrafos con "p" y texto destacado en negrita con "strong".
Esto se puede revisar abriendo al código fuente con los comandos "Ctrl" + "U" o "Cmd" + "U" y revisando la presencia del correcto uso de las etiquetas señaladas en el ejemplo.
</t>
  </si>
  <si>
    <t xml:space="preserve">Atención a los contrastes de color al diseñar la interfaz, los textos e imágenes de texto, que  deben tener un contraste mínimo de 4,5:1 entre el color de fondo y del texto o icono.
</t>
  </si>
  <si>
    <t xml:space="preserve">¿Se utilizan etiquetas semánticas HTML adecuadas para estructurar el contenido, facilitando la interpretación por parte de tecnologías de asistencia? 
Por ejemplo: se utiliza código HTML semántico, es decir se usan etiquetas como "header", "main" y "footer".
Esto se puede verificar revisando el código fuente del sitio web o con la herramienta "inspeccionar elemento", utilizando la opción "Selector de objetos" ("Ctrl" + "Shift" + "C") se debe posicionar en los distintos elementos y revisar los ejemplos.
</t>
  </si>
  <si>
    <t>Autocompletado en formularios</t>
  </si>
  <si>
    <t xml:space="preserve">Opciones de autocompletado o que la información esté disponible para que la persona usuaria pueda utilizarla cuando ya ingresó algunos datos que se le piden en un formulario. Salvo en casos donde la información es para asegurar la seguridad del contenido o información.
</t>
  </si>
  <si>
    <t xml:space="preserve">Cuando se solicita completar la misma información en otra sección de un formulario, ¿se ofrecen opciones como autocompletar o la posibilidad de seleccionar texto previamente ingresado en el navegador?
Por ejemplo: al ingresar una dirección, el navegador permite autocompletar con información proporcionada anteriormente.
La opción "No aplica" debe seleccionarse sólo cuando el formulario no requiere ingresar la misma información en más de una sección.
</t>
  </si>
  <si>
    <t xml:space="preserve">Al navegar por el teclado con la tecla "Tab", ¿el foco es claramente visible?
Por ejemplo: el foco es marcado con una línea de color que contraste con el diseño del sitio.
</t>
  </si>
  <si>
    <t xml:space="preserve">¿Los documentos descargables que están presentes en el sitio web son accesibles?
Para comprobar accesibilidad en un documento Word debe dirigirse a la pestaña Revisar de Word, luego seleccionar la opción Comprobar accesibilidad, aparecerá una ventana que señalará que no presenta problemas de accesibilidad. 
Para comprobar accesibilidad en un documento PDF puede utilizar la herramienta MAUVE++ seleccionando la opción para validar PDF, luego agregar el PDF con su URL o subiendo el archivo y revisar que los resultados entreguen 0 fallas.
La opción "No aplica" es solo para el caso en que no se encuentren documentos.
</t>
  </si>
  <si>
    <t>Capacidad de los sistemas para intercambiar datos de manera segura y automática. Esto se traduce en una mejor experiencia usuaria gracias a que no es necesario completar datos de forma manual cuando se pueden obtener de una base de datos compartida.</t>
  </si>
  <si>
    <t>ClaveÚnica</t>
  </si>
  <si>
    <t>Iniciativa que busca proveer a los ciudadanos de una Identidad Electrónica Única (RUN y contraseña) para la realización de trámites en línea del Estado.</t>
  </si>
  <si>
    <t xml:space="preserve">¿El servicio digital utiliza el sistema de ClaveÚnica para el ingreso de las personas usuarias si el sitio requiere algún tipo de autenticación?
La opción "No aplica" es solo para el caso en que el sitio web necesite otro sistema de autenticación para acceder a sus servicios.
</t>
  </si>
  <si>
    <t>Precarga y reutilización de datos</t>
  </si>
  <si>
    <t>Intercambio y obtención de información desde bases de datos centralizadas, que permita a las personas usuarias evitar tener que completar datos previamente entregados.</t>
  </si>
  <si>
    <t xml:space="preserve">¿El servicio digital carga la máxima cantidad de información posible –albergada en las bases de datos de Estado– respecto de una persona usuaria, de manera tal que no tenga que volver a llenarla?
</t>
  </si>
  <si>
    <t xml:space="preserve">Cuando la persona usuaria ingresa con ClaveÚnica, ¿los campos de los formularios aparecen prellenados con la información asociada a ella?
La opción "No aplica" es solo para el caso en que no se use ClaveÚnica para acceder.
</t>
  </si>
  <si>
    <t xml:space="preserve">En caso de tener información precargada, ¿los datos se pueden modificar?
La opción "No aplica" es solo para el caso en que no se use ClaveÚnica para acceder.
</t>
  </si>
  <si>
    <t xml:space="preserve">¿Es fácil reconocer la fuente o autoría de la información publicada?
Por ejemplo: se identifica claramente el nombre de la institución que publica en el encabezado o pie de cada página.
</t>
  </si>
  <si>
    <t>5.1.2</t>
  </si>
  <si>
    <t>5.1.3</t>
  </si>
  <si>
    <t>5.1.4</t>
  </si>
  <si>
    <t>5.1.5</t>
  </si>
  <si>
    <t xml:space="preserve">¿Son correctas la ortografía –literal, acentual y puntual– y la gramática en los contenidos? 
Por ejemplo: para revisar este aspecto, se puede usar un corrector ortográfico y gramatical para revisar los contenidos de las páginas de muestra. Tanto Microsoft Word como Documentos de Google lo ofrecen; o bien utilizar herramientas en línea como LanguageTool.
</t>
  </si>
  <si>
    <t>5.1.6</t>
  </si>
  <si>
    <t xml:space="preserve">¿El sitio cuenta con información de permisos de uso de sus contenidos en algún lugar del sitio? 
Por ejemplo: se señala en las condiciones de uso del sitio que ningún contenido se puede utilizar sin autorización (copyright o todos los derechos de autor reservados) o se indica un modelo de licencias flexibles de propiedad intelectual, como Creative Commons, que autorizan la reutilización bajo ciertas condiciones. 
</t>
  </si>
  <si>
    <t>5.1.7</t>
  </si>
  <si>
    <t xml:space="preserve">¿Existe información sobre cómo las personas usuarias pueden ejercer los derechos sobre acceso, rectificación, cancelación o eliminación, oposición (ARCO) y bloqueo de datos personales, incluidos en la Ley sobre Protección de la Vida Privada? 
Por ejemplo: se menciona el procedimiento en la Política de Privacidad o se enlaza el formulario de solicitud en la sección de Transparencia.
</t>
  </si>
  <si>
    <t xml:space="preserve">¿Los contenidos están estructurados como respuestas a las preguntas frecuentes que podrían hacerse las personas usuarias?
La opción "No aplica" es solo para el caso en que el sitio web no tenga contenidos.
</t>
  </si>
  <si>
    <t xml:space="preserve">¿Los textos, tanto de la página de inicio como del desarrollo del trámite, son breves y utilizan frases cortas en su redacción? 
</t>
  </si>
  <si>
    <t xml:space="preserve">Si existe un texto extenso –de cuatro o más párrafos–, ¿existe un resumen al inicio?
La opción "No aplica" es solo para el caso en que no se encuentren textos de cuatro o más párrafos.
</t>
  </si>
  <si>
    <t>5.2.3</t>
  </si>
  <si>
    <t>5.2.4</t>
  </si>
  <si>
    <t xml:space="preserve">¿Las páginas están bien organizadas, con títulos claros y subtítulos que facilitan la lectura y la búsqueda de información?
</t>
  </si>
  <si>
    <t xml:space="preserve">¿Los textos de los enlaces (rótulos) son descriptivos del contenido o sitio al que dirigen o directos en el llamado a la acción que impulsan, evitando términos ambiguos como "Haga clic aquí" o "Más"? 
Por ejemplo: "Consultar fecha de pago", "Solicitar certificado".
</t>
  </si>
  <si>
    <t xml:space="preserve">Cuando se enlazan documentos, ¿se especifican el título, formato y peso?
Por ejemplo: "Informe sobre ciberseguridad en Chile 2024 (pdf, 345 KB)".
Selecciona "Sí" solo si se cumplen los tres elementos (título, formato y peso) en todos los documentos enlazados.
La opción "No aplica" corresponde únicamente si no hay documentos en el sitio web.
</t>
  </si>
  <si>
    <t xml:space="preserve">Si el sitio presenta versiones anteriores de contenidos, ¿están rotuladas claramente como contenidos o documentos de archivo no vigentes? Por ejemplo: títulos del tipo "Requisitos de postulación 2015", donde señala claramente el año al que se refiera la información.
La opción "No aplica" está disponible si el sitio no presenta versiones anteriores de contenidos.
</t>
  </si>
  <si>
    <t>Diseño responsivo, formulado y desarrollado para ser accesible desde cualquier dispositivo móvil en primer lugar.</t>
  </si>
  <si>
    <t xml:space="preserve">¿Las funcionalidades del sitio se pueden usar correctamente desde un teléfono celular o una tablet? 
Por ejemplo: si en un formulario se pide cargar documentos, esta funcionalidad no se ve interrumpida si se hace desde un teléfono celular o una tablet.
</t>
  </si>
  <si>
    <t>¿El sitio web utiliza el protocolo seguro HTTPS en su URL?
Para verificarlo, haga doble clic en la barra de direcciones y asegúrese de que la URL comience con "https://".</t>
  </si>
  <si>
    <t xml:space="preserve">¿El certificado SSL/TLS es válido? 
Por ejemplo: al revisar en Google Chrome a través del ícono "Consulta la información del sitio", que se encuentra inmediatamente a la izquierda de la URL en la barra de direcciones del navegador, verificar que existe el texto "La conexión es segura".
En el punto VII de la guía, puede verificar la conexión segura y si el certificado es válido.
</t>
  </si>
  <si>
    <t xml:space="preserve">¿El sitio web tiene configurada la cabecera "X-Frame-Options" con los valores "DENY" o "SAMEORIGIN"?
Para la verificación se deben revisar las cabeceras de la página, usando la herramienta https://securityheaders.com:
1. Primero se debe ingresar la URL de una página diferente de la portada  
2. Luego, dentro de los resultados, en el subtítulo "Encabezados sin formato" (Raw Headers en inglés), se encontrará la lista de cabeceras de la página, en la que se debe buscar la cabecera "X-Frame-Options" y verificar que tenga los valores "DENY" o "SAMEORIGIN".
</t>
  </si>
  <si>
    <t xml:space="preserve">¿El sitio tiene configurada la cabecera "X-Content-Type-Options" con el valor "nosniff"?
Para la verificación se deben revisar las cabeceras de la página, usando la herramienta https://securityheaders.com:
1. Primero se debe ingresar la URL de una página diferente de la portada 
2. Luego, dentro de los resultados, en el subtítulo "Encabezados sin formato" (Raw Headers en inglés) se encontrará la lista de cabeceras de la página, en la que se debe buscar la cabecera "X-Content-Type-Options" y verificar que tenga el valor "nosniff".
</t>
  </si>
  <si>
    <t>7.3.2</t>
  </si>
  <si>
    <t xml:space="preserve">¿El sitio web tiene configurada la cabecera "Referrer-Policy" con el valor "strict-origin"? 
Para la verificación se deben revisar las cabeceras de la página, usando la herramienta https://securityheaders.com:
1. Primero se debe ingresar la URL de una página diferente de la portada
2. Luego, dentro de los resultados, en el subtítulo "Encabezados sin formato" (Raw Headers en inglés), se encontrará la lista de cabeceras de la página, en la que se debe buscar la cabecera "Referrer-Policy" y verificar que tenga el valor "strict-origin".
</t>
  </si>
  <si>
    <t>7.3.3</t>
  </si>
  <si>
    <t xml:space="preserve">¿Proporciona el sitio web información clara y comprensible sobre el tipo de cookies que utiliza, sus finalidades y las opciones de control disponibles para el usuario?
Por ejemplo: en la Política de Privacidad del sitio web se indica que las cookies no almacenan datos personales ni el sitio web las comparte con terceros.
</t>
  </si>
  <si>
    <t>Capacidad exhibida por la institución pública de dar respuesta y atender las necesidades de las personas usuaria de forma completa.</t>
  </si>
  <si>
    <t>Acceso destacado a trámites</t>
  </si>
  <si>
    <t>Presentación de un acceso destacado al trámite en los contenidos que hablen del trámite en cuestión.</t>
  </si>
  <si>
    <t xml:space="preserve">¿Las páginas que informan sobre un determinado trámite cuentan con un enlace al mismo?
Por ejemplo: se informa sobre un nuevo bono y el contenido tiene un enlace para solicitarlo.
La opción "No aplica" es solo para el caso en que el sitio web no tenga contenidos.
</t>
  </si>
  <si>
    <t>Funcionamiento de los sistemas</t>
  </si>
  <si>
    <t xml:space="preserve">Correcto rendimiento de los sistemas que sustentan los servicios y trámites digitales, los que deben funcionar desde el inicio hasta final de una sesión sin la presencia de errores técnicos.
</t>
  </si>
  <si>
    <t>Durante la revisión, ¿los trámites y servicios en línea ofrecidos en el sitio web pueden realizarse de manera completa sin errores técnicos?</t>
  </si>
  <si>
    <t>Oportunidad</t>
  </si>
  <si>
    <t>Capacidad exhibida por la institución pública de atender y dar respuesta a un trámite o servicio solicitado por una persona usuaria, en un plazo razonable.</t>
  </si>
  <si>
    <t xml:space="preserve">¿La institución ofrece tiempos de respuesta estimados para cada tipo de trámite o servicio en su sitio web? 
Por ejemplo: al solicitar un pasaporte en el sitio web del Registro Civil, se informa que el trámite se completará en 10 días hábiles.
La opción "No aplica" es solo para el caso en que el sitio web no tenga contenidos.
</t>
  </si>
  <si>
    <t xml:space="preserve">Durante la realización del trámite no fue necesario acudir a otras fuentes para encontrar información sobre cómo completarlo.
</t>
  </si>
  <si>
    <t xml:space="preserve">¿Existen canales de comunicación claros para que las personas usuarias puedan hacer seguimiento al estado de sus solicitudes? 
Por ejemplo: verificar el estado de su solicitud de renovación de cédula de identidad a través del sitio web.
</t>
  </si>
  <si>
    <t>8.2.2</t>
  </si>
  <si>
    <t>Eficiencia</t>
  </si>
  <si>
    <t>Reducción de tiempo empleado por las personas usuarias en acceder a la información y servicios, frente a la experiencia presencial.</t>
  </si>
  <si>
    <t xml:space="preserve">¿El servicio digital estimula que las personas usuarias puedan realizar los trámites en línea?
Por ejemplo: se le entrega a la persona usuaria toda la información y asistencia necesaria para que realice el trámite en línea de inicio a fin sin necesidad de que deba recurrir a buscar ayuda o documentación de forma presencial.
</t>
  </si>
  <si>
    <t xml:space="preserve">¿Se comunica que el o los trámites en línea se resuelven en menor tiempo que de manera presencial?
</t>
  </si>
  <si>
    <t>8.2.3</t>
  </si>
  <si>
    <t>Estado de progreso del trámite</t>
  </si>
  <si>
    <t xml:space="preserve">Indicación a la persona usuaria del estado de avance de su trámite.
</t>
  </si>
  <si>
    <t xml:space="preserve">¿El trámite muestra en qué etapa de progreso está o se ha quedado la persona usuaria?
</t>
  </si>
  <si>
    <t>8.2.4</t>
  </si>
  <si>
    <t xml:space="preserve">Capacidad de realizar el trámite en su totalidad sin necesidad de acudir a una oficina para terminarlo.
</t>
  </si>
  <si>
    <t xml:space="preserve">¿Se puede resolver todo el trámite en línea sin necesidad de ir presencialmente a una oficina?
La opción "No aplica" es solo para el caso en que el servicio digital por su naturaleza legal requiera obligatoriamente la presencialidad para continuar o finalizar el trámite.
</t>
  </si>
  <si>
    <t>8.2.5</t>
  </si>
  <si>
    <t>Cantidad de pasos limitada</t>
  </si>
  <si>
    <t>Proporción de pasos acotados para realizar un trámite.</t>
  </si>
  <si>
    <t xml:space="preserve">El trámite, ¿se resuelve en una cantidad de pasos acotada?, es decir, no pide más datos de los realmente necesarios para el trámite. 
Por ejemplo: el formulario para la obtención de un beneficio no pregunta por el género de la persona usuaria si no es realmente relevante para que el beneficio sea otorgado.
</t>
  </si>
  <si>
    <t xml:space="preserve">9. </t>
  </si>
  <si>
    <t>8.2.6</t>
  </si>
  <si>
    <t>Calidad de la respuesta entregada</t>
  </si>
  <si>
    <t xml:space="preserve">Medida en que las respuestas o interacciones proporcionadas por un servicio digital son precisas, relevantes, completas y útiles para la persona usuaria.
</t>
  </si>
  <si>
    <t xml:space="preserve">Al finalizar un trámite, ¿se entrega a la persona usuaria información clara y sin tecnicismos?
</t>
  </si>
  <si>
    <t>Condición del servicio digital que permite a las personas usuarias acceder a la información expedita y oportuna, independiente de la calidad o tipo de dispositivo a través del que se está conectando.</t>
  </si>
  <si>
    <t>Prioridad de la web</t>
  </si>
  <si>
    <t xml:space="preserve">Preferencia de la web como canal para el desarrollo y entrega de servicios digitales, aunque también esté disponible a través de la aplicación móvil.
</t>
  </si>
  <si>
    <t xml:space="preserve">¿Se puede realizar el trámite exitosamente o acceder al servicio completamente desde el sitio web a pesar de existir también una aplicación móvil para realizarlo?
</t>
  </si>
  <si>
    <t xml:space="preserve">Rapidez con la que las personas usuarias pueden cargar y acceder al contenido de un servicio digital. Es un factor crítico en la experiencia del usuario y puede influir significativamente en la retención de visitantes, la tasa de rebote y el posicionamiento en los motores de búsqueda.
</t>
  </si>
  <si>
    <t xml:space="preserve">¿El servicio digital puede ser navegado con la velocidad más baja de Internet móvil? 
Por ejemplo: la página web carga en menos de 3 segundos con una conexión 3G de datos móviles.
1. Se puede realizar una prueba de rendimiento en Webpagetest, copiando la URL de la portada del servicio digital y pegando en el sector que dice: "Enter a website URL...". 
2. Más abajo seleccionar la opción: "MOBILE 3G Mumbai, IN".
3. Luego iniciar el test presionando el botón "Start Test". 
4. Hay que esperar unos minutos y aparecerá el resultado. En el sector de "Speed Index" se verán los segundos aproximados que deben ser menores o iguales a 3.
La opción "No aplica" es solo para el caso en que no sea posible utilizar la herramienta externa.
</t>
  </si>
  <si>
    <t xml:space="preserve">¿El servicio digital sigue siendo comprensible y funcional en navegadores más antiguos o menos comunes, asegurando su compatibilidad retroactiva?
Se puede emular la visualización de una página web en un navegador más antiguo en Google Chrome:
1. Primero presionar F12 para abrir el inspector 
2. Luego, ir a los tres puntos verticales ubicados en el sector superior derecho y seleccionar "Más herramientas" (en inglés "More tools") 
3. Seleccionar la opción que dice "Condiciones de red" (en inglés "Network conditions")
4. Después, buscar en lado izquierdo la opción "Usuario-agente" (en inglés "User agent"), y desmarcar la casilla de "Usar la configuración predeterminada del navegador" (en inglés "Use browser default")
5. Aparecerá un listado con varios navegadores, seleccione por ejemplo: Internet Explorer 11 y actualice el navegador con F5 para comprobar que la página visitada no presenta grandes cambios
6. Puede realizar la prueba seleccionando otro navegador antiguo de la lista y actualizando con F5
7. Al terminar las pruebas, recuerde dejar los valores editados como estaban antes
</t>
  </si>
  <si>
    <t xml:space="preserve">¿El servicio digital carga correctamente en los navegadores web más utilizados? 
Por ejemplo: Google Chrome, Mozilla Firefox, Safari y Microsoft Edge.
Se puede emular la visualización de una página web en otros navegadores con Google Chrome:
1. Primero presionar F12 para abrir el inspector
2. Luego, ir a los tres puntos verticales ubicados en el sector superior derecho y seleccionar "Más herramientas" (en inglés "More tools")
3. Seleccionar la opción que dice "Condiciones de red" (en inglés "Network conditions")
4. Después, buscar en lado izquierdo la opción "Usuario-agente" (en inglés "User agent"), y desmarcar la casilla de "Usar la configuración predeterminada del navegador" (en inglés "Use browser default")
5. Aparecerá un listado con varios navegadores, seleccione por ejemplo: Microsoft Edge (Chromium - Windows o Mac) y actualice el navegador con F5 para comprobar que la página visitada no presenta grandes cambios
6. Puede realizar la prueba cuantas veces estime conveniente, seleccionando otro navegador de la lista y actualizando con F5
7. Al terminar las pruebas, recuerde dejar los valores editados como estaban antes
</t>
  </si>
  <si>
    <t xml:space="preserve">Accesibilidad técnica
</t>
  </si>
  <si>
    <t xml:space="preserve">¿El servicio digital está diseñado para cargar correctamente en cualquier dispositivo? 
Por ejemplo: que el sitio web sea correctamente visualizado en un celular de baja gama.
Se puede emular la visualización de una página web en otros dispositivos con Google Chrome:
1. Primero presionar F12 para abrir el inspector, luego ir al icono, que es un celular dentro de una pantalla de notebook, llamado "Activar o desactivar la barra de herramientas del dispositivo" (en inglés"Toggle device toolbar"), ubicado en el sector superior izquierdo y seleccionar. 
2. De forma predeterminada, la barra de herramientas, ubicada en el centro superior de la pantalla, se abre con la opción "Dimensiones" (en inglés "Dimensions"), establecida en "Respuesta inmediata" o "Reactivo" (en inglés "Responsive"), 
3. aquí puedes elegir entre diversos dispositivos, por ejemplo: el iPhone SE y examinar cómo se comporta la página web, luego puedes elegir otro dispositivo y así sucesivamente. 
4. Por otro lado, para emular una conexión más baja de Internet en el sector derecho está la opción "No hay limitación" (en inglés "No throttling"), aquí puede seleccionar "Dispositivos móviles de gama baja" (en inglés "Low-end mobile"),
5. luego actualizar la página con F5 y observar cómo se va cargando la estructura del sitio. 
6. Con esto puede evaluar si la página web está diseñada para ser visualizada en los diversos dispositivos. 
7. Al terminar las pruebas, recuerde dejar los valores editados como estaban antes, seleccionando el icono de "Activar o desactivar la barra de herramientas del dispositivo" (en inglés "Toggle device toolbar").
</t>
  </si>
  <si>
    <t xml:space="preserve">Grado de equidad con que el sitio web brinda acceso a la ciudadanía, independientemente de sus diversos dispositivos y la continuidad, la calidad de señal y la rapidez de su conexión a Internet.
</t>
  </si>
  <si>
    <t xml:space="preserve">¿El sitio muestra la misma información en todos los tipos de conexión? 
Por ejemplo: el sitio web, independiente de que se utilicen datos móviles, wi-fi o por cable LAN (ethernet), carga todas las imágenes.
Para emular la visualización de una página web con una conexión lenta en Google Chrome:
1. Primero presionar F12 para abrir el inspector
2. Luego, ir a los tres puntos verticales ubicados en el sector superior derecho y seleccionar "Más herramientas" (en inglés "More tools")
3. Seleccionar la opción que dice "Condiciones de red" (en inglés "Network conditions")
4. Después, seleccionar "Limitación de red" (en inglés "Network throttling"), y elegir la opción de "3G"  o "slow 3G". 
5. Finalmente, actualizar el navegador con F5 y para comprobar esto, la página visitada no debería presentar cambios. 
7. Al terminar las pruebas, recuerde dejar los valores editados como estaban antes.
</t>
  </si>
  <si>
    <t xml:space="preserve">¿El servicio digital muestra la misma información desde diferentes ubicaciones geográficas?
Para emular la visualización de una página web desde diferentes ubicaciones geográficas:
1. En Webpagetest, copiando la URL de la portada del servicio digital y pegando en el sector que dice: "Enter a website URL...". 
2. Más abajo seleccionar la opción: "DESKTOP Cable Toronto, CA" y luego iniciar el test presionando el botón "Start Test". 
3. Abrir otra pestaña y hacer lo mismo, pero seleccionando la opción: "DESKTOP Cable Frankfurt, DE". 
4. Hay que esperar unos minutos y aparecerá el resultado.
5. Una vez finalizadas las pruebas, observe las capturas de pantalla en el sector derecho de cada pestaña. No debería haber cambios significativos en la visualización entre ambas ubicaciones. 
La opción "No aplica" es solo para el caso en que no sea posible utilizar la herramienta externa.
</t>
  </si>
  <si>
    <t>Uso del dominio principal</t>
  </si>
  <si>
    <t xml:space="preserve">Utilización de directorios o subdominios hijos del dominio principal para los servicios digitales.
</t>
  </si>
  <si>
    <t xml:space="preserve">¿La URL del servicio digital utiliza un directorio interno o subdominio hijo del dominio principal del sitio?
Por ejemplo: para un trámite de una institución cuyo dominio principal es https://sitioejemplo.cl, se espera que se utilice una URL como https://sitioejemplo.cl/nombre-tramite/ o https://nombre-tramite.sitioejemplo.cl
</t>
  </si>
  <si>
    <t>¿Los pasos del trámite o secciones del formulario están clasificados con criterios que les sean intuitivos y familiares para las personas usuarias?</t>
  </si>
  <si>
    <t xml:space="preserve">¿La portada o el primer paso del trámite anticipa los documentos que serán requeridos en las etapas siguientes?
La opción "No aplica" es solo para el caso en que no se requieren documentos o no haya etapas siguientes.
</t>
  </si>
  <si>
    <t>10.1.3</t>
  </si>
  <si>
    <t>¿Se mantienen constantes los rótulos o etiquetas?</t>
  </si>
  <si>
    <t>10.1.4</t>
  </si>
  <si>
    <t xml:space="preserve">¿Los rótulos o etiquetas describen de forma clara y directa el contenido requerido de cada campo del formulario? 
</t>
  </si>
  <si>
    <t>10.1.5</t>
  </si>
  <si>
    <t xml:space="preserve">¿Se advierten claramente las opciones del menú de navegación con las etapas del proceso?
La opción "No aplica" es solo para el caso en que el proceso tenga una sola etapa.
</t>
  </si>
  <si>
    <t xml:space="preserve">¿El menú está en una posición destacada?
La opción "No aplica" es solo para el caso en que el proceso tenga una sola etapa.
</t>
  </si>
  <si>
    <t xml:space="preserve">¿Se identifican fácilmente los elementos cliqueables en el menú?
La opción "No aplica" es solo para el caso en que el proceso tenga una sola etapa.
</t>
  </si>
  <si>
    <t xml:space="preserve">¿Existen elementos que contextualizan a la persona usuaria respecto de su ubicación, nivel de avance en la navegación y estado del sistema?
La opción "No aplica" es solo para el caso en que el proceso tenga una sola etapa.
</t>
  </si>
  <si>
    <t xml:space="preserve">¿Se evita el uso de siglas, eufemismos o términos rebuscados en los rótulos o etiquetas?
</t>
  </si>
  <si>
    <t xml:space="preserve">No se presentan rótulos o etiquetas del tipo "Haga clic aquí".
</t>
  </si>
  <si>
    <t xml:space="preserve">Brevedad y economía de palabras en las etiquetas, de cara al tiempo de lectura en Internet y al espacio reducido en dispositivos móviles.
</t>
  </si>
  <si>
    <t>10.2.4</t>
  </si>
  <si>
    <t xml:space="preserve">Oferta de múltiples vías de comunicación de las personas usuarias con los puntos de contacto del organismo.
</t>
  </si>
  <si>
    <t xml:space="preserve">¿Se presentan vías de comunicación entre las personas usuarias y el organismo? 
Por ejemplo: formulario de contacto, correo electrónico y/o teléfono.
</t>
  </si>
  <si>
    <t xml:space="preserve">Presencia de recursos y documentación de ayuda a las personas usuarias a responder sus consultas y necesidades de información que les surjan al utilizar un sitio web o servicios digitales.
</t>
  </si>
  <si>
    <t xml:space="preserve">¿Se presentan documentos o recursos de información para que la persona usuaria entienda los trámites y procesos? 
Por ejemplo: guías, tutoriales, videos explicativos y/o manuales descargables.
</t>
  </si>
  <si>
    <t xml:space="preserve">El enlace a la sección de ayuda, ¿está ubicado en una zona visible y destacada?
</t>
  </si>
  <si>
    <t xml:space="preserve">¿Se presentan canales de atención interactivos o en tiempo real para las personas usuarias? 
Por ejemplo: chat, teléfono de atención, videollamada y/o asistentes virtuales.
</t>
  </si>
  <si>
    <t>11.3</t>
  </si>
  <si>
    <t>11.3.1</t>
  </si>
  <si>
    <t>Ayuda contextual</t>
  </si>
  <si>
    <t xml:space="preserve">Opción de ayuda en contexto para la realización de tareas e interacciones complejas.
</t>
  </si>
  <si>
    <t>12.1.2</t>
  </si>
  <si>
    <t>12.1.3</t>
  </si>
  <si>
    <t xml:space="preserve">Coherencia de los elementos visuales, los que deben disponerse de la misma manera y permitir mantener una apariencia consistente en todo el sitio, que brinde una experiencia visual unificada para las personas usuarias.
</t>
  </si>
  <si>
    <t xml:space="preserve">¿Se utilizan familias tipográficas optimizadas para la lectura en pantalla, especialmente las de palo seco (sin conectores visuales entre las letras) o sin "serif"? 
Por ejemplo: Roboto, Verdana, Arial.
En la guía se puede consultar cómo se identifica el tipo de fuente.
</t>
  </si>
  <si>
    <t xml:space="preserve">¿Su tamaño permite una adecuada legibilidad? 
Por ejemplo: igual o superior a 16 puntos, con un espaciado de al menos 1,5 veces del tamaño de la fuente y alto contraste, evitando letras grises sobre fondos blancos. 
En la guía se puede consultar cómo se identifica el tamaño de fuente.
</t>
  </si>
  <si>
    <t xml:space="preserve">¿Su tamaño se adapta automáticamente al dispositivo? 
Esto se puede verificar revisando la estructura jerárquica adecuada entre los tamaños de los títulos, subtítulos y párrafos de texto y que el interlineado de cada párrafo facilite la lectura. También puede reducir el ancho de su navegador y evaluar si se adapta al nuevo espacio.
</t>
  </si>
  <si>
    <t>12.2.3</t>
  </si>
  <si>
    <t>Selección cuidadosa de imágenes, fotografías y visualizaciones para afianzar la identidad institucional y complementar la información entregada. Tratamiento y optimización técnica para el soporte web.</t>
  </si>
  <si>
    <t xml:space="preserve">¿Las fotografías están bien recortadas y tienen un encuadre adecuado? 
Por ejemplo: los banners tienen un contenedor rectangular. Para minimizar o evitar recortes, hay que asegurarse de que la forma de la imagen coincida con la forma del contenedor y no quede recortada la información visual importante.
La opción "No aplica" es solo para el caso en que no existan imágenes en el sitio web.
</t>
  </si>
  <si>
    <t xml:space="preserve">¿Los elementos que contienen texto informativo, como botones de acción e infografías, se disponen como texto seleccionable en vez de presentarlos dentro de una imagen?
La opción "No aplica" corresponde solo cuando no hay botones de acción, infografías u otros elementos con texto informativo en el sitio web.
</t>
  </si>
  <si>
    <t>12.2.4</t>
  </si>
  <si>
    <t>12.2.5</t>
  </si>
  <si>
    <t>12.2.6</t>
  </si>
  <si>
    <t>13.1</t>
  </si>
  <si>
    <t>13.1.1</t>
  </si>
  <si>
    <t xml:space="preserve">¿Las funcionalidades del sitio web están disponibles las 24 horas los 7 días de la semana?
Por ejemplo: un formulario de contacto se puede completar y enviar cualquier día a cualquier hora.
</t>
  </si>
  <si>
    <t>13.1.2</t>
  </si>
  <si>
    <t xml:space="preserve">Definición del set de caracteres del sitio web, la que debe ser preferentemente "UTF-8".
</t>
  </si>
  <si>
    <t>13.1.3</t>
  </si>
  <si>
    <t>13.1.4</t>
  </si>
  <si>
    <t>13.1.5</t>
  </si>
  <si>
    <t>13.1.6</t>
  </si>
  <si>
    <t xml:space="preserve">¿La URL del sitio funciona sin y con "www" como prefijo de dominio? 
Por ejemplo: verificar que las URLs "https://www.sitioejemplo.gob.cl" y "https://sitioejemplo.gob.cl" llevan al mismo contenido del sitio web.
</t>
  </si>
  <si>
    <t>13.1.7</t>
  </si>
  <si>
    <t xml:space="preserve">Utilización del dominio ".gob.cl", registrándolo previamente ante la División de Informática del Ministerio del Interior y Seguridad Pública, y en el sitio web Administración de Dominios gob.cl (nic.gob.cl)
</t>
  </si>
  <si>
    <t xml:space="preserve">Si se trata un sitio web del gobierno central, ¿utiliza el dominio .gob.cl? 
La opción "No aplica" es solo para el caso en que el sitio web examinado no pertenezca al gobierno central.
</t>
  </si>
  <si>
    <t xml:space="preserve">Si existen otros dominios desde los que se pueda acceder al servicio, ¿estos redirigen al sitio web que utiliza el dominio .gob.cl?
La opción "No aplica" es solo para el caso en que no exista o no se tenga conocimiento de otras urls alternativas a la oficial .gob.cl.
</t>
  </si>
  <si>
    <t>13.2.2</t>
  </si>
  <si>
    <t xml:space="preserve">Validación del código HTML en el validador de la W3C, el código debe cumplir o cumplir con reparos.
</t>
  </si>
  <si>
    <t xml:space="preserve">¿El código HTML del sitio web no presenta errores al comprobarlo en el validador de la W3C?
La opción "No aplica" es solo para el caso en que no sea posible utilizar la herramienta externa.
</t>
  </si>
  <si>
    <t>13.2.3</t>
  </si>
  <si>
    <t>13.2.4</t>
  </si>
  <si>
    <t>13.2.5</t>
  </si>
  <si>
    <t xml:space="preserve">¿Los certificados o documentos descargables están optimizados para imprimirse sin dificultades o alteraciones significativas de su apariencia?
La opción "No aplica" es solo para el caso en que no se encuentren documentos.
</t>
  </si>
  <si>
    <t xml:space="preserve">14. </t>
  </si>
  <si>
    <t xml:space="preserve">¿El código JavaScript está libre de errores en la consola del navegador? 
Por ejemplo: no figuran errores en la consola del navegador. 
Para la verificación se ingresa en la pestaña "Consola" (en inglés "Console") del inspector de código de Google Chrome (opción "Inspeccionar" en el botón secundario o derecho del mouse). En la consola pueden aparecer filas horizontales que muestren advertencias y errores, en el caso de aparecer filas resaltadas con un fondo de color rojo pálido significa que existen errores.
</t>
  </si>
  <si>
    <t xml:space="preserve">¿Existe un cambio visible cuando se selecciona o apunta a algún elemento clickable? 
Por ejemplo: cuando el puntero del cursor pasa por sobre una zona clickable, este cambia de flecha a mano y además se percibe un cambio de diseño, como subrayado y/o color.
</t>
  </si>
  <si>
    <t xml:space="preserve">¿El sistema le informa visualmente a la persona usuaria si algo sucede o sucederá tras sus interacciones? 
</t>
  </si>
  <si>
    <t>14.1.2</t>
  </si>
  <si>
    <t xml:space="preserve">Existencia de elementos de la interfaz de usuario que indica en qué parte del servicio digital se encuentra la persona usuaria.
</t>
  </si>
  <si>
    <t xml:space="preserve">¿Existen señales claras para indicar en qué etapa de un proceso se encuentra la persona usuaria?
Por ejemplo: las barras de carga o progreso, o el número del paso en un trámite.
La opción "No aplica" es solo cuando el proceso no implique múltiples etapas.
</t>
  </si>
  <si>
    <t>Botones y pasarelas de pago</t>
  </si>
  <si>
    <t>Plataforma que conecta una cuenta bancaria con un procesador de pagos, haciendo posible el pago por medios electrónicos en sitios web.</t>
  </si>
  <si>
    <t xml:space="preserve">¿El sitio informa claramente a las personas usuarias que serán redirigidos a una pasarela de pago y que esta puede ser un servicio externo?
La opción "No aplica" es solo para el caso en que no existan pasarelas de pago en el sitio web.
</t>
  </si>
  <si>
    <t xml:space="preserve">¿Se informa expresamente que las condiciones de pago dependen del banco en que la persona tenga su cuenta? 
Por ejemplo: pago en cuotas a precio contado es una opción que ofrecen algunas tarjetas bancarias y, por tanto, no aplica para todas las personas usuarias.
La opción "No aplica" es solo para el caso en que no existan pasarelas de pago en el sitio web.
</t>
  </si>
  <si>
    <t xml:space="preserve">¿Se informa claramente el detalle y costo total del pago, evitando cobros inesperados al llegar al último paso del proceso?
Por ejemplo: se explicitan los cobros de comisión de la pasarela utilizada, costos de cancelación o gastos de gestión.
La opción "No aplica" es solo para el caso en que no existan pasarelas de pago en el sitio web.
</t>
  </si>
  <si>
    <t>Descarga de documentos</t>
  </si>
  <si>
    <t xml:space="preserve">Posibilidad de descargar los documentos asociados a un trámite en diferentes formatos.
</t>
  </si>
  <si>
    <t xml:space="preserve">¿Se pueden descargar los documentos asociados a un trámite, a modo de respaldo y comprobación? 
Por ejemplo: una versión completa de toda la documentación aportada en PDF.
La opción "No aplica" se utiliza solo si el trámite no incluye documentos descargables.
</t>
  </si>
  <si>
    <t xml:space="preserve">Presencia de espacios que permitan la comunicación, el intercambio y la participación entre las personas usuarias y los responsables del servicio digital.
</t>
  </si>
  <si>
    <t xml:space="preserve">¿Existen foros o blogs que permitan la comunicación, intercambio y participación entre las personas usuarias y los responsables del servicio digital?
</t>
  </si>
  <si>
    <t xml:space="preserve">¿Existen encuestas de evaluación de la calidad del servicio digital para conocer las opiniones de los usuarios, que permitan mejorar el servicio ofrecido?
</t>
  </si>
  <si>
    <t>Recuperación ante fallos</t>
  </si>
  <si>
    <t xml:space="preserve">Capacidad de un sitio web para funcionar de manera consistente y correcta, asegurando que las personas usuarias puedan acceder, utilizar los servicios y la información sin interrupciones ni errores.
</t>
  </si>
  <si>
    <t xml:space="preserve">Si durante la evaluación del servicio digital se produce una interrupción, ¿el sistema se recupera rápidamente, manteniendo la continuidad del servicio? 
Por ejemplo: menos de 3 minutos.
La opción "No aplica" es solo para el caso en que no ocurra ninguna interrupción.
</t>
  </si>
  <si>
    <t xml:space="preserve">Si durante la evaluación del servicio digital se produce una interrupción, ¿el sistema no vuelve a pedir los datos llenados previamente? 
Por ejemplo: no se pierde toda la información ingresada a un formulario.
La opción "No aplica" es solo para el caso en que no ocurra ninguna interrupción.
</t>
  </si>
  <si>
    <t>14.3.5</t>
  </si>
  <si>
    <t xml:space="preserve">¿Existen formas de comunicarse con la persona responsable o unidad de soporte técnico del servicio digital específico?
</t>
  </si>
  <si>
    <t xml:space="preserve">15. </t>
  </si>
  <si>
    <t xml:space="preserve">¿Se puede avanzar por cada paso del trámite de manera fluida sin esperas mayores a 3 segundos al cargar las páginas del proceso? 
La opción "No aplica" es solo para el caso en que el trámite se realice en un formulario único sin carga de nuevas páginas.
</t>
  </si>
  <si>
    <t xml:space="preserve">¿El servicio digital envía respuestas o confirmaciones de recepción automáticas e inmediatas? 
Por ejemplo: al enviar un formulario de contacto se recibe una notificación inmediata al correo electrónico de que fue recibido correctamente.
</t>
  </si>
  <si>
    <t xml:space="preserve">¿La portada del sitio web se carga completamente en menos de tres segundos? 
Por ejemplo: al visitar desde un PC o notebook en el navegador Google Chrome la página principal con todo el contenido, incluidas las imágenes, las hojas de estilos y los scripts, estos se cargan en menos de tres segundos. 
Para esto se recomienda realizar una prueba de rendimiento en WebPageTest:
1. Pegar la URL de la página a revisar y elegir la opción: "DESKTOP Cable Virginia, US".
2. Luego iniciar el test. 
3. Más abajo aparecerá el resultado en el sector de "Speed Index", se verán los segundos aproximados que deben ser menor o igual a 3.
La opción "No aplica" es solo para el caso en que no sea posible utilizar la herramienta externa.
</t>
  </si>
  <si>
    <t xml:space="preserve">¿El sitio presenta imágenes, videos y archivos de audio propios? 
Por ejemplo: una manera de comprobar autoría es buscando una imagen del sitio en el buscador de imágenes de Google.
La opción "No aplica" es solo para el caso en que no existan imágenes, videos o audios en el sitio web.
</t>
  </si>
  <si>
    <t xml:space="preserve">¿Las imágenes, videos y audios publicados en el sitio web complementan (representan elementos de apoyo) los contenidos publicados? 
Por ejemplo: en un contenido referente a cómo obtener la Clave Única, además del texto explicando secuencialmente los pasos que se deben seguir, se puede agregar un video mostrando el paso a paso en la pantalla de un computador, tablet o celular al realizar el trámite. De este modo, el material audiovisual complementa lo expresado a través de texto.
La opción "No aplica" es solo para el caso en que no existan imágenes, videos o audios en el sitio web.
</t>
  </si>
  <si>
    <t xml:space="preserve">¿Predomina el uso de imágenes en formato de nueva generación como WebP que proporciona una mejor compresión que JPG, PNG o GIF?
En el punto V de la guía, puede consultar cómo verificar el formato de las imágenes.
La opción "No aplica" es solo para el caso en que no existan imágenes en el sitio web.
</t>
  </si>
  <si>
    <t xml:space="preserve">¿Las imágenes pesan menos de 600 KB para no ralentizar la carga de la página?
En el punto V de la guía, puede consultar cómo verificar el peso de las imágenes.
La opción "No aplica" es solo para el caso en que no existan imágenes en el sitio web.
</t>
  </si>
  <si>
    <t>16.2.3</t>
  </si>
  <si>
    <t xml:space="preserve">¿Se utiliza un lenguaje inclusivo, respetuoso de la diversidad y que no reproduzca estereotipos de género? 
Por ejemplo:
- Aplicar sustitutos de las palabras que pueden incluir algún sesgo de género, duplicando artículos que determinan el sustantivo ("Las y los beneficiarios").
- Prescindir de la referencia al sujeto y recurrir a formas pasivas ("Se deben cumplir los requisitos de postulación").
- Usar formas no personales del verbo ("Es necesario considerar").
- Usar pronombres sin marca de género ("Quien suscribe", "Cada postulante", "Cada persona puede postular").
- Quitar el artículo y usar determinantes sin marca de género ("Cualquier funcionario puede acceder").
- Reemplazar genéricos masculinos comúnmente utilizados (en vez de "Niños", usar "Infancia", en vez de "Beneficiarios", usar "Personas beneficiarias", en vez de "Ciudadanos", usar "Ciudadanía").
</t>
  </si>
  <si>
    <t xml:space="preserve">¿Las imágenes del sitio están libres de sexismo y estereotipos de género?
Por ejemplo: no se identifican profesiones ni actividades exclusivamente como femeninas o masculinas (como representar la ingeniería con fotos sólo masculinas o en el caso de la educación parvularia, con fotos solo femeninas); se evita asociar a través de las imágenes las tareas domésticas y de cuidado solo a mujeres.
La opción "No aplica" es solo para el caso en que no existan imágenes en el sitio web.
</t>
  </si>
  <si>
    <t xml:space="preserve">Cuando se utiliza musicalización en videos o archivos de audios, ¿las letras de canciones utilizadas están libres de sexismo y de palabras o términos discriminatorios?
La opción "No aplica" es solo para el caso en que no existan videos o audio en el sitio web.
</t>
  </si>
  <si>
    <t>17.3</t>
  </si>
  <si>
    <t>17.2.2</t>
  </si>
  <si>
    <t>Proporcionalidad de género en los contenidos, imágenes, vídeos y audios publicados en un sitio web.</t>
  </si>
  <si>
    <t xml:space="preserve">¿Es proporcional por género la representatividad en contenidos, imágenes, vídeos y audios publicados?
La opción "No aplica" es solo para el caso en que no existan contenidos, imágenes, videos o audios en el sitio web.
</t>
  </si>
  <si>
    <t>17.3.1</t>
  </si>
  <si>
    <t>Disposición a entregar la mejor experiencia de usuario a todas las personas, independiente de sus habilidades, identidad, antecedentes o situación en la que se encuentren.</t>
  </si>
  <si>
    <t>18.2</t>
  </si>
  <si>
    <t>Prescindencia de RUN</t>
  </si>
  <si>
    <t xml:space="preserve">Entrega de alternativas de identificación —además del RUN— para que todas las personas usuarias puedan acceder a los servicios personalizados. 
</t>
  </si>
  <si>
    <t>¿El servicio digital cuenta con un mecanismo oficial de autenticación que permita autenticar personas sin RUT?
Los mecanismos se pueden revisar en la Norma Técnica de Autenticación</t>
  </si>
  <si>
    <t>18.3</t>
  </si>
  <si>
    <t>18.2.1</t>
  </si>
  <si>
    <t xml:space="preserve">¿En los campos de los formularios se considera una amplia diversidad de personas usuarias?
Por ejemplo: evitar que personas queden fuera de los rangos etarios del selector de un formulario; cautelar que aparezcan todas las comunas, pueblos originarios o credos religiosos.
La opción "No aplica" es solo para el caso en que no existan formularios en el sitio web y/o sean personas jurídicas
</t>
  </si>
  <si>
    <t>18.3.1</t>
  </si>
  <si>
    <t xml:space="preserve">¿La página de entrada al trámite permite ser traducida con la opción de traducción automática del navegador? 
Para verificar este aspecto, en Google Chrome al hacer clic con el botón secundario elegir la opción "Traducir al español" (aunque ya esté en ese idioma). Con ello se activa el icono de traducción al lado derecho de la URL en la barra de navegación, donde podemos añadir otro idioma y comprobar.
</t>
  </si>
  <si>
    <t>18.3.2</t>
  </si>
  <si>
    <t xml:space="preserve">¿Los servicios y formularios están confeccionados considerando igualdad de oportunidades de acceso para personas usuarias de todas las regiones? 
Por ejemplo: que la persona usuaria pueda finalizar el trámite en línea sin necesidad de acudir a una oficina en la Región Metropolitana. O bien, evitar que los selectores de región de los formularios comiencen con la Región Metropolitana.
La opción "No aplica" debe seleccionarse solo en caso de que el formulario o servicio no contemple preguntas relacionadas con la región de la persona usuaria.
</t>
  </si>
  <si>
    <t>19.2</t>
  </si>
  <si>
    <t>19.2.1</t>
  </si>
  <si>
    <t>19.2.2</t>
  </si>
  <si>
    <t xml:space="preserve">¿El diseño considera contrastes y combinaciones de color aptos para el daltonismo? 
Por ejemplo: esto se puede evaluar sacando una captura de pantalla del sitio web y revisando en el simulador de daltonismo del sitio web de Color Lite Lens: luego de subir la imagen, seleccionar los distintos tipos de daltonismo y revisar uno a uno si con los cambios de color se pueden identificar correctamente los elementos y no se pierde información importante.
</t>
  </si>
  <si>
    <t xml:space="preserve">Método de creación y adaptación de textos que los hace más fáciles de comprender a personas con dificultades de comprensión lectora.
</t>
  </si>
  <si>
    <t xml:space="preserve">¿Se presenta al menos un texto redactado con la técnica de Lectura Fácil? 
Por ejemplo: es posible observar texto organizado con frases sencillas y cortas, en caso de existir palabras poco comunes, estas cuentan con un cuadro con la definición al costado derecho. Los contenidos deben verse como los del sitio Planeta Inclusión.
La opción "No aplica" es solo para el caso en que el sitio web no tenga contenidos.
</t>
  </si>
  <si>
    <t xml:space="preserve">¿Las personas usuarias pueden modificar el diseño del sitio web o servicio digital para verlo en escala de grises o alto contraste por medio de un botón presente en el sitio?
</t>
  </si>
  <si>
    <t>20.1.2</t>
  </si>
  <si>
    <t>20.1.3</t>
  </si>
  <si>
    <t>Uso de la etiqueta "h1" para describir el contenido principal de la página; ésta debe estar presente solo una vez en cada una.</t>
  </si>
  <si>
    <t>20.1.4</t>
  </si>
  <si>
    <t>Facilidad de compartir a través de redes sociales con el uso de metadatos apropiados para que las páginas de contenidos del sitio web se comparten con una previsualización.</t>
  </si>
  <si>
    <t xml:space="preserve">¿Se genera una pre visualización que muestra una imagen y el título del contenido al compartir la página de inicio del trámite por redes sociales? 
Por ejemplo: al pegar la URL de la página de inicio en una conversación en WhatsApp el mensaje genera una vista previa con una foto y título del contenido.
</t>
  </si>
  <si>
    <t>20.1.5</t>
  </si>
  <si>
    <t>Precaución de no mostrar publicidad que anuncie o promocione productos, servicios o marcas externas a la organización en el sitio web o videos incrustados.</t>
  </si>
  <si>
    <t>20.2</t>
  </si>
  <si>
    <t>20.2.1</t>
  </si>
  <si>
    <t xml:space="preserve">¿La metaetiqueta "description" de la página de inicio del trámite utiliza las palabras claves para identificar el contenido que esta contiene y lo hace en menos de 160 caracteres? 
Por ejemplo: al revisar el código fuente del sitio del Ministerio de Salud, se podría leer una línea del tipo "&lt;meta name="description" content="El Minsal fija políticas de salud pública y prevención de enfermedades y coordina las redes asistenciales de Chile"&gt;". Para medir la extensión de caracteres con espacio, puede usar la opción "Contar palabras" de Microsoft Word o la herramienta en línea Word Counter. 
</t>
  </si>
  <si>
    <t>20.2.2</t>
  </si>
  <si>
    <t xml:space="preserve">Estrategias y técnicas poco éticas que se utilizan en los sitios web, que obligan a las personas usuarias a realizar una acción que no desean, cómo comprar un producto o registrarse en algún servicio.
</t>
  </si>
  <si>
    <t>20.3</t>
  </si>
  <si>
    <t xml:space="preserve">¿El sitio no obliga a realizar acciones forzadas a la persona usuaria para completar su tarea u obtener un servicio? Por ejemplo: registrar una cuenta o suscribirse a un boletín informativo.
</t>
  </si>
  <si>
    <t>20.3.1</t>
  </si>
  <si>
    <t>Brecha</t>
  </si>
  <si>
    <t>Nivel de cumplimiento insuficiente en los estándares esperables de la dimensión Contenido y lenguaje claro</t>
  </si>
  <si>
    <t>c. Iniciativas de transformación digital</t>
  </si>
  <si>
    <t>Nombre de la iniciativa</t>
  </si>
  <si>
    <t>Objetivo</t>
  </si>
  <si>
    <t>Área responsable</t>
  </si>
  <si>
    <t>Costo estimado total</t>
  </si>
  <si>
    <t>Indicadores</t>
  </si>
  <si>
    <t>Cronograma</t>
  </si>
  <si>
    <t>Calidad web</t>
  </si>
  <si>
    <t>4. Alto Costo</t>
  </si>
  <si>
    <t>De finalización de la iniciativa</t>
  </si>
  <si>
    <t>dimensión</t>
  </si>
  <si>
    <t>nc</t>
  </si>
  <si>
    <t>Nivel de criticidad</t>
  </si>
  <si>
    <t>N°</t>
  </si>
  <si>
    <t>Indicador</t>
  </si>
  <si>
    <t>Preguntas de chequeo</t>
  </si>
  <si>
    <t>Respuesta</t>
  </si>
  <si>
    <t>1. Contenido y lenguaje claro</t>
  </si>
  <si>
    <t>No aplica</t>
  </si>
  <si>
    <t xml:space="preserve">¿Son correctas la ortografía –literal, acentual y puntual– y la gramática en los contenidos?
Para revisar este aspecto, se puede utilizar un corrector ortográfico y gramatical en los contenidos de la muestra. Herramientas como Microsoft Word y Documentos de Google ofrecen esta función, además de opciones en línea como  LanguageTool.
(Revisar la muestra de contenidos escogidos, si hay más de un error, entonces no cumple este criterio).
</t>
  </si>
  <si>
    <t>¿Las páginas están bien organizadas, con títulos claros y subtítulos que facilitan la lectura y la búsqueda de información?</t>
  </si>
  <si>
    <t>Estándar</t>
  </si>
  <si>
    <t>Recomendación</t>
  </si>
  <si>
    <t>De acuerdo a lo descrito en la Norma Técnica de Autenticación, la autenticación corresponde al proceso electrónico que valida los datos de identificación de una persona usuaria para permitirle el acceso a una plataforma electrónica. Los órganos de la Administración del Estado deberán utilizar mecanismos oficiales de autenticación para el acceso de los interesados a sus plataformas electrónicas. Corresponden a mecanismos oficiales de autenticación la ClaveÚnica, de uso exclusivo para personas naturales, basado en el estándar OpenID Connect, cuyo Factor de Autenticación es una contraseña creada y administrada por la persona, vinculada a su rol único nacional (RUN), y la Clave Tributaria, de uso exclusivo para personas jurídicas o entidades o agrupaciones sin personalidad jurídica que actúen en su calidad de agrupación, cuyo Factor de Autenticación consiste en una contraseña entregada por el Servicio de Impuestos Internos a los(as) contribuyentes.
Para que los procedimientos administrativos de cara a los usuarios (función específica) den cumplimiento a este mandato, la institución puede iniciar el proceso de integración de ClaveÚnica, siguiendo los siguientes pasos:
1. Participar obligatoriamente en la capacitación “ClaveÚnica: Integración de plataformas”, inscribiéndose en https://gobdigital.cerofilas.gob.cl/tramites/informativo/2785.
2. Revisar el material de apoyo elaborado por la Secretaría de Gobierno Digital sobre los productos y plataformas en https://wikiguias.digital.gob.cl/ 
3. Ingresar a https://gobdigital.cerofilas.gob.cl y completar la “Solicitud de Credenciales de Integración a ClaveÚnica”, incluyendo los datos del contacto técnico y administrativo. El contacto administrativo debe pertenecer a la institución, mientras que el técnico puede ser un agente externo. La Mesa de Servicios revisará la solicitud, informando su aprobación o rechazo a través de Cerofilas. En caso de ser aprobada, se enviará un archivo comprimido con el set de credenciales al correo registrado. La institución debe integrar dichas credenciales, apoyándose en los manuales y capacitaciones disponibles.
4. Una vez completada la integración, debe solicitar la certificación correspondiente en https://gobdigital.cerofilas.gob.cl/. La Mesa de Servicios verificará el cumplimiento técnico y, si es conforme, habilitará las credenciales en ambiente de producción.</t>
  </si>
  <si>
    <r>
      <rPr>
        <sz val="11.0"/>
      </rPr>
      <t xml:space="preserve">De acuerdo a lo establecido en el artículo 16 bis de la Ley 19.880, en la tramitación de los procedimientos administrativos por medios electrónicos se deberá cumplir con varios principios, entre los cuales se destaca el de interoperabilidad y el de cooperación. El principio de interoperabilidad consiste en que los medios electrónicos deben ser capaces de interactuar y operar entre sí al interior de la Administración del Estado, a través de estándares abiertos que permitan una interconexión segura y expedita entre ellos. En complemento, el principio de cooperación establece que los distintos órganos de la Administración del Estado deben cooperar efectivamente entre sí en la utilización de medios electrónicos.
Siguiendo lo anterior, de acuerdo a lo descrito en la Norma Técnica de Interoperabilidad, interoperar corresponde a cualquier operación que permita a dos órganos de la Administración del Estado, conectados directamente entre sí por medio de una pieza de software denominada nodo, intercambiar o transmitir datos, documentos o expedientes electrónicos. De acuerdo a esta norma técnica, para dar cumplimiento a lo previsto en ley N°19.880, que establece Bases de los Procedimientos Administrativos que rigen los Actos de los Órganos de la Administración del Estado, se utilizará la red de interoperabilidad con los estándares de trazabilidad obligatoria y de interconexión comunes que se describen en esta norma técnica. La red de interoperabilidad consiste en un conjunto de conexiones directas y seguras a través de internet, en base a nodos de interoperabilidad alojados en la infraestructura informática de los órganos de la Administración del Estado, quienes, actuando como proveedores y/o consumidores a través de plataformas electrónicas, permiten el intercambio y la transmisión de datos, documentos y expedientes electrónicos.
</t>
    </r>
    <r>
      <rPr>
        <b/>
        <sz val="11.0"/>
      </rPr>
      <t xml:space="preserve">Para que los procedimientos administrativos que requieren información de otros órganos de la administración del Estado den cumplimiento a este mandato, la institución debe integrarse a la Red de Interoperabilidad mediante el Nodo provisto por la Secretaría de Gobierno Digital (SGD) o realizar las adaptaciones definidas en la Norma Técnica de Interoperabilidad. 
Si optan por utilizar el Nodo de la SGD la institución debe:
1. Participar obligatoriamente a la capacitación “PISEE: Introducción a la red de interoperabilidad”, inscribiéndose en </t>
    </r>
    <r>
      <rPr>
        <b/>
        <color rgb="FF1155CC"/>
        <sz val="11.0"/>
        <u/>
      </rPr>
      <t>https://gobdigital.cerofilas.gob.cl/tramites/informativo/2785</t>
    </r>
    <r>
      <rPr>
        <b/>
        <sz val="11.0"/>
      </rPr>
      <t xml:space="preserve">
2. Revisar el material de apoyo elaborado por la Secretaría de Gobierno Digital sobre los productos y plataformas en </t>
    </r>
    <r>
      <rPr>
        <b/>
        <color rgb="FF1155CC"/>
        <sz val="11.0"/>
        <u/>
      </rPr>
      <t>https://wikiguias.digital.gob.cl/</t>
    </r>
    <r>
      <rPr>
        <b/>
        <sz val="11.0"/>
      </rPr>
      <t xml:space="preserve"> 
3. Solicitar el Nodo de Desarrollo para realizar pruebas y validar la integración en </t>
    </r>
    <r>
      <rPr>
        <b/>
        <color rgb="FF1155CC"/>
        <sz val="11.0"/>
        <u/>
      </rPr>
      <t>https://gobdigital.cerofilas.gob.cl/tramites/informativo/3020.</t>
    </r>
    <r>
      <rPr>
        <b/>
        <sz val="11.0"/>
      </rPr>
      <t xml:space="preserve"> Según su rol, la institución debe participar en los talleres técnicos correspondientes (consumidor, proveedor de servicios de información, o ambos). 
4. Solicitar el Nodo de Producción, que permite consumir o proveer servicios en ambiente productivo.</t>
    </r>
  </si>
  <si>
    <r>
      <rPr>
        <sz val="11.0"/>
      </rPr>
      <t xml:space="preserve">De acuerdo a lo establecido en el artículo 45 de la Ley 19.880, sobre la notificación, los actos administrativos de efectos individuales, deberán ser notificados a los interesados conteniendo su texto íntegro. Cabe recordar que el artículo 3° de esta misma normativa aborda el concepto de acto administrativo como las decisiones escritas que adopte la Administración, decisiones formales que emiten los órganos de la Administración del Estado en las cuales se contienen declaraciones de voluntad, realizados en el ejercicio de una potestad pública. Continuando con lo establecido en el artículo 46 de la Ley 19.880 y en la Norma Técnica de Notificaciones, las notificaciones se practicarán por medios electrónicos, utilizando para ello la Plataforma de Notificaciones.
</t>
    </r>
    <r>
      <rPr>
        <b/>
        <sz val="11.0"/>
      </rPr>
      <t xml:space="preserve">Para que los procedimientos administrativos que contemplan el envio de notificaciones den cumplimiento a este mandato, la institución debe integrarse a la Plataforma de Notificaciones Electrónicas de la SGD, siguiendo los siguientes pasos: 
1. Participar obligatoriamente en la ronda de capacitaciones mensuales sobre la plataforma, inscribiéndose en </t>
    </r>
    <r>
      <rPr>
        <b/>
        <color rgb="FF1155CC"/>
        <sz val="11.0"/>
        <u/>
      </rPr>
      <t>https://gobdigital.cerofilas.gob.cl/tramites/informativo/2785</t>
    </r>
    <r>
      <rPr>
        <b/>
        <sz val="11.0"/>
      </rPr>
      <t xml:space="preserve"> 
2. Revisar el material de apoyo elaborado por la Secretaría de Gobierno Digital sobre los productos y plataformas en </t>
    </r>
    <r>
      <rPr>
        <b/>
        <color rgb="FF1155CC"/>
        <sz val="11.0"/>
        <u/>
      </rPr>
      <t>https://wikiguias.digital.gob.cl/</t>
    </r>
    <r>
      <rPr>
        <b/>
        <sz val="11.0"/>
      </rPr>
      <t xml:space="preserve"> 
3. Enviar un ticket a la Mesa de Servicios, manifestando formalmente su intención de incorporarse. 
4. El equipo de la Plataforma de Notificaciones se pondrá en contacto con la institución interesada mediante correo electrónico. En respuesta, la institución deberá indicar los procedimientos administrativos registrados en el Catálogo de Procedimientos Administrativos y otras Tramitaciones sobre los cuales emitirán notificaciones, conforme a los criterios definidos por la Secretaría de Gobierno Digital;  y designar un equipo de contacto institucional, que incluya referentes técnicos, de negocio y un/a administrador/a institucional.
5. Solicitar su habilitación en Cerofilas para acceder al ambiente demo, donde realizará las configuraciones necesarias según el canal de notificación elegido (web o API). En caso de haber observaciones por parte de la Secretaría, estas deberán ser subsanadas. 
6. Una vez validadas las configuraciones, la institución será habilitada en ambiente de producción y podrá comenzar la preparación y envío de notificaciones a la ciudadanía.</t>
    </r>
  </si>
  <si>
    <r>
      <rPr>
        <rFont val="Arial"/>
        <color theme="1"/>
        <sz val="11.0"/>
      </rPr>
      <t xml:space="preserve">El Decreto con Fuerza de Ley N° 1 de 2020 del Ministerio Secretaría General de la Presidencia, establece que el ingreso de las solicitudes, formularios o documentos, se hará mediante documentos electrónicos o por medio de formatos electrónicos a través de las plataformas de los órganos de la Administración del Estado, en virtud de lo dispuesto en el inciso cuarto del artículo 18, y en el inciso cuarto del artículo 30 de la ley Nº 19.880.
</t>
    </r>
    <r>
      <rPr>
        <rFont val="Arial"/>
        <b/>
        <color theme="1"/>
        <sz val="11.0"/>
      </rPr>
      <t>Para tales efectos, cuando el procedimiento administrativo contemple el ingreso de solicitudes, formularios o documentos, estos deben realizarse por medios electrónicos y debe informarse en la plataforma del Catálogo de Procedimientos Administrativos y Tramitaciones CPAT según corresponda.</t>
    </r>
  </si>
  <si>
    <r>
      <rPr>
        <sz val="11.0"/>
      </rPr>
      <t xml:space="preserve">De acuerdo a lo establecido en el artículo 18 de la Ley N° 19.880, todo el procedimiento administrativo deberá constar en un expediente electrónico, salvo las excepciones contempladas en la ley, en el que se asentarán los documentos presentados por los interesados, por terceros y por otros órganos públicos, con expresión de la fecha y hora de su recepción, respetando su orden de ingreso. Asimismo, se incorporarán las actuaciones y los documentos y resoluciones que el órgano administrativo remita a los interesados, a terceros u otros órganos públicos y las notificaciones y comunicaciones a que éstas den lugar, con expresión de la fecha y hora de su envío, en estricto orden de ocurrencia o egreso.
En tanto, de acuerdo a lo descrito en la Norma Técnica de documentos y expedientes electrónicos para la gestión de procedimientos administrativos, un expediente electrónico corresponde a una unidad documental individualizada por medio de un identificador único, funcionalmente estructurado por el conjunto de índices, documentos electrónicos, metadatos y registros, que es generada por un órgano de la Administración del Estado a través de una plataforma electrónica, para el registro de sus expedientes administrativos en soporte electrónico.
</t>
    </r>
    <r>
      <rPr>
        <b/>
        <sz val="11.0"/>
      </rPr>
      <t xml:space="preserve">Para que los procedimientos administrativos cuenten con expediente electrónico y den cumplimiento a este mandato, la institución debe revisar en detalle la Norma técnica de documentos y expedientes electrónicos para la gestión de procedimientos administrativos y el material de apoyo elaborado por la Secretaría de Gobierno Digital sobre los productos y plataformas en </t>
    </r>
    <r>
      <rPr>
        <b/>
        <color rgb="FF1155CC"/>
        <sz val="11.0"/>
        <u/>
      </rPr>
      <t>https://wikiguias.digital.gob.cl/</t>
    </r>
    <r>
      <rPr>
        <b/>
        <sz val="11.0"/>
      </rPr>
      <t xml:space="preserve"> </t>
    </r>
  </si>
  <si>
    <r>
      <rPr>
        <sz val="11.0"/>
      </rPr>
      <t xml:space="preserve">De acuerdo a lo establecido en el artículo 9 de la Ley N° 19.880, toda comunicación entre órganos de la Administración que se practique en el marco del procedimiento se realizará por medios electrónicos, dejándose constancia del órgano requirente, el funcionario responsable que practica el requerimiento, destinatario, procedimiento a que corresponde, gestión que se encarga y el plazo establecido para su realización. En complemento, el artículo 19 de la Ley N° 19.880 establece que las comunicaciones oficiales entre los órganos de la Administración serán registradas en una plataforma electrónica destinada al efecto, que en este caso corresponde a DocDigital, plataforma de comunicaciones oficiales del Estado.
De acuerdo a lo descrito en la Norma Técnica de documentos y expedientes electrónicos para la gestión de procedimientos administrativos, una comunicación oficial corresponde al mensaje entre órganos de la Administración del Estado, suscrito por el la Jefatura Superior de Servicio o quien tenga facultades delegadas para la representación del órgano, emitido o recibido a través de un medio electrónico de carácter formal que asegure la integridad y registro de dicha comunicación.
</t>
    </r>
    <r>
      <rPr>
        <b/>
        <sz val="11.0"/>
      </rPr>
      <t xml:space="preserve">Para que los procedimientos administrativos que contemplen comunicaciones oficiales den cumplimiento a este mandato, la institución debe iniciar el proceso de habilitación en la Plataforma DocDigital, siguiendo los siguientes pasos:
1. Participar obligatoriamente en la ronda de capacitaciones mensuales sobre la plataforma, inscribiéndose en </t>
    </r>
    <r>
      <rPr>
        <b/>
        <color rgb="FF1155CC"/>
        <sz val="11.0"/>
        <u/>
      </rPr>
      <t>https://gobdigital.cerofilas.gob.cl/tramites/informativo/2785</t>
    </r>
    <r>
      <rPr>
        <b/>
        <sz val="11.0"/>
      </rPr>
      <t xml:space="preserve"> 
2. Revisar el material de apoyo elaborado por la Secretaría de Gobierno Digital sobre los productos y plataformas en </t>
    </r>
    <r>
      <rPr>
        <b/>
        <color rgb="FF1155CC"/>
        <sz val="11.0"/>
        <u/>
      </rPr>
      <t>https://wikiguias.digital.gob.cl/</t>
    </r>
    <r>
      <rPr>
        <b/>
        <sz val="11.0"/>
      </rPr>
      <t xml:space="preserve"> 
3. El/la Coordinador/a de Transformación Digital debe designar a un/a “Administrador/a Principal” en el siguiente enlace: </t>
    </r>
    <r>
      <rPr>
        <b/>
        <color rgb="FF1155CC"/>
        <sz val="11.0"/>
        <u/>
      </rPr>
      <t>https://gobdigital.cerofilas.gob.cl/tramites/iniciar/2678.</t>
    </r>
    <r>
      <rPr>
        <b/>
        <sz val="11.0"/>
      </rPr>
      <t xml:space="preserve">   Cada institución puede designar hasta tres Administradores/as Principales, quienes podrán gestionar usuarios, dependencias y realizar pruebas funcionales.
4. Una vez creado este rol, la institución será incorporada en la versión Demo de DocDigital. 
5. La habilitación en el ambiente de producción será informada mensualmente. El/la Administrador/a deberá configurar los usuarios y promover el uso oficial de DocDigital en su institución.
</t>
    </r>
  </si>
  <si>
    <t>Visión EstratégicaVisión¿Existe un compromiso directivo formal y efectivo con la gestión y gobernanza de datos como elementos que aportan valor público?No</t>
  </si>
  <si>
    <t>Visión EstratégicaVisión¿Existe un compromiso directivo formal y efectivo con la gestión y gobernanza de datos como elementos que aportan valor público?Sí</t>
  </si>
  <si>
    <t>Visión EstratégicaEstrategia¿Están incluidos los temas de datos en los objetivos e iniciativas estratégicas de la organización?No</t>
  </si>
  <si>
    <t>Visión EstratégicaEstrategia¿Están incluidos los temas de datos en los objetivos e iniciativas estratégicas de la organización?Sí, pero de forma indirecta</t>
  </si>
  <si>
    <t>Visión EstratégicaEstrategia¿Están incluidos los temas de datos en los objetivos e iniciativas estratégicas de la organización?Sí, de forma clara y explícita</t>
  </si>
  <si>
    <t>Visión EstratégicaPresupuesto y Recursos¿Existe una asignación de presupuestos y recursos para cumplimiento de hoja de ruta o plan de gobernanza? (cuando existe)No Aplica</t>
  </si>
  <si>
    <t>Visión EstratégicaPresupuesto y Recursos¿Existe una asignación de presupuestos y recursos para cumplimiento de hoja de ruta o plan de gobernanza? (cuando existe)No</t>
  </si>
  <si>
    <t>Visión EstratégicaPresupuesto y Recursos¿Existe una asignación de presupuestos y recursos para cumplimiento de hoja de ruta o plan de gobernanza? (cuando existe)Sí</t>
  </si>
  <si>
    <t>Visión EstratégicaCapacidades¿Existen actualmente en la institución capacidades para la gestión de datos?No</t>
  </si>
  <si>
    <t>Visión EstratégicaCapacidades¿Existen actualmente en la institución capacidades para la gestión de datos?Sí, pero personas específicas en ámbitos específicos del MGDE</t>
  </si>
  <si>
    <t>Visión EstratégicaCapacidades¿Existen actualmente en la institución capacidades para la gestión de datos?Sí, equipos que abordan algunos ámbitos del MGDE</t>
  </si>
  <si>
    <t>Visión EstratégicaCapacidades¿Existen actualmente en la institución capacidades para la gestión de datos?Sí, equipos que abordan a la mayoría (o todos) los ámbitos del MGDE</t>
  </si>
  <si>
    <t>Visión EstratégicaGestión del Cambio¿Existe un plan de gestión del cambio, ya sea específico en torno a la Ley de Transformación Digital o Institucional que aborde los temas de datos?No</t>
  </si>
  <si>
    <t>Visión EstratégicaGestión del Cambio¿Existe un plan de gestión del cambio, ya sea específico en torno a la Ley de Transformación Digital o Institucional que aborde los temas de datos?Sí, se usa la guía base</t>
  </si>
  <si>
    <t>Visión EstratégicaGestión del Cambio¿Existe un plan de gestión del cambio, ya sea específico en torno a la Ley de Transformación Digital o Institucional que aborde los temas de datos?Sí, adaptada de la guía base</t>
  </si>
  <si>
    <t>Visión EstratégicaGestión del Cambio¿Existe un plan de gestión del cambio, ya sea específico en torno a la Ley de Transformación Digital o Institucional que aborde los temas de datos?Sí, de elaboración propia</t>
  </si>
  <si>
    <t>Visión EstratégicaAlianzas y Colaboraciones¿Se cuenta con múltiples alianzas o colaboraciones con otros OAE y/o privados en torno a los datos (intercambio de información, análisis de datos, etc.) y se busca activamente ampliarlas?No</t>
  </si>
  <si>
    <t>Visión EstratégicaAlianzas y Colaboraciones¿Se cuenta con múltiples alianzas o colaboraciones con otros OAE y/o privados en torno a los datos (intercambio de información, análisis de datos, etc.) y se busca activamente ampliarlas?Existen unas p</t>
  </si>
  <si>
    <t>Visión EstratégicaAlianzas y Colaboraciones¿Se cuenta con múltiples alianzas o colaboraciones con otros OAE y/o privados en torno a los datos (intercambio de información, análisis de datos, etc.) y se busca activamente ampliarlas?Existen alianz</t>
  </si>
  <si>
    <t>Visión EstratégicaMedición y Seguimiento¿Existen métricas claras para evaluar el éxito de la estrategia e implantación del MGDE? ¿Se realizan revisiones periódicas para evaluar el progreso y realizar ajustes si es necesario?No</t>
  </si>
  <si>
    <t>Visión EstratégicaMedición y Seguimiento¿Existen métricas claras para evaluar el éxito de la estrategia e implantación del MGDE? ¿Se realizan revisiones periódicas para evaluar el progreso y realizar ajustes si es necesario?Se está en proceso d</t>
  </si>
  <si>
    <t>Visión EstratégicaMedición y Seguimiento¿Existen métricas claras para evaluar el éxito de la estrategia e implantación del MGDE? ¿Se realizan revisiones periódicas para evaluar el progreso y realizar ajustes si es necesario?Sí, se cuenta con mé</t>
  </si>
  <si>
    <t>Gobernanza de DatosPolítica de gobernanza de datos¿Existe una política/estrategia de gobernanza de datos que cubra la gestión de los datos a lo largo de su ciclo de vida, desde su creación hasta su eliminación o archivo?No</t>
  </si>
  <si>
    <t>Gobernanza de DatosPolítica de gobernanza de datos¿Existe una política/estrategia de gobernanza de datos que cubra la gestión de los datos a lo largo de su ciclo de vida, desde su creación hasta su eliminación o archivo?Sí, se ha adoptado la po</t>
  </si>
  <si>
    <t>Gobernanza de DatosPolítica de gobernanza de datos¿Existe una política/estrategia de gobernanza de datos que cubra la gestión de los datos a lo largo de su ciclo de vida, desde su creación hasta su eliminación o archivo?Sí, se ha adaptado la po</t>
  </si>
  <si>
    <t>Gobernanza de DatosOrganización¿Existen roles o funciones institucionales responsables del liderazgo de datos?No</t>
  </si>
  <si>
    <t>Gobernanza de DatosOrganización¿Existen roles o funciones institucionales responsables del liderazgo de datos?Sí, rol y/o equipo compartido</t>
  </si>
  <si>
    <t>Gobernanza de DatosOrganización¿Existen roles o funciones institucionales responsables del liderazgo de datos?Sí, rol y/o equipo dedicado</t>
  </si>
  <si>
    <t>Gobernanza de DatosOrganización¿Existen roles o funciones institucionales responsables del liderazgo de datos?Sí, unidad responsable formalmente definida</t>
  </si>
  <si>
    <t>Gobernanza de DatosImplementación¿Existe un plan de implementación de la gobernanza de datos?No</t>
  </si>
  <si>
    <t>Gobernanza de DatosImplementación¿Existe un plan de implementación de la gobernanza de datos?Sí, guía base</t>
  </si>
  <si>
    <t>Gobernanza de DatosImplementación¿Existe un plan de implementación de la gobernanza de datos?Sí, adaptado de la guía base</t>
  </si>
  <si>
    <t>Gobernanza de DatosImplementación¿Existe un plan de implementación de la gobernanza de datos?Sí, de elaboración propia</t>
  </si>
  <si>
    <t>Gobernanza de DatosHerramientas¿Se han incorporado herramientas para apoyo a la gobernanza?No</t>
  </si>
  <si>
    <t>Gobernanza de DatosHerramientas¿Se han incorporado herramientas para apoyo a la gobernanza?Sí, planillas, presentaciones, documentos</t>
  </si>
  <si>
    <t>Gobernanza de DatosHerramientas¿Se han incorporado herramientas para apoyo a la gobernanza?Sí, Herramientas de catálogo</t>
  </si>
  <si>
    <t>Gobernanza de DatosHerramientas¿Se han incorporado herramientas para apoyo a la gobernanza?Sí, herramientas de gobernanza que cubren más que el catálogo</t>
  </si>
  <si>
    <t>Gobernanza de DatosCapacitación¿Se han realizado capacitaciones de gobernanza y gestión de datos en base al MGDE (o DAMA) en la institución?No</t>
  </si>
  <si>
    <t>Gobernanza de DatosCapacitación¿Se han realizado capacitaciones de gobernanza y gestión de datos en base al MGDE (o DAMA) en la institución?Sí, básica (seminarios, presentaciones)</t>
  </si>
  <si>
    <t>Gobernanza de DatosCapacitación¿Se han realizado capacitaciones de gobernanza y gestión de datos en base al MGDE (o DAMA) en la institución?Sí, a responsables de datos</t>
  </si>
  <si>
    <t>Gobernanza de DatosCapacitación¿Se han realizado capacitaciones de gobernanza y gestión de datos en base al MGDE (o DAMA) en la institución?Sí, a equipos que manejan datos</t>
  </si>
  <si>
    <t>Gobernanza de DatosGestión de Riesgos¿Se han identificado y evaluado los riesgos asociados con la gestión de datos y existen procesos para mitigar y gestionar estos riesgos de manera efectiva?No</t>
  </si>
  <si>
    <t>Gobernanza de DatosGestión de Riesgos¿Se han identificado y evaluado los riesgos asociados con la gestión de datos y existen procesos para mitigar y gestionar estos riesgos de manera efectiva?Sí, se han evaluado y se están definiendo un plan pa</t>
  </si>
  <si>
    <t>Gobernanza de DatosGestión de Riesgos¿Se han identificado y evaluado los riesgos asociados con la gestión de datos y existen procesos para mitigar y gestionar estos riesgos de manera efectiva?Sí, se han evaluado y se están desarrollando los pro</t>
  </si>
  <si>
    <t>Gobernanza de DatosGestión de Riesgos¿Se han identificado y evaluado los riesgos asociados con la gestión de datos y existen procesos para mitigar y gestionar estos riesgos de manera efectiva?Sí, se han evaluado y se cuenta con procesos para su</t>
  </si>
  <si>
    <t>Gobernanza de DatosGestión ética de datos¿Existen políticas, directivas o estándares para promover el uso ético de datos?No</t>
  </si>
  <si>
    <t>Gobernanza de DatosGestión ética de datos¿Existen políticas, directivas o estándares para promover el uso ético de datos?Sí</t>
  </si>
  <si>
    <t>Arquitectura, Diseño y DocumentaciónArquitectura Institucional de datos¿Existe una conceptualización formalizada de la información relevante para el quehacer institucional?No</t>
  </si>
  <si>
    <t>Arquitectura, Diseño y DocumentaciónArquitectura Institucional de datos¿Existe una conceptualización formalizada de la información relevante para el quehacer institucional?Sí, en documento o presentación</t>
  </si>
  <si>
    <t>Arquitectura, Diseño y DocumentaciónArquitectura Institucional de datos¿Existe una conceptualización formalizada de la información relevante para el quehacer institucional?Sí, mediante clasificaciones y/o modelos de alto nivel para algunos dato</t>
  </si>
  <si>
    <t>Arquitectura, Diseño y DocumentaciónArquitectura Institucional de datos¿Existe una conceptualización formalizada de la información relevante para el quehacer institucional?Sí, mediante clasificaciones y/o modelos de alto nivel para la totalidad</t>
  </si>
  <si>
    <t>Arquitectura, Diseño y DocumentaciónCatálogo¿Existe un levantamiento, catálogo o inventario de los datos que maneja la institución?No</t>
  </si>
  <si>
    <t>Arquitectura, Diseño y DocumentaciónCatálogo¿Existe un levantamiento, catálogo o inventario de los datos que maneja la institución?Sí, levantamiento general (documentos, planillas)</t>
  </si>
  <si>
    <t>Arquitectura, Diseño y DocumentaciónCatálogo¿Existe un levantamiento, catálogo o inventario de los datos que maneja la institución?Sí, catálogo parcial con definiciones de acceso (seguridad) y caracterización de datos personales, para algunos d</t>
  </si>
  <si>
    <t>Arquitectura, Diseño y DocumentaciónCatálogo¿Existe un levantamiento, catálogo o inventario de los datos que maneja la institución?Sí, catálogo documentado, con definiciones de acceso (seguridad) y caracterización de datos personales, de los da</t>
  </si>
  <si>
    <t>Arquitectura, Diseño y DocumentaciónCatálogo¿Existe evaluación de la calidad de los catálogos o inventarios de datos?No</t>
  </si>
  <si>
    <t>Arquitectura, Diseño y DocumentaciónCatálogo¿Existe evaluación de la calidad de los catálogos o inventarios de datos?No, pero se está en proceso de definición</t>
  </si>
  <si>
    <t>Arquitectura, Diseño y DocumentaciónCatálogo¿Existe evaluación de la calidad de los catálogos o inventarios de datos?Sí y se cuenta con un plan para su aplicación</t>
  </si>
  <si>
    <t>Arquitectura, Diseño y DocumentaciónCatálogo¿Existe evaluación de la calidad de los catálogos o inventarios de datos?Sí y se aplica sistemáticamente</t>
  </si>
  <si>
    <t>Arquitectura, Diseño y DocumentaciónModelos y Documentación¿Existen modelos o documentación (diseño, diccionario de datos) de las bases de datos?No</t>
  </si>
  <si>
    <t>Arquitectura, Diseño y DocumentaciónModelos y Documentación¿Existen modelos o documentación (diseño, diccionario de datos) de las bases de datos?Sí, parcial o desactualizado y sólo para algunas bases de datos o de documentos.</t>
  </si>
  <si>
    <t>Arquitectura, Diseño y DocumentaciónModelos y Documentación¿Existen modelos o documentación (diseño, diccionario de datos) de las bases de datos?Sí, actualizada para las bases de datos o de documentos más relevantes.</t>
  </si>
  <si>
    <t>Arquitectura, Diseño y DocumentaciónModelos y Documentación¿Existen modelos o documentación (diseño, diccionario de datos) de las bases de datos?Sí, para todas las bases de datos o de documentos relevantes y procedimiento para su actualización.</t>
  </si>
  <si>
    <t>Arquitectura, Diseño y DocumentaciónMetadatos¿Existen directrices y estándares para la definición y gestión de metadatos asociados a datos y documentos?No</t>
  </si>
  <si>
    <t>Arquitectura, Diseño y DocumentaciónMetadatos¿Existen directrices y estándares para la definición y gestión de metadatos asociados a datos y documentos?No, pero se está en proceso de definición</t>
  </si>
  <si>
    <t>Arquitectura, Diseño y DocumentaciónMetadatos¿Existen directrices y estándares para la definición y gestión de metadatos asociados a datos y documentos?Si y se cuenta con un plan para su aplicación</t>
  </si>
  <si>
    <t>Arquitectura, Diseño y DocumentaciónMetadatos¿Existen directrices y estándares para la definición y gestión de metadatos asociados a datos y documentos?Si y se aplica de manera sistemática</t>
  </si>
  <si>
    <t>Arquitectura, Diseño y DocumentaciónMetadatos¿Existen metadatos asociados a las bases de datos?No</t>
  </si>
  <si>
    <t>Arquitectura, Diseño y DocumentaciónMetadatos¿Existen metadatos asociados a las bases de datos?Sí, algunos metadatos asociados a bases de datos o de documentos determinados, pero no existe un estándar.</t>
  </si>
  <si>
    <t>Arquitectura, Diseño y DocumentaciónMetadatos¿Existen metadatos asociados a las bases de datos?Sí, existe un estándar de metadatos aplicado a las bases de datos o de documentos más relevantes.</t>
  </si>
  <si>
    <t>Arquitectura, Diseño y DocumentaciónMetadatos¿Existen metadatos asociados a las bases de datos?Sí, existen un estándar de metadatos aplicado a todos las bases de datos o de documentos relevantes y herramientas para gestionarlos</t>
  </si>
  <si>
    <t>Almacenamiento y OperaciónGestión de la operación y almacenamiento¿Se gestiona la operación y el almacenamiento de los datos mediante la administración de las bases, internamente o con apoyo externo?No</t>
  </si>
  <si>
    <t>Almacenamiento y OperaciónGestión de la operación y almacenamiento¿Se gestiona la operación y el almacenamiento de los datos mediante la administración de las bases, internamente o con apoyo externo?Sí, para las bases más relevantes.</t>
  </si>
  <si>
    <t>Almacenamiento y OperaciónGestión de la operación y almacenamiento¿Se gestiona la operación y el almacenamiento de los datos mediante la administración de las bases, internamente o con apoyo externo?Sí, incluyendo monitoreo de las bases más rel</t>
  </si>
  <si>
    <t>Almacenamiento y OperaciónGestión de la operación y almacenamiento¿Se gestiona la operación y el almacenamiento de los datos mediante la administración de las bases, internamente o con apoyo externo?Sí, incluyendo monitoreo y planes de crecimie</t>
  </si>
  <si>
    <t>Seguridad y Ciberseguridad de DatosSeguridad¿Existen políticas y procedimientos para el cumplimiento de la normativa de seguridad de la información?No</t>
  </si>
  <si>
    <t>Seguridad y Ciberseguridad de DatosSeguridad¿Existen políticas y procedimientos para el cumplimiento de la normativa de seguridad de la información?Sí, pero no se auditan.</t>
  </si>
  <si>
    <t>Seguridad y Ciberseguridad de DatosSeguridad¿Existen políticas y procedimientos para el cumplimiento de la normativa de seguridad de la información?Sí, existe un Sistema de Gestión de Seguridad de la Información (SGSI) con políticas y procedimi</t>
  </si>
  <si>
    <t>Seguridad y Ciberseguridad de DatosCiberseguridad¿Existen políticas y procedimientos de ciberseguridad de la información?No</t>
  </si>
  <si>
    <t>Seguridad y Ciberseguridad de DatosCiberseguridad¿Existen políticas y procedimientos de ciberseguridad de la información?Sí</t>
  </si>
  <si>
    <t>Seguridad y Ciberseguridad de DatosCiberseguridad¿Existen políticas y procedimientos de ciberseguridad de la información?Sí y se validan regularmente en forma interna.</t>
  </si>
  <si>
    <t>Seguridad y Ciberseguridad de DatosCiberseguridad¿Existen políticas y procedimientos de ciberseguridad de la información?Sí y se validan por terceros y se actualizan regularmente.</t>
  </si>
  <si>
    <t>Seguridad y Ciberseguridad de DatosProtección de Datos Personales¿Existe un responsable de la protección de datos?No</t>
  </si>
  <si>
    <t>Seguridad y Ciberseguridad de DatosProtección de Datos Personales¿Existe un responsable de la protección de datos?Sí</t>
  </si>
  <si>
    <t>Seguridad y Ciberseguridad de DatosProtección de Datos Personales¿Existen políticas y procedimientos asociados al cumplimiento de la privacidad y protección de datos personales?No</t>
  </si>
  <si>
    <t>Seguridad y Ciberseguridad de DatosProtección de Datos Personales¿Existen políticas y procedimientos asociados al cumplimiento de la privacidad y protección de datos personales?Sí</t>
  </si>
  <si>
    <t>Seguridad y Ciberseguridad de DatosProtección de Datos Personales¿Existen políticas y procedimientos asociados al cumplimiento de la privacidad y protección de datos personales?Sí, incluyendo mecanismos de anonimización (en caso de ser necesari</t>
  </si>
  <si>
    <t>Seguridad y Ciberseguridad de DatosProtección de Datos Personales¿Existen políticas y procedimientos asociados al cumplimiento de la privacidad y protección de datos personales?Sí, incluyendo mecanismos de anonimización que son validados por te</t>
  </si>
  <si>
    <t>Seguridad y Ciberseguridad de DatosProtección de Datos Personales¿Existen directrices para la anonimización de datos cuando es requerido?No</t>
  </si>
  <si>
    <t>Seguridad y Ciberseguridad de DatosProtección de Datos Personales¿Existen directrices para la anonimización de datos cuando es requerido?Sí</t>
  </si>
  <si>
    <t>Seguridad y Ciberseguridad de DatosRecuperación ante desastres¿Existen mecanismos de respaldo y recuperación, planes de recuperación ante desastres (DRP) o planes de continuidad de negocio (BCP) probados y operativos?No</t>
  </si>
  <si>
    <t>Seguridad y Ciberseguridad de DatosRecuperación ante desastres¿Existen mecanismos de respaldo y recuperación, planes de recuperación ante desastres (DRP) o planes de continuidad de negocio (BCP) probados y operativos?Sí, existen mecanismos de r</t>
  </si>
  <si>
    <t>Seguridad y Ciberseguridad de DatosRecuperación ante desastres¿Existen mecanismos de respaldo y recuperación, planes de recuperación ante desastres (DRP) o planes de continuidad de negocio (BCP) probados y operativos?Sí, existe plan de recupera</t>
  </si>
  <si>
    <t>Integración e InteroperabilidadIntegración¿Existen mecanismos de integración y consolidación de datos mediante herramientas tipo ETL o Ingesta para las bases de datos y/o bases de gestión (datamart, datawarehouse, datalake)?No</t>
  </si>
  <si>
    <t>Integración e InteroperabilidadIntegración¿Existen mecanismos de integración y consolidación de datos mediante herramientas tipo ETL o Ingesta para las bases de datos y/o bases de gestión (datamart, datawarehouse, datalake)?Sí, para algunas bas</t>
  </si>
  <si>
    <t>Integración e InteroperabilidadIntegración¿Existen mecanismos de integración y consolidación de datos mediante herramientas tipo ETL o Ingesta para las bases de datos y/o bases de gestión (datamart, datawarehouse, datalake)?Sí, para las bases m</t>
  </si>
  <si>
    <t>Integración e InteroperabilidadIntegración¿Existen mecanismos de integración y consolidación de datos mediante herramientas tipo ETL o Ingesta para las bases de datos y/o bases de gestión (datamart, datawarehouse, datalake)?Sí, para todas las b</t>
  </si>
  <si>
    <t>Integración e InteroperabilidadInteroperabilidad¿Existen acuerdos de acceso y/o intercambio de datos con terceros, sean estas instituciones del sector público, privado o internacional?No</t>
  </si>
  <si>
    <t>Integración e InteroperabilidadInteroperabilidad¿Existen acuerdos de acceso y/o intercambio de datos con terceros, sean estas instituciones del sector público, privado o internacional?Sí, pero son los mínimos necesarios</t>
  </si>
  <si>
    <t>Integración e InteroperabilidadInteroperabilidad¿Existen acuerdos de acceso y/o intercambio de datos con terceros, sean estas instituciones del sector público, privado o internacional?Sí, y se está buscando ampliarlos</t>
  </si>
  <si>
    <t>Integración e InteroperabilidadInteroperabilidad¿Existen acuerdos de acceso y/o intercambio de datos con terceros, sean estas instituciones del sector público, privado o internacional?Sí, todos los necesarios</t>
  </si>
  <si>
    <t>Integración e InteroperabilidadInteroperabilidad¿Se han identificado los requerimientos de interoperabilidad (tanto de entrada como de salida) y existen mecanismos de interoperabilidad?No</t>
  </si>
  <si>
    <t>Integración e InteroperabilidadInteroperabilidad¿Se han identificado los requerimientos de interoperabilidad (tanto de entrada como de salida) y existen mecanismos de interoperabilidad?Sí, incluyendo mecanismos de interoperabilidad ya sea media</t>
  </si>
  <si>
    <t>Integración e InteroperabilidadInteroperabilidad¿Se han identificado los requerimientos de interoperabilidad (tanto de entrada como de salida) y existen mecanismos de interoperabilidad?Sí y se han habilitado y se utilizan regularmente (como par</t>
  </si>
  <si>
    <t>Integración e InteroperabilidadInteroperabilidad¿Se han identificado los requerimientos de interoperabilidad (tanto de entrada como de salida) y existen mecanismos de interoperabilidad?Sí y todo el intercambio de información con otras entidades</t>
  </si>
  <si>
    <t>Integración e InteroperabilidadInteroperabilidad¿Se utiliza la Plataforma de Interoperabilidad del Estado para la interoperabilidad con otras instituciones?No</t>
  </si>
  <si>
    <t>Integración e InteroperabilidadInteroperabilidad¿Se utiliza la Plataforma de Interoperabilidad del Estado para la interoperabilidad con otras instituciones?Sí</t>
  </si>
  <si>
    <t>Documentos y ContenidosDefiniciones¿Existe un diagnóstico del estado de la gestión documental y una política de gestión documental?No</t>
  </si>
  <si>
    <t>Documentos y ContenidosDefiniciones¿Existe un diagnóstico del estado de la gestión documental y una política de gestión documental?Sí, existe diagnóstico y se está trabajando en la política</t>
  </si>
  <si>
    <t>Documentos y ContenidosDefiniciones¿Existe un diagnóstico del estado de la gestión documental y una política de gestión documental?Sí, existe una política de gestión documental que incluye la definición de ciclo de vida, la clasificación, valor</t>
  </si>
  <si>
    <t>Documentos y ContenidosDefiniciones¿Existe un diagnóstico del estado de la gestión documental y una política de gestión documental?Sí, existen una política de gestión documental, procesos asociados y mecanismos de evaluación y seguimiento.</t>
  </si>
  <si>
    <t>Documentos y ContenidosMetadatos¿Se ha revisado la definición del documento "Metadatos para la Gestión Documental de las Instituciones Públicas" identificando las brechas y generando un plan de cumplimiento?No</t>
  </si>
  <si>
    <t>Documentos y ContenidosMetadatos¿Se ha revisado la definición del documento "Metadatos para la Gestión Documental de las Instituciones Públicas" identificando las brechas y generando un plan de cumplimiento?Sí</t>
  </si>
  <si>
    <t>Documentos y ContenidosMetadatos¿Se ha revisado la definición del documento "Metadatos para la Gestión Documental de las Instituciones Públicas" identificando las brechas y generando un plan de cumplimiento?Sí y se está trabajando en el plan de</t>
  </si>
  <si>
    <t>Documentos y ContenidosMetadatos¿Se ha revisado la definición del documento "Metadatos para la Gestión Documental de las Instituciones Públicas" identificando las brechas y generando un plan de cumplimiento?Sí, se cumple a cabalidad con el docu</t>
  </si>
  <si>
    <t>Documentos y ContenidosExpediente Electrónico¿Se cuenta con una definición y plan de implementación del expediente electrónico de acuerdo a lo requerido en la Ley 21.180 (Ley de TD)?No</t>
  </si>
  <si>
    <t>Documentos y ContenidosExpediente Electrónico¿Se cuenta con una definición y plan de implementación del expediente electrónico de acuerdo a lo requerido en la Ley 21.180 (Ley de TD)?Sí</t>
  </si>
  <si>
    <t>Documentos y ContenidosExpediente Electrónico¿Se cuenta con una definición y plan de implementación del expediente electrónico de acuerdo a lo requerido en la Ley 21.180 (Ley de TD)?Sí y se está trabajando en su implementación</t>
  </si>
  <si>
    <t>Documentos y ContenidosExpediente Electrónico¿Se cuenta con una definición y plan de implementación del expediente electrónico de acuerdo a lo requerido en la Ley 21.180 (Ley de TD)?Sí y se cumple a cabalidad</t>
  </si>
  <si>
    <t>Documentos y ContenidosRepositorio Documental¿Se ha incorporado una herramienta de repositorio documental?No</t>
  </si>
  <si>
    <t>Documentos y ContenidosRepositorio Documental¿Se ha incorporado una herramienta de repositorio documental?Sí en una o más áreas.</t>
  </si>
  <si>
    <t>Documentos y ContenidosRepositorio Documental¿Se ha incorporado una herramienta de repositorio documental?Sí y cumplen con los estándares definidos en la política institucional de gestión documental.</t>
  </si>
  <si>
    <t>Documentos y ContenidosRepositorio Documental¿Se ha incorporado una herramienta de repositorio documental?Sí y se han implementado sistemáticamente cumpliendo los estándares definidos en la política institucional de gestión documental.</t>
  </si>
  <si>
    <t>Datos Maestros y de ReferenciaDatos referenciales¿Existen estandarización de códigos de la información que se comparte entre áreas y/o con externos?No</t>
  </si>
  <si>
    <t>Datos Maestros y de ReferenciaDatos referenciales¿Existen estandarización de códigos de la información que se comparte entre áreas y/o con externos?Sí, los códigos básicos para datos que se comparten entre áreas y/o con externos.</t>
  </si>
  <si>
    <t>Datos Maestros y de ReferenciaDatos referenciales¿Existen estandarización de códigos de la información que se comparte entre áreas y/o con externos?Sí, todos los códigos para los datos más relevantes que se comparten entre áreas y/o con externo</t>
  </si>
  <si>
    <t>Datos Maestros y de ReferenciaDatos referenciales¿Existen estandarización de códigos de la información que se comparte entre áreas y/o con externos?Sí, los códigos para todos los datos relevantes que se comparten entre áreas y/o con externos.</t>
  </si>
  <si>
    <t>Datos Maestros y de ReferenciaDatos maestros¿Existe una identificación de los datos maestros y estos se consolidan y gestionan centralmente?No</t>
  </si>
  <si>
    <t>Datos Maestros y de ReferenciaDatos maestros¿Existe una identificación de los datos maestros y estos se consolidan y gestionan centralmente?Sí, pero no están consolidados ni gestionados centralmente.</t>
  </si>
  <si>
    <t>Datos Maestros y de ReferenciaDatos maestros¿Existe una identificación de los datos maestros y estos se consolidan y gestionan centralmente?Sí, algunos datos maestros, los más relevantes o prioritarios, están consolidados y gestionados, aunque</t>
  </si>
  <si>
    <t>Datos Maestros y de ReferenciaDatos maestros¿Existe una identificación de los datos maestros y estos se consolidan y gestionan centralmente?Sí, los datos maestros relevantes están consolidados y gestionados centralmente.</t>
  </si>
  <si>
    <t>Datos Maestros y de ReferenciaHerramientas¿Se cuenta con desarrollos ad-hoc o herramientas de Master Data Management (MDM) que apoyan la gestión de los datos maestros y referenciales?No</t>
  </si>
  <si>
    <t>Datos Maestros y de ReferenciaHerramientas¿Se cuenta con desarrollos ad-hoc o herramientas de Master Data Management (MDM) que apoyan la gestión de los datos maestros y referenciales?Sí, se cuenta con desarrollos ad-hoc</t>
  </si>
  <si>
    <t>Datos Maestros y de ReferenciaHerramientas¿Se cuenta con desarrollos ad-hoc o herramientas de Master Data Management (MDM) que apoyan la gestión de los datos maestros y referenciales?Sí, se está en proceso de implementación de herramientas MDM</t>
  </si>
  <si>
    <t>Datos Maestros y de ReferenciaHerramientas¿Se cuenta con desarrollos ad-hoc o herramientas de Master Data Management (MDM) que apoyan la gestión de los datos maestros y referenciales?Sí, se cuenta con herramientas de MDM completamente implement</t>
  </si>
  <si>
    <t>Analítica e Inteligencia de NegociosToma de decisiones basada en información¿Existe la definición institucional y la práctica de hacer análisis de datos para la gestión y toma de decisiones?No</t>
  </si>
  <si>
    <t>Analítica e Inteligencia de NegociosToma de decisiones basada en información¿Existe la definición institucional y la práctica de hacer análisis de datos para la gestión y toma de decisiones?Sí, existe la definición institucional y se está traba</t>
  </si>
  <si>
    <t>Analítica e Inteligencia de NegociosToma de decisiones basada en información¿Existe la definición institucional y la práctica de hacer análisis de datos para la gestión y toma de decisiones?Sí, existe la definición institucional y la práctica a</t>
  </si>
  <si>
    <t>Analítica e Inteligencia de NegociosToma de decisiones basada en información¿Existe la definición institucional y la práctica de hacer análisis de datos para la gestión y toma de decisiones?Sí, existe la definición y la práctica a nivel institu</t>
  </si>
  <si>
    <t>Analítica e Inteligencia de NegociosInformación de gestión¿Existen repositorios de gestión de tipo data mart / data warehouse o data lake para la gestión institucional?No</t>
  </si>
  <si>
    <t>Analítica e Inteligencia de NegociosInformación de gestión¿Existen repositorios de gestión de tipo data mart / data warehouse o data lake para la gestión institucional?Sí y abordan algunos ámbitos de la gestión institucional</t>
  </si>
  <si>
    <t>Analítica e Inteligencia de NegociosInformación de gestión¿Existen repositorios de gestión de tipo data mart / data warehouse o data lake para la gestión institucional?Sí y abordan los principales ámbitos de la gestión institucional</t>
  </si>
  <si>
    <t>Analítica e Inteligencia de NegociosInformación de gestión¿Existen repositorios de gestión de tipo data mart / data warehouse o data lake para la gestión institucional?Sí y abordan los principales ámbitos de gestión institucional y se incorpora</t>
  </si>
  <si>
    <t>Analítica e Inteligencia de NegociosHerramientas¿Existen herramientas de tipo inteligencia de negocios y otras para hacer analítica o ciencia de datos, incluyendo IA?No</t>
  </si>
  <si>
    <t>Analítica e Inteligencia de NegociosHerramientas¿Existen herramientas de tipo inteligencia de negocios y otras para hacer analítica o ciencia de datos, incluyendo IA?Sí, de inteligencia de negocios para visualización de información (paneles de</t>
  </si>
  <si>
    <t>Analítica e Inteligencia de NegociosHerramientas¿Existen herramientas de tipo inteligencia de negocios y otras para hacer analítica o ciencia de datos, incluyendo IA?Sí, de inteligencia de negocios y analítica o ciencia de datos, incluyendo IA</t>
  </si>
  <si>
    <t>Calidad de DatosDefinición¿Existe una definición de calidad de datos que permita evaluar y auditar la calidad de datos a nivel institucional?No</t>
  </si>
  <si>
    <t>Calidad de DatosDefinición¿Existe una definición de calidad de datos que permita evaluar y auditar la calidad de datos a nivel institucional?Se está trabajando en generarla</t>
  </si>
  <si>
    <t>Calidad de DatosDefinición¿Existe una definición de calidad de datos que permita evaluar y auditar la calidad de datos a nivel institucional?Sí, existe una definición que se está en proceso de aplicar</t>
  </si>
  <si>
    <t>Calidad de DatosDefinición¿Existe una definición de calidad de datos que permita evaluar y auditar la calidad de datos a nivel institucional?Sí, existe una definición de calidad de datos que se evalúa y controla en los procesos definidos</t>
  </si>
  <si>
    <t>Calidad de DatosMetodología y Herramientas¿Se utilizan metodologías (o estándares) y herramientas para la gestión de calidad?No</t>
  </si>
  <si>
    <t>Calidad de DatosMetodología y Herramientas¿Se utilizan metodologías (o estándares) y herramientas para la gestión de calidad?Se han identificado y evaluado</t>
  </si>
  <si>
    <t>Calidad de DatosMetodología y Herramientas¿Se utilizan metodologías (o estándares) y herramientas para la gestión de calidad?Sí, se está en el proceso de incorporar metodologías (o estándares) y herramientas.</t>
  </si>
  <si>
    <t>Calidad de DatosMetodología y Herramientas¿Se utilizan metodologías (o estándares) y herramientas para la gestión de calidad?Sí, y se aplican de manera regular en todos los procesos relevantes</t>
  </si>
  <si>
    <t>Datos AbiertosDefiniciones¿Existe una estrategia de datos abiertos?No</t>
  </si>
  <si>
    <t>Datos AbiertosDefiniciones¿Existe una estrategia de datos abiertos?Sí</t>
  </si>
  <si>
    <t>Datos AbiertosDefiniciones¿Se ha incorporado institucionalmente la definición de datos abiertos por defecto y los principios de datos abiertos (Open Data Charter)?No</t>
  </si>
  <si>
    <t>Datos AbiertosDefiniciones¿Se ha incorporado institucionalmente la definición de datos abiertos por defecto y los principios de datos abiertos (Open Data Charter)?Sí, existe la definición institucional y se está trabajando activamente en inicia</t>
  </si>
  <si>
    <t>Datos AbiertosDefiniciones¿Se ha incorporado institucionalmente la definición de datos abiertos por defecto y los principios de datos abiertos (Open Data Charter)?Sí, existe la definición institucional y existen avances concretos.</t>
  </si>
  <si>
    <t>Datos AbiertosDefiniciones¿Se ha incorporado institucionalmente la definición de datos abiertos por defecto y los principios de datos abiertos (Open Data Charter)?Sí, existe la definición institucional y se cumplen a cabalidad (salvo los casos</t>
  </si>
  <si>
    <t>Datos AbiertosPublicación¿Se publican datos abiertos de manera regular?No</t>
  </si>
  <si>
    <t>Datos AbiertosPublicación¿Se publican datos abiertos de manera regular?SÍ, datos básicos</t>
  </si>
  <si>
    <t>Datos AbiertosPublicación¿Se publican datos abiertos de manera regular?Sí, datos procesados o consolidados</t>
  </si>
  <si>
    <t>Datos AbiertosPublicación¿Se publican datos abiertos de manera regular?Sí, datos evaluados como de alto valor</t>
  </si>
  <si>
    <t>Datos AbiertosPublicaciónSi se publican datos abiertos ¿en qué lugar se publican?No se publica</t>
  </si>
  <si>
    <t>Datos AbiertosPublicaciónSi se publican datos abiertos ¿en qué lugar se publican?Portal propio</t>
  </si>
  <si>
    <t>Datos AbiertosPublicaciónSi se publican datos abiertos ¿en qué lugar se publican?Portal nacional</t>
  </si>
  <si>
    <t>Datos AbiertosPublicaciónSi se publican datos abiertos ¿en qué lugar se publican?Portal propio y portal nacional</t>
  </si>
  <si>
    <t>Datos AbiertosPublicación¿Existen las condiciones (recursos) e incentivos para la publicación de datos abiertos?No o no son suficientes</t>
  </si>
  <si>
    <t>Datos AbiertosPublicación¿Existen las condiciones (recursos) e incentivos para la publicación de datos abiertos?No, pero se están definiendo</t>
  </si>
  <si>
    <t>Datos AbiertosPublicación¿Existen las condiciones (recursos) e incentivos para la publicación de datos abiertos?Sí, aunque están en proceso de implementación o redefinición</t>
  </si>
  <si>
    <t>Datos AbiertosPublicación¿Existen las condiciones (recursos) e incentivos para la publicación de datos abiertos?Sí y son efectivos</t>
  </si>
  <si>
    <t>Datos AbiertosPublicación¿Se incentiva la publicación de datasets de alta contribución según lo que estipula la normativa de datos abiertos y estrategia nacional de datos abiertos?No</t>
  </si>
  <si>
    <t>Datos AbiertosPublicación¿Se incentiva la publicación de datasets de alta contribución según lo que estipula la normativa de datos abiertos y estrategia nacional de datos abiertos?No, pero se está desarrollado un plan de cumplimiento</t>
  </si>
  <si>
    <t>Datos AbiertosPublicación¿Se incentiva la publicación de datasets de alta contribución según lo que estipula la normativa de datos abiertos y estrategia nacional de datos abiertos?Sí, se está implementando el plan de cumplimiento</t>
  </si>
  <si>
    <t>Datos AbiertosPublicación¿Se incentiva la publicación de datasets de alta contribución según lo que estipula la normativa de datos abiertos y estrategia nacional de datos abiertos?Sí, se cumple a cabalidad la normativa</t>
  </si>
  <si>
    <t>Datos AbiertosMecanismos de acceso, formato, documentación y condiciones de uso¿Con qué mecanismos de acceso, formato, documentación y condiciones de uso se publican los datos abiertos?No Aplica (no se publican datos abiertos)</t>
  </si>
  <si>
    <t>Datos AbiertosMecanismos de acceso, formato, documentación y condiciones de uso¿Con qué mecanismos de acceso, formato, documentación y condiciones de uso se publican los datos abiertos?Descargables no siempre documentados y en algunos casos en</t>
  </si>
  <si>
    <t>Datos AbiertosMecanismos de acceso, formato, documentación y condiciones de uso¿Con qué mecanismos de acceso, formato, documentación y condiciones de uso se publican los datos abiertos?Descargables, documentados y con formatos siempre legibles</t>
  </si>
  <si>
    <t>Datos AbiertosMecanismos de acceso, formato, documentación y condiciones de uso¿Con qué mecanismos de acceso, formato, documentación y condiciones de uso se publican los datos abiertos?Descargables y accesibles mediante APIs, documentados, con</t>
  </si>
  <si>
    <t>Aspectos Legales y NormativosParticipación del área jurídica¿Existe participación del área jurídica en la definición y validación de políticas y procedimientos de gobierno de datos para asegurar cumplimiento de las leyes y normativas?No</t>
  </si>
  <si>
    <t>Aspectos Legales y NormativosParticipación del área jurídica¿Existe participación del área jurídica en la definición y validación de políticas y procedimientos de gobierno de datos para asegurar cumplimiento de las leyes y normativas?Sólo es in</t>
  </si>
  <si>
    <t>Aspectos Legales y NormativosParticipación del área jurídica¿Existe participación del área jurídica en la definición y validación de políticas y procedimientos de gobierno de datos para asegurar cumplimiento de las leyes y normativas?Es informa</t>
  </si>
  <si>
    <t>Aspectos Legales y NormativosParticipación del área jurídica¿Existe participación del área jurídica en la definición y validación de políticas y procedimientos de gobierno de datos para asegurar cumplimiento de las leyes y normativas?Participa</t>
  </si>
  <si>
    <t>Aspectos Legales y NormativosCumplimiento aspectos legales y normativos¿Se cumple con las regulaciones y estándares relevantes en cuanto a la gestión y protección de datos personales (PDP) y existen procedimientos para garantizar el cumplimient</t>
  </si>
  <si>
    <t>Descripción_subdimensión</t>
  </si>
  <si>
    <t>x</t>
  </si>
  <si>
    <t>n_indicador_bd</t>
  </si>
  <si>
    <t>indicador_bd</t>
  </si>
  <si>
    <t>Definición_indicador</t>
  </si>
  <si>
    <t>n_Indicador_bd</t>
  </si>
  <si>
    <t>Indicador_bd</t>
  </si>
  <si>
    <t>Definición_Indicador_bd</t>
  </si>
  <si>
    <t xml:space="preserve">Definición </t>
  </si>
  <si>
    <t>espacio</t>
  </si>
  <si>
    <t>Por responder</t>
  </si>
  <si>
    <r>
      <rPr>
        <rFont val="Arial"/>
        <color theme="1"/>
      </rPr>
      <t xml:space="preserve">En el caso de textos referidos a trámites, ¿se brinda información suficiente para que las personas usuarias puedan realizarlos autónomamente?
</t>
    </r>
    <r>
      <rPr>
        <rFont val="Arial"/>
        <i/>
        <color theme="1"/>
      </rPr>
      <t xml:space="preserve">La opción "No aplica" es solo para el caso en que no se encuentren textos referidos a trámites.
</t>
    </r>
  </si>
  <si>
    <r>
      <rPr/>
      <t xml:space="preserve">¿El lenguaje utilizado está orientado a que una persona pueda entender el contenido, aun aquellas con mayor dificultad de comprensión lectora?
Por ejemplo: se recomienda revisar con alguna herramienta en línea como </t>
    </r>
    <r>
      <rPr>
        <color rgb="FF1155CC"/>
        <u/>
      </rPr>
      <t>Legible</t>
    </r>
    <r>
      <rPr/>
      <t xml:space="preserve"> (de los cinco indicadores evaluados que se visualizan en la tabla Legibilidad del texto, al menos tres deben indicar dificultad Normal para aprobar este indicador).
</t>
    </r>
  </si>
  <si>
    <r>
      <rPr>
        <rFont val="Arial"/>
        <color theme="1"/>
      </rPr>
      <t xml:space="preserve">¿Se define cada sigla y acrónimo y se emplean solo si es necesario?
</t>
    </r>
    <r>
      <rPr>
        <rFont val="Arial"/>
        <i/>
        <color theme="1"/>
      </rPr>
      <t xml:space="preserve">La opción "No aplica" es solo para el caso en que no se encuentren siglas o acrónimos.
</t>
    </r>
  </si>
  <si>
    <r>
      <rPr/>
      <t xml:space="preserve">¿Son correctas la ortografía –literal, acentual y puntual– y la gramática en los contenidos?
Por ejemplo: para revisar este aspecto, se puede usar un corrector ortográfico y gramatical para revisar los contenidos de las páginas de muestra. Tanto Microsoft Word como Documentos de Google lo ofrecen; o bien utilizar herramientas en línea como </t>
    </r>
    <r>
      <rPr>
        <color rgb="FF1155CC"/>
        <u/>
      </rPr>
      <t>LanguageTool</t>
    </r>
    <r>
      <rPr/>
      <t xml:space="preserve">.
(Revisar la muestra de contenidos escogidos, si hay más de un error, entonces no cumple este criterio).
</t>
    </r>
  </si>
  <si>
    <r>
      <rPr>
        <rFont val="Arial"/>
        <color theme="1"/>
      </rPr>
      <t>¿El sitio cuenta con información de permisos de uso de sus contenidos en algún lugar del sitio? 
Por ejemplo: se señala en las condiciones de uso del sitio que ningún contenido se puede utilizar sin autorización (</t>
    </r>
    <r>
      <rPr>
        <rFont val="Arial"/>
        <i/>
        <color theme="1"/>
      </rPr>
      <t>copyright</t>
    </r>
    <r>
      <rPr>
        <rFont val="Arial"/>
        <color theme="1"/>
      </rPr>
      <t xml:space="preserve"> o todos los derechos de autor reservados) o se indica un modelo de licencias flexibles de propiedad intelectual, como Creative Commons, que autorizan la reutilización bajo ciertas condiciones. 
</t>
    </r>
  </si>
  <si>
    <r>
      <rPr>
        <rFont val="Arial"/>
        <color theme="1"/>
      </rPr>
      <t xml:space="preserve">Si se mencionan listados de personas, ¿se evita la publicación de sus RUN en el sitio web?
</t>
    </r>
    <r>
      <rPr>
        <rFont val="Arial"/>
        <i/>
        <color theme="1"/>
      </rPr>
      <t xml:space="preserve">La opción "No aplica" es solo para el caso en que no se encuentren listados de personas.
</t>
    </r>
  </si>
  <si>
    <r>
      <rPr>
        <rFont val="Arial"/>
        <color theme="1"/>
      </rPr>
      <t xml:space="preserve">Si el sitio publica información sobre menores de edad, ¿se protege la identidad de los mismos en textos y fotografías?
</t>
    </r>
    <r>
      <rPr>
        <rFont val="Arial"/>
        <i/>
        <color theme="1"/>
      </rPr>
      <t xml:space="preserve">La opción "No aplica" es solo para el caso en que no se encuentre información sobre menores de edad.
</t>
    </r>
  </si>
  <si>
    <r>
      <rPr>
        <rFont val="Arial"/>
        <color theme="1"/>
      </rPr>
      <t xml:space="preserve">Cuando se listan requisitos en contenidos referidos a servicios a la ciudadanía, ¿se usa modo infinitivo? (Modo que engloba las formas no personales del verbo, puede terminar en  –ar, –er o –ir).
Por ejemplo: "Ser mayor de 18 años", "Enviar su solicitud a través de correo electrónico".
</t>
    </r>
    <r>
      <rPr>
        <rFont val="Arial"/>
        <i/>
        <color theme="1"/>
      </rPr>
      <t xml:space="preserve">La opción "No aplica" es solo para el caso en que no se listen requisitos referidos a servicios a la ciudadanía.
</t>
    </r>
  </si>
  <si>
    <r>
      <rPr>
        <rFont val="Arial"/>
        <color theme="1"/>
      </rPr>
      <t xml:space="preserve">Si existe un texto extenso –de cuatro o más párrafos–, ¿hay un resumen al inicio?
</t>
    </r>
    <r>
      <rPr>
        <rFont val="Arial"/>
        <i/>
        <color theme="1"/>
      </rPr>
      <t xml:space="preserve">La opción "No aplica" es solo para el caso en que no se encuentren textos de cuatro o más párrafos.
</t>
    </r>
  </si>
  <si>
    <r>
      <rPr>
        <rFont val="Arial"/>
        <color theme="1"/>
      </rPr>
      <t xml:space="preserve">¿Se entrega una breve descripción de los documentos enlazados para mejorar su capacidad de búsqueda, usabilidad y accesibilidad?
</t>
    </r>
    <r>
      <rPr>
        <rFont val="Arial"/>
        <i/>
        <color theme="1"/>
      </rPr>
      <t xml:space="preserve">La opción "No aplica" es solo para el caso en que no se encuentren documentos.
</t>
    </r>
  </si>
  <si>
    <r>
      <rPr>
        <rFont val="Arial"/>
        <color theme="1"/>
      </rPr>
      <t xml:space="preserve">¿Se utilizan apoyos visuales como íconos, imágenes, gráficos o infografías para presentar datos?
</t>
    </r>
    <r>
      <rPr>
        <rFont val="Arial"/>
        <i/>
        <color theme="1"/>
      </rPr>
      <t>La opción "No aplica" es solo si el sitio web no presenta datos que requieran apoyos visuales.</t>
    </r>
  </si>
  <si>
    <r>
      <rPr>
        <rFont val="Arial"/>
        <color theme="1"/>
      </rPr>
      <t xml:space="preserve">Si el sitio presenta versiones anteriores de contenidos, ¿están rotuladas claramente como contenidos o documentos de archivo no vigentes? Por ejemplo: títulos del tipo "Requisitos de postulación 2015", donde señala claramente el año al que se refiera la información.
</t>
    </r>
    <r>
      <rPr>
        <rFont val="Arial"/>
        <i/>
        <color theme="1"/>
      </rPr>
      <t>La opción "No aplica" es solo para el caso en que no se encuentren versiones anteriores de contenidos.</t>
    </r>
    <r>
      <rPr>
        <rFont val="Arial"/>
        <color theme="1"/>
      </rPr>
      <t xml:space="preserve">
</t>
    </r>
  </si>
  <si>
    <r>
      <rPr/>
      <t xml:space="preserve">En el caso de los sitios del gobierno central, ¿Se utilizan los componentes del </t>
    </r>
    <r>
      <rPr>
        <color rgb="FF1155CC"/>
        <u/>
      </rPr>
      <t>UI Kit del Gobierno Digital</t>
    </r>
    <r>
      <rPr/>
      <t xml:space="preserve">?
</t>
    </r>
    <r>
      <rPr>
        <i/>
      </rPr>
      <t xml:space="preserve">La opción "No aplica" es solo para el caso en que el sitio web examinado no pertenezca al gobierno central.
</t>
    </r>
  </si>
  <si>
    <r>
      <rPr>
        <rFont val="Arial"/>
        <color theme="1"/>
      </rPr>
      <t xml:space="preserve">¿Los iconos son fácilmente comprensibles sin texto adicional y siguen convenciones o figuras reconocibles por cualquier persona?
Por ejemplo: una casa para volver al inicio, una lupa para el buscador, líneas horizontales del ícono de menú de "hamburguesa" para colapsar o una "X" para cerrar.
</t>
    </r>
    <r>
      <rPr>
        <rFont val="Arial"/>
        <i/>
        <color theme="1"/>
      </rPr>
      <t xml:space="preserve">La opción "No aplica" se debe seleccionar solo si el sitio no utiliza iconos.
</t>
    </r>
  </si>
  <si>
    <r>
      <rPr/>
      <t xml:space="preserve">¿Los mensajes de alerta ante un error brindan información clara del problema y ofrecen una vía de solución? 
Por ejemplo: ante una página no encontrada, en vez de indicar "error 404" el sitio muestra alternativas de enlaces para que la persona usuaria pueda seguir a un nuevo contenido o volver al anterior. 
Para evaluar una página no encontrada es necesario escribir la URL del sitio y después del "/" final, agregar un texto falso, como: </t>
    </r>
    <r>
      <rPr>
        <color rgb="FF1155CC"/>
        <u/>
      </rPr>
      <t>https://sitioejemplo.gob.cl/abcde</t>
    </r>
    <r>
      <rPr/>
      <t xml:space="preserve">
</t>
    </r>
  </si>
  <si>
    <r>
      <rPr>
        <rFont val="Arial"/>
        <color theme="1"/>
      </rPr>
      <t xml:space="preserve">¿Se puede verificar que los mensajes de error no interfieren con la navegación en la página? 
Por ejemplo: las ventanas emergentes se pueden cerrar fácilmente con el teclado y no generan bloqueo de navegación. Esto se puede hacer con la tecla "Esc".
</t>
    </r>
    <r>
      <rPr>
        <rFont val="Arial"/>
        <i/>
        <color theme="1"/>
      </rPr>
      <t xml:space="preserve">La opción "No aplica" es solo para el caso en que no se observen mensajes de error.
</t>
    </r>
  </si>
  <si>
    <r>
      <rPr>
        <rFont val="Arial"/>
        <color theme="1"/>
      </rPr>
      <t>Ventanas modales o emergentes (</t>
    </r>
    <r>
      <rPr>
        <rFont val="Arial"/>
        <i/>
        <color theme="1"/>
      </rPr>
      <t>pop-up)</t>
    </r>
  </si>
  <si>
    <r>
      <rPr>
        <rFont val="Arial"/>
        <color theme="1"/>
      </rPr>
      <t>Cuidado de no utilizar excesiva o innecesariamente ventanas modales y emergentes (</t>
    </r>
    <r>
      <rPr>
        <rFont val="Arial"/>
        <i/>
        <color theme="1"/>
      </rPr>
      <t>pop-up</t>
    </r>
    <r>
      <rPr>
        <rFont val="Arial"/>
        <color theme="1"/>
      </rPr>
      <t xml:space="preserve">).
</t>
    </r>
  </si>
  <si>
    <r>
      <rPr>
        <rFont val="Arial"/>
        <color theme="1"/>
      </rPr>
      <t>Una vez cerrada la ventana emergente (</t>
    </r>
    <r>
      <rPr>
        <rFont val="Arial"/>
        <i/>
        <color theme="1"/>
      </rPr>
      <t>pop-up</t>
    </r>
    <r>
      <rPr>
        <rFont val="Arial"/>
        <color theme="1"/>
      </rPr>
      <t xml:space="preserve">) o modal, ¿queda guardada esa decisión para que no vuelva a aparecer al volver a ingresar, cargar o cambiar de página?
Por ejemplo: al cerrar una ventana modal esta no vuelve a aparecer durante la navegación del sitio web.
</t>
    </r>
    <r>
      <rPr>
        <rFont val="Arial"/>
        <i/>
        <color theme="1"/>
      </rPr>
      <t xml:space="preserve">La opción "No aplica" es solo para el caso en que no se observen ventanas emergentes o modales en el sitio web.
</t>
    </r>
  </si>
  <si>
    <r>
      <rPr>
        <rFont val="Arial"/>
        <color theme="1"/>
      </rPr>
      <t xml:space="preserve">En caso de aparecer un mensaje de error, ¿se ofrecen soluciones claras y efectivas para que la persona usuaria pueda resolver el problema?
Por ejemplo: las indicaciones del mensaje de error permiten realizar la acción correctamente sin que se repita el error.
</t>
    </r>
    <r>
      <rPr>
        <rFont val="Arial"/>
        <i/>
        <color theme="1"/>
      </rPr>
      <t xml:space="preserve">La opción "No aplica" es solo para el caso en que no se observen mensajes de error.
</t>
    </r>
  </si>
  <si>
    <r>
      <rPr>
        <rFont val="Arial"/>
        <color theme="1"/>
      </rPr>
      <t xml:space="preserve">En caso de aparecer un mensaje de error inesperado de origen técnico, ¿se entrega información clara en vez de mensajes ambiguos como "Intente más tarde" o "Comuníquese con el administrador"?
</t>
    </r>
    <r>
      <rPr>
        <rFont val="Arial"/>
        <i/>
        <color theme="1"/>
      </rPr>
      <t xml:space="preserve">La opción "No aplica" es solo para el caso en que no se observen mensajes de error.
</t>
    </r>
  </si>
  <si>
    <r>
      <rPr>
        <rFont val="Arial"/>
        <color theme="1"/>
      </rPr>
      <t xml:space="preserve">Si al ingresar al sitio web por primera vez aparece un mensaje que ocupe toda la pantalla (del tipo ventana modal, emergente o </t>
    </r>
    <r>
      <rPr>
        <rFont val="Arial"/>
        <i/>
        <color theme="1"/>
      </rPr>
      <t>pop-up</t>
    </r>
    <r>
      <rPr>
        <rFont val="Arial"/>
        <color theme="1"/>
      </rPr>
      <t xml:space="preserve">), ¿este tiene una opción de cerrarse fácilmente identificable? 
Por ejemplo: un enlace que diga "Cerrar" o un botón con el icono de "X".
</t>
    </r>
    <r>
      <rPr>
        <rFont val="Arial"/>
        <i/>
        <color theme="1"/>
      </rPr>
      <t xml:space="preserve">La opción "No aplica" es solo para el caso en que no se observan ventanas del tipo modal, emergente o pop-up.
</t>
    </r>
  </si>
  <si>
    <r>
      <rPr>
        <rFont val="Arial"/>
        <color theme="1"/>
      </rPr>
      <t xml:space="preserve">¿Los videos cuentan con todos sus botones de reproducción?
</t>
    </r>
    <r>
      <rPr>
        <rFont val="Arial"/>
        <i/>
        <color theme="1"/>
      </rPr>
      <t xml:space="preserve">La opción "No aplica" es solo para el caso en que no existan videos en el sitio web.
</t>
    </r>
  </si>
  <si>
    <r>
      <rPr>
        <rFont val="Arial"/>
        <color theme="1"/>
      </rPr>
      <t xml:space="preserve">¿Se ofrece ayuda en contexto, en lugar de presentar a las personas usuarias un largo tutorial para memorizar? 
Por ejemplo: aparece una línea punteada bajo los acrónimos para acceder a su definición o un icono de interrogación ("?") al lado de una instrucción para acceder a una ayuda específica.
</t>
    </r>
    <r>
      <rPr>
        <rFont val="Arial"/>
        <i/>
        <color theme="1"/>
      </rPr>
      <t xml:space="preserve">La opción "No aplica" es solo para el caso en el que, por la naturaleza de los contenidos ofrecidos, no existan opciones de ayuda.
</t>
    </r>
  </si>
  <si>
    <r>
      <rPr>
        <rFont val="Arial"/>
        <color theme="1"/>
      </rPr>
      <t xml:space="preserve">¿Las personas usuarias cuentan con opciones para ordenar y filtrar resultados y tablas de datos? 
Por ejemplo: búsqueda avanzada con filtro alfabético o por fecha.
</t>
    </r>
    <r>
      <rPr>
        <rFont val="Arial"/>
        <i/>
        <color theme="1"/>
      </rPr>
      <t xml:space="preserve">La opción "No aplica" es solo para el caso en que no se encuentren resultados o tablas de datos.
</t>
    </r>
  </si>
  <si>
    <r>
      <rPr>
        <color rgb="FFFFFFFF"/>
      </rPr>
      <t>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t>
    </r>
    <r>
      <rPr>
        <b/>
        <color rgb="FFFFFFFF"/>
      </rPr>
      <t xml:space="preserve"> Plataforma de Reportabilidad de Accesibilidad Universal de SENADIS</t>
    </r>
    <r>
      <rPr>
        <color rgb="FFFFFFFF"/>
      </rPr>
      <t xml:space="preserve">. Más información en: </t>
    </r>
    <r>
      <rPr>
        <b/>
        <color rgb="FFFFFFFF"/>
        <u/>
      </rPr>
      <t>https://reportedeaccesibilidad.senadis.cl/sign.</t>
    </r>
  </si>
  <si>
    <r>
      <rPr/>
      <t xml:space="preserve">¿Los elementos visuales presentan una alternativa textual, es decir el uso de atributos HTML como "alt" para las imágenes o "description" y "title" en botones o enlaces? 
Esto se puede revisar abriendo al código fuente con los comandos "Ctrl" + "U" o "Cmd" + "U" y buscando las etiquetas "alt", "description" o "title", si se encuentran y tienen contenido este punto se cumple.
En el punto I de la </t>
    </r>
    <r>
      <rPr>
        <color rgb="FF1155CC"/>
        <u/>
      </rPr>
      <t>guía</t>
    </r>
    <r>
      <rPr/>
      <t xml:space="preserve">, puede consultar cómo ver el código fuente de la página.
</t>
    </r>
  </si>
  <si>
    <r>
      <rPr>
        <rFont val="Arial"/>
        <color theme="1"/>
      </rPr>
      <t xml:space="preserve">¿Los videos cuentan con subtítulos en español y garantizan una correcta legibilidad, con una tipografía sin serifa (sans-serif) y alto contraste entre fondo y texto? 
</t>
    </r>
    <r>
      <rPr>
        <rFont val="Arial"/>
        <i/>
        <color theme="1"/>
      </rPr>
      <t xml:space="preserve">La opción "No aplica" es solo para el caso en que no existan videos en el sitio web.
</t>
    </r>
  </si>
  <si>
    <r>
      <rPr/>
      <t xml:space="preserve">¿Al navegar el sitio web con el teclado con la tecla "Tab" se respeta el orden de izquierda a derecha, de arriba hacia abajo?
En el punto VI de la </t>
    </r>
    <r>
      <rPr>
        <color rgb="FF1155CC"/>
        <u/>
      </rPr>
      <t>guía</t>
    </r>
    <r>
      <rPr/>
      <t xml:space="preserve">, puede consultar cómo navegar el sitio web con el teclado.
</t>
    </r>
  </si>
  <si>
    <r>
      <rPr>
        <rFont val="Arial"/>
        <color theme="1"/>
      </rPr>
      <t xml:space="preserve">¿Se proporcionan mecanismos para pausar audios de reproducción automática?
</t>
    </r>
    <r>
      <rPr>
        <rFont val="Arial"/>
        <i/>
        <color theme="1"/>
      </rPr>
      <t xml:space="preserve">La opción "No aplica" es solo para el caso en que no existan audios de reproducción automática en el sitio web.
</t>
    </r>
  </si>
  <si>
    <r>
      <rPr>
        <rFont val="Arial"/>
        <color theme="1"/>
      </rPr>
      <t xml:space="preserve">¿En el sitio web se presenta alternativa de texto para iconografía que ejecuta una acción? 
Por ejemplo: se presenta el botón "A+" para aumentar el tamaño del texto y al poner el cursor por encima se muestra el texto "Agrandar tamaño de fuente", o al ver un icono de lupa se muestra el texto "Buscar".
</t>
    </r>
    <r>
      <rPr>
        <rFont val="Arial"/>
        <i/>
        <color theme="1"/>
      </rPr>
      <t xml:space="preserve">La opción "No aplica" es solo para el caso en que no exista  iconografía que ejecuta una acción.
</t>
    </r>
  </si>
  <si>
    <r>
      <rPr/>
      <t xml:space="preserve">¿Los textos tienen un contraste de color mayor a 4.5:1? 
Por ejemplo: se evita el uso de texto gris sobre fondo blanco u otras combinaciones de color con bajo contraste.
En el punto III de la </t>
    </r>
    <r>
      <rPr>
        <color rgb="FF1155CC"/>
        <u/>
      </rPr>
      <t>guía</t>
    </r>
    <r>
      <rPr/>
      <t>, puede consultar cómo verificar el contraste de textos con la herramienta "Inspeccionar". Si desea revisar en mayor detalle puede hacerlo con herramientas como</t>
    </r>
    <r>
      <rPr>
        <color rgb="FF0000FF"/>
      </rPr>
      <t xml:space="preserve"> </t>
    </r>
    <r>
      <rPr>
        <color rgb="FF1155CC"/>
        <u/>
      </rPr>
      <t>Colour Contrast Analyser</t>
    </r>
    <r>
      <rPr>
        <color rgb="FF0000FF"/>
      </rPr>
      <t xml:space="preserve"> </t>
    </r>
    <r>
      <rPr/>
      <t>o Contrast Checker de</t>
    </r>
    <r>
      <rPr>
        <color rgb="FF0000FF"/>
      </rPr>
      <t xml:space="preserve"> </t>
    </r>
    <r>
      <rPr>
        <color rgb="FF1155CC"/>
        <u/>
      </rPr>
      <t>WebAIM</t>
    </r>
    <r>
      <rPr>
        <color rgb="FF0000FF"/>
      </rPr>
      <t>.</t>
    </r>
    <r>
      <rPr/>
      <t xml:space="preserve">
</t>
    </r>
  </si>
  <si>
    <r>
      <rPr>
        <rFont val="Arial"/>
        <color theme="1"/>
      </rPr>
      <t xml:space="preserve">¿Los elementos de audio o video presentan un texto alternativo que describe lo que está pasando? 
Por ejemplo: el sitio brinda la posibilidad de acceder a la transcripción de todo lo que se menciona y sucede en el audio.
</t>
    </r>
    <r>
      <rPr>
        <rFont val="Arial"/>
        <i/>
        <color theme="1"/>
      </rPr>
      <t xml:space="preserve">La opción "No aplica" es solo para el caso en que no existan videos o audios en el sitio web.
</t>
    </r>
  </si>
  <si>
    <r>
      <rPr>
        <rFont val="Arial"/>
        <color theme="1"/>
      </rPr>
      <t xml:space="preserve">¿La información que tiene movimiento o se actualiza automáticamente ofrece alternativas para pausar, detener u ocultar? 
Por ejemplo: un carrusel de noticias destacadas con un botón de pausa para detener el movimiento.
</t>
    </r>
    <r>
      <rPr>
        <rFont val="Arial"/>
        <i/>
        <color theme="1"/>
      </rPr>
      <t xml:space="preserve">La opción "No aplica" es solo para el caso en que no existan elementos con movimiento en el sitio web.
</t>
    </r>
  </si>
  <si>
    <r>
      <rPr>
        <rFont val="Arial"/>
        <color theme="1"/>
      </rPr>
      <t xml:space="preserve">¿Los videos cuentan con audiodescripción que detalla todo lo que ocurre? 
Por ejemplo: descripción de sonidos ("[Golpe de puerta]"), presenta los nombres de los personajes ("[Ministra Pérez]") y cambios de escena ("[Entra el Presidente]").
</t>
    </r>
    <r>
      <rPr>
        <rFont val="Arial"/>
        <i/>
        <color theme="1"/>
      </rPr>
      <t xml:space="preserve">La opción "No aplica" es solo para el caso en que no existan videos en el sitio web.
</t>
    </r>
  </si>
  <si>
    <r>
      <rPr/>
      <t xml:space="preserve">¿Los documentos descargables que están presentes en el sitio web son accesibles?
Para comprobar accesibilidad en un documento Word debe dirigirse a la pestaña Revisar de Word, luego seleccionar la opción Comprobar accesibilidad, aparecerá una ventana que señalará que no presenta problemas de accesibilidad. 
Para comprobar accesibilidad en un documento PDF puede utilizar la herramienta </t>
    </r>
    <r>
      <rPr>
        <color rgb="FF1155CC"/>
        <u/>
      </rPr>
      <t>MAUVE++</t>
    </r>
    <r>
      <rPr/>
      <t xml:space="preserve"> seleccionando la opción para validar PDF, luego agregar el PDF con su URL o subiendo el archivo y revisar que los resultados entreguen 0 fallas.
</t>
    </r>
    <r>
      <rPr>
        <i/>
      </rPr>
      <t xml:space="preserve">La opción "No aplica" es solo para el caso en que no se encuentren documentos.
</t>
    </r>
  </si>
  <si>
    <r>
      <rPr>
        <rFont val="Arial"/>
        <color theme="1"/>
      </rPr>
      <t xml:space="preserve">¿La página antepone el acceso a trámites y servicios por sobre la información institucional?
</t>
    </r>
    <r>
      <rPr>
        <rFont val="Arial"/>
        <i/>
        <color theme="1"/>
      </rPr>
      <t xml:space="preserve">La opción "No aplica" es solo para el caso en que no existan trámites o servicios en el sitio web examinado.
</t>
    </r>
  </si>
  <si>
    <r>
      <rPr>
        <rFont val="Arial"/>
        <color theme="1"/>
      </rPr>
      <t xml:space="preserve">¿Se evita el uso excesivo de </t>
    </r>
    <r>
      <rPr>
        <rFont val="Arial"/>
        <i/>
        <color theme="1"/>
      </rPr>
      <t>banners</t>
    </r>
    <r>
      <rPr>
        <rFont val="Arial"/>
        <color theme="1"/>
      </rPr>
      <t xml:space="preserve"> en la portada?
Por ejemplo: no más de 10 </t>
    </r>
    <r>
      <rPr>
        <rFont val="Arial"/>
        <i/>
        <color theme="1"/>
      </rPr>
      <t>banners</t>
    </r>
    <r>
      <rPr>
        <rFont val="Arial"/>
        <color theme="1"/>
      </rPr>
      <t xml:space="preserve"> informativos.
</t>
    </r>
  </si>
  <si>
    <r>
      <rPr>
        <rFont val="Arial"/>
        <color theme="1"/>
      </rPr>
      <t xml:space="preserve">Si la institución cuenta con una marca o nombre de fantasía, ¿su significado se explica con un texto complementario?
Por ejemplo: "ChileAtiende: trámites y beneficios del Estado", "Salud Responde: asistencia telefónica y vía redes sociales", "IFE Laboral Apoya: incentivo al empleo formal".
</t>
    </r>
    <r>
      <rPr>
        <rFont val="Arial"/>
        <i/>
        <color theme="1"/>
      </rPr>
      <t xml:space="preserve">La opción "No aplica" es solo para el caso en que la institución no cuente con una marca o nombre de fantasía.
</t>
    </r>
  </si>
  <si>
    <r>
      <rPr>
        <rFont val="Arial"/>
        <color theme="1"/>
      </rPr>
      <t>¿Existen categorías o etiquetas (</t>
    </r>
    <r>
      <rPr>
        <rFont val="Arial"/>
        <i/>
        <color theme="1"/>
      </rPr>
      <t>tags</t>
    </r>
    <r>
      <rPr>
        <rFont val="Arial"/>
        <color theme="1"/>
      </rPr>
      <t xml:space="preserve">) que permitan acceder a otros contenidos con la misma clasificación? 
Por ejemplo: navegar por todas las noticias clasificadas con la etiqueta "Cuenta Pública 2024".
</t>
    </r>
  </si>
  <si>
    <r>
      <rPr>
        <rFont val="Arial"/>
        <color theme="1"/>
      </rPr>
      <t xml:space="preserve">¿El sitio web se puede visualizar correctamente desde un teléfono celular o una </t>
    </r>
    <r>
      <rPr>
        <rFont val="Arial"/>
        <i/>
        <color theme="1"/>
      </rPr>
      <t>tablet</t>
    </r>
    <r>
      <rPr>
        <rFont val="Arial"/>
        <color theme="1"/>
      </rPr>
      <t xml:space="preserve">? 
</t>
    </r>
  </si>
  <si>
    <r>
      <rPr>
        <rFont val="Arial"/>
        <color theme="1"/>
      </rPr>
      <t xml:space="preserve">¿Las funcionalidades del sitio se pueden usar correctamente desde un teléfono celular o una </t>
    </r>
    <r>
      <rPr>
        <rFont val="Arial"/>
        <i/>
        <color theme="1"/>
      </rPr>
      <t>tablet</t>
    </r>
    <r>
      <rPr>
        <rFont val="Arial"/>
        <color theme="1"/>
      </rPr>
      <t xml:space="preserve">? 
Por ejemplo: si en un formulario se pide cargar documentos, esta funcionalidad no se ve interrumpida si se hace desde un teléfono celular o una </t>
    </r>
    <r>
      <rPr>
        <rFont val="Arial"/>
        <i/>
        <color theme="1"/>
      </rPr>
      <t>tablet</t>
    </r>
    <r>
      <rPr>
        <rFont val="Arial"/>
        <color theme="1"/>
      </rPr>
      <t xml:space="preserve">.
</t>
    </r>
  </si>
  <si>
    <r>
      <rPr>
        <color rgb="FF000000"/>
      </rPr>
      <t>En el caso de los organismos gubernamentales, ¿los elementos gráficos del sitio web son elaborados a partir de las directrices del Gobierno? 
Por ejemplo: se usan y aplican los fundamentos de di</t>
    </r>
    <r>
      <rPr/>
      <t xml:space="preserve">seño del </t>
    </r>
    <r>
      <rPr>
        <color rgb="FF1155CC"/>
        <u/>
      </rPr>
      <t>UI Kit del Gobierno Digital</t>
    </r>
    <r>
      <rPr/>
      <t xml:space="preserve"> como "colores, tipografías, espaciado" y elementos gráficos como "botones, alertas, etc.."
</t>
    </r>
    <r>
      <rPr>
        <i/>
      </rPr>
      <t xml:space="preserve">La opción "No aplica" es solo para el caso en que el sitio web examinado no pertenezca al gobierno central.
</t>
    </r>
  </si>
  <si>
    <r>
      <rPr/>
      <t xml:space="preserve">¿Se utilizan familias tipográficas optimizadas para la lectura en pantalla, especialmente las de palo seco (sin conectores visuales entre las letras) o sin "serif? 
Por ejemplo: Roboto, Verdana, Arial.
En el punto IV de la </t>
    </r>
    <r>
      <rPr>
        <color rgb="FF1155CC"/>
        <u/>
      </rPr>
      <t>guía</t>
    </r>
    <r>
      <rPr/>
      <t xml:space="preserve">, puede consultar cómo verificar el tipo de fuente.
</t>
    </r>
  </si>
  <si>
    <r>
      <rPr/>
      <t xml:space="preserve">¿Su tamaño permite una adecuada legibilidad? 
Por ejemplo: igual o superior a 16 puntos, con un espaciado de al menos 1,5 veces del tamaño de la fuente y alto contraste, evitando letras grises sobre fondos blancos. 
En el punto IV de la </t>
    </r>
    <r>
      <rPr>
        <color rgb="FF1155CC"/>
        <u/>
      </rPr>
      <t>guía</t>
    </r>
    <r>
      <rPr/>
      <t xml:space="preserve">, puede consultar cómo verificar el tamaño de los textos.
</t>
    </r>
  </si>
  <si>
    <r>
      <rPr>
        <rFont val="Arial"/>
        <color theme="1"/>
      </rPr>
      <t xml:space="preserve">En el caso de organismos del Gobierno central, ¿el sitio web utiliza las tipografías recomendadas en el sistema de diseño gubernamental? 
Por ejemplo: las tipografías las tipografías  Roboto Sans y Roboto Slab (solo para títulos)
</t>
    </r>
    <r>
      <rPr>
        <rFont val="Arial"/>
        <i/>
        <color theme="1"/>
      </rPr>
      <t xml:space="preserve">La opción "No aplica" es solo para el caso en que el sitio web examinado no pertenezca al gobierno central.
</t>
    </r>
  </si>
  <si>
    <r>
      <rPr/>
      <t xml:space="preserve">En el caso de organismos del Gobierno central, ¿se consideran los colores de la paleta del </t>
    </r>
    <r>
      <rPr>
        <color rgb="FF1155CC"/>
        <u/>
      </rPr>
      <t>UI Kit del Gobierno Digital</t>
    </r>
    <r>
      <rPr/>
      <t xml:space="preserve">?
</t>
    </r>
    <r>
      <rPr>
        <i/>
      </rPr>
      <t xml:space="preserve">La opción "No aplica" es solo para el caso en que el sitio web examinado no pertenezca al gobierno central.
</t>
    </r>
  </si>
  <si>
    <r>
      <rPr>
        <rFont val="Arial"/>
        <color theme="1"/>
      </rPr>
      <t xml:space="preserve">¿Las imágenes tienen la calidad adecuada para su correcta visualización y se evita que se vean pixeladas a primera vista?
</t>
    </r>
    <r>
      <rPr>
        <rFont val="Arial"/>
        <i/>
        <color theme="1"/>
      </rPr>
      <t xml:space="preserve">La opción "No aplica" es solo para el caso en que no existan imágenes en el sitio web.
</t>
    </r>
  </si>
  <si>
    <r>
      <rPr>
        <rFont val="Arial"/>
        <color theme="1"/>
      </rPr>
      <t xml:space="preserve">¿Las imágenes tienen títulos, descripciones o pies de fotos apropiados? El pie de foto es una explicación breve que se sitúa bajo cada ilustración, foto o figura en una publicación. Aunque sea el pie lo que le da nombre, también puede ubicarse en otros lugares, como en la parte superior.
</t>
    </r>
    <r>
      <rPr>
        <rFont val="Arial"/>
        <i/>
        <color theme="1"/>
      </rPr>
      <t xml:space="preserve">La opción "No aplica" es solo para el caso en que no existan imágenes en el sitio web.
</t>
    </r>
  </si>
  <si>
    <r>
      <rPr>
        <rFont val="Arial"/>
        <color theme="1"/>
      </rPr>
      <t xml:space="preserve">¿Las fotografías están bien recortadas y tienen un encuadre adecuado? 
Por ejemplo: los </t>
    </r>
    <r>
      <rPr>
        <rFont val="Arial"/>
        <i/>
        <color theme="1"/>
      </rPr>
      <t>banners</t>
    </r>
    <r>
      <rPr>
        <rFont val="Arial"/>
        <color theme="1"/>
      </rPr>
      <t xml:space="preserve"> tienen un contenedor rectangular. Para minimizar o evitar recortes, hay que asegurarse de que la forma de la imagen coincida con la forma del contenedor y no quede recortada la información visual importante.
</t>
    </r>
    <r>
      <rPr>
        <rFont val="Arial"/>
        <i/>
        <color theme="1"/>
      </rPr>
      <t xml:space="preserve">La opción "No aplica" es solo para el caso en que no existan imágenes en el sitio web.
</t>
    </r>
  </si>
  <si>
    <r>
      <rPr>
        <rFont val="Arial"/>
        <color theme="1"/>
      </rPr>
      <t xml:space="preserve">¿Se privilegia el uso de fotografías en el que aparezcan personas usuarias, lugares y situaciones reales en vez de usar imágenes de bancos de fotos comerciales?
</t>
    </r>
    <r>
      <rPr>
        <rFont val="Arial"/>
        <i/>
        <color theme="1"/>
      </rPr>
      <t>La opción "No aplica" es solo para el caso en que no existan imágenes en el sitio web.</t>
    </r>
    <r>
      <rPr>
        <rFont val="Arial"/>
        <color theme="1"/>
      </rPr>
      <t xml:space="preserve">
</t>
    </r>
  </si>
  <si>
    <r>
      <rPr>
        <rFont val="Arial"/>
        <color theme="1"/>
      </rPr>
      <t xml:space="preserve">Los elementos que contienen texto informativo, como botones de acción e infografías, se disponen como texto seleccionable en vez de presentarlo dentro de una imagen.
</t>
    </r>
    <r>
      <rPr>
        <rFont val="Arial"/>
        <i/>
        <color theme="1"/>
      </rPr>
      <t xml:space="preserve">La opción "No aplica" corresponde solo cuando no hay botones de acción, infografías u otros elementos con texto informativo en el sitio web.
</t>
    </r>
  </si>
  <si>
    <r>
      <rPr>
        <rFont val="Arial"/>
        <color theme="1"/>
      </rPr>
      <t xml:space="preserve">¿La iconografía es clara y ayuda a llamar a la acción de manera más rápida? 
Por ejemplo: el icono de "flecha a la derecha" significa "siguiente" o "continuar".
</t>
    </r>
    <r>
      <rPr>
        <rFont val="Arial"/>
        <i/>
        <color theme="1"/>
      </rPr>
      <t>La opción "No aplica" corresponde solo cuando no iconografía.</t>
    </r>
  </si>
  <si>
    <r>
      <rPr/>
      <t xml:space="preserve">¿El certificado SSL/TLS es válido? 
Por ejemplo: al revisar en Google Chrome a través del ícono "Consulta la información del sitio", que se encuentra inmediatamente a la izquierda de la URL en la barra de direcciones del navegador, luego verificar que existe el texto "La conexión es segura".
En el punto VII de la </t>
    </r>
    <r>
      <rPr>
        <color rgb="FF1155CC"/>
        <u/>
      </rPr>
      <t>guía</t>
    </r>
    <r>
      <rPr/>
      <t xml:space="preserve">, puede verificar la conexión segura y si el certificado es válido.
</t>
    </r>
  </si>
  <si>
    <r>
      <rPr>
        <i val="0"/>
      </rPr>
      <t xml:space="preserve">¿El sitio web tiene configurada la cabecera "X-Frame-Options" con los valores "DENY" o "SAMEORIGIN"?
</t>
    </r>
    <r>
      <rPr>
        <i/>
      </rPr>
      <t xml:space="preserve">
</t>
    </r>
    <r>
      <rPr>
        <i val="0"/>
      </rPr>
      <t xml:space="preserve">Para la verificación se deben revisar las cabeceras de la página, usando la herramienta </t>
    </r>
    <r>
      <rPr>
        <i val="0"/>
        <color rgb="FF1155CC"/>
        <u/>
      </rPr>
      <t>https://securityheaders.com</t>
    </r>
    <r>
      <rPr>
        <i/>
      </rPr>
      <t xml:space="preserve">:
</t>
    </r>
    <r>
      <rPr>
        <i val="0"/>
      </rPr>
      <t>1. Primero se debe ingresar la URL de una página diferente de la portada y 
2. luego dentro de los resultados el subtítulo "Encabezados sin formato" (</t>
    </r>
    <r>
      <rPr>
        <i/>
      </rPr>
      <t>Raw Headers</t>
    </r>
    <r>
      <rPr>
        <i val="0"/>
      </rPr>
      <t xml:space="preserve"> en inglés), se encontrarán la lista de cabeceras de la página, en la que se debe buscar la cabecera "X-Frame-Options" y verificar que tenga los valores "DENY" o "SAMEORIGIN".
</t>
    </r>
  </si>
  <si>
    <r>
      <rPr>
        <rFont val="Arial"/>
        <color theme="1"/>
      </rPr>
      <t xml:space="preserve">¿Este enlace está en el pie de cada página del sitio web?
</t>
    </r>
    <r>
      <rPr>
        <rFont val="Arial"/>
        <i/>
        <color theme="1"/>
      </rPr>
      <t xml:space="preserve">La opción "No aplica" es solo para el caso en que no exista un enlace a la política de privacidad.
</t>
    </r>
  </si>
  <si>
    <r>
      <rPr/>
      <t xml:space="preserve">¿El sitio tiene configurada la cabecera "X-Content-Type-Options" con el valor "nosniff"?
Para la verificación se deben revisar las cabeceras de la página, usando la herramienta </t>
    </r>
    <r>
      <rPr>
        <color rgb="FF1155CC"/>
        <u/>
      </rPr>
      <t>https://securityheaders.com</t>
    </r>
    <r>
      <rPr/>
      <t>:
1. Primero se debe ingresar la URL de una página diferente de la portada y 
2. Luego, dentro de los resultados, el subtítulo "Encabezados sin formato" (</t>
    </r>
    <r>
      <rPr>
        <i/>
      </rPr>
      <t>Raw Headers</t>
    </r>
    <r>
      <rPr/>
      <t xml:space="preserve"> en inglés), se encontrarán la lista de cabeceras de la página, en la que se debe buscar la cabecera "X-Content-Type-Options" y verificar que tenga el valor "nosniff".
</t>
    </r>
  </si>
  <si>
    <r>
      <rPr/>
      <t xml:space="preserve">¿El sitio web tiene configurada la cabecera "Referrer-Policy" con el valor "strict-origin"? 
Para la verificación se deben revisar las cabeceras de la página, usando la herramienta </t>
    </r>
    <r>
      <rPr>
        <color rgb="FF1155CC"/>
        <u/>
      </rPr>
      <t>https://securityheaders.com</t>
    </r>
    <r>
      <rPr/>
      <t>:
1. Primero se debe ingresar la URL de una página diferente de la portada y 
2. Luego, dentro de los resultados, el subtítulo "Encabezados sin formato" (</t>
    </r>
    <r>
      <rPr>
        <i/>
      </rPr>
      <t>Raw Headers</t>
    </r>
    <r>
      <rPr/>
      <t xml:space="preserve"> en inglés), se encontrarán la lista de cabeceras de la página, en la que se debe buscar la cabecera "Referrer-Policy" y verificar que tenga el valor "strict-origin".
</t>
    </r>
  </si>
  <si>
    <r>
      <rPr>
        <rFont val="Arial"/>
        <color theme="1"/>
      </rPr>
      <t xml:space="preserve">Información clara que informe al usuario sobre la política de uso de </t>
    </r>
    <r>
      <rPr>
        <rFont val="Arial"/>
        <i/>
        <color theme="1"/>
      </rPr>
      <t>cookies</t>
    </r>
    <r>
      <rPr>
        <rFont val="Arial"/>
        <color theme="1"/>
      </rPr>
      <t xml:space="preserve">.
</t>
    </r>
  </si>
  <si>
    <r>
      <rPr>
        <rFont val="Arial"/>
        <color theme="1"/>
      </rPr>
      <t xml:space="preserve">¿Proporciona el sitio web información clara y comprensible sobre el tipo de </t>
    </r>
    <r>
      <rPr>
        <rFont val="Arial"/>
        <i/>
        <color theme="1"/>
      </rPr>
      <t xml:space="preserve">cookies </t>
    </r>
    <r>
      <rPr>
        <rFont val="Arial"/>
        <color theme="1"/>
      </rPr>
      <t xml:space="preserve">que utiliza, sus finalidades y las opciones de control disponibles para el usuario?
Por ejemplo: en la Política de Privacidad del sitio web se indica que las </t>
    </r>
    <r>
      <rPr>
        <rFont val="Arial"/>
        <i/>
        <color theme="1"/>
      </rPr>
      <t xml:space="preserve">cookies </t>
    </r>
    <r>
      <rPr>
        <rFont val="Arial"/>
        <color theme="1"/>
      </rPr>
      <t xml:space="preserve">no almacenan datos personales, ni el sitio web las comparte con terceros.
</t>
    </r>
  </si>
  <si>
    <r>
      <rPr>
        <rFont val="Arial"/>
        <color theme="1"/>
      </rPr>
      <t xml:space="preserve">¿Los multicanales digitales para realizar consultas generales o solicitar información personalizada estuvieron disponibles durante la evaluación? 
Por ejemplo: asistentes virtuales o chats.
</t>
    </r>
    <r>
      <rPr>
        <rFont val="Arial"/>
        <i/>
        <color theme="1"/>
      </rPr>
      <t xml:space="preserve">La opción "No aplica" es solo para el caso en que no existan multicanales digitales para realizar consultas o solicitar información.
</t>
    </r>
  </si>
  <si>
    <r>
      <rPr>
        <rFont val="Arial"/>
        <color theme="1"/>
      </rPr>
      <t xml:space="preserve">¿Las funcionalidades del sitio web están disponibles las 24 horas los 7 días de la semana?
Por ejemplo: un formulario de contacto se puede completar y enviar cualquier día a cualquier hora.
</t>
    </r>
    <r>
      <rPr>
        <rFont val="Arial"/>
        <i/>
        <color theme="1"/>
      </rPr>
      <t xml:space="preserve">La opción "No aplica" es solo para el caso en que no existan formularios u otras funcionalidades.
</t>
    </r>
  </si>
  <si>
    <r>
      <rPr/>
      <t xml:space="preserve">¿Todos los enlaces del sitio web funcionan correctamente? 
Por ejemplo: al utilizar la herramienta de revisión de la W3C </t>
    </r>
    <r>
      <rPr>
        <color rgb="FF1155CC"/>
        <u/>
      </rPr>
      <t>Check Link Validator</t>
    </r>
    <r>
      <rPr/>
      <t xml:space="preserve"> sobre todo el sitio, en la tabla de resultados no aparece ningún resultado con código de error 404 .
</t>
    </r>
  </si>
  <si>
    <r>
      <rPr>
        <rFont val="Arial"/>
        <color theme="1"/>
      </rPr>
      <t xml:space="preserve">Si se trata un sitio web del gobierno central, ¿utiliza el dominio .gob.cl? 
</t>
    </r>
    <r>
      <rPr>
        <rFont val="Arial"/>
        <i/>
        <color theme="1"/>
      </rPr>
      <t xml:space="preserve">La opción "No aplica" es solo para el caso en que el sitio web examinado no pertenezca al gobierno central.
</t>
    </r>
  </si>
  <si>
    <r>
      <rPr>
        <rFont val="Arial"/>
        <color theme="1"/>
      </rPr>
      <t xml:space="preserve">Si existen otros dominios desde los que se pueda acceder al servicio, ¿estos redirigen al sitio web que utiliza el dominio .gob.cl?
</t>
    </r>
    <r>
      <rPr>
        <rFont val="Arial"/>
        <i/>
        <color theme="1"/>
      </rPr>
      <t xml:space="preserve">La opción "No aplica" es solo para el caso en que no exista o no se tenga conocimiento de otras urls alternativas a la oficial .gob.cl.
</t>
    </r>
  </si>
  <si>
    <r>
      <rPr/>
      <t xml:space="preserve">¿El código HTML del sitio web no presenta errores al comprobarlo en el </t>
    </r>
    <r>
      <rPr>
        <color rgb="FF1155CC"/>
        <u/>
      </rPr>
      <t>validador de la W3C</t>
    </r>
    <r>
      <rPr/>
      <t xml:space="preserve">?
</t>
    </r>
    <r>
      <rPr>
        <i/>
      </rPr>
      <t xml:space="preserve">La opción "No aplica" es solo para el caso en que no sea posible utilizar la herramienta externa.
</t>
    </r>
  </si>
  <si>
    <r>
      <rPr/>
      <t xml:space="preserve">¿El código CSS del sitio web no presenta errores al comprobarlo en el </t>
    </r>
    <r>
      <rPr>
        <color rgb="FF1155CC"/>
        <u/>
      </rPr>
      <t>validador de la W3C</t>
    </r>
    <r>
      <rPr/>
      <t xml:space="preserve">?
</t>
    </r>
    <r>
      <rPr>
        <i/>
      </rPr>
      <t xml:space="preserve">La opción "No aplica" es solo para el caso en que no sea posible utilizar la herramienta externa.
</t>
    </r>
  </si>
  <si>
    <r>
      <rPr/>
      <t xml:space="preserve">¿La portada del sitio cumple con un resultado sobre 60 en el parámetro rendimiento de Google PageSpeed Insights para la opción escritorio (ordenador)? 
Para verificar se debe entrar en el sitio web </t>
    </r>
    <r>
      <rPr>
        <color rgb="FF1155CC"/>
        <u/>
      </rPr>
      <t>PageSpeed Insights</t>
    </r>
    <r>
      <rPr/>
      <t xml:space="preserve">, ingresar la URL de la portada del sitio y accionar el botón "Analizar". Luego del análisis se podrá ver el valor que otorga para el indicador "Rendimiento", bajo el subtítulo "Diagnostica problemas de rendimiento".
</t>
    </r>
  </si>
  <si>
    <r>
      <rPr/>
      <t xml:space="preserve">¿La portada del sitio cumple con un resultado sobre 60 en el parámetro rendimiento de Google PageSpeed Insights para la opción celulares (móvil)? 
Para verificar se debe entrar en el sitio web </t>
    </r>
    <r>
      <rPr>
        <color rgb="FF1155CC"/>
        <u/>
      </rPr>
      <t>PageSpeed Insights</t>
    </r>
    <r>
      <rPr/>
      <t xml:space="preserve">, ingresar la URL de la portada del sitio y accionar el botón "Analizar". Luego del análisis se podrá ver el valor que otorga para el indicador "Rendimiento", bajo el subtítulo "Diagnostica problemas de rendimiento".
</t>
    </r>
  </si>
  <si>
    <r>
      <rPr>
        <rFont val="Arial"/>
        <color theme="1"/>
      </rPr>
      <t xml:space="preserve">¿Los certificados o documentos descargables están optimizados para imprimirse sin dificultades o alteraciones significativas de su apariencia?
</t>
    </r>
    <r>
      <rPr>
        <rFont val="Arial"/>
        <i/>
        <color theme="1"/>
      </rPr>
      <t xml:space="preserve">La opción "No aplica" es solo para el caso en que no se encuentren documentos.
</t>
    </r>
  </si>
  <si>
    <r>
      <rPr>
        <rFont val="Arial"/>
        <color theme="1"/>
      </rPr>
      <t xml:space="preserve">¿El código JavaScript está libre de errores en la consola del navegador? 
Por ejemplo: no figuran errores en la consola del navegador. 
Para la verificación se ingresa en la pestaña "Consola" (en inglés "Console") del inspector de código de Google Chrome (opción "Inspeccionar" en el botón secundario o derecho del </t>
    </r>
    <r>
      <rPr>
        <rFont val="Arial"/>
        <i/>
        <color theme="1"/>
      </rPr>
      <t>mouse</t>
    </r>
    <r>
      <rPr>
        <rFont val="Arial"/>
        <color theme="1"/>
      </rPr>
      <t xml:space="preserve">). En la consola pueden aparecer filas horizontales que muestren advertencias y errores, en el caso de aparecer filas resaltadas con un fondo de color rojo pálido significa que existen errores.
</t>
    </r>
  </si>
  <si>
    <r>
      <rPr>
        <rFont val="Arial"/>
        <color theme="1"/>
      </rPr>
      <t xml:space="preserve">¿Existe un enlace a la Oficina de Información, Reclamos y Sugerencias (OIRS)?
</t>
    </r>
    <r>
      <rPr>
        <rFont val="Arial"/>
        <i/>
        <color theme="1"/>
      </rPr>
      <t xml:space="preserve">La opción "No aplica" es solo para el caso de que el sitio corresponda a las siguientes entidades: ministerios, intendencias, gobernaciones, empresas públicas creadas por Ley y diversos servicios públicos.
</t>
    </r>
  </si>
  <si>
    <r>
      <rPr>
        <rFont val="Arial"/>
        <color theme="1"/>
      </rPr>
      <t xml:space="preserve">¿Existe y es visible al menos en la portada la información sobre los horarios de atención?
</t>
    </r>
    <r>
      <rPr>
        <rFont val="Arial"/>
        <i/>
        <color theme="1"/>
      </rPr>
      <t xml:space="preserve">La opción "No aplica" es solo para el caso en que el organismo no tenga atención al público.
</t>
    </r>
  </si>
  <si>
    <r>
      <rPr>
        <rFont val="Arial"/>
        <color theme="1"/>
      </rPr>
      <t xml:space="preserve">¿Se presentan documentos o recursos de información para que la persona usuaria entienda los trámites y procesos? 
Por ejemplo: guías, tutoriales, videos explicativos, manuales descargables.
</t>
    </r>
    <r>
      <rPr>
        <rFont val="Arial"/>
        <i/>
        <color theme="1"/>
      </rPr>
      <t xml:space="preserve">La opción "No aplica" es solo para el caso en que no existan trámites o servicios en el sitio web examinado.
</t>
    </r>
  </si>
  <si>
    <r>
      <rPr>
        <rFont val="Arial"/>
        <color theme="1"/>
      </rPr>
      <t xml:space="preserve">El enlace a la sección de ayuda, ¿está ubicado en una zona visible y destacada?
</t>
    </r>
    <r>
      <rPr>
        <rFont val="Arial"/>
        <i/>
        <color theme="1"/>
      </rPr>
      <t xml:space="preserve">La opción "No aplica" es solo para el caso en que no exista una sección o mesa de ayuda.
</t>
    </r>
  </si>
  <si>
    <r>
      <rPr>
        <rFont val="Arial"/>
        <color theme="1"/>
      </rPr>
      <t xml:space="preserve">En el caso de los chatbots generados con inteligencia artificial, ¿se le advierte al usuario claramente que es una herramienta automatizada y no una persona real?
</t>
    </r>
    <r>
      <rPr>
        <rFont val="Arial"/>
        <i/>
        <color theme="1"/>
      </rPr>
      <t xml:space="preserve">La opción "No aplica" es solo para el caso en que no existan chatbots.
</t>
    </r>
  </si>
  <si>
    <r>
      <rPr>
        <rFont val="Arial"/>
        <color theme="1"/>
      </rPr>
      <t xml:space="preserve">¿Se evita denominar estos chatbots con nombres propios para minimizar el riesgo de confusión para las personas usuarias? Por ejemplo: SofIA o ClaudIA.
</t>
    </r>
    <r>
      <rPr>
        <rFont val="Arial"/>
        <i/>
        <color theme="1"/>
      </rPr>
      <t xml:space="preserve">La opción "No aplica" es solo para el caso en que no existan chatbots.
</t>
    </r>
  </si>
  <si>
    <r>
      <rPr>
        <rFont val="Arial"/>
        <color theme="1"/>
      </rPr>
      <t xml:space="preserve">Si se utiliza contenido ajeno, ¿se declara la fuente o autoría y se menciona el respectivo permiso de uso del autor o propietario? 
Por ejemplo: "Foto: Juan Pérez, licenciada bajo CC BY 4.0 Internacional", "Video cortesía de Memoria Chilena".
</t>
    </r>
    <r>
      <rPr>
        <rFont val="Arial"/>
        <i/>
        <color theme="1"/>
      </rPr>
      <t xml:space="preserve">La opción "No aplica" es solo para el caso en que no exista contenido ajeno.
</t>
    </r>
  </si>
  <si>
    <r>
      <rPr>
        <rFont val="Arial"/>
        <color theme="1"/>
      </rPr>
      <t xml:space="preserve">¿Las imágenes, videos y audios publicados en el sitio web complementan (representan elementos de apoyo) los contenidos publicados? 
Por ejemplo: en un contenido referente a cómo obtener la Clave Única, además del texto explicando secuencialmente los pasos que se deben seguir, se puede agregar un video mostrando el paso a paso en la pantalla de un computador, </t>
    </r>
    <r>
      <rPr>
        <rFont val="Arial"/>
        <i/>
        <color theme="1"/>
      </rPr>
      <t xml:space="preserve">tablet </t>
    </r>
    <r>
      <rPr>
        <rFont val="Arial"/>
        <color theme="1"/>
      </rPr>
      <t xml:space="preserve">o celular al realizar el trámite. De este modo, el material audiovisual complementa lo expresado a través de texto.
</t>
    </r>
  </si>
  <si>
    <r>
      <rPr/>
      <t xml:space="preserve">¿Predomina el uso de imágenes en formato de nueva generación como WebP que proporciona una mejor compresión que JPG, PNG o GIF?
En el punto V de la </t>
    </r>
    <r>
      <rPr>
        <color rgb="FF1155CC"/>
        <u/>
      </rPr>
      <t>guía</t>
    </r>
    <r>
      <rPr/>
      <t xml:space="preserve">, puede consultar cómo verificar el formato de las imágenes.
</t>
    </r>
  </si>
  <si>
    <r>
      <rPr/>
      <t xml:space="preserve">¿Las imágenes pesan menos de 600 KB para no ralentizar la carga de la página?
En el punto V de la </t>
    </r>
    <r>
      <rPr>
        <color rgb="FF1155CC"/>
        <u/>
      </rPr>
      <t>guía</t>
    </r>
    <r>
      <rPr/>
      <t xml:space="preserve">, puede consultar cómo verificar el peso de las imágenes.
</t>
    </r>
  </si>
  <si>
    <r>
      <rPr>
        <rFont val="Arial"/>
        <color theme="1"/>
      </rPr>
      <t xml:space="preserve">¿Los videos tienen la calidad adecuada para su correcta visualización? 
Por ejemplo: el video no demora en cargar y la imagen se ve nítida.
</t>
    </r>
    <r>
      <rPr>
        <rFont val="Arial"/>
        <i/>
        <color theme="1"/>
      </rPr>
      <t xml:space="preserve">La opción "No aplica" es solo para el caso en que no existan videos en el sitio web.
</t>
    </r>
  </si>
  <si>
    <r>
      <rPr>
        <rFont val="Arial"/>
        <color theme="1"/>
      </rPr>
      <t xml:space="preserve">¿Los videos tienen título y descripción?
</t>
    </r>
    <r>
      <rPr>
        <rFont val="Arial"/>
        <i/>
        <color theme="1"/>
      </rPr>
      <t xml:space="preserve">La opción "No aplica" es solo para el caso en que no existan videos en el sitio web.
</t>
    </r>
  </si>
  <si>
    <r>
      <rPr>
        <rFont val="Arial"/>
        <color theme="1"/>
      </rPr>
      <t xml:space="preserve">¿Se usa </t>
    </r>
    <r>
      <rPr>
        <rFont val="Arial"/>
        <i/>
        <color theme="1"/>
      </rPr>
      <t>streaming</t>
    </r>
    <r>
      <rPr>
        <rFont val="Arial"/>
        <color theme="1"/>
      </rPr>
      <t xml:space="preserve"> adaptable para adecuar la calidad del video según el dispositivo y velocidad de conexión? 
Por ejemplo: el video demora menos de 2 segundos en comenzar a reproducirlo.
</t>
    </r>
    <r>
      <rPr>
        <rFont val="Arial"/>
        <i/>
        <color theme="1"/>
      </rPr>
      <t xml:space="preserve">La opción "No aplica" es solo para el caso en que no existan videos en el sitio web.
</t>
    </r>
  </si>
  <si>
    <r>
      <rPr>
        <rFont val="Arial"/>
        <color theme="1"/>
      </rPr>
      <t xml:space="preserve">¿Los audios tienen la calidad de sonido adecuada y el volumen mínimo por defecto para su correcta audición? 
</t>
    </r>
    <r>
      <rPr>
        <rFont val="Arial"/>
        <i/>
        <color theme="1"/>
      </rPr>
      <t xml:space="preserve">La opción "No aplica" es solo para el caso en que no existan audios en el sitio web.
</t>
    </r>
  </si>
  <si>
    <r>
      <rPr>
        <rFont val="Arial"/>
        <color theme="1"/>
      </rPr>
      <t xml:space="preserve">¿Los audios tienen título y texto de descripción?
</t>
    </r>
    <r>
      <rPr>
        <rFont val="Arial"/>
        <i/>
        <color theme="1"/>
      </rPr>
      <t xml:space="preserve">La opción "No aplica" es solo para el caso en que no existan audios en el sitio web.
</t>
    </r>
  </si>
  <si>
    <r>
      <rPr>
        <rFont val="Arial"/>
        <color theme="1"/>
      </rPr>
      <t xml:space="preserve">Cuando se utiliza musicalización en videos o archivos de audios, ¿las letras de canciones utilizadas están libres de sexismo y de palabras o términos discriminatorios?
</t>
    </r>
    <r>
      <rPr>
        <rFont val="Arial"/>
        <i/>
        <color theme="1"/>
      </rPr>
      <t xml:space="preserve">La opción "No aplica" es solo para el caso en que no existan videos en el sitio web.
</t>
    </r>
  </si>
  <si>
    <r>
      <rPr>
        <rFont val="Arial"/>
        <color theme="1"/>
      </rPr>
      <t xml:space="preserve">En los formularios cuando se pregunta el género de quien responde, ¿además de "Femenino" y "Masculino", se incluye también a lo menos el campo "Otro"?
</t>
    </r>
    <r>
      <rPr>
        <rFont val="Arial"/>
        <i/>
        <color theme="1"/>
      </rPr>
      <t xml:space="preserve">La opción "No aplica" se debe utilizar únicamente cuando no exista un formulario o el campo de género no esté presente.
</t>
    </r>
  </si>
  <si>
    <t xml:space="preserve">13. </t>
  </si>
  <si>
    <r>
      <rPr>
        <rFont val="Arial"/>
        <color theme="1"/>
      </rPr>
      <t xml:space="preserve">¿En los campos de los formularios se considera una amplia diversidad de personas usuarias?
Por ejemplo: evitar que personas queden fuera de los rangos etarios del selector de un formulario; cautelar que aparezcan todas las comunas, pueblos originarios o credos religiosos.
</t>
    </r>
    <r>
      <rPr>
        <rFont val="Arial"/>
        <i/>
        <color theme="1"/>
      </rPr>
      <t xml:space="preserve">La opción "No aplica" es solo para el caso en que no existan formularios en el sitio web y/o sean personas jurísdicas.
</t>
    </r>
  </si>
  <si>
    <r>
      <rPr>
        <rFont val="Arial"/>
        <color theme="1"/>
      </rPr>
      <t xml:space="preserve">En el caso de existir menús desplegables en el sitio web, ¿se pueden utilizar sin problemas? 
Por ejemplo: se puede navegar fácilmente por el menú desplegable sin que se cierre inesperadamente, no flotan sobre otros menús o imágenes en movimiento.
</t>
    </r>
    <r>
      <rPr>
        <rFont val="Arial"/>
        <i/>
        <color theme="1"/>
      </rPr>
      <t xml:space="preserve">La opción "No aplica" es solo para el caso en que no existan menús desplegables en el sitio web.
</t>
    </r>
  </si>
  <si>
    <r>
      <rPr>
        <rFont val="Arial"/>
        <color theme="1"/>
      </rPr>
      <t xml:space="preserve">¿Los videos cuentan con interpretación en lengua de señas chilena en un tamaño y formato entendible?
Por ejemplo: el video cuenta con un recuadro ubicado en el costado inferior derecho de la pantalla en el que el intérprete se ve claramente, diferenciándose del fondo y las señas se pueden distinguir y reconocer.
</t>
    </r>
    <r>
      <rPr>
        <rFont val="Arial"/>
        <i/>
        <color theme="1"/>
      </rPr>
      <t xml:space="preserve">La opción "No aplica" es solo para el caso en que no existan videos en el sitio web.
</t>
    </r>
  </si>
  <si>
    <r>
      <rPr/>
      <t xml:space="preserve">¿El diseño considera contrastes y combinaciones de color aptos para el daltonismo? 
Por ejemplo: esto se puede evaluar sacando una captura de pantalla del sitio web y revisando en el simulador de daltonismo del sitio web de </t>
    </r>
    <r>
      <rPr>
        <color rgb="FF1155CC"/>
        <u/>
      </rPr>
      <t>Color Lite Lens</t>
    </r>
    <r>
      <rPr/>
      <t xml:space="preserve">, luego de subir la imagen seleccionar los distintos tipos de daltonismo y revisar uno a uno si con los cambios de color se pueden identificar correctamente los elementos y no se pierde información importante.
</t>
    </r>
  </si>
  <si>
    <r>
      <rPr/>
      <t xml:space="preserve">¿Se presenta al menos un texto redactado con la técnica de Lectura Fácil? 
Por ejemplo: es posible observar un texto organizado con frases sencillas y cortas; y, en caso de existir palabras poco comunes, estas cuentan con un cuadro con la definición al costado derecho. Los contenidos deben verse como los del sitio </t>
    </r>
    <r>
      <rPr>
        <color rgb="FF1155CC"/>
        <u/>
      </rPr>
      <t>Planeta Inclusión</t>
    </r>
    <r>
      <rPr/>
      <t xml:space="preserve">.
</t>
    </r>
  </si>
  <si>
    <r>
      <rPr>
        <rFont val="Arial"/>
        <color rgb="FF252525"/>
      </rPr>
      <t xml:space="preserve">¿Está presente la meta etiqueta "robots" sin los parámetros "noindex", "nofollow" o "none"? 
Por ejemplo: al buscar la palabra "robots" con CTRL+F en el código fuente de la página, la referencia "&lt;meta name='robots' content='noindex'&gt;" no está presente. Tampoco cuando está con más de un valor: "&lt;meta name='robots' content='noindex,nofollow'/&gt;"
</t>
    </r>
    <r>
      <rPr>
        <rFont val="Arial"/>
        <i/>
        <color rgb="FF252525"/>
      </rPr>
      <t>Si la meta etiqueta robots no está presente se debe responder afirmativamente a la pregunta.</t>
    </r>
    <r>
      <rPr>
        <rFont val="Arial"/>
        <color rgb="FF252525"/>
      </rPr>
      <t xml:space="preserve">
</t>
    </r>
  </si>
  <si>
    <r>
      <rPr>
        <rFont val="Arial"/>
        <color rgb="FF252525"/>
      </rPr>
      <t xml:space="preserve">Si existe un archivo denominado "robots.txt" en la raíz del sitio web, ¿este permite la indexación? 
Por ejemplo: si está presente el archivo "robots.txt" en la raíz del sitio web –es decir en la URL: "https://sitioejemplo.gob.cl/robots.txt"–, este no deniega el acceso. 
La denegación de acceso se podría ver de esta manera: 
User-agent: * 
Disallow: /
Si al ingresar a la URL https://sitioejemplo.gob.cl/robots.txt el navegador arroja un error, esto significa que el archivo no existe y se debe marcar que esta pregunta no aplica.
</t>
    </r>
    <r>
      <rPr>
        <rFont val="Arial"/>
        <i/>
        <color rgb="FF252525"/>
      </rPr>
      <t xml:space="preserve">La opción "No aplica" es solo para el caso en que no exista el archivo "robots.txt" en el sitio web.
</t>
    </r>
  </si>
  <si>
    <r>
      <rPr>
        <rFont val="Arial"/>
        <color theme="1"/>
      </rPr>
      <t xml:space="preserve">¿En caso de rediseño o reubicación de páginas, es posible acceder a los contenidos del nuevo sitio desde las URLs de la versión anterior?
</t>
    </r>
    <r>
      <rPr>
        <rFont val="Arial"/>
        <i/>
        <color theme="1"/>
      </rPr>
      <t xml:space="preserve">La opción "No aplica" solo si el sitio web no ha tenido rediseños o reubicaciones de páginas.
</t>
    </r>
  </si>
  <si>
    <r>
      <rPr>
        <rFont val="Arial"/>
        <color theme="1"/>
      </rPr>
      <t xml:space="preserve">Las palabras que tienen la letra ñ, ¿en la URL la reemplazan por la letra n?
</t>
    </r>
    <r>
      <rPr>
        <rFont val="Arial"/>
        <i/>
        <color theme="1"/>
      </rPr>
      <t xml:space="preserve">La opción "No aplica" es solo para el caso en que la URL no contenga palabras con la letra ñ.
</t>
    </r>
  </si>
  <si>
    <r>
      <rPr>
        <rFont val="Arial"/>
        <color theme="1"/>
      </rPr>
      <t xml:space="preserve">En el caso de requerir la ñ dentro del nombre del dominio, ¿se redirecciona a la versión que con letra n?
</t>
    </r>
    <r>
      <rPr>
        <rFont val="Arial"/>
        <i/>
        <color theme="1"/>
      </rPr>
      <t xml:space="preserve">La opción "No aplica" es solo para el caso en que la URL no contenga palabras con la letra ñ.
</t>
    </r>
  </si>
  <si>
    <r>
      <rPr>
        <rFont val="Arial"/>
        <color theme="1"/>
      </rPr>
      <t xml:space="preserve">En caso de haber algún video en el sitio web, no se observa publicidad externa a la organización.
</t>
    </r>
    <r>
      <rPr>
        <rFont val="Arial"/>
        <i/>
        <color theme="1"/>
      </rPr>
      <t xml:space="preserve">La opción "No aplica" es solo para el caso en que no existan videos en el sitio web.
</t>
    </r>
  </si>
  <si>
    <r>
      <rPr/>
      <t xml:space="preserve">¿La metaetiqueta "description" utiliza las palabras claves para identificar el contenido que esta contiene y lo hace en menos de 160 caracteres? 
Por ejemplo: al revisar el código fuente del sitio del Ministerio de Salud, se podría leer una línea del tipo "&lt;meta name="description" content="El Minsal fija políticas de salud pública y prevención de enfermedades y coordina las redes asistenciales de Chile"&gt;". 
Para medir la extensión de caracteres con espacio, puede usar la opción "Contar palabras" de Microsoft Word o la herramienta en línea </t>
    </r>
    <r>
      <rPr>
        <color rgb="FF1155CC"/>
        <u/>
      </rPr>
      <t>Word Counter</t>
    </r>
    <r>
      <rPr/>
      <t xml:space="preserve">. 
</t>
    </r>
  </si>
  <si>
    <r>
      <rPr/>
      <t>¿El sitio presenta las declaraciones de intereses y patrimonio (DIP) de sus autoridades y funcionarios? O, en su defecto, ¿cuenta con un contenido con información sobre las DIP enlazando el portal web de la Contraloría General de la República (</t>
    </r>
    <r>
      <rPr>
        <color rgb="FF1155CC"/>
        <u/>
      </rPr>
      <t>declaracionjurada.cl</t>
    </r>
    <r>
      <rPr/>
      <t xml:space="preserve">)?
</t>
    </r>
  </si>
  <si>
    <r>
      <rPr>
        <rFont val="Arial"/>
        <color theme="1"/>
      </rPr>
      <t xml:space="preserve">¿El sitio posee un botón, </t>
    </r>
    <r>
      <rPr>
        <rFont val="Arial"/>
        <i/>
        <color theme="1"/>
      </rPr>
      <t>banner</t>
    </r>
    <r>
      <rPr>
        <rFont val="Arial"/>
        <color theme="1"/>
      </rPr>
      <t xml:space="preserve"> o sección fija claramente diferenciable para acceder a la información de "Transparencia" y otro para "Solicitar información"?
</t>
    </r>
  </si>
  <si>
    <r>
      <rPr/>
      <t xml:space="preserve">¿El botón o </t>
    </r>
    <r>
      <rPr>
        <i/>
      </rPr>
      <t>banner</t>
    </r>
    <r>
      <rPr/>
      <t xml:space="preserve"> posee algún ícono como ayuda diferenciadora? 
Por ejemplo: que el botón de transparencia activa incluya un símbolo de una página de texto y que el botón para solicitar información incluya la letra </t>
    </r>
    <r>
      <rPr>
        <i/>
      </rPr>
      <t>i</t>
    </r>
    <r>
      <rPr/>
      <t xml:space="preserve"> minúscula, tal como se sugiere en el sitio web del </t>
    </r>
    <r>
      <rPr>
        <color rgb="FF1155CC"/>
        <u/>
      </rPr>
      <t>Consejo para la Transparencia</t>
    </r>
    <r>
      <rPr/>
      <t xml:space="preserve"> y se muestra en la sección VIII) de la Guía</t>
    </r>
  </si>
  <si>
    <r>
      <rPr>
        <rFont val="Arial"/>
        <color theme="1"/>
      </rPr>
      <t xml:space="preserve">¿La documentación en formato PDF corresponde a archivos abiertos (sin clave) y reutilizables, en vez de ser escaneos de otros documentos?
</t>
    </r>
    <r>
      <rPr>
        <rFont val="Arial"/>
        <i/>
        <color theme="1"/>
      </rPr>
      <t xml:space="preserve">La opción "No aplica" es solo para el caso en que no se encuentren documentos.
</t>
    </r>
  </si>
  <si>
    <r>
      <rPr/>
      <t xml:space="preserve">¿El sitio cuenta con una sección específica donde se publican sus datos abiertos, instrucciones para su uso y descarga de un conjunto de datos, o en su defecto, un enlace hacia el sitio de Gobierno </t>
    </r>
    <r>
      <rPr>
        <color rgb="FF1155CC"/>
        <u/>
      </rPr>
      <t>https://datos.gob.cl/</t>
    </r>
    <r>
      <rPr/>
      <t>? 
Por ejemplo: las bases de datos del Índice de Precios al Consumidor (IPC) en el sitio web del Instituto Nacional de Estadísticas (INE).</t>
    </r>
  </si>
  <si>
    <r>
      <rPr>
        <rFont val="Arial"/>
        <color theme="1"/>
      </rPr>
      <t xml:space="preserve">¿Se presenta información sobre la temática que está revisando la persona usuaria antes de entrar al trámite? 
Por ejemplo: se señala con un enlace "compra de bonos" y al entrar se inicia el proceso para comprar bonos.
</t>
    </r>
    <r>
      <rPr>
        <rFont val="Arial"/>
        <i/>
        <color theme="1"/>
      </rPr>
      <t xml:space="preserve">La opción "No aplica" es solo para el caso en que no se presente información sobre un trámite.
</t>
    </r>
  </si>
  <si>
    <r>
      <rPr>
        <rFont val="Arial"/>
        <color theme="1"/>
      </rPr>
      <t xml:space="preserve">¿Las etiquetas de los campos explican claramente cuáles datos debe entregar la persona usuaria? 
Por ejemplo: el campo de texto tiene una etiqueta "Teléfono" al lado.
</t>
    </r>
    <r>
      <rPr>
        <rFont val="Arial"/>
        <i/>
        <color theme="1"/>
      </rPr>
      <t xml:space="preserve">La opción "No aplica" es solo para el caso en que no exista ningún formulario en el sitio web.
</t>
    </r>
  </si>
  <si>
    <r>
      <rPr>
        <rFont val="Arial"/>
        <color theme="1"/>
      </rPr>
      <t xml:space="preserve">¿Las etiquetas para los campos explican claramente cuáles son requeridos (obligatorios)?
Por ejemplo: se indica la obligatoriedad de un campo con un asterisco.
</t>
    </r>
    <r>
      <rPr>
        <rFont val="Arial"/>
        <i/>
        <color theme="1"/>
      </rPr>
      <t xml:space="preserve">La opción "No aplica" es solo para el caso en que no exista ningún formulario en el sitio web.
</t>
    </r>
  </si>
  <si>
    <r>
      <rPr>
        <rFont val="Arial"/>
        <color theme="1"/>
      </rPr>
      <t xml:space="preserve">¿Se presentan ejemplos o información contextual sobre el correcto modo de llenado de los campos? 
Por ejemplo: "RUT sin puntos y con guion: 12345789-0".
</t>
    </r>
    <r>
      <rPr>
        <rFont val="Arial"/>
        <i/>
        <color theme="1"/>
      </rPr>
      <t xml:space="preserve">La opción "No aplica" es solo para el caso en que no exista ningún formulario en el sitio web.
</t>
    </r>
  </si>
  <si>
    <r>
      <rPr>
        <rFont val="Arial"/>
        <color theme="1"/>
      </rPr>
      <t xml:space="preserve">¿El sistema genera una alerta visual en tiempo real cuando un dato no se está ingresando correctamente? 
Por ejemplo: la persona usuaria se equivocó al ingresar su RUT y el campo se marca con un borde de color rojo y abajo del señala "RUT incorrecto".
</t>
    </r>
    <r>
      <rPr>
        <rFont val="Arial"/>
        <i/>
        <color theme="1"/>
      </rPr>
      <t xml:space="preserve">La opción "No aplica" es solo para el caso en que no exista ningún formulario en el sitio web.
</t>
    </r>
  </si>
  <si>
    <r>
      <rPr>
        <rFont val="Arial"/>
        <color theme="1"/>
      </rPr>
      <t xml:space="preserve">¿Se informa a la persona usuaria cuál es el error en la información ingresada? 
Por ejemplo: no se ingresó el RUT que era un campo obligatorio y al enviar el formulario este señala claramente "Debe ingresar un RUT"; o se indica "La contraseña debe tener por lo menos 6 caracteres" en vez de tan solo "contraseña no válida".
</t>
    </r>
    <r>
      <rPr>
        <rFont val="Arial"/>
        <i/>
        <color theme="1"/>
      </rPr>
      <t xml:space="preserve">La opción "No aplica" es solo para el caso en que no exista ningún formulario en el sitio web.
</t>
    </r>
  </si>
  <si>
    <r>
      <rPr>
        <rFont val="Arial"/>
        <color theme="1"/>
      </rPr>
      <t xml:space="preserve">¿Los formularios permiten cancelar o rehacer una acción?
Por ejemplo, al avanzar en un formulario con múltiples pasos, existe un botón con la etiqueta "Atrás" para regresar a la ventana anterior.
</t>
    </r>
    <r>
      <rPr>
        <rFont val="Arial"/>
        <i/>
        <color theme="1"/>
      </rPr>
      <t xml:space="preserve">La opción "No aplica" es sólo si el sitio web no tiene formularios o si estos son simples (de un solo paso) y no requieren navegación entre secciones.
</t>
    </r>
  </si>
  <si>
    <r>
      <rPr>
        <rFont val="Arial"/>
        <color theme="1"/>
      </rPr>
      <t xml:space="preserve">¿El formulario automáticamente introduce el formateo de los datos? 
Por ejemplo: las personas usuarias no necesitan introducir caracteres como "." o "-" al ingresar su RUT. En el caso de ingresar estos caracteres el sistema lo reconoce de igual forma.
</t>
    </r>
    <r>
      <rPr>
        <rFont val="Arial"/>
        <i/>
        <color theme="1"/>
      </rPr>
      <t xml:space="preserve">La opción "No aplica" es solo para el caso en que no exista ningún formulario en el sitio web.
</t>
    </r>
  </si>
  <si>
    <r>
      <rPr>
        <rFont val="Arial"/>
        <color theme="1"/>
      </rPr>
      <t xml:space="preserve">¿En los campos del formulario solo se pueden ingresar los datos que se solicitan? 
Por ejemplo: si en un campo solo se pide que ingrese números, el campo no aceptará otro tipo de caracteres.
</t>
    </r>
    <r>
      <rPr>
        <rFont val="Arial"/>
        <i/>
        <color theme="1"/>
      </rPr>
      <t xml:space="preserve">La opción "No aplica" es solo para el caso en que no exista ningún formulario en el sitio web.
</t>
    </r>
  </si>
  <si>
    <r>
      <rPr>
        <rFont val="Arial"/>
        <color theme="1"/>
      </rPr>
      <t xml:space="preserve">Los formularios no contienen campos o datos duplicados.
Por ejemplo: en un selector, cada elemento aparece una sola vez y no se repite ninguno.
</t>
    </r>
    <r>
      <rPr>
        <rFont val="Arial"/>
        <i/>
        <color theme="1"/>
      </rPr>
      <t xml:space="preserve">La opción "No aplica" es solo para el caso en que no exista ningún formulario en el sitio web.
</t>
    </r>
  </si>
  <si>
    <r>
      <rPr>
        <rFont val="Arial"/>
        <color theme="1"/>
      </rPr>
      <t xml:space="preserve">Antes de enviar una información o finalizar una interacción avanzada, ¿aparece una opción para confirmar que la acción se realizará? 
Por ejemplo: "¿Está segura/o de eliminar el archivo".
</t>
    </r>
    <r>
      <rPr>
        <rFont val="Arial"/>
        <i/>
        <color theme="1"/>
      </rPr>
      <t xml:space="preserve">La opción "No aplica" es solo para el caso en que no exista ningún formulario en el sitio web o este sea sencillo sin interacción avanzada.
</t>
    </r>
  </si>
  <si>
    <r>
      <rPr>
        <rFont val="Arial"/>
        <color theme="1"/>
      </rPr>
      <t xml:space="preserve">Antes de enviar un formulario, ¿la persona usuaria puede ver un resumen con la información?
</t>
    </r>
    <r>
      <rPr>
        <rFont val="Arial"/>
        <i/>
        <color theme="1"/>
      </rPr>
      <t xml:space="preserve">La opción "No aplica" es solo para el caso en que no exista ningún formulario en el sitio web.
</t>
    </r>
  </si>
  <si>
    <r>
      <rPr/>
      <t xml:space="preserve">¿El sitio web puede ser navegado con la velocidad más baja de Internet móvil? 
Por ejemplo: la página web carga en menos de 3 segundos con una conexión 3G de datos móviles.
1. Se puede realizar una prueba de rendimiento en </t>
    </r>
    <r>
      <rPr>
        <color rgb="FF1155CC"/>
        <u/>
      </rPr>
      <t>Webpagetest</t>
    </r>
    <r>
      <rPr/>
      <t xml:space="preserve">, copiando la URL de la portada del sitio web y pegando en el sector que dice: "Enter a website URL...". 
2. Más abajo seleccionar la opción: "MOBILE 3G Mumbai, IN".
3. Luego iniciar el test presionando el botón "Start Test". 
4. Hay que esperar unos minutos y aparecerá el resultado. En el sector de "Speed Index" se verán los segundos aproximados que deben ser menores o iguales a 3.
</t>
    </r>
    <r>
      <rPr>
        <i/>
      </rPr>
      <t xml:space="preserve">La opción "No aplica" es solo para el caso en que no sea posible utilizar la herramienta externa.
</t>
    </r>
  </si>
  <si>
    <r>
      <rPr/>
      <t xml:space="preserve">¿El sitio se comporta de igual manera desde diferentes ubicaciones geográficas?
Para emular la visualización de una página web desde diferentes ubicaciones geográficas:
1. En </t>
    </r>
    <r>
      <rPr>
        <color rgb="FF1155CC"/>
        <u/>
      </rPr>
      <t>Webpagetest</t>
    </r>
    <r>
      <rPr/>
      <t xml:space="preserve">, copiando la URL de la portada del sitio web y pegando en el sector que dice: "Enter a website URL...". 
2. Más abajo seleccionar la opción: "DESKTOP Cable Toronto, CA" y luego iniciar el test presionando el botón "Start Test". 
3. Abrir otra pestaña y hacer lo mismo, pero seleccionando la opción: "DESKTOP Cable Frankfurt, DE". 
4. Hay que esperar unos minutos y aparecerá el resultado.
5. Una vez finalizadas las pruebas, observe las capturas de pantalla en el sector derecho de cada pestaña. No debería haber cambios significativos en la visualización entre ambas ubicaciones. 
</t>
    </r>
    <r>
      <rPr>
        <i/>
      </rPr>
      <t xml:space="preserve">La opción "No aplica" es solo para el caso en que no sea posible utilizar la herramienta externa.
</t>
    </r>
  </si>
  <si>
    <r>
      <rPr>
        <rFont val="Arial"/>
        <color theme="1"/>
      </rPr>
      <t>¿Se informa adecuadamente a las personas usuarias de la efectividad de sus interacciones? 
Por ejemplo: en un formulario, al seleccionar una opción de una lista, esta queda marcada de manera visible; al escoger una fecha para una cita en un calendario, esta queda registrada de manera visible en la pantalla; al pulsar "Reproducir" (</t>
    </r>
    <r>
      <rPr>
        <rFont val="Arial"/>
        <i/>
        <color theme="1"/>
      </rPr>
      <t>Play</t>
    </r>
    <r>
      <rPr>
        <rFont val="Arial"/>
        <color theme="1"/>
      </rPr>
      <t xml:space="preserve">) en un reproductor de video, la imagen muestra el icono de un triángulo por algunos milisegundos sobre la imagen. 
</t>
    </r>
  </si>
  <si>
    <r>
      <rPr>
        <rFont val="Arial"/>
        <color theme="1"/>
      </rPr>
      <t xml:space="preserve">¿El sistema le informa visualmente a la persona usuaria si algo sucede o sucederá tras sus interacciones? 
</t>
    </r>
    <r>
      <rPr>
        <rFont val="Arial"/>
        <i/>
        <color theme="1"/>
      </rPr>
      <t xml:space="preserve">La opción "No aplica" es solo para el caso en que no existan formularios en el sitio web.
</t>
    </r>
  </si>
  <si>
    <r>
      <rPr>
        <rFont val="Arial"/>
        <color theme="1"/>
      </rPr>
      <t>¿Se informa a la persona usuaria claramente el área o página que está visitando? 
Por ejemplo: se marca el elemento del menú que se está visitando o existe un menú de miga de pan (</t>
    </r>
    <r>
      <rPr>
        <rFont val="Arial"/>
        <i/>
        <color theme="1"/>
      </rPr>
      <t>breadcrumb</t>
    </r>
    <r>
      <rPr>
        <rFont val="Arial"/>
        <color theme="1"/>
      </rPr>
      <t xml:space="preserve">).
</t>
    </r>
  </si>
  <si>
    <r>
      <rPr>
        <rFont val="Arial"/>
        <color theme="1"/>
      </rPr>
      <t xml:space="preserve">¿El sitio web diferencia entre enlaces visitados y enlaces por visitar? 
Por ejemplo: los enlaces por visitar son de color azul, mientras que los enlaces visitados son de un color morado.
</t>
    </r>
    <r>
      <rPr>
        <rFont val="Arial"/>
        <i/>
        <color theme="1"/>
      </rPr>
      <t xml:space="preserve">La opción "No aplica" se utiliza solo si el sitio web no incluye enlaces.
</t>
    </r>
  </si>
  <si>
    <r>
      <rPr>
        <rFont val="Arial"/>
        <color theme="1"/>
      </rPr>
      <t xml:space="preserve">¿El acceso a este contacto es fácil de encontrar?
</t>
    </r>
    <r>
      <rPr>
        <rFont val="Arial"/>
        <i/>
        <color theme="1"/>
      </rPr>
      <t xml:space="preserve">La opción "No aplica" es solo para el caso en que no exista ninguna forma de comunicación con el responsable del sitio web.
</t>
    </r>
  </si>
  <si>
    <r>
      <rPr/>
      <t xml:space="preserve">¿La portada del sitio web se carga completamente en menos de tres segundos? 
Por ejemplo: al visitar desde un PC o notebook en el navegador Google Chrome la página principal con todo el contenido, incluidas las imágenes, las hojas de estilos y los scripts, estos se cargan en menos de tres segundos. 
Para esto, se recomienda realizar una prueba de rendimiento en </t>
    </r>
    <r>
      <rPr>
        <color rgb="FF1155CC"/>
        <u/>
      </rPr>
      <t>WebPageTest</t>
    </r>
    <r>
      <rPr/>
      <t xml:space="preserve">:
1. Pegar la URL de la página a revisar y elegir la opción: "DESKTOP Cable Virginia, US".
2. Luego iniciar el test. 
3. Más abajo aparecerá el resultado en el sector de "Speed Index", se verán los segundos aproximados que deben ser menor o igual a 3.
</t>
    </r>
    <r>
      <rPr>
        <i/>
      </rPr>
      <t xml:space="preserve">La opción "No aplica" es solo para el caso en que no sea posible utilizar la herramienta externa.
</t>
    </r>
  </si>
  <si>
    <r>
      <rPr/>
      <t xml:space="preserve">¿La portada del sitio web está diseñada y desarrollada para cargar rápidamente incluso en conexiones de Internet lentas o con límites de datos? 
Por ejemplo: se recomienda que pese menos de 2 MB, en total, para garantizar que se visualice rápidamente en conexiones 3G. 
Para saber el peso de la página web evaluada, se recomienda hacer un test con la herramienta </t>
    </r>
    <r>
      <rPr>
        <color rgb="FF1155CC"/>
        <u/>
      </rPr>
      <t>Pingdom</t>
    </r>
    <r>
      <rPr/>
      <t xml:space="preserve">: 
1. Pegar la URL de la página a revisar y elegir la opción "South America - Brazil - São Paulo".
2. Luego iniciar el test. 
3. Más abajo aparecerá el resultado en "Page size", este debe ser menor a 2MB en total.
</t>
    </r>
  </si>
  <si>
    <t>% cumplimiento Imprescindibles</t>
  </si>
  <si>
    <r>
      <rPr/>
      <t xml:space="preserve">En el caso de los sitios del gobierno central, ¿Se utilizan los componentes del </t>
    </r>
    <r>
      <rPr>
        <color rgb="FF1155CC"/>
        <u/>
      </rPr>
      <t>UI Kit del Gobierno Digital</t>
    </r>
    <r>
      <rPr/>
      <t xml:space="preserve">?
</t>
    </r>
    <r>
      <rPr>
        <i/>
      </rPr>
      <t xml:space="preserve">La opción "No aplica" es solo para el caso en que el sitio web examinado no pertenezca al gobierno central.
</t>
    </r>
  </si>
  <si>
    <r>
      <rPr>
        <rFont val="Arial"/>
        <color theme="1"/>
      </rPr>
      <t xml:space="preserve">¿Los iconos son fácilmente comprensibles sin texto adicional y siguen convenciones o figuras reconocibles por cualquier persona?
Por ejemplo: una casa para volver al inicio, una lupa para el buscador, líneas horizontales del ícono de menú de "hamburguesa" para colapsar o una "X" para cerrar.
</t>
    </r>
    <r>
      <rPr>
        <rFont val="Arial"/>
        <i/>
        <color theme="1"/>
      </rPr>
      <t xml:space="preserve">La opción "No aplica" se debe seleccionar sólo si el sitio no utiliza iconos.
</t>
    </r>
  </si>
  <si>
    <r>
      <rPr>
        <rFont val="Arial"/>
        <color theme="1"/>
      </rPr>
      <t xml:space="preserve">¿Se puede verificar que los mensajes de error no interfieren con la navegación en la página? 
Por ejemplo: las ventanas emergentes se pueden cerrar fácilmente con el teclado y no generan bloqueo de navegación. Esto se puede hacer con la tecla "Esc".
</t>
    </r>
    <r>
      <rPr>
        <rFont val="Arial"/>
        <i/>
        <color theme="1"/>
      </rPr>
      <t xml:space="preserve">La opción "No aplica" es solo para el caso en que no se observen mensajes de error.
</t>
    </r>
  </si>
  <si>
    <r>
      <rPr>
        <rFont val="Arial"/>
        <color theme="1"/>
      </rPr>
      <t>Ventanas modales o emergentes (</t>
    </r>
    <r>
      <rPr>
        <rFont val="Arial"/>
        <i/>
        <color theme="1"/>
      </rPr>
      <t>pop-up)</t>
    </r>
  </si>
  <si>
    <r>
      <rPr>
        <rFont val="Arial"/>
        <color theme="1"/>
      </rPr>
      <t>Cuidado de no utilizar excesiva o innecesariamente ventanas modales y emergentes (</t>
    </r>
    <r>
      <rPr>
        <rFont val="Arial"/>
        <i/>
        <color theme="1"/>
      </rPr>
      <t>pop-up</t>
    </r>
    <r>
      <rPr>
        <rFont val="Arial"/>
        <color theme="1"/>
      </rPr>
      <t xml:space="preserve">)
</t>
    </r>
  </si>
  <si>
    <r>
      <rPr>
        <rFont val="Arial"/>
        <color theme="1"/>
      </rPr>
      <t>Una vez cerrada la ventana emergente (</t>
    </r>
    <r>
      <rPr>
        <rFont val="Arial"/>
        <i/>
        <color theme="1"/>
      </rPr>
      <t>pop-up</t>
    </r>
    <r>
      <rPr>
        <rFont val="Arial"/>
        <color theme="1"/>
      </rPr>
      <t xml:space="preserve">) o modal, ¿queda guardada esa decisión para que no vuelva a aparecer al volver a ingresar, cargar o cambiar de página?
Por ejemplo: al cerrar una ventana modal esta no vuelve a aparecer durante la navegación del sitio web.
</t>
    </r>
    <r>
      <rPr>
        <rFont val="Arial"/>
        <i/>
        <color theme="1"/>
      </rPr>
      <t xml:space="preserve">La opción "No aplica" es solo para el caso en que no se observen ventanas emergentes o modales en el sitio web.
</t>
    </r>
  </si>
  <si>
    <r>
      <rPr>
        <rFont val="Arial"/>
        <color theme="1"/>
      </rPr>
      <t xml:space="preserve">En caso de aparecer un mensaje de error inesperado de origen técnico, ¿se entrega información clara en vez de mensajes ambiguos como "Intente más tarde" o "Comuníquese con el administrador"?
</t>
    </r>
    <r>
      <rPr>
        <rFont val="Arial"/>
        <i/>
        <color theme="1"/>
      </rPr>
      <t xml:space="preserve">La opción "No aplica" es solo para el caso en que no se observen mensajes de error.
</t>
    </r>
  </si>
  <si>
    <r>
      <rPr>
        <rFont val="Arial"/>
        <color theme="1"/>
      </rPr>
      <t xml:space="preserve">Si al ingresar al servicio digital por primera vez aparece un mensaje que ocupe toda la pantalla (del tipo ventana modal, emergente o </t>
    </r>
    <r>
      <rPr>
        <rFont val="Arial"/>
        <i/>
        <color theme="1"/>
      </rPr>
      <t>pop-up</t>
    </r>
    <r>
      <rPr>
        <rFont val="Arial"/>
        <color theme="1"/>
      </rPr>
      <t xml:space="preserve">), ¿este tiene una opción de cerrarse fácilmente identificable? 
Por ejemplo: un enlace que diga "Cerrar" o un botón con el icono de "X".
</t>
    </r>
    <r>
      <rPr>
        <rFont val="Arial"/>
        <i/>
        <color theme="1"/>
      </rPr>
      <t xml:space="preserve">La opción "No aplica" es solo para el caso en que no se observan ventanas del tipo modal, emergente o pop-up.
</t>
    </r>
  </si>
  <si>
    <r>
      <rPr>
        <rFont val="Arial"/>
        <color theme="1"/>
      </rPr>
      <t xml:space="preserve">¿Las personas usuarias cuentan con opciones para ordenar y filtrar resultados y tablas de datos? 
Por ejemplo: búsqueda avanzada con filtro alfabético o por fecha.
</t>
    </r>
    <r>
      <rPr>
        <rFont val="Arial"/>
        <i/>
        <color theme="1"/>
      </rPr>
      <t xml:space="preserve">La opción "No aplica" es solo para el caso en que no se encuentren resultados o tablas de datos.
</t>
    </r>
  </si>
  <si>
    <r>
      <rPr>
        <rFont val="Arial"/>
        <color theme="1"/>
      </rPr>
      <t xml:space="preserve">En los servicios en que la persona usuaria se encuentre autenticada, ¿se brinda la opción personalizada de destacar o anclar las interacciones más frecuentes?
</t>
    </r>
    <r>
      <rPr>
        <rFont val="Arial"/>
        <i/>
        <color theme="1"/>
      </rPr>
      <t xml:space="preserve">La opción "No aplica" es solo para el caso en que el servicio evaluado no requiera autenticación.
</t>
    </r>
  </si>
  <si>
    <r>
      <rPr>
        <rFont val="Arial"/>
        <color theme="1"/>
      </rPr>
      <t xml:space="preserve">¿Se presenta información sobre la temática que está revisando la persona usuaria antes de entrar al trámite? 
Por ejemplo: se señala con un enlace "compra de bonos" y al entrar se inicia el proceso para comprar bonos.
</t>
    </r>
    <r>
      <rPr>
        <rFont val="Arial"/>
        <i/>
        <color theme="1"/>
      </rPr>
      <t xml:space="preserve">La opción "No aplica" es solo para el caso en que el sitio web no tenga contenidos.
</t>
    </r>
  </si>
  <si>
    <r>
      <rPr>
        <rFont val="Arial"/>
        <color theme="1"/>
      </rPr>
      <t xml:space="preserve">¿Los formularios permiten cancelar o rehacer una acción?
Por ejemplo, al avanzar en un formulario con múltiples pasos, existe un botón con la etiqueta "Atrás" para regresar a la ventana anterior.
</t>
    </r>
    <r>
      <rPr>
        <rFont val="Arial"/>
        <i/>
        <color theme="1"/>
      </rPr>
      <t xml:space="preserve">La opción "No aplica" es sólo si el sitio web no tiene formularios o si estos son simples (de un solo paso) y no requieren navegación entre secciones.
</t>
    </r>
  </si>
  <si>
    <r>
      <rPr>
        <rFont val="Arial"/>
        <color theme="1"/>
      </rPr>
      <t xml:space="preserve">Antes de enviar una información o finalizar una interacción avanzada, ¿aparece una opción para confirmar que la acción se realizará? 
Por ejemplo: "¿Está segura/o de eliminar el archivo".
</t>
    </r>
    <r>
      <rPr>
        <rFont val="Arial"/>
        <i/>
        <color theme="1"/>
      </rPr>
      <t xml:space="preserve">La opción "No aplica" es solo para el caso en que no exista ningún formulario en el sitio web o este sea sencillo sin interacción avanzada.
</t>
    </r>
  </si>
  <si>
    <r>
      <rPr>
        <rFont val="Arial"/>
        <color rgb="FFFFFFFF"/>
      </rPr>
      <t xml:space="preserve">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t>
    </r>
    <r>
      <rPr>
        <rFont val="Arial"/>
        <b/>
        <color rgb="FFFFFFFF"/>
      </rPr>
      <t>Plataforma de Reportabilidad de Accesibilidad Universal de SENADIS</t>
    </r>
    <r>
      <rPr>
        <rFont val="Arial"/>
        <color rgb="FFFFFFFF"/>
      </rPr>
      <t>. Más información en:</t>
    </r>
    <r>
      <rPr>
        <rFont val="Arial"/>
        <b/>
        <color rgb="FFFFFFFF"/>
      </rPr>
      <t xml:space="preserve"> https://reportedeaccesibilidad.senadis.cl/sign.</t>
    </r>
  </si>
  <si>
    <r>
      <rPr/>
      <t xml:space="preserve">¿Al navegar con el teclado con la tecla "Tab" se respeta el orden de izquierda a derecha, de arriba hacia abajo?
En el punto VI de la </t>
    </r>
    <r>
      <rPr>
        <color rgb="FF1155CC"/>
        <u/>
      </rPr>
      <t>guía</t>
    </r>
    <r>
      <rPr/>
      <t xml:space="preserve">, puede consultar cómo navegar el sitio web con el teclado.
</t>
    </r>
  </si>
  <si>
    <r>
      <rPr>
        <rFont val="Arial"/>
        <color theme="1"/>
      </rPr>
      <t xml:space="preserve">¿En el sitio web se presenta alternativa de texto para iconografía que ejecuta una acción? 
Por ejemplo: se presenta el botón "A+" para aumentar el tamaño del texto y al poner el cursor por encima se muestra el texto "Agrandar tamaño de fuente", o al ver un icono de lupa se muestra el texto "Buscar".
</t>
    </r>
    <r>
      <rPr>
        <rFont val="Arial"/>
        <i/>
        <color theme="1"/>
      </rPr>
      <t xml:space="preserve">La opción "No aplica" es solo para el caso en que no exista  iconografía que ejecuta una acción.
</t>
    </r>
  </si>
  <si>
    <r>
      <rPr/>
      <t xml:space="preserve">¿Los textos tienen un contraste de color mayor a 4.5:1? 
Por ejemplo: se evita el uso de texto gris sobre fondo blanco u otras combinaciones de color con bajo contraste.
En el punto III de la </t>
    </r>
    <r>
      <rPr>
        <color rgb="FF1155CC"/>
        <u/>
      </rPr>
      <t>guía</t>
    </r>
    <r>
      <rPr/>
      <t>, puede consultar cómo verificar el contraste de textos con la herramienta "Inspeccionar". Si desea revisar en mayor detalle puede hacerlo con herramientas como</t>
    </r>
    <r>
      <rPr>
        <color rgb="FF0000FF"/>
      </rPr>
      <t xml:space="preserve"> </t>
    </r>
    <r>
      <rPr>
        <color rgb="FF1155CC"/>
        <u/>
      </rPr>
      <t>Colour Contrast Analyser</t>
    </r>
    <r>
      <rPr>
        <color rgb="FF0000FF"/>
      </rPr>
      <t xml:space="preserve"> </t>
    </r>
    <r>
      <rPr/>
      <t>o Contrast Checker de</t>
    </r>
    <r>
      <rPr>
        <color rgb="FF0000FF"/>
      </rPr>
      <t xml:space="preserve"> </t>
    </r>
    <r>
      <rPr>
        <color rgb="FF1155CC"/>
        <u/>
      </rPr>
      <t>WebAIM</t>
    </r>
    <r>
      <rPr>
        <color rgb="FF0000FF"/>
      </rPr>
      <t>.</t>
    </r>
    <r>
      <rPr/>
      <t xml:space="preserve">
</t>
    </r>
  </si>
  <si>
    <r>
      <rPr>
        <rFont val="Arial"/>
        <color theme="1"/>
      </rPr>
      <t xml:space="preserve">Cuando se solicita completar la misma información en otra sección de un formulario, ¿se ofrecen opciones como autocompletar o la posibilidad de seleccionar texto previamente ingresado en el navegador?
Por ejemplo: al ingresar una dirección, el navegador permite autocompletar con información proporcionada anteriormente.
</t>
    </r>
    <r>
      <rPr>
        <rFont val="Arial"/>
        <i/>
        <color theme="1"/>
      </rPr>
      <t xml:space="preserve">La opción "No aplica" debe seleccionarse sólo cuando el formulario no requiere ingresar la misma información en más de una sección.
</t>
    </r>
  </si>
  <si>
    <r>
      <rPr/>
      <t xml:space="preserve">¿Los documentos descargables que están presentes en el sitio web son accesibles?
Para comprobar accesibilidad en un documento Word debe dirigirse a la pestaña Revisar de Word, luego seleccionar la opción Comprobar accesibilidad, aparecerá una ventana que señalará que no presenta problemas de accesibilidad. 
Para comprobar accesibilidad en un documento PDF puede utilizar la herramienta </t>
    </r>
    <r>
      <rPr>
        <color rgb="FF1155CC"/>
        <u/>
      </rPr>
      <t>MAUVE++</t>
    </r>
    <r>
      <rPr/>
      <t xml:space="preserve"> seleccionando la opción para validar PDF, luego agregar el PDF con su URL o subiendo el archivo y revisar que los resultados entreguen 0 fallas.
</t>
    </r>
    <r>
      <rPr>
        <i/>
      </rPr>
      <t xml:space="preserve">La opción "No aplica" es solo para el caso en que no se encuentren documentos.
</t>
    </r>
  </si>
  <si>
    <r>
      <rPr>
        <rFont val="Arial"/>
        <color theme="1"/>
      </rPr>
      <t xml:space="preserve">¿El servicio digital utiliza el sistema de ClaveÚnica para el ingreso de las personas usuarias si el sitio requiere algún tipo de autenticación?
</t>
    </r>
    <r>
      <rPr>
        <rFont val="Arial"/>
        <i/>
        <color theme="1"/>
      </rPr>
      <t xml:space="preserve">La opción "No aplica" es solo para el caso en que el sitio web necesite otro sistema de autenticación para acceder a sus servicios.
</t>
    </r>
  </si>
  <si>
    <r>
      <rPr>
        <rFont val="Arial"/>
        <color theme="1"/>
      </rPr>
      <t xml:space="preserve">Cuando la persona usuaria ingresa con ClaveÚnica, ¿los campos de los formularios aparecen prellenados con la información asociada a ella?
</t>
    </r>
    <r>
      <rPr>
        <rFont val="Arial"/>
        <i/>
        <color theme="1"/>
      </rPr>
      <t xml:space="preserve">La opción "No aplica" es solo para el caso en que no se use ClaveÚnica para acceder.
</t>
    </r>
  </si>
  <si>
    <r>
      <rPr>
        <rFont val="Arial"/>
        <color theme="1"/>
      </rPr>
      <t xml:space="preserve">En caso de tener información precargada, ¿los datos se pueden modificar?
</t>
    </r>
    <r>
      <rPr>
        <rFont val="Arial"/>
        <i/>
        <color theme="1"/>
      </rPr>
      <t xml:space="preserve">La opción "No aplica" es solo para el caso en que no se use ClaveÚnica para acceder.
</t>
    </r>
  </si>
  <si>
    <r>
      <rPr>
        <rFont val="Arial"/>
        <color theme="1"/>
      </rPr>
      <t xml:space="preserve">En el caso de textos referidos a trámites, ¿se brinda información suficiente para que las personas usuarias puedan realizarlos autónomamente?
</t>
    </r>
    <r>
      <rPr>
        <rFont val="Arial"/>
        <i/>
        <color theme="1"/>
      </rPr>
      <t xml:space="preserve">La opción "No aplica" es solo para el caso en que no se encuentren textos referidos a trámites.
</t>
    </r>
  </si>
  <si>
    <r>
      <rPr/>
      <t xml:space="preserve">¿El lenguaje utilizado está orientado a que una persona pueda entender el contenido, aun aquellas con mayor dificultad de comprensión lectora?
Por ejemplo: se recomienda revisar con alguna herramienta en línea como </t>
    </r>
    <r>
      <rPr>
        <color rgb="FF1155CC"/>
        <u/>
      </rPr>
      <t>Legible</t>
    </r>
    <r>
      <rPr/>
      <t xml:space="preserve"> (de los cinco indicadores evaluados que se visualizan en la tabla Legibilidad del texto, al menos tres deben indicar dificultad Normal para aprobar este indicador).
</t>
    </r>
  </si>
  <si>
    <r>
      <rPr>
        <rFont val="Arial"/>
        <color theme="1"/>
      </rPr>
      <t xml:space="preserve">¿Se define cada sigla y acrónimo y se emplean solo si es necesario?
</t>
    </r>
    <r>
      <rPr>
        <rFont val="Arial"/>
        <i/>
        <color theme="1"/>
      </rPr>
      <t>La opción "No aplica" es solo para el caso en que no se encuentren siglas o acrónimos.</t>
    </r>
    <r>
      <rPr>
        <rFont val="Arial"/>
        <color theme="1"/>
      </rPr>
      <t xml:space="preserve">
</t>
    </r>
  </si>
  <si>
    <r>
      <rPr/>
      <t xml:space="preserve">¿Son correctas la ortografía –literal, acentual y puntual– y la gramática en los contenidos? 
Por ejemplo: para revisar este aspecto, se puede usar un corrector ortográfico y gramatical para revisar los contenidos de las páginas de muestra. Tanto Microsoft Word como Documentos de Google lo ofrecen; o bien utilizar herramientas en línea como </t>
    </r>
    <r>
      <rPr>
        <color rgb="FF1155CC"/>
        <u/>
      </rPr>
      <t>LanguageTool</t>
    </r>
    <r>
      <rPr/>
      <t xml:space="preserve">.
</t>
    </r>
  </si>
  <si>
    <r>
      <rPr>
        <rFont val="Arial"/>
        <color theme="1"/>
      </rPr>
      <t xml:space="preserve">¿Los contenidos están estructurados como respuestas a las preguntas frecuentes que podrían hacerse las personas usuarias?
</t>
    </r>
    <r>
      <rPr>
        <rFont val="Arial"/>
        <i/>
        <color theme="1"/>
      </rPr>
      <t xml:space="preserve">La opción "No aplica" es solo para el caso en que el sitio web no tenga contenidos.
</t>
    </r>
  </si>
  <si>
    <r>
      <rPr>
        <rFont val="Arial"/>
        <color theme="1"/>
      </rPr>
      <t xml:space="preserve">Cuando se listan requisitos en contenidos referidos a servicios a la ciudadanía, ¿se usa modo infinitivo? (Modo que engloba las formas no personales del verbo, puede terminar en  –ar, –er o –ir).
Por ejemplo: "Ser mayor de 18 años", "Enviar su solicitud a través de correo electrónico".
</t>
    </r>
    <r>
      <rPr>
        <rFont val="Arial"/>
        <i/>
        <color theme="1"/>
      </rPr>
      <t xml:space="preserve">La opción "No aplica" es solo para el caso en que no se listen requisitos referidos a servicios a la ciudadanía.
</t>
    </r>
  </si>
  <si>
    <r>
      <rPr>
        <rFont val="Arial"/>
        <color theme="1"/>
      </rPr>
      <t xml:space="preserve">Si existe un texto extenso –de cuatro o más párrafos–, ¿existe un resumen al inicio?
</t>
    </r>
    <r>
      <rPr>
        <rFont val="Arial"/>
        <i/>
        <color theme="1"/>
      </rPr>
      <t>La opción "No aplica" es solo para el caso en que no se encuentren textos de cuatro o más párrafos.</t>
    </r>
    <r>
      <rPr>
        <rFont val="Arial"/>
        <color theme="1"/>
      </rPr>
      <t xml:space="preserve">
</t>
    </r>
  </si>
  <si>
    <r>
      <rPr>
        <rFont val="Arial"/>
        <color theme="1"/>
      </rPr>
      <t xml:space="preserve">Cuando se enlazan documentos, ¿se especifican el título, formato y peso?
Por ejemplo: "Informe sobre ciberseguridad en Chile 2024 (pdf, 345 KB)".
</t>
    </r>
    <r>
      <rPr>
        <rFont val="Arial"/>
        <i/>
        <color theme="1"/>
      </rPr>
      <t xml:space="preserve">Selecciona "Sí" solo si se cumplen los tres elementos (título, formato y peso) en todos los documentos enlazados.
La opción "No aplica" corresponde únicamente si no hay documentos en el sitio web.
</t>
    </r>
  </si>
  <si>
    <r>
      <rPr>
        <rFont val="Arial"/>
        <color theme="1"/>
      </rPr>
      <t xml:space="preserve">¿Se entrega una breve descripción de los documentos enlazados para mejorar su capacidad de búsqueda, usabilidad y accesibilidad?
</t>
    </r>
    <r>
      <rPr>
        <rFont val="Arial"/>
        <i/>
        <color theme="1"/>
      </rPr>
      <t>La opción "No aplica" es solo para el caso en que no se encuentren documentos.</t>
    </r>
    <r>
      <rPr>
        <rFont val="Arial"/>
        <color theme="1"/>
      </rPr>
      <t xml:space="preserve">
</t>
    </r>
  </si>
  <si>
    <r>
      <rPr>
        <rFont val="Arial"/>
        <color theme="1"/>
      </rPr>
      <t xml:space="preserve">Si el sitio presenta versiones anteriores de contenidos, ¿están rotuladas claramente como contenidos o documentos de archivo no vigentes? Por ejemplo: títulos del tipo "Requisitos de postulación 2015", donde señala claramente el año al que se refiera la información.
</t>
    </r>
    <r>
      <rPr>
        <rFont val="Arial"/>
        <i/>
        <color theme="1"/>
      </rPr>
      <t xml:space="preserve">La opción "No aplica" está disponible si el sitio no presenta versiones anteriores de contenidos.
</t>
    </r>
  </si>
  <si>
    <r>
      <rPr>
        <rFont val="Arial"/>
        <color theme="1"/>
      </rPr>
      <t xml:space="preserve">¿El sitio web se puede visualizar correctamente desde un teléfono celular o una </t>
    </r>
    <r>
      <rPr>
        <rFont val="Arial"/>
        <i/>
        <color theme="1"/>
      </rPr>
      <t>tablet</t>
    </r>
    <r>
      <rPr>
        <rFont val="Arial"/>
        <color theme="1"/>
      </rPr>
      <t xml:space="preserve">? 
</t>
    </r>
  </si>
  <si>
    <r>
      <rPr>
        <rFont val="Arial"/>
        <color theme="1"/>
      </rPr>
      <t xml:space="preserve">¿Las funcionalidades del sitio se pueden usar correctamente desde un teléfono celular o una </t>
    </r>
    <r>
      <rPr>
        <rFont val="Arial"/>
        <i/>
        <color theme="1"/>
      </rPr>
      <t>tablet</t>
    </r>
    <r>
      <rPr>
        <rFont val="Arial"/>
        <color theme="1"/>
      </rPr>
      <t xml:space="preserve">? 
Por ejemplo: si en un formulario se pide cargar documentos, esta funcionalidad no se ve interrumpida si se hace desde un teléfono celular o una </t>
    </r>
    <r>
      <rPr>
        <rFont val="Arial"/>
        <i/>
        <color theme="1"/>
      </rPr>
      <t>tablet</t>
    </r>
    <r>
      <rPr>
        <rFont val="Arial"/>
        <color theme="1"/>
      </rPr>
      <t xml:space="preserve">.
</t>
    </r>
  </si>
  <si>
    <r>
      <rPr/>
      <t xml:space="preserve">¿El certificado SSL/TLS es válido? 
Por ejemplo: al revisar en Google Chrome a través del ícono "Consulta la información del sitio", que se encuentra inmediatamente a la izquierda de la URL en la barra de direcciones del navegador, verificar que existe el texto "La conexión es segura".
En el punto VII de la </t>
    </r>
    <r>
      <rPr>
        <color rgb="FF1155CC"/>
        <u/>
      </rPr>
      <t>guía</t>
    </r>
    <r>
      <rPr/>
      <t xml:space="preserve">, puede verificar la conexión segura y si el certificado es válido.
</t>
    </r>
  </si>
  <si>
    <r>
      <rPr>
        <i val="0"/>
      </rPr>
      <t xml:space="preserve">¿El sitio web tiene configurada la cabecera "X-Frame-Options" con los valores "DENY" o "SAMEORIGIN"?
Para la verificación se deben revisar las cabeceras de la página, usando la herramienta </t>
    </r>
    <r>
      <rPr>
        <i val="0"/>
        <color rgb="FF1155CC"/>
        <u/>
      </rPr>
      <t>https://securityheaders.com</t>
    </r>
    <r>
      <rPr>
        <i val="0"/>
      </rPr>
      <t>:
1. Primero se debe ingresar la URL de una página diferente de la portada  
2. Luego, dentro de los resultados, en el subtítulo "Encabezados sin formato" (</t>
    </r>
    <r>
      <rPr>
        <i/>
      </rPr>
      <t>Raw Headers</t>
    </r>
    <r>
      <rPr>
        <i val="0"/>
      </rPr>
      <t xml:space="preserve"> en inglés), se encontrará la lista de cabeceras de la página, en la que se debe buscar la cabecera "X-Frame-Options" y verificar que tenga los valores "DENY" o "SAMEORIGIN".
</t>
    </r>
  </si>
  <si>
    <r>
      <rPr>
        <rFont val="Arial"/>
        <color theme="1"/>
      </rPr>
      <t xml:space="preserve">¿Este enlace está en el pie de cada página del sitio web?
</t>
    </r>
    <r>
      <rPr>
        <rFont val="Arial"/>
        <i/>
        <color theme="1"/>
      </rPr>
      <t xml:space="preserve">La opción "No aplica" es solo para el caso en que no exista un enlace a la política de privacidad.
</t>
    </r>
  </si>
  <si>
    <r>
      <rPr/>
      <t xml:space="preserve">¿El sitio tiene configurada la cabecera "X-Content-Type-Options" con el valor "nosniff"?
Para la verificación se deben revisar las cabeceras de la página, usando la herramienta </t>
    </r>
    <r>
      <rPr>
        <color rgb="FF1155CC"/>
        <u/>
      </rPr>
      <t>https://securityheaders.com</t>
    </r>
    <r>
      <rPr/>
      <t>:
1. Primero se debe ingresar la URL de una página diferente de la portada 
2. Luego, dentro de los resultados, en el subtítulo "Encabezados sin formato" (</t>
    </r>
    <r>
      <rPr>
        <i/>
      </rPr>
      <t>Raw Headers</t>
    </r>
    <r>
      <rPr/>
      <t xml:space="preserve"> en inglés) se encontrará la lista de cabeceras de la página, en la que se debe buscar la cabecera "X-Content-Type-Options" y verificar que tenga el valor "nosniff".
</t>
    </r>
  </si>
  <si>
    <r>
      <rPr/>
      <t xml:space="preserve">¿El sitio web tiene configurada la cabecera "Referrer-Policy" con el valor "strict-origin"? 
Para la verificación se deben revisar las cabeceras de la página, usando la herramienta </t>
    </r>
    <r>
      <rPr>
        <color rgb="FF1155CC"/>
        <u/>
      </rPr>
      <t>https://securityheaders.com</t>
    </r>
    <r>
      <rPr/>
      <t>:
1. Primero se debe ingresar la URL de una página diferente de la portada
2. Luego, dentro de los resultados, en el subtítulo "Encabezados sin formato" (</t>
    </r>
    <r>
      <rPr>
        <i/>
      </rPr>
      <t>Raw Headers</t>
    </r>
    <r>
      <rPr/>
      <t xml:space="preserve"> en inglés), se encontrará la lista de cabeceras de la página, en la que se debe buscar la cabecera "Referrer-Policy" y verificar que tenga el valor "strict-origin".
</t>
    </r>
  </si>
  <si>
    <r>
      <rPr>
        <rFont val="Arial"/>
        <color theme="1"/>
      </rPr>
      <t xml:space="preserve">¿Proporciona el sitio web información clara y comprensible sobre el tipo de </t>
    </r>
    <r>
      <rPr>
        <rFont val="Arial"/>
        <i/>
        <color theme="1"/>
      </rPr>
      <t xml:space="preserve">cookies </t>
    </r>
    <r>
      <rPr>
        <rFont val="Arial"/>
        <color theme="1"/>
      </rPr>
      <t xml:space="preserve">que utiliza, sus finalidades y las opciones de control disponibles para el usuario?
Por ejemplo: en la Política de Privacidad del sitio web se indica que las </t>
    </r>
    <r>
      <rPr>
        <rFont val="Arial"/>
        <i/>
        <color theme="1"/>
      </rPr>
      <t xml:space="preserve">cookies </t>
    </r>
    <r>
      <rPr>
        <rFont val="Arial"/>
        <color theme="1"/>
      </rPr>
      <t xml:space="preserve">no almacenan datos personales ni el sitio web las comparte con terceros.
</t>
    </r>
  </si>
  <si>
    <r>
      <rPr>
        <rFont val="Arial"/>
        <color theme="1"/>
      </rPr>
      <t xml:space="preserve">¿Las páginas que informan sobre un determinado trámite cuentan con un enlace al mismo?
Por ejemplo: se informa sobre un nuevo bono y el contenido tiene un enlace para solicitarlo.
</t>
    </r>
    <r>
      <rPr>
        <rFont val="Arial"/>
        <i/>
        <color theme="1"/>
      </rPr>
      <t xml:space="preserve">La opción "No aplica" es solo para el caso en que el sitio web no tenga contenidos.
</t>
    </r>
  </si>
  <si>
    <r>
      <rPr>
        <rFont val="Arial"/>
        <color theme="1"/>
      </rPr>
      <t xml:space="preserve">¿La institución ofrece tiempos de respuesta estimados para cada tipo de trámite o servicio en su sitio web? 
Por ejemplo: al solicitar un pasaporte en el sitio web del Registro Civil, se informa que el trámite se completará en 10 días hábiles.
</t>
    </r>
    <r>
      <rPr>
        <rFont val="Arial"/>
        <i/>
        <color theme="1"/>
      </rPr>
      <t xml:space="preserve">La opción "No aplica" es solo para el caso en que el sitio web no tenga contenidos.
</t>
    </r>
  </si>
  <si>
    <r>
      <rPr>
        <rFont val="Arial"/>
        <color theme="1"/>
      </rPr>
      <t xml:space="preserve">¿Se puede resolver todo el trámite en línea sin necesidad de ir presencialmente a una oficina?
</t>
    </r>
    <r>
      <rPr>
        <rFont val="Arial"/>
        <i/>
        <color theme="1"/>
      </rPr>
      <t xml:space="preserve">La opción "No aplica" es solo para el caso en que el servicio digital por su naturaleza legal requiera obligatoriamente la presencialidad para continuar o finalizar el trámite.
</t>
    </r>
  </si>
  <si>
    <r>
      <rPr/>
      <t xml:space="preserve">¿El servicio digital puede ser navegado con la velocidad más baja de Internet móvil? 
Por ejemplo: la página web carga en menos de 3 segundos con una conexión 3G de datos móviles.
1. Se puede realizar una prueba de rendimiento en </t>
    </r>
    <r>
      <rPr>
        <color rgb="FF1155CC"/>
        <u/>
      </rPr>
      <t>Webpagetest</t>
    </r>
    <r>
      <rPr/>
      <t xml:space="preserve">, copiando la URL de la portada del servicio digital y pegando en el sector que dice: "Enter a website URL...". 
2. Más abajo seleccionar la opción: "MOBILE 3G Mumbai, IN".
3. Luego iniciar el test presionando el botón "Start Test". 
4. Hay que esperar unos minutos y aparecerá el resultado. En el sector de "Speed Index" se verán los segundos aproximados que deben ser menores o iguales a 3.
</t>
    </r>
    <r>
      <rPr>
        <i/>
      </rPr>
      <t xml:space="preserve">La opción "No aplica" es solo para el caso en que no sea posible utilizar la herramienta externa.
</t>
    </r>
  </si>
  <si>
    <r>
      <rPr/>
      <t xml:space="preserve">¿El servicio digital muestra la misma información desde diferentes ubicaciones geográficas?
Para emular la visualización de una página web desde diferentes ubicaciones geográficas:
1. En </t>
    </r>
    <r>
      <rPr>
        <color rgb="FF1155CC"/>
        <u/>
      </rPr>
      <t>Webpagetest</t>
    </r>
    <r>
      <rPr/>
      <t xml:space="preserve">, copiando la URL de la portada del servicio digital y pegando en el sector que dice: "Enter a website URL...". 
2. Más abajo seleccionar la opción: "DESKTOP Cable Toronto, CA" y luego iniciar el test presionando el botón "Start Test". 
3. Abrir otra pestaña y hacer lo mismo, pero seleccionando la opción: "DESKTOP Cable Frankfurt, DE". 
4. Hay que esperar unos minutos y aparecerá el resultado.
5. Una vez finalizadas las pruebas, observe las capturas de pantalla en el sector derecho de cada pestaña. No debería haber cambios significativos en la visualización entre ambas ubicaciones. 
</t>
    </r>
    <r>
      <rPr>
        <i/>
      </rPr>
      <t xml:space="preserve">La opción "No aplica" es solo para el caso en que no sea posible utilizar la herramienta externa.
</t>
    </r>
  </si>
  <si>
    <r>
      <rPr>
        <rFont val="Arial"/>
        <color theme="1"/>
      </rPr>
      <t xml:space="preserve">¿La portada o el primer paso del trámite anticipa los documentos que serán requeridos en las etapas siguientes?
</t>
    </r>
    <r>
      <rPr>
        <rFont val="Arial"/>
        <i/>
        <color theme="1"/>
      </rPr>
      <t xml:space="preserve">La opción "No aplica" es solo para el caso en que no se requieren documentos o no haya etapas siguientes.
</t>
    </r>
  </si>
  <si>
    <r>
      <rPr>
        <rFont val="Arial"/>
        <color theme="1"/>
        <sz val="11.0"/>
      </rPr>
      <t xml:space="preserve">¿Se advierten claramente las opciones del menú de navegación con las etapas del proceso?
</t>
    </r>
    <r>
      <rPr>
        <rFont val="Arial"/>
        <i/>
        <color theme="1"/>
        <sz val="11.0"/>
      </rPr>
      <t xml:space="preserve">La opción "No aplica" es solo para el caso en que el proceso tenga una sola etapa.
</t>
    </r>
  </si>
  <si>
    <r>
      <rPr>
        <rFont val="Arial"/>
        <color theme="1"/>
        <sz val="11.0"/>
      </rPr>
      <t xml:space="preserve">¿El menú está en una posición destacada?
</t>
    </r>
    <r>
      <rPr>
        <rFont val="Arial"/>
        <i/>
        <color theme="1"/>
        <sz val="11.0"/>
      </rPr>
      <t xml:space="preserve">La opción "No aplica" es solo para el caso en que el proceso tenga una sola etapa.
</t>
    </r>
  </si>
  <si>
    <r>
      <rPr>
        <rFont val="Arial"/>
        <color theme="1"/>
        <sz val="11.0"/>
      </rPr>
      <t xml:space="preserve">¿Se identifican fácilmente los elementos cliqueables en el menú?
</t>
    </r>
    <r>
      <rPr>
        <rFont val="Arial"/>
        <i/>
        <color theme="1"/>
        <sz val="11.0"/>
      </rPr>
      <t xml:space="preserve">La opción "No aplica" es solo para el caso en que el proceso tenga una sola etapa.
</t>
    </r>
  </si>
  <si>
    <r>
      <rPr>
        <rFont val="Arial"/>
        <color theme="1"/>
      </rPr>
      <t xml:space="preserve">Si la institución cuenta con una marca o nombre de fantasía, ¿su significado se explica con un texto complementario?
Por ejemplo: "ChileAtiende: trámites y beneficios del Estado", "Salud Responde: asistencia telefónica y vía redes sociales", "IFE Laboral Apoya: incentivo al empleo formal".
</t>
    </r>
    <r>
      <rPr>
        <rFont val="Arial"/>
        <i/>
        <color theme="1"/>
      </rPr>
      <t xml:space="preserve">La opción "No aplica" es solo para el caso en que la institución no cuente con una marca o nombre de fantasía.
</t>
    </r>
  </si>
  <si>
    <r>
      <rPr>
        <rFont val="Arial"/>
        <color theme="1"/>
      </rPr>
      <t xml:space="preserve">En el caso de los chatbots generados con inteligencia artificial, ¿se le advierte al usuario claramente que es una herramienta automatizada y no una persona real?
</t>
    </r>
    <r>
      <rPr>
        <rFont val="Arial"/>
        <i/>
        <color theme="1"/>
      </rPr>
      <t xml:space="preserve">La opción "No aplica" es solo para el caso en que no existan chatbots.
</t>
    </r>
  </si>
  <si>
    <r>
      <rPr>
        <rFont val="Arial"/>
        <color theme="1"/>
      </rPr>
      <t xml:space="preserve">¿Se evita denominar estos chatbots con nombres propios para minimizar el riesgo de confusión para las personas usuarias? Por ejemplo: SofIA o ClaudIA.
</t>
    </r>
    <r>
      <rPr>
        <rFont val="Arial"/>
        <i/>
        <color theme="1"/>
      </rPr>
      <t xml:space="preserve">La opción "No aplica" es solo para el caso en que no existan chatbots.
</t>
    </r>
  </si>
  <si>
    <r>
      <rPr/>
      <t xml:space="preserve">En el caso de los organismos gubernamentales, ¿los elementos gráficos del sitio web son elaborados a partir de las directrices del Gobierno? 
Por ejemplo: se usan y aplican los fundamentos de diseño del </t>
    </r>
    <r>
      <rPr>
        <color rgb="FF1155CC"/>
        <u/>
      </rPr>
      <t>UI Kit del Gobierno Digital</t>
    </r>
    <r>
      <rPr/>
      <t xml:space="preserve"> como "colores, tipografías, espaciado" y elementos gráficos como "botones, alertas, etc.."
</t>
    </r>
    <r>
      <rPr>
        <i/>
      </rPr>
      <t xml:space="preserve">La opción "No aplica" es solo para el caso en que el sitio web examinado no pertenezca al gobierno central.
</t>
    </r>
  </si>
  <si>
    <r>
      <rPr/>
      <t xml:space="preserve">¿Se utilizan familias tipográficas optimizadas para la lectura en pantalla, especialmente las de palo seco (sin conectores visuales entre las letras) o sin "serif"? 
Por ejemplo: Roboto, Verdana, Arial.
En la </t>
    </r>
    <r>
      <rPr>
        <color rgb="FF1155CC"/>
        <u/>
      </rPr>
      <t>guía</t>
    </r>
    <r>
      <rPr/>
      <t xml:space="preserve"> se puede consultar cómo se identifica el tipo de fuente.
</t>
    </r>
  </si>
  <si>
    <r>
      <rPr/>
      <t xml:space="preserve">¿Su tamaño permite una adecuada legibilidad? 
Por ejemplo: igual o superior a 16 puntos, con un espaciado de al menos 1,5 veces del tamaño de la fuente y alto contraste, evitando letras grises sobre fondos blancos. 
En la </t>
    </r>
    <r>
      <rPr>
        <color rgb="FF1155CC"/>
        <u/>
      </rPr>
      <t>guía</t>
    </r>
    <r>
      <rPr/>
      <t xml:space="preserve"> se puede consultar cómo se identifica el tamaño de fuente.
</t>
    </r>
  </si>
  <si>
    <r>
      <rPr>
        <rFont val="Arial"/>
        <color theme="1"/>
      </rPr>
      <t xml:space="preserve">En el caso de organismos del Gobierno central, ¿el sitio web utiliza las tipografías recomendadas en el sistema de diseño gubernamental? 
Por ejemplo: las tipografías las tipografías  Roboto Sans y Roboto Slab (solo para títulos)
</t>
    </r>
    <r>
      <rPr>
        <rFont val="Arial"/>
        <i/>
        <color theme="1"/>
      </rPr>
      <t xml:space="preserve">
La opción "No aplica" es solo para el caso en que el sitio web examinado no pertenezca al gobierno central.
</t>
    </r>
  </si>
  <si>
    <r>
      <rPr/>
      <t xml:space="preserve">En el caso de organismos del Gobierno central, ¿se consideran los colores de la paleta del </t>
    </r>
    <r>
      <rPr>
        <color rgb="FF1155CC"/>
        <u/>
      </rPr>
      <t>UI Kit del Gobierno Digital</t>
    </r>
    <r>
      <rPr/>
      <t xml:space="preserve">?
</t>
    </r>
    <r>
      <rPr>
        <i/>
      </rPr>
      <t xml:space="preserve">La opción "No aplica" es solo para el caso en que el sitio web examinado no pertenezca al gobierno central.
</t>
    </r>
  </si>
  <si>
    <r>
      <rPr>
        <rFont val="Arial"/>
        <color theme="1"/>
      </rPr>
      <t xml:space="preserve">¿Las imágenes tienen la calidad adecuada para su correcta visualización y se evita que se vean pixeladas a primera vista?
</t>
    </r>
    <r>
      <rPr>
        <rFont val="Arial"/>
        <i/>
        <color theme="1"/>
      </rPr>
      <t xml:space="preserve">La opción "No aplica" es solo para el caso en que no existan imágenes en el sitio web.
</t>
    </r>
  </si>
  <si>
    <r>
      <rPr>
        <rFont val="Arial"/>
        <color theme="1"/>
      </rPr>
      <t xml:space="preserve">¿Las imágenes tienen títulos, descripciones o pies de fotos apropiados? El pie de foto es una explicación breve que se sitúa bajo cada ilustración, foto o figura en una publicación. Aunque sea el pie lo que le da nombre, también puede ubicarse en otros lugares, como en la parte superior.
</t>
    </r>
    <r>
      <rPr>
        <rFont val="Arial"/>
        <i/>
        <color theme="1"/>
      </rPr>
      <t xml:space="preserve">La opción "No aplica" es solo para el caso en que no existan imágenes en el sitio web.
</t>
    </r>
  </si>
  <si>
    <r>
      <rPr>
        <rFont val="Arial"/>
        <color theme="1"/>
      </rPr>
      <t xml:space="preserve">¿Las fotografías están bien recortadas y tienen un encuadre adecuado? 
Por ejemplo: los </t>
    </r>
    <r>
      <rPr>
        <rFont val="Arial"/>
        <i/>
        <color theme="1"/>
      </rPr>
      <t>banners</t>
    </r>
    <r>
      <rPr>
        <rFont val="Arial"/>
        <color theme="1"/>
      </rPr>
      <t xml:space="preserve"> tienen un contenedor rectangular. Para minimizar o evitar recortes, hay que asegurarse de que la forma de la imagen coincida con la forma del contenedor y no quede recortada la información visual importante.
</t>
    </r>
    <r>
      <rPr>
        <rFont val="Arial"/>
        <i/>
        <color theme="1"/>
      </rPr>
      <t xml:space="preserve">La opción "No aplica" es solo para el caso en que no existan imágenes en el sitio web.
</t>
    </r>
  </si>
  <si>
    <r>
      <rPr>
        <rFont val="Arial"/>
        <color theme="1"/>
      </rPr>
      <t xml:space="preserve">¿Se privilegia el uso de fotografías en el que aparezcan personas usuarias, lugares y situaciones reales en vez de usar imágenes de bancos de fotos comerciales?
</t>
    </r>
    <r>
      <rPr>
        <rFont val="Arial"/>
        <i/>
        <color theme="1"/>
      </rPr>
      <t xml:space="preserve">La opción "No aplica" es solo para el caso en que no existan imágenes en el sitio web.
</t>
    </r>
  </si>
  <si>
    <r>
      <rPr>
        <rFont val="Arial"/>
        <color theme="1"/>
      </rPr>
      <t xml:space="preserve">¿Los elementos que contienen texto informativo, como botones de acción e infografías, se disponen como texto seleccionable en vez de presentarlos dentro de una imagen?
</t>
    </r>
    <r>
      <rPr>
        <rFont val="Arial"/>
        <i/>
        <color theme="1"/>
      </rPr>
      <t xml:space="preserve">La opción "No aplica" corresponde solo cuando no hay botones de acción, infografías u otros elementos con texto informativo en el sitio web.
</t>
    </r>
  </si>
  <si>
    <r>
      <rPr>
        <rFont val="Arial"/>
        <color theme="1"/>
      </rPr>
      <t xml:space="preserve">¿La iconografía es clara y ayuda a llamar a la acción de manera más rápida? 
Por ejemplo: el icono de "flecha a la derecha" significa "siguiente" o "continuar".
</t>
    </r>
    <r>
      <rPr>
        <rFont val="Arial"/>
        <i/>
        <color theme="1"/>
      </rPr>
      <t>La opción "No aplica" corresponde solo cuando no iconografía.</t>
    </r>
  </si>
  <si>
    <r>
      <rPr>
        <rFont val="Arial"/>
        <color theme="1"/>
      </rPr>
      <t xml:space="preserve">¿Los multicanales digitales para realizar consultas generales o solicitar información personalizada estuvieron disponibles durante la evaluación? 
Por ejemplo: asistentes virtuales o chats.
</t>
    </r>
    <r>
      <rPr>
        <rFont val="Arial"/>
        <i/>
        <color theme="1"/>
      </rPr>
      <t xml:space="preserve">La opción "No aplica" es solo para el caso en que no existan multicanales digitales para realizar consultas o solicitar información.
</t>
    </r>
  </si>
  <si>
    <r>
      <rPr/>
      <t xml:space="preserve">¿Todos los enlaces del sitio web funcionan correctamente? 
Por ejemplo: al utilizar la herramienta de revisión de la W3C </t>
    </r>
    <r>
      <rPr>
        <color rgb="FF1155CC"/>
        <u/>
      </rPr>
      <t>Check Link Validator</t>
    </r>
    <r>
      <rPr/>
      <t xml:space="preserve"> sobre todo el sitio, en la tabla de resultados no aparece ningún resultado con código de error 404 .
</t>
    </r>
  </si>
  <si>
    <r>
      <rPr>
        <rFont val="Arial"/>
        <color theme="1"/>
      </rPr>
      <t xml:space="preserve">Si se trata un sitio web del gobierno central, ¿utiliza el dominio .gob.cl? 
</t>
    </r>
    <r>
      <rPr>
        <rFont val="Arial"/>
        <i/>
        <color theme="1"/>
      </rPr>
      <t xml:space="preserve">La opción "No aplica" es solo para el caso en que el sitio web examinado no pertenezca al gobierno central.
</t>
    </r>
  </si>
  <si>
    <r>
      <rPr>
        <rFont val="Arial"/>
        <color theme="1"/>
      </rPr>
      <t xml:space="preserve">Si existen otros dominios desde los que se pueda acceder al servicio, ¿estos redirigen al sitio web que utiliza el dominio .gob.cl?
</t>
    </r>
    <r>
      <rPr>
        <rFont val="Arial"/>
        <i/>
        <color theme="1"/>
      </rPr>
      <t xml:space="preserve">La opción "No aplica" es solo para el caso en que no exista o no se tenga conocimiento de otras urls alternativas a la oficial .gob.cl.
</t>
    </r>
  </si>
  <si>
    <r>
      <rPr/>
      <t xml:space="preserve">¿El código HTML del sitio web no presenta errores al comprobarlo en el </t>
    </r>
    <r>
      <rPr>
        <color rgb="FF1155CC"/>
        <u/>
      </rPr>
      <t>validador de la W3C</t>
    </r>
    <r>
      <rPr/>
      <t xml:space="preserve">?
</t>
    </r>
    <r>
      <rPr>
        <i/>
      </rPr>
      <t xml:space="preserve">La opción "No aplica" es solo para el caso en que no sea posible utilizar la herramienta externa.
</t>
    </r>
  </si>
  <si>
    <r>
      <rPr/>
      <t xml:space="preserve">¿El código CSS del sitio web no presenta errores al comprobarlo en el </t>
    </r>
    <r>
      <rPr>
        <color rgb="FF1155CC"/>
        <u/>
      </rPr>
      <t>validador de la W3C</t>
    </r>
    <r>
      <rPr/>
      <t xml:space="preserve">?
</t>
    </r>
    <r>
      <rPr>
        <i/>
      </rPr>
      <t xml:space="preserve">La opción "No aplica" es solo para el caso en que no sea posible utilizar la herramienta externa.
</t>
    </r>
  </si>
  <si>
    <r>
      <rPr/>
      <t xml:space="preserve">¿La portada del sitio cumple con un resultado sobre 60 en el parámetro rendimiento de Google PageSpeed Insights para la opción escritorio (ordenador)? 
Para verificar se debe entrar en el sitio web </t>
    </r>
    <r>
      <rPr>
        <color rgb="FF1155CC"/>
        <u/>
      </rPr>
      <t>PageSpeed Insights</t>
    </r>
    <r>
      <rPr/>
      <t xml:space="preserve">, ingresar la URL de la portada del sitio y accionar el botón "Analizar". Luego del análisis se podrá ver el valor que otorga para el indicador "Rendimiento", bajo el subtítulo "Diagnostica problemas de rendimiento".
</t>
    </r>
  </si>
  <si>
    <r>
      <rPr/>
      <t xml:space="preserve">¿La portada del sitio cumple con un resultado sobre 60 en el parámetro rendimiento de Google PageSpeed Insights para la opción celulares (móvil)? 
Para verificar se debe entrar en el sitio web </t>
    </r>
    <r>
      <rPr>
        <color rgb="FF1155CC"/>
        <u/>
      </rPr>
      <t>PageSpeed Insights</t>
    </r>
    <r>
      <rPr/>
      <t xml:space="preserve">, ingresar la URL de la portada del sitio y accionar el botón "Analizar". Luego del análisis se podrá ver el valor que otorga para el indicador "Rendimiento", bajo el subtítulo "Diagnostica problemas de rendimiento".
</t>
    </r>
  </si>
  <si>
    <r>
      <rPr>
        <rFont val="Arial"/>
        <color theme="1"/>
      </rPr>
      <t xml:space="preserve">¿Los certificados o documentos descargables están optimizados para imprimirse sin dificultades o alteraciones significativas de su apariencia?
</t>
    </r>
    <r>
      <rPr>
        <rFont val="Arial"/>
        <i/>
        <color theme="1"/>
      </rPr>
      <t xml:space="preserve">La opción "No aplica" es solo para el caso en que no se encuentren documentos.
</t>
    </r>
  </si>
  <si>
    <r>
      <rPr>
        <rFont val="Arial"/>
        <color theme="1"/>
      </rPr>
      <t xml:space="preserve">¿El código JavaScript está libre de errores en la consola del navegador? 
Por ejemplo: no figuran errores en la consola del navegador. 
Para la verificación se ingresa en la pestaña "Consola" (en inglés "Console") del inspector de código de Google Chrome (opción "Inspeccionar" en el botón secundario o derecho del </t>
    </r>
    <r>
      <rPr>
        <rFont val="Arial"/>
        <i/>
        <color theme="1"/>
      </rPr>
      <t>mouse</t>
    </r>
    <r>
      <rPr>
        <rFont val="Arial"/>
        <color theme="1"/>
      </rPr>
      <t xml:space="preserve">). En la consola pueden aparecer filas horizontales que muestren advertencias y errores, en el caso de aparecer filas resaltadas con un fondo de color rojo pálido significa que existen errores.
</t>
    </r>
  </si>
  <si>
    <r>
      <rPr>
        <rFont val="Arial"/>
        <color theme="1"/>
      </rPr>
      <t>¿Se informa adecuadamente a las personas usuarias de la efectividad de sus interacciones? 
Por ejemplo: en un formulario, al seleccionar una opción de una lista, esta queda marcada de manera visible; al escoger una fecha para una cita en un calendario, esta queda registrada de manera visible en la pantalla; al pulsar "Reproducir" (</t>
    </r>
    <r>
      <rPr>
        <rFont val="Arial"/>
        <i/>
        <color theme="1"/>
      </rPr>
      <t>Play</t>
    </r>
    <r>
      <rPr>
        <rFont val="Arial"/>
        <color theme="1"/>
      </rPr>
      <t xml:space="preserve">) en un reproductor de video, la imagen muestra el icono de un triángulo por algunos milisegundos sobre la imagen. 
</t>
    </r>
  </si>
  <si>
    <r>
      <rPr>
        <rFont val="Arial"/>
        <color theme="1"/>
      </rPr>
      <t>¿Se informa a la persona usuaria claramente el área o página que está visitando? 
Por ejemplo: se marca el elemento del menú que se está visitando o existe un menú de miga de pan (</t>
    </r>
    <r>
      <rPr>
        <rFont val="Arial"/>
        <i/>
        <color theme="1"/>
      </rPr>
      <t>breadcrumb</t>
    </r>
    <r>
      <rPr>
        <rFont val="Arial"/>
        <color theme="1"/>
      </rPr>
      <t xml:space="preserve">).
</t>
    </r>
  </si>
  <si>
    <r>
      <rPr>
        <rFont val="Arial"/>
        <color theme="1"/>
      </rPr>
      <t xml:space="preserve">¿Existen señales claras para indicar en qué etapa de un proceso se encuentra la persona usuaria?
Por ejemplo: las barras de carga o progreso, o el número del paso en un trámite.
</t>
    </r>
    <r>
      <rPr>
        <rFont val="Arial"/>
        <i/>
        <color theme="1"/>
      </rPr>
      <t xml:space="preserve">La opción "No aplica" es solo cuando el proceso no implique múltiples etapas.
</t>
    </r>
  </si>
  <si>
    <r>
      <rPr>
        <rFont val="Arial"/>
        <color theme="1"/>
      </rPr>
      <t xml:space="preserve">¿El sitio informa claramente a las personas usuarias que serán redirigidos a una pasarela de pago y que esta puede ser un servicio externo?
</t>
    </r>
    <r>
      <rPr>
        <rFont val="Arial"/>
        <i/>
        <color theme="1"/>
      </rPr>
      <t xml:space="preserve">La opción "No aplica" es solo para el caso en que no existan pasarelas de pago en el sitio web.
</t>
    </r>
  </si>
  <si>
    <r>
      <rPr>
        <rFont val="Arial"/>
        <color theme="1"/>
      </rPr>
      <t xml:space="preserve">¿Se informa expresamente que las condiciones de pago dependen del banco en que la persona tenga su cuenta? 
Por ejemplo: pago en cuotas a precio contado es una opción que ofrecen algunas tarjetas bancarias y, por tanto, no aplica para todas las personas usuarias.
</t>
    </r>
    <r>
      <rPr>
        <rFont val="Arial"/>
        <i/>
        <color theme="1"/>
      </rPr>
      <t xml:space="preserve">La opción "No aplica" es solo para el caso en que no existan pasarelas de pago en el sitio web.
</t>
    </r>
  </si>
  <si>
    <r>
      <rPr>
        <rFont val="Arial"/>
        <color theme="1"/>
      </rPr>
      <t xml:space="preserve">¿Se informa claramente el detalle y costo total del pago, evitando cobros inesperados al llegar al último paso del proceso?
Por ejemplo: se explicitan los cobros de comisión de la pasarela utilizada, costos de cancelación o gastos de gestión.
</t>
    </r>
    <r>
      <rPr>
        <rFont val="Arial"/>
        <i/>
        <color theme="1"/>
      </rPr>
      <t xml:space="preserve">La opción "No aplica" es solo para el caso en que no existan pasarelas de pago en el sitio web.
</t>
    </r>
  </si>
  <si>
    <r>
      <rPr>
        <rFont val="Arial"/>
        <color theme="1"/>
      </rPr>
      <t xml:space="preserve">¿El sitio web diferencia entre enlaces visitados y enlaces por visitar? 
Por ejemplo: los enlaces por visitar son de color azul, mientras que los enlaces visitados son de un color morado.
</t>
    </r>
    <r>
      <rPr>
        <rFont val="Arial"/>
        <i/>
        <color theme="1"/>
      </rPr>
      <t xml:space="preserve">La opción "No aplica" se utiliza solo si el sitio web no incluye enlaces.
</t>
    </r>
  </si>
  <si>
    <r>
      <rPr>
        <rFont val="Arial"/>
        <color theme="1"/>
      </rPr>
      <t xml:space="preserve">¿Se pueden descargar los documentos asociados a un trámite, a modo de respaldo y comprobación? 
Por ejemplo: una versión completa de toda la documentación aportada en PDF.
</t>
    </r>
    <r>
      <rPr>
        <rFont val="Arial"/>
        <i/>
        <color theme="1"/>
      </rPr>
      <t xml:space="preserve">La opción "No aplica" se utiliza solo si el trámite no incluye documentos descargables.
</t>
    </r>
  </si>
  <si>
    <r>
      <rPr>
        <rFont val="Arial"/>
        <color theme="1"/>
      </rPr>
      <t xml:space="preserve">Si durante la evaluación del servicio digital se produce una interrupción, ¿el sistema se recupera rápidamente, manteniendo la continuidad del servicio? 
Por ejemplo: menos de 3 minutos.
</t>
    </r>
    <r>
      <rPr>
        <rFont val="Arial"/>
        <i/>
        <color theme="1"/>
      </rPr>
      <t xml:space="preserve">La opción "No aplica" es solo para el caso en que no ocurra ninguna interrupción.
</t>
    </r>
  </si>
  <si>
    <r>
      <rPr>
        <rFont val="Arial"/>
        <color theme="1"/>
      </rPr>
      <t xml:space="preserve">Si durante la evaluación del servicio digital se produce una interrupción, ¿el sistema no vuelve a pedir los datos llenados previamente? 
Por ejemplo: no se pierde toda la información ingresada a un formulario.
</t>
    </r>
    <r>
      <rPr>
        <rFont val="Arial"/>
        <i/>
        <color theme="1"/>
      </rPr>
      <t xml:space="preserve">La opción "No aplica" es solo para el caso en que no ocurra ninguna interrupción.
</t>
    </r>
  </si>
  <si>
    <r>
      <rPr>
        <rFont val="Arial"/>
        <color theme="1"/>
      </rPr>
      <t xml:space="preserve">¿El acceso a este contacto es fácil de encontrar?
</t>
    </r>
    <r>
      <rPr>
        <rFont val="Arial"/>
        <i/>
        <color theme="1"/>
      </rPr>
      <t xml:space="preserve">La opción "No aplica" es solo para el caso en que no exista ninguna forma de comunicación con el responsable del sitio web.
</t>
    </r>
  </si>
  <si>
    <r>
      <rPr>
        <rFont val="Arial"/>
        <color theme="1"/>
      </rPr>
      <t xml:space="preserve">¿Se puede avanzar por cada paso del trámite de manera fluida sin esperas mayores a 3 segundos al cargar las páginas del proceso? 
</t>
    </r>
    <r>
      <rPr>
        <rFont val="Arial"/>
        <i/>
        <color theme="1"/>
      </rPr>
      <t>La opción "No aplica" es solo para el caso en que el trámite se realice en un formulario único sin carga de nuevas páginas.</t>
    </r>
    <r>
      <rPr>
        <rFont val="Arial"/>
        <color theme="1"/>
      </rPr>
      <t xml:space="preserve">
</t>
    </r>
  </si>
  <si>
    <r>
      <rPr/>
      <t xml:space="preserve">¿La portada del sitio web se carga completamente en menos de tres segundos? 
Por ejemplo: al visitar desde un PC o notebook en el navegador Google Chrome la página principal con todo el contenido, incluidas las imágenes, las hojas de estilos y los scripts, estos se cargan en menos de tres segundos. 
Para esto se recomienda realizar una prueba de rendimiento en </t>
    </r>
    <r>
      <rPr>
        <color rgb="FF1155CC"/>
        <u/>
      </rPr>
      <t>WebPageTest</t>
    </r>
    <r>
      <rPr/>
      <t xml:space="preserve">:
1. Pegar la URL de la página a revisar y elegir la opción: "DESKTOP Cable Virginia, US".
2. Luego iniciar el test. 
3. Más abajo aparecerá el resultado en el sector de "Speed Index", se verán los segundos aproximados que deben ser menor o igual a 3.
</t>
    </r>
    <r>
      <rPr>
        <i/>
      </rPr>
      <t xml:space="preserve">La opción "No aplica" es solo para el caso en que no sea posible utilizar la herramienta externa.
</t>
    </r>
  </si>
  <si>
    <r>
      <rPr/>
      <t xml:space="preserve">¿La portada del sitio web está diseñada y desarrollada para cargar rápidamente incluso en conexiones de Internet lentas o con límites de datos? 
Por ejemplo: se recomienda que pese menos de 2 MB, en total, para garantizar que se visualice rápidamente en conexiones 3G. 
Para saber el peso de la página web evaluada, se recomienda hacer un test con la herramienta </t>
    </r>
    <r>
      <rPr>
        <color rgb="FF1155CC"/>
        <u/>
      </rPr>
      <t>Pingdom</t>
    </r>
    <r>
      <rPr/>
      <t xml:space="preserve">: 
1. Pegar la URL de la página a revisar y elegir la opción "South America - Brazil - São Paulo".
2. Luego iniciar el test. 
3. Más abajo aparecerá el resultado en "Page size", este debe ser menor a 2MB en total.
</t>
    </r>
  </si>
  <si>
    <r>
      <rPr>
        <rFont val="Arial"/>
        <color theme="1"/>
      </rPr>
      <t xml:space="preserve">¿El sitio presenta imágenes, videos y archivos de audio propios? 
Por ejemplo: una manera de comprobar autoría es buscando una imagen del sitio en el buscador de imágenes de Google.
</t>
    </r>
    <r>
      <rPr>
        <rFont val="Arial"/>
        <i/>
        <color theme="1"/>
      </rPr>
      <t xml:space="preserve">La opción "No aplica" es solo para el caso en que no existan imágenes, videos o audios en el sitio web.
</t>
    </r>
  </si>
  <si>
    <r>
      <rPr>
        <rFont val="Arial"/>
        <color theme="1"/>
      </rPr>
      <t xml:space="preserve">Si se utiliza contenido ajeno, ¿se declara la fuente o autoría y se menciona el respectivo permiso de uso del autor o propietario? 
Por ejemplo: "Foto: Juan Pérez, licenciada bajo CC BY 4.0 Internacional", "Video cortesía de Memoria Chilena".
</t>
    </r>
    <r>
      <rPr>
        <rFont val="Arial"/>
        <i/>
        <color theme="1"/>
      </rPr>
      <t xml:space="preserve">La opción "No aplica" es solo para el caso en que no exista contenido ajeno.
</t>
    </r>
  </si>
  <si>
    <r>
      <rPr>
        <rFont val="Arial"/>
        <color theme="1"/>
      </rPr>
      <t xml:space="preserve">¿Las imágenes, videos y audios publicados en el sitio web complementan (representan elementos de apoyo) los contenidos publicados? 
Por ejemplo: en un contenido referente a cómo obtener la Clave Única, además del texto explicando secuencialmente los pasos que se deben seguir, se puede agregar un video mostrando el paso a paso en la pantalla de un computador, </t>
    </r>
    <r>
      <rPr>
        <rFont val="Arial"/>
        <i/>
        <color theme="1"/>
      </rPr>
      <t xml:space="preserve">tablet </t>
    </r>
    <r>
      <rPr>
        <rFont val="Arial"/>
        <color theme="1"/>
      </rPr>
      <t xml:space="preserve">o celular al realizar el trámite. De este modo, el material audiovisual complementa lo expresado a través de texto.
</t>
    </r>
    <r>
      <rPr>
        <rFont val="Arial"/>
        <i/>
        <color theme="1"/>
      </rPr>
      <t xml:space="preserve">La opción "No aplica" es solo para el caso en que no existan imágenes, videos o audios en el sitio web.
</t>
    </r>
  </si>
  <si>
    <r>
      <rPr/>
      <t xml:space="preserve">¿Predomina el uso de imágenes en formato de nueva generación como WebP que proporciona una mejor compresión que JPG, PNG o GIF?
En el punto V de la </t>
    </r>
    <r>
      <rPr>
        <color rgb="FF1155CC"/>
        <u/>
      </rPr>
      <t>guía</t>
    </r>
    <r>
      <rPr/>
      <t xml:space="preserve">, puede consultar cómo verificar el formato de las imágenes.
</t>
    </r>
    <r>
      <rPr>
        <i/>
      </rPr>
      <t xml:space="preserve">La opción "No aplica" es solo para el caso en que no existan imágenes en el sitio web.
</t>
    </r>
  </si>
  <si>
    <r>
      <rPr/>
      <t xml:space="preserve">¿Las imágenes pesan menos de 600 KB para no ralentizar la carga de la página?
En el punto V de la </t>
    </r>
    <r>
      <rPr>
        <color rgb="FF1155CC"/>
        <u/>
      </rPr>
      <t>guía</t>
    </r>
    <r>
      <rPr/>
      <t xml:space="preserve">, puede consultar cómo verificar el peso de las imágenes.
</t>
    </r>
    <r>
      <rPr>
        <i/>
      </rPr>
      <t xml:space="preserve">La opción "No aplica" es solo para el caso en que no existan imágenes en el sitio web.
</t>
    </r>
  </si>
  <si>
    <r>
      <rPr>
        <rFont val="Arial"/>
        <color theme="1"/>
      </rPr>
      <t xml:space="preserve">¿Los videos tienen la calidad adecuada para su correcta visualización? 
Por ejemplo: el video no demora en cargar y la imagen se ve nítida.
</t>
    </r>
    <r>
      <rPr>
        <rFont val="Arial"/>
        <i/>
        <color theme="1"/>
      </rPr>
      <t xml:space="preserve">La opción "No aplica" es solo para el caso en que no existan videos en el sitio web.
</t>
    </r>
  </si>
  <si>
    <r>
      <rPr>
        <rFont val="Arial"/>
        <color theme="1"/>
      </rPr>
      <t xml:space="preserve">¿Los videos tienen título y descripción?
</t>
    </r>
    <r>
      <rPr>
        <rFont val="Arial"/>
        <i/>
        <color theme="1"/>
      </rPr>
      <t xml:space="preserve">La opción "No aplica" es solo para el caso en que no existan videos en el sitio web.
</t>
    </r>
  </si>
  <si>
    <r>
      <rPr>
        <rFont val="Arial"/>
        <color theme="1"/>
      </rPr>
      <t xml:space="preserve">¿Se usa </t>
    </r>
    <r>
      <rPr>
        <rFont val="Arial"/>
        <i/>
        <color theme="1"/>
      </rPr>
      <t>streaming</t>
    </r>
    <r>
      <rPr>
        <rFont val="Arial"/>
        <color theme="1"/>
      </rPr>
      <t xml:space="preserve"> adaptable para adecuar la calidad del video según el dispositivo y velocidad de conexión? 
Por ejemplo: el video demora menos de 2 segundos en comenzar a reproducirlo.
</t>
    </r>
    <r>
      <rPr>
        <rFont val="Arial"/>
        <i/>
        <color theme="1"/>
      </rPr>
      <t xml:space="preserve">La opción "No aplica" es solo para el caso en que no existan videos en el sitio web.
</t>
    </r>
  </si>
  <si>
    <r>
      <rPr>
        <rFont val="Arial"/>
        <color theme="1"/>
      </rPr>
      <t xml:space="preserve">¿Las imágenes del sitio están libres de sexismo y estereotipos de género?
Por ejemplo: no se identifican profesiones ni actividades exclusivamente como femeninas o masculinas (como representar la ingeniería con fotos sólo masculinas o en el caso de la educación parvularia, con fotos solo femeninas); se evita asociar a través de las imágenes las tareas domésticas y de cuidado solo a mujeres.
</t>
    </r>
    <r>
      <rPr>
        <rFont val="Arial"/>
        <i/>
        <color theme="1"/>
      </rPr>
      <t xml:space="preserve">La opción "No aplica" es solo para el caso en que no existan imágenes en el sitio web.
</t>
    </r>
  </si>
  <si>
    <r>
      <rPr>
        <rFont val="Arial"/>
        <color theme="1"/>
      </rPr>
      <t xml:space="preserve">Cuando se utiliza musicalización en videos o archivos de audios, ¿las letras de canciones utilizadas están libres de sexismo y de palabras o términos discriminatorios?
</t>
    </r>
    <r>
      <rPr>
        <rFont val="Arial"/>
        <i/>
        <color theme="1"/>
      </rPr>
      <t xml:space="preserve">La opción "No aplica" es solo para el caso en que no existan videos o audio en el sitio web.
</t>
    </r>
  </si>
  <si>
    <r>
      <rPr>
        <rFont val="Arial"/>
        <color theme="1"/>
      </rPr>
      <t xml:space="preserve">¿Es proporcional por género la representatividad en contenidos, imágenes, vídeos y audios publicados?
</t>
    </r>
    <r>
      <rPr>
        <rFont val="Arial"/>
        <i/>
        <color theme="1"/>
      </rPr>
      <t xml:space="preserve">La opción "No aplica" es solo para el caso en que no existan contenidos, imágenes, videos o audios en el sitio web.
</t>
    </r>
  </si>
  <si>
    <r>
      <rPr>
        <rFont val="Arial"/>
        <color theme="1"/>
      </rPr>
      <t xml:space="preserve">En los formularios cuando se pregunta el género de quien responde, ¿además de "Femenino" y "Masculino", se incluye también a lo menos el campo "Otro"?
</t>
    </r>
    <r>
      <rPr>
        <rFont val="Arial"/>
        <i/>
        <color theme="1"/>
      </rPr>
      <t xml:space="preserve">La opción "No aplica" se debe utilizar únicamente cuando no exista un formulario o el campo de género no esté presente.
</t>
    </r>
  </si>
  <si>
    <r>
      <rPr/>
      <t xml:space="preserve">¿El servicio digital cuenta con un mecanismo oficial de autenticación que permita autenticar personas sin RUT?
Los mecanismos se pueden revisar en la </t>
    </r>
    <r>
      <rPr>
        <color rgb="FF1155CC"/>
        <u/>
      </rPr>
      <t>Norma Técnica de Autenticación</t>
    </r>
  </si>
  <si>
    <r>
      <rPr>
        <rFont val="Arial"/>
        <color theme="1"/>
      </rPr>
      <t xml:space="preserve">¿En los campos de los formularios se considera una amplia diversidad de personas usuarias?
Por ejemplo: evitar que personas queden fuera de los rangos etarios del selector de un formulario; cautelar que aparezcan todas las comunas, pueblos originarios o credos religiosos.
</t>
    </r>
    <r>
      <rPr>
        <rFont val="Arial"/>
        <i/>
        <color theme="1"/>
      </rPr>
      <t xml:space="preserve">La opción "No aplica" es solo para el caso en que no existan formularios en el sitio web y/o sean personas jurídicas
</t>
    </r>
  </si>
  <si>
    <r>
      <rPr>
        <rFont val="Arial"/>
        <color theme="1"/>
      </rPr>
      <t xml:space="preserve">¿Los servicios y formularios están confeccionados considerando igualdad de oportunidades de acceso para personas usuarias de todas las regiones? 
Por ejemplo: que la persona usuaria pueda finalizar el trámite en línea sin necesidad de acudir a una oficina en la Región Metropolitana. O bien, evitar que los selectores de región de los formularios comiencen con la Región Metropolitana.
</t>
    </r>
    <r>
      <rPr>
        <rFont val="Arial"/>
        <i/>
        <color theme="1"/>
      </rPr>
      <t xml:space="preserve">La opción "No aplica" debe seleccionarse solo en caso de que el formulario o servicio no contemple preguntas relacionadas con la región de la persona usuaria.
</t>
    </r>
  </si>
  <si>
    <r>
      <rPr>
        <rFont val="Arial"/>
        <color theme="1"/>
      </rPr>
      <t xml:space="preserve">En el caso de existir menús desplegables en el sitio web, ¿se pueden utilizar sin problemas? 
Por ejemplo: se puede navegar fácilmente por el menú desplegable sin que se cierre inesperadamente, no flotan sobre otros menús o imágenes en movimiento.
</t>
    </r>
    <r>
      <rPr>
        <rFont val="Arial"/>
        <i/>
        <color theme="1"/>
      </rPr>
      <t xml:space="preserve">La opción "No aplica" es solo para el caso en que no existan menús desplegables en el sitio web.
</t>
    </r>
  </si>
  <si>
    <r>
      <rPr>
        <rFont val="Arial"/>
        <color theme="1"/>
      </rPr>
      <t xml:space="preserve">¿Los videos cuentan con interpretación en lengua de señas chilena en un tamaño y formato entendible?
Por ejemplo: el video cuenta con un recuadro ubicado en el costado inferior derecho de la pantalla en el que el intérprete se ve claramente, diferenciándose del fondo y las señas se pueden distinguir y reconocer.
</t>
    </r>
    <r>
      <rPr>
        <rFont val="Arial"/>
        <i/>
        <color theme="1"/>
      </rPr>
      <t xml:space="preserve">La opción "No aplica" es solo para el caso en que no existan videos en el sitio web.
</t>
    </r>
  </si>
  <si>
    <r>
      <rPr/>
      <t xml:space="preserve">¿El diseño considera contrastes y combinaciones de color aptos para el daltonismo? 
Por ejemplo: esto se puede evaluar sacando una captura de pantalla del sitio web y revisando en el simulador de daltonismo del sitio web de </t>
    </r>
    <r>
      <rPr>
        <color rgb="FF1155CC"/>
        <u/>
      </rPr>
      <t>Color Lite Lens</t>
    </r>
    <r>
      <rPr/>
      <t xml:space="preserve">: luego de subir la imagen, seleccionar los distintos tipos de daltonismo y revisar uno a uno si con los cambios de color se pueden identificar correctamente los elementos y no se pierde información importante.
</t>
    </r>
  </si>
  <si>
    <r>
      <rPr/>
      <t xml:space="preserve">¿Se presenta al menos un texto redactado con la técnica de Lectura Fácil? 
Por ejemplo: es posible observar texto organizado con frases sencillas y cortas, en caso de existir palabras poco comunes, estas cuentan con un cuadro con la definición al costado derecho. Los contenidos deben verse como los del sitio </t>
    </r>
    <r>
      <rPr>
        <color rgb="FF1155CC"/>
        <u/>
      </rPr>
      <t>Planeta Inclusión</t>
    </r>
    <r>
      <rPr/>
      <t xml:space="preserve">.
</t>
    </r>
    <r>
      <rPr>
        <i/>
      </rPr>
      <t xml:space="preserve">La opción "No aplica" es solo para el caso en que el sitio web no tenga contenidos.
</t>
    </r>
  </si>
  <si>
    <r>
      <rPr>
        <rFont val="Arial"/>
        <color theme="1"/>
      </rPr>
      <t xml:space="preserve">¿Está presente la meta etiqueta "robots" sin los parámetros "noindex", "nofollow" o "none"? 
Por ejemplo: al buscar la palabra "robots" con CTRL+F en el código fuente de la página, la referencia "&lt;meta name='robots' content='noindex'&gt;" no está presente. Tampoco cuando está con más de un valor: "&lt;meta name='robots' content='noindex,nofollow'/&gt;"
Si la meta etiqueta </t>
    </r>
    <r>
      <rPr>
        <rFont val="Arial"/>
        <i/>
        <color theme="1"/>
      </rPr>
      <t>robots</t>
    </r>
    <r>
      <rPr>
        <rFont val="Arial"/>
        <color theme="1"/>
      </rPr>
      <t xml:space="preserve"> no está presente se debe responder afirmativamente a la pregunta.
</t>
    </r>
  </si>
  <si>
    <r>
      <rPr>
        <rFont val="Arial"/>
        <color theme="1"/>
      </rPr>
      <t xml:space="preserve">Si existe un archivo denominado "robots.txt" en la raíz del sitio web, ¿este permite la indexación? 
Por ejemplo: si está presente el archivo "robots.txt" en la raíz del sitio web –es decir en la URL: "https://sitioejemplo.gob.cl/robots.txt"–, este no deniega el acceso. 
La denegación de acceso se podría ver de esta manera: 
User-agent: * 
Disallow: /
Si al ingresar a la URL https://sitioejemplo.gob.cl/robots.txt el navegador arroja un error, esto significa que el archivo no existe y se debe marcar que esta pregunta no aplica.
</t>
    </r>
    <r>
      <rPr>
        <rFont val="Arial"/>
        <i/>
        <color theme="1"/>
      </rPr>
      <t xml:space="preserve">La opción "No aplica" es solo para el caso en que no exista el archivo "robots.txt" en el sitio web.
</t>
    </r>
  </si>
  <si>
    <r>
      <rPr>
        <rFont val="Arial"/>
        <color theme="1"/>
      </rPr>
      <t xml:space="preserve">En caso de haber algún video en el sitio web, no se observa publicidad externa a la organización.
</t>
    </r>
    <r>
      <rPr>
        <rFont val="Arial"/>
        <i/>
        <color theme="1"/>
      </rPr>
      <t xml:space="preserve">La opción "No aplica" es solo para el caso en que no existan videos en el sitio web.
</t>
    </r>
  </si>
  <si>
    <r>
      <rPr/>
      <t xml:space="preserve">¿La metaetiqueta "description" de la página de inicio del trámite utiliza las palabras claves para identificar el contenido que esta contiene y lo hace en menos de 160 caracteres? 
Por ejemplo: al revisar el código fuente del sitio del Ministerio de Salud, se podría leer una línea del tipo "&lt;meta name="description" content="El Minsal fija políticas de salud pública y prevención de enfermedades y coordina las redes asistenciales de Chile"&gt;". Para medir la extensión de caracteres con espacio, puede usar la opción "Contar palabras" de Microsoft Word o la herramienta en línea </t>
    </r>
    <r>
      <rPr>
        <color rgb="FF1155CC"/>
        <u/>
      </rPr>
      <t>Word Counter</t>
    </r>
    <r>
      <rPr/>
      <t xml:space="preserve">. 
</t>
    </r>
  </si>
  <si>
    <t>COUNTA de Preguntas de chequeo</t>
  </si>
  <si>
    <t>Suma total</t>
  </si>
  <si>
    <t>Total   Instrumento de evaluación de calidad para servicios digitales transaccionales</t>
  </si>
  <si>
    <t>Total   Instrumento de evaluación de calidad para sitios web</t>
  </si>
  <si>
    <t>Ejemplos de iniciativas por pregunta.</t>
  </si>
  <si>
    <t>Iniciativas para la Digitalización de Procedimientos Administrativos</t>
  </si>
  <si>
    <t>1. Requisito: Utilizar autenticación digital mediante mecanismos oficiales</t>
  </si>
  <si>
    <t>Iniciativa: "Integración de ClaveÚnica para la Autenticación Segura en Trámites Digitales".</t>
  </si>
  <si>
    <t>Brecha que aborda: Los trámites en línea de la institución utilizan mecanismos de autenticación débiles (ej. usuario/contraseña internos), incumpliendo la normativa y generando riesgos de seguridad.</t>
  </si>
  <si>
    <t>Indicador Sugerido (Impacto): Porcentaje de trámites en línea que requieren autenticación y utilizan ClaveÚnica como único mecanismo (Meta = 100%).</t>
  </si>
  <si>
    <t>Plantilla de Actividades e Hitos:</t>
  </si>
  <si>
    <t>Tipo</t>
  </si>
  <si>
    <t>Nombre de la Actividad / Hito</t>
  </si>
  <si>
    <t>Campo de Observaciones para la Institución</t>
  </si>
  <si>
    <t>Fecha de inicio</t>
  </si>
  <si>
    <t>Fecha de término</t>
  </si>
  <si>
    <t>Costo estimado</t>
  </si>
  <si>
    <t>Actividad</t>
  </si>
  <si>
    <t>Realizar un catastro de todos los trámites y plataformas institucionales que actualmente requieren un inicio de sesión de usuario.</t>
  </si>
  <si>
    <t>(Especificar las plataformas, por ejemplo: portal de postulación a subsidios, sistema de consulta de expedientes, etc.).</t>
  </si>
  <si>
    <t>Gestionar la integración técnica con la plataforma de ClaveÚnica, siguiendo las guías provistas por la División de Gobierno Digital.</t>
  </si>
  <si>
    <t>(Se debe designar a un responsable técnico para que lidere el proceso de integración).</t>
  </si>
  <si>
    <t>Hito</t>
  </si>
  <si>
    <t>Convenio de Integración con ClaveÚnica Firmado y Aprobado.</t>
  </si>
  <si>
    <t>(Hito administrativo que habilita el inicio de los desarrollos técnicos).</t>
  </si>
  <si>
    <t>Desarrollar y probar el módulo de autenticación con ClaveÚnica en un ambiente de pre-producción para los sistemas priorizados.</t>
  </si>
  <si>
    <t>(Es crucial probar los flujos de inicio de sesión, recuperación de sesión y cierre de sesión).</t>
  </si>
  <si>
    <t>Implementar el nuevo módulo en producción, comunicando a los usuarios sobre el cambio y dando de baja los mecanismos de autenticación anteriores.</t>
  </si>
  <si>
    <t>(La comunicación debe ser clara, explicando los beneficios de seguridad para el usuario).</t>
  </si>
  <si>
    <t>100% de los accesos a trámites en línea operan con ClaveÚnica.</t>
  </si>
  <si>
    <t>(Hito de cierre que certifica el cumplimiento total del requisito).</t>
  </si>
  <si>
    <t>2. Requisito: Interoperar para obtener y/o entregar datos, documentos y expedientes de otros Órganos de la Administración del Estado</t>
  </si>
  <si>
    <t>Iniciativa: "Implementación de Servicios de Interoperabilidad para la Eliminación de Solicitud de Documentos a Usuarios".</t>
  </si>
  <si>
    <t>Brecha que aborda: La institución solicita a los usuarios certificados o documentos que son emitidos por otros organismos del Estado, contraviniendo el principio de "cero filas" y la Ley N° 21.180.</t>
  </si>
  <si>
    <t>Indicador Sugerido (Impacto): Número de documentos de otros organismos que se han dejado de solicitar a los usuarios gracias a la interoperación.</t>
  </si>
  <si>
    <t>Observaciones</t>
  </si>
  <si>
    <t>Identificar y listar todos los documentos emitidos por otros organismos públicos que actualmente se solicitan en los trámites institucionales.</t>
  </si>
  <si>
    <t>(Ejemplos: certificado de antecedentes, registro social de hogares, certificado de estudios, etc.).</t>
  </si>
  <si>
    <t>Consultar el catálogo de servicios disponibles en la Plataforma de Interoperabilidad del Estado (PISEE) para cada documento identificado.</t>
  </si>
  <si>
    <t>(El equipo técnico debe validar la viabilidad de la conexión y los datos que entrega cada servicio).</t>
  </si>
  <si>
    <t>Plan de Implementación de Servicios de Interoperabilidad Definido.</t>
  </si>
  <si>
    <t>(Este plan debe priorizar los trámites según el volumen de solicitudes y el impacto en el usuario).</t>
  </si>
  <si>
    <t>Desarrollar las integraciones técnicas con los servicios de interoperabilidad priorizados, conforme a la Norma Técnica de Interoperabilidad.</t>
  </si>
  <si>
    <t>(Asegurar que la integración cumple con los estándares de seguridad y trazabilidad definidos).</t>
  </si>
  <si>
    <t>Modificar los formularios y flujos de los trámites para eliminar la solicitud del documento y consumir el dato directamente desde la fuente oficial.</t>
  </si>
  <si>
    <t>(Se debe informar claramente al usuario que "el Estado proveerá este documento internamente").</t>
  </si>
  <si>
    <t>Trámite de mayor demanda ya no solicita certificados al usuario.</t>
  </si>
  <si>
    <t>(Hito clave que demuestra el valor de la interoperabilidad a los usuarios y a la institución).</t>
  </si>
  <si>
    <t>3. Requisito: Enviar notificaciones por medios electrónicos</t>
  </si>
  <si>
    <t>Iniciativa: "Implementación de un Sistema Centralizado de Notificaciones Electrónicas".</t>
  </si>
  <si>
    <t>Brecha que aborda: Las notificaciones sobre el estado de los trámites se realizan por medios no electrónicos o no se realizan, generando incertidumbre y costos.</t>
  </si>
  <si>
    <t>Indicador Sugerido (Impacto): Porcentaje de notificaciones de procedimientos administrativos que se envían por medios electrónicos (Meta = 100%).</t>
  </si>
  <si>
    <t>Definir los hitos clave en el ciclo de vida de cada trámite que deben ser notificados al usuario (ej. recepción, en revisión, resuelto, etc.).</t>
  </si>
  <si>
    <t>(Este levantamiento se debe hacer en conjunto con los dueños de cada proceso).</t>
  </si>
  <si>
    <t>Seleccionar o desarrollar una plataforma para la gestión y envío de notificaciones electrónicas, asegurando el registro y trazabilidad.</t>
  </si>
  <si>
    <t>(La plataforma debe permitir el envío a través de correo electrónico certificado u otro domicilio digital único).</t>
  </si>
  <si>
    <t>Plataforma de Notificaciones Electrónicas Implementada.</t>
  </si>
  <si>
    <t>(Hito técnico que habilita la automatización de las comunicaciones).</t>
  </si>
  <si>
    <t>Integrar los sistemas de tramitación con la plataforma de notificaciones para automatizar los envíos en los hitos definidos.</t>
  </si>
  <si>
    <t>(La integración debe ser robusta para evitar errores en el envío de información sensible).</t>
  </si>
  <si>
    <t>Redactar plantillas de comunicación claras y estandarizadas para cada tipo de notificación, utilizando los principios de lenguaje claro.</t>
  </si>
  <si>
    <t>(Cada plantilla debe ser validada por el área de comunicaciones y el área legal).</t>
  </si>
  <si>
    <t>100% de los trámites iniciados digitalmente emiten notificaciones electrónicas.</t>
  </si>
  <si>
    <t>(Hito de cierre que asegura el cumplimiento del requisito para todos los nuevos procedimientos).</t>
  </si>
  <si>
    <t>4. Requisito: Utilizar una o más plataformas electrónicas (Ingreso de solicitudes)</t>
  </si>
  <si>
    <t>Iniciativa: "Digitalización del Ingreso de Solicitudes para Trámites Prioritarios".</t>
  </si>
  <si>
    <t>Brecha que aborda: Trámites de alta demanda que solo pueden iniciarse de manera presencial, limitando el acceso y contraviniendo los objetivos de la transformación digital.</t>
  </si>
  <si>
    <t>Indicador Sugerido (Impacto): Porcentaje de trámites de la institución que pueden ser iniciados a través de una plataforma electrónica.</t>
  </si>
  <si>
    <t>Realizar un catastro de todos los trámites y su canal de inicio actual (presencial, digital).</t>
  </si>
  <si>
    <t>(El catastro debe incluir el volumen de solicitudes anuales para facilitar la priorización).</t>
  </si>
  <si>
    <t>Priorizar los 5 trámites más frecuentes que actualmente son solo presenciales para su digitalización.</t>
  </si>
  <si>
    <t>(La priorización debe ser validada por la alta dirección de la institución).</t>
  </si>
  <si>
    <t>Hoja de Ruta de Digitalización de Trámites Aprobada.</t>
  </si>
  <si>
    <t>(Documento que formaliza el compromiso, los plazos y los recursos para la iniciativa).</t>
  </si>
  <si>
    <t>Diseñar y desarrollar los formularios de ingreso electrónico para los trámites priorizados, asegurando su usabilidad y accesibilidad.</t>
  </si>
  <si>
    <t>(Se deben realizar pruebas de usabilidad con usuarios reales antes del lanzamiento).</t>
  </si>
  <si>
    <t>Integrar los nuevos formularios digitales con los sistemas de back-office que gestionan la tramitación.</t>
  </si>
  <si>
    <t>(Asegurar que la solicitud digital crea automáticamente un registro en el sistema de gestión interno).</t>
  </si>
  <si>
    <t>Lanzamiento en Producción de la Versión Digital de los 5 Trámites Priorizados.</t>
  </si>
  <si>
    <t>(Hito comunicacional que visibiliza los avances de la transformación digital de la institución).</t>
  </si>
  <si>
    <t>5. Requisito: Contar con expediente electrónico que brinda acceso a los interesados</t>
  </si>
  <si>
    <t>Iniciativa: "Implementación del Expediente Electrónico y Portal de Consulta para Interesados".</t>
  </si>
  <si>
    <t>Brecha que aborda: La tramitación se basa en expedientes físicos o sistemas que no consolidan la información ni permiten el acceso en línea a los interesados.</t>
  </si>
  <si>
    <t>Indicador Sugerido (Impacto): Porcentaje de nuevos procedimientos administrativos que se gestionan sobre una plataforma de expediente electrónico  con acceso a consulta para interesados.</t>
  </si>
  <si>
    <t>Definir el modelo de datos y la estructura del expediente electrónico, conforme a la Norma Técnica de Documentos y Expedientes Electrónicos.</t>
  </si>
  <si>
    <t>(Este trabajo debe ser liderado por el área de gestión documental o archivo, en conjunto con el área de TI).</t>
  </si>
  <si>
    <t>Seleccionar o adaptar una plataforma de gestión documental que soporte la creación y gestión de expedientes electrónicos.</t>
  </si>
  <si>
    <t>(Se debe evaluar si la plataforma actual cumple con los requisitos o si se requiere una nueva).</t>
  </si>
  <si>
    <t>Plataforma de Expediente Electrónico Seleccionada e Implementada.</t>
  </si>
  <si>
    <t>(Hito técnico que provee la infraestructura base para la digitalización de los expedientes).</t>
  </si>
  <si>
    <t>Desarrollar un portal o módulo de "Mis Trámites" donde los interesados, previa autenticación, puedan consultar el estado y documentos de sus expedientes.</t>
  </si>
  <si>
    <t>(La interfaz debe ser simple e intuitiva para el ciudadano).</t>
  </si>
  <si>
    <t>Capacitar a los funcionarios en la correcta gestión del expediente electrónico, asegurando la integridad y completitud de la información.</t>
  </si>
  <si>
    <t>(La capacitación es clave para el éxito del cambio de un proceso basado en papel a uno digital).</t>
  </si>
  <si>
    <t>Lanzamiento del Portal de Consulta de Expedientes para Interesados.</t>
  </si>
  <si>
    <t>(Hito que materializa el principio de transparencia, permitiendo al ciudadano acceder a su información).</t>
  </si>
  <si>
    <t>6. Requisito: Enviar y recepcionar electrónicamente las comunicaciones oficiales entre los Órganos de la Administración del Estado</t>
  </si>
  <si>
    <t>Iniciativa: "Adopción de Plataforma de Gestión Documental para Comunicaciones Oficiales Electrónicas".</t>
  </si>
  <si>
    <t>Brecha que aborda: La institución utiliza medios físicos (papel) para el envío y recepción de comunicaciones oficiales (oficios), generando altos costos, demoras y falta de trazabilidad.</t>
  </si>
  <si>
    <t>Indicador Sugerido (Proceso): Porcentaje de comunicaciones oficiales (oficios emitidos) que se gestionan por vía electrónica (Meta = 100%).</t>
  </si>
  <si>
    <t>Evaluar y seleccionar una plataforma de gestión documental que cumpla con la normativa para el envío y recepción de comunicaciones oficiales.</t>
  </si>
  <si>
    <t>(Muchas plataformas de expediente electrónico ya incluyen esta funcionalidad).</t>
  </si>
  <si>
    <t>Capacitar a todas las unidades de la institución responsables de emitir y gestionar oficios en el uso de la nueva plataforma.</t>
  </si>
  <si>
    <t>(La capacitación debe incluir no solo el uso de la herramienta, sino también el nuevo procedimiento interno).</t>
  </si>
  <si>
    <t>Plataforma de Comunicaciones Oficiales Implementada y Usuarios Capacitados.</t>
  </si>
  <si>
    <t>(Hito que asegura que tanto la tecnología como las personas están listas para el cambio).</t>
  </si>
  <si>
    <t>Definir y oficializar el procedimiento interno para la creación, firma electrónica, despacho y recepción de comunicaciones oficiales electrónicas.</t>
  </si>
  <si>
    <t>(El procedimiento debe ser claro y distribuido a toda la institución).</t>
  </si>
  <si>
    <t>Realizar una marcha blanca de dos semanas para ajustar el procedimiento y resolver dudas de los funcionarios.</t>
  </si>
  <si>
    <t>(Este periodo de prueba controlada es vital para minimizar la resistencia al cambio).</t>
  </si>
  <si>
    <t>Decreto Interno que Establece la Obligatoriedad del Procedimiento Electrónico.</t>
  </si>
  <si>
    <t>(Hito administrativo que prohíbe el uso del papel para comunicaciones oficiales, salvo excepciones fundadas, y consolida el cumplimiento).</t>
  </si>
  <si>
    <t>Iniciativas Detalladas por Pregunta de Diagnóstico Calidad de los Sitios Web</t>
  </si>
  <si>
    <t>Pregunta 1: ¿Los contenidos representan de manera fiel lo enunciado en su título?</t>
  </si>
  <si>
    <t>Iniciativa: "Alineación de Títulos y Contenidos para la Coherencia Informativa".</t>
  </si>
  <si>
    <t>Brecha que aborda: Inconsistencia entre los títulos de las páginas (&lt;title&gt;) y sus encabezados (H1) con el contenido real, generando confusión en los usuarios y afectando la usabilidad.</t>
  </si>
  <si>
    <t>Indicador Sugerido (Proceso): Porcentaje de páginas del sitio web que cumplen con la directriz de coherencia entre título y contenido.</t>
  </si>
  <si>
    <t>Inventariar las URLs del sitio para registrar el título (&lt;title&gt;) y el encabezado principal (H1) de cada una.</t>
  </si>
  <si>
    <t>(La institución puede priorizar la auditoría en las 50 páginas más visitadas durante el último semestre).</t>
  </si>
  <si>
    <t>Auditar la correspondencia entre el título/H1 y el cuerpo del contenido de cada página inventariada.</t>
  </si>
  <si>
    <t>(Se debe registrar cada URL que presente inconsistencias en un documento de seguimiento).</t>
  </si>
  <si>
    <t>Informe de Auditoría de Coherencia Título-Contenido Finalizado.</t>
  </si>
  <si>
    <t>(Este hito formaliza la lista de páginas que requieren una intervención correctiva).</t>
  </si>
  <si>
    <t>Corregir todos los títulos y encabezados identificados como no representativos del contenido.</t>
  </si>
  <si>
    <t>(Se debe asegurar que el nuevo título sea descriptivo y claro para el usuario).</t>
  </si>
  <si>
    <t>Establecer y comunicar una directriz editorial que exija la correspondencia obligatoria entre título y contenido para todas las publicaciones futuras.</t>
  </si>
  <si>
    <t>(Esta directriz debe ser parte del manual de estilo o de contenido de la institución).</t>
  </si>
  <si>
    <t>100% de Páginas Corregidas y Directriz Editorial Publicada.</t>
  </si>
  <si>
    <t>(Hito que cierra la brecha inicial y establece una medida preventiva a futuro).</t>
  </si>
  <si>
    <t>Pregunta 2: ¿Se cumple con la recomendación de no incluir páginas sin contenido, contenido incompleto o "En construcción"?</t>
  </si>
  <si>
    <t>Iniciativa: "Erradicación de Contenido Incompleto y Páginas 'En Construcción'".</t>
  </si>
  <si>
    <t>Brecha que aborda: Existencia de páginas que no entregan valor al usuario (vacías, incompletas, "en construcción"), degradando la experiencia de navegación y la confianza en la institución.</t>
  </si>
  <si>
    <t>Indicador Sugerido (Impacto): Número de páginas "en construcción" o con contenido incompleto detectadas en el sitio web (Meta = 0).</t>
  </si>
  <si>
    <t>Ejecutar un rastreo automatizado del sitio web para detectar páginas con bajo volumen de contenido o con frases clave como "en construcción".</t>
  </si>
  <si>
    <t>(Se pueden usar herramientas de SEO o scripts personalizados para esta tarea).</t>
  </si>
  <si>
    <t>Catastro de Páginas a Intervenir (Completar, Redirigir o Eliminar).</t>
  </si>
  <si>
    <t>(Cada página en el catastro debe tener una acción asignada y un responsable).</t>
  </si>
  <si>
    <t>Desarrollar el contenido faltante para las páginas que se ha decidido mantener.</t>
  </si>
  <si>
    <t>(La institución puede asignar esta tarea a las áreas de negocio correspondientes para asegurar la calidad de la información).</t>
  </si>
  <si>
    <t>Implementar redirecciones permanentes (301) para las páginas que serán eliminadas pero cuyo contenido se consolida en otra URL.</t>
  </si>
  <si>
    <t>(Es crucial para no perder el posicionamiento en buscadores y evitar errores 404).</t>
  </si>
  <si>
    <t>Eliminar definitivamente del servidor las páginas que no aportan valor y no requieren redirección.</t>
  </si>
  <si>
    <t>(Esta acción debe realizarse con precaución, asegurando que no existan enlaces internos apuntando a ellas).</t>
  </si>
  <si>
    <t>Certificado de Cero Páginas 'En Construcción' en el Sitio Web.</t>
  </si>
  <si>
    <t>(Hito de cierre que valida la completa limpieza del sitio de contenido obsoleto o incompleto).</t>
  </si>
  <si>
    <t>Pregunta 3: ¿El texto destaca los datos clave de la información?</t>
  </si>
  <si>
    <t>Iniciativa: "Optimización de Contenidos para la Lectura Rápida y Destacado de Datos Clave".</t>
  </si>
  <si>
    <t>Brecha que aborda: Textos de gran densidad que no utilizan recursos visuales (negritas, listas, recuadros) para destacar información esencial, dificultando la comprensión rápida.</t>
  </si>
  <si>
    <t>Indicador Sugerido (Impacto): Reducción del tiempo promedio en página (medido con analítica web) para las páginas de trámites optimizadas.</t>
  </si>
  <si>
    <t>Definir en la guía de estilo institucional los formatos estándar para destacar datos clave (ej. recuadro de resumen "Lo que necesitas saber").</t>
  </si>
  <si>
    <t>(El recuadro debe responder a las preguntas: qué, cómo, dónde, cuándo y para quién).</t>
  </si>
  <si>
    <t>Publicación de Estándares de Formato para Datos Clave.</t>
  </si>
  <si>
    <t>(Hito que establece la norma de calidad a aplicar en toda la iniciativa).</t>
  </si>
  <si>
    <t>Identificar y priorizar las 20 páginas informativas o de trámites más visitadas del sitio para su reestructuración.</t>
  </si>
  <si>
    <t>(La priorización debe basarse en datos de analítica web del último año).</t>
  </si>
  <si>
    <t>Reescribir y reformatear el contenido de las páginas priorizadas, aplicando los nuevos estándares para destacar la información clave.</t>
  </si>
  <si>
    <t>(Esta tarea debe ser ejecutada por editores de contenido con criterio de lenguaje claro).</t>
  </si>
  <si>
    <t>100% de las Páginas Priorizadas han sido Optimizadas.</t>
  </si>
  <si>
    <t>(Hito que demuestra un avance tangible en la mejora de los contenidos más importantes).</t>
  </si>
  <si>
    <t>Capacitar a todos los editores de contenido de la institución en la aplicación obligatoria de los nuevos estándares de formato.</t>
  </si>
  <si>
    <t>(La capacitación asegura la sostenibilidad de la mejora en el tiempo).</t>
  </si>
  <si>
    <t>Exportar a Hojas de cálculo</t>
  </si>
  <si>
    <t>Pregunta 4: En el caso de textos referidos a trámites, ¿se brinda información suficiente para que las personas usuarias puedan realizarlos autónomamente?</t>
  </si>
  <si>
    <t>Iniciativa: "Enriquecimiento de la Información de Trámites para la Autonomía del Usuario".</t>
  </si>
  <si>
    <t>Brecha que aborda: Las páginas de trámites carecen de información crucial (costos, plazos, documentos), lo que obliga al usuario a contactar a la institución, aumentando la carga de los canales de atención.</t>
  </si>
  <si>
    <t>Indicador Sugerido (Impacto): Reducción en el número de consultas a la oficina de atención sobre información ya disponible en la ficha del trámite.</t>
  </si>
  <si>
    <t>Crear una plantilla de contenido estándar para fichas de trámite, incluyendo campos obligatorios (ej. A quién va dirigido, Documentos, Costo, Plazo, etc.).</t>
  </si>
  <si>
    <t>(La plantilla puede basarse en las mejores prácticas de ChileAtiende u otros portales de trámites del Estado).</t>
  </si>
  <si>
    <t>Plantilla Estándar de Ficha de Trámite Aprobada.</t>
  </si>
  <si>
    <t>(Hito que uniforma la manera en que la institución presentará la información de todos sus trámites).</t>
  </si>
  <si>
    <t>Levantar la información faltante para cada trámite, en coordinación con las unidades de negocio responsables de su ejecución.</t>
  </si>
  <si>
    <t>(Se debe designar un responsable por cada unidad para recopilar y validar la información).</t>
  </si>
  <si>
    <t>100% de la Información de Trámites Recopilada y Validada.</t>
  </si>
  <si>
    <t>(Este hito asegura que se cuenta con toda la materia prima para actualizar el sitio web).</t>
  </si>
  <si>
    <t>Actualizar todas las páginas de trámites del sitio web utilizando la nueva plantilla y completando todos los campos obligatorios.</t>
  </si>
  <si>
    <t>(Esta es la fase de implementación y carga de contenido en el gestor de contenidos (CMS)).</t>
  </si>
  <si>
    <t>Implementar un mecanismo de revisión y actualización periódica (ej. semestral) de la información de todos los trámites.</t>
  </si>
  <si>
    <t>(Se debe formalizar este proceso para evitar que la información quede desactualizada).</t>
  </si>
  <si>
    <t>Iniciativas para la Dimensión "Visión Estratégica" del MGDE</t>
  </si>
  <si>
    <t>1. Pregunta: ¿Existe un compromiso directivo formal y efectivo con la gestión y gobernanza de datos como elementos que aportan valor público?</t>
  </si>
  <si>
    <t>Iniciativa: "Establecimiento del Compromiso Directivo para una Gestión de Datos Orientada al Valor Público".</t>
  </si>
  <si>
    <t>Brecha que aborda: Carencia de un mandato directivo explícito que reconozca los datos como un activo estratégico, dificultando la priorización de iniciativas de gobernanza.</t>
  </si>
  <si>
    <t>Indicador Sugerido (Proceso): Emisión y comunicación de una resolución o acto administrativo formal que establece el compromiso de la alta dirección con la gestión de datos.</t>
  </si>
  <si>
    <t>Realizar talleres de concientización para equipos directivos sobre el valor estratégico de los datos y el MGDE.</t>
  </si>
  <si>
    <t>(La institución puede enfocar los talleres en cómo la gestión de datos impacta directamente sus metas estratégicas).</t>
  </si>
  <si>
    <t>Elaborar una propuesta de declaración de compromiso, incluyendo los principios orientadores de la gestión de datos del MGDE.</t>
  </si>
  <si>
    <t>(La propuesta debe ser breve y contundente, para ser usada en comunicaciones internas y externas).</t>
  </si>
  <si>
    <t>Propuesta de Declaración de Compromiso Validada por el Comité Directivo.</t>
  </si>
  <si>
    <t>(Este hito asegura el alineamiento y respaldo de las jefaturas clave).</t>
  </si>
  <si>
    <t>Redactar y tramitar la resolución o acto administrativo que formaliza el compromiso directivo con la gestión y gobernanza de datos.</t>
  </si>
  <si>
    <t>(El área jurídica debe participar en la redacción para asegurar su validez formal ).</t>
  </si>
  <si>
    <t>Resolución de Compromiso Directivo Emitida y Comunicada a toda la Institución.</t>
  </si>
  <si>
    <t>(Hito de cierre que responde afirmativamente a la pregunta y establece un mandato claro).</t>
  </si>
  <si>
    <t>2. Pregunta: ¿Están incluidos los temas de datos en los objetivos e iniciativas estratégicas de la organización?</t>
  </si>
  <si>
    <t>Iniciativa: "Alineación de la Estrategia de Datos con los Objetivos Estratégicos Institucionales".</t>
  </si>
  <si>
    <t>Brecha que aborda: La planificación estratégica de la institución no incorpora explícitamente objetivos relacionados con la gestión de datos, desalineándolos de las metas institucionales.</t>
  </si>
  <si>
    <t>Indicador Sugerido (Impacto): Número de objetivos del plan estratégico institucional que incluyen explícitamente metas o indicadores basados en datos.</t>
  </si>
  <si>
    <t>Analizar el plan estratégico institucional vigente para identificar oportunidades de vinculación con la gestión de datos.</t>
  </si>
  <si>
    <t>(Se pueden identificar procesos críticos cuyo rendimiento podría mejorar con una mejor gestión de la información).</t>
  </si>
  <si>
    <t>Proponer al comité directivo la inclusión de un nuevo objetivo estratégico o la modificación de uno existente para incorporar la "Gestión de Datos como Activo Estratégico".</t>
  </si>
  <si>
    <t>(La propuesta debe demostrar cómo esta inclusión ayuda a la institución a cumplir su misión).</t>
  </si>
  <si>
    <t>Propuesta de Alineación Estratégica Aprobada por el Comité Directivo.</t>
  </si>
  <si>
    <t>(Hito que valida la importancia de los datos al más alto nivel de planificación).</t>
  </si>
  <si>
    <t>Trabajar con el área de planificación para integrar metas e indicadores de gestión de datos en la planificación operativa anual.</t>
  </si>
  <si>
    <t>(Ejemplo: "Aumentar en un 50% la calidad de los datos del sistema X" como meta operativa).</t>
  </si>
  <si>
    <t>Plan Estratégico Institucional Actualizado que Incluye Objetivos de Datos.</t>
  </si>
  <si>
    <t>(Hito que materializa la integración y asegura que la gestión de datos es parte de la estrategia formal).</t>
  </si>
  <si>
    <t>3. Pregunta: ¿Existe una asignación de presupuestos y recursos para cumplimiento de hoja de ruta o plan de gobernanza? (cuando existe)</t>
  </si>
  <si>
    <t>Iniciativa: "Asignación de Presupuesto para la Ejecución del Plan Inicial de Gobernanza de Datos".</t>
  </si>
  <si>
    <t>Brecha que aborda: Inexistencia de un presupuesto formal asignado, lo que impide la ejecución de la hoja de ruta del MGDE.</t>
  </si>
  <si>
    <t>Indicador Sugerido (Proceso): Porcentaje del presupuesto solicitado para el plan de gobernanza de datos que fue aprobado y asignado en la partida presupuestaria.</t>
  </si>
  <si>
    <t>Elaborar una hoja de ruta de gobernanza de datos para los próximos 24 meses, detallando las actividades y recursos necesarios.</t>
  </si>
  <si>
    <t>(La institución debe utilizar la "Hoja de Ruta" del Anexo 1 del MGDE como base para construir su propio plan).</t>
  </si>
  <si>
    <t>Estimar los costos asociados a la hoja de ruta (recursos humanos, capacitación, herramientas) y crear una propuesta presupuestaria detallada.</t>
  </si>
  <si>
    <t>(Es importante justificar cada ítem del presupuesto en función del valor que aportará a la institución).</t>
  </si>
  <si>
    <t>Propuesta de Hoja de Ruta y Presupuesto Presentada al Comité Directivo.</t>
  </si>
  <si>
    <t>(Hito clave para solicitar formalmente los recursos necesarios).</t>
  </si>
  <si>
    <t>Gestionar con las áreas de presupuesto y planificación la inclusión de la partida de "Gobernanza de Datos" en el ciclo presupuestario.</t>
  </si>
  <si>
    <t>(Se deben iniciar estas gestiones con antelación, según los plazos del ciclo presupuestario del sector público).</t>
  </si>
  <si>
    <t>Presupuesto para el Plan de Gobernanza de Datos Aprobado e Incluido en el Presupuesto Institucional.</t>
  </si>
  <si>
    <t>(Hito de cierre que asegura los recursos financieros para poder ejecutar las demás iniciativas).</t>
  </si>
  <si>
    <t>4. Pregunta: ¿Existen actualmente en la institución capacidades para la gestión de datos?</t>
  </si>
  <si>
    <t>Iniciativa: "Desarrollo de Capacidades Fundacionales para la Gestión de Datos".</t>
  </si>
  <si>
    <t>Brecha que aborda: La institución carece de personal con formación específica en gestión de datos, lo que dificulta la implementación del MGDE.</t>
  </si>
  <si>
    <t>Indicador Sugerido (Proceso): Número de personas capacitadas en los fundamentos del Marco de Referencia de Gestión de Datos del Estado (MGDE).</t>
  </si>
  <si>
    <t>Identificar a los funcionarios clave de áreas de TI, planificación, estudios y unidades de negocio que conformarán el equipo inicial de gobernanza de datos.</t>
  </si>
  <si>
    <t>(Para el nivel básico, se pueden identificar entre 3 y 5 personas clave).</t>
  </si>
  <si>
    <t>Diseñar un plan de capacitación inicial en los fundamentos del MGDE, sus dimensiones y principios orientadores.</t>
  </si>
  <si>
    <t>(La institución puede solicitar apoyo a la Secretaría de Gobierno Digital para acceder a material de capacitación estándar).</t>
  </si>
  <si>
    <t>Plan de Capacitación en Gestión de Datos Aprobado.</t>
  </si>
  <si>
    <t>(Hito que formaliza el compromiso de la institución con la formación de su personal).</t>
  </si>
  <si>
    <t>Ejecutar los talleres y cursos de capacitación para el personal identificado, asegurando la comprensión de los conceptos básicos.</t>
  </si>
  <si>
    <t>(Se recomienda incluir una evaluación final para medir la adquisición de conocimientos).</t>
  </si>
  <si>
    <t>Certificados de Capacitación en Fundamentos del MGDE Emitidos.</t>
  </si>
  <si>
    <t>(Hito que demuestra la existencia de un núcleo de personas con las capacidades básicas para iniciar el proceso).</t>
  </si>
  <si>
    <t>5. Pregunta: ¿Existe un plan de gestión del cambio, ya sea específico en torno a la Ley de Transformación Digital o Institucional que aborde los temas de datos?</t>
  </si>
  <si>
    <t>Iniciativa: "Formulación del Plan de Gestión del Cambio para la Cultura de Datos".</t>
  </si>
  <si>
    <t>Brecha que aborda: Ausencia de una estrategia formal para acompañar la implementación de la gobernanza de datos, lo que aumenta el riesgo de baja adopción y resistencia cultural.</t>
  </si>
  <si>
    <t>Indicador Sugerido (Proceso): Aprobación y publicación del Plan de Gestión del Cambio para la implementación de la gobernanza de datos.</t>
  </si>
  <si>
    <t>Conformar un equipo impulsor de la gestión del cambio, con representantes de diversas áreas y niveles jerárquicos.</t>
  </si>
  <si>
    <t>(Es recomendable incluir líderes formales e informales para aumentar el alcance de las acciones).</t>
  </si>
  <si>
    <t>Realizar un diagnóstico de cultura organizacional para identificar las principales barreras y facilitadores para la adopción de una cultura de datos.</t>
  </si>
  <si>
    <t>(Se pueden usar encuestas, entrevistas o grupos focales para este diagnóstico).</t>
  </si>
  <si>
    <t>Elaborar el Plan de Gestión del Cambio, incluyendo acciones de comunicación, capacitación y participación para dar sentido y propósito a la gobernanza de datos.</t>
  </si>
  <si>
    <t>(La institución puede usar como base la guía de implementación del MGDE para estructurar su plan ).</t>
  </si>
  <si>
    <t>Plan de Gestión del Cambio Presentado y Validado por el Comité Directivo.</t>
  </si>
  <si>
    <t>(Hito que asegura que la estrategia de gestión del cambio cuenta con el respaldo de la alta dirección).</t>
  </si>
  <si>
    <t>Plan de Gestión del Cambio Aprobado y en Ejecución.</t>
  </si>
  <si>
    <t>(Hito que responde afirmativamente a la pregunta y da inicio a las acciones para transformar la cultura organizacional).</t>
  </si>
  <si>
    <t>Plan de Transformación Digital (PTD) - Plantilla Base PMG</t>
  </si>
  <si>
    <t>Dimensión 1: Procedimientos Administrativos y Otras Tramitaciones Electrónicas</t>
  </si>
  <si>
    <t>Esta dimensión se evalúa mediante el cumplimiento de 6 requisitos clave para la digitalización de los trámites del Estado.</t>
  </si>
  <si>
    <t>Iniciativa 1.1: Implementación de Autenticación Digital con Mecanismos Oficiales</t>
  </si>
  <si>
    <t>Subdimensión: Utilizar autenticación digital mediante mecanismos oficiales.</t>
  </si>
  <si>
    <t>Brecha que aborda: Trámites en línea que utilizan mecanismos de autenticación débiles (usuario/contraseña internos) o no oficiales, incumpliendo la normativa y generando riesgos de seguridad.</t>
  </si>
  <si>
    <t>Indicadores Sugeridos:</t>
  </si>
  <si>
    <t>De Proceso: Porcentaje de avance en el plan de integración de ClaveÚnica en las plataformas institucionales.</t>
  </si>
  <si>
    <t>De Impacto: Porcentaje de trámites en línea que utilizan ClaveÚnica como mecanismo de autenticación (Meta: 100%).</t>
  </si>
  <si>
    <t>Plan de Acción:</t>
  </si>
  <si>
    <t>Campo de Observaciones para la Institución (Personalizable)</t>
  </si>
  <si>
    <t>Fecha inicio</t>
  </si>
  <si>
    <t>Fecha fin</t>
  </si>
  <si>
    <t>Realizar un catastro de todos los trámites y sistemas institucionales que actualmente requieren un inicio de sesión de usuario.</t>
  </si>
  <si>
    <t>(Especificar las plataformas, ej: portal de postulación, sistema de consulta de expedientes, etc.).</t>
  </si>
  <si>
    <t>Gestionar la integración técnica con la plataforma de ClaveÚnica, siguiendo las guías de la División de Gobierno Digital.</t>
  </si>
  <si>
    <t>(Designar un responsable técnico para liderar el proceso de integración).</t>
  </si>
  <si>
    <t>Desarrollar y probar el módulo de autenticación con ClaveÚnica en un ambiente de pre-producción.</t>
  </si>
  <si>
    <t>(Probar los flujos de inicio de sesión, recuperación y cierre de sesión).</t>
  </si>
  <si>
    <t>Implementar el nuevo módulo en producción, comunicando a los usuarios sobre el cambio y dando de baja los mecanismos anteriores.</t>
  </si>
  <si>
    <t>(La comunicación debe ser clara, explicando los beneficios de seguridad).</t>
  </si>
  <si>
    <t>Iniciativa 1.2: Adopción de la Interoperabilidad del Estado</t>
  </si>
  <si>
    <t>Subdimensión: Interoperar para obtener y/o entregar datos, documentos y expedientes de otros Órganos de la Administración del Estado.</t>
  </si>
  <si>
    <t>De Proceso: Número de servicios de interoperabilidad de la plataforma PISEE implementados y en producción.</t>
  </si>
  <si>
    <t>De Impacto: Número de documentos de otros organismos que se han dejado de solicitar a los usuarios gracias a la interoperabilidad.</t>
  </si>
  <si>
    <t>(Ejemplos: certificado de antecedentes, registro social de hogares, etc.).</t>
  </si>
  <si>
    <t>(El plan debe priorizar los trámites según el volumen de solicitudes y el impacto en el usuario).</t>
  </si>
  <si>
    <t>Modificar los formularios y flujos de los trámites para eliminar la solicitud del documento y consumir el dato desde la fuente oficial.</t>
  </si>
  <si>
    <t>(Informar claramente al usuario que "el Estado proveerá este documento internamente").</t>
  </si>
  <si>
    <t>(Hito clave que demuestra el valor de la interoperabilidad).</t>
  </si>
  <si>
    <t>Iniciativa 1.3: Implementación de Notificaciones Electrónicas</t>
  </si>
  <si>
    <t>Subdimensión: Enviar notificaciones por medios electrónicos.</t>
  </si>
  <si>
    <t>Brecha que aborda: Las notificaciones sobre el estado de los trámites se realizan por medios no electrónicos (carta certificada) o no se realizan, generando incertidumbre, costos y retrasos.</t>
  </si>
  <si>
    <t>De Proceso: Porcentaje de trámites que han sido integrados al sistema de notificaciones electrónicas.</t>
  </si>
  <si>
    <t>De Impacto: Porcentaje de notificaciones de procedimientos administrativos que se envían por medios electrónicos (Meta: 100%).</t>
  </si>
  <si>
    <t>Definir los hitos clave en el ciclo de vida de cada trámite que deben ser notificados al usuario.</t>
  </si>
  <si>
    <t>(Ej. recepción, en revisión, resuelto, etc.). Este levantamiento se debe hacer con los dueños de cada proceso.</t>
  </si>
  <si>
    <t>Iniciativa 1.4: Digitalización del Ingreso de Trámites</t>
  </si>
  <si>
    <t>Subdimensión: Utilizar una o más plataformas electrónicas (Ingreso de solicitudes).</t>
  </si>
  <si>
    <t>De Proceso: Número de trámites prioritarios que han sido digitalizados para su inicio en línea.</t>
  </si>
  <si>
    <t>De Impacto: Porcentaje de trámites de la institución que pueden ser iniciados a través de una plataforma electrónica.</t>
  </si>
  <si>
    <t>Realizar un catastro de todos los trámites y su canal de inicio actual (presencial, digital), incluyendo su volumen de solicitudes.</t>
  </si>
  <si>
    <t>Priorizar los trámites más frecuentes que actualmente son solo presenciales para su digitalización.</t>
  </si>
  <si>
    <t>Lanzamiento en Producción de la Versión Digital de los Trámites Priorizados.</t>
  </si>
  <si>
    <t>Iniciativa 1.5: Implementación del Expediente Electrónico</t>
  </si>
  <si>
    <t>Subdimensión: Contar con expediente electrónico que brinda acceso a los interesados.</t>
  </si>
  <si>
    <t>Brecha que aborda: La tramitación se basa en expedientes físicos o sistemas que no consolidan la información ni permiten el acceso en línea a los interesados, generando falta de transparencia.</t>
  </si>
  <si>
    <t>De Proceso: Porcentaje de avance en la implementación de la plataforma de expediente electrónico.</t>
  </si>
  <si>
    <t>De Impacto: Porcentaje de nuevos procedimientos administrativos que se gestionan sobre una plataforma de expediente electrónico.</t>
  </si>
  <si>
    <t>(Este trabajo debe ser liderado por el área de gestión documental o archivo, en conjunto con TI).</t>
  </si>
  <si>
    <t>Desarrollar un portal o módulo donde los interesados, previa autenticación, puedan consultar el estado y documentos de sus expedientes.</t>
  </si>
  <si>
    <t>Iniciativa 1.6: Adopción de Comunicaciones Oficiales Electrónicas</t>
  </si>
  <si>
    <t>Subdimensión: Enviar y recepcionar electrónicamente las comunicaciones oficiales entre los Órganos de la Administración del Estado.</t>
  </si>
  <si>
    <t>Brecha que aborda: La institución utiliza medios físicos (papel) para el envío y recepción de oficios, generando altos costos, demoras y falta de trazabilidad.</t>
  </si>
  <si>
    <t>De Proceso: Porcentaje de funcionarios capacitados en la nueva plataforma de comunicaciones oficiales.</t>
  </si>
  <si>
    <t>De Impacto: Porcentaje de comunicaciones oficiales (oficios emitidos) que se gestionan por vía electrónica (Meta: 100%).</t>
  </si>
  <si>
    <t>Capacitar a todas las unidades responsables de emitir y gestionar oficios en el uso de la nueva plataforma.</t>
  </si>
  <si>
    <t>Definir y oficializar el procedimiento interno para la creación, firma electrónica, despacho y recepción de comunicaciones electrónicas.</t>
  </si>
  <si>
    <t>(Hito administrativo que prohíbe el uso del papel para comunicaciones oficiales y consolida el cumplimiento).</t>
  </si>
  <si>
    <t>Dimensión</t>
  </si>
  <si>
    <t>Instrumento</t>
  </si>
  <si>
    <t>ID_Iniciativa</t>
  </si>
  <si>
    <t>Nombre_Iniciativa</t>
  </si>
  <si>
    <t>Subdimension</t>
  </si>
  <si>
    <t>Ponderacion</t>
  </si>
  <si>
    <t>Indicador_Proceso</t>
  </si>
  <si>
    <t>Indicador_Impacto</t>
  </si>
  <si>
    <t>N_Actividad_Hito</t>
  </si>
  <si>
    <t>Nombre_Actividad_Hito</t>
  </si>
  <si>
    <t>Implementación de Autenticación Digital con Mecanismos Oficiales</t>
  </si>
  <si>
    <t>Trámites en línea que utilizan mecanismos de autenticación débiles (usuario/contraseña internos) o no oficiales, incumpliendo la normativa y generando riesgos de seguridad.</t>
  </si>
  <si>
    <t>Porcentaje de avance en el plan de integración de ClaveÚnica en las plataformas institucionales.</t>
  </si>
  <si>
    <t>Porcentaje de trámites en línea que utilizan ClaveÚnica como mecanismo de autenticación (Meta: 100%).</t>
  </si>
  <si>
    <t>dd-mmm-aaaa</t>
  </si>
  <si>
    <t>Adopción de la Interoperabilidad del Estado</t>
  </si>
  <si>
    <t>La institución solicita a los usuarios certificados o documentos que son emitidos por otros organismos del Estado, contraviniendo el principio de 'cero filas' y la Ley N° 21.180.</t>
  </si>
  <si>
    <t>Número de servicios de interoperabilidad de la plataforma PISEE implementados y en producción.</t>
  </si>
  <si>
    <t>Número de documentos de otros organismos que se han dejado de solicitar a los usuarios gracias a la interoperación.</t>
  </si>
  <si>
    <t>Implementación de Notificaciones Electrónicas</t>
  </si>
  <si>
    <t>Las notificaciones sobre el estado de los trámites se realizan por medios no electrónicos (carta certificada) o no se realizan, generando incertidumbre y costos.</t>
  </si>
  <si>
    <t>Porcentaje de trámites que han sido integrados al sistema de notificaciones electrónicas.</t>
  </si>
  <si>
    <t>Porcentaje de notificaciones de procedimientos administrativos que se envían por medios electrónicos (Meta: 100%).</t>
  </si>
  <si>
    <t>Seleccionar o desarrollar una plataforma para la gestión y envío de notificaciones electrónicas.</t>
  </si>
  <si>
    <t>Integrar los sistemas de tramitación con la plataforma de notificaciones para automatizar los envíos.</t>
  </si>
  <si>
    <t>Digitalización del Ingreso de Trámites</t>
  </si>
  <si>
    <t>Utilizar una o más plataformas electrónicas (Ingreso de solicitudes)</t>
  </si>
  <si>
    <t>Trámites de alta demanda que solo pueden iniciarse de manera presencial, limitando el acceso y contraviniendo los objetivos de la transformación digital.</t>
  </si>
  <si>
    <t>Número de trámites prioritarios que han sido digitalizados para su inicio en línea.</t>
  </si>
  <si>
    <t>Porcentaje de trámites de la institución que pueden ser iniciados a través de una plataforma electrónica.</t>
  </si>
  <si>
    <t>Diseñar y desarrollar los formularios de ingreso electrónico para los trámites priorizados.</t>
  </si>
  <si>
    <t>(Asegurar la usabilidad y accesibilidad de los formularios).</t>
  </si>
  <si>
    <t>Implementación del Expediente Electrónico</t>
  </si>
  <si>
    <t>La tramitación se basa en expedientes físicos o sistemas que no consolidan la información ni permiten el acceso en línea a los interesados.</t>
  </si>
  <si>
    <t>Porcentaje de avance en la implementación de la plataforma de expediente electrónico.</t>
  </si>
  <si>
    <t>Porcentaje de nuevos procedimientos administrativos que se gestionan sobre una plataforma de expediente electrónico.</t>
  </si>
  <si>
    <t>Definir el modelo de datos y la estructura del expediente electrónico, conforme a la Norma Técnica.</t>
  </si>
  <si>
    <t>Adopción de Comunicaciones Oficiales Electrónicas</t>
  </si>
  <si>
    <t>La institución utiliza medios físicos (papel) para el envío y recepción de oficios, generando altos costos, demoras y falta de trazabilidad.</t>
  </si>
  <si>
    <t>Porcentaje de funcionarios capacitados en la nueva plataforma de comunicaciones oficiales.</t>
  </si>
  <si>
    <t>Porcentaje de comunicaciones oficiales (oficios emitidos) que se gestionan por vía electrónica (Meta: 100%).</t>
  </si>
  <si>
    <t>Fortalecimiento de Contenido y Lenguaje Claro</t>
  </si>
  <si>
    <t>El contenido del sitio web es ambiguo, incompleto o utiliza jerga técnica, dificultando la comprensión por parte de los usuarios.</t>
  </si>
  <si>
    <t>Porcentaje de páginas del sitio web revisadas y reescritas bajo los principios de lenguaje claro.</t>
  </si>
  <si>
    <t>Aumento en el puntaje ponderado de la subdimensión en la siguiente evaluación.</t>
  </si>
  <si>
    <t>Realizar un diagnóstico de contenido para identificar brechas de nivel Imprescindible, como páginas sin contenido o títulos que no representan fielmente la información.</t>
  </si>
  <si>
    <t>(Priorizar la revisión de las 30 páginas más visitadas del sitio web).</t>
  </si>
  <si>
    <t>Plan de Remediación de Contenido Aprobado.</t>
  </si>
  <si>
    <t>(El plan debe listar todas las URLs a intervenir, priorizando las brechas de nivel imprescindible).</t>
  </si>
  <si>
    <t>Corregir el 100% de las brechas de nivel Imprescindible y avanzar en las de nivel Esperable.</t>
  </si>
  <si>
    <t>(Designar responsables de contenido por cada área de negocio para validar la información).</t>
  </si>
  <si>
    <t>Capacitar a todos los editores de contenido en las guías de lenguaje claro.</t>
  </si>
  <si>
    <t>(La capacitación debe ser obligatoria para todos los funcionarios que publican en el sitio web).</t>
  </si>
  <si>
    <t>100% de Cumplimiento en Criterios Imprescindibles de la Subdimensión.</t>
  </si>
  <si>
    <t>(Hito que valida la corrección de las brechas más críticas).</t>
  </si>
  <si>
    <t>Fortalecimiento de la Usabilidad</t>
  </si>
  <si>
    <t>2. Usabilidad</t>
  </si>
  <si>
    <t>El diseño y la estructura del sitio web son poco intuitivos.</t>
  </si>
  <si>
    <t>Número de pruebas de usabilidad realizadas con usuarios reales.</t>
  </si>
  <si>
    <t>Aumento en la tasa de éxito de tareas clave evaluadas en las pruebas de usabilidad.</t>
  </si>
  <si>
    <t>Realizar una evaluación heurística del sitio web para identificar violaciones a los principios de usabilidad.</t>
  </si>
  <si>
    <t>(La evaluación puede ser realizada por un equipo interno o un experto externo).</t>
  </si>
  <si>
    <t>Informe Heurístico con Brechas de Usabilidad Priorizadas.</t>
  </si>
  <si>
    <t>(El informe debe enfocarse en los problemas que impiden a los usuarios completar tareas).</t>
  </si>
  <si>
    <t>Diseñar y ejecutar pruebas de usabilidad con usuarios reales.</t>
  </si>
  <si>
    <t>(Definir 3 a 5 tareas clave para que los usuarios las realicen).</t>
  </si>
  <si>
    <t>Implementar las mejoras de diseño y estructura para corregir las brechas.</t>
  </si>
  <si>
    <t>(Ej. simplificar el menú de navegación, mejorar la visibilidad de los botones de acción).</t>
  </si>
  <si>
    <t>Rediseño de Componentes Críticos Implementado.</t>
  </si>
  <si>
    <t>(Hito que demuestra la corrección de los principales problemas de usabilidad identificados).</t>
  </si>
  <si>
    <t>Garantía de la Accesibilidad Web</t>
  </si>
  <si>
    <t>3. Accesibilidad web</t>
  </si>
  <si>
    <t>El sitio web presenta barreras que impiden o dificultan el acceso a personas en situación de discapacidad.</t>
  </si>
  <si>
    <t>Porcentaje de avance en la corrección de errores de accesibilidad reportados.</t>
  </si>
  <si>
    <t>Nivel de conformidad alcanzado según las Pautas de Accesibilidad (WCAG).</t>
  </si>
  <si>
    <t>Realizar un diagnóstico completo de accesibilidad para detectar fallos de nivel Imprescindible.</t>
  </si>
  <si>
    <t>(Utilizar las herramientas y guías técnicas recomendadas en la 'Guía para la verificación técnica').</t>
  </si>
  <si>
    <t>Informe de Diagnóstico de Accesibilidad con Brechas Priorizadas.</t>
  </si>
  <si>
    <t>(Clasificar las brechas según su nivel de severidad y el criterio de la Guía de Calidad Web).</t>
  </si>
  <si>
    <t>Capacitar al equipo de desarrollo y de contenidos en las pautas WCAG.</t>
  </si>
  <si>
    <t>(La capacitación es un requisito fundamental para la sostenibilidad).</t>
  </si>
  <si>
    <t>Ejecutar el plan de corrección de brechas, abordando primero los elementos de nivel Imprescindible.</t>
  </si>
  <si>
    <t>(Ej. agregar textos alternativos a las imágenes, asegurar el contraste de color, etc.).</t>
  </si>
  <si>
    <t>Publicación de la Política de Accesibilidad de la Institución.</t>
  </si>
  <si>
    <t>(Documento que formaliza el compromiso de la institución con la inclusión digital).</t>
  </si>
  <si>
    <t>Fortalecimiento de Arquitectura de información</t>
  </si>
  <si>
    <t>4. Arquitectura de información</t>
  </si>
  <si>
    <t>Bajo cumplimiento de los criterios de la subdimensión 'Arquitectura de información', afectando la calidad general del sitio web.</t>
  </si>
  <si>
    <t>Porcentaje de avance en el plan de acción para la subdimensión.</t>
  </si>
  <si>
    <t>Aumento en el puntaje ponderado de la subdimensión 'Arquitectura de información'.</t>
  </si>
  <si>
    <t>Realizar un diagnóstico de la subdimensión para identificar brechas de nivel Imprescindible.</t>
  </si>
  <si>
    <t>(La institución debe detallar el alcance específico de esta acción).</t>
  </si>
  <si>
    <t>Informe de Diagnóstico con Brechas Priorizadas Aprobado.</t>
  </si>
  <si>
    <t>Ejecutar el plan de corrección para el 100% de las brechas de nivel Imprescindible y Esperable.</t>
  </si>
  <si>
    <t>Capacitar a los equipos responsables en las mejores prácticas de la subdimensión.</t>
  </si>
  <si>
    <t>Fortalecimiento de Búsqueda y encontrabilidad</t>
  </si>
  <si>
    <t>5. Búsqueda y encontrabilidad</t>
  </si>
  <si>
    <t>Bajo cumplimiento de los criterios de la subdimensión 'Búsqueda y encontrabilidad', afectando la calidad general del sitio web.</t>
  </si>
  <si>
    <t>Aumento en el puntaje ponderado de la subdimensión 'Búsqueda y encontrabilidad'.</t>
  </si>
  <si>
    <t>Fortalecimiento de Responsividad móvil</t>
  </si>
  <si>
    <t>6. Responsividad móvil</t>
  </si>
  <si>
    <t>Bajo cumplimiento de los criterios de la subdimensión 'Responsividad móvil', afectando la calidad general del sitio web.</t>
  </si>
  <si>
    <t>Aumento en el puntaje ponderado de la subdimensión 'Responsividad móvil'.</t>
  </si>
  <si>
    <t>Fortalecimiento de Diseño e imagen institucional</t>
  </si>
  <si>
    <t>7. Diseño e imagen institucional</t>
  </si>
  <si>
    <t>Bajo cumplimiento de los criterios de la subdimensión 'Diseño e imagen institucional', afectando la calidad general del sitio web.</t>
  </si>
  <si>
    <t>Aumento en el puntaje ponderado de la subdimensión 'Diseño e imagen institucional'.</t>
  </si>
  <si>
    <t>Fortalecimiento de Seguridad</t>
  </si>
  <si>
    <t>8. Seguridad</t>
  </si>
  <si>
    <t>Bajo cumplimiento de los criterios de la subdimensión 'Seguridad', afectando la calidad general del sitio web.</t>
  </si>
  <si>
    <t>Aumento en el puntaje ponderado de la subdimensión 'Seguridad'.</t>
  </si>
  <si>
    <t>Fortalecimiento de Tecnología</t>
  </si>
  <si>
    <t>9. Tecnología</t>
  </si>
  <si>
    <t>Bajo cumplimiento de los criterios de la subdimensión 'Tecnología', afectando la calidad general del sitio web.</t>
  </si>
  <si>
    <t>Aumento en el puntaje ponderado de la subdimensión 'Tecnología'.</t>
  </si>
  <si>
    <t>Fortalecimiento de Atención a la ciudadanía</t>
  </si>
  <si>
    <t>10. Atención a la ciudadanía</t>
  </si>
  <si>
    <t>Bajo cumplimiento de los criterios de la subdimensión 'Atención a la ciudadanía', afectando la calidad general del sitio web.</t>
  </si>
  <si>
    <t>Aumento en el puntaje ponderado de la subdimensión 'Atención a la ciudadanía'.</t>
  </si>
  <si>
    <t>Fortalecimiento de Audiovisualidad</t>
  </si>
  <si>
    <t>11. Audiovisualidad</t>
  </si>
  <si>
    <t>Bajo cumplimiento de los criterios de la subdimensión 'Audiovisualidad', afectando la calidad general del sitio web.</t>
  </si>
  <si>
    <t>Aumento en el puntaje ponderado de la subdimensión 'Audiovisualidad'.</t>
  </si>
  <si>
    <t>Fortalecimiento de Enfoque de género</t>
  </si>
  <si>
    <t>12. Enfoque de género</t>
  </si>
  <si>
    <t>Bajo cumplimiento de los criterios de la subdimensión 'Enfoque de género', afectando la calidad general del sitio web.</t>
  </si>
  <si>
    <t>Aumento en el puntaje ponderado de la subdimensión 'Enfoque de género'.</t>
  </si>
  <si>
    <t>Fortalecimiento de Imparcialidad e igualdad de trato</t>
  </si>
  <si>
    <t>13. Imparcialidad e igualdad de trato</t>
  </si>
  <si>
    <t>Bajo cumplimiento de los criterios de la subdimensión 'Imparcialidad e igualdad de trato', afectando la calidad general del sitio web.</t>
  </si>
  <si>
    <t>Aumento en el puntaje ponderado de la subdimensión 'Imparcialidad e igualdad de trato'.</t>
  </si>
  <si>
    <t>Fortalecimiento de Inclusión</t>
  </si>
  <si>
    <t>14. Inclusión</t>
  </si>
  <si>
    <t>Bajo cumplimiento de los criterios de la subdimensión 'Inclusión', afectando la calidad general del sitio web.</t>
  </si>
  <si>
    <t>Aumento en el puntaje ponderado de la subdimensión 'Inclusión'.</t>
  </si>
  <si>
    <t>Fortalecimiento de Promoción</t>
  </si>
  <si>
    <t>15. Promoción</t>
  </si>
  <si>
    <t>Bajo cumplimiento de los criterios de la subdimensión 'Promoción', afectando la calidad general del sitio web.</t>
  </si>
  <si>
    <t>Aumento en el puntaje ponderado de la subdimensión 'Promoción'.</t>
  </si>
  <si>
    <t>Fortalecimiento de Transparencia y apertura</t>
  </si>
  <si>
    <t>16. Transparencia y apertura</t>
  </si>
  <si>
    <t>Bajo cumplimiento de los criterios de la subdimensión 'Transparencia y apertura', afectando la calidad general del sitio web.</t>
  </si>
  <si>
    <t>Aumento en el puntaje ponderado de la subdimensión 'Transparencia y apertura'.</t>
  </si>
  <si>
    <t>Fortalecimiento de Prevención de errores</t>
  </si>
  <si>
    <t>17. Prevención de errores</t>
  </si>
  <si>
    <t>Bajo cumplimiento de los criterios de la subdimensión 'Prevención de errores', afectando la calidad general del sitio web.</t>
  </si>
  <si>
    <t>Aumento en el puntaje ponderado de la subdimensión 'Prevención de errores'.</t>
  </si>
  <si>
    <t>Fortalecimiento de Facilidad de acceso e independencia tecnológica</t>
  </si>
  <si>
    <t>18. Facilidad de acceso e independencia tecnológica</t>
  </si>
  <si>
    <t>Bajo cumplimiento de los criterios de la subdimensión 'Facilidad de acceso e independencia tecnológica', afectando la calidad general del sitio web.</t>
  </si>
  <si>
    <t>Aumento en el puntaje ponderado de la subdimensión 'Facilidad de acceso e independencia tecnológica'.</t>
  </si>
  <si>
    <t>Fortalecimiento de Interacción y retroalimentación</t>
  </si>
  <si>
    <t>19. Interacción y retroalimentación</t>
  </si>
  <si>
    <t>Bajo cumplimiento de los criterios de la subdimensión 'Interacción y retroalimentación', afectando la calidad general del sitio web.</t>
  </si>
  <si>
    <t>Aumento en el puntaje ponderado de la subdimensión 'Interacción y retroalimentación'.</t>
  </si>
  <si>
    <t>Fortalecimiento de Rapidez de respuesta</t>
  </si>
  <si>
    <t>20. Rapidez de respuesta</t>
  </si>
  <si>
    <t>Bajo cumplimiento de los criterios de la subdimensión 'Rapidez de respuesta', afectando la calidad general del sitio web.</t>
  </si>
  <si>
    <t>Aumento en el puntaje ponderado de la subdimensión 'Rapidez de respuesta'.</t>
  </si>
  <si>
    <t>Fortalecimiento de la Usabilidad en Servicios Digitales</t>
  </si>
  <si>
    <t>1. Usabilidad</t>
  </si>
  <si>
    <t>El flujo del trámite en línea es confuso, con pasos innecesarios que provocan el abandono del usuario antes de completarlo.</t>
  </si>
  <si>
    <t>Número de flujos de trámite rediseñados y probados con usuarios reales.</t>
  </si>
  <si>
    <t>Reducción de la tasa de abandono durante el flujo del trámite en línea.</t>
  </si>
  <si>
    <t>Mapear el flujo de usuario (user journey) de los 3 servicios digitales más críticos.</t>
  </si>
  <si>
    <t>(Identificar todos los pasos, puntos de decisión y posibles puntos de fricción).</t>
  </si>
  <si>
    <t>Informe de Diagnóstico de Usabilidad con Brechas Priorizadas.</t>
  </si>
  <si>
    <t>(Priorizar brechas de nivel Imprescindible, como la falta de indicaciones claras).</t>
  </si>
  <si>
    <t>Rediseñar los flujos de los trámites para simplificarlos, eliminando pasos y campos innecesarios.</t>
  </si>
  <si>
    <t>(Aplicar principios de diseño centrado en el usuario).</t>
  </si>
  <si>
    <t>Realizar pruebas de usabilidad con usuarios reales sobre los nuevos flujos rediseñados.</t>
  </si>
  <si>
    <t>(Validar que los usuarios pueden completar el trámite de forma autónoma y sin errores).</t>
  </si>
  <si>
    <t>Lanzamiento del Flujo Optimizado para el Servicio Digital Principal.</t>
  </si>
  <si>
    <t>(Hito que demuestra una mejora tangible en la experiencia del trámite más importante).</t>
  </si>
  <si>
    <t>Fortalecimiento de Prevención de errores en Servicios Digitales</t>
  </si>
  <si>
    <t>2. Prevención de errores</t>
  </si>
  <si>
    <t>Bajo cumplimiento de los criterios de la subdimensión 'Prevención de errores', afectando la capacidad del usuario para completar el trámite de forma exitosa.</t>
  </si>
  <si>
    <t>Porcentaje de avance en el plan de acción para la subdimensión 'Prevención de errores'.</t>
  </si>
  <si>
    <t>Aumento en el puntaje ponderado de la subdimensión 'Prevención de errores' en la siguiente evaluación del servicio.</t>
  </si>
  <si>
    <t>Realizar un diagnóstico del servicio digital para identificar brechas de nivel Imprescindible en la subdimensión.</t>
  </si>
  <si>
    <t>(La institución debe detallar el alcance específico para el servicio digital evaluado).</t>
  </si>
  <si>
    <t>Capacitar a los equipos de desarrollo y de negocio en las mejores prácticas de la subdimensión para servicios digitales.</t>
  </si>
  <si>
    <t>100% de Cumplimiento en Criterios Imprescindibles de la Subdimensión para el servicio evaluado.</t>
  </si>
  <si>
    <t>Fortalecimiento de Accesibilidad web en Servicios Digitales</t>
  </si>
  <si>
    <t>Bajo cumplimiento de los criterios de la subdimensión 'Accesibilidad web', afectando la capacidad del usuario para completar el trámite de forma exitosa.</t>
  </si>
  <si>
    <t>Porcentaje de avance en el plan de acción para la subdimensión 'Accesibilidad web'.</t>
  </si>
  <si>
    <t>Aumento en el puntaje ponderado de la subdimensión 'Accesibilidad web' en la siguiente evaluación del servicio.</t>
  </si>
  <si>
    <t>Fortalecimiento de Interoperabilidad en Servicios Digitales</t>
  </si>
  <si>
    <t>4. Interoperabilidad</t>
  </si>
  <si>
    <t>Bajo cumplimiento de los criterios de la subdimensión 'Interoperabilidad', afectando la capacidad del usuario para completar el trámite de forma exitosa.</t>
  </si>
  <si>
    <t>Porcentaje de avance en el plan de acción para la subdimensión 'Interoperabilidad'.</t>
  </si>
  <si>
    <t>Aumento en el puntaje ponderado de la subdimensión 'Interoperabilidad' en la siguiente evaluación del servicio.</t>
  </si>
  <si>
    <t>Fortalecimiento de Contenido y lenguaje claro en Servicios Digitales</t>
  </si>
  <si>
    <t>5. Contenido y lenguaje claro</t>
  </si>
  <si>
    <t>Bajo cumplimiento de los criterios de la subdimensión 'Contenido y lenguaje claro', afectando la capacidad del usuario para completar el trámite de forma exitosa.</t>
  </si>
  <si>
    <t>Porcentaje de avance en el plan de acción para la subdimensión 'Contenido y lenguaje claro'.</t>
  </si>
  <si>
    <t>Aumento en el puntaje ponderado de la subdimensión 'Contenido y lenguaje claro' en la siguiente evaluación del servicio.</t>
  </si>
  <si>
    <t>Fortalecimiento de Responsividad móvil en Servicios Digitales</t>
  </si>
  <si>
    <t>Bajo cumplimiento de los criterios de la subdimensión 'Responsividad móvil', afectando la capacidad del usuario para completar el trámite de forma exitosa.</t>
  </si>
  <si>
    <t>Porcentaje de avance en el plan de acción para la subdimensión 'Responsividad móvil'.</t>
  </si>
  <si>
    <t>Aumento en el puntaje ponderado de la subdimensión 'Responsividad móvil' en la siguiente evaluación del servicio.</t>
  </si>
  <si>
    <t>Fortalecimiento de Seguridad en Servicios Digitales</t>
  </si>
  <si>
    <t>7. Seguridad</t>
  </si>
  <si>
    <t>Bajo cumplimiento de los criterios de la subdimensión 'Seguridad', afectando la capacidad del usuario para completar el trámite de forma exitosa.</t>
  </si>
  <si>
    <t>Porcentaje de avance en el plan de acción para la subdimensión 'Seguridad'.</t>
  </si>
  <si>
    <t>Aumento en el puntaje ponderado de la subdimensión 'Seguridad' en la siguiente evaluación del servicio.</t>
  </si>
  <si>
    <t>Fortalecimiento de Resolutividad en Servicios Digitales</t>
  </si>
  <si>
    <t>8. Resolutividad</t>
  </si>
  <si>
    <t>Bajo cumplimiento de los criterios de la subdimensión 'Resolutividad', afectando la capacidad del usuario para completar el trámite de forma exitosa.</t>
  </si>
  <si>
    <t>Porcentaje de avance en el plan de acción para la subdimensión 'Resolutividad'.</t>
  </si>
  <si>
    <t>Aumento en el puntaje ponderado de la subdimensión 'Resolutividad' en la siguiente evaluación del servicio.</t>
  </si>
  <si>
    <t>Fortalecimiento de Facilidad de acceso e independencia tecnológica en Servicios Digitales</t>
  </si>
  <si>
    <t>9. Facilidad de acceso e independencia tecnológica</t>
  </si>
  <si>
    <t>Bajo cumplimiento de los criterios de la subdimensión 'Facilidad de acceso e independencia tecnológica', afectando la capacidad del usuario para completar el trámite de forma exitosa.</t>
  </si>
  <si>
    <t>Porcentaje de avance en el plan de acción para la subdimensión 'Facilidad de acceso e independencia tecnológica'.</t>
  </si>
  <si>
    <t>Aumento en el puntaje ponderado de la subdimensión 'Facilidad de acceso e independencia tecnológica' en la siguiente evaluación del servicio.</t>
  </si>
  <si>
    <t>Fortalecimiento de Arquitectura de información en Servicios Digitales</t>
  </si>
  <si>
    <t>10. Arquitectura de información</t>
  </si>
  <si>
    <t>Bajo cumplimiento de los criterios de la subdimensión 'Arquitectura de información', afectando la capacidad del usuario para completar el trámite de forma exitosa.</t>
  </si>
  <si>
    <t>Porcentaje de avance en el plan de acción para la subdimensión 'Arquitectura de información'.</t>
  </si>
  <si>
    <t>Aumento en el puntaje ponderado de la subdimensión 'Arquitectura de información' en la siguiente evaluación del servicio.</t>
  </si>
  <si>
    <t>Fortalecimiento de Atención a la ciudadanía en Servicios Digitales</t>
  </si>
  <si>
    <t>11. Atención a la ciudadanía</t>
  </si>
  <si>
    <t>Bajo cumplimiento de los criterios de la subdimensión 'Atención a la ciudadanía', afectando la capacidad del usuario para completar el trámite de forma exitosa.</t>
  </si>
  <si>
    <t>Porcentaje de avance en el plan de acción para la subdimensión 'Atención a la ciudadanía'.</t>
  </si>
  <si>
    <t>Aumento en el puntaje ponderado de la subdimensión 'Atención a la ciudadanía' en la siguiente evaluación del servicio.</t>
  </si>
  <si>
    <t>Fortalecimiento de Diseño e imagen institucional en Servicios Digitales</t>
  </si>
  <si>
    <t>12. Diseño e imagen institucional</t>
  </si>
  <si>
    <t>Bajo cumplimiento de los criterios de la subdimensión 'Diseño e imagen institucional', afectando la capacidad del usuario para completar el trámite de forma exitosa.</t>
  </si>
  <si>
    <t>Porcentaje de avance en el plan de acción para la subdimensión 'Diseño e imagen institucional'.</t>
  </si>
  <si>
    <t>Aumento en el puntaje ponderado de la subdimensión 'Diseño e imagen institucional' en la siguiente evaluación del servicio.</t>
  </si>
  <si>
    <t>Fortalecimiento de Tecnología en Servicios Digitales</t>
  </si>
  <si>
    <t>13. Tecnología</t>
  </si>
  <si>
    <t>Bajo cumplimiento de los criterios de la subdimensión 'Tecnología', afectando la capacidad del usuario para completar el trámite de forma exitosa.</t>
  </si>
  <si>
    <t>Porcentaje de avance en el plan de acción para la subdimensión 'Tecnología'.</t>
  </si>
  <si>
    <t>Aumento en el puntaje ponderado de la subdimensión 'Tecnología' en la siguiente evaluación del servicio.</t>
  </si>
  <si>
    <t>Fortalecimiento de Interacción y retroalimentación en Servicios Digitales</t>
  </si>
  <si>
    <t>14. Interacción y retroalimentación</t>
  </si>
  <si>
    <t>Bajo cumplimiento de los criterios de la subdimensión 'Interacción y retroalimentación', afectando la capacidad del usuario para completar el trámite de forma exitosa.</t>
  </si>
  <si>
    <t>Porcentaje de avance en el plan de acción para la subdimensión 'Interacción y retroalimentación'.</t>
  </si>
  <si>
    <t>Aumento en el puntaje ponderado de la subdimensión 'Interacción y retroalimentación' en la siguiente evaluación del servicio.</t>
  </si>
  <si>
    <t>Fortalecimiento de Rapidez de respuesta en Servicios Digitales</t>
  </si>
  <si>
    <t>15. Rapidez de respuesta</t>
  </si>
  <si>
    <t>Bajo cumplimiento de los criterios de la subdimensión 'Rapidez de respuesta', afectando la capacidad del usuario para completar el trámite de forma exitosa.</t>
  </si>
  <si>
    <t>Porcentaje de avance en el plan de acción para la subdimensión 'Rapidez de respuesta'.</t>
  </si>
  <si>
    <t>Aumento en el puntaje ponderado de la subdimensión 'Rapidez de respuesta' en la siguiente evaluación del servicio.</t>
  </si>
  <si>
    <t>Fortalecimiento de Audiovisualidad en Servicios Digitales</t>
  </si>
  <si>
    <t>16. Audiovisualidad</t>
  </si>
  <si>
    <t>Bajo cumplimiento de los criterios de la subdimensión 'Audiovisualidad', afectando la capacidad del usuario para completar el trámite de forma exitosa.</t>
  </si>
  <si>
    <t>Porcentaje de avance en el plan de acción para la subdimensión 'Audiovisualidad'.</t>
  </si>
  <si>
    <t>Aumento en el puntaje ponderado de la subdimensión 'Audiovisualidad' en la siguiente evaluación del servicio.</t>
  </si>
  <si>
    <t>Fortalecimiento de Enfoque de género en Servicios Digitales</t>
  </si>
  <si>
    <t>17. Enfoque de género</t>
  </si>
  <si>
    <t>Bajo cumplimiento de los criterios de la subdimensión 'Enfoque de género', afectando la capacidad del usuario para completar el trámite de forma exitosa.</t>
  </si>
  <si>
    <t>Porcentaje de avance en el plan de acción para la subdimensión 'Enfoque de género'.</t>
  </si>
  <si>
    <t>Aumento en el puntaje ponderado de la subdimensión 'Enfoque de género' en la siguiente evaluación del servicio.</t>
  </si>
  <si>
    <t>Fortalecimiento de Imparcialidad e igualdad de trato en Servicios Digitales</t>
  </si>
  <si>
    <t>18. Imparcialidad e igualdad de trato</t>
  </si>
  <si>
    <t>Bajo cumplimiento de los criterios de la subdimensión 'Imparcialidad e igualdad de trato', afectando la capacidad del usuario para completar el trámite de forma exitosa.</t>
  </si>
  <si>
    <t>Porcentaje de avance en el plan de acción para la subdimensión 'Imparcialidad e igualdad de trato'.</t>
  </si>
  <si>
    <t>Aumento en el puntaje ponderado de la subdimensión 'Imparcialidad e igualdad de trato' en la siguiente evaluación del servicio.</t>
  </si>
  <si>
    <t>Fortalecimiento de Inclusión en Servicios Digitales</t>
  </si>
  <si>
    <t>19. Inclusión</t>
  </si>
  <si>
    <t>Bajo cumplimiento de los criterios de la subdimensión 'Inclusión', afectando la capacidad del usuario para completar el trámite de forma exitosa.</t>
  </si>
  <si>
    <t>Porcentaje de avance en el plan de acción para la subdimensión 'Inclusión'.</t>
  </si>
  <si>
    <t>Aumento en el puntaje ponderado de la subdimensión 'Inclusión' en la siguiente evaluación del servicio.</t>
  </si>
  <si>
    <t>Fortalecimiento de Promoción en Servicios Digitales</t>
  </si>
  <si>
    <t>20. Promoción</t>
  </si>
  <si>
    <t>Bajo cumplimiento de los criterios de la subdimensión 'Promoción', afectando la capacidad del usuario para completar el trámite de forma exitosa.</t>
  </si>
  <si>
    <t>Porcentaje de avance en el plan de acción para la subdimensión 'Promoción'.</t>
  </si>
  <si>
    <t>Aumento en el puntaje ponderado de la subdimensión 'Promoción' en la siguiente evaluación del servicio.</t>
  </si>
  <si>
    <t>Implementación del Nivel Básico de Visión estratégica</t>
  </si>
  <si>
    <t>1. Visión estratégica</t>
  </si>
  <si>
    <t>8.3%</t>
  </si>
  <si>
    <t>Nivel de madurez 'Insuficiente' en la dimensión 'Visión estratégica', impidiendo la correcta gestión y aprovechamiento de los datos como activo estratégico.</t>
  </si>
  <si>
    <t>Porcentaje de avance en la ejecución de la Hoja de Ruta del MGDE para alcanzar el nivel 'Básico' en la dimensión.</t>
  </si>
  <si>
    <t>Calificación de 'Básico' obtenida en la autoevaluación del MGDE para la dimensión 'Visión estratégica'.</t>
  </si>
  <si>
    <t>Realizar talleres de concientización para equipos directivos sobre el valor estratégico de los datos.</t>
  </si>
  <si>
    <t>(La institución debe detallar el alcance específico de esta acción para su realidad).</t>
  </si>
  <si>
    <t>Resolución de Compromiso Directivo con la Gestión de Datos Emitida.</t>
  </si>
  <si>
    <t>Proponer la inclusión de objetivos de datos en la planificación estratégica institucional.</t>
  </si>
  <si>
    <t>Generar un plan de gestión del cambio utilizando la guía base del MGDE.</t>
  </si>
  <si>
    <t>Nivel de Madurez 'Básico' Alcanzado en la Dimensión 'Visión Estratégica'.</t>
  </si>
  <si>
    <t>Implementación del Nivel Básico de Gobernanza de datos</t>
  </si>
  <si>
    <t>2. Gobernanza de datos</t>
  </si>
  <si>
    <t>Nivel de madurez 'Insuficiente' en la dimensión 'Gobernanza de datos', impidiendo la correcta gestión y aprovechamiento de los datos como activo estratégico.</t>
  </si>
  <si>
    <t>Calificación de 'Básico' obtenida en la autoevaluación del MGDE para la dimensión 'Gobernanza de datos'.</t>
  </si>
  <si>
    <t>Adoptar la política/estrategia base de gobernanza de datos o generar una propia.</t>
  </si>
  <si>
    <t>Asignar un rol y/o equipo de trabajo en esquema compartido (comité) responsable del Gobierno de Datos.</t>
  </si>
  <si>
    <t>Acto Administrativo que Formaliza el Comité de Gobernanza de Datos.</t>
  </si>
  <si>
    <t>Utilizar planillas, presentaciones y documentos como herramientas iniciales de gobernanza.</t>
  </si>
  <si>
    <t>Nivel de Madurez 'Básico' Alcanzado en la Dimensión 'Gobernanza de datos'.</t>
  </si>
  <si>
    <t>Implementación del Nivel Básico de Arquitectura, diseño y documentación</t>
  </si>
  <si>
    <t>3. Arquitectura, diseño y documentación</t>
  </si>
  <si>
    <t>Nivel de madurez 'Insuficiente' en la dimensión 'Arquitectura, diseño y documentación', impidiendo la correcta gestión y aprovechamiento de los datos como activo estratégico.</t>
  </si>
  <si>
    <t>Calificación de 'Básico' obtenida en la autoevaluación del MGDE para la dimensión 'Arquitectura, diseño y documentación'.</t>
  </si>
  <si>
    <t>Generar una conceptualización formalizada (documento, presentación) de los datos relevantes para la institución.</t>
  </si>
  <si>
    <t>Generar un levantamiento general de los datos que maneja la institución (inventario en planilla).</t>
  </si>
  <si>
    <t>Inventario General de Datos v1.0 Finalizado.</t>
  </si>
  <si>
    <t>Recopilar la documentación existente (diseño, diccionario de datos), aunque sea parcial o desactualizada.</t>
  </si>
  <si>
    <t>Nivel de Madurez 'Básico' Alcanzado en la Dimensión 'Arquitectura, diseño y documentación'.</t>
  </si>
  <si>
    <t>Implementación del Nivel Básico de Almacenamiento y operación</t>
  </si>
  <si>
    <t>4. Almacenamiento y operación</t>
  </si>
  <si>
    <t>Nivel de madurez 'Insuficiente' en la dimensión 'Almacenamiento y operación', impidiendo la correcta gestión y aprovechamiento de los datos como activo estratégico.</t>
  </si>
  <si>
    <t>Calificación de 'Básico' obtenida en la autoevaluación del MGDE para la dimensión 'Almacenamiento y operación'.</t>
  </si>
  <si>
    <t>Gestionar la operación y el almacenamiento de los datos mediante la administración de las bases de datos o de documentos más relevantes.</t>
  </si>
  <si>
    <t>Identificar los requerimientos de almacenamiento y operación de las otras dimensiones del MGDE.</t>
  </si>
  <si>
    <t>Catastro de Plataformas de Almacenamiento de Datos Realizado.</t>
  </si>
  <si>
    <t>Establecer un procedimiento básico de respaldo y recuperación para las bases de datos críticas.</t>
  </si>
  <si>
    <t>Nivel de Madurez 'Básico' Alcanzado en la Dimensión 'Almacenamiento y operación'.</t>
  </si>
  <si>
    <t>Implementación del Nivel Básico de Seguridad y ciberseguridad de datos</t>
  </si>
  <si>
    <t>5. Seguridad y ciberseguridad de datos</t>
  </si>
  <si>
    <t>Nivel de madurez 'Insuficiente' en la dimensión 'Seguridad y ciberseguridad de datos', impidiendo la correcta gestión y aprovechamiento de los datos como activo estratégico.</t>
  </si>
  <si>
    <t>Calificación de 'Básico' obtenida en la autoevaluación del MGDE para la dimensión 'Seguridad y ciberseguridad de datos'.</t>
  </si>
  <si>
    <t>Definir políticas y procedimientos básicos para el cumplimiento de la normativa de seguridad de la información.</t>
  </si>
  <si>
    <t>Definir políticas y procedimientos básicos de ciberseguridad de la información.</t>
  </si>
  <si>
    <t>Política de Seguridad de la Información y Ciberseguridad v1.0 Aprobada.</t>
  </si>
  <si>
    <t>Definir mecanismos técnicos de respaldo y recuperación de los datos y probarlos periódicamente.</t>
  </si>
  <si>
    <t>Nivel de Madurez 'Básico' Alcanzado en la Dimensión 'Seguridad y ciberseguridad de datos'.</t>
  </si>
  <si>
    <t>Implementación del Nivel Básico de Integración e interoperabilidad</t>
  </si>
  <si>
    <t>6. Integración e interoperabilidad</t>
  </si>
  <si>
    <t>Nivel de madurez 'Insuficiente' en la dimensión 'Integración e interoperabilidad', impidiendo la correcta gestión y aprovechamiento de los datos como activo estratégico.</t>
  </si>
  <si>
    <t>Calificación de 'Básico' obtenida en la autoevaluación del MGDE para la dimensión 'Integración e interoperabilidad'.</t>
  </si>
  <si>
    <t>Establecer las necesidades de acceso y/o intercambio de datos con terceros, estableciendo prioridades.</t>
  </si>
  <si>
    <t>Identificar los requerimientos de interoperabilidad (entrada y salida) e implementar mecanismos básicos, ya sea PISEE 2.0 u otros.</t>
  </si>
  <si>
    <t>Plan de Implementación de Servicios de Interoperabilidad Priorizados Definido.</t>
  </si>
  <si>
    <t>Definir e implementar mecanismos básicos de integración y consolidación de datos para algunas bases (ej. planillas).</t>
  </si>
  <si>
    <t>Nivel de Madurez 'Básico' Alcanzado en la Dimensión 'Integración e interoperabilidad'.</t>
  </si>
  <si>
    <t>Implementación del Nivel Básico de Documentos y contenidos</t>
  </si>
  <si>
    <t>7. Documentos y contenidos</t>
  </si>
  <si>
    <t>Nivel de madurez 'Insuficiente' en la dimensión 'Documentos y contenidos', impidiendo la correcta gestión y aprovechamiento de los datos como activo estratégico.</t>
  </si>
  <si>
    <t>Calificación de 'Básico' obtenida en la autoevaluación del MGDE para la dimensión 'Documentos y contenidos'.</t>
  </si>
  <si>
    <t>Generar un diagnóstico del estado de la gestión documental y definir una política básica.</t>
  </si>
  <si>
    <t>Política de Gestión Documental v1.0 Aprobada.</t>
  </si>
  <si>
    <t>Revisar la definición de metadatos para la gestión documental, identificar las brechas y generar un plan de cumplimiento.</t>
  </si>
  <si>
    <t>Generar una definición y plan de implementación del expediente electrónico de acuerdo a la Ley 21.180.</t>
  </si>
  <si>
    <t>Nivel de Madurez 'Básico' Alcanzado en la Dimensión 'Documentos y contenidos'.</t>
  </si>
  <si>
    <t>Implementación del Nivel Básico de Datos maestros y de referencia</t>
  </si>
  <si>
    <t>8. Datos maestros y de referencia</t>
  </si>
  <si>
    <t>Nivel de madurez 'Insuficiente' en la dimensión 'Datos maestros y de referencia', impidiendo la correcta gestión y aprovechamiento de los datos como activo estratégico.</t>
  </si>
  <si>
    <t>Calificación de 'Básico' obtenida en la autoevaluación del MGDE para la dimensión 'Datos maestros y de referencia'.</t>
  </si>
  <si>
    <t>Estandarizar códigos básicos (datos de referencia) para datos que se comparten entre áreas y/o con externos.</t>
  </si>
  <si>
    <t>Identificar los datos maestros de la institución (sin consolidarlos ni gestionarlos centralmente).</t>
  </si>
  <si>
    <t>Catálogo de Datos Maestros y de Referencia v1.0 Creado.</t>
  </si>
  <si>
    <t>Generar desarrollos ad-hoc (ej. planillas maestras) para apoyar la gestión inicial de estos datos.</t>
  </si>
  <si>
    <t>Nivel de Madurez 'Básico' Alcanzado en la Dimensión 'Datos maestros y de referencia'.</t>
  </si>
  <si>
    <t>Implementación del Nivel Básico de Analítica e inteligencia de negocios</t>
  </si>
  <si>
    <t>9. Analítica e inteligencia de negocios</t>
  </si>
  <si>
    <t>Nivel de madurez 'Insuficiente' en la dimensión 'Analítica e inteligencia de negocios', impidiendo la correcta gestión y aprovechamiento de los datos como activo estratégico.</t>
  </si>
  <si>
    <t>Calificación de 'Básico' obtenida en la autoevaluación del MGDE para la dimensión 'Analítica e inteligencia de negocios'.</t>
  </si>
  <si>
    <t>Definir institucionalmente e incorporar la práctica de hacer análisis de datos para la gestión y toma de decisiones.</t>
  </si>
  <si>
    <t>Implementar repositorios de gestión básicos (ej. planillas consolidadas) que aborden algunos ámbitos de gestión.</t>
  </si>
  <si>
    <t>Primer Dashboard o Panel de Control de Gestión Implementado.</t>
  </si>
  <si>
    <t>Incorporar herramientas de tipo inteligencia de negocios para visualización de información (paneles de control).</t>
  </si>
  <si>
    <t>Nivel de Madurez 'Básico' Alcanzado en la Dimensión 'Analítica e inteligencia de negocios'.</t>
  </si>
  <si>
    <t>Implementación del Nivel Básico de Calidad de datos</t>
  </si>
  <si>
    <t>10. Calidad de datos</t>
  </si>
  <si>
    <t>Nivel de madurez 'Insuficiente' en la dimensión 'Calidad de datos', impidiendo la correcta gestión y aprovechamiento de los datos como activo estratégico.</t>
  </si>
  <si>
    <t>Calificación de 'Básico' obtenida en la autoevaluación del MGDE para la dimensión 'Calidad de datos'.</t>
  </si>
  <si>
    <t>Generar una definición y estándares básicos de calidad de datos para la institución.</t>
  </si>
  <si>
    <t>Documento de Estándares de Calidad de Datos v1.0 Aprobado.</t>
  </si>
  <si>
    <t>Realizar un proyecto piloto de limpieza de datos (data cleansing) sobre un conjunto de datos crítico.</t>
  </si>
  <si>
    <t>Nivel de Madurez 'Básico' Alcanzado en la Dimensión 'Calidad de datos'.</t>
  </si>
  <si>
    <t>Implementación del Nivel Básico de Datos abiertos</t>
  </si>
  <si>
    <t>11. Datos abiertos</t>
  </si>
  <si>
    <t>Nivel de madurez 'Insuficiente' en la dimensión 'Datos abiertos', impidiendo la correcta gestión y aprovechamiento de los datos como activo estratégico.</t>
  </si>
  <si>
    <t>Calificación de 'Básico' obtenida en la autoevaluación del MGDE para la dimensión 'Datos abiertos'.</t>
  </si>
  <si>
    <t>Incorporar institucionalmente la definición de datos abiertos por defecto y los principios del Open Data Charter.</t>
  </si>
  <si>
    <t>Primer Conjunto de Datos Publicado en el Portal Nacional de Datos Abiertos.</t>
  </si>
  <si>
    <t>Definir las condiciones (recursos) e incentivos requeridos para la publicación de datos abiertos.</t>
  </si>
  <si>
    <t>Nivel de Madurez 'Básico' Alcanzado en la Dimensión 'Datos abiertos'.</t>
  </si>
  <si>
    <t>Implementación del Nivel Básico de Aspectos legales y normativos</t>
  </si>
  <si>
    <t>12. Aspectos legales y normativos</t>
  </si>
  <si>
    <t>Nivel de madurez 'Insuficiente' en la dimensión 'Aspectos legales y normativos', impidiendo la correcta gestión y aprovechamiento de los datos como activo estratégico.</t>
  </si>
  <si>
    <t>Calificación de 'Básico' obtenida en la autoevaluación del MGDE para la dimensión 'Aspectos legales y normativos'.</t>
  </si>
  <si>
    <t>Informar al área jurídica sobre las políticas y procedimientos de gobierno de datos para su revisión.</t>
  </si>
  <si>
    <t>Realizar una revisión jurídica de las regulaciones y estándares relevantes en cuanto a la gestión y protección de datos personales.</t>
  </si>
  <si>
    <t>Informe de Brechas Legales y Normativas en Gestión de Datos Finalizado.</t>
  </si>
  <si>
    <t>Definir un plan de cumplimiento para las brechas legales y normativas identificadas.</t>
  </si>
  <si>
    <t>Nivel de Madurez 'Básico' Alcanzado en la Dimensión 'Aspectos legales y normativos'.</t>
  </si>
  <si>
    <t>Objetivo de la iniciativa</t>
  </si>
  <si>
    <t>Código EVALTIC</t>
  </si>
  <si>
    <t>PTD-D1-I01</t>
  </si>
  <si>
    <t>Iniciativa para la Adopción de Mecanismos de Autenticación Oficial</t>
  </si>
  <si>
    <t/>
  </si>
  <si>
    <t>Bajo porcentaje de procedimientos que utilizan ClaveÚnica o Clave Tributaria como mecanismo de autenticación, según lo exige la Norma Técnica de Autenticación.</t>
  </si>
  <si>
    <t>Digitalizar integralmente los procedimientos administrativos para ofrecer un servicio más simple, rápido y eficiente a las personas usuarias</t>
  </si>
  <si>
    <t>Porcentaje de hitos de la iniciativa completados respecto al total de hitos planificados.</t>
  </si>
  <si>
    <t>Aumento porcentual en el número de procedimientos administrativos de la institución que utilizan ClaveÚnica.</t>
  </si>
  <si>
    <t>&lt;ID iniciativa EVALTIC, cuando aplique&gt;</t>
  </si>
  <si>
    <t>Realizar un catastro de los procedimientos administrativos que requieren autenticación y que actualmente no utilizan un mecanismo oficial.</t>
  </si>
  <si>
    <t>Inscribir a los equipos técnicos y de negocio en la capacitación “ClaveÚnica: Integración de plataformas” ofrecida por Gobierno Digital.</t>
  </si>
  <si>
    <t>Elaborar un plan de trabajo para la integración técnica, definiendo plazos, responsables y recursos para los procedimientos priorizados.</t>
  </si>
  <si>
    <t>Ejecutar la integración técnica de ClaveÚnica y/o Clave Tributaria en las plataformas de los procedimientos seleccionados.</t>
  </si>
  <si>
    <t>Verificar la correcta implementación y funcionamiento de la autenticación en los procedimientos intervenidos.</t>
  </si>
  <si>
    <t>PTD-D1-I02</t>
  </si>
  <si>
    <t>Iniciativa para la Integración con la Red de Interoperabilidad del Estado</t>
  </si>
  <si>
    <t>Bajo porcentaje de procedimientos que consultan datos a través de la Plataforma de Interoperabilidad, generando solicitudes de información redundante a las personas.</t>
  </si>
  <si>
    <t>Aumento en el número de procedimientos que obtienen datos de otros organismos del Estado a través de la Plataforma de Interoperabilidad.</t>
  </si>
  <si>
    <t>Identificar los datos y documentos que la institución solicita a las personas y que pueden ser obtenidos desde otras fuentes del Estado.</t>
  </si>
  <si>
    <t>Gestionar la suscripción a los servicios de datos disponibles en la Plataforma de Interoperabilidad del Estado.</t>
  </si>
  <si>
    <t>Adaptar los formularios y procesos internos para consumir los datos vía interoperabilidad y eliminar la solicitud de dicha información a los usuarios.</t>
  </si>
  <si>
    <t>Realizar pruebas integrales para asegurar la correcta recepción y uso de los datos interoperados.</t>
  </si>
  <si>
    <t>Procedimientos priorizados operando con consultas a la Plataforma de Interoperabilidad en ambiente productivo.</t>
  </si>
  <si>
    <t>Notificaciones electrónicas</t>
  </si>
  <si>
    <t>PTD-D1-I03</t>
  </si>
  <si>
    <t>Iniciativa para la Implementación de Notificaciones Electrónicas</t>
  </si>
  <si>
    <t>Bajo porcentaje de procedimientos que utilizan el Domicilio Digital Único como medio de notificación oficial, dependiendo de medios físicos o correos electrónicos no certificados.</t>
  </si>
  <si>
    <t>Porcentaje de notificaciones oficiales del servicio enviadas a través de la plataforma de Domicilio Digital Único.</t>
  </si>
  <si>
    <t>Realizar un catastro de todos los actos administrativos y comunicaciones que, por su naturaleza, deben ser notificados formalmente a las personas.</t>
  </si>
  <si>
    <t>Planificar la integración de los sistemas institucionales con la plataforma de Domicilio Digital Único.</t>
  </si>
  <si>
    <t>Desarrollar y ejecutar las tareas técnicas para la integración con la plataforma de notificaciones.</t>
  </si>
  <si>
    <t>Capacitar a los funcionarios encargados sobre el uso y la validez legal de las notificaciones enviadas por este medio.</t>
  </si>
  <si>
    <t>Plataformas institucionales integradas y enviando notificaciones a través de Domicilio Digital Único.</t>
  </si>
  <si>
    <t>Formularios digitales transversales</t>
  </si>
  <si>
    <t>PTD-D1-I04</t>
  </si>
  <si>
    <t>Iniciativa para la Estandarización de Pagos en Línea</t>
  </si>
  <si>
    <t>Bajo porcentaje de procedimientos que requieren un pago y que utilizan la plataforma de la Tesorería General de la República (TGR), diversificando los medios de pago.</t>
  </si>
  <si>
    <t>Porcentaje de los ingresos por trámites digitales recaudados a través de la plataforma de TGR.</t>
  </si>
  <si>
    <t>Identificar todos los procedimientos administrativos que involucran un pago por parte de la persona usuaria.</t>
  </si>
  <si>
    <t>Coordinar con la Tesorería General de la República la integración de los procedimientos identificados en su plataforma de pagos.</t>
  </si>
  <si>
    <t>Ejecutar la integración de los sistemas institucionales con el portal de pagos de TGR.</t>
  </si>
  <si>
    <t>Actualizar la información en el sitio web y otros canales para dirigir a los usuarios a la plataforma de pago estandarizada.</t>
  </si>
  <si>
    <t>Todos los procedimientos que requieren pago operan a través de la plataforma de TGR.</t>
  </si>
  <si>
    <t>PTD-D1-I05</t>
  </si>
  <si>
    <t>Iniciativa para la Disponibilización del Expediente Electrónico</t>
  </si>
  <si>
    <t>Bajo porcentaje de procedimientos que cuentan con un expediente electrónico accesible para las personas interesadas, limitando la transparencia y el derecho de acceso.</t>
  </si>
  <si>
    <t>Porcentaje de procedimientos administrativos que permiten el acceso en línea al expediente electrónico por parte de las personas interesadas.</t>
  </si>
  <si>
    <t>Definir el estándar de conformación del expediente electrónico para los procedimientos de la institución.</t>
  </si>
  <si>
    <t>Implementar o adaptar un sistema de gestión documental que soporte la creación y almacenamiento de expedientes electrónicos.</t>
  </si>
  <si>
    <t>Desarrollar una interfaz de acceso segura para que las personas interesadas, previa autenticación, puedan consultar su expediente.</t>
  </si>
  <si>
    <t>Digitalizar los documentos necesarios y asegurar que todos los nuevos documentos se incorporen en formato electrónico al expediente.</t>
  </si>
  <si>
    <t>Habilitado el acceso en línea al expediente electrónico para un conjunto priorizado de procedimientos.</t>
  </si>
  <si>
    <t>PTD-D1-I06</t>
  </si>
  <si>
    <t>Iniciativa para la Adopción de Comunicaciones Oficiales Digitales</t>
  </si>
  <si>
    <t>Bajo porcentaje de comunicaciones oficiales con otros órganos del Estado que se realizan a través de la plataforma DocDigital, utilizando aún canales en papel o no formales.</t>
  </si>
  <si>
    <t>Porcentaje de oficios y comunicaciones oficiales enviados y recibidos a través de la plataforma DocDigital.</t>
  </si>
  <si>
    <t>Designar al “Administrador/a Principal” de DocDigital en la institución, siguiendo el procedimiento de Gobierno Digital.</t>
  </si>
  <si>
    <t>Inscribir a los funcionarios clave en las capacitaciones mensuales sobre la plataforma DocDigital.</t>
  </si>
  <si>
    <t>Configurar las dependencias y usuarios de la institución en el ambiente de producción de DocDigital.</t>
  </si>
  <si>
    <t>Definir y comunicar internamente el procedimiento para el envío y recepción de todas las comunicaciones oficiales a través de DocDigital.</t>
  </si>
  <si>
    <t>El 100% de las comunicaciones oficiales salientes de la institución se gestionan a través de DocDigital.</t>
  </si>
  <si>
    <t>Arquitectura de la información</t>
  </si>
  <si>
    <t>PTD-D2S-I01</t>
  </si>
  <si>
    <t>Iniciativa de Calidad en Servicios Digitales: Arquitectura de la Información</t>
  </si>
  <si>
    <t>El servicio digital presenta una estructura de contenidos y navegación que no es clara, coherente ni predecible para las personas usuarias.</t>
  </si>
  <si>
    <t>Garantizar que los sitios web y servicios públicos digitales sean confiables, accesibles y fáciles de usar para todas las personas usuarias</t>
  </si>
  <si>
    <t>Porcentaje de hitos de la iniciativa completados.</t>
  </si>
  <si>
    <t>Aumento porcentual en la calificación de la subdimensión "Arquitectura de la Información" en la siguiente evaluación de calidad.</t>
  </si>
  <si>
    <t>Definir y documentar la jerarquía de la información y el flujo de navegación del servicio, asegurando que se alinee con las tareas y necesidades de las personas usuarias.</t>
  </si>
  <si>
    <t>Se cuenta con un mapa de arquitectura de información y flujos de navegación documentados y aprobados.</t>
  </si>
  <si>
    <t>Implementar un menú de navegación principal consistente y visible en todas las páginas del servicio digital.</t>
  </si>
  <si>
    <t>El menú de navegación es consistente en todo el servicio digital.</t>
  </si>
  <si>
    <t>Implementar "migas de pan" (breadcrumbs) en todas las páginas internas para que la persona usuaria sepa dónde se encuentra.</t>
  </si>
  <si>
    <t>Las "migas de pan" están implementadas y funcionan correctamente.</t>
  </si>
  <si>
    <t>Asegurar que los títulos de cada página describan claramente su contenido y propósito.</t>
  </si>
  <si>
    <t>Los títulos de las páginas son claros y descriptivos.</t>
  </si>
  <si>
    <t>Estandarización de componentes</t>
  </si>
  <si>
    <t>PTD-D2S-I02</t>
  </si>
  <si>
    <t>Iniciativa de Calidad en Servicios Digitales: Estandarización de Componentes</t>
  </si>
  <si>
    <t>El servicio digital utiliza elementos de interfaz (botones, enlaces, íconos) de manera inconsistente, dificultando el aprendizaje y uso de la plataforma.</t>
  </si>
  <si>
    <t>Aumento porcentual en la calificación de la subdimensión "Estandarización de Componentes" en la siguiente evaluación de calidad.</t>
  </si>
  <si>
    <t>Adoptar y aplicar el Kit de Diseño UI del Estado para estandarizar la apariencia y comportamiento de los componentes de la interfaz.</t>
  </si>
  <si>
    <t>Los componentes visuales del servicio (botones, campos de formulario, etc.) se rigen por el Kit de Diseño UI del Estado.</t>
  </si>
  <si>
    <t>Definir y aplicar un estilo consistente para los enlaces, asegurando que sean fácilmente identificables como elementos interactivos.</t>
  </si>
  <si>
    <t>Los enlaces son visualmente consistentes y reconocibles en todo el servicio.</t>
  </si>
  <si>
    <t>Implementar un pie de página (footer) estandarizado que contenga la información de contacto, enlaces de ayuda y logos requeridos.</t>
  </si>
  <si>
    <t>El pie de página cumple con los estándares definidos y se muestra en todo el servicio.</t>
  </si>
  <si>
    <t>Claridad en los contenidos</t>
  </si>
  <si>
    <t>PTD-D2S-I03</t>
  </si>
  <si>
    <t>Iniciativa de Calidad en Servicios Digitales: Claridad en los Contenidos</t>
  </si>
  <si>
    <t>Los textos y contenidos del servicio son ambiguos, técnicos o difíciles de entender, generando confusión en las personas usuarias.</t>
  </si>
  <si>
    <t>Aumento porcentual en la calificación de la subdimensión "Claridad en los Contenidos" en la siguiente evaluación de calidad.</t>
  </si>
  <si>
    <t>Revisar y reescribir todos los textos del servicio digital utilizando los principios de Lenguaje Claro.</t>
  </si>
  <si>
    <t>Los contenidos del servicio están redactados en Lenguaje Claro.</t>
  </si>
  <si>
    <t>Asegurar que el propósito del servicio y los pasos a seguir estén claramente explicados en la página de inicio del mismo.</t>
  </si>
  <si>
    <t>La página de inicio del servicio explica claramente su propósito y cómo utilizarlo.</t>
  </si>
  <si>
    <t>Utilizar encabezados y listas para estructurar el contenido y facilitar su lectura rápida (escaneo).</t>
  </si>
  <si>
    <t>El contenido está correctamente estructurado con encabezados y listas.</t>
  </si>
  <si>
    <t>Diseño visual</t>
  </si>
  <si>
    <t>PTD-D2S-I04</t>
  </si>
  <si>
    <t>Iniciativa de Calidad en Servicios Digitales: Diseño Visual</t>
  </si>
  <si>
    <t>El diseño visual del servicio es poco atractivo, inconsistente o no se alinea con la identidad gráfica del gobierno, afectando la confianza y la experiencia de uso.</t>
  </si>
  <si>
    <t>Aumento porcentual en la calificación de la subdimensión "Diseño Visual" en la siguiente evaluación de calidad.</t>
  </si>
  <si>
    <t>Aplicar la paleta de colores, tipografías y logos definidos en el manual de normas gráficas del gobierno.</t>
  </si>
  <si>
    <t>El diseño visual del servicio se alinea con la identidad gráfica del gobierno.</t>
  </si>
  <si>
    <t>Asegurar que existe suficiente contraste entre el color del texto y el fondo para garantizar la legibilidad.</t>
  </si>
  <si>
    <t>El contraste de color cumple con los estándares de accesibilidad (AA).</t>
  </si>
  <si>
    <t>Garantizar que el diseño se adapte correctamente a diferentes tamaños de pantalla (diseño responsivo), especialmente en dispositivos móviles.</t>
  </si>
  <si>
    <t>El servicio digital es completamente funcional y usable en dispositivos móviles.</t>
  </si>
  <si>
    <t>Formularios</t>
  </si>
  <si>
    <t>PTD-D2S-I05</t>
  </si>
  <si>
    <t>Iniciativa de Calidad en Servicios Digitales: Formularios</t>
  </si>
  <si>
    <t>Los formularios del servicio son largos, complejos y no entregan la ayuda necesaria, provocando errores y frustración en las personas.</t>
  </si>
  <si>
    <t>Aumento porcentual en la calificación de la subdimensión "Formularios" en la siguiente evaluación de calidad.</t>
  </si>
  <si>
    <t>Agrupar los campos del formulario en secciones lógicas y presentarlos en un orden intuitivo.</t>
  </si>
  <si>
    <t>Los campos del formulario están agrupados de manera lógica.</t>
  </si>
  <si>
    <t>Indicar claramente qué campos son obligatorios y cuáles son opcionales.</t>
  </si>
  <si>
    <t>Todos los campos obligatorios están claramente marcados.</t>
  </si>
  <si>
    <t>Proporcionar mensajes de ayuda y validación claros y en tiempo real para cada campo.</t>
  </si>
  <si>
    <t>Los mensajes de error son claros, específicos y se muestran junto al campo correspondiente.</t>
  </si>
  <si>
    <t>Buscador</t>
  </si>
  <si>
    <t>PTD-D2S-I06</t>
  </si>
  <si>
    <t>Iniciativa de Calidad en Servicios Digitales: Buscador</t>
  </si>
  <si>
    <t>El servicio carece de una función de búsqueda o la que existe es ineficaz, dificultando que las personas encuentren la información que necesitan.</t>
  </si>
  <si>
    <t>Aumento porcentual en la calificación de la subdimensión "Buscador" en la siguiente evaluación de calidad.</t>
  </si>
  <si>
    <t>Implementar una funcionalidad de búsqueda visible y accesible desde cualquier página del servicio.</t>
  </si>
  <si>
    <t>Existe una funcionalidad de búsqueda accesible en el servicio.</t>
  </si>
  <si>
    <t>Asegurar que los resultados de la búsqueda sean relevantes y se presenten de manera clara y ordenada.</t>
  </si>
  <si>
    <t>Los resultados de la búsqueda son relevantes y están bien presentados.</t>
  </si>
  <si>
    <t>Ayuda</t>
  </si>
  <si>
    <t>PTD-D2S-I07</t>
  </si>
  <si>
    <t>Iniciativa de Calidad en Servicios Digitales: Ayuda</t>
  </si>
  <si>
    <t>El servicio no ofrece mecanismos de ayuda claros y accesibles, dejando a las personas sin soporte cuando encuentran dificultades.</t>
  </si>
  <si>
    <t>Aumento porcentual en la calificación de la subdimensión "Ayuda" en la siguiente evaluación de calidad.</t>
  </si>
  <si>
    <t>Crear y mantener una sección de "Preguntas Frecuentes" (FAQ) con las dudas más comunes de las personas usuarias.</t>
  </si>
  <si>
    <t>El servicio cuenta con una sección de Preguntas Frecuentes útil y actualizada.</t>
  </si>
  <si>
    <t>Proporcionar ayuda contextual (tooltips, pop-ups de ayuda) en los campos y secciones más complejos.</t>
  </si>
  <si>
    <t>Se ofrece ayuda contextual en los elementos complejos de la interfaz.</t>
  </si>
  <si>
    <t>Ofrecer canales de contacto claros (teléfono, correo, chat) para que las personas puedan solicitar soporte.</t>
  </si>
  <si>
    <t>Los canales de contacto para soporte están visibles y accesibles.</t>
  </si>
  <si>
    <t>Errores</t>
  </si>
  <si>
    <t>PTD-D2S-I08</t>
  </si>
  <si>
    <t>Iniciativa de Calidad en Servicios Digitales: Errores</t>
  </si>
  <si>
    <t>El sistema no maneja los errores de forma adecuada, mostrando mensajes crípticos o no guiando a la persona usuaria para solucionar el problema.</t>
  </si>
  <si>
    <t>Aumento porcentual en la calificación de la subdimensión "Errores" en la siguiente evaluación de calidad.</t>
  </si>
  <si>
    <t>Revisar y reescribir todos los mensajes de error del sistema para que sean claros, expliquen el problema y sugieran una solución.</t>
  </si>
  <si>
    <t>Los mensajes de error están redactados en lenguaje claro y ofrecen una solución.</t>
  </si>
  <si>
    <t>Implementar un sistema de validación que prevenga los errores antes de que la persona envíe la información (ej. validar formato de correo electrónico).</t>
  </si>
  <si>
    <t>El sistema previene errores comunes mediante validaciones proactivas.</t>
  </si>
  <si>
    <t>Requerimientos técnicos</t>
  </si>
  <si>
    <t>PTD-D2S-I09</t>
  </si>
  <si>
    <t>Iniciativa de Calidad en Servicios Digitales: Requerimientos Técnicos</t>
  </si>
  <si>
    <t>El servicio no informa sobre los requerimientos técnicos necesarios para su uso o depende de tecnologías obsoletas que limitan su acceso.</t>
  </si>
  <si>
    <t>Aumento porcentual en la calificación de la subdimensión "Requerimientos Técnicos" en la siguiente evaluación de calidad.</t>
  </si>
  <si>
    <t>Verificar que el servicio sea compatible con las últimas versiones de los navegadores web más utilizados (Chrome, Firefox, Safari, Edge).</t>
  </si>
  <si>
    <t>El servicio es compatible con los principales navegadores web actualizados.</t>
  </si>
  <si>
    <t>Eliminar la dependencia de plugins o software de terceros que no sean estrictamente necesarios (ej. Flash, Java Applets).</t>
  </si>
  <si>
    <t>El servicio no requiere plugins o tecnologías obsoletas para su funcionamiento.</t>
  </si>
  <si>
    <t>PTD-D2S-I10</t>
  </si>
  <si>
    <t>Iniciativa de Calidad en Servicios Digitales: Usabilidad</t>
  </si>
  <si>
    <t>El servicio es difícil de usar, requiere de mucho esfuerzo cognitivo por parte de la persona usuaria o no sigue convenciones de diseño establecidas.</t>
  </si>
  <si>
    <t>Aumento porcentual en la calificación de la subdimensión "Usabilidad" en la siguiente evaluación de calidad.</t>
  </si>
  <si>
    <t>Realizar pruebas de usabilidad con personas usuarias representativas para identificar los principales problemas de la interfaz.</t>
  </si>
  <si>
    <t>Se han ejecutado pruebas de usabilidad y se cuenta con un informe de resultados.</t>
  </si>
  <si>
    <t>Elaborar un plan de mejoras de usabilidad basado en los hallazgos de las pruebas.</t>
  </si>
  <si>
    <t>Existe un plan de mejoras de usabilidad con acciones y plazos definidos.</t>
  </si>
  <si>
    <t>Implementar las mejoras de usabilidad priorizadas.</t>
  </si>
  <si>
    <t>Las mejoras de usabilidad han sido implementadas en el servicio.</t>
  </si>
  <si>
    <t>Accesibilidad</t>
  </si>
  <si>
    <t>PTD-D2S-I11</t>
  </si>
  <si>
    <t>Iniciativa de Calidad en Servicios Digitales: Accesibilidad</t>
  </si>
  <si>
    <t>El servicio no cumple con las pautas de accesibilidad web, impidiendo o dificultando su uso por parte de personas con discapacidad.</t>
  </si>
  <si>
    <t>Aumento porcentual en la calificación de la subdimensión "Accesibilidad" en la siguiente evaluación de calidad.</t>
  </si>
  <si>
    <t>Realizar una auditoría de accesibilidad del servicio utilizando herramientas automáticas y revisiones manuales, basada en las pautas WCAG 2.1 nivel AA.</t>
  </si>
  <si>
    <t>Se cuenta con un informe de auditoría de accesibilidad que identifica las brechas.</t>
  </si>
  <si>
    <t>Implementar las correcciones técnicas para cumplir con los criterios de accesibilidad (ej. textos alternativos para imágenes, etiquetas para campos de formulario, navegación por teclado).</t>
  </si>
  <si>
    <t>El servicio cumple con los criterios de accesibilidad de nivel AA de las WCAG 2.1.</t>
  </si>
  <si>
    <t>Disponibilidad y rendimiento</t>
  </si>
  <si>
    <t>PTD-D2S-I12</t>
  </si>
  <si>
    <t>Iniciativa de Calidad en Servicios Digitales: Disponibilidad y Rendimiento</t>
  </si>
  <si>
    <t>El servicio presenta caídas frecuentes, es lento o no responde de manera adecuada ante una alta demanda, afectando la confianza y satisfacción de las personas.</t>
  </si>
  <si>
    <t>Aumento porcentual en la calificación de la subdimensión "Disponibilidad y Rendimiento" en la siguiente evaluación de calidad.</t>
  </si>
  <si>
    <t>Implementar un sistema de monitoreo continuo para medir el tiempo de actividad (uptime) y los tiempos de respuesta del servicio.</t>
  </si>
  <si>
    <t>Se monitorea activamente la disponibilidad y el rendimiento del servicio.</t>
  </si>
  <si>
    <t>Realizar pruebas de carga y estrés para identificar cuellos de botella y optimizar el rendimiento del servicio.</t>
  </si>
  <si>
    <t>Se han optimizado los tiempos de carga del servicio para una experiencia fluida.</t>
  </si>
  <si>
    <t>PTD-D2S-I13</t>
  </si>
  <si>
    <t>Iniciativa de Calidad en Servicios Digitales: Seguridad</t>
  </si>
  <si>
    <t>El servicio no implementa las medidas de seguridad necesarias para proteger la información de las personas y de la institución.</t>
  </si>
  <si>
    <t>Aumento porcentual en la calificación de la subdimensión "Seguridad" en la siguiente evaluación de calidad.</t>
  </si>
  <si>
    <t>Asegurar que toda la comunicación entre la persona usuaria y el servicio esté cifrada mediante el protocolo HTTPS.</t>
  </si>
  <si>
    <t>El servicio opera exclusivamente bajo HTTPS.</t>
  </si>
  <si>
    <t>Realizar análisis periódicos de vulnerabilidades y aplicar los parches de seguridad correspondientes.</t>
  </si>
  <si>
    <t>Se realizan análisis de vulnerabilidades de forma periódica y se corrigen las brechas detectadas.</t>
  </si>
  <si>
    <t>Comunicación con el usuario</t>
  </si>
  <si>
    <t>PTD-D2S-I14</t>
  </si>
  <si>
    <t>Iniciativa de Calidad en Servicios Digitales: Comunicación con el Usuario</t>
  </si>
  <si>
    <t>El servicio no mantiene informada a la persona usuaria sobre el estado de sus solicitudes o los próximos pasos del trámite, generando incertidumbre.</t>
  </si>
  <si>
    <t>Aumento porcentual en la calificación de la subdimensión "Comunicación con el Usuario" en la siguiente evaluación de calidad.</t>
  </si>
  <si>
    <t>Implementar un sistema de notificaciones automáticas (por correo electrónico o en la misma plataforma) para informar sobre los cambios de estado de un trámite.</t>
  </si>
  <si>
    <t>La persona usuaria recibe notificaciones sobre el avance de su trámite.</t>
  </si>
  <si>
    <t>Proporcionar un comprobante o número de seguimiento al finalizar una transacción o solicitud.</t>
  </si>
  <si>
    <t>El servicio entrega un comprobante descargable y/o un número de seguimiento al completar una operación.</t>
  </si>
  <si>
    <t>Soporte y retroalimentación</t>
  </si>
  <si>
    <t>PTD-D2S-I15</t>
  </si>
  <si>
    <t>Iniciativa de Calidad en Servicios Digitales: Soporte y Retroalimentación</t>
  </si>
  <si>
    <t>El servicio no ofrece canales claros para que las personas usuarias puedan solicitar ayuda o entregar su opinión para la mejora del mismo.</t>
  </si>
  <si>
    <t>Aumento porcentual en la calificación de la subdimensión "Soporte y Retroalimentación" en la siguiente evaluación de calidad.</t>
  </si>
  <si>
    <t>Implementar un mecanismo visible y sencillo para que las personas puedan calificar el servicio y dejar comentarios o sugerencias.</t>
  </si>
  <si>
    <t>Existe un mecanismo para recoger la retroalimentación de las personas usuarias.</t>
  </si>
  <si>
    <t>Definir y publicar los canales de soporte (teléfono, chat, formulario de contacto) y sus horarios de atención.</t>
  </si>
  <si>
    <t>Los canales de soporte y sus horarios están claramente informados.</t>
  </si>
  <si>
    <t>Lenguaje claro</t>
  </si>
  <si>
    <t>PTD-D2S-I16</t>
  </si>
  <si>
    <t>Iniciativa de Calidad en Servicios Digitales: Lenguaje Claro</t>
  </si>
  <si>
    <t>El servicio utiliza jerga técnica, legal o burocrática que dificulta la comprensión por parte de la ciudadanía.</t>
  </si>
  <si>
    <t>Aumento porcentual en la calificación de la subdimensión "Lenguaje Claro" en la siguiente evaluación de calidad.</t>
  </si>
  <si>
    <t>Capacitar a los equipos responsables del contenido en los principios y técnicas de Lenguaje Claro.</t>
  </si>
  <si>
    <t>El equipo de contenidos ha sido capacitado en Lenguaje Claro.</t>
  </si>
  <si>
    <t>Crear una guía de estilo o manual de voz y tono para asegurar la consistencia y claridad de los textos.</t>
  </si>
  <si>
    <t>Se cuenta con una guía de estilo para la redacción de contenidos.</t>
  </si>
  <si>
    <t>Descripción del servicio digital</t>
  </si>
  <si>
    <t>PTD-D2S-I17</t>
  </si>
  <si>
    <t>Iniciativa de Calidad en Servicios Digitales: Descripción del Servicio Digital</t>
  </si>
  <si>
    <t>La información sobre qué es el servicio, a quién está dirigido, qué se necesita para usarlo y qué se obtiene no es clara ni completa.</t>
  </si>
  <si>
    <t>Aumento porcentual en la calificación de la subdimensión "Descripción del Servicio Digital" en la siguiente evaluación de calidad.</t>
  </si>
  <si>
    <t>Elaborar y publicar una ficha del servicio en el portal ChileAtiende y en el sitio web institucional.</t>
  </si>
  <si>
    <t>La ficha del servicio está publicada y actualizada en ChileAtiende y el sitio web institucional.</t>
  </si>
  <si>
    <t>Asegurar que la ficha del servicio contenga: descripción clara, a quién va dirigido, requisitos, costo, vigencia y resultado.</t>
  </si>
  <si>
    <t>La ficha del servicio contiene toda la información requerida de manera completa y clara.</t>
  </si>
  <si>
    <t>Marco normativo</t>
  </si>
  <si>
    <t>PTD-D2S-I18</t>
  </si>
  <si>
    <t>Iniciativa de Calidad en Servicios Digitales: Marco Normativo</t>
  </si>
  <si>
    <t>El servicio no informa de manera transparente la normativa que lo rige o lo hace de una forma incomprensible para la ciudadanía.</t>
  </si>
  <si>
    <t>Aumento porcentual en la calificación de la subdimensión "Marco Normativo" en la siguiente evaluación de calidad.</t>
  </si>
  <si>
    <t>Identificar y listar todas las leyes, decretos y resoluciones que regulan el trámite o servicio digital.</t>
  </si>
  <si>
    <t>Se cuenta con un listado completo del marco normativo aplicable.</t>
  </si>
  <si>
    <t>Publicar en la ficha del servicio un resumen en lenguaje claro del marco normativo y enlaces a los documentos originales.</t>
  </si>
  <si>
    <t>El marco normativo está disponible y explicado en lenguaje claro en la ficha del servicio.</t>
  </si>
  <si>
    <t>PTD-D2S-I19</t>
  </si>
  <si>
    <t>Iniciativa de Calidad en Servicios Digitales: Enfoque de Género</t>
  </si>
  <si>
    <t>El lenguaje, las imágenes y el diseño del servicio no son inclusivos y pueden perpetuar estereotipos de género.</t>
  </si>
  <si>
    <t>Aumento porcentual en la calificación de la subdimensión "Enfoque de Género" en la siguiente evaluación de calidad.</t>
  </si>
  <si>
    <t>Revisar todos los textos e imágenes del servicio para eliminar cualquier sesgo de género y utilizar un lenguaje inclusivo.</t>
  </si>
  <si>
    <t>El contenido del servicio utiliza lenguaje e imágenes inclusivas.</t>
  </si>
  <si>
    <t>Asegurar que los formularios ofrezcan opciones de género inclusivas cuando sea pertinente solicitar esta información.</t>
  </si>
  <si>
    <t>Los formularios utilizan opciones de género inclusivas.</t>
  </si>
  <si>
    <t>Medición y reporte</t>
  </si>
  <si>
    <t>PTD-D2S-I20</t>
  </si>
  <si>
    <t>Iniciativa de Calidad en Servicios Digitales: Medición y Reporte</t>
  </si>
  <si>
    <t>No se mide el uso ni la satisfacción con el servicio, impidiendo la toma de decisiones basada en datos para su mejora continua.</t>
  </si>
  <si>
    <t>Aumento porcentual en la calificación de la subdimensión "Medición y Reporte" en la siguiente evaluación de calidad.</t>
  </si>
  <si>
    <t>Implementar una herramienta de analítica web para medir el comportamiento de las personas usuarias en el servicio.</t>
  </si>
  <si>
    <t>Se recopilan datos de uso del servicio a través de una plataforma de analítica web.</t>
  </si>
  <si>
    <t>Definir Indicadores Clave de Desempeño (KPIs) para el servicio (ej. tasa de éxito, tiempo en la tarea, satisfacción).</t>
  </si>
  <si>
    <t>Se han definido los KPIs para la medición del servicio.</t>
  </si>
  <si>
    <t>Generar reportes periódicos con los KPIs y la retroalimentación de las personas usuarias para informar la toma de decisiones.</t>
  </si>
  <si>
    <t>Se generan y utilizan reportes periódicos para la mejora continua del servicio.</t>
  </si>
  <si>
    <t>PTD-D2W-I01</t>
  </si>
  <si>
    <t>Iniciativa de Calidad para Sitios Web: Arquitectura de la Información</t>
  </si>
  <si>
    <t>El sitio web presenta una estructura de contenidos y navegación que no es clara, coherente ni predecible para las personas usuarias.</t>
  </si>
  <si>
    <t>Definir y documentar la jerarquía de contenidos y el mapa de navegación del sitio, asegurando que se alinee con las tareas y necesidades de las personas usuarias.</t>
  </si>
  <si>
    <t>Se cuenta con un mapa de arquitectura de información del sitio documentado y aprobado.</t>
  </si>
  <si>
    <t>Implementar un menú de navegación principal consistente y visible en todas las páginas del sitio web.</t>
  </si>
  <si>
    <t>El menú de navegación es consistente en todo el sitio web.</t>
  </si>
  <si>
    <t>Crear y mantener actualizado un mapa del sitio en formato HTML y XML para facilitar la navegación y la indexación por buscadores.</t>
  </si>
  <si>
    <t>El mapa del sitio (HTML y XML) está implementado y actualizado.</t>
  </si>
  <si>
    <t>PTD-D2W-I02</t>
  </si>
  <si>
    <t>Iniciativa de Calidad para Sitios Web: Estandarización de Componentes</t>
  </si>
  <si>
    <t>El sitio web utiliza elementos de interfaz (botones, enlaces, íconos) de manera inconsistente, dificultando el aprendizaje y uso de la plataforma.</t>
  </si>
  <si>
    <t>Los componentes visuales del sitio (botones, campos de formulario, etc.) se rigen por el Kit de Diseño UI del Estado.</t>
  </si>
  <si>
    <t>Los enlaces son visualmente consistentes y reconocibles en todo el sitio.</t>
  </si>
  <si>
    <t>El pie de página cumple con los estándares definidos y se muestra en todo el sitio.</t>
  </si>
  <si>
    <t>PTD-D2W-I03</t>
  </si>
  <si>
    <t>Iniciativa de Calidad para Sitios Web: Claridad en los Contenidos</t>
  </si>
  <si>
    <t>Los textos y contenidos del sitio son ambiguos, técnicos o difíciles de entender, generando confusión en las personas usuarias.</t>
  </si>
  <si>
    <t>Revisar y reescribir todos los textos del sitio web utilizando los principios de Lenguaje Claro.</t>
  </si>
  <si>
    <t>Los contenidos del sitio están redactados en Lenguaje Claro.</t>
  </si>
  <si>
    <t>Asegurar que la página de inicio presente claramente la misión de la institución y el propósito del sitio web.</t>
  </si>
  <si>
    <t>La página de inicio explica claramente el propósito del sitio web.</t>
  </si>
  <si>
    <t>Utilizar encabezados, listas y párrafos cortos para estructurar el contenido y facilitar su lectura rápida (escaneo).</t>
  </si>
  <si>
    <t>El contenido está correctamente estructurado con encabezados, listas y párrafos cortos.</t>
  </si>
  <si>
    <t>PTD-D2W-I04</t>
  </si>
  <si>
    <t>Iniciativa de Calidad para Sitios Web: Diseño Visual</t>
  </si>
  <si>
    <t>El diseño visual del sitio es poco atractivo, inconsistente o no se alinea con la identidad gráfica del gobierno, afectando la confianza y la experiencia de uso.</t>
  </si>
  <si>
    <t>El diseño visual del sitio se alinea con la identidad gráfica del gobierno.</t>
  </si>
  <si>
    <t>El sitio web es completamente funcional y usable en dispositivos móviles.</t>
  </si>
  <si>
    <t>PTD-D2W-I05</t>
  </si>
  <si>
    <t>Iniciativa de Calidad para Sitios Web: Formularios</t>
  </si>
  <si>
    <t>Los formularios de contacto u otros del sitio son largos, complejos y no entregan la ayuda necesaria, provocando errores y frustración en las personas.</t>
  </si>
  <si>
    <t>PTD-D2W-I06</t>
  </si>
  <si>
    <t>Iniciativa de Calidad para Sitios Web: Buscador</t>
  </si>
  <si>
    <t>El sitio carece de una función de búsqueda o la que existe es ineficaz, dificultando que las personas encuentren la información que necesitan.</t>
  </si>
  <si>
    <t>Implementar una funcionalidad de búsqueda visible y accesible desde cualquier página del sitio.</t>
  </si>
  <si>
    <t>Existe una funcionalidad de búsqueda accesible en el sitio.</t>
  </si>
  <si>
    <t>Implementar una página de "búsqueda avanzada" con filtros para refinar los resultados.</t>
  </si>
  <si>
    <t>La funcionalidad de búsqueda avanzada está implementada.</t>
  </si>
  <si>
    <t>PTD-D2W-I07</t>
  </si>
  <si>
    <t>Iniciativa de Calidad para Sitios Web: Ayuda</t>
  </si>
  <si>
    <t>El sitio no ofrece mecanismos de ayuda claros y accesibles, dejando a las personas sin soporte cuando encuentran dificultades.</t>
  </si>
  <si>
    <t>Crear y mantener una sección de "Preguntas Frecuentes" (FAQ) con las dudas más comunes de las personas usuarias sobre la institución y sus servicios.</t>
  </si>
  <si>
    <t>El sitio cuenta con una sección de Preguntas Frecuentes útil y actualizada.</t>
  </si>
  <si>
    <t>Ofrecer canales de contacto claros (teléfono, correo, formulario, dirección) para que las personas puedan solicitar soporte o información.</t>
  </si>
  <si>
    <t>PTD-D2W-I08</t>
  </si>
  <si>
    <t>Iniciativa de Calidad para Sitios Web: Errores</t>
  </si>
  <si>
    <t>El sitio no maneja los errores de forma adecuada, mostrando páginas de error genéricas (Error 404) que no guían a la persona usuaria.</t>
  </si>
  <si>
    <t>Diseñar una página de error 404 personalizada que sea amigable, explique el problema y ofrezca alternativas de navegación (buscador, enlace a la home).</t>
  </si>
  <si>
    <t>El sitio cuenta con una página de error 404 personalizada y útil.</t>
  </si>
  <si>
    <t>Realizar revisiones periódicas para detectar y corregir enlaces rotos dentro del sitio web.</t>
  </si>
  <si>
    <t>Se mantiene un bajo porcentaje de enlaces rotos en el sitio web.</t>
  </si>
  <si>
    <t>PTD-D2W-I09</t>
  </si>
  <si>
    <t>Iniciativa de Calidad para Sitios Web: Requerimientos Técnicos</t>
  </si>
  <si>
    <t>El sitio no informa sobre los requerimientos técnicos necesarios para su uso o depende de tecnologías obsoletas que limitan su acceso.</t>
  </si>
  <si>
    <t>Verificar que el sitio sea compatible con las últimas versiones de los navegadores web más utilizados (Chrome, Firefox, Safari, Edge).</t>
  </si>
  <si>
    <t>El sitio es compatible con los principales navegadores web actualizados.</t>
  </si>
  <si>
    <t>El sitio no requiere plugins o tecnologías obsoletas para su funcionamiento.</t>
  </si>
  <si>
    <t>PTD-D2W-I10</t>
  </si>
  <si>
    <t>Iniciativa de Calidad para Sitios Web: Usabilidad</t>
  </si>
  <si>
    <t>El sitio es difícil de navegar, requiere de mucho esfuerzo cognitivo por parte de la persona usuaria o no sigue convenciones de diseño establecidas.</t>
  </si>
  <si>
    <t>PTD-D2W-I11</t>
  </si>
  <si>
    <t>Iniciativa de Calidad para Sitios Web: Accesibilidad</t>
  </si>
  <si>
    <t>El sitio no cumple con las pautas de accesibilidad web, impidiendo o dificultando su uso por parte de personas con discapacidad.</t>
  </si>
  <si>
    <t>Realizar una auditoría de accesibilidad del sitio utilizando herramientas automáticas y revisiones manuales, basada en las pautas WCAG 2.1 nivel AA.</t>
  </si>
  <si>
    <t>El sitio cumple con los criterios de accesibilidad de nivel AA de las WCAG 2.1.</t>
  </si>
  <si>
    <t>PTD-D2W-I12</t>
  </si>
  <si>
    <t>Iniciativa de Calidad para Sitios Web: Disponibilidad y Rendimiento</t>
  </si>
  <si>
    <t>El sitio presenta caídas frecuentes, es lento o no responde de manera adecuada ante una alta demanda, afectando la confianza y satisfacción de las personas.</t>
  </si>
  <si>
    <t>Implementar un sistema de monitoreo continuo para medir el tiempo de actividad (uptime) y los tiempos de respuesta del sitio.</t>
  </si>
  <si>
    <t>Se monitorea activamente la disponibilidad y el rendimiento del sitio.</t>
  </si>
  <si>
    <t>Realizar pruebas de carga y estrés para identificar cuellos de botella y optimizar el rendimiento del sitio.</t>
  </si>
  <si>
    <t>Se han optimizado los tiempos de carga del sitio para una experiencia fluida.</t>
  </si>
  <si>
    <t>PTD-D2W-I13</t>
  </si>
  <si>
    <t>Iniciativa de Calidad para Sitios Web: Seguridad</t>
  </si>
  <si>
    <t>El sitio no implementa las medidas de seguridad necesarias para proteger la información de las personas y de la institución.</t>
  </si>
  <si>
    <t>Asegurar que toda la comunicación entre la persona usuaria y el sitio esté cifrada mediante el protocolo HTTPS.</t>
  </si>
  <si>
    <t>El sitio opera exclusivamente bajo HTTPS.</t>
  </si>
  <si>
    <t>PTD-D2W-I14</t>
  </si>
  <si>
    <t>Iniciativa de Calidad para Sitios Web: Comunicación con el Usuario</t>
  </si>
  <si>
    <t>El sitio no informa de manera clara y oportuna sobre noticias, eventos o cambios relevantes para la ciudadanía.</t>
  </si>
  <si>
    <t>Mantener una sección de "Noticias" o "Actualidad" con información relevante y actualizada para la ciudadanía.</t>
  </si>
  <si>
    <t>La sección de noticias del sitio se mantiene actualizada.</t>
  </si>
  <si>
    <t>Implementar un sistema de suscripción voluntaria a un boletín informativo (newsletter).</t>
  </si>
  <si>
    <t>Existe un sistema de suscripción a boletín informativo.</t>
  </si>
  <si>
    <t>PTD-D2W-I15</t>
  </si>
  <si>
    <t>Iniciativa de Calidad para Sitios Web: Soporte y Retroalimentación</t>
  </si>
  <si>
    <t>El sitio no ofrece canales claros para que las personas usuarias puedan entregar su opinión para la mejora del mismo.</t>
  </si>
  <si>
    <t>Implementar un mecanismo visible y sencillo para que las personas puedan calificar el sitio o una página específica y dejar comentarios.</t>
  </si>
  <si>
    <t>Analizar periódicamente la retroalimentación recibida para identificar oportunidades de mejora.</t>
  </si>
  <si>
    <t>La retroalimentación de los usuarios se analiza y utiliza para mejorar el sitio.</t>
  </si>
  <si>
    <t>PTD-D2W-I16</t>
  </si>
  <si>
    <t>Iniciativa de Calidad para Sitios Web: Lenguaje Claro</t>
  </si>
  <si>
    <t>El sitio utiliza jerga técnica, legal o burocrática que dificulta la comprensión por parte de la ciudadanía.</t>
  </si>
  <si>
    <t>Estructura</t>
  </si>
  <si>
    <t>PTD-D2W-I17</t>
  </si>
  <si>
    <t>Iniciativa de Calidad para Sitios Web: Estructura</t>
  </si>
  <si>
    <t>El contenido del sitio no está organizado lógicamente o carece de elementos estructurales básicos que faciliten su comprensión y uso.</t>
  </si>
  <si>
    <t>Aumento porcentual en la calificación de la subdimensión "Estructura" en la siguiente evaluación de calidad.</t>
  </si>
  <si>
    <t>Asegurar que todas las páginas tengan un título único y descriptivo (etiqueta &lt;title&gt;).</t>
  </si>
  <si>
    <t>Todas las páginas tienen títulos únicos y descriptivos.</t>
  </si>
  <si>
    <t>Utilizar correctamente las etiquetas de encabezado (H1, H2, H3) para jerarquizar el contenido de cada página.</t>
  </si>
  <si>
    <t>La jerarquía de encabezados se utiliza correctamente en todas las páginas.</t>
  </si>
  <si>
    <t>PTD-D2W-I18</t>
  </si>
  <si>
    <t>Iniciativa de Calidad para Sitios Web: Marco Normativo</t>
  </si>
  <si>
    <t>El sitio no informa de manera transparente la normativa que rige a la institución o sus actos.</t>
  </si>
  <si>
    <t>Publicar y mantener actualizada una sección con el marco normativo que rige a la institución.</t>
  </si>
  <si>
    <t>El sitio cuenta con una sección de Marco Normativo actualizada.</t>
  </si>
  <si>
    <t>Asegurar que la información sobre Transparencia Activa esté completa, actualizada y sea de fácil acceso.</t>
  </si>
  <si>
    <t>El sitio cumple con los requerimientos de Transparencia Activa.</t>
  </si>
  <si>
    <t>PTD-D2W-I19</t>
  </si>
  <si>
    <t>Iniciativa de Calidad para Sitios Web: Enfoque de Género</t>
  </si>
  <si>
    <t>El lenguaje, las imágenes y el diseño del sitio no son inclusivos y pueden perpetuar estereotipos de género.</t>
  </si>
  <si>
    <t>Revisar todos los textos e imágenes del sitio para eliminar cualquier sesgo de género y utilizar un lenguaje inclusivo.</t>
  </si>
  <si>
    <t>El contenido del sitio utiliza lenguaje e imágenes inclusivas.</t>
  </si>
  <si>
    <t>PTD-D2W-I20</t>
  </si>
  <si>
    <t>Iniciativa de Calidad para Sitios Web: Promoción</t>
  </si>
  <si>
    <t>El sitio no está optimizado para ser encontrado por los motores de búsqueda y no se utilizan canales digitales para difundir sus contenidos.</t>
  </si>
  <si>
    <t>Aumento porcentual en la calificación de la subdimensión "Promoción" en la siguiente evaluación de calidad.</t>
  </si>
  <si>
    <t>Implementar las mejores prácticas de optimización para motores de búsqueda (SEO), incluyendo el uso de palabras clave, meta descripciones y URLs amigables.</t>
  </si>
  <si>
    <t>El sitio está técnicamente optimizado para motores de búsqueda (SEO).</t>
  </si>
  <si>
    <t>Integrar el sitio con las redes sociales institucionales, permitiendo compartir contenidos fácilmente.</t>
  </si>
  <si>
    <t>El sitio está integrado con las redes sociales de la institución.</t>
  </si>
  <si>
    <t>Visión estratégica</t>
  </si>
  <si>
    <t>PTD-D3-I01</t>
  </si>
  <si>
    <t>Iniciativa de Madurez en Visión Estratégica de Datos</t>
  </si>
  <si>
    <t>Bajo nivel de madurez en la alineación de la gestión de datos con los objetivos estratégicos de la institución.</t>
  </si>
  <si>
    <t>Gobernar los datos institucionales como un activo estratégico para generar valor público y mejorar la toma de decisiones y la calidad de servicio a las personas usuarias</t>
  </si>
  <si>
    <t>Porcentaje de hitos de la iniciativa completados por nivel de madurez.</t>
  </si>
  <si>
    <t>Nivel de madurez alcanzado en la subdimensión "Visión estratégica" (Básico, Medio o Avanzado).</t>
  </si>
  <si>
    <t>(Para Nivel Básico) Socializar con las autoridades la importancia de los datos como un activo estratégico y los objetivos del Marco de Gestión de Datos del Estado (MGDE).</t>
  </si>
  <si>
    <t>(Para Nivel Básico) Identificar y documentar los principales objetivos estratégicos de la institución que pueden ser apoyados por una mejor gestión de datos.</t>
  </si>
  <si>
    <t>(Hito Nivel Básico) Nivel de Madurez Básico alcanzado en Visión estratégica.</t>
  </si>
  <si>
    <t>(Para Nivel Medio) Elaborar una declaración formal de la visión estratégica de datos y un plan de acción, alineado con los objetivos institucionales.</t>
  </si>
  <si>
    <t>(Para Nivel Medio) Comunicar formalmente la visión y el plan de acción a toda la organización para generar compromiso.</t>
  </si>
  <si>
    <t>(Hito Nivel Medio) Nivel de Madurez Medio alcanzado en Visión estratégica.</t>
  </si>
  <si>
    <t>(Para Nivel Avanzado) Integrar la estrategia de datos en el ciclo de planificación estratégica formal de la institución.</t>
  </si>
  <si>
    <t>(Para Nivel Avanzado) Medir y reportar periódicamente el impacto de la gestión de datos en el cumplimiento de los objetivos estratégicos.</t>
  </si>
  <si>
    <t>(Hito Nivel Avanzado) Nivel de Madurez Avanzado alcanzado en Visión estratégica.</t>
  </si>
  <si>
    <t>Cumplimiento legal y normativo</t>
  </si>
  <si>
    <t>PTD-D3-I02</t>
  </si>
  <si>
    <t>Iniciativa de Madurez en Cumplimiento Legal y Normativo</t>
  </si>
  <si>
    <t>Desconocimiento o bajo cumplimiento de las regulaciones sobre protección y gestión de datos (Ley 19.628, Ley 21.180, etc.).</t>
  </si>
  <si>
    <t>Nivel de madurez alcanzado en la subdimensión "Cumplimiento legal y normativo" (Básico, Medio o Avanzado).</t>
  </si>
  <si>
    <t>(Para Nivel Básico) Informar al área jurídica sobre las políticas y procedimientos de gobierno de datos que se están definiendo.</t>
  </si>
  <si>
    <t>(Para Nivel Básico) Realizar una revisión jurídica para detectar potenciales incumplimientos en la gestión de datos personales y definir acciones.</t>
  </si>
  <si>
    <t>(Hito Nivel Básico) Nivel de Madurez Básico alcanzado en Cumplimiento legal y normativo.</t>
  </si>
  <si>
    <t>(Para Nivel Medio) Solicitar la validación del área jurídica para las políticas y procedimientos de gobierno de datos.</t>
  </si>
  <si>
    <t>(Para Nivel Medio) Aplicar un plan de cumplimiento para cerrar las brechas detectadas en la gestión de datos personales.</t>
  </si>
  <si>
    <t>(Hito Nivel Medio) Nivel de Madurez Medio alcanzado en Cumplimiento legal y normativo.</t>
  </si>
  <si>
    <t>(Para Nivel Avanzado) Incorporar al área jurídica en la definición y validación continua de políticas de gobernanza de datos.</t>
  </si>
  <si>
    <t>(Para Nivel Avanzado) Instalar procedimientos para garantizar el cumplimiento normativo frente a cambios legislativos.</t>
  </si>
  <si>
    <t>(Hito Nivel Avanzado) Nivel de Madurez Avanzado alcanzado en Cumplimiento legal y normativo.</t>
  </si>
  <si>
    <t>Roles y responsabilidades</t>
  </si>
  <si>
    <t>PTD-D3-I03</t>
  </si>
  <si>
    <t>Iniciativa de Madurez en Roles y Responsabilidades</t>
  </si>
  <si>
    <t>Inexistencia de roles formales y responsabilidades asignadas para la gestión y gobierno de los datos en la institución.</t>
  </si>
  <si>
    <t>Nivel de madurez alcanzado en la subdimensión "Roles y responsabilidades" (Básico, Medio o Avanzado).</t>
  </si>
  <si>
    <t>(Para Nivel Básico) Identificar a los funcionarios clave que actualmente trabajan con los datos más importantes de la institución.</t>
  </si>
  <si>
    <t>(Para Nivel Básico) Elaborar una propuesta inicial de roles y responsabilidades para el gobierno de datos (ej. Dueño de dato, Custodio de dato).</t>
  </si>
  <si>
    <t>(Hito Nivel Básico) Nivel de Madurez Básico alcanzado en Roles y responsabilidades.</t>
  </si>
  <si>
    <t>(Para Nivel Medio) Designar formalmente a los dueños de los activos de datos críticos y comunicar sus responsabilidades.</t>
  </si>
  <si>
    <t>(Para Nivel Medio) Crear y formalizar un Comité de Gobierno de Datos o una instancia similar con participación de áreas de negocio y TI.</t>
  </si>
  <si>
    <t>(Hito Nivel Medio) Nivel de Madurez Medio alcanzado en Roles y responsabilidades.</t>
  </si>
  <si>
    <t>(Para Nivel Avanzado) Integrar las responsabilidades de gestión de datos en las descripciones de cargo y evaluaciones de desempeño de los roles designados.</t>
  </si>
  <si>
    <t>(Para Nivel Avanzado) Establecer un programa de formación continua para los roles de gobierno y gestión de datos.</t>
  </si>
  <si>
    <t>(Hito Nivel Avanzado) Nivel de Madurez Avanzado alcanzado en Roles y responsabilidades.</t>
  </si>
  <si>
    <t>Arquitectura de datos</t>
  </si>
  <si>
    <t>PTD-D3-I04</t>
  </si>
  <si>
    <t>Iniciativa de Madurez en Arquitectura de Datos</t>
  </si>
  <si>
    <t>La arquitectura de datos de la institución no está definida, documentada ni alineada con las necesidades del negocio.</t>
  </si>
  <si>
    <t>Nivel de madurez alcanzado en la subdimensión "Arquitectura de datos" (Básico, Medio o Avanzado).</t>
  </si>
  <si>
    <t>(Para Nivel Básico) Realizar un levantamiento de los principales sistemas y bases de datos existentes en la institución.</t>
  </si>
  <si>
    <t>(Para Nivel Básico) Documentar los flujos de datos más críticos entre los sistemas identificados.</t>
  </si>
  <si>
    <t>(Hito Nivel Básico) Nivel de Madurez Básico alcanzado en Arquitectura de datos.</t>
  </si>
  <si>
    <t>(Para Nivel Medio) Definir y documentar un modelo conceptual de datos para los dominios de negocio más importantes.</t>
  </si>
  <si>
    <t>(Para Nivel Medio) Establecer principios y estándares para el diseño y desarrollo de nuevas soluciones de datos.</t>
  </si>
  <si>
    <t>(Hito Nivel Medio) Nivel de Madurez Medio alcanzado en Arquitectura de datos.</t>
  </si>
  <si>
    <t>(Para Nivel Avanzado) Desarrollar y mantener una arquitectura de datos empresarial completa que guíe toda la inversión en tecnología de datos.</t>
  </si>
  <si>
    <t>(Para Nivel Avanzado) Implementar un proceso formal para la revisión y aprobación de la arquitectura de todas las nuevas soluciones de datos.</t>
  </si>
  <si>
    <t>(Hito Nivel Avanzado) Nivel de Madurez Avanzado alcanzado en Arquitectura de datos.</t>
  </si>
  <si>
    <t>Modelamiento y diseño de datos</t>
  </si>
  <si>
    <t>PTD-D3-I05</t>
  </si>
  <si>
    <t>Iniciativa de Madurez en Modelamiento y Diseño de Datos</t>
  </si>
  <si>
    <t>No existen estándares ni prácticas formales para el modelamiento y diseño de las estructuras de datos.</t>
  </si>
  <si>
    <t>Nivel de madurez alcanzado en la subdimensión "Modelamiento y diseño de datos" (Básico, Medio o Avanzado).</t>
  </si>
  <si>
    <t>(Para Nivel Básico) Identificar y documentar los modelos de datos existentes de los sistemas más importantes (aunque sea de forma retroactiva).</t>
  </si>
  <si>
    <t>(Hito Nivel Básico) Nivel de Madurez Básico alcanzado en Modelamiento y diseño de datos.</t>
  </si>
  <si>
    <t>(Para Nivel Medio) Adoptar una notación estándar para el modelamiento de datos (ej. IDEF1X, UML) y capacitar a los equipos.</t>
  </si>
  <si>
    <t>(Para Nivel Medio) Crear y mantener un repositorio central de modelos de datos conceptuales, lógicos y físicos.</t>
  </si>
  <si>
    <t>(Hito Nivel Medio) Nivel de Madurez Medio alcanzado en Modelamiento y diseño de datos.</t>
  </si>
  <si>
    <t>(Para Nivel Avanzado) Integrar el modelamiento de datos en el ciclo de vida de desarrollo de software (SDLC) como una etapa obligatoria.</t>
  </si>
  <si>
    <t>(Para Nivel Avanzado) Utilizar herramientas de modelamiento que permitan la ingeniería directa e inversa desde y hacia las bases de datos.</t>
  </si>
  <si>
    <t>(Hito Nivel Avanzado) Nivel de Madurez Avanzado alcanzado en Modelamiento y diseño de datos.</t>
  </si>
  <si>
    <t>Seguridad de datos</t>
  </si>
  <si>
    <t>PTD-D3-I06</t>
  </si>
  <si>
    <t>Iniciativa de Madurez en Seguridad de Datos</t>
  </si>
  <si>
    <t>Las políticas y controles para asegurar la confidencialidad, integridad y disponibilidad de los datos son débiles o inexistentes.</t>
  </si>
  <si>
    <t>Nivel de madurez alcanzado en la subdimensión "Seguridad de datos" (Básico, Medio o Avanzado).</t>
  </si>
  <si>
    <t>(Para Nivel Básico) Realizar un levantamiento y clasificación inicial de los datos según su sensibilidad (ej. Público, Reservado, Secreto).</t>
  </si>
  <si>
    <t>(Hito Nivel Básico) Nivel de Madurez Básico alcanzado en Seguridad de datos.</t>
  </si>
  <si>
    <t>(Para Nivel Medio) Definir e implementar políticas de control de acceso a los datos basadas en roles y responsabilidades.</t>
  </si>
  <si>
    <t>(Para Nivel Medio) Aplicar técnicas de anonimización o pseudonimización para los datos sensibles utilizados en ambientes no productivos.</t>
  </si>
  <si>
    <t>(Hito Nivel Medio) Nivel de Madurez Medio alcanzado en Seguridad de datos.</t>
  </si>
  <si>
    <t>(Para Nivel Avanzado) Implementar un sistema de monitoreo y auditoría de los accesos a los datos sensibles.</t>
  </si>
  <si>
    <t>(Para Nivel Avanzado) Integrar la clasificación y los controles de seguridad de datos en todo el ciclo de vida del dato.</t>
  </si>
  <si>
    <t>(Hito Nivel Avanzado) Nivel de Madurez Avanzado alcanzado en Seguridad de datos.</t>
  </si>
  <si>
    <t>Almacenamiento y operaciones de datos</t>
  </si>
  <si>
    <t>PTD-D3-I07</t>
  </si>
  <si>
    <t>Iniciativa de Madurez en Almacenamiento y Operaciones de Datos</t>
  </si>
  <si>
    <t>Las prácticas para almacenar, respaldar y recuperar los datos son informales y no garantizan su disponibilidad y protección.</t>
  </si>
  <si>
    <t>Nivel de madurez alcanzado en la subdimensión "Almacenamiento y operaciones de datos" (Básico, Medio o Avanzado).</t>
  </si>
  <si>
    <t>(Para Nivel Básico) Documentar los procedimientos existentes de respaldo (backup) y recuperación de las bases de datos críticas.</t>
  </si>
  <si>
    <t>(Hito Nivel Básico) Nivel de Madurez Básico alcanzado en Almacenamiento y operaciones de datos.</t>
  </si>
  <si>
    <t>(Para Nivel Medio) Implementar y automatizar rutinas de respaldo para todas las bases de datos productivas.</t>
  </si>
  <si>
    <t>(Para Nivel Medio) Realizar pruebas periódicas de los planes de recuperación de desastres (DRP).</t>
  </si>
  <si>
    <t>(Hito Nivel Medio) Nivel de Madurez Medio alcanzado en Almacenamiento y operaciones de datos.</t>
  </si>
  <si>
    <t>(Para Nivel Avanzado) Definir e implementar políticas de retención y archivado de datos para optimizar el almacenamiento.</t>
  </si>
  <si>
    <t>(Para Nivel Avanzado) Establecer acuerdos de nivel de servicio (SLAs) para la disponibilidad y el rendimiento de las bases de datos.</t>
  </si>
  <si>
    <t>(Hito Nivel Avanzado) Nivel de Madurez Avanzado alcanzado en Almacenamiento y operaciones de datos.</t>
  </si>
  <si>
    <t>Calidad de datos</t>
  </si>
  <si>
    <t>PTD-D3-I08</t>
  </si>
  <si>
    <t>Iniciativa de Madurez en Calidad de Datos</t>
  </si>
  <si>
    <t>La calidad de los datos es baja o desconocida, lo que genera desconfianza y afecta la toma de decisiones y la operación.</t>
  </si>
  <si>
    <t>Nivel de madurez alcanzado en la subdimensión "Calidad de datos" (Básico, Medio o Avanzado).</t>
  </si>
  <si>
    <t>(Para Nivel Básico) Realizar un perfilamiento inicial de datos en un conjunto de datos crítico para identificar problemas de calidad (ej. valores nulos, inconsistencias).</t>
  </si>
  <si>
    <t>(Hito Nivel Básico) Nivel de Madurez Básico alcanzado en Calidad de datos.</t>
  </si>
  <si>
    <t>(Para Nivel Medio) Definir métricas y umbrales de calidad de datos para los elementos de datos críticos (completitud, exactitud, consistencia, etc.).</t>
  </si>
  <si>
    <t>(Para Nivel Medio) Implementar procesos de limpieza y corrección de datos para los problemas identificados.</t>
  </si>
  <si>
    <t>(Hito Nivel Medio) Nivel de Madurez Medio alcanzado en Calidad de datos.</t>
  </si>
  <si>
    <t>(Para Nivel Avanzado) Implementar reglas de calidad de datos automatizadas en los procesos de ingesta de datos para prevenir errores.</t>
  </si>
  <si>
    <t>(Para Nivel Avanzado) Publicar un tablero de control (dashboard) con las métricas de calidad de datos para los dueños de los datos.</t>
  </si>
  <si>
    <t>(Hito Nivel Avanzado) Nivel de Madurez Avanzado alcanzado en Calidad de datos.</t>
  </si>
  <si>
    <t>Gestión de metadatos</t>
  </si>
  <si>
    <t>PTD-D3-I09</t>
  </si>
  <si>
    <t>Iniciativa de Madurez en Gestión de Metadatos</t>
  </si>
  <si>
    <t>No se capturan, gestionan ni utilizan los metadatos, lo que dificulta el descubrimiento, entendimiento y confianza en los datos.</t>
  </si>
  <si>
    <t>Nivel de madurez alcanzado en la subdimensión "Gestión de metadatos" (Básico, Medio o Avanzado).</t>
  </si>
  <si>
    <t>(Para Nivel Básico) Identificar y documentar los metadatos técnicos básicos (nombres de tablas y columnas, tipos de datos) para un sistema crítico.</t>
  </si>
  <si>
    <t>(Hito Nivel Básico) Nivel de Madurez Básico alcanzado en Gestión de metadatos.</t>
  </si>
  <si>
    <t>(Para Nivel Medio) Implementar un catálogo de datos o un repositorio centralizado para gestionar los metadatos técnicos y de negocio.</t>
  </si>
  <si>
    <t>(Para Nivel Medio) Definir un proceso para documentar el linaje de datos de los reportes y conjuntos de datos más importantes.</t>
  </si>
  <si>
    <t>(Hito Nivel Medio) Nivel de Madurez Medio alcanzado en Gestión de metadatos.</t>
  </si>
  <si>
    <t>(Para Nivel Avanzado) Automatizar la recolección de metadatos técnicos y de linaje de datos desde las fuentes de origen.</t>
  </si>
  <si>
    <t>(Para Nivel Avanzado) Integrar el catálogo de datos con otras herramientas (calidad de datos, BI) para enriquecer el contexto del usuario.</t>
  </si>
  <si>
    <t>(Hito Nivel Avanzado) Nivel de Madurez Avanzado alcanzado en Gestión de metadatos.</t>
  </si>
  <si>
    <t>Gestión de datos maestros y de referencia</t>
  </si>
  <si>
    <t>PTD-D3-I10</t>
  </si>
  <si>
    <t>Iniciativa de Madurez en Gestión de Datos Maestros y de Referencia</t>
  </si>
  <si>
    <t>Los datos maestros (ej. ciudadanos, proveedores) y de referencia (ej. comunas, regiones) son inconsistentes a través de los sistemas.</t>
  </si>
  <si>
    <t>Nivel de madurez alcanzado en la subdimensión "Gestión de datos maestros y de referencia" (Básico, Medio o Avanzado).</t>
  </si>
  <si>
    <t>(Para Nivel Básico) Identificar los principales datos maestros y de referencia utilizados en la institución.</t>
  </si>
  <si>
    <t>(Hito Nivel Básico) Nivel de Madurez Básico alcanzado en Gestión de datos maestros y de referencia.</t>
  </si>
  <si>
    <t>(Para Nivel Medio) Establecer una fuente autorizada única para cada dato maestro y de referencia crítico.</t>
  </si>
  <si>
    <t>(Para Nivel Medio) Definir procesos para la creación, actualización y eliminación de los registros de datos maestros.</t>
  </si>
  <si>
    <t>(Hito Nivel Medio) Nivel de Madurez Medio alcanzado en Gestión de datos maestros y de referencia.</t>
  </si>
  <si>
    <t>(Para Nivel Avanzado) Implementar una solución tecnológica de Gestión de Datos Maestros (MDM) para automatizar la consolidación y distribución de los datos.</t>
  </si>
  <si>
    <t>(Hito Nivel Avanzado) Nivel de Madurez Avanzado alcanzado en Gestión de datos maestros y de referencia.</t>
  </si>
  <si>
    <t>Intercambio e interoperabilidad de datos</t>
  </si>
  <si>
    <t>PTD-D3-I11</t>
  </si>
  <si>
    <t>Iniciativa de Madurez en Intercambio e Interoperabilidad de Datos</t>
  </si>
  <si>
    <t>El intercambio de datos con otras instituciones es manual, ineficiente y no sigue estándares, limitando la colaboración y la eficiencia.</t>
  </si>
  <si>
    <t>Nivel de madurez alcanzado en la subdimensión "Intercambio e interoperabilidad de datos" (Básico, Medio o Avanzado).</t>
  </si>
  <si>
    <t>(Para Nivel Básico) Identificar los principales flujos de intercambio de datos manuales que podrían ser automatizados.</t>
  </si>
  <si>
    <t>(Hito Nivel Básico) Nivel de Madurez Básico alcanzado en Intercambio e interoperabilidad de datos.</t>
  </si>
  <si>
    <t>(Para Nivel Medio) Documentar los conjuntos de datos que la institución puede ofrecer a otros y consumir desde otros, y publicarlos en un catálogo.</t>
  </si>
  <si>
    <t>(Para Nivel Medio) Utilizar la Plataforma de Interoperabilidad del Estado para consumir servicios de datos de otras instituciones.</t>
  </si>
  <si>
    <t>(Hito Nivel Medio) Nivel de Madurez Medio alcanzado en Intercambio e interoperabilidad de datos.</t>
  </si>
  <si>
    <t>(Para Nivel Avanzado) Desarrollar y publicar APIs (Interfaces de Programación de Aplicaciones) siguiendo los estándares del Estado para exponer los datos de la institución.</t>
  </si>
  <si>
    <t>(Para Nivel Avanzado) Establecer convenios de interoperabilidad formales con otras instituciones para regular el intercambio de datos.</t>
  </si>
  <si>
    <t>(Hito Nivel Avanzado) Nivel de Madurez Avanzado alcanzado en Intercambio e interoperabilidad de datos.</t>
  </si>
  <si>
    <t>Analítica y Business Intelligence (BI)</t>
  </si>
  <si>
    <t>PTD-D3-I12</t>
  </si>
  <si>
    <t>Iniciativa de Madurez en Analítica y Business Intelligence (BI)</t>
  </si>
  <si>
    <t>La capacidad para analizar datos y generar reportes para la toma de decisiones es limitada y se basa en procesos manuales y hojas de cálculo.</t>
  </si>
  <si>
    <t>Nivel de madurez alcanzado en la subdimensión "Analítica y Business Intelligence (BI)" (Básico, Medio o Avanzado).</t>
  </si>
  <si>
    <t>(Para Nivel Básico) Identificar las principales preguntas de negocio y necesidades de reportería de las áreas clave.</t>
  </si>
  <si>
    <t>(Hito Nivel Básico) Nivel de Madurez Básico alcanzado en Analítica y Business Intelligence (BI).</t>
  </si>
  <si>
    <t>(Para Nivel Medio) Implementar una plataforma de Business Intelligence (BI) para la creación de reportes y tableros de control estandarizados.</t>
  </si>
  <si>
    <t>(Para Nivel Medio) Capacitar a los usuarios de negocio en el uso de la herramienta de BI para el auto-servicio de reportería.</t>
  </si>
  <si>
    <t>(Hito Nivel Medio) Nivel de Madurez Medio alcanzado en Analítica y Business Intelligence (BI).</t>
  </si>
  <si>
    <t>(Para Nivel Avanzado) Desarrollar modelos de analítica avanzada (predictiva, prescriptiva) para responder a preguntas estratégicas complejas.</t>
  </si>
  <si>
    <t>(Para Nivel Avanzado) Fomentar una cultura de toma de decisiones basada en datos, donde la analítica sea parte integral de los procesos de negocio.</t>
  </si>
  <si>
    <t>(Hito Nivel Avanzado) Nivel de Madurez Avanzado alcanzado en Analítica y Business Intelligence (BI).</t>
  </si>
  <si>
    <t>Ej.v2</t>
  </si>
  <si>
    <t>Ej.v3</t>
  </si>
  <si>
    <t>COUNT de N_Actividad_Hito</t>
  </si>
  <si>
    <t>COUNTA de N_Actividad_Hito</t>
  </si>
  <si>
    <t>COUNTUNIQUE de ID_Iniciativa</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</si>
</sst>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0.0%"/>
    <numFmt numFmtId="165" formatCode="d.m"/>
    <numFmt numFmtId="166" formatCode="d.m."/>
    <numFmt numFmtId="167" formatCode="d.m.yyyy"/>
    <numFmt numFmtId="168" formatCode="d.m.yy"/>
  </numFmts>
  <fonts count="59">
    <font>
      <sz val="10.0"/>
      <color rgb="FF000000"/>
      <name val="Arial"/>
      <scheme val="minor"/>
    </font>
    <font>
      <color theme="1"/>
      <name val="Arial"/>
      <scheme val="minor"/>
    </font>
    <font>
      <b/>
      <color rgb="FF000000"/>
      <name val="Lato"/>
    </font>
    <font>
      <color rgb="FF000000"/>
      <name val="Lato"/>
    </font>
    <font>
      <b/>
      <color theme="1"/>
      <name val="Arial"/>
      <scheme val="minor"/>
    </font>
    <font>
      <color rgb="FFFFFFFF"/>
      <name val="Arial"/>
      <scheme val="minor"/>
    </font>
    <font>
      <color rgb="FFFF0000"/>
      <name val="Arial"/>
      <scheme val="minor"/>
    </font>
    <font>
      <color theme="4"/>
      <name val="Arial"/>
      <scheme val="minor"/>
    </font>
    <font>
      <sz val="11.0"/>
      <color theme="1"/>
      <name val="Arial"/>
      <scheme val="minor"/>
    </font>
    <font>
      <u/>
      <sz val="11.0"/>
      <color rgb="FF0000FF"/>
    </font>
    <font>
      <color rgb="FF4285F4"/>
      <name val="Arial"/>
      <scheme val="minor"/>
    </font>
    <font>
      <sz val="10.0"/>
      <color rgb="FF434343"/>
      <name val="Arial"/>
      <scheme val="minor"/>
    </font>
    <font>
      <sz val="10.0"/>
      <color theme="1"/>
      <name val="Arial"/>
      <scheme val="minor"/>
    </font>
    <font>
      <b/>
      <sz val="10.0"/>
      <color rgb="FF434343"/>
      <name val="Arial"/>
      <scheme val="minor"/>
    </font>
    <font>
      <b/>
      <sz val="11.0"/>
      <color theme="1"/>
      <name val="Arial"/>
      <scheme val="minor"/>
    </font>
    <font>
      <u/>
      <sz val="11.0"/>
      <color rgb="FF0000FF"/>
    </font>
    <font>
      <sz val="11.0"/>
      <color rgb="FFFF0000"/>
      <name val="Arial"/>
      <scheme val="minor"/>
    </font>
    <font>
      <sz val="12.0"/>
      <color rgb="FFFF0000"/>
      <name val="Arial"/>
      <scheme val="minor"/>
    </font>
    <font>
      <b/>
      <sz val="12.0"/>
      <color theme="1"/>
      <name val="Arial"/>
      <scheme val="minor"/>
    </font>
    <font>
      <color rgb="FFE0E5F1"/>
      <name val="Arial"/>
      <scheme val="minor"/>
    </font>
    <font>
      <sz val="20.0"/>
      <color rgb="FFFF0000"/>
      <name val="Arial"/>
      <scheme val="minor"/>
    </font>
    <font>
      <b/>
      <sz val="20.0"/>
      <color rgb="FFFFFFFF"/>
      <name val="Arial"/>
      <scheme val="minor"/>
    </font>
    <font>
      <sz val="11.0"/>
      <color rgb="FFFFFFFF"/>
      <name val="Arial"/>
      <scheme val="minor"/>
    </font>
    <font>
      <b/>
      <color rgb="FF004B93"/>
      <name val="Arial"/>
      <scheme val="minor"/>
    </font>
    <font>
      <sz val="14.0"/>
      <color rgb="FFFFFFFF"/>
      <name val="Arial"/>
      <scheme val="minor"/>
    </font>
    <font>
      <sz val="12.0"/>
      <color theme="1"/>
      <name val="Arial"/>
      <scheme val="minor"/>
    </font>
    <font>
      <u/>
      <color rgb="FF0000FF"/>
    </font>
    <font>
      <u/>
      <color rgb="FF0000FF"/>
    </font>
    <font>
      <b/>
      <sz val="11.0"/>
      <color rgb="FFFFFFFF"/>
      <name val="Arial"/>
      <scheme val="minor"/>
    </font>
    <font>
      <u/>
      <color rgb="FFFF0000"/>
    </font>
    <font>
      <u/>
      <color rgb="FFFFFFFF"/>
    </font>
    <font>
      <u/>
      <color rgb="FF0000FF"/>
    </font>
    <font>
      <u/>
      <color rgb="FF0000FF"/>
    </font>
    <font>
      <u/>
      <color rgb="FF0000FF"/>
    </font>
    <font/>
    <font>
      <u/>
      <color rgb="FF0000FF"/>
    </font>
    <font>
      <u/>
      <color rgb="FF0000FF"/>
    </font>
    <font>
      <u/>
      <color rgb="FF0000FF"/>
    </font>
    <font>
      <color rgb="FF0D0D0D"/>
      <name val="Arial"/>
      <scheme val="minor"/>
    </font>
    <font>
      <i/>
      <u/>
      <color rgb="FF0000FF"/>
    </font>
    <font>
      <u/>
      <color rgb="FF0000FF"/>
    </font>
    <font>
      <u/>
      <color rgb="FF0000FF"/>
    </font>
    <font>
      <u/>
      <color rgb="FF0000FF"/>
    </font>
    <font>
      <color rgb="FF252525"/>
      <name val="Arial"/>
      <scheme val="minor"/>
    </font>
    <font>
      <sz val="11.0"/>
      <color rgb="FFF3F3F3"/>
      <name val="Arial"/>
      <scheme val="minor"/>
    </font>
    <font>
      <sz val="14.0"/>
      <color rgb="FFF3F3F3"/>
      <name val="Arial"/>
      <scheme val="minor"/>
    </font>
    <font>
      <u/>
      <color rgb="FF0000FF"/>
    </font>
    <font>
      <u/>
      <color rgb="FF0000FF"/>
    </font>
    <font>
      <u/>
      <color rgb="FF0000FF"/>
    </font>
    <font>
      <u/>
      <color rgb="FF0000FF"/>
    </font>
    <font>
      <u/>
      <color rgb="FF0000FF"/>
    </font>
    <font>
      <sz val="14.0"/>
      <color theme="1"/>
      <name val="Arial"/>
      <scheme val="minor"/>
    </font>
    <font>
      <i/>
      <color theme="1"/>
      <name val="Arial"/>
      <scheme val="minor"/>
    </font>
    <font>
      <b/>
      <sz val="17.0"/>
      <color rgb="FF000000"/>
      <name val="Arial"/>
    </font>
    <font>
      <b/>
      <sz val="13.0"/>
      <color rgb="FF000000"/>
      <name val="Arial"/>
    </font>
    <font>
      <sz val="11.0"/>
      <color rgb="FF000000"/>
      <name val="Arial"/>
    </font>
    <font>
      <b/>
      <sz val="11.0"/>
      <color rgb="FF000000"/>
      <name val="Arial"/>
    </font>
    <font>
      <i/>
      <sz val="11.0"/>
      <color rgb="FF000000"/>
      <name val="Arial"/>
    </font>
    <font>
      <b/>
      <sz val="14.0"/>
      <color rgb="FFFF0000"/>
      <name val="Arial"/>
      <scheme val="minor"/>
    </font>
  </fonts>
  <fills count="16">
    <fill>
      <patternFill patternType="none"/>
    </fill>
    <fill>
      <patternFill patternType="lightGray"/>
    </fill>
    <fill>
      <patternFill patternType="solid">
        <fgColor rgb="FFFFF2CC"/>
        <bgColor rgb="FFFFF2CC"/>
      </patternFill>
    </fill>
    <fill>
      <patternFill patternType="solid">
        <fgColor rgb="FF4285F4"/>
        <bgColor rgb="FF4285F4"/>
      </patternFill>
    </fill>
    <fill>
      <patternFill patternType="solid">
        <fgColor rgb="FF64CBC9"/>
        <bgColor rgb="FF64CBC9"/>
      </patternFill>
    </fill>
    <fill>
      <patternFill patternType="solid">
        <fgColor theme="6"/>
        <bgColor theme="6"/>
      </patternFill>
    </fill>
    <fill>
      <patternFill patternType="solid">
        <fgColor rgb="FFF1F3F4"/>
        <bgColor rgb="FFF1F3F4"/>
      </patternFill>
    </fill>
    <fill>
      <patternFill patternType="solid">
        <fgColor rgb="FFD9E4EF"/>
        <bgColor rgb="FFD9E4EF"/>
      </patternFill>
    </fill>
    <fill>
      <patternFill patternType="solid">
        <fgColor rgb="FF1060A9"/>
        <bgColor rgb="FF1060A9"/>
      </patternFill>
    </fill>
    <fill>
      <patternFill patternType="solid">
        <fgColor rgb="FFE94445"/>
        <bgColor rgb="FFE94445"/>
      </patternFill>
    </fill>
    <fill>
      <patternFill patternType="solid">
        <fgColor rgb="FF004B93"/>
        <bgColor rgb="FF004B93"/>
      </patternFill>
    </fill>
    <fill>
      <patternFill patternType="solid">
        <fgColor rgb="FFFFFFFF"/>
        <bgColor rgb="FFFFFFFF"/>
      </patternFill>
    </fill>
    <fill>
      <patternFill patternType="solid">
        <fgColor theme="5"/>
        <bgColor theme="5"/>
      </patternFill>
    </fill>
    <fill>
      <patternFill patternType="solid">
        <fgColor theme="4"/>
        <bgColor theme="4"/>
      </patternFill>
    </fill>
    <fill>
      <patternFill patternType="solid">
        <fgColor rgb="FFE0E5F1"/>
        <bgColor rgb="FFE0E5F1"/>
      </patternFill>
    </fill>
    <fill>
      <patternFill patternType="solid">
        <fgColor rgb="FFF3F3F3"/>
        <bgColor rgb="FFF3F3F3"/>
      </patternFill>
    </fill>
  </fills>
  <borders count="74">
    <border/>
    <border>
      <left style="thin">
        <color rgb="FF000000"/>
      </left>
      <right style="thin">
        <color rgb="FF000000"/>
      </right>
      <top style="thin">
        <color rgb="FF000000"/>
      </top>
      <bottom style="thin">
        <color rgb="FF000000"/>
      </bottom>
    </border>
    <border>
      <right style="thin">
        <color rgb="FFD9E4EF"/>
      </right>
      <bottom style="thin">
        <color rgb="FFD9E4EF"/>
      </bottom>
    </border>
    <border>
      <left style="thin">
        <color rgb="FFD9E4EF"/>
      </left>
      <right style="thin">
        <color rgb="FFD9E4EF"/>
      </right>
      <bottom style="thin">
        <color rgb="FFD9E4EF"/>
      </bottom>
    </border>
    <border>
      <right style="thin">
        <color rgb="FF1060A9"/>
      </right>
    </border>
    <border>
      <left style="thin">
        <color rgb="FF1060A9"/>
      </left>
      <top style="thin">
        <color rgb="FF004B93"/>
      </top>
      <bottom style="thin">
        <color rgb="FF004B93"/>
      </bottom>
    </border>
    <border>
      <top style="thin">
        <color rgb="FF004B93"/>
      </top>
      <bottom style="thin">
        <color rgb="FF004B93"/>
      </bottom>
    </border>
    <border>
      <right style="thin">
        <color rgb="FF004B93"/>
      </right>
      <top style="thin">
        <color rgb="FF004B93"/>
      </top>
      <bottom style="thin">
        <color rgb="FF004B93"/>
      </bottom>
    </border>
    <border>
      <right style="thin">
        <color rgb="FF004B93"/>
      </right>
      <top style="thin">
        <color rgb="FF004B93"/>
      </top>
    </border>
    <border>
      <left style="thin">
        <color rgb="FF004B93"/>
      </left>
      <top style="thin">
        <color rgb="FF004B93"/>
      </top>
    </border>
    <border>
      <left style="thin">
        <color rgb="FF004B93"/>
      </left>
      <right style="thin">
        <color rgb="FF004B93"/>
      </right>
      <top style="thin">
        <color rgb="FF004B93"/>
      </top>
      <bottom style="thin">
        <color rgb="FF004B93"/>
      </bottom>
    </border>
    <border>
      <left style="thin">
        <color rgb="FF004B93"/>
      </left>
      <right style="thin">
        <color rgb="FF004B93"/>
      </right>
      <top style="thin">
        <color rgb="FF004B93"/>
      </top>
    </border>
    <border>
      <right style="thin">
        <color rgb="FF004B93"/>
      </right>
    </border>
    <border>
      <left style="thin">
        <color rgb="FF004B93"/>
      </left>
    </border>
    <border>
      <left style="thin">
        <color rgb="FF004B93"/>
      </left>
      <right style="thin">
        <color rgb="FF004B93"/>
      </right>
    </border>
    <border>
      <right style="thin">
        <color rgb="FF004B93"/>
      </right>
      <bottom style="thin">
        <color rgb="FF004B93"/>
      </bottom>
    </border>
    <border>
      <left style="thin">
        <color rgb="FF004B93"/>
      </left>
      <bottom style="thin">
        <color rgb="FF004B93"/>
      </bottom>
    </border>
    <border>
      <left style="thin">
        <color rgb="FF004B93"/>
      </left>
      <right style="thin">
        <color rgb="FF004B93"/>
      </right>
      <bottom style="thin">
        <color rgb="FF004B93"/>
      </bottom>
    </border>
    <border>
      <right style="thin">
        <color rgb="FFFFFFFF"/>
      </right>
      <bottom style="medium">
        <color rgb="FFFF3333"/>
      </bottom>
    </border>
    <border>
      <left style="thin">
        <color rgb="FFFFFFFF"/>
      </left>
      <right style="thin">
        <color rgb="FFFFFFFF"/>
      </right>
      <bottom style="medium">
        <color rgb="FFFF3333"/>
      </bottom>
    </border>
    <border>
      <right style="thin">
        <color rgb="FFFFFFFF"/>
      </right>
      <bottom style="thin">
        <color rgb="FF5B9BD5"/>
      </bottom>
    </border>
    <border>
      <left style="thin">
        <color rgb="FFFFFFFF"/>
      </left>
      <right style="thin">
        <color rgb="FFFFFFFF"/>
      </right>
      <bottom style="thin">
        <color rgb="FF5B9BD5"/>
      </bottom>
    </border>
    <border>
      <right style="thin">
        <color rgb="FFFFFFFF"/>
      </right>
      <top style="thin">
        <color rgb="FF5B9BD5"/>
      </top>
    </border>
    <border>
      <left style="thin">
        <color rgb="FFFFFFFF"/>
      </left>
      <right style="thin">
        <color rgb="FFFFFFFF"/>
      </right>
      <top style="thin">
        <color rgb="FF5B9BD5"/>
      </top>
    </border>
    <border>
      <left style="thin">
        <color rgb="FFFFFFFF"/>
      </left>
      <right style="thin">
        <color rgb="FFFFFFFF"/>
      </right>
      <bottom style="thin">
        <color rgb="FFFFFFFF"/>
      </bottom>
    </border>
    <border>
      <right style="thin">
        <color rgb="FFFFFFFF"/>
      </right>
    </border>
    <border>
      <left style="thin">
        <color rgb="FFFFFFFF"/>
      </left>
      <right style="thin">
        <color rgb="FFFFFFFF"/>
      </right>
    </border>
    <border>
      <right style="thin">
        <color rgb="FFFFFFFF"/>
      </right>
      <top style="thin">
        <color rgb="FFFFFFFF"/>
      </top>
      <bottom style="thin">
        <color rgb="FFFFFFFF"/>
      </bottom>
    </border>
    <border>
      <top style="thin">
        <color rgb="FFFFFFFF"/>
      </top>
      <bottom style="thin">
        <color rgb="FFFFFFFF"/>
      </bottom>
    </border>
    <border>
      <right style="thin">
        <color rgb="FFFFFFFF"/>
      </right>
      <top style="thin">
        <color rgb="FFFFFFFF"/>
      </top>
    </border>
    <border>
      <top style="thin">
        <color rgb="FFFFFFFF"/>
      </top>
    </border>
    <border>
      <left style="thin">
        <color rgb="FFFFFFFF"/>
      </left>
      <right style="thin">
        <color rgb="FFFFFFFF"/>
      </right>
      <top style="thin">
        <color rgb="FF5B9BD5"/>
      </top>
      <bottom style="thin">
        <color rgb="FFFFFFFF"/>
      </bottom>
    </border>
    <border>
      <left style="thin">
        <color rgb="FFFFFFFF"/>
      </left>
      <right style="thin">
        <color rgb="FFFFFFFF"/>
      </right>
      <top style="thin">
        <color rgb="FFFFFFFF"/>
      </top>
      <bottom style="thin">
        <color rgb="FFFFFFFF"/>
      </bottom>
    </border>
    <border>
      <top style="thin">
        <color rgb="FFFFFFFF"/>
      </top>
      <bottom style="thin">
        <color rgb="FF5B9BD5"/>
      </bottom>
    </border>
    <border>
      <right style="thin">
        <color rgb="FFFFFFFF"/>
      </right>
      <top style="thin">
        <color rgb="FF5B9BD5"/>
      </top>
      <bottom style="thin">
        <color rgb="FF5B9BD5"/>
      </bottom>
    </border>
    <border>
      <left style="thin">
        <color rgb="FFFFFFFF"/>
      </left>
      <right style="thin">
        <color rgb="FFFFFFFF"/>
      </right>
      <top style="thin">
        <color rgb="FF5B9BD5"/>
      </top>
      <bottom style="thin">
        <color rgb="FF5B9BD5"/>
      </bottom>
    </border>
    <border>
      <left style="thin">
        <color rgb="FFFFFFFF"/>
      </left>
      <right style="thin">
        <color rgb="FFFFFFFF"/>
      </right>
      <top style="thin">
        <color rgb="FFFFFFFF"/>
      </top>
      <bottom style="thin">
        <color rgb="FF5B9BD5"/>
      </bottom>
    </border>
    <border>
      <left style="thin">
        <color rgb="FFFFFFFF"/>
      </left>
      <right style="thin">
        <color rgb="FFFFFFFF"/>
      </right>
      <top style="thin">
        <color rgb="FFFFFFFF"/>
      </top>
    </border>
    <border>
      <right style="thin">
        <color rgb="FFFFFFFF"/>
      </right>
      <bottom style="thin">
        <color rgb="FFFFFFFF"/>
      </bottom>
    </border>
    <border>
      <bottom style="thin">
        <color rgb="FF5B9BD5"/>
      </bottom>
    </border>
    <border>
      <right style="thin">
        <color rgb="FFFFFFFF"/>
      </right>
      <bottom style="medium">
        <color rgb="FFFFAA33"/>
      </bottom>
    </border>
    <border>
      <left style="thin">
        <color rgb="FFFFFFFF"/>
      </left>
      <right style="thin">
        <color rgb="FFFFFFFF"/>
      </right>
      <bottom style="medium">
        <color rgb="FFFFAA33"/>
      </bottom>
    </border>
    <border>
      <right style="thin">
        <color rgb="FFFFFFFF"/>
      </right>
      <bottom style="medium">
        <color rgb="FF00CC66"/>
      </bottom>
    </border>
    <border>
      <left style="thin">
        <color rgb="FFFFFFFF"/>
      </left>
      <right style="thin">
        <color rgb="FFFFFFFF"/>
      </right>
      <bottom style="medium">
        <color rgb="FF00CC66"/>
      </bottom>
    </border>
    <border>
      <right style="thin">
        <color rgb="FFFFFFFF"/>
      </right>
      <top style="thin">
        <color rgb="FF5B9BD5"/>
      </top>
      <bottom style="thin">
        <color rgb="FFFFFFFF"/>
      </bottom>
    </border>
    <border>
      <left style="thin">
        <color rgb="FFFFFFFF"/>
      </left>
      <top style="thin">
        <color rgb="FFFFFFFF"/>
      </top>
      <bottom style="thin">
        <color rgb="FF5B9BD5"/>
      </bottom>
    </border>
    <border>
      <left style="dotted">
        <color rgb="FFFFFFFF"/>
      </left>
      <right style="dotted">
        <color rgb="FFFFFFFF"/>
      </right>
      <top style="dotted">
        <color rgb="FFFFFFFF"/>
      </top>
      <bottom style="thin">
        <color rgb="FF5B9BD5"/>
      </bottom>
    </border>
    <border>
      <right style="thin">
        <color rgb="FFFFFFFF"/>
      </right>
      <top style="thin">
        <color rgb="FFFFFFFF"/>
      </top>
      <bottom style="thin">
        <color rgb="FF5B9BD5"/>
      </bottom>
    </border>
    <border>
      <left style="thin">
        <color rgb="FFFFFFFF"/>
      </left>
      <top style="thin">
        <color rgb="FF5B9BD5"/>
      </top>
      <bottom style="thin">
        <color rgb="FF5B9BD5"/>
      </bottom>
    </border>
    <border>
      <right style="thin">
        <color rgb="FFFFFFFF"/>
      </right>
      <top style="thin">
        <color rgb="FF4285F4"/>
      </top>
      <bottom style="thin">
        <color rgb="FF5B9BD5"/>
      </bottom>
    </border>
    <border>
      <bottom style="thin">
        <color rgb="FFFFFFFF"/>
      </bottom>
    </border>
    <border>
      <top style="thin">
        <color rgb="FF5B9BD5"/>
      </top>
      <bottom style="thin">
        <color rgb="FF5B9BD5"/>
      </bottom>
    </border>
    <border>
      <top style="thin">
        <color rgb="FF5B9BD5"/>
      </top>
    </border>
    <border>
      <left style="thin">
        <color rgb="FFFFFFFF"/>
      </left>
      <right style="thin">
        <color rgb="FFFFFFFF"/>
      </right>
      <bottom style="medium">
        <color rgb="FFFFFFFF"/>
      </bottom>
    </border>
    <border>
      <left style="thin">
        <color rgb="FFFFFFFF"/>
      </left>
      <right style="thin">
        <color rgb="FFFFFFFF"/>
      </right>
      <top style="medium">
        <color rgb="FFFFFFFF"/>
      </top>
      <bottom style="medium">
        <color rgb="FFFFFFFF"/>
      </bottom>
    </border>
    <border>
      <left style="thin">
        <color rgb="FFFFFFFF"/>
      </left>
      <top style="medium">
        <color rgb="FFFFFFFF"/>
      </top>
      <bottom style="thin">
        <color rgb="FF5B9BD5"/>
      </bottom>
    </border>
    <border>
      <left style="thin">
        <color rgb="FFFFFFFF"/>
      </left>
      <right style="thin">
        <color rgb="FFFFFFFF"/>
      </right>
      <top style="medium">
        <color rgb="FFFFFFFF"/>
      </top>
      <bottom style="thin">
        <color rgb="FF5B9BD5"/>
      </bottom>
    </border>
    <border>
      <left style="thin">
        <color rgb="FFFFFFFF"/>
      </left>
      <top style="thin">
        <color rgb="FF5B9BD5"/>
      </top>
      <bottom style="thin">
        <color rgb="FFFFFFFF"/>
      </bottom>
    </border>
    <border>
      <left style="thin">
        <color rgb="FFFFFFFF"/>
      </left>
      <right style="thin">
        <color rgb="FFFFFFFF"/>
      </right>
      <top style="thin">
        <color rgb="FF666666"/>
      </top>
      <bottom style="thin">
        <color rgb="FFFFFFFF"/>
      </bottom>
    </border>
    <border>
      <left style="thin">
        <color rgb="FFFFFFFF"/>
      </left>
      <right style="thin">
        <color rgb="FFFFFFFF"/>
      </right>
      <top style="thin">
        <color rgb="FF666666"/>
      </top>
    </border>
    <border>
      <left style="thin">
        <color rgb="FFFFFFFF"/>
      </left>
      <right style="thin">
        <color rgb="FFFFFFFF"/>
      </right>
      <top style="thin">
        <color rgb="FF666666"/>
      </top>
      <bottom style="thin">
        <color rgb="FF5B9BD5"/>
      </bottom>
    </border>
    <border>
      <bottom style="thin">
        <color rgb="FF004B93"/>
      </bottom>
    </border>
    <border>
      <left style="thin">
        <color rgb="FFFFFFFF"/>
      </left>
      <top style="thin">
        <color rgb="FFFFFFFF"/>
      </top>
      <bottom style="thin">
        <color rgb="FFFFFFFF"/>
      </bottom>
    </border>
    <border>
      <left style="thin">
        <color rgb="FF004B93"/>
      </left>
      <top style="thin">
        <color rgb="FF004B93"/>
      </top>
      <bottom style="thin">
        <color rgb="FF004B93"/>
      </bottom>
    </border>
    <border>
      <left style="thin">
        <color rgb="FFFFFFFF"/>
      </left>
      <right style="thin">
        <color rgb="FFFFFFFF"/>
      </right>
      <bottom style="medium">
        <color rgb="FFE94445"/>
      </bottom>
    </border>
    <border>
      <top style="thin">
        <color rgb="FF5B9BD5"/>
      </top>
      <bottom style="thin">
        <color rgb="FFFFFFFF"/>
      </bottom>
    </border>
    <border>
      <right style="thin">
        <color rgb="FFFFFFFF"/>
      </right>
      <top style="thin">
        <color rgb="FF5B9BD5"/>
      </top>
      <bottom style="medium">
        <color rgb="FFFFFFFF"/>
      </bottom>
    </border>
    <border>
      <right style="thin">
        <color rgb="FFFFFFFF"/>
      </right>
      <top style="thin">
        <color rgb="FF4285F4"/>
      </top>
    </border>
    <border>
      <right style="thin">
        <color rgb="FFE0E5F1"/>
      </right>
      <bottom style="thin">
        <color rgb="FFE0E5F1"/>
      </bottom>
    </border>
    <border>
      <left style="thin">
        <color rgb="FFE0E5F1"/>
      </left>
      <right style="thin">
        <color rgb="FFE0E5F1"/>
      </right>
      <bottom style="thin">
        <color rgb="FFE0E5F1"/>
      </bottom>
    </border>
    <border>
      <left style="thin">
        <color rgb="FFFFFFFF"/>
      </left>
      <right style="thin">
        <color rgb="FFFFFFFF"/>
      </right>
      <top style="thin">
        <color rgb="FF4285F4"/>
      </top>
      <bottom style="thin">
        <color rgb="FF5B9BD5"/>
      </bottom>
    </border>
    <border>
      <left style="thin">
        <color rgb="FFFFFFFF"/>
      </left>
      <top style="medium">
        <color rgb="FFFFFFFF"/>
      </top>
      <bottom style="medium">
        <color rgb="FFFFFFFF"/>
      </bottom>
    </border>
    <border>
      <left style="thin">
        <color rgb="FFFFFFFF"/>
      </left>
      <right style="thin">
        <color rgb="FFFFFFFF"/>
      </right>
      <top style="medium">
        <color rgb="FFFFFFFF"/>
      </top>
    </border>
    <border>
      <right style="thin">
        <color rgb="FFFFFFFF"/>
      </right>
      <top style="medium">
        <color rgb="FFFFFFFF"/>
      </top>
    </border>
  </borders>
  <cellStyleXfs count="1">
    <xf borderId="0" fillId="0" fontId="0" numFmtId="0" applyAlignment="1" applyFont="1"/>
  </cellStyleXfs>
  <cellXfs count="404">
    <xf borderId="0" fillId="0" fontId="0" numFmtId="0" xfId="0" applyAlignment="1" applyFont="1">
      <alignment readingOrder="0" shrinkToFit="0" vertical="bottom" wrapText="0"/>
    </xf>
    <xf borderId="0" fillId="0" fontId="1" numFmtId="0" xfId="0" applyAlignment="1" applyFont="1">
      <alignment horizontal="left" readingOrder="0"/>
    </xf>
    <xf borderId="0" fillId="0" fontId="1" numFmtId="164" xfId="0" applyAlignment="1" applyFont="1" applyNumberFormat="1">
      <alignment horizontal="left" readingOrder="0"/>
    </xf>
    <xf borderId="0" fillId="0" fontId="1" numFmtId="0" xfId="0" applyAlignment="1" applyFont="1">
      <alignment horizontal="left"/>
    </xf>
    <xf borderId="0" fillId="0" fontId="1" numFmtId="0" xfId="0" applyAlignment="1" applyFont="1">
      <alignment horizontal="right"/>
    </xf>
    <xf borderId="0" fillId="0" fontId="1" numFmtId="164" xfId="0" applyAlignment="1" applyFont="1" applyNumberFormat="1">
      <alignment horizontal="right"/>
    </xf>
    <xf borderId="0" fillId="0" fontId="2" numFmtId="0" xfId="0" applyAlignment="1" applyFont="1">
      <alignment readingOrder="0" shrinkToFit="0" wrapText="1"/>
    </xf>
    <xf borderId="0" fillId="0" fontId="3" numFmtId="0" xfId="0" applyAlignment="1" applyFont="1">
      <alignment readingOrder="0" shrinkToFit="0" wrapText="1"/>
    </xf>
    <xf borderId="0" fillId="0" fontId="1" numFmtId="164" xfId="0" applyAlignment="1" applyFont="1" applyNumberFormat="1">
      <alignment horizontal="left"/>
    </xf>
    <xf borderId="0" fillId="0" fontId="1" numFmtId="9" xfId="0" applyAlignment="1" applyFont="1" applyNumberFormat="1">
      <alignment horizontal="right" readingOrder="0"/>
    </xf>
    <xf borderId="0" fillId="0" fontId="1" numFmtId="164" xfId="0" applyAlignment="1" applyFont="1" applyNumberFormat="1">
      <alignment horizontal="right" readingOrder="0"/>
    </xf>
    <xf borderId="0" fillId="0" fontId="1" numFmtId="0" xfId="0" applyAlignment="1" applyFont="1">
      <alignment readingOrder="0"/>
    </xf>
    <xf borderId="0" fillId="0" fontId="1" numFmtId="0" xfId="0" applyAlignment="1" applyFont="1">
      <alignment horizontal="right" readingOrder="0"/>
    </xf>
    <xf borderId="0" fillId="0" fontId="1" numFmtId="49" xfId="0" applyAlignment="1" applyFont="1" applyNumberFormat="1">
      <alignment horizontal="right"/>
    </xf>
    <xf borderId="0" fillId="2" fontId="1" numFmtId="0" xfId="0" applyAlignment="1" applyFill="1" applyFont="1">
      <alignment readingOrder="0"/>
    </xf>
    <xf borderId="0" fillId="2" fontId="1" numFmtId="0" xfId="0" applyAlignment="1" applyFont="1">
      <alignment horizontal="left" readingOrder="0"/>
    </xf>
    <xf borderId="0" fillId="2" fontId="1" numFmtId="9" xfId="0" applyAlignment="1" applyFont="1" applyNumberFormat="1">
      <alignment horizontal="right" readingOrder="0"/>
    </xf>
    <xf borderId="0" fillId="0" fontId="4" numFmtId="0" xfId="0" applyAlignment="1" applyFont="1">
      <alignment horizontal="left" readingOrder="0"/>
    </xf>
    <xf borderId="0" fillId="0" fontId="4" numFmtId="9" xfId="0" applyAlignment="1" applyFont="1" applyNumberFormat="1">
      <alignment horizontal="right" readingOrder="0"/>
    </xf>
    <xf borderId="0" fillId="0" fontId="1" numFmtId="164" xfId="0" applyAlignment="1" applyFont="1" applyNumberFormat="1">
      <alignment readingOrder="0"/>
    </xf>
    <xf borderId="0" fillId="0" fontId="1" numFmtId="0" xfId="0" applyFont="1"/>
    <xf borderId="0" fillId="3" fontId="5" numFmtId="0" xfId="0" applyAlignment="1" applyFill="1" applyFont="1">
      <alignment horizontal="left" readingOrder="0" shrinkToFit="0" vertical="top" wrapText="0"/>
    </xf>
    <xf borderId="0" fillId="0" fontId="1" numFmtId="0" xfId="0" applyAlignment="1" applyFont="1">
      <alignment horizontal="left" readingOrder="0" shrinkToFit="0" vertical="top" wrapText="0"/>
    </xf>
    <xf borderId="0" fillId="4" fontId="1" numFmtId="0" xfId="0" applyAlignment="1" applyFill="1" applyFont="1">
      <alignment horizontal="left" readingOrder="0" shrinkToFit="0" vertical="top" wrapText="0"/>
    </xf>
    <xf borderId="0" fillId="0" fontId="6" numFmtId="0" xfId="0" applyAlignment="1" applyFont="1">
      <alignment horizontal="left" readingOrder="0" shrinkToFit="0" vertical="top" wrapText="0"/>
    </xf>
    <xf borderId="0" fillId="4" fontId="1" numFmtId="0" xfId="0" applyAlignment="1" applyFont="1">
      <alignment horizontal="left" shrinkToFit="0" vertical="top" wrapText="0"/>
    </xf>
    <xf borderId="0" fillId="4" fontId="7" numFmtId="0" xfId="0" applyAlignment="1" applyFont="1">
      <alignment horizontal="center" shrinkToFit="0" vertical="top" wrapText="0"/>
    </xf>
    <xf borderId="0" fillId="0" fontId="1" numFmtId="0" xfId="0" applyAlignment="1" applyFont="1">
      <alignment readingOrder="0" shrinkToFit="0" vertical="top" wrapText="0"/>
    </xf>
    <xf borderId="0" fillId="4" fontId="6" numFmtId="0" xfId="0" applyAlignment="1" applyFont="1">
      <alignment horizontal="left" shrinkToFit="0" vertical="top" wrapText="0"/>
    </xf>
    <xf borderId="0" fillId="0" fontId="1" numFmtId="0" xfId="0" applyAlignment="1" applyFont="1">
      <alignment horizontal="left" shrinkToFit="0" vertical="top" wrapText="0"/>
    </xf>
    <xf borderId="0" fillId="0" fontId="1" numFmtId="165" xfId="0" applyAlignment="1" applyFont="1" applyNumberFormat="1">
      <alignment horizontal="left" readingOrder="0" shrinkToFit="0" vertical="top" wrapText="0"/>
    </xf>
    <xf borderId="0" fillId="0" fontId="6" numFmtId="0" xfId="0" applyAlignment="1" applyFont="1">
      <alignment horizontal="left" shrinkToFit="0" vertical="top" wrapText="0"/>
    </xf>
    <xf borderId="0" fillId="0" fontId="7" numFmtId="0" xfId="0" applyAlignment="1" applyFont="1">
      <alignment horizontal="center" readingOrder="0" shrinkToFit="0" vertical="top" wrapText="0"/>
    </xf>
    <xf borderId="1" fillId="0" fontId="8" numFmtId="0" xfId="0" applyAlignment="1" applyBorder="1" applyFont="1">
      <alignment shrinkToFit="0" vertical="top" wrapText="0"/>
    </xf>
    <xf borderId="0" fillId="0" fontId="1" numFmtId="0" xfId="0" applyAlignment="1" applyFont="1">
      <alignment shrinkToFit="0" vertical="top" wrapText="0"/>
    </xf>
    <xf borderId="1" fillId="0" fontId="8" numFmtId="0" xfId="0" applyAlignment="1" applyBorder="1" applyFont="1">
      <alignment readingOrder="0" shrinkToFit="0" vertical="top" wrapText="0"/>
    </xf>
    <xf borderId="1" fillId="0" fontId="9" numFmtId="0" xfId="0" applyAlignment="1" applyBorder="1" applyFont="1">
      <alignment readingOrder="0" shrinkToFit="0" vertical="top" wrapText="0"/>
    </xf>
    <xf borderId="0" fillId="0" fontId="1" numFmtId="166" xfId="0" applyAlignment="1" applyFont="1" applyNumberFormat="1">
      <alignment horizontal="left" readingOrder="0" shrinkToFit="0" vertical="top" wrapText="0"/>
    </xf>
    <xf borderId="0" fillId="0" fontId="1" numFmtId="0" xfId="0" applyAlignment="1" applyFont="1">
      <alignment horizontal="left" shrinkToFit="0" vertical="top" wrapText="0"/>
    </xf>
    <xf borderId="0" fillId="0" fontId="6" numFmtId="0" xfId="0" applyAlignment="1" applyFont="1">
      <alignment readingOrder="0" shrinkToFit="0" vertical="top" wrapText="0"/>
    </xf>
    <xf borderId="0" fillId="0" fontId="6" numFmtId="0" xfId="0" applyAlignment="1" applyFont="1">
      <alignment shrinkToFit="0" vertical="top" wrapText="0"/>
    </xf>
    <xf borderId="0" fillId="0" fontId="7" numFmtId="0" xfId="0" applyAlignment="1" applyFont="1">
      <alignment horizontal="center" shrinkToFit="0" vertical="top" wrapText="0"/>
    </xf>
    <xf borderId="0" fillId="5" fontId="1" numFmtId="0" xfId="0" applyAlignment="1" applyFill="1" applyFont="1">
      <alignment readingOrder="0" shrinkToFit="0" vertical="top" wrapText="0"/>
    </xf>
    <xf borderId="0" fillId="0" fontId="6" numFmtId="0" xfId="0" applyAlignment="1" applyFont="1">
      <alignment horizontal="left" shrinkToFit="0" vertical="top" wrapText="0"/>
    </xf>
    <xf borderId="0" fillId="5" fontId="1" numFmtId="0" xfId="0" applyAlignment="1" applyFont="1">
      <alignment shrinkToFit="0" vertical="top" wrapText="0"/>
    </xf>
    <xf borderId="0" fillId="5" fontId="1" numFmtId="0" xfId="0" applyAlignment="1" applyFont="1">
      <alignment horizontal="left" shrinkToFit="0" vertical="top" wrapText="0"/>
    </xf>
    <xf borderId="0" fillId="0" fontId="1" numFmtId="9" xfId="0" applyAlignment="1" applyFont="1" applyNumberFormat="1">
      <alignment shrinkToFit="0" vertical="top" wrapText="0"/>
    </xf>
    <xf borderId="0" fillId="0" fontId="6" numFmtId="9" xfId="0" applyAlignment="1" applyFont="1" applyNumberFormat="1">
      <alignment shrinkToFit="0" vertical="top" wrapText="0"/>
    </xf>
    <xf borderId="0" fillId="0" fontId="6" numFmtId="49" xfId="0" applyAlignment="1" applyFont="1" applyNumberFormat="1">
      <alignment shrinkToFit="0" vertical="top" wrapText="0"/>
    </xf>
    <xf borderId="0" fillId="0" fontId="1" numFmtId="49" xfId="0" applyAlignment="1" applyFont="1" applyNumberFormat="1">
      <alignment horizontal="left" shrinkToFit="0" vertical="top" wrapText="0"/>
    </xf>
    <xf borderId="0" fillId="0" fontId="7" numFmtId="0" xfId="0" applyAlignment="1" applyFont="1">
      <alignment horizontal="center" shrinkToFit="0" vertical="top" wrapText="0"/>
    </xf>
    <xf borderId="0" fillId="0" fontId="1" numFmtId="49" xfId="0" applyAlignment="1" applyFont="1" applyNumberFormat="1">
      <alignment shrinkToFit="0" vertical="top" wrapText="0"/>
    </xf>
    <xf borderId="0" fillId="0" fontId="1" numFmtId="165" xfId="0" applyAlignment="1" applyFont="1" applyNumberFormat="1">
      <alignment shrinkToFit="0" vertical="top" wrapText="0"/>
    </xf>
    <xf borderId="0" fillId="0" fontId="1" numFmtId="9" xfId="0" applyAlignment="1" applyFont="1" applyNumberFormat="1">
      <alignment horizontal="left" shrinkToFit="0" vertical="top" wrapText="0"/>
    </xf>
    <xf borderId="0" fillId="0" fontId="1" numFmtId="165" xfId="0" applyAlignment="1" applyFont="1" applyNumberFormat="1">
      <alignment horizontal="left" shrinkToFit="0" vertical="top" wrapText="0"/>
    </xf>
    <xf borderId="0" fillId="0" fontId="10" numFmtId="0" xfId="0" applyAlignment="1" applyFont="1">
      <alignment horizontal="center" readingOrder="0" shrinkToFit="0" vertical="top" wrapText="0"/>
    </xf>
    <xf borderId="0" fillId="0" fontId="11" numFmtId="0" xfId="0" applyAlignment="1" applyFont="1">
      <alignment horizontal="left" readingOrder="0" shrinkToFit="0" vertical="top" wrapText="0"/>
    </xf>
    <xf borderId="0" fillId="0" fontId="11" numFmtId="0" xfId="0" applyAlignment="1" applyFont="1">
      <alignment readingOrder="0" shrinkToFit="0" vertical="top" wrapText="0"/>
    </xf>
    <xf borderId="0" fillId="0" fontId="12" numFmtId="0" xfId="0" applyAlignment="1" applyFont="1">
      <alignment shrinkToFit="0" vertical="top" wrapText="0"/>
    </xf>
    <xf borderId="0" fillId="6" fontId="13" numFmtId="0" xfId="0" applyAlignment="1" applyFill="1" applyFont="1">
      <alignment horizontal="center" readingOrder="0" shrinkToFit="0" vertical="top" wrapText="0"/>
    </xf>
    <xf borderId="0" fillId="0" fontId="0" numFmtId="0" xfId="0" applyAlignment="1" applyFont="1">
      <alignment readingOrder="0" shrinkToFit="0" vertical="top" wrapText="0"/>
    </xf>
    <xf borderId="0" fillId="0" fontId="11" numFmtId="0" xfId="0" applyAlignment="1" applyFont="1">
      <alignment horizontal="left" readingOrder="0" shrinkToFit="0" vertical="top" wrapText="1"/>
    </xf>
    <xf borderId="0" fillId="0" fontId="11" numFmtId="0" xfId="0" applyAlignment="1" applyFont="1">
      <alignment horizontal="left" shrinkToFit="0" vertical="top" wrapText="0"/>
    </xf>
    <xf borderId="0" fillId="0" fontId="11" numFmtId="0" xfId="0" applyAlignment="1" applyFont="1">
      <alignment horizontal="left" shrinkToFit="0" vertical="top" wrapText="0"/>
    </xf>
    <xf borderId="0" fillId="0" fontId="12" numFmtId="0" xfId="0" applyAlignment="1" applyFont="1">
      <alignment readingOrder="0" shrinkToFit="0" vertical="top" wrapText="0"/>
    </xf>
    <xf borderId="0" fillId="0" fontId="12" numFmtId="165" xfId="0" applyAlignment="1" applyFont="1" applyNumberFormat="1">
      <alignment readingOrder="0" shrinkToFit="0" vertical="top" wrapText="0"/>
    </xf>
    <xf borderId="0" fillId="0" fontId="12" numFmtId="167" xfId="0" applyAlignment="1" applyFont="1" applyNumberFormat="1">
      <alignment readingOrder="0" shrinkToFit="0" vertical="top" wrapText="0"/>
    </xf>
    <xf borderId="0" fillId="3" fontId="5" numFmtId="0" xfId="0" applyAlignment="1" applyFont="1">
      <alignment horizontal="left" readingOrder="0" vertical="bottom"/>
    </xf>
    <xf borderId="0" fillId="4" fontId="6" numFmtId="0" xfId="0" applyAlignment="1" applyFont="1">
      <alignment horizontal="left" vertical="bottom"/>
    </xf>
    <xf borderId="0" fillId="4" fontId="1" numFmtId="0" xfId="0" applyAlignment="1" applyFont="1">
      <alignment horizontal="left" vertical="bottom"/>
    </xf>
    <xf borderId="0" fillId="4" fontId="10" numFmtId="0" xfId="0" applyAlignment="1" applyFont="1">
      <alignment horizontal="left" vertical="bottom"/>
    </xf>
    <xf borderId="0" fillId="4" fontId="1" numFmtId="0" xfId="0" applyAlignment="1" applyFont="1">
      <alignment horizontal="left" shrinkToFit="0" vertical="bottom" wrapText="0"/>
    </xf>
    <xf borderId="0" fillId="0" fontId="1" numFmtId="0" xfId="0" applyAlignment="1" applyFont="1">
      <alignment horizontal="left" readingOrder="0" vertical="bottom"/>
    </xf>
    <xf borderId="0" fillId="0" fontId="1" numFmtId="0" xfId="0" applyAlignment="1" applyFont="1">
      <alignment horizontal="left" vertical="bottom"/>
    </xf>
    <xf borderId="1" fillId="0" fontId="14" numFmtId="0" xfId="0" applyAlignment="1" applyBorder="1" applyFont="1">
      <alignment horizontal="center" shrinkToFit="0" vertical="top" wrapText="0"/>
    </xf>
    <xf borderId="1" fillId="0" fontId="8" numFmtId="0" xfId="0" applyAlignment="1" applyBorder="1" applyFont="1">
      <alignment shrinkToFit="0" vertical="top" wrapText="0"/>
    </xf>
    <xf borderId="1" fillId="0" fontId="15" numFmtId="0" xfId="0" applyAlignment="1" applyBorder="1" applyFont="1">
      <alignment shrinkToFit="0" vertical="top" wrapText="0"/>
    </xf>
    <xf borderId="0" fillId="0" fontId="1" numFmtId="0" xfId="0" applyAlignment="1" applyFont="1">
      <alignment horizontal="left" readingOrder="0" vertical="top"/>
    </xf>
    <xf borderId="0" fillId="0" fontId="1" numFmtId="0" xfId="0" applyAlignment="1" applyFont="1">
      <alignment horizontal="left" vertical="top"/>
    </xf>
    <xf borderId="0" fillId="5" fontId="1" numFmtId="0" xfId="0" applyAlignment="1" applyFont="1">
      <alignment readingOrder="0"/>
    </xf>
    <xf borderId="0" fillId="0" fontId="6" numFmtId="0" xfId="0" applyAlignment="1" applyFont="1">
      <alignment horizontal="left" vertical="bottom"/>
    </xf>
    <xf borderId="0" fillId="0" fontId="1" numFmtId="0" xfId="0" applyAlignment="1" applyFont="1">
      <alignment horizontal="left" vertical="bottom"/>
    </xf>
    <xf borderId="0" fillId="0" fontId="10" numFmtId="0" xfId="0" applyAlignment="1" applyFont="1">
      <alignment horizontal="left" vertical="bottom"/>
    </xf>
    <xf borderId="0" fillId="0" fontId="1" numFmtId="0" xfId="0" applyAlignment="1" applyFont="1">
      <alignment horizontal="left" shrinkToFit="0" vertical="bottom" wrapText="0"/>
    </xf>
    <xf borderId="0" fillId="5" fontId="1" numFmtId="0" xfId="0" applyFont="1"/>
    <xf borderId="0" fillId="5" fontId="1" numFmtId="0" xfId="0" applyAlignment="1" applyFont="1">
      <alignment horizontal="left"/>
    </xf>
    <xf borderId="0" fillId="0" fontId="16" numFmtId="0" xfId="0" applyAlignment="1" applyFont="1">
      <alignment horizontal="left" readingOrder="0" shrinkToFit="0" vertical="top" wrapText="0"/>
    </xf>
    <xf borderId="0" fillId="0" fontId="17" numFmtId="0" xfId="0" applyAlignment="1" applyFont="1">
      <alignment horizontal="left" readingOrder="0" shrinkToFit="0" vertical="top" wrapText="0"/>
    </xf>
    <xf borderId="2" fillId="7" fontId="18" numFmtId="0" xfId="0" applyAlignment="1" applyBorder="1" applyFill="1" applyFont="1">
      <alignment horizontal="left" shrinkToFit="0" vertical="top" wrapText="0"/>
    </xf>
    <xf borderId="3" fillId="7" fontId="18" numFmtId="0" xfId="0" applyAlignment="1" applyBorder="1" applyFont="1">
      <alignment horizontal="left" shrinkToFit="0" vertical="top" wrapText="0"/>
    </xf>
    <xf borderId="3" fillId="7" fontId="8" numFmtId="0" xfId="0" applyAlignment="1" applyBorder="1" applyFont="1">
      <alignment horizontal="left" readingOrder="0" shrinkToFit="0" vertical="top" wrapText="0"/>
    </xf>
    <xf borderId="0" fillId="0" fontId="1" numFmtId="0" xfId="0" applyAlignment="1" applyFont="1">
      <alignment horizontal="left" shrinkToFit="0" vertical="top" wrapText="0"/>
    </xf>
    <xf borderId="0" fillId="0" fontId="6" numFmtId="0" xfId="0" applyAlignment="1" applyFont="1">
      <alignment horizontal="left" shrinkToFit="0" vertical="top" wrapText="0"/>
    </xf>
    <xf borderId="0" fillId="0" fontId="6" numFmtId="0" xfId="0" applyAlignment="1" applyFont="1">
      <alignment shrinkToFit="0" vertical="top" wrapText="0"/>
    </xf>
    <xf borderId="0" fillId="0" fontId="1" numFmtId="0" xfId="0" applyAlignment="1" applyFont="1">
      <alignment shrinkToFit="0" vertical="top" wrapText="0"/>
    </xf>
    <xf borderId="0" fillId="0" fontId="16" numFmtId="0" xfId="0" applyAlignment="1" applyFont="1">
      <alignment horizontal="left" shrinkToFit="0" vertical="top" wrapText="0"/>
    </xf>
    <xf borderId="0" fillId="0" fontId="16" numFmtId="49" xfId="0" applyAlignment="1" applyFont="1" applyNumberFormat="1">
      <alignment shrinkToFit="0" vertical="top" wrapText="0"/>
    </xf>
    <xf borderId="0" fillId="0" fontId="16" numFmtId="49" xfId="0" applyAlignment="1" applyFont="1" applyNumberFormat="1">
      <alignment horizontal="left" shrinkToFit="0" vertical="top" wrapText="0"/>
    </xf>
    <xf borderId="0" fillId="0" fontId="6" numFmtId="49" xfId="0" applyAlignment="1" applyFont="1" applyNumberFormat="1">
      <alignment horizontal="left" shrinkToFit="0" vertical="top" wrapText="0"/>
    </xf>
    <xf borderId="0" fillId="8" fontId="8" numFmtId="49" xfId="0" applyAlignment="1" applyFill="1" applyFont="1" applyNumberFormat="1">
      <alignment shrinkToFit="0" vertical="top" wrapText="0"/>
    </xf>
    <xf borderId="4" fillId="9" fontId="8" numFmtId="0" xfId="0" applyAlignment="1" applyBorder="1" applyFill="1" applyFont="1">
      <alignment shrinkToFit="0" vertical="top" wrapText="0"/>
    </xf>
    <xf borderId="5" fillId="10" fontId="19" numFmtId="49" xfId="0" applyAlignment="1" applyBorder="1" applyFill="1" applyFont="1" applyNumberFormat="1">
      <alignment shrinkToFit="0" vertical="top" wrapText="0"/>
    </xf>
    <xf borderId="6" fillId="10" fontId="19" numFmtId="49" xfId="0" applyAlignment="1" applyBorder="1" applyFont="1" applyNumberFormat="1">
      <alignment shrinkToFit="0" vertical="top" wrapText="0"/>
    </xf>
    <xf borderId="7" fillId="10" fontId="19" numFmtId="49" xfId="0" applyAlignment="1" applyBorder="1" applyFont="1" applyNumberFormat="1">
      <alignment shrinkToFit="0" vertical="top" wrapText="0"/>
    </xf>
    <xf borderId="7" fillId="10" fontId="8" numFmtId="49" xfId="0" applyAlignment="1" applyBorder="1" applyFont="1" applyNumberFormat="1">
      <alignment shrinkToFit="0" vertical="top" wrapText="0"/>
    </xf>
    <xf borderId="0" fillId="0" fontId="6" numFmtId="0" xfId="0" applyAlignment="1" applyFont="1">
      <alignment horizontal="left" readingOrder="0" shrinkToFit="0" vertical="top" wrapText="0"/>
    </xf>
    <xf borderId="0" fillId="0" fontId="6" numFmtId="9" xfId="0" applyAlignment="1" applyFont="1" applyNumberFormat="1">
      <alignment horizontal="left" shrinkToFit="0" vertical="top" wrapText="0"/>
    </xf>
    <xf borderId="0" fillId="0" fontId="20" numFmtId="49" xfId="0" applyAlignment="1" applyFont="1" applyNumberFormat="1">
      <alignment horizontal="center" shrinkToFit="0" vertical="top" wrapText="0"/>
    </xf>
    <xf borderId="0" fillId="0" fontId="20" numFmtId="49" xfId="0" applyAlignment="1" applyFont="1" applyNumberFormat="1">
      <alignment horizontal="left" shrinkToFit="0" vertical="top" wrapText="0"/>
    </xf>
    <xf borderId="0" fillId="0" fontId="20" numFmtId="0" xfId="0" applyAlignment="1" applyFont="1">
      <alignment horizontal="center" shrinkToFit="0" vertical="top" wrapText="0"/>
    </xf>
    <xf borderId="0" fillId="0" fontId="20" numFmtId="0" xfId="0" applyAlignment="1" applyFont="1">
      <alignment horizontal="left" shrinkToFit="0" vertical="top" wrapText="0"/>
    </xf>
    <xf borderId="8" fillId="10" fontId="21" numFmtId="0" xfId="0" applyAlignment="1" applyBorder="1" applyFont="1">
      <alignment horizontal="center" shrinkToFit="0" vertical="top" wrapText="0"/>
    </xf>
    <xf borderId="9" fillId="10" fontId="21" numFmtId="0" xfId="0" applyAlignment="1" applyBorder="1" applyFont="1">
      <alignment shrinkToFit="0" vertical="top" wrapText="0"/>
    </xf>
    <xf borderId="8" fillId="10" fontId="21" numFmtId="0" xfId="0" applyAlignment="1" applyBorder="1" applyFont="1">
      <alignment shrinkToFit="0" vertical="top" wrapText="0"/>
    </xf>
    <xf borderId="10" fillId="10" fontId="8" numFmtId="0" xfId="0" applyAlignment="1" applyBorder="1" applyFont="1">
      <alignment shrinkToFit="0" vertical="top" wrapText="0"/>
    </xf>
    <xf borderId="11" fillId="10" fontId="5" numFmtId="0" xfId="0" applyAlignment="1" applyBorder="1" applyFont="1">
      <alignment shrinkToFit="0" vertical="top" wrapText="0"/>
    </xf>
    <xf borderId="10" fillId="10" fontId="22" numFmtId="49" xfId="0" applyAlignment="1" applyBorder="1" applyFont="1" applyNumberFormat="1">
      <alignment shrinkToFit="0" vertical="top" wrapText="0"/>
    </xf>
    <xf borderId="12" fillId="10" fontId="21" numFmtId="0" xfId="0" applyAlignment="1" applyBorder="1" applyFont="1">
      <alignment horizontal="center" shrinkToFit="0" vertical="top" wrapText="0"/>
    </xf>
    <xf borderId="13" fillId="10" fontId="21" numFmtId="0" xfId="0" applyAlignment="1" applyBorder="1" applyFont="1">
      <alignment shrinkToFit="0" vertical="top" wrapText="0"/>
    </xf>
    <xf borderId="12" fillId="10" fontId="21" numFmtId="0" xfId="0" applyAlignment="1" applyBorder="1" applyFont="1">
      <alignment shrinkToFit="0" vertical="top" wrapText="0"/>
    </xf>
    <xf borderId="14" fillId="10" fontId="5" numFmtId="0" xfId="0" applyAlignment="1" applyBorder="1" applyFont="1">
      <alignment shrinkToFit="0" vertical="top" wrapText="0"/>
    </xf>
    <xf borderId="15" fillId="10" fontId="21" numFmtId="0" xfId="0" applyAlignment="1" applyBorder="1" applyFont="1">
      <alignment horizontal="center" shrinkToFit="0" vertical="top" wrapText="0"/>
    </xf>
    <xf borderId="16" fillId="10" fontId="21" numFmtId="0" xfId="0" applyAlignment="1" applyBorder="1" applyFont="1">
      <alignment shrinkToFit="0" vertical="top" wrapText="0"/>
    </xf>
    <xf borderId="15" fillId="10" fontId="21" numFmtId="0" xfId="0" applyAlignment="1" applyBorder="1" applyFont="1">
      <alignment shrinkToFit="0" vertical="top" wrapText="0"/>
    </xf>
    <xf borderId="17" fillId="10" fontId="5" numFmtId="0" xfId="0" applyAlignment="1" applyBorder="1" applyFont="1">
      <alignment shrinkToFit="0" vertical="top" wrapText="0"/>
    </xf>
    <xf borderId="0" fillId="0" fontId="16" numFmtId="0" xfId="0" applyAlignment="1" applyFont="1">
      <alignment shrinkToFit="0" vertical="top" wrapText="0"/>
    </xf>
    <xf borderId="7" fillId="10" fontId="8" numFmtId="0" xfId="0" applyAlignment="1" applyBorder="1" applyFont="1">
      <alignment shrinkToFit="0" vertical="top" wrapText="0"/>
    </xf>
    <xf borderId="17" fillId="10" fontId="8" numFmtId="0" xfId="0" applyAlignment="1" applyBorder="1" applyFont="1">
      <alignment shrinkToFit="0" vertical="top" wrapText="0"/>
    </xf>
    <xf borderId="0" fillId="0" fontId="17" numFmtId="49" xfId="0" applyAlignment="1" applyFont="1" applyNumberFormat="1">
      <alignment horizontal="center" shrinkToFit="0" vertical="top" wrapText="0"/>
    </xf>
    <xf borderId="0" fillId="0" fontId="17" numFmtId="49" xfId="0" applyAlignment="1" applyFont="1" applyNumberFormat="1">
      <alignment horizontal="left" shrinkToFit="0" vertical="top" wrapText="0"/>
    </xf>
    <xf borderId="0" fillId="0" fontId="17" numFmtId="0" xfId="0" applyAlignment="1" applyFont="1">
      <alignment horizontal="center" shrinkToFit="0" vertical="top" wrapText="0"/>
    </xf>
    <xf borderId="0" fillId="0" fontId="17" numFmtId="0" xfId="0" applyAlignment="1" applyFont="1">
      <alignment horizontal="left" shrinkToFit="0" vertical="top" wrapText="0"/>
    </xf>
    <xf borderId="2" fillId="7" fontId="18" numFmtId="0" xfId="0" applyAlignment="1" applyBorder="1" applyFont="1">
      <alignment horizontal="center" shrinkToFit="0" vertical="top" wrapText="0"/>
    </xf>
    <xf borderId="3" fillId="7" fontId="18" numFmtId="0" xfId="0" applyAlignment="1" applyBorder="1" applyFont="1">
      <alignment shrinkToFit="0" vertical="top" wrapText="0"/>
    </xf>
    <xf borderId="3" fillId="7" fontId="8" numFmtId="0" xfId="0" applyAlignment="1" applyBorder="1" applyFont="1">
      <alignment shrinkToFit="0" vertical="top" wrapText="0"/>
    </xf>
    <xf borderId="0" fillId="0" fontId="6" numFmtId="0" xfId="0" applyAlignment="1" applyFont="1">
      <alignment horizontal="center" shrinkToFit="0" vertical="top" wrapText="0"/>
    </xf>
    <xf quotePrefix="1" borderId="18" fillId="0" fontId="23" numFmtId="0" xfId="0" applyAlignment="1" applyBorder="1" applyFont="1">
      <alignment horizontal="center" shrinkToFit="0" vertical="top" wrapText="0"/>
    </xf>
    <xf borderId="19" fillId="0" fontId="14" numFmtId="0" xfId="0" applyAlignment="1" applyBorder="1" applyFont="1">
      <alignment shrinkToFit="0" vertical="top" wrapText="0"/>
    </xf>
    <xf borderId="19" fillId="0" fontId="8" numFmtId="0" xfId="0" applyAlignment="1" applyBorder="1" applyFont="1">
      <alignment shrinkToFit="0" vertical="top" wrapText="0"/>
    </xf>
    <xf borderId="19" fillId="0" fontId="22" numFmtId="0" xfId="0" applyAlignment="1" applyBorder="1" applyFont="1">
      <alignment horizontal="right" shrinkToFit="0" vertical="top" wrapText="0"/>
    </xf>
    <xf borderId="19" fillId="0" fontId="24" numFmtId="0" xfId="0" applyAlignment="1" applyBorder="1" applyFont="1">
      <alignment horizontal="center" shrinkToFit="0" vertical="top" wrapText="0"/>
    </xf>
    <xf borderId="0" fillId="0" fontId="6" numFmtId="49" xfId="0" applyAlignment="1" applyFont="1" applyNumberFormat="1">
      <alignment horizontal="center" shrinkToFit="0" vertical="top" wrapText="0"/>
    </xf>
    <xf borderId="20" fillId="0" fontId="23" numFmtId="49" xfId="0" applyAlignment="1" applyBorder="1" applyFont="1" applyNumberFormat="1">
      <alignment horizontal="center" shrinkToFit="0" vertical="top" wrapText="0"/>
    </xf>
    <xf borderId="21" fillId="0" fontId="1" numFmtId="0" xfId="0" applyAlignment="1" applyBorder="1" applyFont="1">
      <alignment shrinkToFit="0" vertical="top" wrapText="0"/>
    </xf>
    <xf borderId="20" fillId="0" fontId="8" numFmtId="0" xfId="0" applyAlignment="1" applyBorder="1" applyFont="1">
      <alignment shrinkToFit="0" vertical="top" wrapText="0"/>
    </xf>
    <xf borderId="20" fillId="0" fontId="1" numFmtId="0" xfId="0" applyAlignment="1" applyBorder="1" applyFont="1">
      <alignment shrinkToFit="0" vertical="top" wrapText="0"/>
    </xf>
    <xf borderId="21" fillId="0" fontId="25" numFmtId="0" xfId="0" applyAlignment="1" applyBorder="1" applyFont="1">
      <alignment horizontal="center" readingOrder="0" shrinkToFit="0" vertical="top" wrapText="0"/>
    </xf>
    <xf borderId="22" fillId="0" fontId="23" numFmtId="49" xfId="0" applyAlignment="1" applyBorder="1" applyFont="1" applyNumberFormat="1">
      <alignment horizontal="center" shrinkToFit="0" vertical="top" wrapText="0"/>
    </xf>
    <xf borderId="23" fillId="0" fontId="1" numFmtId="0" xfId="0" applyAlignment="1" applyBorder="1" applyFont="1">
      <alignment shrinkToFit="0" vertical="top" wrapText="0"/>
    </xf>
    <xf borderId="24" fillId="0" fontId="8" numFmtId="0" xfId="0" applyAlignment="1" applyBorder="1" applyFont="1">
      <alignment shrinkToFit="0" vertical="top" wrapText="0"/>
    </xf>
    <xf borderId="24" fillId="0" fontId="1" numFmtId="0" xfId="0" applyAlignment="1" applyBorder="1" applyFont="1">
      <alignment shrinkToFit="0" vertical="top" wrapText="0"/>
    </xf>
    <xf borderId="24" fillId="0" fontId="25" numFmtId="0" xfId="0" applyAlignment="1" applyBorder="1" applyFont="1">
      <alignment horizontal="center" readingOrder="0" shrinkToFit="0" vertical="top" wrapText="0"/>
    </xf>
    <xf borderId="25" fillId="0" fontId="23" numFmtId="49" xfId="0" applyAlignment="1" applyBorder="1" applyFont="1" applyNumberFormat="1">
      <alignment horizontal="center" shrinkToFit="0" vertical="top" wrapText="0"/>
    </xf>
    <xf borderId="26" fillId="0" fontId="1" numFmtId="0" xfId="0" applyAlignment="1" applyBorder="1" applyFont="1">
      <alignment shrinkToFit="0" vertical="top" wrapText="0"/>
    </xf>
    <xf borderId="27" fillId="0" fontId="8" numFmtId="0" xfId="0" applyAlignment="1" applyBorder="1" applyFont="1">
      <alignment shrinkToFit="0" vertical="top" wrapText="0"/>
    </xf>
    <xf borderId="28" fillId="0" fontId="1" numFmtId="0" xfId="0" applyAlignment="1" applyBorder="1" applyFont="1">
      <alignment shrinkToFit="0" vertical="top" wrapText="0"/>
    </xf>
    <xf borderId="29" fillId="0" fontId="8" numFmtId="0" xfId="0" applyAlignment="1" applyBorder="1" applyFont="1">
      <alignment shrinkToFit="0" vertical="top" wrapText="0"/>
    </xf>
    <xf borderId="30" fillId="0" fontId="1" numFmtId="0" xfId="0" applyAlignment="1" applyBorder="1" applyFont="1">
      <alignment shrinkToFit="0" vertical="top" wrapText="0"/>
    </xf>
    <xf borderId="31" fillId="0" fontId="8" numFmtId="0" xfId="0" applyAlignment="1" applyBorder="1" applyFont="1">
      <alignment shrinkToFit="0" vertical="top" wrapText="0"/>
    </xf>
    <xf borderId="31" fillId="0" fontId="26" numFmtId="0" xfId="0" applyAlignment="1" applyBorder="1" applyFont="1">
      <alignment shrinkToFit="0" vertical="top" wrapText="0"/>
    </xf>
    <xf borderId="24" fillId="0" fontId="25" numFmtId="0" xfId="0" applyAlignment="1" applyBorder="1" applyFont="1">
      <alignment horizontal="center" shrinkToFit="0" vertical="top" wrapText="0"/>
    </xf>
    <xf borderId="32" fillId="0" fontId="8" numFmtId="0" xfId="0" applyAlignment="1" applyBorder="1" applyFont="1">
      <alignment shrinkToFit="0" vertical="top" wrapText="0"/>
    </xf>
    <xf borderId="32" fillId="0" fontId="1" numFmtId="0" xfId="0" applyAlignment="1" applyBorder="1" applyFont="1">
      <alignment shrinkToFit="0" vertical="top" wrapText="0"/>
    </xf>
    <xf borderId="33" fillId="0" fontId="1" numFmtId="0" xfId="0" applyAlignment="1" applyBorder="1" applyFont="1">
      <alignment shrinkToFit="0" vertical="top" wrapText="0"/>
    </xf>
    <xf borderId="21" fillId="0" fontId="25" numFmtId="0" xfId="0" applyAlignment="1" applyBorder="1" applyFont="1">
      <alignment horizontal="center" shrinkToFit="0" vertical="top" wrapText="0"/>
    </xf>
    <xf borderId="34" fillId="0" fontId="23" numFmtId="49" xfId="0" applyAlignment="1" applyBorder="1" applyFont="1" applyNumberFormat="1">
      <alignment horizontal="center" shrinkToFit="0" vertical="top" wrapText="0"/>
    </xf>
    <xf borderId="35" fillId="0" fontId="1" numFmtId="0" xfId="0" applyAlignment="1" applyBorder="1" applyFont="1">
      <alignment shrinkToFit="0" vertical="top" wrapText="0"/>
    </xf>
    <xf borderId="23" fillId="0" fontId="8" numFmtId="0" xfId="0" applyAlignment="1" applyBorder="1" applyFont="1">
      <alignment shrinkToFit="0" vertical="top" wrapText="0"/>
    </xf>
    <xf borderId="36" fillId="0" fontId="8" numFmtId="0" xfId="0" applyAlignment="1" applyBorder="1" applyFont="1">
      <alignment shrinkToFit="0" vertical="top" wrapText="0"/>
    </xf>
    <xf borderId="36" fillId="0" fontId="1" numFmtId="0" xfId="0" applyAlignment="1" applyBorder="1" applyFont="1">
      <alignment shrinkToFit="0" vertical="top" wrapText="0"/>
    </xf>
    <xf borderId="31" fillId="0" fontId="1" numFmtId="0" xfId="0" applyAlignment="1" applyBorder="1" applyFont="1">
      <alignment shrinkToFit="0" vertical="top" wrapText="0"/>
    </xf>
    <xf borderId="37" fillId="0" fontId="8" numFmtId="0" xfId="0" applyAlignment="1" applyBorder="1" applyFont="1">
      <alignment shrinkToFit="0" vertical="top" wrapText="0"/>
    </xf>
    <xf borderId="38" fillId="0" fontId="23" numFmtId="49" xfId="0" applyAlignment="1" applyBorder="1" applyFont="1" applyNumberFormat="1">
      <alignment horizontal="center" shrinkToFit="0" vertical="top" wrapText="0"/>
    </xf>
    <xf borderId="39" fillId="11" fontId="1" numFmtId="0" xfId="0" applyAlignment="1" applyBorder="1" applyFill="1" applyFont="1">
      <alignment shrinkToFit="0" vertical="top" wrapText="0"/>
    </xf>
    <xf borderId="21" fillId="0" fontId="8" numFmtId="0" xfId="0" applyAlignment="1" applyBorder="1" applyFont="1">
      <alignment shrinkToFit="0" vertical="top" wrapText="0"/>
    </xf>
    <xf quotePrefix="1" borderId="40" fillId="0" fontId="23" numFmtId="49" xfId="0" applyAlignment="1" applyBorder="1" applyFont="1" applyNumberFormat="1">
      <alignment horizontal="center" shrinkToFit="0" vertical="top" wrapText="0"/>
    </xf>
    <xf borderId="40" fillId="0" fontId="14" numFmtId="0" xfId="0" applyAlignment="1" applyBorder="1" applyFont="1">
      <alignment shrinkToFit="0" vertical="top" wrapText="0"/>
    </xf>
    <xf borderId="41" fillId="0" fontId="8" numFmtId="0" xfId="0" applyAlignment="1" applyBorder="1" applyFont="1">
      <alignment shrinkToFit="0" vertical="top" wrapText="0"/>
    </xf>
    <xf borderId="41" fillId="0" fontId="22" numFmtId="0" xfId="0" applyAlignment="1" applyBorder="1" applyFont="1">
      <alignment horizontal="right" shrinkToFit="0" vertical="top" wrapText="0"/>
    </xf>
    <xf borderId="25" fillId="0" fontId="1" numFmtId="0" xfId="0" applyAlignment="1" applyBorder="1" applyFont="1">
      <alignment shrinkToFit="0" vertical="top" wrapText="0"/>
    </xf>
    <xf borderId="37" fillId="0" fontId="1" numFmtId="0" xfId="0" applyAlignment="1" applyBorder="1" applyFont="1">
      <alignment shrinkToFit="0" vertical="top" wrapText="0"/>
    </xf>
    <xf quotePrefix="1" borderId="42" fillId="0" fontId="23" numFmtId="49" xfId="0" applyAlignment="1" applyBorder="1" applyFont="1" applyNumberFormat="1">
      <alignment horizontal="center" shrinkToFit="0" vertical="top" wrapText="0"/>
    </xf>
    <xf borderId="43" fillId="0" fontId="14" numFmtId="0" xfId="0" applyAlignment="1" applyBorder="1" applyFont="1">
      <alignment shrinkToFit="0" vertical="top" wrapText="0"/>
    </xf>
    <xf borderId="43" fillId="0" fontId="8" numFmtId="0" xfId="0" applyAlignment="1" applyBorder="1" applyFont="1">
      <alignment shrinkToFit="0" vertical="top" wrapText="0"/>
    </xf>
    <xf borderId="43" fillId="0" fontId="22" numFmtId="0" xfId="0" applyAlignment="1" applyBorder="1" applyFont="1">
      <alignment horizontal="right" shrinkToFit="0" vertical="top" wrapText="0"/>
    </xf>
    <xf borderId="38" fillId="0" fontId="8" numFmtId="0" xfId="0" applyAlignment="1" applyBorder="1" applyFont="1">
      <alignment shrinkToFit="0" vertical="top" wrapText="0"/>
    </xf>
    <xf borderId="38" fillId="0" fontId="1" numFmtId="0" xfId="0" applyAlignment="1" applyBorder="1" applyFont="1">
      <alignment shrinkToFit="0" vertical="top" wrapText="0"/>
    </xf>
    <xf borderId="29" fillId="0" fontId="1" numFmtId="0" xfId="0" applyAlignment="1" applyBorder="1" applyFont="1">
      <alignment shrinkToFit="0" vertical="top" wrapText="0"/>
    </xf>
    <xf borderId="23" fillId="11" fontId="1" numFmtId="0" xfId="0" applyAlignment="1" applyBorder="1" applyFont="1">
      <alignment shrinkToFit="0" vertical="top" wrapText="0"/>
    </xf>
    <xf borderId="35" fillId="11" fontId="8" numFmtId="0" xfId="0" applyAlignment="1" applyBorder="1" applyFont="1">
      <alignment shrinkToFit="0" vertical="top" wrapText="0"/>
    </xf>
    <xf borderId="26" fillId="0" fontId="27" numFmtId="0" xfId="0" applyAlignment="1" applyBorder="1" applyFont="1">
      <alignment shrinkToFit="0" vertical="top" wrapText="0"/>
    </xf>
    <xf borderId="22" fillId="0" fontId="1" numFmtId="0" xfId="0" applyAlignment="1" applyBorder="1" applyFont="1">
      <alignment shrinkToFit="0" vertical="top" wrapText="0"/>
    </xf>
    <xf borderId="44" fillId="0" fontId="8" numFmtId="0" xfId="0" applyAlignment="1" applyBorder="1" applyFont="1">
      <alignment shrinkToFit="0" vertical="top" wrapText="0"/>
    </xf>
    <xf borderId="44" fillId="0" fontId="1" numFmtId="0" xfId="0" applyAlignment="1" applyBorder="1" applyFont="1">
      <alignment shrinkToFit="0" vertical="top" wrapText="0"/>
    </xf>
    <xf borderId="20" fillId="11" fontId="1" numFmtId="0" xfId="0" applyAlignment="1" applyBorder="1" applyFont="1">
      <alignment shrinkToFit="0" vertical="top" wrapText="0"/>
    </xf>
    <xf quotePrefix="1" borderId="40" fillId="0" fontId="23" numFmtId="0" xfId="0" applyAlignment="1" applyBorder="1" applyFont="1">
      <alignment horizontal="center" shrinkToFit="0" vertical="top" wrapText="0"/>
    </xf>
    <xf borderId="41" fillId="0" fontId="14" numFmtId="0" xfId="0" applyAlignment="1" applyBorder="1" applyFont="1">
      <alignment shrinkToFit="0" vertical="top" wrapText="0"/>
    </xf>
    <xf borderId="41" fillId="0" fontId="28" numFmtId="0" xfId="0" applyAlignment="1" applyBorder="1" applyFont="1">
      <alignment horizontal="right" shrinkToFit="0" vertical="top" wrapText="0"/>
    </xf>
    <xf quotePrefix="1" borderId="42" fillId="0" fontId="23" numFmtId="0" xfId="0" applyAlignment="1" applyBorder="1" applyFont="1">
      <alignment horizontal="center" shrinkToFit="0" vertical="top" wrapText="0"/>
    </xf>
    <xf borderId="43" fillId="0" fontId="28" numFmtId="0" xfId="0" applyAlignment="1" applyBorder="1" applyFont="1">
      <alignment horizontal="right" shrinkToFit="0" vertical="top" wrapText="0"/>
    </xf>
    <xf borderId="26" fillId="0" fontId="8" numFmtId="0" xfId="0" applyAlignment="1" applyBorder="1" applyFont="1">
      <alignment shrinkToFit="0" vertical="top" wrapText="0"/>
    </xf>
    <xf borderId="0" fillId="0" fontId="16" numFmtId="9" xfId="0" applyAlignment="1" applyFont="1" applyNumberFormat="1">
      <alignment horizontal="left" shrinkToFit="0" vertical="top" wrapText="0"/>
    </xf>
    <xf borderId="0" fillId="0" fontId="29" numFmtId="9" xfId="0" applyAlignment="1" applyFont="1" applyNumberFormat="1">
      <alignment horizontal="left" shrinkToFit="0" vertical="top" wrapText="0"/>
    </xf>
    <xf borderId="11" fillId="10" fontId="30" numFmtId="0" xfId="0" applyAlignment="1" applyBorder="1" applyFont="1">
      <alignment shrinkToFit="0" vertical="top" wrapText="0"/>
    </xf>
    <xf borderId="0" fillId="0" fontId="6" numFmtId="165" xfId="0" applyAlignment="1" applyFont="1" applyNumberFormat="1">
      <alignment horizontal="center" shrinkToFit="0" vertical="top" wrapText="0"/>
    </xf>
    <xf borderId="25" fillId="0" fontId="23" numFmtId="165" xfId="0" applyAlignment="1" applyBorder="1" applyFont="1" applyNumberFormat="1">
      <alignment horizontal="center" shrinkToFit="0" vertical="top" wrapText="0"/>
    </xf>
    <xf borderId="26" fillId="0" fontId="14" numFmtId="0" xfId="0" applyAlignment="1" applyBorder="1" applyFont="1">
      <alignment shrinkToFit="0" vertical="top" wrapText="0"/>
    </xf>
    <xf borderId="29" fillId="0" fontId="23" numFmtId="49" xfId="0" applyAlignment="1" applyBorder="1" applyFont="1" applyNumberFormat="1">
      <alignment horizontal="center" shrinkToFit="0" vertical="top" wrapText="0"/>
    </xf>
    <xf borderId="37" fillId="0" fontId="31" numFmtId="0" xfId="0" applyAlignment="1" applyBorder="1" applyFont="1">
      <alignment shrinkToFit="0" vertical="top" wrapText="0"/>
    </xf>
    <xf borderId="45" fillId="0" fontId="8" numFmtId="0" xfId="0" applyAlignment="1" applyBorder="1" applyFont="1">
      <alignment shrinkToFit="0" vertical="top" wrapText="0"/>
    </xf>
    <xf borderId="46" fillId="0" fontId="1" numFmtId="0" xfId="0" applyAlignment="1" applyBorder="1" applyFont="1">
      <alignment shrinkToFit="0" vertical="top" wrapText="0"/>
    </xf>
    <xf borderId="35" fillId="0" fontId="8" numFmtId="0" xfId="0" applyAlignment="1" applyBorder="1" applyFont="1">
      <alignment shrinkToFit="0" vertical="top" wrapText="0"/>
    </xf>
    <xf borderId="44" fillId="0" fontId="23" numFmtId="49" xfId="0" applyAlignment="1" applyBorder="1" applyFont="1" applyNumberFormat="1">
      <alignment horizontal="center" shrinkToFit="0" vertical="top" wrapText="0"/>
    </xf>
    <xf borderId="35" fillId="0" fontId="32" numFmtId="0" xfId="0" applyAlignment="1" applyBorder="1" applyFont="1">
      <alignment shrinkToFit="0" vertical="top" wrapText="0"/>
    </xf>
    <xf borderId="47" fillId="0" fontId="23" numFmtId="49" xfId="0" applyAlignment="1" applyBorder="1" applyFont="1" applyNumberFormat="1">
      <alignment horizontal="center" shrinkToFit="0" vertical="top" wrapText="0"/>
    </xf>
    <xf borderId="48" fillId="11" fontId="1" numFmtId="0" xfId="0" applyAlignment="1" applyBorder="1" applyFont="1">
      <alignment shrinkToFit="0" vertical="top" wrapText="0"/>
    </xf>
    <xf borderId="49" fillId="0" fontId="23" numFmtId="49" xfId="0" applyAlignment="1" applyBorder="1" applyFont="1" applyNumberFormat="1">
      <alignment horizontal="center" shrinkToFit="0" vertical="top" wrapText="0"/>
    </xf>
    <xf borderId="49" fillId="0" fontId="1" numFmtId="0" xfId="0" applyAlignment="1" applyBorder="1" applyFont="1">
      <alignment shrinkToFit="0" vertical="top" wrapText="0"/>
    </xf>
    <xf borderId="49" fillId="0" fontId="8" numFmtId="0" xfId="0" applyAlignment="1" applyBorder="1" applyFont="1">
      <alignment shrinkToFit="0" vertical="top" wrapText="0"/>
    </xf>
    <xf borderId="20" fillId="0" fontId="33" numFmtId="0" xfId="0" applyAlignment="1" applyBorder="1" applyFont="1">
      <alignment shrinkToFit="0" vertical="top" wrapText="0"/>
    </xf>
    <xf borderId="8" fillId="10" fontId="21" numFmtId="49" xfId="0" applyAlignment="1" applyBorder="1" applyFont="1" applyNumberFormat="1">
      <alignment horizontal="center" shrinkToFit="0" vertical="top" wrapText="0"/>
    </xf>
    <xf borderId="12" fillId="10" fontId="21" numFmtId="49" xfId="0" applyAlignment="1" applyBorder="1" applyFont="1" applyNumberFormat="1">
      <alignment horizontal="center" shrinkToFit="0" vertical="top" wrapText="0"/>
    </xf>
    <xf borderId="15" fillId="10" fontId="21" numFmtId="49" xfId="0" applyAlignment="1" applyBorder="1" applyFont="1" applyNumberFormat="1">
      <alignment horizontal="center" shrinkToFit="0" vertical="top" wrapText="0"/>
    </xf>
    <xf borderId="2" fillId="7" fontId="18" numFmtId="49" xfId="0" applyAlignment="1" applyBorder="1" applyFont="1" applyNumberFormat="1">
      <alignment horizontal="center" shrinkToFit="0" vertical="top" wrapText="0"/>
    </xf>
    <xf borderId="47" fillId="0" fontId="23" numFmtId="0" xfId="0" applyAlignment="1" applyBorder="1" applyFont="1">
      <alignment horizontal="center" shrinkToFit="0" vertical="top" wrapText="0"/>
    </xf>
    <xf borderId="0" fillId="11" fontId="23" numFmtId="49" xfId="0" applyAlignment="1" applyFont="1" applyNumberFormat="1">
      <alignment horizontal="center" shrinkToFit="0" vertical="top" wrapText="0"/>
    </xf>
    <xf borderId="50" fillId="11" fontId="23" numFmtId="49" xfId="0" applyAlignment="1" applyBorder="1" applyFont="1" applyNumberFormat="1">
      <alignment horizontal="center" shrinkToFit="0" vertical="top" wrapText="0"/>
    </xf>
    <xf borderId="39" fillId="11" fontId="8" numFmtId="49" xfId="0" applyAlignment="1" applyBorder="1" applyFont="1" applyNumberFormat="1">
      <alignment shrinkToFit="0" vertical="top" wrapText="0"/>
    </xf>
    <xf borderId="21" fillId="11" fontId="1" numFmtId="0" xfId="0" applyAlignment="1" applyBorder="1" applyFont="1">
      <alignment shrinkToFit="0" vertical="top" wrapText="0"/>
    </xf>
    <xf borderId="51" fillId="11" fontId="23" numFmtId="49" xfId="0" applyAlignment="1" applyBorder="1" applyFont="1" applyNumberFormat="1">
      <alignment horizontal="center" shrinkToFit="0" vertical="top" wrapText="0"/>
    </xf>
    <xf borderId="52" fillId="11" fontId="23" numFmtId="49" xfId="0" applyAlignment="1" applyBorder="1" applyFont="1" applyNumberFormat="1">
      <alignment horizontal="center" shrinkToFit="0" vertical="top" wrapText="0"/>
    </xf>
    <xf borderId="39" fillId="11" fontId="23" numFmtId="49" xfId="0" applyAlignment="1" applyBorder="1" applyFont="1" applyNumberFormat="1">
      <alignment horizontal="center" shrinkToFit="0" vertical="top" wrapText="0"/>
    </xf>
    <xf quotePrefix="1" borderId="29" fillId="0" fontId="23" numFmtId="0" xfId="0" applyAlignment="1" applyBorder="1" applyFont="1">
      <alignment horizontal="center" shrinkToFit="0" vertical="top" wrapText="0"/>
    </xf>
    <xf borderId="29" fillId="0" fontId="23" numFmtId="0" xfId="0" applyAlignment="1" applyBorder="1" applyFont="1">
      <alignment horizontal="center" shrinkToFit="0" vertical="top" wrapText="0"/>
    </xf>
    <xf quotePrefix="1" borderId="25" fillId="0" fontId="23" numFmtId="0" xfId="0" applyAlignment="1" applyBorder="1" applyFont="1">
      <alignment horizontal="center" shrinkToFit="0" vertical="top" wrapText="0"/>
    </xf>
    <xf borderId="38" fillId="0" fontId="8" numFmtId="49" xfId="0" applyAlignment="1" applyBorder="1" applyFont="1" applyNumberFormat="1">
      <alignment shrinkToFit="0" vertical="top" wrapText="0"/>
    </xf>
    <xf borderId="20" fillId="0" fontId="8" numFmtId="49" xfId="0" applyAlignment="1" applyBorder="1" applyFont="1" applyNumberFormat="1">
      <alignment shrinkToFit="0" vertical="top" wrapText="0"/>
    </xf>
    <xf borderId="53" fillId="0" fontId="1" numFmtId="0" xfId="0" applyAlignment="1" applyBorder="1" applyFont="1">
      <alignment shrinkToFit="0" vertical="top" wrapText="0"/>
    </xf>
    <xf borderId="53" fillId="0" fontId="8" numFmtId="0" xfId="0" applyAlignment="1" applyBorder="1" applyFont="1">
      <alignment shrinkToFit="0" vertical="top" wrapText="0"/>
    </xf>
    <xf borderId="14" fillId="0" fontId="34" numFmtId="0" xfId="0" applyBorder="1" applyFont="1"/>
    <xf borderId="17" fillId="0" fontId="34" numFmtId="0" xfId="0" applyBorder="1" applyFont="1"/>
    <xf borderId="10" fillId="10" fontId="8" numFmtId="49" xfId="0" applyAlignment="1" applyBorder="1" applyFont="1" applyNumberFormat="1">
      <alignment shrinkToFit="0" vertical="top" wrapText="0"/>
    </xf>
    <xf borderId="16" fillId="10" fontId="8" numFmtId="0" xfId="0" applyAlignment="1" applyBorder="1" applyFont="1">
      <alignment shrinkToFit="0" vertical="top" wrapText="0"/>
    </xf>
    <xf borderId="25" fillId="0" fontId="23" numFmtId="0" xfId="0" applyAlignment="1" applyBorder="1" applyFont="1">
      <alignment horizontal="center" shrinkToFit="0" vertical="top" wrapText="0"/>
    </xf>
    <xf borderId="54" fillId="0" fontId="8" numFmtId="0" xfId="0" applyAlignment="1" applyBorder="1" applyFont="1">
      <alignment shrinkToFit="0" vertical="top" wrapText="0"/>
    </xf>
    <xf borderId="55" fillId="0" fontId="35" numFmtId="0" xfId="0" applyAlignment="1" applyBorder="1" applyFont="1">
      <alignment shrinkToFit="0" vertical="top" wrapText="0"/>
    </xf>
    <xf borderId="20" fillId="0" fontId="23" numFmtId="0" xfId="0" applyAlignment="1" applyBorder="1" applyFont="1">
      <alignment horizontal="center" shrinkToFit="0" vertical="top" wrapText="0"/>
    </xf>
    <xf borderId="56" fillId="0" fontId="8" numFmtId="0" xfId="0" applyAlignment="1" applyBorder="1" applyFont="1">
      <alignment shrinkToFit="0" vertical="top" wrapText="0"/>
    </xf>
    <xf borderId="55" fillId="0" fontId="1" numFmtId="0" xfId="0" applyAlignment="1" applyBorder="1" applyFont="1">
      <alignment shrinkToFit="0" vertical="top" wrapText="0"/>
    </xf>
    <xf quotePrefix="1" borderId="44" fillId="0" fontId="23" numFmtId="0" xfId="0" applyAlignment="1" applyBorder="1" applyFont="1">
      <alignment horizontal="center" shrinkToFit="0" vertical="top" wrapText="0"/>
    </xf>
    <xf borderId="57" fillId="0" fontId="1" numFmtId="0" xfId="0" applyAlignment="1" applyBorder="1" applyFont="1">
      <alignment shrinkToFit="0" vertical="top" wrapText="0"/>
    </xf>
    <xf quotePrefix="1" borderId="34" fillId="0" fontId="23" numFmtId="0" xfId="0" applyAlignment="1" applyBorder="1" applyFont="1">
      <alignment horizontal="center" shrinkToFit="0" vertical="top" wrapText="0"/>
    </xf>
    <xf borderId="48" fillId="0" fontId="1" numFmtId="0" xfId="0" applyAlignment="1" applyBorder="1" applyFont="1">
      <alignment shrinkToFit="0" vertical="top" wrapText="0"/>
    </xf>
    <xf borderId="40" fillId="0" fontId="28" numFmtId="0" xfId="0" applyAlignment="1" applyBorder="1" applyFont="1">
      <alignment horizontal="right" shrinkToFit="0" vertical="top" wrapText="0"/>
    </xf>
    <xf borderId="32" fillId="0" fontId="36" numFmtId="0" xfId="0" applyAlignment="1" applyBorder="1" applyFont="1">
      <alignment shrinkToFit="0" vertical="top" wrapText="0"/>
    </xf>
    <xf quotePrefix="1" borderId="22" fillId="0" fontId="23" numFmtId="0" xfId="0" applyAlignment="1" applyBorder="1" applyFont="1">
      <alignment horizontal="center" shrinkToFit="0" vertical="top" wrapText="0"/>
    </xf>
    <xf borderId="36" fillId="0" fontId="37" numFmtId="0" xfId="0" applyAlignment="1" applyBorder="1" applyFont="1">
      <alignment shrinkToFit="0" vertical="top" wrapText="0"/>
    </xf>
    <xf borderId="35" fillId="11" fontId="1" numFmtId="0" xfId="0" applyAlignment="1" applyBorder="1" applyFont="1">
      <alignment shrinkToFit="0" vertical="top" wrapText="0"/>
    </xf>
    <xf quotePrefix="1" borderId="18" fillId="0" fontId="23" numFmtId="49" xfId="0" applyAlignment="1" applyBorder="1" applyFont="1" applyNumberFormat="1">
      <alignment horizontal="center" shrinkToFit="0" vertical="top" wrapText="0"/>
    </xf>
    <xf quotePrefix="1" borderId="25" fillId="0" fontId="23" numFmtId="49" xfId="0" applyAlignment="1" applyBorder="1" applyFont="1" applyNumberFormat="1">
      <alignment horizontal="center" shrinkToFit="0" vertical="top" wrapText="0"/>
    </xf>
    <xf borderId="58" fillId="0" fontId="1" numFmtId="0" xfId="0" applyAlignment="1" applyBorder="1" applyFont="1">
      <alignment shrinkToFit="0" vertical="top" wrapText="0"/>
    </xf>
    <xf borderId="47" fillId="0" fontId="8" numFmtId="0" xfId="0" applyAlignment="1" applyBorder="1" applyFont="1">
      <alignment shrinkToFit="0" vertical="top" wrapText="0"/>
    </xf>
    <xf quotePrefix="1" borderId="20" fillId="0" fontId="23" numFmtId="49" xfId="0" applyAlignment="1" applyBorder="1" applyFont="1" applyNumberFormat="1">
      <alignment horizontal="center" shrinkToFit="0" vertical="top" wrapText="0"/>
    </xf>
    <xf borderId="20" fillId="0" fontId="38" numFmtId="0" xfId="0" applyAlignment="1" applyBorder="1" applyFont="1">
      <alignment shrinkToFit="0" vertical="top" wrapText="0"/>
    </xf>
    <xf borderId="21" fillId="0" fontId="39" numFmtId="0" xfId="0" applyAlignment="1" applyBorder="1" applyFont="1">
      <alignment shrinkToFit="0" vertical="top" wrapText="0"/>
    </xf>
    <xf borderId="40" fillId="0" fontId="8" numFmtId="0" xfId="0" applyAlignment="1" applyBorder="1" applyFont="1">
      <alignment shrinkToFit="0" vertical="top" wrapText="0"/>
    </xf>
    <xf borderId="25" fillId="0" fontId="38" numFmtId="0" xfId="0" applyAlignment="1" applyBorder="1" applyFont="1">
      <alignment shrinkToFit="0" vertical="top" wrapText="0"/>
    </xf>
    <xf borderId="25" fillId="0" fontId="8" numFmtId="0" xfId="0" applyAlignment="1" applyBorder="1" applyFont="1">
      <alignment shrinkToFit="0" vertical="top" wrapText="0"/>
    </xf>
    <xf borderId="34" fillId="0" fontId="8" numFmtId="0" xfId="0" applyAlignment="1" applyBorder="1" applyFont="1">
      <alignment shrinkToFit="0" vertical="top" wrapText="0"/>
    </xf>
    <xf borderId="34" fillId="0" fontId="1" numFmtId="0" xfId="0" applyAlignment="1" applyBorder="1" applyFont="1">
      <alignment shrinkToFit="0" vertical="top" wrapText="0"/>
    </xf>
    <xf borderId="27" fillId="11" fontId="1" numFmtId="0" xfId="0" applyAlignment="1" applyBorder="1" applyFont="1">
      <alignment shrinkToFit="0" vertical="top" wrapText="0"/>
    </xf>
    <xf borderId="47" fillId="0" fontId="8" numFmtId="49" xfId="0" applyAlignment="1" applyBorder="1" applyFont="1" applyNumberFormat="1">
      <alignment shrinkToFit="0" vertical="top" wrapText="0"/>
    </xf>
    <xf borderId="47" fillId="0" fontId="1" numFmtId="0" xfId="0" applyAlignment="1" applyBorder="1" applyFont="1">
      <alignment shrinkToFit="0" vertical="top" wrapText="0"/>
    </xf>
    <xf quotePrefix="1" borderId="34" fillId="0" fontId="23" numFmtId="49" xfId="0" applyAlignment="1" applyBorder="1" applyFont="1" applyNumberFormat="1">
      <alignment horizontal="center" shrinkToFit="0" vertical="top" wrapText="0"/>
    </xf>
    <xf borderId="21" fillId="0" fontId="40" numFmtId="0" xfId="0" applyAlignment="1" applyBorder="1" applyFont="1">
      <alignment shrinkToFit="0" vertical="top" wrapText="0"/>
    </xf>
    <xf quotePrefix="1" borderId="47" fillId="0" fontId="23" numFmtId="49" xfId="0" applyAlignment="1" applyBorder="1" applyFont="1" applyNumberFormat="1">
      <alignment horizontal="center" shrinkToFit="0" vertical="top" wrapText="0"/>
    </xf>
    <xf borderId="59" fillId="0" fontId="41" numFmtId="0" xfId="0" applyAlignment="1" applyBorder="1" applyFont="1">
      <alignment shrinkToFit="0" vertical="top" wrapText="0"/>
    </xf>
    <xf borderId="30" fillId="0" fontId="42" numFmtId="0" xfId="0" applyAlignment="1" applyBorder="1" applyFont="1">
      <alignment shrinkToFit="0" vertical="top" wrapText="0"/>
    </xf>
    <xf quotePrefix="1" borderId="29" fillId="0" fontId="23" numFmtId="49" xfId="0" applyAlignment="1" applyBorder="1" applyFont="1" applyNumberFormat="1">
      <alignment horizontal="center" shrinkToFit="0" vertical="top" wrapText="0"/>
    </xf>
    <xf borderId="37" fillId="0" fontId="38" numFmtId="0" xfId="0" applyAlignment="1" applyBorder="1" applyFont="1">
      <alignment shrinkToFit="0" vertical="top" wrapText="0"/>
    </xf>
    <xf borderId="60" fillId="0" fontId="1" numFmtId="0" xfId="0" applyAlignment="1" applyBorder="1" applyFont="1">
      <alignment shrinkToFit="0" vertical="top" wrapText="0"/>
    </xf>
    <xf borderId="0" fillId="10" fontId="21" numFmtId="0" xfId="0" applyAlignment="1" applyFont="1">
      <alignment shrinkToFit="0" vertical="top" wrapText="0"/>
    </xf>
    <xf borderId="15" fillId="10" fontId="8" numFmtId="0" xfId="0" applyAlignment="1" applyBorder="1" applyFont="1">
      <alignment shrinkToFit="0" vertical="top" wrapText="0"/>
    </xf>
    <xf borderId="61" fillId="10" fontId="21" numFmtId="0" xfId="0" applyAlignment="1" applyBorder="1" applyFont="1">
      <alignment shrinkToFit="0" vertical="top" wrapText="0"/>
    </xf>
    <xf borderId="61" fillId="10" fontId="8" numFmtId="0" xfId="0" applyAlignment="1" applyBorder="1" applyFont="1">
      <alignment shrinkToFit="0" vertical="top" wrapText="0"/>
    </xf>
    <xf borderId="17" fillId="10" fontId="8" numFmtId="49" xfId="0" applyAlignment="1" applyBorder="1" applyFont="1" applyNumberFormat="1">
      <alignment shrinkToFit="0" vertical="top" wrapText="0"/>
    </xf>
    <xf quotePrefix="1" borderId="47" fillId="0" fontId="23" numFmtId="0" xfId="0" applyAlignment="1" applyBorder="1" applyFont="1">
      <alignment horizontal="center" shrinkToFit="0" vertical="top" wrapText="0"/>
    </xf>
    <xf borderId="62" fillId="0" fontId="1" numFmtId="0" xfId="0" applyAlignment="1" applyBorder="1" applyFont="1">
      <alignment shrinkToFit="0" vertical="top" wrapText="0"/>
    </xf>
    <xf borderId="18" fillId="0" fontId="23" numFmtId="49" xfId="0" applyAlignment="1" applyBorder="1" applyFont="1" applyNumberFormat="1">
      <alignment horizontal="center" shrinkToFit="0" vertical="top" wrapText="0"/>
    </xf>
    <xf borderId="42" fillId="0" fontId="23" numFmtId="49" xfId="0" applyAlignment="1" applyBorder="1" applyFont="1" applyNumberFormat="1">
      <alignment horizontal="center" shrinkToFit="0" vertical="top" wrapText="0"/>
    </xf>
    <xf borderId="63" fillId="10" fontId="8" numFmtId="49" xfId="0" applyAlignment="1" applyBorder="1" applyFont="1" applyNumberFormat="1">
      <alignment shrinkToFit="0" vertical="top" wrapText="0"/>
    </xf>
    <xf borderId="40" fillId="0" fontId="23" numFmtId="49" xfId="0" applyAlignment="1" applyBorder="1" applyFont="1" applyNumberFormat="1">
      <alignment horizontal="center" shrinkToFit="0" vertical="top" wrapText="0"/>
    </xf>
    <xf borderId="64" fillId="0" fontId="8" numFmtId="0" xfId="0" applyAlignment="1" applyBorder="1" applyFont="1">
      <alignment shrinkToFit="0" vertical="top" wrapText="0"/>
    </xf>
    <xf borderId="26" fillId="0" fontId="38" numFmtId="0" xfId="0" applyAlignment="1" applyBorder="1" applyFont="1">
      <alignment shrinkToFit="0" vertical="top" wrapText="0"/>
    </xf>
    <xf borderId="24" fillId="0" fontId="43" numFmtId="0" xfId="0" applyAlignment="1" applyBorder="1" applyFont="1">
      <alignment shrinkToFit="0" vertical="top" wrapText="0"/>
    </xf>
    <xf borderId="21" fillId="0" fontId="38" numFmtId="0" xfId="0" applyAlignment="1" applyBorder="1" applyFont="1">
      <alignment shrinkToFit="0" vertical="top" wrapText="0"/>
    </xf>
    <xf borderId="36" fillId="0" fontId="43" numFmtId="0" xfId="0" applyAlignment="1" applyBorder="1" applyFont="1">
      <alignment shrinkToFit="0" vertical="top" wrapText="0"/>
    </xf>
    <xf borderId="26" fillId="0" fontId="1" numFmtId="49" xfId="0" applyAlignment="1" applyBorder="1" applyFont="1" applyNumberFormat="1">
      <alignment shrinkToFit="0" vertical="top" wrapText="0"/>
    </xf>
    <xf borderId="31" fillId="0" fontId="8" numFmtId="49" xfId="0" applyAlignment="1" applyBorder="1" applyFont="1" applyNumberFormat="1">
      <alignment shrinkToFit="0" vertical="top" wrapText="0"/>
    </xf>
    <xf borderId="31" fillId="11" fontId="1" numFmtId="49" xfId="0" applyAlignment="1" applyBorder="1" applyFont="1" applyNumberFormat="1">
      <alignment shrinkToFit="0" vertical="top" wrapText="0"/>
    </xf>
    <xf borderId="24" fillId="0" fontId="1" numFmtId="49" xfId="0" applyAlignment="1" applyBorder="1" applyFont="1" applyNumberFormat="1">
      <alignment shrinkToFit="0" vertical="top" wrapText="0"/>
    </xf>
    <xf borderId="23" fillId="0" fontId="38" numFmtId="0" xfId="0" applyAlignment="1" applyBorder="1" applyFont="1">
      <alignment shrinkToFit="0" vertical="top" wrapText="0"/>
    </xf>
    <xf borderId="65" fillId="0" fontId="1" numFmtId="0" xfId="0" applyAlignment="1" applyBorder="1" applyFont="1">
      <alignment shrinkToFit="0" vertical="top" wrapText="0"/>
    </xf>
    <xf borderId="11" fillId="10" fontId="8" numFmtId="49" xfId="0" applyAlignment="1" applyBorder="1" applyFont="1" applyNumberFormat="1">
      <alignment shrinkToFit="0" vertical="top" wrapText="0"/>
    </xf>
    <xf borderId="25" fillId="0" fontId="34" numFmtId="0" xfId="0" applyBorder="1" applyFont="1"/>
    <xf borderId="26" fillId="0" fontId="34" numFmtId="0" xfId="0" applyBorder="1" applyFont="1"/>
    <xf borderId="38" fillId="0" fontId="34" numFmtId="0" xfId="0" applyBorder="1" applyFont="1"/>
    <xf borderId="21" fillId="0" fontId="34" numFmtId="0" xfId="0" applyBorder="1" applyFont="1"/>
    <xf borderId="20" fillId="0" fontId="34" numFmtId="0" xfId="0" applyBorder="1" applyFont="1"/>
    <xf borderId="8" fillId="0" fontId="34" numFmtId="0" xfId="0" applyBorder="1" applyFont="1"/>
    <xf borderId="12" fillId="0" fontId="34" numFmtId="0" xfId="0" applyBorder="1" applyFont="1"/>
    <xf borderId="13" fillId="0" fontId="34" numFmtId="0" xfId="0" applyBorder="1" applyFont="1"/>
    <xf borderId="15" fillId="0" fontId="34" numFmtId="0" xfId="0" applyBorder="1" applyFont="1"/>
    <xf borderId="16" fillId="0" fontId="34" numFmtId="0" xfId="0" applyBorder="1" applyFont="1"/>
    <xf quotePrefix="1" borderId="51" fillId="0" fontId="23" numFmtId="49" xfId="0" applyAlignment="1" applyBorder="1" applyFont="1" applyNumberFormat="1">
      <alignment horizontal="center" shrinkToFit="0" vertical="top" wrapText="0"/>
    </xf>
    <xf quotePrefix="1" borderId="22" fillId="0" fontId="23" numFmtId="49" xfId="0" applyAlignment="1" applyBorder="1" applyFont="1" applyNumberFormat="1">
      <alignment horizontal="center" shrinkToFit="0" vertical="top" wrapText="0"/>
    </xf>
    <xf borderId="15" fillId="10" fontId="8" numFmtId="49" xfId="0" applyAlignment="1" applyBorder="1" applyFont="1" applyNumberFormat="1">
      <alignment shrinkToFit="0" vertical="top" wrapText="0"/>
    </xf>
    <xf borderId="43" fillId="0" fontId="4" numFmtId="0" xfId="0" applyAlignment="1" applyBorder="1" applyFont="1">
      <alignment shrinkToFit="0" vertical="top" wrapText="0"/>
    </xf>
    <xf borderId="18" fillId="11" fontId="23" numFmtId="49" xfId="0" applyAlignment="1" applyBorder="1" applyFont="1" applyNumberFormat="1">
      <alignment horizontal="center" shrinkToFit="0" vertical="top" wrapText="0"/>
    </xf>
    <xf borderId="19" fillId="11" fontId="14" numFmtId="0" xfId="0" applyAlignment="1" applyBorder="1" applyFont="1">
      <alignment shrinkToFit="0" vertical="top" wrapText="0"/>
    </xf>
    <xf borderId="19" fillId="11" fontId="8" numFmtId="0" xfId="0" applyAlignment="1" applyBorder="1" applyFont="1">
      <alignment shrinkToFit="0" vertical="top" wrapText="0"/>
    </xf>
    <xf borderId="66" fillId="0" fontId="8" numFmtId="0" xfId="0" applyAlignment="1" applyBorder="1" applyFont="1">
      <alignment shrinkToFit="0" vertical="top" wrapText="0"/>
    </xf>
    <xf borderId="66" fillId="0" fontId="1" numFmtId="0" xfId="0" applyAlignment="1" applyBorder="1" applyFont="1">
      <alignment shrinkToFit="0" vertical="top" wrapText="0"/>
    </xf>
    <xf borderId="43" fillId="0" fontId="5" numFmtId="0" xfId="0" applyAlignment="1" applyBorder="1" applyFont="1">
      <alignment horizontal="right" shrinkToFit="0" vertical="top" wrapText="0"/>
    </xf>
    <xf borderId="19" fillId="0" fontId="44" numFmtId="0" xfId="0" applyAlignment="1" applyBorder="1" applyFont="1">
      <alignment horizontal="right" shrinkToFit="0" vertical="top" wrapText="0"/>
    </xf>
    <xf borderId="19" fillId="0" fontId="45" numFmtId="0" xfId="0" applyAlignment="1" applyBorder="1" applyFont="1">
      <alignment horizontal="center" shrinkToFit="0" vertical="top" wrapText="0"/>
    </xf>
    <xf borderId="35" fillId="0" fontId="25" numFmtId="0" xfId="0" applyAlignment="1" applyBorder="1" applyFont="1">
      <alignment horizontal="center" shrinkToFit="0" vertical="top" wrapText="0"/>
    </xf>
    <xf borderId="57" fillId="11" fontId="1" numFmtId="0" xfId="0" applyAlignment="1" applyBorder="1" applyFont="1">
      <alignment shrinkToFit="0" vertical="top" wrapText="0"/>
    </xf>
    <xf borderId="67" fillId="0" fontId="23" numFmtId="49" xfId="0" applyAlignment="1" applyBorder="1" applyFont="1" applyNumberFormat="1">
      <alignment horizontal="center" shrinkToFit="0" vertical="top" wrapText="0"/>
    </xf>
    <xf borderId="67" fillId="0" fontId="1" numFmtId="0" xfId="0" applyAlignment="1" applyBorder="1" applyFont="1">
      <alignment shrinkToFit="0" vertical="top" wrapText="0"/>
    </xf>
    <xf borderId="49" fillId="0" fontId="46" numFmtId="0" xfId="0" applyAlignment="1" applyBorder="1" applyFont="1">
      <alignment shrinkToFit="0" vertical="top" wrapText="0"/>
    </xf>
    <xf borderId="24" fillId="0" fontId="34" numFmtId="0" xfId="0" applyBorder="1" applyFont="1"/>
    <xf borderId="25" fillId="0" fontId="8" numFmtId="49" xfId="0" applyAlignment="1" applyBorder="1" applyFont="1" applyNumberFormat="1">
      <alignment shrinkToFit="0" vertical="top" wrapText="0"/>
    </xf>
    <xf borderId="41" fillId="0" fontId="5" numFmtId="0" xfId="0" applyAlignment="1" applyBorder="1" applyFont="1">
      <alignment horizontal="right" shrinkToFit="0" vertical="top" wrapText="0"/>
    </xf>
    <xf borderId="38" fillId="0" fontId="38" numFmtId="0" xfId="0" applyAlignment="1" applyBorder="1" applyFont="1">
      <alignment shrinkToFit="0" vertical="top" wrapText="0"/>
    </xf>
    <xf borderId="25" fillId="0" fontId="47" numFmtId="0" xfId="0" applyAlignment="1" applyBorder="1" applyFont="1">
      <alignment shrinkToFit="0" vertical="top" wrapText="0"/>
    </xf>
    <xf quotePrefix="1" borderId="38" fillId="0" fontId="23" numFmtId="49" xfId="0" applyAlignment="1" applyBorder="1" applyFont="1" applyNumberFormat="1">
      <alignment horizontal="center" shrinkToFit="0" vertical="top" wrapText="0"/>
    </xf>
    <xf borderId="68" fillId="7" fontId="18" numFmtId="49" xfId="0" applyAlignment="1" applyBorder="1" applyFont="1" applyNumberFormat="1">
      <alignment horizontal="center" shrinkToFit="0" vertical="top" wrapText="0"/>
    </xf>
    <xf borderId="69" fillId="7" fontId="18" numFmtId="0" xfId="0" applyAlignment="1" applyBorder="1" applyFont="1">
      <alignment shrinkToFit="0" vertical="top" wrapText="0"/>
    </xf>
    <xf borderId="69" fillId="7" fontId="8" numFmtId="0" xfId="0" applyAlignment="1" applyBorder="1" applyFont="1">
      <alignment shrinkToFit="0" vertical="top" wrapText="0"/>
    </xf>
    <xf borderId="70" fillId="0" fontId="8" numFmtId="0" xfId="0" applyAlignment="1" applyBorder="1" applyFont="1">
      <alignment shrinkToFit="0" vertical="top" wrapText="0"/>
    </xf>
    <xf borderId="70" fillId="0" fontId="1" numFmtId="0" xfId="0" applyAlignment="1" applyBorder="1" applyFont="1">
      <alignment shrinkToFit="0" vertical="top" wrapText="0"/>
    </xf>
    <xf borderId="16" fillId="10" fontId="8" numFmtId="49" xfId="0" applyAlignment="1" applyBorder="1" applyFont="1" applyNumberFormat="1">
      <alignment shrinkToFit="0" vertical="top" wrapText="0"/>
    </xf>
    <xf borderId="71" fillId="0" fontId="48" numFmtId="0" xfId="0" applyAlignment="1" applyBorder="1" applyFont="1">
      <alignment shrinkToFit="0" vertical="top" wrapText="0"/>
    </xf>
    <xf borderId="72" fillId="0" fontId="8" numFmtId="0" xfId="0" applyAlignment="1" applyBorder="1" applyFont="1">
      <alignment shrinkToFit="0" vertical="top" wrapText="0"/>
    </xf>
    <xf borderId="56" fillId="0" fontId="1" numFmtId="0" xfId="0" applyAlignment="1" applyBorder="1" applyFont="1">
      <alignment shrinkToFit="0" vertical="top" wrapText="0"/>
    </xf>
    <xf quotePrefix="1" borderId="44" fillId="0" fontId="23" numFmtId="49" xfId="0" applyAlignment="1" applyBorder="1" applyFont="1" applyNumberFormat="1">
      <alignment horizontal="center" shrinkToFit="0" vertical="top" wrapText="0"/>
    </xf>
    <xf borderId="73" fillId="0" fontId="8" numFmtId="0" xfId="0" applyAlignment="1" applyBorder="1" applyFont="1">
      <alignment shrinkToFit="0" vertical="top" wrapText="0"/>
    </xf>
    <xf borderId="33" fillId="0" fontId="49" numFmtId="0" xfId="0" applyAlignment="1" applyBorder="1" applyFont="1">
      <alignment shrinkToFit="0" vertical="top" wrapText="0"/>
    </xf>
    <xf borderId="23" fillId="0" fontId="50" numFmtId="0" xfId="0" applyAlignment="1" applyBorder="1" applyFont="1">
      <alignment shrinkToFit="0" vertical="top" wrapText="0"/>
    </xf>
    <xf borderId="23" fillId="0" fontId="1" numFmtId="49" xfId="0" applyAlignment="1" applyBorder="1" applyFont="1" applyNumberFormat="1">
      <alignment shrinkToFit="0" vertical="top" wrapText="0"/>
    </xf>
    <xf borderId="31" fillId="11" fontId="1" numFmtId="0" xfId="0" applyAlignment="1" applyBorder="1" applyFont="1">
      <alignment shrinkToFit="0" vertical="top" wrapText="0"/>
    </xf>
    <xf borderId="32" fillId="11" fontId="1" numFmtId="0" xfId="0" applyAlignment="1" applyBorder="1" applyFont="1">
      <alignment shrinkToFit="0" vertical="top" wrapText="0"/>
    </xf>
    <xf borderId="21" fillId="0" fontId="1" numFmtId="49" xfId="0" applyAlignment="1" applyBorder="1" applyFont="1" applyNumberFormat="1">
      <alignment shrinkToFit="0" vertical="top" wrapText="0"/>
    </xf>
    <xf borderId="43" fillId="0" fontId="14" numFmtId="49" xfId="0" applyAlignment="1" applyBorder="1" applyFont="1" applyNumberFormat="1">
      <alignment shrinkToFit="0" vertical="top" wrapText="0"/>
    </xf>
    <xf borderId="43" fillId="0" fontId="8" numFmtId="49" xfId="0" applyAlignment="1" applyBorder="1" applyFont="1" applyNumberFormat="1">
      <alignment shrinkToFit="0" vertical="top" wrapText="0"/>
    </xf>
    <xf borderId="43" fillId="0" fontId="22" numFmtId="49" xfId="0" applyAlignment="1" applyBorder="1" applyFont="1" applyNumberFormat="1">
      <alignment shrinkToFit="0" vertical="top" wrapText="0"/>
    </xf>
    <xf borderId="35" fillId="0" fontId="1" numFmtId="49" xfId="0" applyAlignment="1" applyBorder="1" applyFont="1" applyNumberFormat="1">
      <alignment shrinkToFit="0" vertical="top" wrapText="0"/>
    </xf>
    <xf borderId="35" fillId="0" fontId="38" numFmtId="49" xfId="0" applyAlignment="1" applyBorder="1" applyFont="1" applyNumberFormat="1">
      <alignment shrinkToFit="0" vertical="top" wrapText="0"/>
    </xf>
    <xf borderId="0" fillId="0" fontId="1" numFmtId="9" xfId="0" applyFont="1" applyNumberFormat="1"/>
    <xf borderId="0" fillId="12" fontId="5" numFmtId="0" xfId="0" applyFill="1" applyFont="1"/>
    <xf borderId="0" fillId="0" fontId="51" numFmtId="0" xfId="0" applyAlignment="1" applyFont="1">
      <alignment readingOrder="0"/>
    </xf>
    <xf borderId="0" fillId="0" fontId="51" numFmtId="0" xfId="0" applyFont="1"/>
    <xf borderId="0" fillId="13" fontId="5" numFmtId="0" xfId="0" applyAlignment="1" applyFill="1" applyFont="1">
      <alignment readingOrder="0" shrinkToFit="0" vertical="top" wrapText="1"/>
    </xf>
    <xf borderId="0" fillId="0" fontId="1" numFmtId="0" xfId="0" applyAlignment="1" applyFont="1">
      <alignment shrinkToFit="0" vertical="top" wrapText="1"/>
    </xf>
    <xf borderId="0" fillId="0" fontId="1" numFmtId="0" xfId="0" applyAlignment="1" applyFont="1">
      <alignment readingOrder="0" shrinkToFit="0" vertical="top" wrapText="1"/>
    </xf>
    <xf borderId="0" fillId="0" fontId="52" numFmtId="0" xfId="0" applyAlignment="1" applyFont="1">
      <alignment readingOrder="0" shrinkToFit="0" vertical="top" wrapText="1"/>
    </xf>
    <xf borderId="0" fillId="0" fontId="1" numFmtId="0" xfId="0" applyAlignment="1" applyFont="1">
      <alignment readingOrder="0" shrinkToFit="0" wrapText="1"/>
    </xf>
    <xf borderId="0" fillId="0" fontId="52" numFmtId="0" xfId="0" applyAlignment="1" applyFont="1">
      <alignment readingOrder="0" shrinkToFit="0" wrapText="1"/>
    </xf>
    <xf borderId="0" fillId="0" fontId="1" numFmtId="0" xfId="0" applyAlignment="1" applyFont="1">
      <alignment shrinkToFit="0" wrapText="1"/>
    </xf>
    <xf borderId="0" fillId="0" fontId="53" numFmtId="0" xfId="0" applyAlignment="1" applyFont="1">
      <alignment readingOrder="0" shrinkToFit="0" vertical="top" wrapText="0"/>
    </xf>
    <xf borderId="0" fillId="0" fontId="54" numFmtId="0" xfId="0" applyAlignment="1" applyFont="1">
      <alignment readingOrder="0" shrinkToFit="0" vertical="top" wrapText="0"/>
    </xf>
    <xf borderId="0" fillId="0" fontId="55" numFmtId="0" xfId="0" applyAlignment="1" applyFont="1">
      <alignment readingOrder="0" shrinkToFit="0" vertical="top" wrapText="0"/>
    </xf>
    <xf borderId="0" fillId="0" fontId="55" numFmtId="0" xfId="0" applyAlignment="1" applyFont="1">
      <alignment shrinkToFit="0" vertical="top" wrapText="0"/>
    </xf>
    <xf borderId="0" fillId="0" fontId="56" numFmtId="0" xfId="0" applyAlignment="1" applyFont="1">
      <alignment readingOrder="0" shrinkToFit="0" vertical="top" wrapText="0"/>
    </xf>
    <xf borderId="0" fillId="0" fontId="56" numFmtId="0" xfId="0" applyAlignment="1" applyFont="1">
      <alignment horizontal="left" shrinkToFit="0" vertical="top" wrapText="0"/>
    </xf>
    <xf borderId="0" fillId="0" fontId="55" numFmtId="0" xfId="0" applyAlignment="1" applyFont="1">
      <alignment horizontal="left" readingOrder="0" shrinkToFit="0" vertical="top" wrapText="1"/>
    </xf>
    <xf borderId="0" fillId="0" fontId="57" numFmtId="0" xfId="0" applyAlignment="1" applyFont="1">
      <alignment horizontal="left" readingOrder="0" shrinkToFit="0" vertical="top" wrapText="1"/>
    </xf>
    <xf borderId="0" fillId="0" fontId="56" numFmtId="0" xfId="0" applyAlignment="1" applyFont="1">
      <alignment horizontal="left" readingOrder="0" shrinkToFit="0" vertical="top" wrapText="1"/>
    </xf>
    <xf borderId="0" fillId="0" fontId="55" numFmtId="0" xfId="0" applyAlignment="1" applyFont="1">
      <alignment horizontal="left" readingOrder="0" shrinkToFit="0" vertical="top" wrapText="0"/>
    </xf>
    <xf borderId="0" fillId="0" fontId="56" numFmtId="0" xfId="0" applyAlignment="1" applyFont="1">
      <alignment horizontal="left" readingOrder="0" shrinkToFit="0" vertical="top" wrapText="0"/>
    </xf>
    <xf borderId="0" fillId="0" fontId="55" numFmtId="0" xfId="0" applyAlignment="1" applyFont="1">
      <alignment horizontal="left" shrinkToFit="0" vertical="top" wrapText="0"/>
    </xf>
    <xf borderId="0" fillId="0" fontId="57" numFmtId="0" xfId="0" applyAlignment="1" applyFont="1">
      <alignment horizontal="left" readingOrder="0" shrinkToFit="0" vertical="top" wrapText="0"/>
    </xf>
    <xf borderId="0" fillId="0" fontId="4" numFmtId="0" xfId="0" applyAlignment="1" applyFont="1">
      <alignment shrinkToFit="0" vertical="top" wrapText="0"/>
    </xf>
    <xf borderId="0" fillId="14" fontId="1" numFmtId="0" xfId="0" applyAlignment="1" applyFill="1" applyFont="1">
      <alignment readingOrder="0" shrinkToFit="0" vertical="top" wrapText="1"/>
    </xf>
    <xf borderId="0" fillId="13" fontId="5" numFmtId="0" xfId="0" applyAlignment="1" applyFont="1">
      <alignment readingOrder="0" vertical="top"/>
    </xf>
    <xf borderId="0" fillId="14" fontId="1" numFmtId="0" xfId="0" applyAlignment="1" applyFont="1">
      <alignment readingOrder="0" vertical="top"/>
    </xf>
    <xf borderId="0" fillId="0" fontId="1" numFmtId="0" xfId="0" applyAlignment="1" applyFont="1">
      <alignment vertical="top"/>
    </xf>
    <xf borderId="0" fillId="0" fontId="1" numFmtId="0" xfId="0" applyAlignment="1" applyFont="1">
      <alignment readingOrder="0" vertical="top"/>
    </xf>
    <xf borderId="0" fillId="0" fontId="1" numFmtId="165" xfId="0" applyAlignment="1" applyFont="1" applyNumberFormat="1">
      <alignment readingOrder="0" vertical="top"/>
    </xf>
    <xf borderId="0" fillId="0" fontId="1" numFmtId="164" xfId="0" applyAlignment="1" applyFont="1" applyNumberFormat="1">
      <alignment readingOrder="0" vertical="top"/>
    </xf>
    <xf borderId="0" fillId="15" fontId="1" numFmtId="0" xfId="0" applyAlignment="1" applyFill="1" applyFont="1">
      <alignment readingOrder="0" shrinkToFit="0" vertical="top" wrapText="1"/>
    </xf>
    <xf borderId="0" fillId="15" fontId="1" numFmtId="0" xfId="0" applyAlignment="1" applyFont="1">
      <alignment readingOrder="0" vertical="top"/>
    </xf>
    <xf borderId="0" fillId="15" fontId="1" numFmtId="167" xfId="0" applyAlignment="1" applyFont="1" applyNumberFormat="1">
      <alignment readingOrder="0" vertical="top"/>
    </xf>
    <xf borderId="0" fillId="15" fontId="1" numFmtId="9" xfId="0" applyAlignment="1" applyFont="1" applyNumberFormat="1">
      <alignment readingOrder="0" vertical="top"/>
    </xf>
    <xf borderId="0" fillId="15" fontId="1" numFmtId="0" xfId="0" applyAlignment="1" applyFont="1">
      <alignment vertical="top"/>
    </xf>
    <xf borderId="0" fillId="15" fontId="1" numFmtId="168" xfId="0" applyAlignment="1" applyFont="1" applyNumberFormat="1">
      <alignment readingOrder="0" vertical="top"/>
    </xf>
    <xf borderId="0" fillId="0" fontId="1" numFmtId="167" xfId="0" applyAlignment="1" applyFont="1" applyNumberFormat="1">
      <alignment readingOrder="0" vertical="top"/>
    </xf>
    <xf borderId="0" fillId="0" fontId="1" numFmtId="9" xfId="0" applyAlignment="1" applyFont="1" applyNumberFormat="1">
      <alignment readingOrder="0" vertical="top"/>
    </xf>
    <xf borderId="0" fillId="0" fontId="1" numFmtId="168" xfId="0" applyAlignment="1" applyFont="1" applyNumberFormat="1">
      <alignment readingOrder="0" vertical="top"/>
    </xf>
    <xf borderId="0" fillId="15" fontId="1" numFmtId="165" xfId="0" applyAlignment="1" applyFont="1" applyNumberFormat="1">
      <alignment readingOrder="0" vertical="top"/>
    </xf>
    <xf borderId="0" fillId="0" fontId="1" numFmtId="165" xfId="0" applyAlignment="1" applyFont="1" applyNumberFormat="1">
      <alignment readingOrder="0" shrinkToFit="0" vertical="top" wrapText="1"/>
    </xf>
    <xf borderId="0" fillId="0" fontId="58" numFmtId="0" xfId="0" applyAlignment="1" applyFont="1">
      <alignment readingOrder="0"/>
    </xf>
    <xf borderId="0" fillId="0" fontId="58" numFmtId="0" xfId="0" applyFont="1"/>
  </cellXfs>
  <cellStyles count="1">
    <cellStyle xfId="0" name="Normal" builtinId="0"/>
  </cellStyles>
  <dxfs count="2">
    <dxf>
      <font/>
      <fill>
        <patternFill patternType="solid">
          <fgColor rgb="FFB7E1CD"/>
          <bgColor rgb="FFB7E1CD"/>
        </patternFill>
      </fill>
      <border/>
    </dxf>
    <dxf>
      <font/>
      <fill>
        <patternFill patternType="solid">
          <fgColor rgb="FFFCE8B2"/>
          <bgColor rgb="FFFCE8B2"/>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 Id="rId11" Type="http://schemas.openxmlformats.org/officeDocument/2006/relationships/worksheet" Target="worksheets/sheet8.xml"/><Relationship Id="rId10" Type="http://schemas.openxmlformats.org/officeDocument/2006/relationships/worksheet" Target="worksheets/sheet7.xml"/><Relationship Id="rId13" Type="http://schemas.openxmlformats.org/officeDocument/2006/relationships/worksheet" Target="worksheets/sheet10.xml"/><Relationship Id="rId12" Type="http://schemas.openxmlformats.org/officeDocument/2006/relationships/worksheet" Target="worksheets/sheet9.xml"/><Relationship Id="rId15" Type="http://schemas.openxmlformats.org/officeDocument/2006/relationships/pivotCacheDefinition" Target="pivotCache/pivotCacheDefinition1.xml"/><Relationship Id="rId14" Type="http://schemas.openxmlformats.org/officeDocument/2006/relationships/worksheet" Target="worksheets/sheet11.xml"/><Relationship Id="rId17" Type="http://schemas.openxmlformats.org/officeDocument/2006/relationships/pivotCacheDefinition" Target="pivotCache/pivotCacheDefinition3.xml"/><Relationship Id="rId16" Type="http://schemas.openxmlformats.org/officeDocument/2006/relationships/pivotCacheDefinition" Target="pivotCache/pivotCacheDefinition2.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0</xdr:row>
      <xdr:rowOff>0</xdr:rowOff>
    </xdr:from>
    <xdr:ext cx="8791575" cy="4933950"/>
    <xdr:pic>
      <xdr:nvPicPr>
        <xdr:cNvPr id="0" name="image1.png" title="Imagen"/>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2.xml.rels><?xml version="1.0" encoding="UTF-8" standalone="yes"?><Relationships xmlns="http://schemas.openxmlformats.org/package/2006/relationships"><Relationship Type="http://schemas.openxmlformats.org/officeDocument/2006/relationships/externalLinkPath" TargetMode="External"/></Relationships>
</file>

<file path=xl/pivotCache/_rels/pivotCacheDefinition3.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T1000" sheet="CWySSTT"/>
  </cacheSource>
  <cacheFields>
    <cacheField name="Instrumento de Diagnóstico" numFmtId="0">
      <sharedItems containsBlank="1">
        <m/>
        <s v="  Instrumento de evaluación de calidad para sitios web"/>
        <s v="  Instrumento de evaluación de calidad para servicios digitales transaccionales"/>
      </sharedItems>
    </cacheField>
    <cacheField name="pregunta" numFmtId="0">
      <sharedItems containsBlank="1">
        <m/>
        <s v="Otro"/>
        <s v="Pregunta"/>
      </sharedItems>
    </cacheField>
    <cacheField name="n_subdimensión" numFmtId="0">
      <sharedItems containsBlank="1">
        <m/>
        <s v="1."/>
        <s v="2."/>
        <s v="3."/>
        <s v="4."/>
        <s v="5."/>
        <s v="6."/>
        <s v="7."/>
        <s v="8."/>
        <s v="9."/>
        <s v="10."/>
        <s v="11."/>
        <s v="12."/>
        <s v="14."/>
        <s v="15."/>
        <s v="16."/>
        <s v="17."/>
        <s v="18. "/>
        <s v="19. "/>
        <s v="20. "/>
        <s v="9. "/>
        <s v="13."/>
        <s v="14. "/>
        <s v="15. "/>
        <s v="19."/>
        <s v="20."/>
      </sharedItems>
    </cacheField>
    <cacheField name="subdimensión" numFmtId="0">
      <sharedItems containsBlank="1">
        <m/>
        <s v="Contenido y lenguaje claro"/>
        <s v="Usabilidad"/>
        <s v="Accesibilidad web"/>
        <s v="Arquitectura de información"/>
        <s v="Búsqueda y encontrabilidad"/>
        <s v="Responsividad móvil"/>
        <s v="Diseño e imagen institucional"/>
        <s v="Seguridad"/>
        <s v="Tecnología"/>
        <s v="Atención a la ciudadanía "/>
        <s v="Audiovisualidad"/>
        <s v="Enfoque de género"/>
        <s v="Inclusión"/>
        <s v="Promoción"/>
        <s v="Transparencia y apertura"/>
        <s v="Prevención de errores"/>
        <s v="Facilidad de acceso e independencia tecnológica"/>
        <s v="Interacción y retroalimentación"/>
        <s v="Rapidez de respuesta"/>
        <s v="Interoperabilidad"/>
        <s v="Resolutividad"/>
        <s v="Imparcialidad e igualdad de trato"/>
      </sharedItems>
    </cacheField>
    <cacheField name="Descripción_subdimensión" numFmtId="0">
      <sharedItems containsBlank="1">
        <m/>
        <s v="Información representada por texto, imagen, video, sonido u otros tipos de medios. Debe utilizarse un lenguaje comprensible para la ciudadanía, además de cumplir con criterios de relevancia, actualización, precisión, fiabilidad y legibilidad, entre otros."/>
        <s v="Medida en que los usuarios pueden utilizar un sistema para lograr determinados objetivos con eficacia, eficiencia y satisfacción en un contexto de uso especificado."/>
        <s v="Especial cuidado de que todos los sitios web estén diseñados para que todos y todas puedan acceder. Pone foco principalmente en las personas con discapacidad para que puedan percibir, comprender, navegar, interactuar y contribuir con la web. Es importante"/>
        <s v="Práctica de decidir cómo organizar y rotular de forma lógica el contenido y la navegación de un producto digital para que sea comprensible y que las personas usuarias localicen fácilmente lo que buscan."/>
        <s v="Disposición para ayudar a las personas usuarias a encontrar lo que necesitan: implica que debe contar con un sistema de navegación visible y completo, pero que además debe estar complementado por algún sistema de búsqueda que sea efectivo para acceder al "/>
        <s v="Cualidad que posee un sitio web para adaptarse a todos los dispositivos y tamaños de pantalla, sin perder calidad ni información esencial."/>
        <s v="Elementos visuales y gráficos para comunicar mensajes de forma efectiva que permitan proyectar la imagen institucional dentro del contexto de nuestro país, velando por un mensaje y contenido claro. Es importante mantener conectores visuales que vinculen e"/>
        <s v="Apego a estándares de desarrollo, compatibilidad y directrices para cautelar la seguridad de los sistemas. Esto protege la disponibilidad, integridad y confidencialidad de la información y datos institucionales y personales."/>
        <s v="Conjunto de herramientas y estándares para la creación y funcionamiento de productos digitales. Se deben priorizar las herramientas y tecnologías que faciliten crear un servicio de alta calidad de forma rentable y que permitan minimizar el costo de cambia"/>
        <s v="Recursos y documentación que ayuden a la persona usuaria a responder sus consultas y necesidades que surjan al utilizar un producto digital. Es recomendable contar con múltiples canales de comunicación para satisfacer las necesidades de soporte."/>
        <s v="Conjunto de objetos interactivos o no interactivos que contienen información representada por texto, imagen, video, animación, sonido u otro tipo de medios."/>
        <s v="Incorporación de la perspectiva de género en un sitio web, a través de acciones como el uso de lenguaje inclusivo y la proporcionalidad de representación en contenidos o materiales audiovisuales, para evitar reproducir desigualdades e inequidades."/>
        <s v="Incorporación de un enfoque inclusivo que responda a la diversidad y diferencias individuales, garantizando igualdad de acceso a políticas y servicios públicos para todas y todos, sin importar características, habilidades u origen."/>
        <s v="Conjunto de acciones orientadas a extender los contenidos del sitio web a la ciudadanía, como la optimización para el posicionamiento en buscadores y difusión en redes sociales."/>
        <s v="Transparencia corresponde a la información pública presentada de manera visible, actualizada y destacada respecto al funcionamiento administrativo y financiero de la institución. Apertura, por su parte, es la disposición abierta de la información, sin reg"/>
        <s v="Eliminación de las condiciones del sistema que confundan o induzcan a errores a las personas usuarias. Es clave verificarlas, ofrecer ejemplos y presentar una opción de confirmación antes de comprometerse con una acción."/>
        <s v="Condición del sitio web que permite a las personas usuarias acceder a la información expedita y oportuna, independiente de la calidad o tipo de dispositivo a través del que se está conectando."/>
        <s v="Comunicación entre la persona usuaria y las distintas interfaces que provee la plataforma que se le entrega al usuario para acceder a una información o servicio. Retroalimentación hace referencia a que la interfaz de usuario proporcione información sobre "/>
        <s v="Capacidad del servicio digital para entregar una experiencia usuaria rápida y con una navegación fluida, sobre todo en los trámites. También considera los tiempos de la institución para dar respuestas a las solicitudes en plazos breves y acotados."/>
        <s v="Capacidad de los sistemas para intercambiar datos de manera segura y automática. Esto se traduce en una mejor experiencia usuaria gracias a que no es necesario completar datos de forma manual cuando se pueden obtener de una base de datos compartida."/>
        <s v="Capacidad exhibida por la institución pública de dar respuesta y atender las necesidades de las personas usuaria de forma completa."/>
        <s v="Condición del servicio digital que permite a las personas usuarias acceder a la información expedita y oportuna, independiente de la calidad o tipo de dispositivo a través del que se está conectando."/>
        <s v="Disposición a entregar la mejor experiencia de usuario a todas las personas, independiente de sus habilidades, identidad, antecedentes o situación en la que se encuentren."/>
      </sharedItems>
    </cacheField>
    <cacheField name="n_tipo">
      <sharedItems containsDate="1" containsBlank="1" containsMixedTypes="1">
        <m/>
        <s v="1.1"/>
        <s v="1.2"/>
        <s v="1.3"/>
        <s v="2.1"/>
        <s v="2.2"/>
        <s v="2.3"/>
        <d v="2024-01-03T00:00:00Z"/>
        <s v="3.2  "/>
        <s v="3.3  "/>
        <s v="4.1"/>
        <s v="4.2"/>
        <s v="4.3"/>
        <s v="5.1"/>
        <s v="5.2"/>
        <s v="5.3"/>
        <s v="6.1"/>
        <s v="6.2"/>
        <s v="7.1"/>
        <s v="7.2"/>
        <s v="7.3"/>
        <s v="8.1"/>
        <s v="8.2"/>
        <s v="8.3"/>
        <s v="9.1"/>
        <s v="9.2"/>
        <s v="9.3"/>
        <s v="10.1"/>
        <s v="10.2"/>
        <s v="10.3"/>
        <s v="11.1"/>
        <s v="11.2"/>
        <s v="12.1"/>
        <s v="12.2"/>
        <s v="12.3"/>
        <s v="13.2"/>
        <s v="13.3"/>
        <s v="14.1"/>
        <s v="14.2"/>
        <s v="14.3"/>
        <s v="15.1"/>
        <s v="15.2"/>
        <s v="15.3"/>
        <s v="16.1"/>
        <s v="16.2"/>
        <s v="16.3"/>
        <s v="17.1"/>
        <s v="17.2"/>
        <s v="18.1"/>
        <s v="19.1"/>
        <s v="19.3"/>
        <s v="20.1"/>
        <s v="11.3"/>
        <s v="13.1"/>
        <s v="17.3"/>
        <s v="18.2"/>
        <s v="18.3"/>
        <s v="19.2"/>
        <s v="20.2"/>
        <s v="20.3"/>
      </sharedItems>
    </cacheField>
    <cacheField name="tipo" numFmtId="0">
      <sharedItems containsBlank="1">
        <m/>
        <s v="IMPRESCINDIBLES"/>
        <s v="ESPERABLES"/>
        <s v="DESEABLES"/>
      </sharedItems>
    </cacheField>
    <cacheField name="x" numFmtId="0">
      <sharedItems containsString="0" containsBlank="1">
        <m/>
      </sharedItems>
    </cacheField>
    <cacheField name="n_indicador_bd" numFmtId="0">
      <sharedItems containsBlank="1">
        <m/>
        <s v=""/>
        <s v="1.1.1"/>
        <s v="1.1.2"/>
        <s v="1.1.3"/>
        <s v="1.1.4"/>
        <s v="1.1.5"/>
        <s v="1.1.6"/>
        <s v="1.1.7"/>
        <s v="1.1.8"/>
        <s v="1.2.1"/>
        <s v="1.2.2"/>
        <s v="1.2.3"/>
        <s v="1.2.4"/>
        <s v="1.3.1"/>
        <s v="1.3.2"/>
        <s v="1.3.3"/>
        <s v="2.1.1"/>
        <s v="2.1.2"/>
        <s v="2.1.3"/>
        <s v="2.1.4"/>
        <s v="2.1.5"/>
        <s v="2.2.1"/>
        <s v="2.2.2"/>
        <s v="2.3.1"/>
        <s v="2.3.2"/>
        <s v="3.1.1"/>
        <s v="3.1.2"/>
        <s v="3.1.3"/>
        <s v="3.1.4"/>
        <s v="3.1.5"/>
        <s v="3.1.6"/>
        <s v="3.1.7"/>
        <s v="3.1.8"/>
        <s v="3.1.9"/>
        <s v="3.1.10"/>
        <s v="3.2.1"/>
        <s v="3.2.2"/>
        <s v="3.2.3"/>
        <s v="3.2.4"/>
        <s v="3.2.5"/>
        <s v="3.3.1"/>
        <s v="3.3.2"/>
        <s v="3.3.3"/>
        <s v="3.3.4"/>
        <s v="3.3.5"/>
        <s v="4.1.1"/>
        <s v="4.1.2"/>
        <s v="4.1.3"/>
        <s v="4.1.4"/>
        <s v="4.1.5"/>
        <s v="4.1.6"/>
        <s v="4.2.1"/>
        <s v="4.2.2"/>
        <s v="4.2.3"/>
        <s v="4.2.4"/>
        <s v="4.2.5"/>
        <s v="4.2.6"/>
        <s v="4.3.1"/>
        <s v="5.1.1"/>
        <s v="5.2.1"/>
        <s v="5.2.2"/>
        <s v="5.3.1"/>
        <s v="5.3.2"/>
        <s v="5.3.3"/>
        <s v="5.3.4"/>
        <s v="6.1.1"/>
        <s v="6.2.1"/>
        <s v="7.1.1"/>
        <s v="7.1.2"/>
        <s v="7.1.3"/>
        <s v="7.2.1"/>
        <s v="7.2.2"/>
        <s v="7.2.3"/>
        <s v="7.2.4"/>
        <s v="7.2.5"/>
        <s v="7.2.6"/>
        <s v="7.3.1"/>
        <s v="8.1.1"/>
        <s v="8.1.2"/>
        <s v="8.1.3"/>
        <s v="8.1.4"/>
        <s v="8.2.1"/>
        <s v="8.3.1"/>
        <s v="8.3.2"/>
        <s v="8.3.3"/>
        <s v="9.1.1"/>
        <s v="9.1.2"/>
        <s v="9.1.3"/>
        <s v="9.1.4"/>
        <s v="9.1.5"/>
        <s v="9.1.6"/>
        <s v="9.1.7"/>
        <s v="9.2.1"/>
        <s v="9.2.2"/>
        <s v="9.2.3"/>
        <s v="9.2.4"/>
        <s v="9.2.5"/>
        <s v="9.3.1"/>
        <s v="10.1.1"/>
        <s v="10.1.2"/>
        <s v="10.2.1"/>
        <s v="10.2.2"/>
        <s v="10.2.3"/>
        <s v="10.3.1"/>
        <s v="11.1.1"/>
        <s v="11.2.1"/>
        <s v="11.2.2"/>
        <s v="11.2.3"/>
        <s v="11.2.4"/>
        <s v="12.1.1"/>
        <s v="12.2.1"/>
        <s v="12.2.2"/>
        <s v="12.3.1"/>
        <s v="12.3.2"/>
        <s v="13.2.1"/>
        <s v="13.3.1"/>
        <s v="13.3.2"/>
        <s v="14.1.1"/>
        <s v="14.2.1"/>
        <s v="14.3.1"/>
        <s v="14.3.2"/>
        <s v="14.3.3"/>
        <s v="14.3.4"/>
        <s v="15.1.1"/>
        <s v="15.1.2"/>
        <s v="15.1.3"/>
        <s v="15.1.4"/>
        <s v="15.1.5"/>
        <s v="15.1.6"/>
        <s v="15.1.7"/>
        <s v="15.2.1"/>
        <s v="15.2.2"/>
        <s v="15.2.3"/>
        <s v="15.2.4"/>
        <s v="15.3.1"/>
        <s v="15.3.2"/>
        <s v="16.1.1"/>
        <s v="16.1.2"/>
        <s v="16.1.3"/>
        <s v="16.1.4"/>
        <s v="16.1.5"/>
        <s v="16.2.1"/>
        <s v="16.2.2"/>
        <s v="16.3.1"/>
        <s v="16.3.2"/>
        <s v="16.3.3"/>
        <s v="17.1.1"/>
        <s v="17.1.2"/>
        <s v="17.2.1"/>
        <s v="18.1.1"/>
        <s v="18.1.2"/>
        <s v="18.1.3"/>
        <s v="18.1.4"/>
        <s v="18.1.5"/>
        <s v="19.1.1"/>
        <s v="19.1.2"/>
        <s v="19.3.1"/>
        <s v="19.3.2"/>
        <s v="19.3.3"/>
        <s v="20.1.1"/>
        <s v="5.1.2"/>
        <s v="5.1.3"/>
        <s v="5.1.4"/>
        <s v="5.1.5"/>
        <s v="5.1.6"/>
        <s v="5.1.7"/>
        <s v="5.2.3"/>
        <s v="5.2.4"/>
        <s v="7.3.2"/>
        <s v="7.3.3"/>
        <s v="8.2.2"/>
        <s v="8.2.3"/>
        <s v="8.2.4"/>
        <s v="8.2.5"/>
        <s v="8.2.6"/>
        <s v="10.1.3"/>
        <s v="10.1.4"/>
        <s v="10.1.5"/>
        <s v="10.2.4"/>
        <s v="11.3.1"/>
        <s v="12.1.2"/>
        <s v="12.1.3"/>
        <s v="12.2.3"/>
        <s v="12.2.4"/>
        <s v="12.2.5"/>
        <s v="12.2.6"/>
        <s v="13.1.1"/>
        <s v="13.1.2"/>
        <s v="13.1.3"/>
        <s v="13.1.4"/>
        <s v="13.1.5"/>
        <s v="13.1.6"/>
        <s v="13.1.7"/>
        <s v="13.2.2"/>
        <s v="13.2.3"/>
        <s v="13.2.4"/>
        <s v="13.2.5"/>
        <s v="14.1.2"/>
        <s v="14.3.5"/>
        <s v="16.2.3"/>
        <s v="17.2.2"/>
        <s v="17.3.1"/>
        <s v="18.2.1"/>
        <s v="18.3.1"/>
        <s v="18.3.2"/>
        <s v="19.2.1"/>
        <s v="19.2.2"/>
        <s v="20.1.2"/>
        <s v="20.1.3"/>
        <s v="20.1.4"/>
        <s v="20.1.5"/>
        <s v="20.2.1"/>
        <s v="20.2.2"/>
        <s v="20.3.1"/>
      </sharedItems>
    </cacheField>
    <cacheField name="indicador_bd" numFmtId="0">
      <sharedItems containsBlank="1">
        <m/>
        <s v=""/>
        <s v="Fiabilidad"/>
        <s v="Completitud"/>
        <s v="Lenguaje plano"/>
        <s v="Actualización"/>
        <s v="Redacción y ortografía"/>
        <s v="Propiedad intelectual"/>
        <s v="Privacidad y datos personales"/>
        <s v="Contenidos sensibles"/>
        <s v="Claridad"/>
        <s v="Concisión"/>
        <s v="Legibilidad"/>
        <s v="Escritura para la web"/>
        <s v="Visualización de la información"/>
        <s v="Objetividad"/>
        <s v="Archivo"/>
        <s v="Coherencia y estandarización"/>
        <s v="Diseño estético y minimalista"/>
        <s v="Diagnóstico y corrección de errores"/>
        <s v="Ventanas modales o emergentes (pop-up)"/>
        <s v="Mensajes de error"/>
        <s v="Similitud del sistema con el mundo real"/>
        <s v="Control y libertad para la persona usuaria"/>
        <s v="Reducción del esfuerzo cognitivo"/>
        <s v="Flexibilidad y eficiencia de uso"/>
        <s v="Texto alternativo"/>
        <s v="Subtítulos"/>
        <s v="Navegación por teclado"/>
        <s v="Ajuste del tamaño de la fuente"/>
        <s v="Control de audio"/>
        <s v="Umbral de destellos"/>
        <s v="Etiquetas en iconos"/>
        <s v="Predecible al recibir el foco"/>
        <s v="Estructura de la interfaz"/>
        <s v="Contraste mínimo"/>
        <s v="Audio y video con texto alternativo"/>
        <s v="Componentes accesibles"/>
        <s v="Llamado a la acción claro"/>
        <s v="Predecible al recibir entrada"/>
        <s v="Foco visible"/>
        <s v="Pausar, detener u ocultar"/>
        <s v="Audiodescripción"/>
        <s v="Atajo hacia el contenido"/>
        <s v="Documentos accesibles"/>
        <s v="Declaración de accesibilidad"/>
        <s v="Similitud de criterio de organización"/>
        <s v="Jerarquización de la portada"/>
        <s v="Consistencia del rotulado"/>
        <s v="Claridad del rotulado"/>
        <s v="Notoriedad de la navegación"/>
        <s v="Menú de navegación principal"/>
        <s v="Marca o nombre de fantasía"/>
        <s v="Regla de los 3 clics"/>
        <s v="Precisión del rotulado"/>
        <s v="Concisión del rotulado"/>
        <s v="Equilibrio de la navegación"/>
        <s v="Pertinencia de la navegación"/>
        <s v="Flexibilidad de organización"/>
        <s v="Búsqueda interna"/>
        <s v="Mapa del sitio"/>
        <s v="Optimización"/>
        <s v="Búsqueda predictiva"/>
        <s v="Búsqueda avanzada"/>
        <s v="Recomendación predictiva"/>
        <s v="Alternativas de búsqueda"/>
        <s v="Visualización móvil"/>
        <s v="Adaptabilidad"/>
        <s v="Imagen gubernamental"/>
        <s v="Enlaces perceptibles"/>
        <s v="Integridad estética"/>
        <s v="Tipografía"/>
        <s v="Uso del color"/>
        <s v="Uso de imágenes"/>
        <s v="Distribución de los elementos"/>
        <s v="Atractivo visual"/>
        <s v="Expresividad de iconos"/>
        <s v="Familiaridad"/>
        <s v="Certificado SSL válido y vigente"/>
        <s v="Redirección de HTTP a HTTPS"/>
        <s v="Bloqueo de enmascarado"/>
        <s v="Directorios desactivados"/>
        <s v="Política de privacidad"/>
        <s v="Prevención de ataques MIME"/>
        <s v="Límite de referencias Referrer-Policy"/>
        <s v="Aviso de uso de cookies"/>
        <s v="Disponibilidad y estabilidad"/>
        <s v="Codificación de caracteres"/>
        <s v="Hojas de estilo en cascada (CSS)"/>
        <s v="Especificación de idioma"/>
        <s v="Funcionamiento de los enlaces"/>
        <s v="Soporte a URLs con y sin prefijo www"/>
        <s v="Dominio &quot;.gob.cl&quot;"/>
        <s v="Lenguaje HTML5"/>
        <s v="Compatibilidad HTML"/>
        <s v="Compatibilidad CSS"/>
        <s v="Optimización y rendimiento"/>
        <s v="Versión de impresión"/>
        <s v="Javascript sin errores"/>
        <s v="Contacto"/>
        <s v="Horario de atención"/>
        <s v="Recursos de apoyo y documentación"/>
        <s v="Sección de ayuda"/>
        <s v="Asistencia en línea"/>
        <s v="Espacios participativos"/>
        <s v="Derechos de uso de imágenes, videos y archivos de audio"/>
        <s v="Complementariedad"/>
        <s v="Formato de imágenes"/>
        <s v="Formato de videos"/>
        <s v="Formato de audios"/>
        <s v="Lenguaje inclusivo"/>
        <s v="Fotografías y videos con enfoque de género"/>
        <s v="Representatividad"/>
        <s v="Formularios representativos"/>
        <s v="Noticias con enfoque de género"/>
        <s v="Diversidad en formularios"/>
        <s v="Versiones en otros idiomas"/>
        <s v="Descentralización"/>
        <s v="Menús desplegables"/>
        <s v="Interpretación en lengua de señas chilena"/>
        <s v="Apto para daltonismo"/>
        <s v="Lectura fácil"/>
        <s v="Escala de grises y alto contraste"/>
        <s v="Lector de texto incorporado"/>
        <s v="Indexación en buscadores"/>
        <s v="Persistencia de las URLs"/>
        <s v="Compatibilidad de URLs"/>
        <s v="Títulos indexables"/>
        <s v="Título principal en &quot;h1&quot;"/>
        <s v="Facilitar compartir en redes sociales"/>
        <s v="Publicidad en sitio y videos"/>
        <s v="Legibilidad de las URLs"/>
        <s v="Metadescripción de páginas"/>
        <s v="Patrones engañosos"/>
        <s v="Presencia de redes sociales"/>
        <s v="Datos estructurados"/>
        <s v="Dominio representativo"/>
        <s v="Transparencia activa"/>
        <s v="Declaración de patrimonio e intereses"/>
        <s v="Transparencia pasiva"/>
        <s v="Banner de Transparencia"/>
        <s v="Acceso abierto"/>
        <s v="Lobby y gestión de intereses"/>
        <s v="Facilidad de lectura y usabilidad"/>
        <s v="Transparencia proactiva"/>
        <s v="Notas legales"/>
        <s v="Reutilización"/>
        <s v="Entrega de información oportuna"/>
        <s v="Diseño de formularios"/>
        <s v="Prevención de errores"/>
        <s v="Velocidad de acceso "/>
        <s v="Compatibilidad de navegadores "/>
        <s v="Accesibilidad técnica&#10;"/>
        <s v="Independencia de conectividad "/>
        <s v="Compatibilidad retroactiva"/>
        <s v="Visibilidad del estado del sistema"/>
        <s v="Indicador de proceso "/>
        <s v="Enlaces visitados"/>
        <s v="Foros y encuestas"/>
        <s v="Comunicación con responsable"/>
        <s v="Tiempo de respuesta"/>
        <s v="Color como único medio de información"/>
        <s v="Tiempo suficiente para realizar tareas"/>
        <s v="Autocompletado en formularios"/>
        <s v="ClaveÚnica"/>
        <s v="Precarga y reutilización de datos"/>
        <s v="Acceso destacado a trámites"/>
        <s v="Funcionamiento de los sistemas"/>
        <s v="Oportunidad"/>
        <s v="Eficiencia"/>
        <s v="Estado de progreso del trámite"/>
        <s v="Resolutividad"/>
        <s v="Cantidad de pasos limitada"/>
        <s v="Calidad de la respuesta entregada"/>
        <s v="Prioridad de la web"/>
        <s v="Accesibilidad técnica "/>
        <s v="Uso del dominio principal"/>
        <s v="Ayuda contextual"/>
        <s v="Botones y pasarelas de pago"/>
        <s v="Descarga de documentos"/>
        <s v="Recuperación ante fallos"/>
        <s v="Prescindencia de RUN"/>
      </sharedItems>
    </cacheField>
    <cacheField name="Definición_indicador" numFmtId="0">
      <sharedItems containsBlank="1">
        <m/>
        <s v=""/>
        <s v="Entrega de información veraz, segura y rigurosa."/>
        <s v="Entrega de información con la cobertura y datos necesarios para divulgar un tema con exhaustividad."/>
        <s v="Estilo de redacción simple y centrado en las personas usuarias, alejado de jergas legales y tecnicismos."/>
        <s v="Renovación permanente de los contenidos, con el objeto de garantizar la entrega de información eficaz y oportuna a la ciudadanía.&#10;"/>
        <s v="Correcta escritura de los textos publicados."/>
        <s v="Posesión de los derechos de uso de contenidos publicados en un sitio web."/>
        <s v="Protección de los datos e información personal de las personas usuarias de un sitio web."/>
        <s v="Respeto de la intimidad de las personas usuarias de un sitio web a partir de la no publicación de información que pueda menoscabar su honra y perjudicar su imagen personal en Internet."/>
        <s v="Redacción orientada hacia una facilidad de comprensión de los contenidos."/>
        <s v="Capacidad de los sitios de presentar sus contenidos de manera breve."/>
        <s v="Facilidad de lectura de los contenidos publicados."/>
        <s v="Adaptación de la redacción optimizada para su lectoría en una interfaz digital."/>
        <s v="Uso de elementos visuales para presentar información o datos.&#10;"/>
        <s v="Imparcialidad y neutralidad de la información publicada."/>
        <s v="Conservación del contenido histórico del sitio web cuando se realice un reemplazo del mismo."/>
        <s v="Apego a las convenciones de los sitios web y servicios digitales, de manera tal que las personas usuarias no tengan que preguntarse si diferentes palabras, situaciones o acciones significan lo mismo en cada plataforma.&#10;"/>
        <s v="Simplicidad y limpieza de las interfaces, las que no deben contener información que sea irrelevante o que rara vez se necesite. Cada elemento en una interfaz compite con las unidades de información relevantes y disminuye su visibilidad relativa.&#10;"/>
        <s v="Asistencia a las personas usuarias ante errores, brindándoles una solución o un acceso directo para que pueda resolver el error de inmediato.&#10;Redacción de los mensajes de error en un lenguaje sencillo (sin códigos de error), indicando con precisión el pro"/>
        <s v="Cuidado de no utilizar excesiva o innecesariamente ventanas modales y emergentes (pop-up).&#10;"/>
        <s v="Interrupción generada por el sistema que le informa a la persona usuaria de una situación incompleta, incompatible o indeseable dentro del flujo de navegación. &#10;"/>
        <s v="Utilización de conceptos, frases y diseños familiares para las personas usuarias. Correspondencia con las convenciones del mundo real, haciendo que la información aparezca en un orden natural y lógico."/>
        <s v="Alternativa claramente marcada para abandonar una acción no deseada o detener un proceso prolongado."/>
        <s v="Disminución de la carga de memoria a corto plazo para la persona usuaria, haciendo fácilmente reconocibles los elementos, acciones y opciones. El sistema debería ayudar a los usuarios a reconocer los elementos de la interfaz sin la necesidad de analizarlo"/>
        <s v="Oferta de distintas maneras para acceder al contenido y opción de aceleradores y acciones personalizadas tanto para personas usuarias avanzadas como menos experimentadas."/>
        <s v="Presentación de una alternativa textual a todo el contenido no textual (imágenes, botones, iconos), por ejemplo, mediante las etiquetas &quot;alt&quot;, &quot;title&quot; o &quot;description&quot; del código HTML.&#10;"/>
        <s v="Alternativa textual para los diálogos presentes en los videos, en el caso de no poder escucharlos.&#10;"/>
        <s v="Orden lógico y fluido al navegar el sitio web con el teclado en que se respeta el sentido de izquierda a derecha, de arriba hacia abajo, y sin una determinada velocidad de pulsación."/>
        <s v="Posibilidad de agrandar el texto del sitio web en hasta un 200% cuidando de que se mantenga el diseño y no se pierda funcionalidad.&#10;"/>
        <s v="Mecanismos para pausar audios de reproducción automática."/>
        <s v="Cuidado al implementar animaciones para que no destellen más de 3 veces en 1 segundo para evitar posibles convulsiones. Se entiende como destello, un cambio repentino y brusco en el contraste, generalmente de color blanco y de muy corta duración, de forma"/>
        <s v="Soporte textual que explique la función de los iconos utilizados para ejecutar una acción.&#10;"/>
        <s v="Preocupación de que no se cambie el contexto al recibir el foco cuando se utiliza la navegación por teclado."/>
        <s v="Identificación clara de las diferentes zonas de una página para que los software de lectura puedan identificar las estructuras y relaciones del contenido.&#10;"/>
        <s v="Atención a los contrastes de color al diseñar la interfaz, los textos e imágenes de texto, que deben tener un contraste mínimo de 4,5:1 entre el color de fondo y del texto o icono.&#10;"/>
        <s v="Alternativa textual para los elementos de audio o video, en que se describe lo que está pasando en la escena.&#10;"/>
        <s v="Información de estados, roles e información de valor en todos los componentes de interfaz de usuario para permitir la compatibilidad con la tecnología asistiva utilizada para acceder al contenido. Por ejemplo: personas que utilizan lectores de pantalla, a"/>
        <s v="Presencia de enlaces y botones con llamados a la acción claros y descriptivos.&#10;"/>
        <s v="Preocupación por que los cambios y acciones que ocurran en el sitio web sean predecibles, esto se hace al explicar la acción antes de que se ejecute.&#10;"/>
        <s v="Preocupación de que al navegar el sitio web por teclado se muestre de forma visible el indicador del foco donde está ubicado el usuario.&#10;"/>
        <s v="Alternativa para pausar, detener u ocultar cuando se presenta información que tiene movimiento o se actualiza automáticamente.&#10;"/>
        <s v="Descripción clara del contenido de un audio o video."/>
        <s v="Posibilidad de saltar el encabezado del sitio web y pasar directamente al contenido. Se recomienda el uso del atributo &quot;accesskey&quot; en el código HTML."/>
        <s v="Preocupación de ofrecer documentos descargables accesibles para todos los usuarios. &#10; "/>
        <s v="Presencia de una página que explique los aspectos de accesibilidad presentes en el sitio web y declare el nivel de conformidad obtenido al aplicar las Pautas de Accesibilidad para el Contenido Web (WCAG) de la W3C.&#10;"/>
        <s v="Organización de los contenidos según el criterio más adecuado para el contexto, nivel cultural, hábitos informacionales y estructuras mentales de su público objetivo.&#10;"/>
        <s v="Consonancia entre la distribución de las secciones de la página de inicio y las necesidades de las personas usuarias.&#10;"/>
        <s v="Coherencia en el uso y estilo de las etiquetas en todo el sitio.&#10;"/>
        <s v="Facilidad de comprensión de las etiquetas del menú."/>
        <s v="Presencia y visibilidad del menú de navegación, sus opciones, localización del usuario, estado del sistema y etapa o paso del trámite."/>
        <s v="Presencia de una navegación principal clara y consistente para las personas usuarias, que además privilegie la navegación dentro del mismo sitio web."/>
        <s v="Identificación formal de la institución que usa un nombre de fantasía."/>
        <s v="Acceso a los contenidos desde portada o cualquier parte del sitio web en no más de tres enlaces de distancia.&#10;"/>
        <s v="Capacidad de los rótulos para expresar su significado de manera directa y concisa."/>
        <s v="Brevedad y economía de palabras en las etiquetas, acorde al tiempo de lectura en internet y al espacio reducido en dispositivos móviles.&#10;"/>
        <s v="Apropiado número de opciones del menú. Balance entre su extensión y nivel de profundidad.&#10;"/>
        <s v="Adecuada ubicación de los enlaces, de manera tal que aparezcan en contexto y brinden acceso oportuno a la información."/>
        <s v="Clasificación de la información por distintos esquemas o estructuras de organización con el objetivo de ofrecer opciones de acceso a los usuarios.&#10;"/>
        <s v="Presencia destacada de un buscador interno, que rastree, indexe y recupere todas las páginas del sitio y ofrezca eficientemente los contenidos más relevantes frente a las consultas de las personas usuarias.&#10;"/>
        <s v="Opción de navegación suplementaria que enlaza todo el sitio, refleja su estructura y evita la presencia de páginas aisladas.&#10;"/>
        <s v="Adecuación y jerarquización del contenido sobre la base de las palabras más buscadas y el patrón de navegación de las personas usuarias.&#10;"/>
        <s v="Proporción de un texto predictivo en la búsqueda para minimizar los errores.&#10;"/>
        <s v="Buscador interno con mayores opciones de refinamiento de las consultas y parametrización de los resultados."/>
        <s v="Oferta de contenidos y enlaces relacionados que permita a los usuarios profundizar o descubrir nueva información, sobre la base de sus preferencias y patrones de navegación previos.&#10;"/>
        <s v="Entrega de opciones de búsqueda en caso de no encontrar resultados."/>
        <s v="Diseño responsivo, formulado y desarrollado para ser accesible desde cualquier dispositivo móvil."/>
        <s v="Adecuación automática de un sitio web con sus elementos visuales y contenidos para que sean visualizados correctamente en cualquier dispositivo.&#10;"/>
        <s v="Conectores visuales que vinculan e identifican a los organismos de administración del Estado, como tipografías, colores y definiciones gráficas.&#10;"/>
        <s v="Condición de los enlaces del sitio web, que se deben diferenciar claramente de un párrafo de texto o títulos."/>
        <s v="Coherencia de los elementos visuales, los que deben disponerse de la misma manera y permitir mantener una apariencia consistente en todo el sitio, para que brinden una experiencia visual unificada para las personas usuarias.&#10;"/>
        <s v="Uso de tipografías que faciliten la legibilidad, con un tamaño adaptable a las diferentes condiciones de las personas usuarias y dispositivos. Adopción de las familias tipográficas establecidas en el sistema de diseño gubernamental."/>
        <s v="Definición de una paleta de colores formulada para afianzar la imagen de la institución, sobre la base de criterios de una adecuada combinación, atractivo visual, coherencia y contraste. Estos deberán estar sujetos a las normas de accesibilidad y, si corr"/>
        <s v="Selección cuidadosa de imágenes, fotografías y visualizaciones para afianzar la identidad institucional y complementar la información entregada. Es decir, que cuenten con un tratamiento y optimización técnica para el soporte web."/>
        <s v="Jerarquía de los elementos que se deben comprender a primera vista, sin ruido visual ni sobrecarga informativa."/>
        <s v="Apariencia atractiva y armoniosa que logra captar la atención del usuario."/>
        <s v="Capacidad de los iconos para ser claros y precisos en lo que quieren expresar, sin llevar a una interpretación o confusión.&#10;"/>
        <s v="Cercanía y capacidad de reconocimiento a simple vista del diseño, sin necesidad de un aprendizaje previo.&#10;"/>
        <s v="Utilización de mecanismos SSL/TLS o los protocolos de seguridad que los reemplacen. El certificado debe ser válido y estar vigente."/>
        <s v="Redirección de las solicitudes con protocolo HTTP a su equivalente con protocolo HTTPS.&#10;"/>
        <s v="Inhibición de la posibilidad de enmascarar el sitio dentro de un sitio externo a través de un &quot;frame&quot;."/>
        <s v="Configuración del servidor web debe mantener inhabilitado el acceso a ver los contenidos de los directorios.&#10;"/>
        <s v="Presencia de una política que describa cómo se recopila, utiliza, gestiona, protege y divulga la información de las personas usuarias que utilizan el sitio web.&#10;&#10;"/>
        <s v="Uso de la cabecera &quot;X-Content-Type-Options&quot; con el valor &quot;nosniff&quot; para así indicar a los navegadores que deben respetar el tipo MIME (Multipurpose Internet Mail Extensions) especificado por el servidor.&#10;"/>
        <s v="Utilización de la cabecera &quot;Referrer-Policy&quot; con el valor &quot;strict-origin&quot; para controlar la cantidad de información de referencia que se envía al realizar solicitudes desde una página.&#10;"/>
        <s v="Información clara que informe al usuario sobre la política de uso de cookies.&#10;"/>
        <s v="Capacidad de un sitio web para estar accesible y operativo en todo momento. Además de mantener su funcionamiento sin caídas, errores o interrupciones, proporcionando una experiencia consistente.&#10;"/>
        <s v="Definición del set de caracteres del sitio web, el que debe ser preferentemente &quot;UTF-8&quot;.&#10;"/>
        <s v="Utilización de código CSS (hojas de estilo en cascada), en la diagramación y diseño de las páginas, separando el contenido, la estructura y la presentación.&#10;"/>
        <s v="Uso del atributo HTML &quot;lang&quot; para especificar el idioma del sitio o los textos del mismo."/>
        <s v="Ausencia de enlaces rotos, enlaces redirigidos y enlaces inválidos.&#10;"/>
        <s v="Habilitación de acceso utilizando o no el prefijo &quot;www&quot;. Los sitios web deberán visualizarse independiente de la utilización de este prefijo, redirigiendo a la URL final del sitio.&#10;"/>
        <s v="Utilización del dominio &quot;.gob.cl&quot;, registrándolo previamente ante la División de Informática del Ministerio del Interior y Seguridad Pública y en el sitio web Administración de Dominios gob.cl (nic.gob.cl).&#10;&#10;"/>
        <s v="Utilización del lenguaje de marcado HTML5 para la creación y estructuración de contenido en las páginas web.&#10;"/>
        <s v="Validación del código HTML en el validador de la W3C: el código debe cumplir o cumplir con reparos.&#10;"/>
        <s v="Validación de la escritura y compatibilidad del código CSS, el que no debe tener errores.&#10;"/>
        <s v="Capacidad de un sitio web para manejar el aumento en el tráfico y la demanda sin comprometer la estabilidad o la rapidez de respuesta.&#10;"/>
        <s v="Adaptación del contenido para una óptima impresión. La finalización de un trámite, sea ésta una página de entrega de información o un certificado, debe poder imprimirse sin dificultad o alteraciones significativas de su apariencia.&#10;"/>
        <s v="Ausencia de errores de JavaScript en la consola del navegador.&#10;"/>
        <s v="Oferta de múltiples vías de comunicación de las personas usuarias con los puntos de contacto del organismo."/>
        <s v="Información de horarios de atención en los cuales se pueda acceder a los servicios ofrecidos por la institución.&#10;"/>
        <s v="Presencia de recursos y documentación de ayuda a las personas usuarias para responder sus consultas y necesidades de información que les surjan al utilizar un sitio web o servicios digitales.&#10;"/>
        <s v="Existencia de una sección especialmente dedicada a la ayuda para las personas usuarias, que reúna tanto los canales de atención como la documentación.&#10;"/>
        <s v="Canales de atención al ciudadano de manera sincrónica para satisfacer las necesidades de soporte que tengan las personas usuarias."/>
        <s v="Presencia de espacios para promover la democracia participativa donde se recoja la opinión de la ciudadanía y fomenten hábitos de socialización.&#10;"/>
        <s v="Posesión de los derechos de uso de imágenes, videos o audios publicados en un sitio web."/>
        <s v="Uso de imágenes, videos y audios para complementar la información publicada en los contenidos.&#10;&#10;&#10;&#10;"/>
        <s v="Especificaciones técnicas de las imágenes publicadas en un sitio web."/>
        <s v="Especificaciones técnicas de los videos publicados en un sitio web."/>
        <s v="Especificaciones técnicas de los audios publicados en un sitio web."/>
        <s v="Expresión verbal, escrita o visual que visibiliza lo femenino y masculino, elimina estereotipos, el sexismo, el androcentrismo y el masculino como genérico universal. Se fundamenta en una comunicación institucional basada en los principios de igualdad, re"/>
        <s v="Uso de imágenes y videos con perspectiva de género, respetando principios de igualdad, respeto y no discriminación."/>
        <s v="Proporcionalidad de género en los contenidos, imágenes, videos y audios publicados en un sitio web."/>
        <s v="Diseño de formularios con perspectiva de género, respetando principios de igualdad, respeto, diversidad y no discriminación.&#10;"/>
        <s v="Publicación de noticias con perspectiva de género, respetando principios de igualdad, respeto y no discriminación.&#10;"/>
        <s v="Especial cuidado en la redacción de preguntas en formularios para considerar la diversidad de personas usuarias y evitar discriminaciones."/>
        <s v="Presencia de información en otros idiomas, especialmente para personas de pueblos originarios y migrantes que no hablen español.&#10;"/>
        <s v="Especial cuidado en la redacción de los contenidos y acceso a los servicios para evitar un sesgo desde la centralización."/>
        <s v="Cautela en el uso de menús desplegables, porque para algunas personas usuarias pueden significar una barrera de acceso, por ejemplo, personas con motricidad reducida.&#10;"/>
        <s v="Presencia de interpretación en lengua de señas chilena para los contenidos audiovisuales.&#10;"/>
        <s v="Preocupación en el diseño por considerar contrastes y combinaciones de color aptos para personas con daltonismo.&#10;"/>
        <s v="Método de creación y adaptación de textos que los hace más fáciles de comprender para personas con dificultades de comprensión lectora.&#10;"/>
        <s v="Opción para que las personas usuarias puedan cambiar los colores del sitio a escala de grises y alto contraste.&#10;"/>
        <s v="Herramienta para la lectura de texto incorporada en el sitio web.&#10;"/>
        <s v="Habilitación del acceso de los robots de búsqueda para indexar el sitio mediante el metadato &quot;robots&quot; o el archivo &quot;robots.txt&quot;."/>
        <s v="Estabilidad de las direcciones web en el tiempo. En el caso de un cambio de dominio o URL, se aplica una redirección que permita no dejar enlaces rotos, para que se pueda seguir accediendo a las páginas y documentos. Ello porque cada URL de un sitio puede"/>
        <s v="Uso exclusivo de letras minúsculas en la URL del sitio, evitando la utilización de caracteres especiales y tildes, para garantizar su compatibilidad y buen funcionamiento. &#10;"/>
        <s v="Presencia del tema principal de cada página del sitio en su título (etiqueta &quot;title&quot;) para garantizar que el propósito de cada una sea claro para los motores de búsqueda.&#10;"/>
        <s v="Uso de la etiqueta &quot;h1&quot; para describir el contenido principal de la página: ésta debe estar presente solo una vez en cada una."/>
        <s v="Facilidad para que las páginas de contenidos del sitio web se compartan, con el uso de metadatos apropiados, a través de redes sociales con una previsualización.&#10;"/>
        <s v="Precaución de no mostrar publicidad que anuncie o promocione productos, servicios o marcas externas a la organización en el sitio web o en videos incrustados."/>
        <s v="Preocupación por el uso de URLs amigables para las personas usuarias y semánticas para buscadores."/>
        <s v="Correcta descripción de cada página al entregar información sobre su contenido en la meta etiqueta &quot;description&quot;."/>
        <s v="Estrategias y técnicas poco éticas que se utilizan en los sitios web, que obligan a las personas usuarias a realizar una acción que no desean, como comprar un producto o registrarse en algún servicio.&#10;"/>
        <s v="Visualización de los enlaces de las cuentas oficiales en redes sociales de la institución o servicio digital. &#10;"/>
        <s v="Presencia de datos estructurados dentro de los contenidos estratégicos del sitio web como: artículos, noticias, eventos, videos y preguntas frecuentes."/>
        <s v="Representatividad del tema principal de la institución en el dominio del sitio web."/>
        <s v="Presencia actualizada de la información pública relacionada con el funcionamiento administrativo y financiero de la institución, tal como lo indica la Ley de Transparencia de la Función Pública y de Acceso a la Información de la Administración del Estado "/>
        <s v="Información de las autoridades y funcionarios dando cuenta de dónde permanecen sus intereses y a cuánto asciende su patrimonio al asumir y mientras permanecen en sus cargos. Siguiendo el principio de probidad administrativa, la declaración busca transpare"/>
        <s v="Disposición visible del canal de consulta o solicitud de información pública que cualquier persona puede realizar a la institución, tal como lo indica la Ley de Transparencia de la Función Pública y de Acceso a la Información de la Administración del Esta"/>
        <s v="Ícono, botón o sección ubicada en portada de la institución a través de la cual se accede de manera diferenciada a la información pública (Transparencia Activa) y al canal de consulta o solicitud de información pública (Solicitud de Acceso a Información)."/>
        <s v="Disponibilidad inmediata –sin requerimientos de registro, suscripción o pago– para acceder o descargar los datos, tablas y documentos con información relevante que deba generar la institución.&#10;"/>
        <s v="Información sobre las audiencias y reuniones, viajes y donativos recibidos por las autoridades del organismo en la actividad de lobby y en la gestión de intereses particulares, con el objeto de fortalecer la transparencia y probidad en las relaciones con "/>
        <s v="Disposición en el sitio web de la información pública de manera que facilite su lectura, comprensión y utilización, acogiendo buenas prácticas de orden, diseño y formato de los contenidos y documentos para que las personas usuarias puedan encontrar y ente"/>
        <s v="Información pública de la gestión administrativa de la institución que se publica de manera adicional a la requerida por la Ley de Transparencia de la Función Pública y de Acceso a la Información de la Administración del Estado (Ley 20.285), más conocida "/>
        <s v="Presencia de una página que indique los aspectos legales concernientes al sitio web y presente a sus responsables o representantes legales.&#10;"/>
        <s v="Disponibilidad de los datos en bruto –sin requerimientos de registro, suscripción o pago ni restricciones de copyright– para que puedan ser reutilizados de modo que puedan crearse nuevas formas de información, interrelación, reusabilidad y nuevos usos.&#10;"/>
        <s v="Presentación de información sobre los procesos que busca realizar la persona usuaria."/>
        <s v="Entrega de información clara sobre los errores ocurridos durante el proceso de envío de un formulario."/>
        <s v="Eliminación de las condiciones de la interfaz que induzcan a error en las personas usuarias. Los buenos mensajes de error son importantes, pero los mejores diseños evitan que los problemas ocurran."/>
        <s v="Rapidez con la que las personas usuarias pueden cargar y acceder al contenido de un sitio web. Es un factor crítico en la experiencia del usuario y puede influir significativamente en la retención de visitantes, la tasa de rebote y el posicionamiento en l"/>
        <s v="Garantía de acceso y correcta visualización de los sitios web en los diversos navegadores de Internet.&#10;"/>
        <s v="Capacidad de un sitio web para ser accesible y funcional en una amplia gama de dispositivos y tecnologías, sin importar las limitaciones técnicas o las preferencias de la persona usuaria. Esto implica que el sitio web debe ser diseñado y desarrollado de m"/>
        <s v="Grado de equidad con que el sitio web brinda acceso a la ciudadanía, independientemente de sus diversos dispositivos y la continuidad, la calidad de señal y la rapidez de su conexión a internet.&#10;"/>
        <s v="Solidez del contenido para ser interpretado de manera confiable por una amplia variedad de navegadores. Es decir, que las personas usuarias sigan accediendo al contenido a medida que avanzan y evolucionan las tecnologías."/>
        <s v="Información oportuna para las personas usuarias sobre lo que está sucediendo durante cada interacción y sus efectos.&#10;"/>
        <s v="Existencia de elementos de la interfaz de usuario que indica en qué parte del sitio web se encuentra la persona usuaria.&#10;"/>
        <s v="Existe una diferencia perceptible entre enlaces visitados y por visitar. &#10;"/>
        <s v="Presencia de espacios que permitan la comunicación, el intercambio y la participación entre las personas usuarias y los responsables.&#10;"/>
        <s v="Posibilidad de comunicarse con la persona encargada, para realizar consultas, sugerencias o comentarios respecto del servicio digital. &#10;"/>
        <s v="Velocidad con la que un sitio web puede procesar y responder a las solicitudes de las personas usuarias, proporcionando una experiencia de navegación ágil y eficiente."/>
        <s v="Asistencia a las personas usuarias ante errores, brindándoles una solución o un acceso directo que pueda resolver el error de inmediato.&#10;Redacción de los mensajes de error en un lenguaje sencillo (sin códigos de error), indicando con precisión el problema"/>
        <s v="Cuidado de no utilizar excesiva o innecesariamente ventanas modales y emergentes (pop-up)&#10;"/>
        <s v="Utilización de conceptos, frases y diseños familiares para las personas usuarias. Correspondencia con las convenciones del mundo real, haciendo que la información aparezca en un orden natural y lógico.&#10;"/>
        <s v="Oferta de distintas maneras de acceder al contenido y opción de aceleradores y acciones personalizadas tanto para personas usuarias avanzadas como menos experimentadas."/>
        <s v="Entrega de información clara sobre los errores ocurridos durante el proceso de envío de formulario."/>
        <s v="Precaución de no entregar instrucciones o información utilizando el color como único medio de significado.&#10;"/>
        <s v="Posibilidad de agrandar el texto del sitio web en hasta un 200% cuidando de que se mantenga el diseño y no se pierda funcionalidad en el sitio web.&#10;"/>
        <s v="Precaución de establecer tiempos más holgados en las sesiones, para que las personas usuarias puedan completar una tarea como llenar un formulario sin cambios inesperados por límite de tiempo.&#10;"/>
        <s v="Identificación clara de las diferentes zonas de una página para que los software de lectura pueden identificar las estructuras y relaciones del contenido.&#10;"/>
        <s v="Atención a los contrastes de color al diseñar la interfaz, los textos e imágenes de texto, que  deben tener un contraste mínimo de 4,5:1 entre el color de fondo y del texto o icono.&#10;"/>
        <s v="Opciones de autocompletado o que la información esté disponible para que la persona usuaria pueda utilizarla cuando ya ingresó algunos datos que se le piden en un formulario. Salvo en casos donde la información es para asegurar la seguridad del contenido "/>
        <s v="Iniciativa que busca proveer a los ciudadanos de una Identidad Electrónica Única (RUN y contraseña) para la realización de trámites en línea del Estado."/>
        <s v="Intercambio y obtención de información desde bases de datos centralizadas, que permita a las personas usuarias evitar tener que completar datos previamente entregados."/>
        <s v="Diseño responsivo, formulado y desarrollado para ser accesible desde cualquier dispositivo móvil en primer lugar."/>
        <s v="Presentación de un acceso destacado al trámite en los contenidos que hablen del trámite en cuestión."/>
        <s v="Correcto rendimiento de los sistemas que sustentan los servicios y trámites digitales, los que deben funcionar desde el inicio hasta final de una sesión sin la presencia de errores técnicos.&#10;"/>
        <s v="Capacidad exhibida por la institución pública de atender y dar respuesta a un trámite o servicio solicitado por una persona usuaria, en un plazo razonable."/>
        <s v="Reducción de tiempo empleado por las personas usuarias en acceder a la información y servicios, frente a la experiencia presencial."/>
        <s v="Indicación a la persona usuaria del estado de avance de su trámite.&#10;"/>
        <s v="Capacidad de realizar el trámite en su totalidad sin necesidad de acudir a una oficina para terminarlo.&#10;"/>
        <s v="Proporción de pasos acotados para realizar un trámite."/>
        <s v="Medida en que las respuestas o interacciones proporcionadas por un servicio digital son precisas, relevantes, completas y útiles para la persona usuaria.&#10;"/>
        <s v="Preferencia de la web como canal para el desarrollo y entrega de servicios digitales, aunque también esté disponible a través de la aplicación móvil.&#10;"/>
        <s v="Rapidez con la que las personas usuarias pueden cargar y acceder al contenido de un servicio digital. Es un factor crítico en la experiencia del usuario y puede influir significativamente en la retención de visitantes, la tasa de rebote y el posicionamien"/>
        <s v="Utilización de directorios o subdominios hijos del dominio principal para los servicios digitales.&#10;"/>
        <s v="Brevedad y economía de palabras en las etiquetas, de cara al tiempo de lectura en Internet y al espacio reducido en dispositivos móviles.&#10;"/>
        <s v="Oferta de múltiples vías de comunicación de las personas usuarias con los puntos de contacto del organismo.&#10;"/>
        <s v="Presencia de recursos y documentación de ayuda a las personas usuarias a responder sus consultas y necesidades de información que les surjan al utilizar un sitio web o servicios digitales.&#10;"/>
        <s v="Opción de ayuda en contexto para la realización de tareas e interacciones complejas.&#10;"/>
        <s v="Coherencia de los elementos visuales, los que deben disponerse de la misma manera y permitir mantener una apariencia consistente en todo el sitio, que brinde una experiencia visual unificada para las personas usuarias.&#10;"/>
        <s v="Selección cuidadosa de imágenes, fotografías y visualizaciones para afianzar la identidad institucional y complementar la información entregada. Tratamiento y optimización técnica para el soporte web."/>
        <s v="Definición del set de caracteres del sitio web, la que debe ser preferentemente &quot;UTF-8&quot;.&#10;"/>
        <s v="Utilización del dominio &quot;.gob.cl&quot;, registrándolo previamente ante la División de Informática del Ministerio del Interior y Seguridad Pública, y en el sitio web Administración de Dominios gob.cl (nic.gob.cl)&#10;&#10;"/>
        <s v="Validación del código HTML en el validador de la W3C, el código debe cumplir o cumplir con reparos.&#10;"/>
        <s v="Existencia de elementos de la interfaz de usuario que indica en qué parte del servicio digital se encuentra la persona usuaria. "/>
        <s v="Plataforma que conecta una cuenta bancaria con un procesador de pagos, haciendo posible el pago por medios electrónicos en sitios web."/>
        <s v="Posibilidad de descargar los documentos asociados a un trámite en diferentes formatos. &#10;"/>
        <s v="Presencia de espacios que permitan la comunicación, el intercambio y la participación entre las personas usuarias y los responsables del servicio digital. "/>
        <s v="Capacidad de un sitio web para funcionar de manera consistente y correcta, asegurando que las personas usuarias puedan acceder, utilizar los servicios y la información sin interrupciones ni errores.&#10;"/>
        <s v="Proporcionalidad de género en los contenidos, imágenes, vídeos y audios publicados en un sitio web."/>
        <s v="Entrega de alternativas de identificación —además del RUN— para que todas las personas usuarias puedan acceder a los servicios personalizados. &#10;"/>
        <s v="Método de creación y adaptación de textos que los hace más fáciles de comprender a personas con dificultades de comprensión lectora.&#10;"/>
        <s v="Uso de la etiqueta &quot;h1&quot; para describir el contenido principal de la página; ésta debe estar presente solo una vez en cada una."/>
        <s v="Facilidad de compartir a través de redes sociales con el uso de metadatos apropiados para que las páginas de contenidos del sitio web se comparten con una previsualización."/>
        <s v="Precaución de no mostrar publicidad que anuncie o promocione productos, servicios o marcas externas a la organización en el sitio web o videos incrustados."/>
        <s v="Estrategias y técnicas poco éticas que se utilizan en los sitios web, que obligan a las personas usuarias a realizar una acción que no desean, cómo comprar un producto o registrarse en algún servicio.&#10;"/>
      </sharedItems>
    </cacheField>
    <cacheField name="n_indicador_bd2" numFmtId="0">
      <sharedItems containsBlank="1">
        <m/>
        <s v="1.1.1"/>
        <s v="1.1.2"/>
        <s v="1.1.3"/>
        <s v="1.1.4"/>
        <s v="1.1.5"/>
        <s v="1.1.6"/>
        <s v="1.1.7"/>
        <s v="1.1.8"/>
        <s v="1.2.1"/>
        <s v="1.2.2"/>
        <s v="1.2.3"/>
        <s v="1.2.4"/>
        <s v="1.3.1"/>
        <s v="1.3.2"/>
        <s v="1.3.3"/>
        <s v="2.1.1"/>
        <s v="2.1.2"/>
        <s v="2.1.3"/>
        <s v="2.1.4"/>
        <s v="2.1.5"/>
        <s v="2.2.1"/>
        <s v="2.2.2"/>
        <s v="2.3.1"/>
        <s v="2.3.2"/>
        <s v="3.1.1"/>
        <s v="3.1.2"/>
        <s v="3.1.3"/>
        <s v="3.1.4"/>
        <s v="3.1.5"/>
        <s v="3.1.6"/>
        <s v="3.1.7"/>
        <s v="3.1.8"/>
        <s v="3.1.9"/>
        <s v="3.1.10"/>
        <s v="3.2.1"/>
        <s v="3.2.2"/>
        <s v="3.2.3"/>
        <s v="3.2.4"/>
        <s v="3.2.5"/>
        <s v="3.3.1"/>
        <s v="3.3.2"/>
        <s v="3.3.3"/>
        <s v="3.3.4"/>
        <s v="3.3.5"/>
        <s v="4.1.1"/>
        <s v="4.1.2"/>
        <s v="4.1.3"/>
        <s v="4.1.4"/>
        <s v="4.1.5"/>
        <s v="4.1.6"/>
        <s v="4.2.1"/>
        <s v="4.2.2"/>
        <s v="4.2.3"/>
        <s v="4.2.4"/>
        <s v="4.2.5"/>
        <s v="4.2.6"/>
        <s v="4.3.1"/>
        <s v="5.1.1"/>
        <s v="5.2.1"/>
        <s v="5.2.2"/>
        <s v="5.3.1"/>
        <s v="5.3.2"/>
        <s v="5.3.3"/>
        <s v="5.3.4"/>
        <s v="6.1.1"/>
        <s v="6.2.1"/>
        <s v="7.1.1"/>
        <s v="7.1.2"/>
        <s v="7.1.3"/>
        <s v="7.2.1"/>
        <s v="7.2.2"/>
        <s v="7.2.3"/>
        <s v="7.2.4"/>
        <s v="7.2.5"/>
        <s v="7.2.6"/>
        <s v="7.3.1"/>
        <s v="8.1.1"/>
        <s v="8.1.2"/>
        <s v="8.1.3"/>
        <s v="8.1.4"/>
        <s v="8.2.1"/>
        <s v="8.3.1"/>
        <s v="8.3.2"/>
        <s v="8.3.3"/>
        <s v="9.1.1"/>
        <s v="9.1.2"/>
        <s v="9.1.3"/>
        <s v="9.1.4"/>
        <s v="9.1.5"/>
        <s v="9.1.6"/>
        <s v="9.1.7"/>
        <s v="9.2.1"/>
        <s v="9.2.2"/>
        <s v="9.2.3"/>
        <s v="9.2.4"/>
        <s v="9.2.5"/>
        <s v="9.3.1"/>
        <s v="10.1.1"/>
        <s v="10.1.2"/>
        <s v="10.2.1"/>
        <s v="10.2.2"/>
        <s v="10.2.3"/>
        <s v="10.3.1"/>
        <s v="11.1.1"/>
        <s v="11.2.1"/>
        <s v="11.2.2"/>
        <s v="11.2.3"/>
        <s v="11.2.4"/>
        <s v="12.1.1"/>
        <s v="12.2.1"/>
        <s v="12.2.2"/>
        <s v="12.3.1"/>
        <s v="12.3.2"/>
        <s v="13.2.1"/>
        <s v="13.3.1"/>
        <s v="13.3.2"/>
        <s v="14.1.1"/>
        <s v="14.2.1"/>
        <s v="14.3.1"/>
        <s v="14.3.2"/>
        <s v="14.3.3"/>
        <s v="14.3.4"/>
        <s v="15.1.1"/>
        <s v="15.1.2"/>
        <s v="15.1.3"/>
        <s v="15.1.4"/>
        <s v="15.1.5"/>
        <s v="15.1.6"/>
        <s v="15.1.7"/>
        <s v="15.2.1"/>
        <s v="15.2.2"/>
        <s v="15.2.3"/>
        <s v="15.2.4"/>
        <s v="15.3.1"/>
        <s v="15.3.2"/>
        <s v="16.1.1"/>
        <s v="16.1.2"/>
        <s v="16.1.3"/>
        <s v="16.1.4"/>
        <s v="16.1.5"/>
        <s v="16.2.1"/>
        <s v="16.2.2"/>
        <s v="16.3.1"/>
        <s v="16.3.2"/>
        <s v="16.3.3"/>
        <s v="17.1.1"/>
        <s v="17.1.2"/>
        <s v="17.2.1"/>
        <s v="18.1.1"/>
        <s v="18.1.2"/>
        <s v="18.1.3"/>
        <s v="18.1.4"/>
        <s v="18.1.5"/>
        <s v="19.1.1"/>
        <s v="19.1.2"/>
        <s v="19.3.1"/>
        <s v="19.3.2"/>
        <s v="19.3.3"/>
        <s v="20.1.1"/>
        <s v="5.1.2"/>
        <s v="5.1.3"/>
        <s v="5.1.4"/>
        <s v="5.1.5"/>
        <s v="5.1.6"/>
        <s v="5.1.7"/>
        <s v="5.2.3"/>
        <s v="5.2.4"/>
        <s v="7.3.2"/>
        <s v="7.3.3"/>
        <s v="8.2.2"/>
        <s v="8.2.3"/>
        <s v="8.2.4"/>
        <s v="8.2.5"/>
        <s v="8.2.6"/>
        <s v="10.1.3"/>
        <s v="10.1.4"/>
        <s v="10.1.5"/>
        <s v="10.2.4"/>
        <s v="11.3.1"/>
        <s v="12.1.2"/>
        <s v="12.1.3"/>
        <s v="12.2.3"/>
        <s v="12.2.4"/>
        <s v="12.2.5"/>
        <s v="12.2.6"/>
        <s v="13.1.1"/>
        <s v="13.1.2"/>
        <s v="13.1.3"/>
        <s v="13.1.4"/>
        <s v="13.1.5"/>
        <s v="13.1.6"/>
        <s v="13.1.7"/>
        <s v="13.2.2"/>
        <s v="13.2.3"/>
        <s v="13.2.4"/>
        <s v="13.2.5"/>
        <s v="14.1.2"/>
        <s v="14.3.5"/>
        <s v="16.2.3"/>
        <s v="17.2.2"/>
        <s v="17.3.1"/>
        <s v="18.2.1"/>
        <s v="18.3.1"/>
        <s v="18.3.2"/>
        <s v="19.2.1"/>
        <s v="19.2.2"/>
        <s v="20.1.2"/>
        <s v="20.1.3"/>
        <s v="20.1.4"/>
        <s v="20.1.5"/>
        <s v="20.2.1"/>
        <s v="20.2.2"/>
        <s v="20.3.1"/>
      </sharedItems>
    </cacheField>
    <cacheField name="indicador_bd2" numFmtId="0">
      <sharedItems containsBlank="1">
        <m/>
        <s v="Fiabilidad"/>
        <s v="Completitud"/>
        <s v="Lenguaje plano"/>
        <s v="Actualización"/>
        <s v="Redacción y ortografía"/>
        <s v="Propiedad intelectual"/>
        <s v="Privacidad y datos personales"/>
        <s v="Contenidos sensibles"/>
        <s v="Claridad"/>
        <s v="Concisión"/>
        <s v="Legibilidad"/>
        <s v="Escritura para la web"/>
        <s v="Visualización de la información"/>
        <s v="Objetividad"/>
        <s v="Archivo"/>
        <s v="Coherencia y estandarización"/>
        <s v="Diseño estético y minimalista"/>
        <s v="Diagnóstico y corrección de errores"/>
        <s v="Ventanas modales o emergentes (pop-up)"/>
        <s v="Mensajes de error"/>
        <s v="Similitud del sistema con el mundo real"/>
        <s v="Control y libertad para la persona usuaria"/>
        <s v="Reducción del esfuerzo cognitivo"/>
        <s v="Flexibilidad y eficiencia de uso"/>
        <s v="Texto alternativo"/>
        <s v="Subtítulos"/>
        <s v="Navegación por teclado"/>
        <s v="Ajuste del tamaño de la fuente"/>
        <s v="Control de audio"/>
        <s v="Umbral de destellos"/>
        <s v="Etiquetas en iconos"/>
        <s v="Predecible al recibir el foco"/>
        <s v="Estructura de la interfaz"/>
        <s v="Contraste mínimo"/>
        <s v="Audio y video con texto alternativo"/>
        <s v="Componentes accesibles"/>
        <s v="Llamado a la acción claro"/>
        <s v="Predecible al recibir entrada"/>
        <s v="Foco visible"/>
        <s v="Pausar, detener u ocultar"/>
        <s v="Audiodescripción"/>
        <s v="Atajo hacia el contenido"/>
        <s v="Documentos accesibles"/>
        <s v="Declaración de accesibilidad"/>
        <s v="Similitud de criterio de organización"/>
        <s v="Jerarquización de la portada"/>
        <s v="Consistencia del rotulado"/>
        <s v="Claridad del rotulado"/>
        <s v="Notoriedad de la navegación"/>
        <s v="Menú de navegación principal"/>
        <s v="Marca o nombre de fantasía"/>
        <s v="Regla de los 3 clics"/>
        <s v="Precisión del rotulado"/>
        <s v="Concisión del rotulado"/>
        <s v="Equilibrio de la navegación"/>
        <s v="Pertinencia de la navegación"/>
        <s v="Flexibilidad de organización"/>
        <s v="Búsqueda interna"/>
        <s v="Mapa del sitio"/>
        <s v="Optimización"/>
        <s v="Búsqueda predictiva"/>
        <s v="Búsqueda avanzada"/>
        <s v="Recomendación predictiva"/>
        <s v="Alternativas de búsqueda"/>
        <s v="Visualización móvil"/>
        <s v="Adaptabilidad"/>
        <s v="Imagen gubernamental"/>
        <s v="Enlaces perceptibles"/>
        <s v="Integridad estética"/>
        <s v="Tipografía"/>
        <s v="Uso del color"/>
        <s v="Uso de imágenes"/>
        <s v="Distribución de los elementos"/>
        <s v="Atractivo visual"/>
        <s v="Expresividad de iconos"/>
        <s v="Familiaridad"/>
        <s v="Certificado SSL válido y vigente"/>
        <s v="Redirección de HTTP a HTTPS"/>
        <s v="Bloqueo de enmascarado"/>
        <s v="Directorios desactivados"/>
        <s v="Política de privacidad"/>
        <s v="Prevención de ataques MIME"/>
        <s v="Límite de referencias Referrer-Policy"/>
        <s v="Aviso de uso de cookies"/>
        <s v="Disponibilidad y estabilidad"/>
        <s v="Codificación de caracteres"/>
        <s v="Hojas de estilo en cascada (CSS)"/>
        <s v="Especificación de idioma"/>
        <s v="Funcionamiento de los enlaces"/>
        <s v="Soporte a URLs con y sin prefijo www"/>
        <s v="Dominio &quot;.gob.cl&quot;"/>
        <s v="Lenguaje HTML5"/>
        <s v="Compatibilidad HTML"/>
        <s v="Compatibilidad CSS"/>
        <s v="Optimización y rendimiento"/>
        <s v="Versión de impresión"/>
        <s v="Javascript sin errores"/>
        <s v="Contacto"/>
        <s v="Horario de atención"/>
        <s v="Recursos de apoyo y documentación"/>
        <s v="Sección de ayuda"/>
        <s v="Asistencia en línea"/>
        <s v="Espacios participativos"/>
        <s v="Derechos de uso de imágenes, videos y archivos de audio"/>
        <s v="Complementariedad"/>
        <s v="Formato de imágenes"/>
        <s v="Formato de videos"/>
        <s v="Formato de audios"/>
        <s v="Lenguaje inclusivo"/>
        <s v="Fotografías y videos con enfoque de género"/>
        <s v="Representatividad"/>
        <s v="Formularios representativos"/>
        <s v="Noticias con enfoque de género"/>
        <s v="Diversidad en formularios"/>
        <s v="Versiones en otros idiomas"/>
        <s v="Descentralización"/>
        <s v="Menús desplegables"/>
        <s v="Interpretación en lengua de señas chilena"/>
        <s v="Apto para daltonismo"/>
        <s v="Lectura fácil"/>
        <s v="Escala de grises y alto contraste"/>
        <s v="Lector de texto incorporado"/>
        <s v="Indexación en buscadores"/>
        <s v="Persistencia de las URLs"/>
        <s v="Compatibilidad de URLs"/>
        <s v="Títulos indexables"/>
        <s v="Título principal en &quot;h1&quot;"/>
        <s v="Facilitar compartir en redes sociales"/>
        <s v="Publicidad en sitio y videos"/>
        <s v="Legibilidad de las URLs"/>
        <s v="Metadescripción de páginas"/>
        <s v="Patrones engañosos"/>
        <s v="Presencia de redes sociales"/>
        <s v="Datos estructurados"/>
        <s v="Dominio representativo"/>
        <s v="Transparencia activa"/>
        <s v="Declaración de patrimonio e intereses"/>
        <s v="Transparencia pasiva"/>
        <s v="Banner de Transparencia"/>
        <s v="Acceso abierto"/>
        <s v="Lobby y gestión de intereses"/>
        <s v="Facilidad de lectura y usabilidad"/>
        <s v="Transparencia proactiva"/>
        <s v="Notas legales"/>
        <s v="Reutilización"/>
        <s v="Entrega de información oportuna"/>
        <s v="Diseño de formularios"/>
        <s v="Prevención de errores"/>
        <s v="Velocidad de acceso "/>
        <s v="Compatibilidad de navegadores "/>
        <s v="Accesibilidad técnica&#10;"/>
        <s v="Independencia de conectividad "/>
        <s v="Compatibilidad retroactiva"/>
        <s v="Visibilidad del estado del sistema"/>
        <s v="Indicador de proceso "/>
        <s v="Enlaces visitados"/>
        <s v="Foros y encuestas"/>
        <s v="Comunicación con responsable"/>
        <s v="Tiempo de respuesta"/>
        <s v="Color como único medio de información"/>
        <s v="Tiempo suficiente para realizar tareas"/>
        <s v="Autocompletado en formularios"/>
        <s v="ClaveÚnica"/>
        <s v="Precarga y reutilización de datos"/>
        <s v="Acceso destacado a trámites"/>
        <s v="Funcionamiento de los sistemas"/>
        <s v="Oportunidad"/>
        <s v="Eficiencia"/>
        <s v="Estado de progreso del trámite"/>
        <s v="Resolutividad"/>
        <s v="Cantidad de pasos limitada"/>
        <s v="Calidad de la respuesta entregada"/>
        <s v="Prioridad de la web"/>
        <s v="Accesibilidad técnica "/>
        <s v="Uso del dominio principal"/>
        <s v="Ayuda contextual"/>
        <s v="Botones y pasarelas de pago"/>
        <s v="Descarga de documentos"/>
        <s v="Recuperación ante fallos"/>
        <s v="Prescindencia de RUN"/>
      </sharedItems>
    </cacheField>
    <cacheField name="Definición_Indicador_bd" numFmtId="0">
      <sharedItems containsBlank="1">
        <m/>
        <s v="Entrega de información veraz, segura y rigurosa."/>
        <s v="Entrega de información con la cobertura y datos necesarios para divulgar un tema con exhaustividad."/>
        <s v="Estilo de redacción simple y centrado en las personas usuarias, alejado de jergas legales y tecnicismos."/>
        <s v="Renovación permanente de los contenidos, con el objeto de garantizar la entrega de información eficaz y oportuna a la ciudadanía.&#10;"/>
        <s v="Correcta escritura de los textos publicados."/>
        <s v="Posesión de los derechos de uso de contenidos publicados en un sitio web."/>
        <s v="Protección de los datos e información personal de las personas usuarias de un sitio web."/>
        <s v="Respeto de la intimidad de las personas usuarias de un sitio web a partir de la no publicación de información que pueda menoscabar su honra y perjudicar su imagen personal en Internet."/>
        <s v="Redacción orientada hacia una facilidad de comprensión de los contenidos."/>
        <s v="Capacidad de los sitios de presentar sus contenidos de manera breve."/>
        <s v="Facilidad de lectura de los contenidos publicados."/>
        <s v="Adaptación de la redacción optimizada para su lectoría en una interfaz digital."/>
        <s v="Uso de elementos visuales para presentar información o datos.&#10;"/>
        <s v="Imparcialidad y neutralidad de la información publicada."/>
        <s v="Conservación del contenido histórico del sitio web cuando se realice un reemplazo del mismo."/>
        <s v="Apego a las convenciones de los sitios web y servicios digitales, de manera tal que las personas usuarias no tengan que preguntarse si diferentes palabras, situaciones o acciones significan lo mismo en cada plataforma.&#10;"/>
        <s v="Simplicidad y limpieza de las interfaces, las que no deben contener información que sea irrelevante o que rara vez se necesite. Cada elemento en una interfaz compite con las unidades de información relevantes y disminuye su visibilidad relativa.&#10;"/>
        <s v="Asistencia a las personas usuarias ante errores, brindándoles una solución o un acceso directo para que pueda resolver el error de inmediato.&#10;Redacción de los mensajes de error en un lenguaje sencillo (sin códigos de error), indicando con precisión el pro"/>
        <s v="Cuidado de no utilizar excesiva o innecesariamente ventanas modales y emergentes (pop-up).&#10;"/>
        <s v="Interrupción generada por el sistema que le informa a la persona usuaria de una situación incompleta, incompatible o indeseable dentro del flujo de navegación. &#10;"/>
        <s v="Utilización de conceptos, frases y diseños familiares para las personas usuarias. Correspondencia con las convenciones del mundo real, haciendo que la información aparezca en un orden natural y lógico."/>
        <s v="Alternativa claramente marcada para abandonar una acción no deseada o detener un proceso prolongado."/>
        <s v="Disminución de la carga de memoria a corto plazo para la persona usuaria, haciendo fácilmente reconocibles los elementos, acciones y opciones. El sistema debería ayudar a los usuarios a reconocer los elementos de la interfaz sin la necesidad de analizarlo"/>
        <s v="Oferta de distintas maneras para acceder al contenido y opción de aceleradores y acciones personalizadas tanto para personas usuarias avanzadas como menos experimentadas."/>
        <s v="Presentación de una alternativa textual a todo el contenido no textual (imágenes, botones, iconos), por ejemplo, mediante las etiquetas &quot;alt&quot;, &quot;title&quot; o &quot;description&quot; del código HTML.&#10;"/>
        <s v="Alternativa textual para los diálogos presentes en los videos, en el caso de no poder escucharlos.&#10;"/>
        <s v="Orden lógico y fluido al navegar el sitio web con el teclado en que se respeta el sentido de izquierda a derecha, de arriba hacia abajo, y sin una determinada velocidad de pulsación."/>
        <s v="Posibilidad de agrandar el texto del sitio web en hasta un 200% cuidando de que se mantenga el diseño y no se pierda funcionalidad.&#10;"/>
        <s v="Mecanismos para pausar audios de reproducción automática."/>
        <s v="Cuidado al implementar animaciones para que no destellen más de 3 veces en 1 segundo para evitar posibles convulsiones. Se entiende como destello, un cambio repentino y brusco en el contraste, generalmente de color blanco y de muy corta duración, de forma"/>
        <s v="Soporte textual que explique la función de los iconos utilizados para ejecutar una acción.&#10;"/>
        <s v="Preocupación de que no se cambie el contexto al recibir el foco cuando se utiliza la navegación por teclado."/>
        <s v="Identificación clara de las diferentes zonas de una página para que los software de lectura puedan identificar las estructuras y relaciones del contenido.&#10;"/>
        <s v="Atención a los contrastes de color al diseñar la interfaz, los textos e imágenes de texto, que deben tener un contraste mínimo de 4,5:1 entre el color de fondo y del texto o icono.&#10;"/>
        <s v="Alternativa textual para los elementos de audio o video, en que se describe lo que está pasando en la escena.&#10;"/>
        <s v="Información de estados, roles e información de valor en todos los componentes de interfaz de usuario para permitir la compatibilidad con la tecnología asistiva utilizada para acceder al contenido. Por ejemplo: personas que utilizan lectores de pantalla, a"/>
        <s v="Presencia de enlaces y botones con llamados a la acción claros y descriptivos.&#10;"/>
        <s v="Preocupación por que los cambios y acciones que ocurran en el sitio web sean predecibles, esto se hace al explicar la acción antes de que se ejecute.&#10;"/>
        <s v="Preocupación de que al navegar el sitio web por teclado se muestre de forma visible el indicador del foco donde está ubicado el usuario.&#10;"/>
        <s v="Alternativa para pausar, detener u ocultar cuando se presenta información que tiene movimiento o se actualiza automáticamente.&#10;"/>
        <s v="Descripción clara del contenido de un audio o video."/>
        <s v="Posibilidad de saltar el encabezado del sitio web y pasar directamente al contenido. Se recomienda el uso del atributo &quot;accesskey&quot; en el código HTML."/>
        <s v="Preocupación de ofrecer documentos descargables accesibles para todos los usuarios. &#10; "/>
        <s v="Presencia de una página que explique los aspectos de accesibilidad presentes en el sitio web y declare el nivel de conformidad obtenido al aplicar las Pautas de Accesibilidad para el Contenido Web (WCAG) de la W3C.&#10;"/>
        <s v="Organización de los contenidos según el criterio más adecuado para el contexto, nivel cultural, hábitos informacionales y estructuras mentales de su público objetivo.&#10;"/>
        <s v="Consonancia entre la distribución de las secciones de la página de inicio y las necesidades de las personas usuarias.&#10;"/>
        <s v="Coherencia en el uso y estilo de las etiquetas en todo el sitio.&#10;"/>
        <s v="Facilidad de comprensión de las etiquetas del menú."/>
        <s v="Presencia y visibilidad del menú de navegación, sus opciones, localización del usuario, estado del sistema y etapa o paso del trámite."/>
        <s v="Presencia de una navegación principal clara y consistente para las personas usuarias, que además privilegie la navegación dentro del mismo sitio web."/>
        <s v="Identificación formal de la institución que usa un nombre de fantasía."/>
        <s v="Acceso a los contenidos desde portada o cualquier parte del sitio web en no más de tres enlaces de distancia.&#10;"/>
        <s v="Capacidad de los rótulos para expresar su significado de manera directa y concisa."/>
        <s v="Brevedad y economía de palabras en las etiquetas, acorde al tiempo de lectura en internet y al espacio reducido en dispositivos móviles.&#10;"/>
        <s v="Apropiado número de opciones del menú. Balance entre su extensión y nivel de profundidad.&#10;"/>
        <s v="Adecuada ubicación de los enlaces, de manera tal que aparezcan en contexto y brinden acceso oportuno a la información."/>
        <s v="Clasificación de la información por distintos esquemas o estructuras de organización con el objetivo de ofrecer opciones de acceso a los usuarios.&#10;"/>
        <s v="Presencia destacada de un buscador interno, que rastree, indexe y recupere todas las páginas del sitio y ofrezca eficientemente los contenidos más relevantes frente a las consultas de las personas usuarias.&#10;"/>
        <s v="Opción de navegación suplementaria que enlaza todo el sitio, refleja su estructura y evita la presencia de páginas aisladas.&#10;"/>
        <s v="Adecuación y jerarquización del contenido sobre la base de las palabras más buscadas y el patrón de navegación de las personas usuarias.&#10;"/>
        <s v="Proporción de un texto predictivo en la búsqueda para minimizar los errores.&#10;"/>
        <s v="Buscador interno con mayores opciones de refinamiento de las consultas y parametrización de los resultados."/>
        <s v="Oferta de contenidos y enlaces relacionados que permita a los usuarios profundizar o descubrir nueva información, sobre la base de sus preferencias y patrones de navegación previos.&#10;"/>
        <s v="Entrega de opciones de búsqueda en caso de no encontrar resultados."/>
        <s v="Diseño responsivo, formulado y desarrollado para ser accesible desde cualquier dispositivo móvil."/>
        <s v="Adecuación automática de un sitio web con sus elementos visuales y contenidos para que sean visualizados correctamente en cualquier dispositivo.&#10;"/>
        <s v="Conectores visuales que vinculan e identifican a los organismos de administración del Estado, como tipografías, colores y definiciones gráficas.&#10;"/>
        <s v="Condición de los enlaces del sitio web, que se deben diferenciar claramente de un párrafo de texto o títulos."/>
        <s v="Coherencia de los elementos visuales, los que deben disponerse de la misma manera y permitir mantener una apariencia consistente en todo el sitio, para que brinden una experiencia visual unificada para las personas usuarias.&#10;"/>
        <s v="Uso de tipografías que faciliten la legibilidad, con un tamaño adaptable a las diferentes condiciones de las personas usuarias y dispositivos. Adopción de las familias tipográficas establecidas en el sistema de diseño gubernamental."/>
        <s v="Definición de una paleta de colores formulada para afianzar la imagen de la institución, sobre la base de criterios de una adecuada combinación, atractivo visual, coherencia y contraste. Estos deberán estar sujetos a las normas de accesibilidad y, si corr"/>
        <s v="Selección cuidadosa de imágenes, fotografías y visualizaciones para afianzar la identidad institucional y complementar la información entregada. Es decir, que cuenten con un tratamiento y optimización técnica para el soporte web."/>
        <s v="Jerarquía de los elementos que se deben comprender a primera vista, sin ruido visual ni sobrecarga informativa."/>
        <s v="Apariencia atractiva y armoniosa que logra captar la atención del usuario."/>
        <s v="Capacidad de los iconos para ser claros y precisos en lo que quieren expresar, sin llevar a una interpretación o confusión.&#10;"/>
        <s v="Cercanía y capacidad de reconocimiento a simple vista del diseño, sin necesidad de un aprendizaje previo.&#10;"/>
        <s v="Utilización de mecanismos SSL/TLS o los protocolos de seguridad que los reemplacen. El certificado debe ser válido y estar vigente."/>
        <s v="Redirección de las solicitudes con protocolo HTTP a su equivalente con protocolo HTTPS.&#10;"/>
        <s v="Inhibición de la posibilidad de enmascarar el sitio dentro de un sitio externo a través de un &quot;frame&quot;."/>
        <s v="Configuración del servidor web debe mantener inhabilitado el acceso a ver los contenidos de los directorios.&#10;"/>
        <s v="Presencia de una política que describa cómo se recopila, utiliza, gestiona, protege y divulga la información de las personas usuarias que utilizan el sitio web.&#10;&#10;"/>
        <s v="Uso de la cabecera &quot;X-Content-Type-Options&quot; con el valor &quot;nosniff&quot; para así indicar a los navegadores que deben respetar el tipo MIME (Multipurpose Internet Mail Extensions) especificado por el servidor.&#10;"/>
        <s v="Utilización de la cabecera &quot;Referrer-Policy&quot; con el valor &quot;strict-origin&quot; para controlar la cantidad de información de referencia que se envía al realizar solicitudes desde una página.&#10;"/>
        <s v="Información clara que informe al usuario sobre la política de uso de cookies.&#10;"/>
        <s v="Capacidad de un sitio web para estar accesible y operativo en todo momento. Además de mantener su funcionamiento sin caídas, errores o interrupciones, proporcionando una experiencia consistente.&#10;"/>
        <s v="Definición del set de caracteres del sitio web, el que debe ser preferentemente &quot;UTF-8&quot;.&#10;"/>
        <s v="Utilización de código CSS (hojas de estilo en cascada), en la diagramación y diseño de las páginas, separando el contenido, la estructura y la presentación.&#10;"/>
        <s v="Uso del atributo HTML &quot;lang&quot; para especificar el idioma del sitio o los textos del mismo."/>
        <s v="Ausencia de enlaces rotos, enlaces redirigidos y enlaces inválidos.&#10;"/>
        <s v="Habilitación de acceso utilizando o no el prefijo &quot;www&quot;. Los sitios web deberán visualizarse independiente de la utilización de este prefijo, redirigiendo a la URL final del sitio.&#10;"/>
        <s v="Utilización del dominio &quot;.gob.cl&quot;, registrándolo previamente ante la División de Informática del Ministerio del Interior y Seguridad Pública y en el sitio web Administración de Dominios gob.cl (nic.gob.cl).&#10;&#10;"/>
        <s v="Utilización del lenguaje de marcado HTML5 para la creación y estructuración de contenido en las páginas web.&#10;"/>
        <s v="Validación del código HTML en el validador de la W3C: el código debe cumplir o cumplir con reparos.&#10;"/>
        <s v="Validación de la escritura y compatibilidad del código CSS, el que no debe tener errores.&#10;"/>
        <s v="Capacidad de un sitio web para manejar el aumento en el tráfico y la demanda sin comprometer la estabilidad o la rapidez de respuesta.&#10;"/>
        <s v="Adaptación del contenido para una óptima impresión. La finalización de un trámite, sea ésta una página de entrega de información o un certificado, debe poder imprimirse sin dificultad o alteraciones significativas de su apariencia.&#10;"/>
        <s v="Ausencia de errores de JavaScript en la consola del navegador.&#10;"/>
        <s v="Oferta de múltiples vías de comunicación de las personas usuarias con los puntos de contacto del organismo."/>
        <s v="Información de horarios de atención en los cuales se pueda acceder a los servicios ofrecidos por la institución.&#10;"/>
        <s v="Presencia de recursos y documentación de ayuda a las personas usuarias para responder sus consultas y necesidades de información que les surjan al utilizar un sitio web o servicios digitales.&#10;"/>
        <s v="Existencia de una sección especialmente dedicada a la ayuda para las personas usuarias, que reúna tanto los canales de atención como la documentación.&#10;"/>
        <s v="Canales de atención al ciudadano de manera sincrónica para satisfacer las necesidades de soporte que tengan las personas usuarias."/>
        <s v="Presencia de espacios para promover la democracia participativa donde se recoja la opinión de la ciudadanía y fomenten hábitos de socialización.&#10;"/>
        <s v="Posesión de los derechos de uso de imágenes, videos o audios publicados en un sitio web."/>
        <s v="Uso de imágenes, videos y audios para complementar la información publicada en los contenidos.&#10;&#10;&#10;&#10;"/>
        <s v="Especificaciones técnicas de las imágenes publicadas en un sitio web."/>
        <s v="Especificaciones técnicas de los videos publicados en un sitio web."/>
        <s v="Especificaciones técnicas de los audios publicados en un sitio web."/>
        <s v="Expresión verbal, escrita o visual que visibiliza lo femenino y masculino, elimina estereotipos, el sexismo, el androcentrismo y el masculino como genérico universal. Se fundamenta en una comunicación institucional basada en los principios de igualdad, re"/>
        <s v="Uso de imágenes y videos con perspectiva de género, respetando principios de igualdad, respeto y no discriminación."/>
        <s v="Proporcionalidad de género en los contenidos, imágenes, videos y audios publicados en un sitio web."/>
        <s v="Diseño de formularios con perspectiva de género, respetando principios de igualdad, respeto, diversidad y no discriminación.&#10;"/>
        <s v="Publicación de noticias con perspectiva de género, respetando principios de igualdad, respeto y no discriminación.&#10;"/>
        <s v="Especial cuidado en la redacción de preguntas en formularios para considerar la diversidad de personas usuarias y evitar discriminaciones."/>
        <s v="Presencia de información en otros idiomas, especialmente para personas de pueblos originarios y migrantes que no hablen español.&#10;"/>
        <s v="Especial cuidado en la redacción de los contenidos y acceso a los servicios para evitar un sesgo desde la centralización."/>
        <s v="Cautela en el uso de menús desplegables, porque para algunas personas usuarias pueden significar una barrera de acceso, por ejemplo, personas con motricidad reducida.&#10;"/>
        <s v="Presencia de interpretación en lengua de señas chilena para los contenidos audiovisuales.&#10;"/>
        <s v="Preocupación en el diseño por considerar contrastes y combinaciones de color aptos para personas con daltonismo.&#10;"/>
        <s v="Método de creación y adaptación de textos que los hace más fáciles de comprender para personas con dificultades de comprensión lectora.&#10;"/>
        <s v="Opción para que las personas usuarias puedan cambiar los colores del sitio a escala de grises y alto contraste.&#10;"/>
        <s v="Herramienta para la lectura de texto incorporada en el sitio web.&#10;"/>
        <s v="Habilitación del acceso de los robots de búsqueda para indexar el sitio mediante el metadato &quot;robots&quot; o el archivo &quot;robots.txt&quot;."/>
        <s v="Estabilidad de las direcciones web en el tiempo. En el caso de un cambio de dominio o URL, se aplica una redirección que permita no dejar enlaces rotos, para que se pueda seguir accediendo a las páginas y documentos. Ello porque cada URL de un sitio puede"/>
        <s v="Uso exclusivo de letras minúsculas en la URL del sitio, evitando la utilización de caracteres especiales y tildes, para garantizar su compatibilidad y buen funcionamiento. &#10;"/>
        <s v="Presencia del tema principal de cada página del sitio en su título (etiqueta &quot;title&quot;) para garantizar que el propósito de cada una sea claro para los motores de búsqueda.&#10;"/>
        <s v="Uso de la etiqueta &quot;h1&quot; para describir el contenido principal de la página: ésta debe estar presente solo una vez en cada una."/>
        <s v="Facilidad para que las páginas de contenidos del sitio web se compartan, con el uso de metadatos apropiados, a través de redes sociales con una previsualización.&#10;"/>
        <s v="Precaución de no mostrar publicidad que anuncie o promocione productos, servicios o marcas externas a la organización en el sitio web o en videos incrustados."/>
        <s v="Preocupación por el uso de URLs amigables para las personas usuarias y semánticas para buscadores."/>
        <s v="Correcta descripción de cada página al entregar información sobre su contenido en la meta etiqueta &quot;description&quot;."/>
        <s v="Estrategias y técnicas poco éticas que se utilizan en los sitios web, que obligan a las personas usuarias a realizar una acción que no desean, como comprar un producto o registrarse en algún servicio.&#10;"/>
        <s v="Visualización de los enlaces de las cuentas oficiales en redes sociales de la institución o servicio digital. &#10;"/>
        <s v="Presencia de datos estructurados dentro de los contenidos estratégicos del sitio web como: artículos, noticias, eventos, videos y preguntas frecuentes."/>
        <s v="Representatividad del tema principal de la institución en el dominio del sitio web."/>
        <s v="Presencia actualizada de la información pública relacionada con el funcionamiento administrativo y financiero de la institución, tal como lo indica la Ley de Transparencia de la Función Pública y de Acceso a la Información de la Administración del Estado "/>
        <s v="Información de las autoridades y funcionarios dando cuenta de dónde permanecen sus intereses y a cuánto asciende su patrimonio al asumir y mientras permanecen en sus cargos. Siguiendo el principio de probidad administrativa, la declaración busca transpare"/>
        <s v="Disposición visible del canal de consulta o solicitud de información pública que cualquier persona puede realizar a la institución, tal como lo indica la Ley de Transparencia de la Función Pública y de Acceso a la Información de la Administración del Esta"/>
        <s v="Ícono, botón o sección ubicada en portada de la institución a través de la cual se accede de manera diferenciada a la información pública (Transparencia Activa) y al canal de consulta o solicitud de información pública (Solicitud de Acceso a Información)."/>
        <s v="Disponibilidad inmediata –sin requerimientos de registro, suscripción o pago– para acceder o descargar los datos, tablas y documentos con información relevante que deba generar la institución.&#10;"/>
        <s v="Información sobre las audiencias y reuniones, viajes y donativos recibidos por las autoridades del organismo en la actividad de lobby y en la gestión de intereses particulares, con el objeto de fortalecer la transparencia y probidad en las relaciones con "/>
        <s v="Disposición en el sitio web de la información pública de manera que facilite su lectura, comprensión y utilización, acogiendo buenas prácticas de orden, diseño y formato de los contenidos y documentos para que las personas usuarias puedan encontrar y ente"/>
        <s v="Información pública de la gestión administrativa de la institución que se publica de manera adicional a la requerida por la Ley de Transparencia de la Función Pública y de Acceso a la Información de la Administración del Estado (Ley 20.285), más conocida "/>
        <s v="Presencia de una página que indique los aspectos legales concernientes al sitio web y presente a sus responsables o representantes legales.&#10;"/>
        <s v="Disponibilidad de los datos en bruto –sin requerimientos de registro, suscripción o pago ni restricciones de copyright– para que puedan ser reutilizados de modo que puedan crearse nuevas formas de información, interrelación, reusabilidad y nuevos usos.&#10;"/>
        <s v="Presentación de información sobre los procesos que busca realizar la persona usuaria."/>
        <s v="Entrega de información clara sobre los errores ocurridos durante el proceso de envío de un formulario."/>
        <s v="Eliminación de las condiciones de la interfaz que induzcan a error en las personas usuarias. Los buenos mensajes de error son importantes, pero los mejores diseños evitan que los problemas ocurran."/>
        <s v="Rapidez con la que las personas usuarias pueden cargar y acceder al contenido de un sitio web. Es un factor crítico en la experiencia del usuario y puede influir significativamente en la retención de visitantes, la tasa de rebote y el posicionamiento en l"/>
        <s v="Garantía de acceso y correcta visualización de los sitios web en los diversos navegadores de Internet.&#10;"/>
        <s v="Capacidad de un sitio web para ser accesible y funcional en una amplia gama de dispositivos y tecnologías, sin importar las limitaciones técnicas o las preferencias de la persona usuaria. Esto implica que el sitio web debe ser diseñado y desarrollado de m"/>
        <s v="Grado de equidad con que el sitio web brinda acceso a la ciudadanía, independientemente de sus diversos dispositivos y la continuidad, la calidad de señal y la rapidez de su conexión a internet.&#10;"/>
        <s v="Solidez del contenido para ser interpretado de manera confiable por una amplia variedad de navegadores. Es decir, que las personas usuarias sigan accediendo al contenido a medida que avanzan y evolucionan las tecnologías."/>
        <s v="Información oportuna para las personas usuarias sobre lo que está sucediendo durante cada interacción y sus efectos.&#10;"/>
        <s v="Existencia de elementos de la interfaz de usuario que indica en qué parte del sitio web se encuentra la persona usuaria.&#10;"/>
        <s v="Existe una diferencia perceptible entre enlaces visitados y por visitar. &#10;"/>
        <s v="Presencia de espacios que permitan la comunicación, el intercambio y la participación entre las personas usuarias y los responsables.&#10;"/>
        <s v="Posibilidad de comunicarse con la persona encargada, para realizar consultas, sugerencias o comentarios respecto del servicio digital. &#10;"/>
        <s v="Velocidad con la que un sitio web puede procesar y responder a las solicitudes de las personas usuarias, proporcionando una experiencia de navegación ágil y eficiente."/>
        <s v="Asistencia a las personas usuarias ante errores, brindándoles una solución o un acceso directo que pueda resolver el error de inmediato.&#10;Redacción de los mensajes de error en un lenguaje sencillo (sin códigos de error), indicando con precisión el problema"/>
        <s v="Cuidado de no utilizar excesiva o innecesariamente ventanas modales y emergentes (pop-up)&#10;"/>
        <s v="Utilización de conceptos, frases y diseños familiares para las personas usuarias. Correspondencia con las convenciones del mundo real, haciendo que la información aparezca en un orden natural y lógico.&#10;"/>
        <s v="Oferta de distintas maneras de acceder al contenido y opción de aceleradores y acciones personalizadas tanto para personas usuarias avanzadas como menos experimentadas."/>
        <s v="Entrega de información clara sobre los errores ocurridos durante el proceso de envío de formulario."/>
        <s v="Precaución de no entregar instrucciones o información utilizando el color como único medio de significado.&#10;"/>
        <s v="Posibilidad de agrandar el texto del sitio web en hasta un 200% cuidando de que se mantenga el diseño y no se pierda funcionalidad en el sitio web.&#10;"/>
        <s v="Precaución de establecer tiempos más holgados en las sesiones, para que las personas usuarias puedan completar una tarea como llenar un formulario sin cambios inesperados por límite de tiempo.&#10;"/>
        <s v="Identificación clara de las diferentes zonas de una página para que los software de lectura pueden identificar las estructuras y relaciones del contenido.&#10;"/>
        <s v="Atención a los contrastes de color al diseñar la interfaz, los textos e imágenes de texto, que  deben tener un contraste mínimo de 4,5:1 entre el color de fondo y del texto o icono.&#10;"/>
        <s v="Opciones de autocompletado o que la información esté disponible para que la persona usuaria pueda utilizarla cuando ya ingresó algunos datos que se le piden en un formulario. Salvo en casos donde la información es para asegurar la seguridad del contenido "/>
        <s v="Iniciativa que busca proveer a los ciudadanos de una Identidad Electrónica Única (RUN y contraseña) para la realización de trámites en línea del Estado."/>
        <s v="Intercambio y obtención de información desde bases de datos centralizadas, que permita a las personas usuarias evitar tener que completar datos previamente entregados."/>
        <s v="Diseño responsivo, formulado y desarrollado para ser accesible desde cualquier dispositivo móvil en primer lugar."/>
        <s v="Presentación de un acceso destacado al trámite en los contenidos que hablen del trámite en cuestión."/>
        <s v="Correcto rendimiento de los sistemas que sustentan los servicios y trámites digitales, los que deben funcionar desde el inicio hasta final de una sesión sin la presencia de errores técnicos.&#10;"/>
        <s v="Capacidad exhibida por la institución pública de atender y dar respuesta a un trámite o servicio solicitado por una persona usuaria, en un plazo razonable."/>
        <s v="Reducción de tiempo empleado por las personas usuarias en acceder a la información y servicios, frente a la experiencia presencial."/>
        <s v="Indicación a la persona usuaria del estado de avance de su trámite.&#10;"/>
        <s v="Capacidad de realizar el trámite en su totalidad sin necesidad de acudir a una oficina para terminarlo.&#10;"/>
        <s v="Proporción de pasos acotados para realizar un trámite."/>
        <s v="Medida en que las respuestas o interacciones proporcionadas por un servicio digital son precisas, relevantes, completas y útiles para la persona usuaria.&#10;"/>
        <s v="Preferencia de la web como canal para el desarrollo y entrega de servicios digitales, aunque también esté disponible a través de la aplicación móvil.&#10;"/>
        <s v="Rapidez con la que las personas usuarias pueden cargar y acceder al contenido de un servicio digital. Es un factor crítico en la experiencia del usuario y puede influir significativamente en la retención de visitantes, la tasa de rebote y el posicionamien"/>
        <s v="Utilización de directorios o subdominios hijos del dominio principal para los servicios digitales.&#10;"/>
        <s v="Brevedad y economía de palabras en las etiquetas, de cara al tiempo de lectura en Internet y al espacio reducido en dispositivos móviles.&#10;"/>
        <s v="Oferta de múltiples vías de comunicación de las personas usuarias con los puntos de contacto del organismo.&#10;"/>
        <s v="Presencia de recursos y documentación de ayuda a las personas usuarias a responder sus consultas y necesidades de información que les surjan al utilizar un sitio web o servicios digitales.&#10;"/>
        <s v="Opción de ayuda en contexto para la realización de tareas e interacciones complejas.&#10;"/>
        <s v="Coherencia de los elementos visuales, los que deben disponerse de la misma manera y permitir mantener una apariencia consistente en todo el sitio, que brinde una experiencia visual unificada para las personas usuarias.&#10;"/>
        <s v="Selección cuidadosa de imágenes, fotografías y visualizaciones para afianzar la identidad institucional y complementar la información entregada. Tratamiento y optimización técnica para el soporte web."/>
        <s v="Definición del set de caracteres del sitio web, la que debe ser preferentemente &quot;UTF-8&quot;.&#10;"/>
        <s v="Utilización del dominio &quot;.gob.cl&quot;, registrándolo previamente ante la División de Informática del Ministerio del Interior y Seguridad Pública, y en el sitio web Administración de Dominios gob.cl (nic.gob.cl)&#10;&#10;"/>
        <s v="Validación del código HTML en el validador de la W3C, el código debe cumplir o cumplir con reparos.&#10;"/>
        <s v="Existencia de elementos de la interfaz de usuario que indica en qué parte del servicio digital se encuentra la persona usuaria. "/>
        <s v="Plataforma que conecta una cuenta bancaria con un procesador de pagos, haciendo posible el pago por medios electrónicos en sitios web."/>
        <s v="Posibilidad de descargar los documentos asociados a un trámite en diferentes formatos. &#10;"/>
        <s v="Presencia de espacios que permitan la comunicación, el intercambio y la participación entre las personas usuarias y los responsables del servicio digital. "/>
        <s v="Capacidad de un sitio web para funcionar de manera consistente y correcta, asegurando que las personas usuarias puedan acceder, utilizar los servicios y la información sin interrupciones ni errores.&#10;"/>
        <s v="Proporcionalidad de género en los contenidos, imágenes, vídeos y audios publicados en un sitio web."/>
        <s v="Entrega de alternativas de identificación —además del RUN— para que todas las personas usuarias puedan acceder a los servicios personalizados. &#10;"/>
        <s v="Método de creación y adaptación de textos que los hace más fáciles de comprender a personas con dificultades de comprensión lectora.&#10;"/>
        <s v="Uso de la etiqueta &quot;h1&quot; para describir el contenido principal de la página; ésta debe estar presente solo una vez en cada una."/>
        <s v="Facilidad de compartir a través de redes sociales con el uso de metadatos apropiados para que las páginas de contenidos del sitio web se comparten con una previsualización."/>
        <s v="Precaución de no mostrar publicidad que anuncie o promocione productos, servicios o marcas externas a la organización en el sitio web o videos incrustados."/>
        <s v="Estrategias y técnicas poco éticas que se utilizan en los sitios web, que obligan a las personas usuarias a realizar una acción que no desean, cómo comprar un producto o registrarse en algún servicio.&#10;"/>
      </sharedItems>
    </cacheField>
    <cacheField name="N°">
      <sharedItems containsDate="1" containsBlank="1" containsMixedTypes="1">
        <m/>
        <s v="1."/>
        <s v="N°"/>
        <s v="1.1"/>
        <s v="1.1.1"/>
        <s v="1.1.2"/>
        <s v="1.1.3"/>
        <s v="1.1.4"/>
        <s v="1.1.5"/>
        <s v="1.1.6"/>
        <s v="1.1.7"/>
        <s v="1.1.8"/>
        <s v="1.2"/>
        <s v="1.2.1"/>
        <s v="1.2.2"/>
        <s v="1.2.3"/>
        <s v="1.2.4"/>
        <s v="1.3"/>
        <s v="1.3.1"/>
        <s v="1.3.2"/>
        <s v="1.3.3"/>
        <s v="2."/>
        <s v="2.1"/>
        <s v="2.1.1"/>
        <s v="2.1.2"/>
        <s v="2.1.3"/>
        <s v="2.1.4"/>
        <s v="2.1.5"/>
        <s v="2.2"/>
        <s v="2.2.1"/>
        <s v="2.2.2"/>
        <s v="2.3"/>
        <s v="2.3.1"/>
        <s v="2.3.2"/>
        <s v="3."/>
        <d v="2024-01-03T00:00:00Z"/>
        <s v="3.1.1"/>
        <s v="3.1.2"/>
        <s v="3.1.3"/>
        <s v="3.1.4"/>
        <s v="3.1.5"/>
        <s v="3.1.6"/>
        <s v="3.1.7"/>
        <s v="3.1.8"/>
        <s v="3.1.9"/>
        <s v="3.1.10"/>
        <s v="3.2  "/>
        <s v="3.2.1"/>
        <s v="3.2.2"/>
        <s v="3.2.3"/>
        <s v="3.2.4"/>
        <s v="3.2.5"/>
        <s v="3.3  "/>
        <s v="3.3.1"/>
        <s v="3.3.2"/>
        <s v="3.3.3"/>
        <s v="3.3.4"/>
        <s v="3.3.5"/>
        <s v="4."/>
        <s v="4.1"/>
        <s v="4.1.1"/>
        <s v="4.1.2"/>
        <s v="4.1.3"/>
        <s v="4.1.4"/>
        <s v="4.1.5"/>
        <s v="4.1.6"/>
        <s v="4.2"/>
        <s v="4.2.1"/>
        <s v="4.2.2"/>
        <s v="4.2.3"/>
        <s v="4.2.4"/>
        <s v="4.2.5"/>
        <s v="4.2.6"/>
        <s v="4.3"/>
        <s v="4.3.1"/>
        <s v="5."/>
        <s v="5.1"/>
        <s v="5.1.1"/>
        <s v="5.2"/>
        <s v="5.2.1"/>
        <s v="5.2.2"/>
        <s v="5.3"/>
        <s v="5.3.1"/>
        <s v="5.3.2"/>
        <s v="5.3.3"/>
        <s v="5.3.4"/>
        <s v="6."/>
        <s v="6.1"/>
        <s v="6.1.1"/>
        <s v="6.2"/>
        <s v="6.2.1"/>
        <s v="7."/>
        <s v="7.1"/>
        <s v="7.1.1"/>
        <s v="7.1.2"/>
        <s v="7.1.3"/>
        <s v="7.2"/>
        <s v="7.2.1"/>
        <s v="7.2.2"/>
        <s v="7.2.3"/>
        <s v="7.2.4"/>
        <s v="7.2.5"/>
        <s v="7.2.6"/>
        <s v="7.3"/>
        <s v="7.3.1"/>
        <s v="8."/>
        <s v="8.1"/>
        <s v="8.1.1"/>
        <s v="8.1.2"/>
        <s v="8.1.3"/>
        <s v="8.1.4"/>
        <s v="8.2"/>
        <s v="8.2.1"/>
        <s v="8.3"/>
        <s v="8.3.1"/>
        <s v="8.3.2"/>
        <s v="8.3.3"/>
        <s v="9."/>
        <s v="9.1"/>
        <s v="9.1.1"/>
        <s v="9.1.2"/>
        <s v="9.1.3"/>
        <s v="9.1.4"/>
        <s v="9.1.5"/>
        <s v="9.1.6"/>
        <s v="9.1.7"/>
        <s v="9.2"/>
        <s v="9.2.1"/>
        <s v="9.2.2"/>
        <s v="9.2.3"/>
        <s v="9.2.4"/>
        <s v="9.2.5"/>
        <s v="9.3"/>
        <s v="9.3.1"/>
        <s v="10."/>
        <s v="10.1"/>
        <s v="10.1.1"/>
        <s v="10.1.2"/>
        <s v="10.2"/>
        <s v="10.2.1"/>
        <s v="10.2.2"/>
        <s v="10.2.3"/>
        <s v="10.3"/>
        <s v="10.3.1"/>
        <s v="11."/>
        <s v="11.1"/>
        <s v="11.1.1"/>
        <s v="11.2"/>
        <s v="11.2.1"/>
        <s v="11.2.2"/>
        <s v="11.2.3"/>
        <s v="11.2.4"/>
        <s v="12."/>
        <s v="12.1"/>
        <s v="12.1.1"/>
        <s v="12.2"/>
        <s v="12.2.1"/>
        <s v="12.2.2"/>
        <s v="12.3"/>
        <s v="12.3.1"/>
        <s v="12.3.2"/>
        <s v="13. "/>
        <s v="13.2"/>
        <s v="13.2.1"/>
        <s v="13.3"/>
        <s v="13.3.1"/>
        <s v="13.3.2"/>
        <s v="14."/>
        <s v="14.1"/>
        <s v="14.1.1"/>
        <s v="14.2"/>
        <s v="14.2.1"/>
        <s v="14.3"/>
        <s v="14.3.1"/>
        <s v="14.3.2"/>
        <s v="14.3.3"/>
        <s v="14.3.4"/>
        <s v="15."/>
        <s v="15.1"/>
        <s v="15.1.1"/>
        <s v="15.1.2"/>
        <s v="15.1.3"/>
        <s v="15.1.4"/>
        <s v="15.1.5"/>
        <s v="15.1.6"/>
        <s v="15.1.7"/>
        <s v="15.2"/>
        <s v="15.2.1"/>
        <s v="15.2.2"/>
        <s v="15.2.3"/>
        <s v="15.2.4"/>
        <s v="15.3"/>
        <s v="15.3.1"/>
        <s v="15.3.2"/>
        <s v="16."/>
        <s v="16.1"/>
        <s v="16.1.1"/>
        <s v="16.1.2"/>
        <s v="16.1.3"/>
        <s v="16.1.4"/>
        <s v="16.1.5"/>
        <s v="16.2"/>
        <s v="16.2.1"/>
        <s v="16.2.2"/>
        <s v="16.3"/>
        <s v="16.3.1"/>
        <s v="16.3.2"/>
        <s v="16.3.3"/>
        <s v="17."/>
        <s v="17.1"/>
        <s v="17.1.1"/>
        <s v="17.1.2"/>
        <s v="17.2"/>
        <s v="17.2.1"/>
        <s v="18. "/>
        <s v="18.1"/>
        <s v="18.1.1"/>
        <s v="18.1.2"/>
        <s v="18.1.3"/>
        <s v="18.1.4"/>
        <s v="18.1.5"/>
        <s v="19. "/>
        <s v="19.1"/>
        <s v="19.1.1"/>
        <s v="19.1.2"/>
        <s v="19.3"/>
        <s v="19.3.1"/>
        <s v="19.3.2"/>
        <s v="19.3.3"/>
        <s v="20. "/>
        <s v="20.1"/>
        <s v="20.1.1"/>
        <s v="5.1.2"/>
        <s v="5.1.3"/>
        <s v="5.1.4"/>
        <s v="5.1.5"/>
        <s v="5.1.6"/>
        <s v="5.1.7"/>
        <s v="5.2.3"/>
        <s v="5.2.4"/>
        <s v="7.3.2"/>
        <s v="7.3.3"/>
        <s v="8.2.2"/>
        <s v="8.2.3"/>
        <s v="8.2.4"/>
        <s v="8.2.5"/>
        <s v="8.2.6"/>
        <s v="9. "/>
        <s v="10.1.3"/>
        <s v="10.1.4"/>
        <s v="10.1.5"/>
        <s v="10.2.4"/>
        <s v="11.3"/>
        <s v="11.3.1"/>
        <s v="12.1.2"/>
        <s v="12.1.3"/>
        <s v="12.2.3"/>
        <s v="12.2.4"/>
        <s v="12.2.5"/>
        <s v="12.2.6"/>
        <s v="13."/>
        <s v="13.1"/>
        <s v="13.1.1"/>
        <s v="13.1.2"/>
        <s v="13.1.3"/>
        <s v="13.1.4"/>
        <s v="13.1.5"/>
        <s v="13.1.6"/>
        <s v="13.1.7"/>
        <s v="13.2.2"/>
        <s v="13.2.3"/>
        <s v="13.2.4"/>
        <s v="13.2.5"/>
        <s v="14. "/>
        <s v="14.1.2"/>
        <s v="14.3.5"/>
        <s v="15. "/>
        <s v="16.2.3"/>
        <s v="17.2.2"/>
        <s v="17.3"/>
        <s v="17.3.1"/>
        <s v="18.2"/>
        <s v="18.2.1"/>
        <s v="18.3"/>
        <s v="18.3.1"/>
        <s v="18.3.2"/>
        <s v="19."/>
        <s v="19.2"/>
        <s v="19.2.1"/>
        <s v="19.2.2"/>
        <s v="20."/>
        <s v="20.1.2"/>
        <s v="20.1.3"/>
        <s v="20.1.4"/>
        <s v="20.1.5"/>
        <s v="20.2"/>
        <s v="20.2.1"/>
        <s v="20.2.2"/>
        <s v="20.3"/>
        <s v="20.3.1"/>
      </sharedItems>
    </cacheField>
    <cacheField name="Indicador" numFmtId="0">
      <sharedItems containsBlank="1">
        <m/>
        <s v="Contenido y lenguaje claro"/>
        <s v="Indicador"/>
        <s v="IMPRESCINDIBLES"/>
        <s v="Fiabilidad"/>
        <s v="Completitud"/>
        <s v="Lenguaje plano"/>
        <s v="Actualización"/>
        <s v="Redacción y ortografía"/>
        <s v="Propiedad intelectual"/>
        <s v="Privacidad y datos personales"/>
        <s v="Contenidos sensibles"/>
        <s v="ESPERABLES"/>
        <s v="Claridad"/>
        <s v="Concisión"/>
        <s v="Legibilidad"/>
        <s v="Escritura para la web"/>
        <s v="DESEABLES"/>
        <s v="Visualización de la información"/>
        <s v="Objetividad"/>
        <s v="Archivo"/>
        <s v="Usabilidad"/>
        <s v="Coherencia y estandarización"/>
        <s v="Diseño estético y minimalista"/>
        <s v="Diagnóstico y corrección de errores"/>
        <s v="Ventanas modales o emergentes (pop-up)"/>
        <s v="Mensajes de error"/>
        <s v="Similitud del sistema con el mundo real"/>
        <s v="Control y libertad para la persona usuaria"/>
        <s v="Reducción del esfuerzo cognitivo"/>
        <s v="Flexibilidad y eficiencia de uso"/>
        <s v="Accesibilidad web"/>
        <s v="Texto alternativo"/>
        <s v="Subtítulos"/>
        <s v="Navegación por teclado"/>
        <s v="Ajuste del tamaño de la fuente"/>
        <s v="Control de audio"/>
        <s v="Umbral de destellos"/>
        <s v="Etiquetas en iconos"/>
        <s v="Predecible al recibir el foco"/>
        <s v="Estructura de la interfaz"/>
        <s v="Contraste mínimo"/>
        <s v="Audio y video con texto alternativo"/>
        <s v="Componentes accesibles"/>
        <s v="Llamado a la acción claro"/>
        <s v="Predecible al recibir entrada"/>
        <s v="Foco visible"/>
        <s v="Pausar, detener u ocultar"/>
        <s v="Audiodescripción"/>
        <s v="Atajo hacia el contenido"/>
        <s v="Documentos accesibles"/>
        <s v="Declaración de accesibilidad"/>
        <s v="Arquitectura de información"/>
        <s v="Similitud de criterio de organización"/>
        <s v="Jerarquización de la portada"/>
        <s v="Consistencia del rotulado"/>
        <s v="Claridad del rotulado"/>
        <s v="Notoriedad de la navegación"/>
        <s v="Menú de navegación principal"/>
        <s v="Marca o nombre de fantasía"/>
        <s v="Regla de los 3 clics"/>
        <s v="Precisión del rotulado"/>
        <s v="Concisión del rotulado"/>
        <s v="Equilibrio de la navegación"/>
        <s v="Pertinencia de la navegación"/>
        <s v="Flexibilidad de organización"/>
        <s v="Búsqueda y encontrabilidad"/>
        <s v="Búsqueda interna"/>
        <s v="Mapa del sitio"/>
        <s v="Optimización"/>
        <s v="Búsqueda predictiva"/>
        <s v="Búsqueda avanzada"/>
        <s v="Recomendación predictiva"/>
        <s v="Alternativas de búsqueda"/>
        <s v="Responsividad móvil"/>
        <s v="Visualización móvil"/>
        <s v="Adaptabilidad"/>
        <s v="Diseño e imagen institucional"/>
        <s v="Imagen gubernamental"/>
        <s v="Enlaces perceptibles"/>
        <s v="Integridad estética"/>
        <s v="Tipografía"/>
        <s v="Uso del color"/>
        <s v="Uso de imágenes"/>
        <s v="Distribución de los elementos"/>
        <s v="Atractivo visual"/>
        <s v="Expresividad de iconos"/>
        <s v="Familiaridad"/>
        <s v="Seguridad"/>
        <s v="Certificado SSL válido y vigente"/>
        <s v="Redirección de HTTP a HTTPS"/>
        <s v="Bloqueo de enmascarado"/>
        <s v="Directorios desactivados"/>
        <s v="Política de privacidad"/>
        <s v="Prevención de ataques MIME"/>
        <s v="Límite de referencias Referrer-Policy"/>
        <s v="Aviso de uso de cookies"/>
        <s v="Tecnología"/>
        <s v="Disponibilidad y estabilidad"/>
        <s v="Codificación de caracteres"/>
        <s v="Hojas de estilo en cascada (CSS)"/>
        <s v="Especificación de idioma"/>
        <s v="Funcionamiento de los enlaces"/>
        <s v="Soporte a URLs con y sin prefijo www"/>
        <s v="Dominio &quot;.gob.cl&quot;"/>
        <s v="Lenguaje HTML5"/>
        <s v="Compatibilidad HTML"/>
        <s v="Compatibilidad CSS"/>
        <s v="Optimización y rendimiento"/>
        <s v="Versión de impresión"/>
        <s v="Javascript sin errores"/>
        <s v="Atención a la ciudadanía "/>
        <s v="Contacto"/>
        <s v="Horario de atención"/>
        <s v="Recursos de apoyo y documentación"/>
        <s v="Sección de ayuda"/>
        <s v="Asistencia en línea"/>
        <s v="Espacios participativos"/>
        <s v="Audiovisualidad"/>
        <s v="Derechos de uso de imágenes, videos y archivos de audio"/>
        <s v="Complementariedad"/>
        <s v="Formato de imágenes"/>
        <s v="Formato de videos"/>
        <s v="Formato de audios"/>
        <s v="Enfoque de género"/>
        <s v="Lenguaje inclusivo"/>
        <s v="Fotografías y videos con enfoque de género"/>
        <s v="Representatividad"/>
        <s v="Formularios representativos"/>
        <s v="Noticias con enfoque de género"/>
        <s v="Imparcialidad e igualdad de trato"/>
        <s v="Diversidad en formularios"/>
        <s v="Versiones en otros idiomas"/>
        <s v="Descentralización"/>
        <s v="Inclusión"/>
        <s v="Menús desplegables"/>
        <s v="Interpretación en lengua de señas chilena"/>
        <s v="Apto para daltonismo"/>
        <s v="Lectura fácil"/>
        <s v="Escala de grises y alto contraste"/>
        <s v="Lector de texto incorporado"/>
        <s v="Promoción"/>
        <s v="Indexación en buscadores"/>
        <s v="Persistencia de las URLs"/>
        <s v="Compatibilidad de URLs"/>
        <s v="Títulos indexables"/>
        <s v="Título principal en &quot;h1&quot;"/>
        <s v="Facilitar compartir en redes sociales"/>
        <s v="Publicidad en sitio y videos"/>
        <s v="Legibilidad de las URLs"/>
        <s v="Metadescripción de páginas"/>
        <s v="Patrones engañosos"/>
        <s v="Presencia de redes sociales"/>
        <s v="Datos estructurados"/>
        <s v="Dominio representativo"/>
        <s v="Transparencia y apertura"/>
        <s v="Transparencia activa"/>
        <s v="Declaración de patrimonio e intereses"/>
        <s v="Transparencia pasiva"/>
        <s v="Banner de Transparencia"/>
        <s v="Acceso abierto"/>
        <s v="Lobby y gestión de intereses"/>
        <s v="Facilidad de lectura y usabilidad"/>
        <s v="Transparencia proactiva"/>
        <s v="Notas legales"/>
        <s v="Reutilización"/>
        <s v="Prevención de errores"/>
        <s v="Entrega de información oportuna"/>
        <s v="Diseño de formularios"/>
        <s v="Facilidad de acceso e independencia tecnológica"/>
        <s v="Velocidad de acceso "/>
        <s v="Compatibilidad de navegadores "/>
        <s v="Accesibilidad técnica&#10;"/>
        <s v="Independencia de conectividad "/>
        <s v="Compatibilidad retroactiva"/>
        <s v="Interacción y retroalimentación"/>
        <s v="Visibilidad del estado del sistema"/>
        <s v="Indicador de proceso "/>
        <s v="Enlaces visitados"/>
        <s v="Foros y encuestas"/>
        <s v="Comunicación con responsable"/>
        <s v="Rapidez de respuesta"/>
        <s v="Tiempo de respuesta"/>
        <s v="Color como único medio de información"/>
        <s v="Tiempo suficiente para realizar tareas"/>
        <s v="Autocompletado en formularios"/>
        <s v="Interoperabilidad"/>
        <s v="ClaveÚnica"/>
        <s v="Precarga y reutilización de datos"/>
        <s v="Resolutividad"/>
        <s v="Acceso destacado a trámites"/>
        <s v="Funcionamiento de los sistemas"/>
        <s v="Oportunidad"/>
        <s v="Eficiencia"/>
        <s v="Estado de progreso del trámite"/>
        <s v="Cantidad de pasos limitada"/>
        <s v="Calidad de la respuesta entregada"/>
        <s v="Prioridad de la web"/>
        <s v="Accesibilidad técnica "/>
        <s v="Uso del dominio principal"/>
        <s v="Ayuda contextual"/>
        <s v="Botones y pasarelas de pago"/>
        <s v="Descarga de documentos"/>
        <s v="Recuperación ante fallos"/>
        <s v="Prescindencia de RUN"/>
      </sharedItems>
    </cacheField>
    <cacheField name="Definición " numFmtId="0">
      <sharedItems containsBlank="1">
        <m/>
        <s v="  Instrumento de evaluación de calidad para sitios web"/>
        <s v="Definición "/>
        <s v="Entrega de información veraz, segura y rigurosa."/>
        <s v="Entrega de información con la cobertura y datos necesarios para divulgar un tema con exhaustividad."/>
        <s v="Estilo de redacción simple y centrado en las personas usuarias, alejado de jergas legales y tecnicismos."/>
        <s v="Renovación permanente de los contenidos, con el objeto de garantizar la entrega de información eficaz y oportuna a la ciudadanía.&#10;"/>
        <s v="Correcta escritura de los textos publicados."/>
        <s v="Posesión de los derechos de uso de contenidos publicados en un sitio web."/>
        <s v="Protección de los datos e información personal de las personas usuarias de un sitio web."/>
        <s v="Respeto de la intimidad de las personas usuarias de un sitio web a partir de la no publicación de información que pueda menoscabar su honra y perjudicar su imagen personal en Internet."/>
        <s v="Redacción orientada hacia una facilidad de comprensión de los contenidos."/>
        <s v="Capacidad de los sitios de presentar sus contenidos de manera breve."/>
        <s v="Facilidad de lectura de los contenidos publicados."/>
        <s v="Adaptación de la redacción optimizada para su lectoría en una interfaz digital."/>
        <s v="Uso de elementos visuales para presentar información o datos.&#10;"/>
        <s v="Imparcialidad y neutralidad de la información publicada."/>
        <s v="Conservación del contenido histórico del sitio web cuando se realice un reemplazo del mismo."/>
        <s v="Apego a las convenciones de los sitios web y servicios digitales, de manera tal que las personas usuarias no tengan que preguntarse si diferentes palabras, situaciones o acciones significan lo mismo en cada plataforma.&#10;"/>
        <s v="Simplicidad y limpieza de las interfaces, las que no deben contener información que sea irrelevante o que rara vez se necesite. Cada elemento en una interfaz compite con las unidades de información relevantes y disminuye su visibilidad relativa.&#10;"/>
        <s v="Asistencia a las personas usuarias ante errores, brindándoles una solución o un acceso directo para que pueda resolver el error de inmediato.&#10;Redacción de los mensajes de error en un lenguaje sencillo (sin códigos de error), indicando con precisión el pro"/>
        <s v="Cuidado de no utilizar excesiva o innecesariamente ventanas modales y emergentes (pop-up).&#10;"/>
        <s v="Interrupción generada por el sistema que le informa a la persona usuaria de una situación incompleta, incompatible o indeseable dentro del flujo de navegación. &#10;"/>
        <s v="Utilización de conceptos, frases y diseños familiares para las personas usuarias. Correspondencia con las convenciones del mundo real, haciendo que la información aparezca en un orden natural y lógico."/>
        <s v="Alternativa claramente marcada para abandonar una acción no deseada o detener un proceso prolongado."/>
        <s v="Disminución de la carga de memoria a corto plazo para la persona usuaria, haciendo fácilmente reconocibles los elementos, acciones y opciones. El sistema debería ayudar a los usuarios a reconocer los elementos de la interfaz sin la necesidad de analizarlo"/>
        <s v="Oferta de distintas maneras para acceder al contenido y opción de aceleradores y acciones personalizadas tanto para personas usuarias avanzadas como menos experimentadas."/>
        <s v="Presentación de una alternativa textual a todo el contenido no textual (imágenes, botones, iconos), por ejemplo, mediante las etiquetas &quot;alt&quot;, &quot;title&quot; o &quot;description&quot; del código HTML.&#10;"/>
        <s v="Alternativa textual para los diálogos presentes en los videos, en el caso de no poder escucharlos.&#10;"/>
        <s v="Orden lógico y fluido al navegar el sitio web con el teclado en que se respeta el sentido de izquierda a derecha, de arriba hacia abajo, y sin una determinada velocidad de pulsación."/>
        <s v="Posibilidad de agrandar el texto del sitio web en hasta un 200% cuidando de que se mantenga el diseño y no se pierda funcionalidad.&#10;"/>
        <s v="Mecanismos para pausar audios de reproducción automática."/>
        <s v="Cuidado al implementar animaciones para que no destellen más de 3 veces en 1 segundo para evitar posibles convulsiones. Se entiende como destello, un cambio repentino y brusco en el contraste, generalmente de color blanco y de muy corta duración, de forma"/>
        <s v="Soporte textual que explique la función de los iconos utilizados para ejecutar una acción.&#10;"/>
        <s v="Preocupación de que no se cambie el contexto al recibir el foco cuando se utiliza la navegación por teclado."/>
        <s v="Identificación clara de las diferentes zonas de una página para que los software de lectura puedan identificar las estructuras y relaciones del contenido.&#10;"/>
        <s v="Atención a los contrastes de color al diseñar la interfaz, los textos e imágenes de texto, que deben tener un contraste mínimo de 4,5:1 entre el color de fondo y del texto o icono.&#10;"/>
        <s v="Alternativa textual para los elementos de audio o video, en que se describe lo que está pasando en la escena.&#10;"/>
        <s v="Información de estados, roles e información de valor en todos los componentes de interfaz de usuario para permitir la compatibilidad con la tecnología asistiva utilizada para acceder al contenido. Por ejemplo: personas que utilizan lectores de pantalla, a"/>
        <s v="Presencia de enlaces y botones con llamados a la acción claros y descriptivos.&#10;"/>
        <s v="Preocupación por que los cambios y acciones que ocurran en el sitio web sean predecibles, esto se hace al explicar la acción antes de que se ejecute.&#10;"/>
        <s v="Preocupación de que al navegar el sitio web por teclado se muestre de forma visible el indicador del foco donde está ubicado el usuario.&#10;"/>
        <s v="Alternativa para pausar, detener u ocultar cuando se presenta información que tiene movimiento o se actualiza automáticamente.&#10;"/>
        <s v="Descripción clara del contenido de un audio o video."/>
        <s v="Posibilidad de saltar el encabezado del sitio web y pasar directamente al contenido. Se recomienda el uso del atributo &quot;accesskey&quot; en el código HTML."/>
        <s v="Preocupación de ofrecer documentos descargables accesibles para todos los usuarios. &#10; "/>
        <s v="Presencia de una página que explique los aspectos de accesibilidad presentes en el sitio web y declare el nivel de conformidad obtenido al aplicar las Pautas de Accesibilidad para el Contenido Web (WCAG) de la W3C.&#10;"/>
        <s v="Organización de los contenidos según el criterio más adecuado para el contexto, nivel cultural, hábitos informacionales y estructuras mentales de su público objetivo.&#10;"/>
        <s v="Consonancia entre la distribución de las secciones de la página de inicio y las necesidades de las personas usuarias.&#10;"/>
        <s v="Coherencia en el uso y estilo de las etiquetas en todo el sitio.&#10;"/>
        <s v="Facilidad de comprensión de las etiquetas del menú."/>
        <s v="Presencia y visibilidad del menú de navegación, sus opciones, localización del usuario, estado del sistema y etapa o paso del trámite."/>
        <s v="Presencia de una navegación principal clara y consistente para las personas usuarias, que además privilegie la navegación dentro del mismo sitio web."/>
        <s v="Identificación formal de la institución que usa un nombre de fantasía."/>
        <s v="Acceso a los contenidos desde portada o cualquier parte del sitio web en no más de tres enlaces de distancia.&#10;"/>
        <s v="Capacidad de los rótulos para expresar su significado de manera directa y concisa."/>
        <s v="Brevedad y economía de palabras en las etiquetas, acorde al tiempo de lectura en internet y al espacio reducido en dispositivos móviles.&#10;"/>
        <s v="Apropiado número de opciones del menú. Balance entre su extensión y nivel de profundidad.&#10;"/>
        <s v="Adecuada ubicación de los enlaces, de manera tal que aparezcan en contexto y brinden acceso oportuno a la información."/>
        <s v="Clasificación de la información por distintos esquemas o estructuras de organización con el objetivo de ofrecer opciones de acceso a los usuarios.&#10;"/>
        <s v="Presencia destacada de un buscador interno, que rastree, indexe y recupere todas las páginas del sitio y ofrezca eficientemente los contenidos más relevantes frente a las consultas de las personas usuarias.&#10;"/>
        <s v="Opción de navegación suplementaria que enlaza todo el sitio, refleja su estructura y evita la presencia de páginas aisladas.&#10;"/>
        <s v="Adecuación y jerarquización del contenido sobre la base de las palabras más buscadas y el patrón de navegación de las personas usuarias.&#10;"/>
        <s v="Proporción de un texto predictivo en la búsqueda para minimizar los errores.&#10;"/>
        <s v="Buscador interno con mayores opciones de refinamiento de las consultas y parametrización de los resultados."/>
        <s v="Oferta de contenidos y enlaces relacionados que permita a los usuarios profundizar o descubrir nueva información, sobre la base de sus preferencias y patrones de navegación previos.&#10;"/>
        <s v="Entrega de opciones de búsqueda en caso de no encontrar resultados."/>
        <s v="Diseño responsivo, formulado y desarrollado para ser accesible desde cualquier dispositivo móvil."/>
        <s v="Adecuación automática de un sitio web con sus elementos visuales y contenidos para que sean visualizados correctamente en cualquier dispositivo.&#10;"/>
        <s v="Conectores visuales que vinculan e identifican a los organismos de administración del Estado, como tipografías, colores y definiciones gráficas.&#10;"/>
        <s v="Condición de los enlaces del sitio web, que se deben diferenciar claramente de un párrafo de texto o títulos."/>
        <s v="Coherencia de los elementos visuales, los que deben disponerse de la misma manera y permitir mantener una apariencia consistente en todo el sitio, para que brinden una experiencia visual unificada para las personas usuarias.&#10;"/>
        <s v="Uso de tipografías que faciliten la legibilidad, con un tamaño adaptable a las diferentes condiciones de las personas usuarias y dispositivos. Adopción de las familias tipográficas establecidas en el sistema de diseño gubernamental."/>
        <s v="Definición de una paleta de colores formulada para afianzar la imagen de la institución, sobre la base de criterios de una adecuada combinación, atractivo visual, coherencia y contraste. Estos deberán estar sujetos a las normas de accesibilidad y, si corr"/>
        <s v="Selección cuidadosa de imágenes, fotografías y visualizaciones para afianzar la identidad institucional y complementar la información entregada. Es decir, que cuenten con un tratamiento y optimización técnica para el soporte web."/>
        <s v="Jerarquía de los elementos que se deben comprender a primera vista, sin ruido visual ni sobrecarga informativa."/>
        <s v="Apariencia atractiva y armoniosa que logra captar la atención del usuario."/>
        <s v="Capacidad de los iconos para ser claros y precisos en lo que quieren expresar, sin llevar a una interpretación o confusión.&#10;"/>
        <s v="Cercanía y capacidad de reconocimiento a simple vista del diseño, sin necesidad de un aprendizaje previo.&#10;"/>
        <s v="Utilización de mecanismos SSL/TLS o los protocolos de seguridad que los reemplacen. El certificado debe ser válido y estar vigente."/>
        <s v="Redirección de las solicitudes con protocolo HTTP a su equivalente con protocolo HTTPS.&#10;"/>
        <s v="Inhibición de la posibilidad de enmascarar el sitio dentro de un sitio externo a través de un &quot;frame&quot;."/>
        <s v="Configuración del servidor web debe mantener inhabilitado el acceso a ver los contenidos de los directorios.&#10;"/>
        <s v="Presencia de una política que describa cómo se recopila, utiliza, gestiona, protege y divulga la información de las personas usuarias que utilizan el sitio web.&#10;&#10;"/>
        <s v="Uso de la cabecera &quot;X-Content-Type-Options&quot; con el valor &quot;nosniff&quot; para así indicar a los navegadores que deben respetar el tipo MIME (Multipurpose Internet Mail Extensions) especificado por el servidor.&#10;"/>
        <s v="Utilización de la cabecera &quot;Referrer-Policy&quot; con el valor &quot;strict-origin&quot; para controlar la cantidad de información de referencia que se envía al realizar solicitudes desde una página.&#10;"/>
        <s v="Información clara que informe al usuario sobre la política de uso de cookies.&#10;"/>
        <s v="Capacidad de un sitio web para estar accesible y operativo en todo momento. Además de mantener su funcionamiento sin caídas, errores o interrupciones, proporcionando una experiencia consistente.&#10;"/>
        <s v="Definición del set de caracteres del sitio web, el que debe ser preferentemente &quot;UTF-8&quot;.&#10;"/>
        <s v="Utilización de código CSS (hojas de estilo en cascada), en la diagramación y diseño de las páginas, separando el contenido, la estructura y la presentación.&#10;"/>
        <s v="Uso del atributo HTML &quot;lang&quot; para especificar el idioma del sitio o los textos del mismo."/>
        <s v="Ausencia de enlaces rotos, enlaces redirigidos y enlaces inválidos.&#10;"/>
        <s v="Habilitación de acceso utilizando o no el prefijo &quot;www&quot;. Los sitios web deberán visualizarse independiente de la utilización de este prefijo, redirigiendo a la URL final del sitio.&#10;"/>
        <s v="Utilización del dominio &quot;.gob.cl&quot;, registrándolo previamente ante la División de Informática del Ministerio del Interior y Seguridad Pública y en el sitio web Administración de Dominios gob.cl (nic.gob.cl).&#10;&#10;"/>
        <s v="Utilización del lenguaje de marcado HTML5 para la creación y estructuración de contenido en las páginas web.&#10;"/>
        <s v="Validación del código HTML en el validador de la W3C: el código debe cumplir o cumplir con reparos.&#10;"/>
        <s v="Validación de la escritura y compatibilidad del código CSS, el que no debe tener errores.&#10;"/>
        <s v="Capacidad de un sitio web para manejar el aumento en el tráfico y la demanda sin comprometer la estabilidad o la rapidez de respuesta.&#10;"/>
        <s v="Adaptación del contenido para una óptima impresión. La finalización de un trámite, sea ésta una página de entrega de información o un certificado, debe poder imprimirse sin dificultad o alteraciones significativas de su apariencia.&#10;"/>
        <s v="Ausencia de errores de JavaScript en la consola del navegador.&#10;"/>
        <s v="Oferta de múltiples vías de comunicación de las personas usuarias con los puntos de contacto del organismo."/>
        <s v="Información de horarios de atención en los cuales se pueda acceder a los servicios ofrecidos por la institución.&#10;"/>
        <s v="Presencia de recursos y documentación de ayuda a las personas usuarias para responder sus consultas y necesidades de información que les surjan al utilizar un sitio web o servicios digitales.&#10;"/>
        <s v="Existencia de una sección especialmente dedicada a la ayuda para las personas usuarias, que reúna tanto los canales de atención como la documentación.&#10;"/>
        <s v="Canales de atención al ciudadano de manera sincrónica para satisfacer las necesidades de soporte que tengan las personas usuarias."/>
        <s v="Presencia de espacios para promover la democracia participativa donde se recoja la opinión de la ciudadanía y fomenten hábitos de socialización.&#10;"/>
        <s v="Posesión de los derechos de uso de imágenes, videos o audios publicados en un sitio web."/>
        <s v="Uso de imágenes, videos y audios para complementar la información publicada en los contenidos.&#10;&#10;&#10;&#10;"/>
        <s v="Especificaciones técnicas de las imágenes publicadas en un sitio web."/>
        <s v="Especificaciones técnicas de los videos publicados en un sitio web."/>
        <s v="Especificaciones técnicas de los audios publicados en un sitio web."/>
        <s v="Expresión verbal, escrita o visual que visibiliza lo femenino y masculino, elimina estereotipos, el sexismo, el androcentrismo y el masculino como genérico universal. Se fundamenta en una comunicación institucional basada en los principios de igualdad, re"/>
        <s v="Uso de imágenes y videos con perspectiva de género, respetando principios de igualdad, respeto y no discriminación."/>
        <s v="Proporcionalidad de género en los contenidos, imágenes, videos y audios publicados en un sitio web."/>
        <s v="Diseño de formularios con perspectiva de género, respetando principios de igualdad, respeto, diversidad y no discriminación.&#10;"/>
        <s v="Publicación de noticias con perspectiva de género, respetando principios de igualdad, respeto y no discriminación.&#10;"/>
        <s v="Especial cuidado en la redacción de preguntas en formularios para considerar la diversidad de personas usuarias y evitar discriminaciones."/>
        <s v="Presencia de información en otros idiomas, especialmente para personas de pueblos originarios y migrantes que no hablen español.&#10;"/>
        <s v="Especial cuidado en la redacción de los contenidos y acceso a los servicios para evitar un sesgo desde la centralización."/>
        <s v="Cautela en el uso de menús desplegables, porque para algunas personas usuarias pueden significar una barrera de acceso, por ejemplo, personas con motricidad reducida.&#10;"/>
        <s v="Presencia de interpretación en lengua de señas chilena para los contenidos audiovisuales.&#10;"/>
        <s v="Preocupación en el diseño por considerar contrastes y combinaciones de color aptos para personas con daltonismo.&#10;"/>
        <s v="Método de creación y adaptación de textos que los hace más fáciles de comprender para personas con dificultades de comprensión lectora.&#10;"/>
        <s v="Opción para que las personas usuarias puedan cambiar los colores del sitio a escala de grises y alto contraste.&#10;"/>
        <s v="Herramienta para la lectura de texto incorporada en el sitio web.&#10;"/>
        <s v="Habilitación del acceso de los robots de búsqueda para indexar el sitio mediante el metadato &quot;robots&quot; o el archivo &quot;robots.txt&quot;."/>
        <s v="Estabilidad de las direcciones web en el tiempo. En el caso de un cambio de dominio o URL, se aplica una redirección que permita no dejar enlaces rotos, para que se pueda seguir accediendo a las páginas y documentos. Ello porque cada URL de un sitio puede"/>
        <s v="Uso exclusivo de letras minúsculas en la URL del sitio, evitando la utilización de caracteres especiales y tildes, para garantizar su compatibilidad y buen funcionamiento. &#10;"/>
        <s v="Presencia del tema principal de cada página del sitio en su título (etiqueta &quot;title&quot;) para garantizar que el propósito de cada una sea claro para los motores de búsqueda.&#10;"/>
        <s v="Uso de la etiqueta &quot;h1&quot; para describir el contenido principal de la página: ésta debe estar presente solo una vez en cada una."/>
        <s v="Facilidad para que las páginas de contenidos del sitio web se compartan, con el uso de metadatos apropiados, a través de redes sociales con una previsualización.&#10;"/>
        <s v="Precaución de no mostrar publicidad que anuncie o promocione productos, servicios o marcas externas a la organización en el sitio web o en videos incrustados."/>
        <s v="Preocupación por el uso de URLs amigables para las personas usuarias y semánticas para buscadores."/>
        <s v="Correcta descripción de cada página al entregar información sobre su contenido en la meta etiqueta &quot;description&quot;."/>
        <s v="Estrategias y técnicas poco éticas que se utilizan en los sitios web, que obligan a las personas usuarias a realizar una acción que no desean, como comprar un producto o registrarse en algún servicio.&#10;"/>
        <s v="Visualización de los enlaces de las cuentas oficiales en redes sociales de la institución o servicio digital. &#10;"/>
        <s v="Presencia de datos estructurados dentro de los contenidos estratégicos del sitio web como: artículos, noticias, eventos, videos y preguntas frecuentes."/>
        <s v="Representatividad del tema principal de la institución en el dominio del sitio web."/>
        <s v="Presencia actualizada de la información pública relacionada con el funcionamiento administrativo y financiero de la institución, tal como lo indica la Ley de Transparencia de la Función Pública y de Acceso a la Información de la Administración del Estado "/>
        <s v="Información de las autoridades y funcionarios dando cuenta de dónde permanecen sus intereses y a cuánto asciende su patrimonio al asumir y mientras permanecen en sus cargos. Siguiendo el principio de probidad administrativa, la declaración busca transpare"/>
        <s v="Disposición visible del canal de consulta o solicitud de información pública que cualquier persona puede realizar a la institución, tal como lo indica la Ley de Transparencia de la Función Pública y de Acceso a la Información de la Administración del Esta"/>
        <s v="Ícono, botón o sección ubicada en portada de la institución a través de la cual se accede de manera diferenciada a la información pública (Transparencia Activa) y al canal de consulta o solicitud de información pública (Solicitud de Acceso a Información)."/>
        <s v="Disponibilidad inmediata –sin requerimientos de registro, suscripción o pago– para acceder o descargar los datos, tablas y documentos con información relevante que deba generar la institución.&#10;"/>
        <s v="Información sobre las audiencias y reuniones, viajes y donativos recibidos por las autoridades del organismo en la actividad de lobby y en la gestión de intereses particulares, con el objeto de fortalecer la transparencia y probidad en las relaciones con "/>
        <s v="Disposición en el sitio web de la información pública de manera que facilite su lectura, comprensión y utilización, acogiendo buenas prácticas de orden, diseño y formato de los contenidos y documentos para que las personas usuarias puedan encontrar y ente"/>
        <s v="Información pública de la gestión administrativa de la institución que se publica de manera adicional a la requerida por la Ley de Transparencia de la Función Pública y de Acceso a la Información de la Administración del Estado (Ley 20.285), más conocida "/>
        <s v="Presencia de una página que indique los aspectos legales concernientes al sitio web y presente a sus responsables o representantes legales.&#10;"/>
        <s v="Disponibilidad de los datos en bruto –sin requerimientos de registro, suscripción o pago ni restricciones de copyright– para que puedan ser reutilizados de modo que puedan crearse nuevas formas de información, interrelación, reusabilidad y nuevos usos.&#10;"/>
        <s v="Presentación de información sobre los procesos que busca realizar la persona usuaria."/>
        <s v="Entrega de información clara sobre los errores ocurridos durante el proceso de envío de un formulario."/>
        <s v="Eliminación de las condiciones de la interfaz que induzcan a error en las personas usuarias. Los buenos mensajes de error son importantes, pero los mejores diseños evitan que los problemas ocurran."/>
        <s v="Rapidez con la que las personas usuarias pueden cargar y acceder al contenido de un sitio web. Es un factor crítico en la experiencia del usuario y puede influir significativamente en la retención de visitantes, la tasa de rebote y el posicionamiento en l"/>
        <s v="Garantía de acceso y correcta visualización de los sitios web en los diversos navegadores de Internet.&#10;"/>
        <s v="Capacidad de un sitio web para ser accesible y funcional en una amplia gama de dispositivos y tecnologías, sin importar las limitaciones técnicas o las preferencias de la persona usuaria. Esto implica que el sitio web debe ser diseñado y desarrollado de m"/>
        <s v="Grado de equidad con que el sitio web brinda acceso a la ciudadanía, independientemente de sus diversos dispositivos y la continuidad, la calidad de señal y la rapidez de su conexión a internet.&#10;"/>
        <s v="Solidez del contenido para ser interpretado de manera confiable por una amplia variedad de navegadores. Es decir, que las personas usuarias sigan accediendo al contenido a medida que avanzan y evolucionan las tecnologías."/>
        <s v="Información oportuna para las personas usuarias sobre lo que está sucediendo durante cada interacción y sus efectos.&#10;"/>
        <s v="Existencia de elementos de la interfaz de usuario que indica en qué parte del sitio web se encuentra la persona usuaria.&#10;"/>
        <s v="Existe una diferencia perceptible entre enlaces visitados y por visitar. &#10;"/>
        <s v="Presencia de espacios que permitan la comunicación, el intercambio y la participación entre las personas usuarias y los responsables.&#10;"/>
        <s v="Posibilidad de comunicarse con la persona encargada, para realizar consultas, sugerencias o comentarios respecto del servicio digital. &#10;"/>
        <s v="Velocidad con la que un sitio web puede procesar y responder a las solicitudes de las personas usuarias, proporcionando una experiencia de navegación ágil y eficiente."/>
        <s v="  Instrumento de evaluación de calidad para servicios digitales transaccionales"/>
        <s v="Asistencia a las personas usuarias ante errores, brindándoles una solución o un acceso directo que pueda resolver el error de inmediato.&#10;Redacción de los mensajes de error en un lenguaje sencillo (sin códigos de error), indicando con precisión el problema"/>
        <s v="Cuidado de no utilizar excesiva o innecesariamente ventanas modales y emergentes (pop-up)&#10;"/>
        <s v="Utilización de conceptos, frases y diseños familiares para las personas usuarias. Correspondencia con las convenciones del mundo real, haciendo que la información aparezca en un orden natural y lógico.&#10;"/>
        <s v="Oferta de distintas maneras de acceder al contenido y opción de aceleradores y acciones personalizadas tanto para personas usuarias avanzadas como menos experimentadas."/>
        <s v="Entrega de información clara sobre los errores ocurridos durante el proceso de envío de formulario."/>
        <s v="Precaución de no entregar instrucciones o información utilizando el color como único medio de significado.&#10;"/>
        <s v="Posibilidad de agrandar el texto del sitio web en hasta un 200% cuidando de que se mantenga el diseño y no se pierda funcionalidad en el sitio web.&#10;"/>
        <s v="Precaución de establecer tiempos más holgados en las sesiones, para que las personas usuarias puedan completar una tarea como llenar un formulario sin cambios inesperados por límite de tiempo.&#10;"/>
        <s v="Identificación clara de las diferentes zonas de una página para que los software de lectura pueden identificar las estructuras y relaciones del contenido.&#10;"/>
        <s v="Atención a los contrastes de color al diseñar la interfaz, los textos e imágenes de texto, que  deben tener un contraste mínimo de 4,5:1 entre el color de fondo y del texto o icono.&#10;"/>
        <s v="Opciones de autocompletado o que la información esté disponible para que la persona usuaria pueda utilizarla cuando ya ingresó algunos datos que se le piden en un formulario. Salvo en casos donde la información es para asegurar la seguridad del contenido "/>
        <s v="Iniciativa que busca proveer a los ciudadanos de una Identidad Electrónica Única (RUN y contraseña) para la realización de trámites en línea del Estado."/>
        <s v="Intercambio y obtención de información desde bases de datos centralizadas, que permita a las personas usuarias evitar tener que completar datos previamente entregados."/>
        <s v="Diseño responsivo, formulado y desarrollado para ser accesible desde cualquier dispositivo móvil en primer lugar."/>
        <s v="Presentación de un acceso destacado al trámite en los contenidos que hablen del trámite en cuestión."/>
        <s v="Correcto rendimiento de los sistemas que sustentan los servicios y trámites digitales, los que deben funcionar desde el inicio hasta final de una sesión sin la presencia de errores técnicos.&#10;"/>
        <s v="Capacidad exhibida por la institución pública de atender y dar respuesta a un trámite o servicio solicitado por una persona usuaria, en un plazo razonable."/>
        <s v="Reducción de tiempo empleado por las personas usuarias en acceder a la información y servicios, frente a la experiencia presencial."/>
        <s v="Indicación a la persona usuaria del estado de avance de su trámite.&#10;"/>
        <s v="Capacidad de realizar el trámite en su totalidad sin necesidad de acudir a una oficina para terminarlo.&#10;"/>
        <s v="Proporción de pasos acotados para realizar un trámite."/>
        <s v="Medida en que las respuestas o interacciones proporcionadas por un servicio digital son precisas, relevantes, completas y útiles para la persona usuaria.&#10;"/>
        <s v="Preferencia de la web como canal para el desarrollo y entrega de servicios digitales, aunque también esté disponible a través de la aplicación móvil.&#10;"/>
        <s v="Rapidez con la que las personas usuarias pueden cargar y acceder al contenido de un servicio digital. Es un factor crítico en la experiencia del usuario y puede influir significativamente en la retención de visitantes, la tasa de rebote y el posicionamien"/>
        <s v="Utilización de directorios o subdominios hijos del dominio principal para los servicios digitales.&#10;"/>
        <s v="Brevedad y economía de palabras en las etiquetas, de cara al tiempo de lectura en Internet y al espacio reducido en dispositivos móviles.&#10;"/>
        <s v="Oferta de múltiples vías de comunicación de las personas usuarias con los puntos de contacto del organismo.&#10;"/>
        <s v="Presencia de recursos y documentación de ayuda a las personas usuarias a responder sus consultas y necesidades de información que les surjan al utilizar un sitio web o servicios digitales.&#10;"/>
        <s v="Opción de ayuda en contexto para la realización de tareas e interacciones complejas.&#10;"/>
        <s v="Coherencia de los elementos visuales, los que deben disponerse de la misma manera y permitir mantener una apariencia consistente en todo el sitio, que brinde una experiencia visual unificada para las personas usuarias.&#10;"/>
        <s v="Selección cuidadosa de imágenes, fotografías y visualizaciones para afianzar la identidad institucional y complementar la información entregada. Tratamiento y optimización técnica para el soporte web."/>
        <s v="Definición del set de caracteres del sitio web, la que debe ser preferentemente &quot;UTF-8&quot;.&#10;"/>
        <s v="Utilización del dominio &quot;.gob.cl&quot;, registrándolo previamente ante la División de Informática del Ministerio del Interior y Seguridad Pública, y en el sitio web Administración de Dominios gob.cl (nic.gob.cl)&#10;&#10;"/>
        <s v="Validación del código HTML en el validador de la W3C, el código debe cumplir o cumplir con reparos.&#10;"/>
        <s v="Existencia de elementos de la interfaz de usuario que indica en qué parte del servicio digital se encuentra la persona usuaria. "/>
        <s v="Plataforma que conecta una cuenta bancaria con un procesador de pagos, haciendo posible el pago por medios electrónicos en sitios web."/>
        <s v="Posibilidad de descargar los documentos asociados a un trámite en diferentes formatos. &#10;"/>
        <s v="Presencia de espacios que permitan la comunicación, el intercambio y la participación entre las personas usuarias y los responsables del servicio digital. "/>
        <s v="Capacidad de un sitio web para funcionar de manera consistente y correcta, asegurando que las personas usuarias puedan acceder, utilizar los servicios y la información sin interrupciones ni errores.&#10;"/>
        <s v="Proporcionalidad de género en los contenidos, imágenes, vídeos y audios publicados en un sitio web."/>
        <s v="Entrega de alternativas de identificación —además del RUN— para que todas las personas usuarias puedan acceder a los servicios personalizados. &#10;"/>
        <s v="Método de creación y adaptación de textos que los hace más fáciles de comprender a personas con dificultades de comprensión lectora.&#10;"/>
        <s v="Uso de la etiqueta &quot;h1&quot; para describir el contenido principal de la página; ésta debe estar presente solo una vez en cada una."/>
        <s v="Facilidad de compartir a través de redes sociales con el uso de metadatos apropiados para que las páginas de contenidos del sitio web se comparten con una previsualización."/>
        <s v="Precaución de no mostrar publicidad que anuncie o promocione productos, servicios o marcas externas a la organización en el sitio web o videos incrustados."/>
        <s v="Estrategias y técnicas poco éticas que se utilizan en los sitios web, que obligan a las personas usuarias a realizar una acción que no desean, cómo comprar un producto o registrarse en algún servicio.&#10;"/>
      </sharedItems>
    </cacheField>
    <cacheField name="espacio" numFmtId="0">
      <sharedItems containsString="0" containsBlank="1">
        <m/>
      </sharedItems>
    </cacheField>
    <cacheField name="Preguntas de chequeo">
      <sharedItems containsBlank="1" containsMixedTypes="1" containsNumber="1" containsInteger="1">
        <m/>
        <s v="Información representada por texto, imagen, video, sonido u otros tipos de medios. Debe utilizarse un lenguaje comprensible para la ciudadanía, además de cumplir con criterios de relevancia, actualización, precisión, fiabilidad y legibilidad, entre otros."/>
        <s v="Preguntas de chequeo"/>
        <n v="8.0"/>
        <s v="¿Es fácil reconocer la fuente o autoría de la información publicada?&#10;Por ejemplo: se identifica claramente el nombre de la institución que publica en el encabezado o pie de cada página, o la unidad interna o externa que entregó alguna información específi"/>
        <s v="¿Los contenidos representan de manera fiel lo enunciado en su título?&#10;"/>
        <s v="¿Se cumple con la recomendación de no incluir páginas sin contenido, contenido incompleto o &quot;En construcción&quot;?&#10;"/>
        <s v="¿El texto destaca los datos clave de la información?&#10;Por ejemplo: se presenta un resumen con las respuestas a las preguntas qué, cómo, dónde, cuándo y para quién o existe un recuadro con fechas importantes.&#10;"/>
        <s v="En el caso de textos referidos a trámites, ¿se brinda información suficiente para que las personas usuarias puedan realizarlos autónomamente?&#10;&#10;La opción &quot;No aplica&quot; es solo para el caso en que no se encuentren textos referidos a trámites.&#10;"/>
        <s v="¿El lenguaje utilizado está orientado a que una persona pueda entender el contenido, aun aquellas con mayor dificultad de comprensión lectora?&#10;Por ejemplo: se recomienda revisar con alguna herramienta en línea como Legible (de los cinco indicadores evalua"/>
        <s v="¿El tono y voz son amables, respetuosos y cercanos con las personas usuarias?&#10;"/>
        <s v="¿La redacción prescinde de la jerga técnica o legal?&#10;Por ejemplo: en el texto se evitan conceptos legales, administrativos o informáticos que tengan un equivalente más fácil de entender por parte de las personas usuarias (&quot;resolución&quot; en vez de &quot;acto admi"/>
        <s v="¿Se evitan abreviaturas, extranjerismos, eufemismos, modismos o términos muy especializados o rebuscados en al menos un 50% de los contenidos revisados?&#10;"/>
        <s v="¿Se define cada sigla y acrónimo y se emplean solo si es necesario?&#10;&#10;La opción &quot;No aplica&quot; es solo para el caso en que no se encuentren siglas o acrónimos.&#10;"/>
        <s v="¿Los contenidos están escritos en tono positivo indicando lo que se puede hacer y evitando enfocar los mensajes desde el &quot;no se puede&quot;?&#10;"/>
        <s v="¿Los contenidos están actualizados y muestran información vigente al año en curso?&#10;Por ejemplo: se indica expresamente su fecha de publicación o última fecha de actualización.&#10;"/>
        <s v="¿Son correctas la ortografía –literal, acentual y puntual– y la gramática en los contenidos?&#10;Por ejemplo: para revisar este aspecto, se puede usar un corrector ortográfico y gramatical para revisar los contenidos de las páginas de muestra. Tanto Microsoft"/>
        <s v="¿Los signos de puntuación empleados facilitan la lectura del documento? &#10;Por ejemplo: se privilegia el uso de puntos seguidos, frente a las frases intercaladas entre comas.&#10;"/>
        <s v="¿Las frases se relacionan entre sí por medio de conectores? &#10;Por ejemplo: &quot;A su vez,&quot;, &quot;Por otra parte,&quot;, &quot;Sin embargo,&quot; o &quot;De igual modo,&quot;.&#10;&#10;"/>
        <s v="¿El sitio cuenta con información de permisos de uso de sus contenidos en algún lugar del sitio? &#10;Por ejemplo: se señala en las condiciones de uso del sitio que ningún contenido se puede utilizar sin autorización (copyright o todos los derechos de autor re"/>
        <s v="¿Se evita la redifusión de material protegido por derechos de autor sin autorización? &#10;Por ejemplo: para comprobar este factor se puede descargar una imagen del sitio que no consigne sus créditos y subirla al buscador de imágenes de Google, para ver si ap"/>
        <s v="Si se mencionan listados de personas, ¿se evita la publicación de sus RUN en el sitio web?&#10;&#10;La opción &quot;No aplica&quot; es solo para el caso en que no se encuentren listados de personas.&#10;"/>
        <s v="¿El sitio protege la privacidad al no publicar direcciones ni teléfonos particulares?&#10;"/>
        <s v="¿Existe información sobre cómo las personas usuarias pueden ejercer los derechos sobre acceso, rectificación, cancelación o eliminación, oposición (ARCO) y bloqueo de datos personales, incluidos en la Ley sobre Protección de la Vida Privada? &#10;Por ejemplo:"/>
        <s v="Si el sitio publica información sobre menores de edad, ¿se protege la identidad de los mismos en textos y fotografías?&#10;&#10;La opción &quot;No aplica&quot; es solo para el caso en que no se encuentre información sobre menores de edad.&#10;"/>
        <s v="¿El contenido es apto para ser leído por menores de edad?&#10;"/>
        <s v="¿El sitio evita exhibir material que pueda afectar la susceptibilidad de las personas o las menoscaben? &#10;Por ejemplo: características físicas o morales de las personas o hechos o circunstancias de su vida privada o intimidad, tales como los hábitos person"/>
        <n v="4.0"/>
        <s v="¿Los contenidos están estructurados como respuestas a las preguntas frecuentes que podrían hacerse las personas usuarias?&#10;"/>
        <s v="¿Las palabras, frases y conceptos utilizados tienen un lenguaje claro para las personas usuarias?&#10;"/>
        <s v="¿Predomina el tiempo presente simple y la voz activa de los verbos? &#10;Por ejemplo: &quot;Este documento acredita cómo obtener el beneficio&quot;.&#10;"/>
        <s v="¿Las oraciones están ordenadas según la forma sujeto-verbo-predicado? &#10;Por ejemplo: &quot;Las y los interesados deben dirigirse a la oficina comunal&quot; (correcto); &quot;A la oficina comunal deben dirigirse las y los interesados&quot; (incorrecto).&#10;"/>
        <s v="Cuando se listan requisitos en contenidos referidos a servicios a la ciudadanía, ¿se usa modo infinitivo? (Modo que engloba las formas no personales del verbo, puede terminar en  –ar, –er o –ir).&#10;Por ejemplo: &quot;Ser mayor de 18 años&quot;, &quot;Enviar su solicitud a"/>
        <s v="¿Los textos son breves y utilizan frases cortas en su redacción? &#10;Por ejemplo: al menos 2 párrafos y como máximo 8 por página. &#10;"/>
        <s v="Al revisar el sitio web en versión de escritorio, ¿los párrafos son cortos, con menos de 8 líneas?&#10;"/>
        <s v="¿Se explica una idea por párrafo?&#10;"/>
        <s v="¿Las oraciones son simples y directas, evitando el exceso de palabras?&#10;"/>
        <s v="Si existe un texto extenso –de cuatro o más párrafos–, ¿hay un resumen al inicio?&#10;&#10;La opción &quot;No aplica&quot; es solo para el caso en que no se encuentren textos de cuatro o más párrafos.&#10;"/>
        <s v="¿Hay espacio entre los párrafos?&#10;"/>
        <s v="¿El texto está alineado a la izquierda?&#10;"/>
        <s v="¿Se utilizan listas numeradas, viñetas o tablas para presentar la información más ordenada?&#10;"/>
        <s v="¿Los contenidos del sitio aplican el modelo de &quot;pirámide invertida&quot; que los estructura desde lo más a lo menos importante?&#10;"/>
        <s v="¿Las páginas están bien organizadas, con títulos claros y subtítulos que facilitan la lectura y la búsqueda de información? "/>
        <s v="¿Es fácil escanear visualmente los contenidos?&#10;"/>
        <s v="¿Se utilizan negritas para destacar palabras claves de cada párrafo?&#10;"/>
        <s v="¿Se evitan las frases escritas únicamente en mayúsculas?&#10;"/>
        <s v="¿Se vinculan contenidos del mismo sitio a través de enlaces relacionados?&#10;"/>
        <s v="Cuando se enlazan documentos, ¿se especifican el título, formato y peso?&#10;Por ejemplo: &quot;Informe sobre ciberseguridad en Chile 2024 (pdf, 345 KB)&quot;.&#10;&#10;Selecciona &quot;Sí&quot; solo si se cumplen los tres elementos (título, formato y peso) en todos los documentos enlaz"/>
        <s v="¿Se entrega una breve descripción de los documentos enlazados para mejorar su capacidad de búsqueda, usabilidad y accesibilidad?&#10;&#10;La opción &quot;No aplica&quot; es solo para el caso en que no se encuentren documentos.&#10;"/>
        <n v="3.0"/>
        <s v="¿Se utilizan apoyos visuales como íconos, imágenes, gráficos o infografías para presentar datos?&#10;&#10;La opción &quot;No aplica&quot; es solo si el sitio web no presenta datos que requieran apoyos visuales."/>
        <s v="¿Los contenidos tienen información objetiva y presentan una redacción neutra, sin reflejar la opinión de quién los escribió?&#10;"/>
        <s v="¿En al menos un 80% de los contenidos se privilegia exponer datos y hechos por sobre el uso de adjetivos calificativos?&#10;"/>
        <s v="Si el sitio presenta versiones anteriores de contenidos, ¿están rotuladas claramente como contenidos o documentos de archivo no vigentes? Por ejemplo: títulos del tipo &quot;Requisitos de postulación 2015&quot;, donde señala claramente el año al que se refiera la i"/>
        <s v="Medida en que los usuarios pueden utilizar un sistema para lograr determinados objetivos con eficacia, eficiencia y satisfacción en un contexto de uso especificado."/>
        <n v="5.0"/>
        <s v="¿Se respeta la organización del sitio web y se preserva su consistencia en todas las páginas?&#10;Por ejemplo: los enlaces del menú global aparecen en la misma posición en todo el sitio.&#10;"/>
        <s v="En el caso de los sitios del gobierno central, ¿Se utilizan los componentes del UI Kit del Gobierno Digital?&#10;&#10;La opción &quot;No aplica&quot; es solo para el caso en que el sitio web examinado no pertenezca al gobierno central.&#10;"/>
        <s v="¿Los iconos son fácilmente comprensibles sin texto adicional y siguen convenciones o figuras reconocibles por cualquier persona?&#10;Por ejemplo: una casa para volver al inicio, una lupa para el buscador, líneas horizontales del ícono de menú de &quot;hamburguesa&quot;"/>
        <s v="¿Los llamados a la acción y botones están claramente destacados y se identifican fácilmente por su forma o color?&#10;Por ejemplo: los enlaces y botones se destacan visualmente, haciéndolos fáciles de reconocer a simple vista.&#10;"/>
        <s v="¿Los mensajes de alerta ante un error brindan información clara del problema y ofrecen una vía de solución? &#10;Por ejemplo: ante una página no encontrada, en vez de indicar &quot;error 404&quot; el sitio muestra alternativas de enlaces para que la persona usuaria pue"/>
        <s v="¿Se puede verificar que los mensajes de error no interfieren con la navegación en la página? &#10;Por ejemplo: las ventanas emergentes se pueden cerrar fácilmente con el teclado y no generan bloqueo de navegación. Esto se puede hacer con la tecla &quot;Esc&quot;.&#10;&#10;La o"/>
        <s v="¿El sitio permite navegar sin interrupciones de modales o ventanas emergentes que tapen el contenido?&#10;Por ejemplo: no aparecen anuncios, mensajes de marketing o formularios de suscripción que bloqueen la visualización o navegación.&#10;"/>
        <s v="Una vez cerrada la ventana emergente (pop-up) o modal, ¿queda guardada esa decisión para que no vuelva a aparecer al volver a ingresar, cargar o cambiar de página?&#10;Por ejemplo: al cerrar una ventana modal esta no vuelve a aparecer durante la navegación de"/>
        <s v="En caso de aparecer un mensaje de error, ¿se ofrecen soluciones claras y efectivas para que la persona usuaria pueda resolver el problema?&#10;Por ejemplo: las indicaciones del mensaje de error permiten realizar la acción correctamente sin que se repita el er"/>
        <s v="En caso de aparecer un mensaje de error inesperado de origen técnico, ¿se entrega información clara en vez de mensajes ambiguos como &quot;Intente más tarde&quot; o &quot;Comuníquese con el administrador&quot;?&#10;&#10;La opción &quot;No aplica&quot; es solo para el caso en que no se observe"/>
        <n v="2.0"/>
        <s v="¿El sitio web presenta información en un orden lógico y con zonas bien delimitadas? &#10;Por ejemplo: se diferencian las zonas de encabezado, menú principal, contenido y pie de página.&#10;"/>
        <s v="¿Las páginas permiten avanzar o retroceder sin quedar atrapadas, ofreciendo opciones claras para continuar o finalizar?&#10;Por ejemplo: al completar un trámite, la página muestra una confirmación en lugar de quedar en blanco, y los formularios se envían sin "/>
        <s v="Si al ingresar al sitio web por primera vez aparece un mensaje que ocupe toda la pantalla (del tipo ventana modal, emergente o pop-up), ¿este tiene una opción de cerrarse fácilmente identificable? &#10;Por ejemplo: un enlace que diga &quot;Cerrar&quot; o un botón con e"/>
        <s v="¿Los videos cuentan con todos sus botones de reproducción?&#10;&#10;La opción &quot;No aplica&quot; es solo para el caso en que no existan videos en el sitio web.&#10;"/>
        <s v="¿Es visible el icono personalizado del sitio (favicon) en la pestaña del navegador? &#10;Por ejemplo: aparece un cuadrado azul y rojo en los sitios del Gobierno de Chile.&#10;"/>
        <s v="¿Se ofrece ayuda en contexto, en lugar de presentar a las personas usuarias un largo tutorial para memorizar? &#10;Por ejemplo: aparece una línea punteada bajo los acrónimos para acceder a su definición o un icono de interrogación (&quot;?&quot;) al lado de una instruc"/>
        <s v="¿Las personas usuarias cuentan con opciones para ordenar y filtrar resultados y tablas de datos? &#10;Por ejemplo: búsqueda avanzada con filtro alfabético o por fecha.&#10;&#10;La opción &quot;No aplica&quot; es solo para el caso en que no se encuentren resultados o tablas de "/>
        <s v="Especial cuidado de que todos los sitios web estén diseñados para que todos y todas puedan acceder. Pone foco principalmente en las personas con discapacidad para que puedan percibir, comprender, navegar, interactuar y contribuir con la web. Es importante"/>
        <n v="10.0"/>
        <s v="¿Los elementos visuales presentan una alternativa textual, es decir el uso de atributos HTML como &quot;alt&quot; para las imágenes o &quot;description&quot; y &quot;title&quot; en botones o enlaces? &#10;Esto se puede revisar abriendo al código fuente con los comandos &quot;Ctrl&quot; + &quot;U&quot; o &quot;Cmd"/>
        <s v="¿Los textos alternativos describen de manera suficientemente detallada la información visual de las imágenes? &#10;Por ejemplo: &quot;El alcalde observa un plano de arquitectura desplegado sobre una mesa&quot;.&#10;"/>
        <s v="¿Los videos cuentan con subtítulos en español y garantizan una correcta legibilidad, con una tipografía sin serifa (sans-serif) y alto contraste entre fondo y texto? &#10;&#10;La opción &quot;No aplica&quot; es solo para el caso en que no existan videos en el sitio web.&#10;"/>
        <s v="¿Al navegar el sitio web con el teclado con la tecla &quot;Tab&quot; se respeta el orden de izquierda a derecha, de arriba hacia abajo?&#10;&#10;En el punto VI de la guía, puede consultar cómo navegar el sitio web con el teclado.&#10;"/>
        <s v="¿Es posible una navegación mediante el teclado fluida y sin saltarse ninguna información?&#10;"/>
        <s v="¿Es posible navegar el sitio web con el teclado sin una determinada velocidad de pulsación? &#10;Por ejemplo: si se navega el sitio con la tecla &quot;Tab&quot; y la persona usuaria se detiene por más de 10 segundos para luego retomar la navegación, no debe empezar tod"/>
        <s v="¿Existen botones para que el usuario pueda agrandar o achicar la fuente?&#10;"/>
        <s v="¿Es posible agrandar el texto hasta un 200% (con &quot;Ctrl +&quot; o &quot;Cmd +&quot;) sin que se pierda el contenido, diseño o funcionalidad?&#10;"/>
        <s v="¿En el sitio web se evitan elementos que reproduzcan sonidos automáticamente?&#10;Por ejemplo: los videos en la portada permanecen en silencio al ingresar, a menos que la persona usuaria decida activarlos."/>
        <s v="¿Se proporcionan mecanismos para pausar audios de reproducción automática?&#10;&#10;La opción &quot;No aplica&quot; es solo para el caso en que no existan audios de reproducción automática en el sitio web.&#10;"/>
        <s v="¿El sitio web evita elementos que destellan más de 3 veces en 1 segundo?&#10;Por ejemplo: los videos y animaciones no contienen secuencias con destellos rápidos que puedan causar molestias o distracciones."/>
        <s v="¿En el sitio web se presenta alternativa de texto para iconografía que ejecuta una acción? &#10;Por ejemplo: se presenta el botón &quot;A+&quot; para aumentar el tamaño del texto y al poner el cursor por encima se muestra el texto &quot;Agrandar tamaño de fuente&quot;, o al ver "/>
        <s v="¿Al utilizar navegación por teclado, el sitio mantiene el contexto al recibir el foco?&#10;Por ejemplo: al navegar un menú con la tecla &quot;Tab&quot;, el sitio no redirige automáticamente al posicionarse en un elemento. Es necesario presionar la tecla &quot;Enter&quot; para ac"/>
        <s v="¿El código HTML es semántico y sus etiquetas se usan adecuadamente en el sitio web?&#10;Por ejemplo: las etiquetas que se utilizan varían de acuerdo a su significado, un título principal se ve representado con una etiqueta &quot;h1&quot;, subtítulos con &quot;h2&quot; o &quot;h3&quot;, pá"/>
        <s v="¿Los textos tienen un contraste de color mayor a 4.5:1? &#10;Por ejemplo: se evita el uso de texto gris sobre fondo blanco u otras combinaciones de color con bajo contraste.&#10;&#10;En el punto III de la guía, puede consultar cómo verificar el contraste de textos co"/>
        <s v="¿Los elementos de audio o video presentan un texto alternativo que describe lo que está pasando? &#10;Por ejemplo: el sitio brinda la posibilidad de acceder a la transcripción de todo lo que se menciona y sucede en el audio.&#10;&#10;La opción &quot;No aplica&quot; es solo par"/>
        <s v="¿Se utilizan etiquetas semánticas HTML adecuadas para estructurar el contenido, facilitando la interpretación por parte de tecnologías de asistencia? &#10;Por ejemplo: se utiliza código HTML semántico, es decir se usan etiquetas como &quot;header&quot;, &quot;main&quot; y &quot;foote"/>
        <s v="¿Los enlaces del sitio web tienen llamados a la acción claros? &#10;Por ejemplo: para acceder a un formulario de registro el botón dice claramente la palabra &quot;Registrarse&quot; en vez de decir &quot;Haga clic aquí&quot;.&#10;"/>
        <s v="¿Los cambios y acciones que ocurren en el sitio son predecibles o están explicados antes de que ocurra una acción? &#10;Por ejemplo: los enlaces externos cuentan con un icono identificador que indica a las personas usuarias que al hacer clic en el enlace este"/>
        <s v="Al navegar el sitio web por el teclado con la tecla &quot;Tab&quot;, ¿el foco es claramente visible?&#10;Por ejemplo: el foco es marcado con una línea de color que contraste con el diseño del sitio.&#10;"/>
        <s v="¿La información que tiene movimiento o se actualiza automáticamente ofrece alternativas para pausar, detener u ocultar? &#10;Por ejemplo: un carrusel de noticias destacadas con un botón de pausa para detener el movimiento.&#10;&#10;La opción &quot;No aplica&quot; es solo para "/>
        <s v="¿Los videos cuentan con audiodescripción que detalla todo lo que ocurre? &#10;Por ejemplo: descripción de sonidos (&quot;[Golpe de puerta]&quot;), presenta los nombres de los personajes (&quot;[Ministra Pérez]&quot;) y cambios de escena (&quot;[Entra el Presidente]&quot;).&#10;&#10;La opción &quot;No "/>
        <s v="¿Se ofrecen alternativas para llegar directo al contenido con la navegación por teclado? &#10;Por ejemplo: presionando las teclas &quot;Alt&quot; y &quot;S&quot; se salta el encabezado del sitio web y lleva el foco al contenido de una noticia. Para Mac la combinación de teclas e"/>
        <s v="¿Los documentos descargables que están presentes en el sitio web son accesibles?&#10;&#10;Para comprobar accesibilidad en un documento Word debe dirigirse a la pestaña Revisar de Word, luego seleccionar la opción Comprobar accesibilidad, aparecerá una ventana que"/>
        <s v="¿El sitio web cuenta con un contenido sobre &quot;Accesibilidad&quot; donde menciona el nivel de conformidad de las Pautas de Accesibilidad para el Contenido Web (WCAG) y otras consideraciones para la accesibilidad?&#10;"/>
        <s v="Práctica de decidir cómo organizar y rotular de forma lógica el contenido y la navegación de un producto digital para que sea comprensible y que las personas usuarias localicen fácilmente lo que buscan."/>
        <n v="6.0"/>
        <s v="¿Los contenidos están clasificados con criterios que les sean intuitivos y familiares para las personas usuarias? &#10;Por ejemplo: el menú principal está ordenado por temas y no por unidades del organigrama interno."/>
        <s v="¿La portada destaca claramente los contenidos posiblemente más demandados por las personas usuarias?&#10;"/>
        <s v="¿La página antepone el acceso a trámites y servicios por sobre la información institucional?&#10;&#10;La opción &quot;No aplica&quot; es solo para el caso en que no existan trámites o servicios en el sitio web examinado.&#10;"/>
        <s v="¿Existe información institucional en el pie de página? &#10;Por ejemplo: aparece el nombre completo de la institución, su dependencia o dirección física.&#10;"/>
        <s v="¿Se evita el uso excesivo de banners en la portada?&#10;Por ejemplo: no más de 10 banners informativos.&#10;"/>
        <s v="¿Se mantienen constantes los rótulos o etiquetas tanto en la portada como en las páginas interiores?"/>
        <s v="¿Los rótulos o etiquetas describen de forma clara y directa el contenido de cada categoría?&#10;"/>
        <s v="¿Se advierten claramente las opciones del menú de navegación?&#10;"/>
        <s v="¿El menú está en una posición destacada?&#10;"/>
        <s v="¿Se identifican fácilmente los elementos cliqueables en el menú? &#10;"/>
        <s v="¿Existen elementos que contextualizan a la persona usuaria respecto de su ubicación, nivel de avance en la navegación y estado del sistema?&#10;"/>
        <s v="¿Se evita el uso de siglas en el menú de navegación principal?&#10;"/>
        <s v="¿Todos los enlaces del menú de navegación están en español?&#10;"/>
        <s v="¿Todos los enlaces del menú de navegación principal funcionan correctamente?&#10;"/>
        <s v="¿Todos los enlaces del menú principal conducen a páginas dentro del mismo sitio web?&#10;"/>
        <s v="¿Todos los enlaces del menú principal conducen a páginas y no a documentos?&#10;Por ejemplo: no se enlazan archivos PDFs, Word, Excel o documentos compartidos de Google desde las opciones del menú. &#10;"/>
        <s v="Si la institución cuenta con una marca o nombre de fantasía, ¿su significado se explica con un texto complementario?&#10;Por ejemplo: &quot;ChileAtiende: trámites y beneficios del Estado&quot;, &quot;Salud Responde: asistencia telefónica y vía redes sociales&quot;, &quot;IFE Laboral "/>
        <s v="¿Los contenidos y servicios más relevantes para las personas usuarias se pueden encontrar a no más de 3 clics desde la portada?"/>
        <s v="¿Se evita el uso de siglas, eufemismos o términos rebuscados en los rótulos o etiquetas?&#10;"/>
        <s v="¿Se evita el exceso de palabras?&#10;"/>
        <s v="¿Los textos de los enlaces (rótulos) son descriptivos del contenido o sitio al que dirigen o directos en el llamado a la acción que impulsan, evitando términos ambiguos como &quot;Haga clic aquí&quot; o &quot;Más&quot;? &#10;"/>
        <s v="¿Se alcanza a leer todo el menú global del sitio en breves segundos?&#10;"/>
        <s v="¿Los textos se ajustan correctamente a la pantalla en dispositivos móviles? Para verificar la visualización en diferentes dispositivos, presiona F12 para abrir las herramientas del navegador y ajusta la vista seleccionando diferentes tamaños de pantalla e"/>
        <s v="¿El menú global presenta menos de ocho opciones?&#10;"/>
        <s v="¿Se evita que haya más de dos niveles de submenús?&#10;"/>
        <s v="¿Los botones de llamado a la acción están situados en una posición que estimule su uso?&#10;"/>
        <s v="¿Existen enlaces contextuales al contenido de la página que se está visitando? &#10;Por ejemplo: en la descripción de un trámite, aparecen accesos del tipo &quot;Otros trámites relacionados&quot; o &quot;Ver también&quot;.&#10;"/>
        <s v="¿Existen categorías o etiquetas (tags) que permitan acceder a otros contenidos con la misma clasificación? &#10;Por ejemplo: navegar por todas las noticias clasificadas con la etiqueta &quot;Cuenta Pública 2024&quot;.&#10;"/>
        <n v="1.0"/>
        <s v="¿Cuenta el sitio web con más de una forma de organización para acceder a la información? &#10;Por ejemplo: una institución puede tener una navegación principal por temas, pero tener un segundo menú por tipos de público o contar con un mapa del sitio."/>
        <s v="Disposición para ayudar a las personas usuarias a encontrar lo que necesitan: implica que debe contar con un sistema de navegación visible y completo, pero que además debe estar complementado por algún sistema de búsqueda que sea efectivo para acceder al "/>
        <s v="¿El sitio cuenta con un buscador interno que permita acceder a todas las páginas del sitio?&#10;"/>
        <s v="¿Está ubicado de manera destacada, idealmente en la parte superior de la página?&#10;"/>
        <s v="En la página de inicio, ¿la búsqueda es una caja de texto (campo que permite escribir directamente) y no un enlace?&#10;"/>
        <s v="¿El buscador interno funciona correctamente?&#10;"/>
        <s v="¿El buscador interno indica expresamente cuando no se encuentran resultados?&#10;"/>
        <s v="¿Existe un mapa del sitio con enlace a todas las secciones y principales contenidos?&#10;"/>
        <s v="¿Las palabras clave más representativas del quehacer de la institución están presentes en los títulos, descripción y URLs de las páginas del sitio? &#10;Por ejemplo: para identificarlas, éstas se pueden encontrar en la misión, en los nombres de los principale"/>
        <s v="¿Se repiten estas palabras claves en las páginas internas de contenido? &#10;Una forma de comprobarlo es utilizando la opción &quot;Buscar&quot; del navegador (Control + F en Google Chrome).&#10;"/>
        <s v="¿La estructura de las páginas está organizada de forma lógica e intuitiva, con un tamaño de texto que permite identificar claramente las jerarquías visuales?&#10;Por ejemplo: los títulos son visiblemente más grandes que los subtítulos, y los títulos son consi"/>
        <s v="¿El buscador del sitio tiene texto predictivo?&#10;Por ejemplo, al escribir &quot;certificado&quot;, se despliegan opciones como &quot;certificado de matrimonio&quot;, &quot;certificado de nacimiento&quot; o &quot;certificado de defunción&quot;.&#10;&#10;La opción &quot;No aplica&quot; solo corresponde si el sitio w"/>
        <s v="¿Existe una búsqueda avanzada?&#10;Por ejemplo: que permita buscar solo sobre tipos de contenidos específicos (como trámites, noticias, actividades, productos o servicios) o permita seleccionar campos específicos para buscar, como autor, título o publicación."/>
        <s v="¿Permite ordenar los resultados de búsqueda? &#10;Por ejemplo: por criterios de fecha o relevancia.&#10;"/>
        <s v="¿En el sitio se recomiendan enlaces que puedan ser de interés según el comportamiento de navegación de las personas usuarias? &#10;Por ejemplo: &quot;Porque buscaste 'x', te puede interesar 'z'...&quot;.&#10;"/>
        <s v="Si no hubo resultados después de una búsqueda, ¿el sistema ofrece ideas u opciones para mejorar la búsqueda basados en problemas identificables con la búsqueda de la persona usuaria? &#10;Por ejemplo: la persona usuaria busca &quot;bono marzo&quot; y el sistema no arro"/>
        <s v="Cualidad que posee un sitio web para adaptarse a todos los dispositivos y tamaños de pantalla, sin perder calidad ni información esencial."/>
        <s v="¿El sitio web se puede visualizar correctamente desde un teléfono celular o una tablet? &#10;"/>
        <s v="¿Las funcionalidades del sitio se pueden usar correctamente desde un teléfono celular o una tablet? &#10;Por ejemplo: si en un formulario se pide cargar documentos, esta funcionalidad no se ve interrumpida si se hace desde un teléfono celular o una tablet.&#10;"/>
        <s v="¿El menú de navegación del sitio web se convierte en un menú desplegable o se reorganiza para mejorar la navegación en los diversos dispositivos móviles?&#10;"/>
        <s v="¿Solo existe una versión del sitio y se evita la creación de una versión especial para dispositivos móviles paralela o una aplicación para descarga, que muestre otra información? &#10;Por ejemplo: al navegar el sitio, este no debiera pedir descargar alguna ap"/>
        <s v="¿Los textos se ven enteros, sin cortarse o sobreponerse a otros elementos?&#10;"/>
        <s v="En móvil, ¿se prioriza la presentación del logo institucional y menú por sobre otros enlaces?&#10;Por ejemplo: la primera franja que se ve en móvil es la imagen institucional y el menú de navegación.&#10;"/>
        <s v="¿El sitio web se adapta y visualiza correctamente en diferentes tamaños de pantalla? &#10;Por ejemplo: se visualiza de forma correcta tanto en un monitor de un notebook pequeño como en un monitor grande de un PC.&#10;"/>
        <s v="¿Los números telefónicos están enlazados o cuentan con el formato correcto para marcar directamente desde un celular?&#10;&#10;La opción &quot;No aplica&quot; es solo para el caso en que no exista canal telefónico.&#10;"/>
        <s v="Elementos visuales y gráficos para comunicar mensajes de forma efectiva que permitan proyectar la imagen institucional dentro del contexto de nuestro país, velando por un mensaje y contenido claro. Es importante mantener conectores visuales que vinculen e"/>
        <s v="¿Se visualiza claramente que el sitio web se identifica como un Órgano de la Administración del Estado? &#10;Por ejemplo: se visualiza el logo del Gobierno, sus elementos icónicos, algún texto de referencia o enlace en la cabecera o el pie del sitio.&#10;"/>
        <s v="En el caso de los organismos gubernamentales, ¿los elementos gráficos del sitio web son elaborados a partir de las directrices del Gobierno? &#10;Por ejemplo: se usan y aplican los fundamentos de diseño del UI Kit del Gobierno Digital como &quot;colores, tipografí"/>
        <s v="¿El texto del logo de la institución es totalmente legible?&#10;"/>
        <s v="¿Los textos que son enlaces se diferencian claramente de otro texto que no sea enlace? &#10;Por ejemplo: se utilizan enlaces subrayados o en un color notoriamente contrastante.&#10;"/>
        <s v="¿El sitio web mantiene un diseño gráfico consistente en todas sus secciones, utilizando colores, tipografías y estilos gráficos homogéneos para ofrecer una experiencia visual coherente?&#10;Por ejemplo: los contenidos interiores mantienen una apariencia simil"/>
        <s v="¿Se utilizan familias tipográficas optimizadas para la lectura en pantalla, especialmente las de palo seco (sin conectores visuales entre las letras) o sin &quot;serif? &#10;Por ejemplo: Roboto, Verdana, Arial.&#10;&#10;En el punto IV de la guía, puede consultar cómo veri"/>
        <s v="¿Su tamaño permite una adecuada legibilidad? &#10;Por ejemplo: igual o superior a 16 puntos, con un espaciado de al menos 1,5 veces del tamaño de la fuente y alto contraste, evitando letras grises sobre fondos blancos. &#10;&#10;En el punto IV de la guía, puede consu"/>
        <s v="¿Su tamaño se adapta automáticamente al dispositivo?&#10;&#10;Esto se puede verificar revisando la estructura jerárquica adecuada entre los tamaños de los títulos, subtítulos y párrafos de texto y que el interlineado de cada párrafo facilite para la lectura. Tamb"/>
        <s v="En el caso de organismos del Gobierno central, ¿el sitio web utiliza las tipografías recomendadas en el sistema de diseño gubernamental? &#10;Por ejemplo: las tipografías las tipografías  Roboto Sans y Roboto Slab (solo para títulos)&#10;&#10;La opción &quot;No aplica&quot; es"/>
        <s v="¿Los colores apoyan el reconocimiento visual de la institución? &#10;Por ejemplo: los colores azul y rojo oficiales del Gobierno.&#10;"/>
        <s v="En el caso de organismos del Gobierno central, ¿se consideran los colores de la paleta del UI Kit del Gobierno Digital?&#10;&#10;La opción &quot;No aplica&quot; es solo para el caso en que el sitio web examinado no pertenezca al gobierno central.&#10;"/>
        <s v="¿Se incorpora el logo o elemento icónico de la institución en el encabezado?&#10;"/>
        <s v="¿Las imágenes tienen la calidad adecuada para su correcta visualización y se evita que se vean pixeladas a primera vista?&#10;&#10;La opción &quot;No aplica&quot; es solo para el caso en que no existan imágenes en el sitio web.&#10;"/>
        <s v="¿Las imágenes tienen títulos, descripciones o pies de fotos apropiados? El pie de foto es una explicación breve que se sitúa bajo cada ilustración, foto o figura en una publicación. Aunque sea el pie lo que le da nombre, también puede ubicarse en otros lu"/>
        <s v="¿Las fotografías están bien recortadas y tienen un encuadre adecuado? &#10;Por ejemplo: los banners tienen un contenedor rectangular. Para minimizar o evitar recortes, hay que asegurarse de que la forma de la imagen coincida con la forma del contenedor y no q"/>
        <s v="¿Se privilegia el uso de fotografías en el que aparezcan personas usuarias, lugares y situaciones reales en vez de usar imágenes de bancos de fotos comerciales?&#10;&#10;La opción &quot;No aplica&quot; es solo para el caso en que no existan imágenes en el sitio web.&#10;"/>
        <s v="Los elementos que contienen texto informativo, como botones de acción e infografías, se disponen como texto seleccionable en vez de presentarlo dentro de una imagen.&#10;&#10;La opción &quot;No aplica&quot; corresponde solo cuando no hay botones de acción, infografías u ot"/>
        <s v="¿Los elementos de la interfaz se pueden identificar claramente a primera vista? &#10;Por ejemplo: se puede encontrar fácilmente donde está el menú principal, el pie de página o el buscador.&#10;"/>
        <s v="¿Es una interfaz limpia, sin ruido visual?  &#10;Por ejemplo: los elementos visuales como figuras o colores, no están demasiado saturados y se evitan las ventanas emergentes que no aportan a la navegación del sitio.&#10;"/>
        <s v="¿La presentación visual del sitio es armoniosa, limpia y minimalista, orientada a la funcionalidad? &#10;Por ejemplo: mantener sólo unos pocos componentes necesarios en la interfaz del sitio y dejar espacios en blanco o aires, para permitir centrar la atenció"/>
        <s v="¿La iconografía es clara y ayuda a llamar a la acción de manera más rápida? &#10;Por ejemplo: el icono de &quot;flecha a la derecha&quot; significa &quot;siguiente&quot; o &quot;continuar&quot;.&#10;&#10;La opción &quot;No aplica&quot; corresponde solo cuando no iconografía."/>
        <s v="¿El diseño y la distribución de los elementos siguen un orden familiar para las personas usuarias, similar a otros sitios web?&#10;Por ejemplo: el menú principal está en el encabezado, el logo en la esquina superior izquierda y el buscador a la derecha.&#10;"/>
        <s v="Apego a estándares de desarrollo, compatibilidad y directrices para cautelar la seguridad de los sistemas. Esto protege la disponibilidad, integridad y confidencialidad de la información y datos institucionales y personales."/>
        <s v="&quot;¿El sitio web utiliza el protocolo seguro HTTPS en su URL?&#10;Para verificarlo, haga doble clic en la barra de direcciones y asegúrese de que la URL comience con &quot;https://&quot;."/>
        <s v="¿El certificado SSL/TLS es válido? &#10;Por ejemplo: al revisar en Google Chrome a través del ícono &quot;Consulta la información del sitio&quot;, que se encuentra inmediatamente a la izquierda de la URL en la barra de direcciones del navegador, luego verificar que exi"/>
        <s v="¿Al acceder con el protocolo HTTP a las páginas del sitio se realiza la redirección a la versión con protocolo HTTPS? &#10;Por ejemplo: al ingresar en la URL &quot;http://sitioejemplo.gob.cl/algo&quot; esta redirige a &quot;https://sitioejemplo.gob.cl/algo&quot;. Se puede probar"/>
        <s v="¿El sitio web tiene configurada la cabecera &quot;X-Frame-Options&quot; con los valores &quot;DENY&quot; o &quot;SAMEORIGIN&quot;?&#10;&#10;Para la verificación se deben revisar las cabeceras de la página, usando la herramienta https://securityheaders.com:&#10;1. Primero se debe ingresar la URL d"/>
        <s v="¿El servidor web está configurado de manera que no se muestra el contenido de los directorios (carpetas internas)? &#10;&#10;Para la verificación:&#10;1. Identificar una fotografía que sea parte del contenido de una noticia, sobre esta hacer un clic con el botón secu"/>
        <s v="¿Se presenta un enlace a la política de privacidad en el sitio web?&#10;"/>
        <s v="¿Este enlace está en el pie de cada página del sitio web?&#10;&#10;La opción &quot;No aplica&quot; es solo para el caso en que no exista un enlace a la política de privacidad.&#10;"/>
        <s v="¿El sitio tiene configurada la cabecera &quot;X-Content-Type-Options&quot; con el valor &quot;nosniff&quot;?&#10;&#10;Para la verificación se deben revisar las cabeceras de la página, usando la herramienta https://securityheaders.com:&#10;1. Primero se debe ingresar la URL de una página"/>
        <s v="¿El sitio web tiene configurada la cabecera &quot;Referrer-Policy&quot; con el valor &quot;strict-origin&quot;? &#10;&#10;Para la verificación se deben revisar las cabeceras de la página, usando la herramienta https://securityheaders.com:&#10;1. Primero se debe ingresar la URL de una pá"/>
        <s v="¿Proporciona el sitio web información clara y comprensible sobre el tipo de cookies que utiliza, sus finalidades y las opciones de control disponibles para el usuario?&#10;Por ejemplo: en la Política de Privacidad del sitio web se indica que las cookies no al"/>
        <s v="Conjunto de herramientas y estándares para la creación y funcionamiento de productos digitales. Se deben priorizar las herramientas y tecnologías que faciliten crear un servicio de alta calidad de forma rentable y que permitan minimizar el costo de cambia"/>
        <n v="7.0"/>
        <s v="¿El servicio o sitio web estuvo disponible durante todo el período de evaluación?&#10;"/>
        <s v="¿Los multicanales digitales para realizar consultas generales o solicitar información personalizada estuvieron disponibles durante la evaluación? &#10;Por ejemplo: asistentes virtuales o chats.&#10;&#10;La opción &quot;No aplica&quot; es solo para el caso en que no existan mul"/>
        <s v="¿Las funcionalidades del sitio web están disponibles las 24 horas los 7 días de la semana?&#10;Por ejemplo: un formulario de contacto se puede completar y enviar cualquier día a cualquier hora.&#10;&#10;La opción &quot;No aplica&quot; es solo para el caso en que no existan for"/>
        <s v="¿Se explicita el juego de caracteres UTF-8 a través de un metadato en el código fuente de la página? &#10;Por ejemplo: es posible encontrar la referencia &quot;&lt;meta charset=&quot;utf-8&quot;&gt;&quot; en las primeras líneas del código fuente.&#10;"/>
        <s v="¿El sitio web se presenta completamente sin diseño al deshabilitar las hojas de estilo?&#10;&#10;Una opción para la verificación:&#10;1. Ingresar al inspector de código de Google Chrome (opción &quot;Inspeccionar&quot; con el botón secundario del mouse), específicamente a la p"/>
        <s v="¿Está presente en la etiqueta &quot;html&quot; del código fuente el atributo &quot;lang&quot;? &#10;Por ejemplo: al buscar esta referencia lang=&quot;es&quot; en el código fuente, deberá aparecer de una manera equivalente a esta: &lt;html lang=&quot;es&quot;&gt;.&#10;"/>
        <s v="¿Todos los enlaces del sitio web funcionan correctamente? &#10;Por ejemplo: al utilizar la herramienta de revisión de la W3C Check Link Validator sobre todo el sitio, en la tabla de resultados no aparece ningún resultado con código de error 404 .&#10;"/>
        <s v="¿La URL del sitio funciona sin y con &quot;www&quot; como prefijo de dominio? &#10;Por ejemplo: al verificar que las URLs &quot;https://www.sitioejemplo.gob.cl&quot; y también &quot;https://sitioejemplo.gob.cl&quot;, ambas llevan al mismo contenido del sitio web.&#10;"/>
        <s v="Si se trata un sitio web del gobierno central, ¿utiliza el dominio .gob.cl? &#10;&#10;La opción &quot;No aplica&quot; es solo para el caso en que el sitio web examinado no pertenezca al gobierno central.&#10;"/>
        <s v="Si existen otros dominios desde los que se pueda acceder al servicio, ¿estos redirigen al sitio web que utiliza el dominio .gob.cl?&#10;&#10;La opción &quot;No aplica&quot; es solo para el caso en que no exista o no se tenga conocimiento de otras urls alternativas a la ofi"/>
        <s v="¿Se encuentra la identificación de HTML5 en la primera línea del código fuente? &#10;Por ejemplo: la referencia &quot;&lt;!DOCTYPE html&gt;&quot; está presente en la primera línea del código fuente HTML."/>
        <s v="¿El código HTML del sitio web no presenta errores al comprobarlo en el validador de la W3C?&#10;&#10;La opción &quot;No aplica&quot; es solo para el caso en que no sea posible utilizar la herramienta externa.&#10;"/>
        <s v="¿El código CSS del sitio web no presenta errores al comprobarlo en el validador de la W3C?&#10;&#10;La opción &quot;No aplica&quot; es solo para el caso en que no sea posible utilizar la herramienta externa.&#10;"/>
        <s v="¿La portada del sitio cumple con un resultado sobre 60 en el parámetro rendimiento de Google PageSpeed Insights para la opción escritorio (ordenador)? &#10;&#10;Para verificar se debe entrar en el sitio web PageSpeed Insights, ingresar la URL de la portada del si"/>
        <s v="¿La portada del sitio cumple con un resultado sobre 60 en el parámetro rendimiento de Google PageSpeed Insights para la opción celulares (móvil)? &#10;&#10;Para verificar se debe entrar en el sitio web PageSpeed Insights, ingresar la URL de la portada del sitio y"/>
        <s v="¿Los contenidos tienen una versión de impresión optimizada?&#10;Por ejemplo, al revisar con Ctrl + P, el contenido se muestra sin elementos que dificulten su lectura. La navegación del sitio no aparece, pero sí el nombre o logo institucional."/>
        <s v="¿Los certificados o documentos descargables están optimizados para imprimirse sin dificultades o alteraciones significativas de su apariencia?&#10;&#10;La opción &quot;No aplica&quot; es solo para el caso en que no se encuentren documentos.&#10;"/>
        <s v="¿El código JavaScript está libre de errores en la consola del navegador? &#10;Por ejemplo: no figuran errores en la consola del navegador. &#10;&#10;Para la verificación se ingresa en la pestaña &quot;Consola&quot; (en inglés &quot;Console&quot;) del inspector de código de Google Chrome"/>
        <s v="Recursos y documentación que ayuden a la persona usuaria a responder sus consultas y necesidades que surjan al utilizar un producto digital. Es recomendable contar con múltiples canales de comunicación para satisfacer las necesidades de soporte."/>
        <s v="¿Se presentan vías de comunicación entre las personas usuarias y el organismo? &#10;Por ejemplo: formulario de contacto, correo electrónico, teléfono.&#10;"/>
        <s v="¿Existe un enlace a la Oficina de Información, Reclamos y Sugerencias (OIRS)?&#10;&#10;La opción &quot;No aplica&quot; es solo para el caso de que el sitio corresponda a las siguientes entidades: ministerios, intendencias, gobernaciones, empresas públicas creadas por Ley y"/>
        <s v="¿Existe y es visible al menos en la portada la información sobre los horarios de atención?&#10;&#10;La opción &quot;No aplica&quot; es solo para el caso en que el organismo no tenga atención al público.&#10;"/>
        <s v="¿Ofrece un área de preguntas frecuentes con datos de ayuda a las personas usuarias?&#10;"/>
        <s v="¿Se presentan documentos o recursos de información para que la persona usuaria entienda los trámites y procesos? &#10;Por ejemplo: guías, tutoriales, videos explicativos, manuales descargables.&#10;&#10;La opción &quot;No aplica&quot; es solo para el caso en que no existan trá"/>
        <s v="¿Existe una sección o mesa de ayuda en el sitio web?&#10;"/>
        <s v="El enlace a la sección de ayuda, ¿está ubicado en una zona visible y destacada?&#10;&#10;La opción &quot;No aplica&quot; es solo para el caso en que no exista una sección o mesa de ayuda.&#10;"/>
        <s v="¿Se presentan canales de atención interactivos o en tiempo real para las personas usuarias?  &#10;Por ejemplo: chat, teléfono de atención, videollamada, asistentes virtuales. &#10;"/>
        <s v="¿Es fácil contactarse con alguien para ser asistido ante una consulta? &#10;Por ejemplo: hacer una pregunta de prueba en un chat, contactar a través de un teléfono o correo electrónico.&#10;"/>
        <s v="En el caso de los chatbots generados con inteligencia artificial, ¿se le advierte al usuario claramente que es una herramienta automatizada y no una persona real?&#10;&#10;La opción &quot;No aplica&quot; es solo para el caso en que no existan chatbots.&#10;"/>
        <s v="¿Se evita denominar estos chatbots con nombres propios para minimizar el riesgo de confusión para las personas usuarias? Por ejemplo: SofIA o ClaudIA.&#10;&#10;La opción &quot;No aplica&quot; es solo para el caso en que no existan chatbots.&#10;"/>
        <s v="¿Se presentan en el sitio encuestas, consultas ciudadanas o foros de debate donde se recabe la opinión de las personas usuarias y se fomente la participación activa?&#10;"/>
        <s v="Conjunto de objetos interactivos o no interactivos que contienen información representada por texto, imagen, video, animación, sonido u otro tipo de medios."/>
        <s v="¿El sitio presenta imágenes, videos y archivos de audio propios? &#10;Por ejemplo: una manera de comprobar autoría es buscando una imagen del sitio en el buscador de imágenes de Google.&#10;"/>
        <s v="Si se utiliza contenido ajeno, ¿se declara la fuente o autoría y se menciona el respectivo permiso de uso del autor o propietario? &#10;Por ejemplo: &quot;Foto: Juan Pérez, licenciada bajo CC BY 4.0 Internacional&quot;, &quot;Video cortesía de Memoria Chilena&quot;.&#10;&#10;La opción &quot;"/>
        <s v="¿Las imágenes, videos y audios publicados en el sitio web complementan (representan elementos de apoyo) los contenidos publicados? &#10;Por ejemplo: en un contenido referente a cómo obtener la Clave Única, además del texto explicando secuencialmente los pasos"/>
        <s v="¿Predomina el uso de imágenes en formato de nueva generación como WebP que proporciona una mejor compresión que JPG, PNG o GIF?&#10;&#10;En el punto V de la guía, puede consultar cómo verificar el formato de las imágenes.&#10;"/>
        <s v="¿Las imágenes pesan menos de 600 KB para no ralentizar la carga de la página?&#10;&#10;En el punto V de la guía, puede consultar cómo verificar el peso de las imágenes.&#10;"/>
        <s v="¿Los videos tienen la calidad adecuada para su correcta visualización? &#10;Por ejemplo: el video no demora en cargar y la imagen se ve nítida.&#10;&#10;La opción &quot;No aplica&quot; es solo para el caso en que no existan videos en el sitio web.&#10;"/>
        <s v="¿Los videos tienen título y descripción?&#10;&#10;La opción &quot;No aplica&quot; es solo para el caso en que no existan videos en el sitio web.&#10;"/>
        <s v="¿Se usa streaming adaptable para adecuar la calidad del video según el dispositivo y velocidad de conexión? &#10;Por ejemplo: el video demora menos de 2 segundos en comenzar a reproducirlo.&#10;&#10;La opción &quot;No aplica&quot; es solo para el caso en que no existan videos "/>
        <s v="¿Los audios tienen la calidad de sonido adecuada y el volumen mínimo por defecto para su correcta audición? &#10;&#10;La opción &quot;No aplica&quot; es solo para el caso en que no existan audios en el sitio web.&#10;"/>
        <s v="¿Los audios tienen título y texto de descripción?&#10;&#10;La opción &quot;No aplica&quot; es solo para el caso en que no existan audios en el sitio web. &#10;"/>
        <s v="Incorporación de la perspectiva de género en un sitio web, a través de acciones como el uso de lenguaje inclusivo y la proporcionalidad de representación en contenidos o materiales audiovisuales, para evitar reproducir desigualdades e inequidades."/>
        <s v="¿Se utiliza un lenguaje inclusivo, respetuoso de la diversidad y que no reproduzca estereotipos de género? &#10;Por ejemplo:&#10;- Aplicar sustitutos de las palabras que pueden incluir algún sesgo de género, duplicando artículos que determinan el sustantivo (&quot;Las"/>
        <s v="¿Los contenidos del sitio están libres de palabras o términos discriminatorios? &#10;Por ejemplo: frases o términos sexistas o discriminatorios como &quot;El que te quiere te aporrea&quot;, &quot;Calladita te ves más bonita&quot;, &quot;Los hombres no lloran&quot;.&#10;"/>
        <s v="¿Las imágenes del sitio están libres de sexismo y estereotipos de género?&#10;Por ejemplo: no se identifican profesiones ni actividades exclusivamente como femeninas o masculinas (como representar la ingeniería con fotos sólo masculinas o en el caso de la edu"/>
        <s v="Cuando se utiliza musicalización en videos o archivos de audios, ¿las letras de canciones utilizadas están libres de sexismo y de palabras o términos discriminatorios?&#10;&#10;La opción &quot;No aplica&quot; es solo para el caso en que no existan videos en el sitio web. &#10;"/>
        <s v="¿Es proporcional por género la representatividad en contenidos, imágenes, videos y audios publicados?&#10;"/>
        <s v="En los formularios cuando se pregunta el género de quien responde, ¿además de &quot;Femenino&quot; y &quot;Masculino&quot;, se incluye también a lo menos el campo &quot;Otro&quot;?&#10;&#10;La opción &quot;No aplica&quot; se debe utilizar únicamente cuando no exista un formulario o el campo de género n"/>
        <s v="¿En las noticias se respeta el equilibrio entre géneros en la elección de especialistas o fuentes?&#10;"/>
        <s v="Disposición a entregar la mejor experiencia de usuario a todas las personas, independiente de sus habilidades, identidad, antecedentes o situación en la que se encuentren."/>
        <s v="¿En los campos de los formularios se considera una amplia diversidad de personas usuarias?&#10;Por ejemplo: evitar que personas queden fuera de los rangos etarios del selector de un formulario; cautelar que aparezcan todas las comunas, pueblos originarios o c"/>
        <s v="¿Existe una versión o información en otro idioma? &#10;Por ejemplo: inglés, mapudungún, creole u otros.&#10;"/>
        <s v="¿El sitio web permite ser traducido con la opción de traducción automática del navegador?&#10;&#10;Para verificar este aspecto, en Google Chrome al hacer clic con el botón secundario elegir la opción &quot;Traducir al español&quot; (aunque ya esté en ese idioma). Con ello "/>
        <s v="¿Los contenidos y servicios están formulados con igualdad de oportunidades de acceso para personas usuarias de todas las regiones? &#10;Por ejemplo: evitar que los selectores de región de los formularios comiencen con la Región Metropolitana.&#10;"/>
        <s v="Incorporación de un enfoque inclusivo que responda a la diversidad y diferencias individuales, garantizando igualdad de acceso a políticas y servicios públicos para todas y todos, sin importar características, habilidades u origen."/>
        <s v="En el caso de existir menús desplegables en el sitio web, ¿se pueden utilizar sin problemas? &#10;Por ejemplo: se puede navegar fácilmente por el menú desplegable sin que se cierre inesperadamente, no flotan sobre otros menús o imágenes en movimiento.&#10;&#10;La opc"/>
        <s v="¿Los videos cuentan con interpretación en lengua de señas chilena en un tamaño y formato entendible?&#10;Por ejemplo: el video cuenta con un recuadro ubicado en el costado inferior derecho de la pantalla en el que el intérprete se ve claramente, diferenciándo"/>
        <s v="¿El diseño considera contrastes y combinaciones de color aptos para el daltonismo? &#10;Por ejemplo: esto se puede evaluar sacando una captura de pantalla del sitio web y revisando en el simulador de daltonismo del sitio web de Color Lite Lens, luego de subir"/>
        <s v="¿Se presenta al menos un texto redactado con la técnica de Lectura Fácil? &#10;Por ejemplo: es posible observar un texto organizado con frases sencillas y cortas; y, en caso de existir palabras poco comunes, estas cuentan con un cuadro con la definición al co"/>
        <s v="¿Las personas usuarias pueden modificar el diseño del sitio web o servicio digital para verlo en escala de grises o alto contraste por medio de un botón presente en el sitio?"/>
        <s v="¿El sitio web o servicio digital cuenta con una opción de lector de texto?&#10;"/>
        <s v="Conjunto de acciones orientadas a extender los contenidos del sitio web a la ciudadanía, como la optimización para el posicionamiento en buscadores y difusión en redes sociales."/>
        <s v="¿Está presente la meta etiqueta &quot;robots&quot; sin los parámetros &quot;noindex&quot;, &quot;nofollow&quot; o &quot;none&quot;? &#10;Por ejemplo: al buscar la palabra &quot;robots&quot; con CTRL+F en el código fuente de la página, la referencia &quot;&lt;meta name='robots' content='noindex'&gt;&quot; no está presente. T"/>
        <s v="Si existe un archivo denominado &quot;robots.txt&quot; en la raíz del sitio web, ¿este permite la indexación? &#10;Por ejemplo: si está presente el archivo &quot;robots.txt&quot; en la raíz del sitio web –es decir en la URL: &quot;https://sitioejemplo.gob.cl/robots.txt&quot;–, este no den"/>
        <s v="¿El dominio del sitio web permanece estable y constante en el tiempo durante los últimos 5 años? "/>
        <s v="¿En caso de rediseño o reubicación de páginas, es posible acceder a los contenidos del nuevo sitio desde las URLs de la versión anterior?&#10;&#10;La opción &quot;No aplica&quot; solo si el sitio web no ha tenido rediseños o reubicaciones de páginas.&#10;"/>
        <s v="¿La URL está compuesta solo de letras minúsculas y sin caracteres especiales ni tildes?&#10;"/>
        <s v="Las palabras que tienen la letra ñ, ¿en la URL la reemplazan por la letra n?&#10;&#10;La opción &quot;No aplica&quot; es solo para el caso en que la URL no contenga palabras con la letra ñ.&#10;"/>
        <s v="En el caso de requerir la ñ dentro del nombre del dominio, ¿se redirecciona a la versión que con letra n?&#10;&#10;La opción &quot;No aplica&quot; es solo para el caso en que la URL no contenga palabras con la letra ñ.&#10;"/>
        <s v="Al revisar el código fuente, ¿el texto dentro de la etiqueta &quot;title&quot; utiliza el título o las palabras claves para identificar el contenido que la página contiene? &#10;Por ejemplo: en las primeras líneas se puede reconocer un código del tipo &quot;&lt;title&gt;Ministeri"/>
        <s v="¿Cada página tiene una etiqueta &quot;title&quot; única que diferencia cada página dentro del sitio?&#10;"/>
        <s v="¿Está presente en la página el título principal dentro de la etiqueta &quot;h1&quot;? &#10;Por ejemplo: se puede buscar la referencia &quot;&lt;h1&quot; en el código fuente de la página.&#10;"/>
        <s v="¿El título &quot;h1&quot; utiliza las palabras claves para identificar el contenido que la página contiene?&#10;"/>
        <s v="¿Existe solo un título identificado con la etiqueta &quot;h1&quot; dentro del código fuente de la página?&#10;"/>
        <s v="¿Se genera una previsualización que muestra una imagen y el título del contenido al compartir el contenido por redes sociales? &#10;Por ejemplo: al pegar la URL de un contenido del sitio web en una conversación en WhatsApp el mensaje genera una vista previa c"/>
        <s v="Durante la revisión del sitio web no se observa publicidad externa a la organización.&#10;"/>
        <s v="En caso de haber algún video en el sitio web, no se observa publicidad externa a la organización.&#10;&#10;La opción &quot;No aplica&quot; es solo para el caso en que no existan videos en el sitio web.&#10;"/>
        <s v="¿Para separar palabras dentro de la URL se usa guión medio? &#10;Por ejemplo: &quot;https://sitioejemplo.gob.cl/palabras-separadas&quot;.&#10;"/>
        <s v="¿Las URLs que quedan fijas al ingresar al sitio corresponden a la raíz y no se añaden segmentos o directorios internos?&#10;Por ejemplo: se puede comprobar si termina en &quot;.cl&quot; y no aparece más texto del tipo &quot;index.php&quot;, &quot;/#/pages/body/&quot; o &quot;/01/w3-channel.htm"/>
        <s v="¿La metaetiqueta &quot;description&quot; utiliza las palabras claves para identificar el contenido que esta contiene y lo hace en menos de 160 caracteres? &#10;Por ejemplo: al revisar el código fuente del sitio del Ministerio de Salud, se podría leer una línea del tipo"/>
        <s v="¿Las metaetiquetas &quot;description&quot; son únicas para cada página en el sitio web?&#10;"/>
        <s v="¿Las metaetiquetas &quot;description&quot; están centradas en el valor agregado entregado por cada página y de forma completamente clara?&#10;"/>
        <s v="¿El sitio web está libre de preguntas que parecen plantear una cosa, pero al leerlas detenidamente se revela una pregunta totalmente distinta? Por ejemplo: la persona usuaria puede ser manipulada para proporcionar una respuesta que no pretendía ofrecer (m"/>
        <s v="¿El sitio web evita testimonios de personas usuarias cuyo origen no está claro o no son creíbles y confiables?&#10;"/>
        <s v="¿El sitio permite a la persona usuaria completar su tarea u obtener un servicio sin requerir acciones forzadas?&#10;Por ejemplo: no es necesario registrar una cuenta o suscribirse a un boletín informativo para avanzar.&#10;"/>
        <s v="¿Se encuentran presentes enlaces a las cuentas de redes sociales oficiales del servicio en las zonas permanentes del sitio, como la cabecera o el pie de página?"/>
        <s v="¿Se utilizan etiquetas de marcado schema.org? &#10;Por ejemplo: se puede buscar la referencia &quot;https://schema.org/NewsArticle&quot; en el código fuente de una noticia o en una actividad o evento de calendario se puede buscar la referencia &quot;https://schema.org/Event"/>
        <s v="¿El dominio incorpora el nombre, palabra clave o tema más representativo de la institución?&#10;Por ejemplo: se privilegian URLs del tipo &quot;concepto.gob.cl&quot; o &quot;tema.gob.cl&quot; por sobre una sigla o el tipo de organización o plataforma.&#10;"/>
        <s v="Transparencia corresponde a la información pública presentada de manera visible, actualizada y destacada respecto al funcionamiento administrativo y financiero de la institución. Apertura, por su parte, es la disposición abierta de la información, sin reg"/>
        <s v="¿El sitio presenta un botón de acceso a la información pública de la institución de manera fácil de identificar y acceso expedito? &#10;"/>
        <s v="¿Presenta información sobre actos administrativos y documentos publicados en Diario Oficial?&#10;"/>
        <s v="¿Presenta información sobre las potestades del organismo y su marco normativo?&#10;"/>
        <s v="¿Presenta información sobre la estructura orgánica, sus facultades, funciones y atribuciones?&#10;"/>
        <s v="¿Presenta información sobre el personal de planta, a contrata y a honorarios, con sus remuneraciones?&#10;"/>
        <s v="¿Presenta información sobre las adquisiciones y contrataciones (compras públicas, actas de evaluación, contrataciones relativas a bienes inmuebles y otras compras)?&#10;"/>
        <s v="¿Presenta información sobre transferencias de fondos y aportes económicos entregados?&#10;"/>
        <s v="¿Presenta información sobre actos administrativos y resoluciones con efectos sobre terceras personas (patentes, permisos, derechos, concesiones, concursos otros)?&#10;"/>
        <s v="¿Presenta información sobre trámites ante el organismo? &#10;Por ejemplo: ChileAtiende.&#10;"/>
        <s v="¿Presenta información sobre subsidios y beneficios (nómina de beneficiarios)?&#10;"/>
        <s v="¿Presenta información sobre los mecanismos de participación ciudadana (normativa, actas y mecanismos)?&#10;"/>
        <s v="¿Presenta su información presupuestaria (gastos de avisaje y publicidad, presupuesto del organismo, y gastos de representación, protocolo y ceremonial)?&#10;"/>
        <s v="¿Presenta información sobre auditorías al ejercicio presupuestario y aclaraciones?&#10;"/>
        <s v="¿Presenta información sobre la participación en otras entidades?&#10;"/>
        <s v="¿Presenta información sobre los antecedentes preparatorios de normas jurídicas generales que afecten a empresas de menor tamaño?&#10;"/>
        <s v="¿El sitio presenta las declaraciones de intereses y patrimonio (DIP) de sus autoridades y funcionarios? O, en su defecto, ¿cuenta con un contenido con información sobre las DIP enlazando el portal web de la Contraloría General de la República (declaracion"/>
        <s v="¿El sitio cuenta con un canal de Transparencia de fácil identificación y acceso expedito para realizar las solicitudes de información pública de la institución? &#10;Por ejemplo: mediante un correo electrónico o formulario. &#10;"/>
        <s v="¿Están expresamente publicados los requisitos y plazos para cumplir las solicitudes de información pública? &#10;Por ejemplo: &quot;Una vez ingresada una solicitud de información pública, la institución cuenta con un plazo máximo de 20 días hábiles...&quot;&#10;"/>
        <s v="¿El sitio posee un botón, banner o sección fija claramente diferenciable para acceder a la información de &quot;Transparencia&quot; y otro para &quot;Solicitar información&quot;?&#10;"/>
        <s v="¿Se encuentra ubicado en la parte inferior de cada página? &#10;"/>
        <s v="¿El botón o banner posee algún ícono como ayuda diferenciadora? &#10;Por ejemplo: que el botón de transparencia activa incluya un símbolo de una página de texto y que el botón para solicitar información incluya la letra i minúscula, tal como se sugiere en el "/>
        <s v="¿Las personas usuarias pueden acceder a los datos, tablas y documentos publicados en el sitio de manera abierta, sin necesidad de registro y de forma gratuita? &#10;Por ejemplo: datos geográficos, meteorológicos, de tráfico, de la gestión del Gobierno, el uso"/>
        <s v="¿El sitio presenta información sobre sus autoridades y funcionarios (titulares, suplentes, subrogantes o transitorios) frente a los cuales se realiza lobby o gestión de intereses (sujetos pasivos)?&#10;"/>
        <s v="¿Presenta información sobre el listado de registro público de lobbistas y de gestores de intereses particulares (sujetos activos)?&#10;"/>
        <s v="¿Presenta información sobre las audiencias y reuniones llevadas a cabo por sus autoridades y funcionarios (sujetos pasivos) con personas o entidades, chilenas o extranjeras promotoras, defensoras o representantes de un interés particular (lobistas, sujeto"/>
        <s v="¿Presenta un contenido o formulario de solicitud de audiencia con sus autoridades o funcionarios?&#10;"/>
        <s v="¿Presenta información sobre los viajes realizados por sus autoridades y funcionarios en el ejercicio de sus funciones?&#10;"/>
        <s v="¿Presenta información sobre los donativos recibidos por sus autoridades y funcionarios en el ejercicio de sus funciones?&#10;"/>
        <s v="¿Presenta información sobre la normativa aplicable?&#10;"/>
        <s v="¿Se dispone de la información de manera ordenada, simple y libre de restricciones técnicas? &#10;Por ejemplo: las remuneraciones del personal a contrata se disponen por orden alfabético en una página de contenido y no como un archivo PDF.&#10;"/>
        <s v="¿Se privilegia la publicación de contenido en formato HTML por sobre el formato PDF o conjunto de documentos comprimidos?&#10;"/>
        <s v="¿La documentación en formato PDF corresponde a archivos abiertos (sin clave) y reutilizables, en vez de ser escaneos de otros documentos?&#10;&#10;La opción &quot;No aplica&quot; es solo para el caso en que no se encuentren documentos.&#10;"/>
        <s v="¿El diseño y formato de los documentos es igual y consistente con todos los documentos dispuestos? &#10;Por ejemplo: que si la información del mes de marzo del ítem &quot;Otras transferencias&quot; se publicó en formato HTML, que la información de abril, mayo y todos l"/>
        <s v="¿El sitio informa un medio de contacto para notificar en caso de que exista alguna dificultad técnica respecto al sitio de Transparencia Activa?&#10;"/>
        <s v="¿El sitio incluye una sección que informe las personas usuarias que pueden presentar un reclamo por infracción a las normas sobre Transparencia Activa ante el Consejo para la Transparencia (en el caso de detectarse incumplimientos en la publicación)?&#10;"/>
        <s v="¿El sitio del organismo presenta información en la que dé cuenta de su gestión administrativa o financiera más allá de la contemplada en la Ley de Transparencia? &#10;Por ejemplo: planes de gestión; comités de administración; estudios, publicaciones, encuesta"/>
        <s v="¿El sitio web cuenta con un contenido sobre aspectos legales que presente a los responsables del sitio web?&#10;"/>
        <s v="¿El sitio cuenta con una sección específica donde se publican sus datos abiertos, instrucciones para su uso y descarga de un conjunto de datos, o en su defecto, un enlace hacia el sitio de Gobierno https://datos.gob.cl/? &#10;Por ejemplo: las bases de datos d"/>
        <s v="Eliminación de las condiciones del sistema que confundan o induzcan a errores a las personas usuarias. Es clave verificarlas, ofrecer ejemplos y presentar una opción de confirmación antes de comprometerse con una acción."/>
        <s v="¿Se presenta información sobre la temática que está revisando la persona usuaria antes de entrar al trámite? &#10;Por ejemplo: se señala con un enlace &quot;compra de bonos&quot; y al entrar se inicia el proceso para comprar bonos.&#10;&#10;La opción &quot;No aplica&quot; es solo para e"/>
        <s v="¿Las etiquetas de los campos explican claramente cuáles datos debe entregar la persona usuaria? &#10;Por ejemplo: el campo de texto tiene una etiqueta &quot;Teléfono&quot; al lado.&#10;&#10;La opción &quot;No aplica&quot; es solo para el caso en que no exista ningún formulario en el sit"/>
        <s v="¿Las etiquetas para los campos explican claramente cuáles son requeridos (obligatorios)?&#10;Por ejemplo: se indica la obligatoriedad de un campo con un asterisco.&#10;&#10;La opción &quot;No aplica&quot; es solo para el caso en que no exista ningún formulario en el sitio web."/>
        <s v="¿Se presentan ejemplos o información contextual sobre el correcto modo de llenado de los campos? &#10;Por ejemplo: &quot;RUT sin puntos y con guion: 12345789-0&quot;.&#10;&#10;La opción &quot;No aplica&quot; es solo para el caso en que no exista ningún formulario en el sitio web. &#10;"/>
        <s v="¿El sistema genera una alerta visual en tiempo real cuando un dato no se está ingresando correctamente? &#10;Por ejemplo: la persona usuaria se equivocó al ingresar su RUT y el campo se marca con un borde de color rojo y abajo del señala &quot;RUT incorrecto&quot;.&#10;&#10;La"/>
        <s v="¿Se informa a la persona usuaria cuál es el error en la información ingresada? &#10;Por ejemplo: no se ingresó el RUT que era un campo obligatorio y al enviar el formulario este señala claramente &quot;Debe ingresar un RUT&quot;; o se indica &quot;La contraseña debe tener p"/>
        <s v="¿Los formularios permiten cancelar o rehacer una acción?&#10;Por ejemplo, al avanzar en un formulario con múltiples pasos, existe un botón con la etiqueta &quot;Atrás&quot; para regresar a la ventana anterior.&#10;&#10;La opción &quot;No aplica&quot; es sólo si el sitio web no tiene for"/>
        <s v="¿El formulario automáticamente introduce el formateo de los datos? &#10;Por ejemplo: las personas usuarias no necesitan introducir caracteres como &quot;.&quot; o &quot;-&quot; al ingresar su RUT. En el caso de ingresar estos caracteres el sistema lo reconoce de igual forma.&#10;&#10;La"/>
        <s v="¿En los campos del formulario solo se pueden ingresar los datos que se solicitan? &#10;Por ejemplo: si en un campo solo se pide que ingrese números, el campo no aceptará otro tipo de caracteres.&#10;&#10;La opción &quot;No aplica&quot; es solo para el caso en que no exista nin"/>
        <s v="Los formularios no contienen campos o datos duplicados. &#10;Por ejemplo: en un selector, cada elemento aparece una sola vez y no se repite ninguno.&#10;&#10;La opción &quot;No aplica&quot; es solo para el caso en que no exista ningún formulario en el sitio web.&#10;"/>
        <s v="Antes de enviar una información o finalizar una interacción avanzada, ¿aparece una opción para confirmar que la acción se realizará? &#10;Por ejemplo: &quot;¿Está segura/o de eliminar el archivo&quot;.&#10;&#10;La opción &quot;No aplica&quot; es solo para el caso en que no exista ningún"/>
        <s v="Antes de enviar un formulario, ¿la persona usuaria puede ver un resumen con la información?&#10;&#10;La opción &quot;No aplica&quot; es solo para el caso en que no exista ningún formulario en el sitio web.&#10;"/>
        <s v="Condición del sitio web que permite a las personas usuarias acceder a la información expedita y oportuna, independiente de la calidad o tipo de dispositivo a través del que se está conectando."/>
        <s v="¿El sitio web puede ser navegado con la velocidad más baja de Internet móvil? &#10;Por ejemplo: la página web carga en menos de 3 segundos con una conexión 3G de datos móviles.&#10;&#10;1. Se puede realizar una prueba de rendimiento en Webpagetest, copiando la URL de"/>
        <s v="¿El sitio web carga correctamente en los navegadores web más utilizados? &#10;Por ejemplo: Google Chrome, Mozilla Firefox, Safari y Microsoft Edge.&#10;&#10;Se puede emular la visualización de una página web en otros navegadores con Google Chrome:&#10;1. Primero presiona"/>
        <s v="¿El sitio web está diseñado para cargar correctamente en cualquier dispositivo? &#10;Por ejemplo: que el sitio web sea correctamente visualizado en un celular de baja gama.&#10;&#10;Se puede emular la visualización de una página web en otros dispositivos con Google C"/>
        <s v="¿El sitio muestra la misma información en todos los tipos de conexión? &#10;Por ejemplo: el sitio web, independiente de que se utilicen datos móviles, wifi o por cable LAN (ethernet), carga todas las imágenes.&#10;&#10;Para emular la visualización de una página web c"/>
        <s v="¿El sitio se comporta de igual manera desde diferentes ubicaciones geográficas?&#10;&#10;Para emular la visualización de una página web desde diferentes ubicaciones geográficas:&#10;1. En Webpagetest, copiando la URL de la portada del sitio web y pegando en el sector"/>
        <s v="¿El sitio web sigue siendo comprensible y funcional en navegadores más antiguos o menos comunes, asegurando su compatibilidad retroactiva?&#10;&#10;Se puede emular la visualización de una página web en un navegador más antiguo en Google Chrome:&#10;1. Primero presion"/>
        <s v="Comunicación entre la persona usuaria y las distintas interfaces que provee la plataforma que se le entrega al usuario para acceder a una información o servicio. Retroalimentación hace referencia a que la interfaz de usuario proporcione información sobre "/>
        <s v="¿Existe un cambio visible cuando se selecciona o apunta a algún elemento cliqueable? &#10;Por ejemplo: cuando el puntero del cursor pasa por sobre una zona cliqueable, este cambia de flecha a mano y además se percibe un cambio de diseño, como subrayado y/o co"/>
        <s v="¿Se informa adecuadamente a las personas usuarias de la efectividad de sus interacciones? &#10;Por ejemplo: en un formulario, al seleccionar una opción de una lista, esta queda marcada de manera visible; al escoger una fecha para una cita en un calendario, es"/>
        <s v="¿Al completarse un formulario se indica que los datos registrados fueron enviados exitosamente?&#10;"/>
        <s v="¿El sistema le informa visualmente a la persona usuaria si algo sucede o sucederá tras sus interacciones? &#10;&#10;La opción &quot;No aplica&quot; es solo para el caso en que no existan formularios en el sitio web.&#10;"/>
        <s v="¿Se informa a la persona usuaria claramente el área o página que está visitando? &#10;Por ejemplo: se marca el elemento del menú que se está visitando o existe un menú de miga de pan (breadcrumb).&#10;"/>
        <s v="¿El sitio web diferencia entre enlaces visitados y enlaces por visitar? &#10;Por ejemplo: los enlaces por visitar son de color azul, mientras que los enlaces visitados son de un color morado.&#10;&#10;La opción &quot;No aplica&quot; se utiliza solo si el sitio web no incluye e"/>
        <s v="¿Existen foros o blogs que permitan la comunicación, intercambio y participación entre las personas usuarias y los responsables del sitio web?&#10;"/>
        <s v="¿Existen formas de comunicarse con la persona responsable o unidad de soporte técnico del sitio web?&#10;"/>
        <s v="¿El acceso a este contacto es fácil de encontrar?&#10;&#10;La opción &quot;No aplica&quot; es solo para el caso en que no exista ninguna forma de comunicación con el responsable del sitio web.&#10;"/>
        <s v="Capacidad del servicio digital para entregar una experiencia usuaria rápida y con una navegación fluida, sobre todo en los trámites. También considera los tiempos de la institución para dar respuestas a las solicitudes en plazos breves y acotados."/>
        <s v="¿El sitio web proporciona respuestas rápidas a las interacciones de la persona usuaria, como hacer clic en botones o enviar formularios? &#10;Por ejemplo: los formularios se envían y procesan rápidamente, proporcionando una respuesta inmediata a la persona us"/>
        <s v="¿El sitio web envía respuestas o confirmaciones de recepción automáticas e inmediatas? &#10;Por ejemplo: al enviar un formulario de contacto se recibe una notificación inmediata al correo electrónico de que fue recibido correctamente.&#10;"/>
        <s v="¿La portada del sitio web se carga completamente en menos de tres segundos? &#10;Por ejemplo: al visitar desde un PC o notebook en el navegador Google Chrome la página principal con todo el contenido, incluidas las imágenes, las hojas de estilos y los scripts"/>
        <s v="¿La portada del sitio web está diseñada y desarrollada para cargar rápidamente incluso en conexiones de Internet lentas o con límites de datos? &#10;Por ejemplo: se recomienda que pese menos de 2 MB, en total, para garantizar que se visualice rápidamente en c"/>
        <s v="¿Se respeta la organización del servicio digital y se preserva su consistencia en todas las páginas?&#10;Por ejemplo: los enlaces del menú global o los pasos del trámite aparecen en la misma posición en todo el sitio.&#10;"/>
        <s v="¿El servicio digital presenta información en un orden lógico y con zonas bien delimitadas? &#10;Por ejemplo: se diferencian las zonas de encabezado, menú, contenido y pie de página.&#10;"/>
        <s v="Si al ingresar al servicio digital por primera vez aparece un mensaje que ocupe toda la pantalla (del tipo ventana modal, emergente o pop-up), ¿este tiene una opción de cerrarse fácilmente identificable? &#10;Por ejemplo: un enlace que diga &quot;Cerrar&quot; o un botó"/>
        <s v="En los servicios en que la persona usuaria se encuentre autenticada, ¿se brinda la opción personalizada de destacar o anclar las interacciones más frecuentes?&#10;&#10;La opción &quot;No aplica&quot; es solo para el caso en que el servicio evaluado no requiera autenticació"/>
        <s v="¿Las etiquetas de los campos explican claramente cuáles datos debe entregar la persona usuaria? &#10;Por ejemplo: el campo de texto tiene una etiqueta &quot;Teléfono&quot; al lado.&#10;"/>
        <s v="¿Las etiquetas para los campos explican claramente cuáles son requeridos (obligatorios)? &#10;Por ejemplo: se indica la obligatoriedad de un campo con un asterisco.&#10;"/>
        <s v="¿Se presentan ejemplos o información contextual sobre el correcto modo de llenado de los campos? &#10;Por ejemplo: &quot;RUT sin puntos y con guión: 12345789-0&quot;.&#10;"/>
        <s v="¿El sistema genera una alerta visual en tiempo real cuando un dato no se está ingresando correctamente? &#10;Por ejemplo: la persona usuaria se equivocó al ingresar su RUT y el campo se marca con un borde de color rojo y abajo se señala &quot;RUT incorrecto&quot;.&#10;"/>
        <s v="¿Se informa a la persona usuaria cuál es el error en la información ingresada? &#10;Por ejemplo: no se ingresó el RUT que era un campo obligatorio, al enviar el formulario señala claramente &quot;Debe ingresar un RUT&quot; o se indica &quot;La contraseña debe tener por lo m"/>
        <s v="¿El formulario automáticamente introduce el formateo de los datos? &#10;Por ejemplo: las personas usuarias no necesitan introducir caracteres como &quot;.&quot; o &quot;-&quot; al ingresar su RUT. En el caso de ingresar estos caracteres el sistema los reconoce de igual forma.&#10;"/>
        <s v="¿En los campos del formulario solo se pueden ingresar los datos que se solicitan? &#10;Por ejemplo: si en un campo solo se pide que ingrese números, el campo no aceptará otro tipo de caracteres.&#10;"/>
        <s v="Los formularios no contienen campos o datos duplicados.&#10;Por ejemplo: en un selector, cada elemento aparece una sola vez y no se repite ninguno.&#10;"/>
        <s v="Antes de enviar un formulario, ¿la persona usuaria puede ver un resumen con la información?&#10;"/>
        <s v="¿El sistema permite acceder a un historial de acciones realizadas?&#10;"/>
        <s v="¿Al navegar con el teclado con la tecla &quot;Tab&quot; se respeta el orden de izquierda a derecha, de arriba hacia abajo?&#10;&#10;En el punto VI de la guía, puede consultar cómo navegar el sitio web con el teclado. &#10;"/>
        <s v="¿Es posible navegar con el teclado sin una determinada velocidad de pulsación? &#10;Por ejemplo: si se navega el sitio con la tecla &quot;Tab&quot; y la persona usuaria se detiene por más de 10 segundos para luego retomar la navegación, no debe empezar toda la navegaci"/>
        <s v="El sitio web no presenta comandos o botones de instrucción que utilicen el color como único medio de información. &#10;Por ejemplo: no se presentan botones rojos sin texto para la acción de &quot;cancelar&quot;."/>
        <s v="¿Las personas usuarias pueden completar una tarea sin cambios inesperados por límite de tiempo (exceptuando casos donde se debe cerrar la sesión con un límite de tiempo por seguridad)? &#10;Por ejemplo: completar un formulario sin que se borren los datos ante"/>
        <s v="Cuando se solicita completar la misma información en otra sección de un formulario, ¿se ofrecen opciones como autocompletar o la posibilidad de seleccionar texto previamente ingresado en el navegador?&#10;Por ejemplo: al ingresar una dirección, el navegador p"/>
        <s v="Al navegar por el teclado con la tecla &quot;Tab&quot;, ¿el foco es claramente visible?&#10;Por ejemplo: el foco es marcado con una línea de color que contraste con el diseño del sitio.&#10;"/>
        <s v="¿Los documentos descargables que están presentes en el sitio web son accesibles?&#10;Para comprobar accesibilidad en un documento Word debe dirigirse a la pestaña Revisar de Word, luego seleccionar la opción Comprobar accesibilidad, aparecerá una ventana que "/>
        <s v="Capacidad de los sistemas para intercambiar datos de manera segura y automática. Esto se traduce en una mejor experiencia usuaria gracias a que no es necesario completar datos de forma manual cuando se pueden obtener de una base de datos compartida."/>
        <s v="¿El servicio digital utiliza el sistema de ClaveÚnica para el ingreso de las personas usuarias si el sitio requiere algún tipo de autenticación?&#10;&#10;La opción &quot;No aplica&quot; es solo para el caso en que el sitio web necesite otro sistema de autenticación para ac"/>
        <s v="¿El servicio digital carga la máxima cantidad de información posible –albergada en las bases de datos de Estado– respecto de una persona usuaria, de manera tal que no tenga que volver a llenarla?&#10;"/>
        <s v="Cuando la persona usuaria ingresa con ClaveÚnica, ¿los campos de los formularios aparecen prellenados con la información asociada a ella?&#10;&#10;La opción &quot;No aplica&quot; es solo para el caso en que no se use ClaveÚnica para acceder.&#10;"/>
        <s v="En caso de tener información precargada, ¿los datos se pueden modificar?&#10;&#10;La opción &quot;No aplica&quot; es solo para el caso en que no se use ClaveÚnica para acceder. &#10;"/>
        <s v="¿Es fácil reconocer la fuente o autoría de la información publicada?&#10;Por ejemplo: se identifica claramente el nombre de la institución que publica en el encabezado o pie de cada página.&#10;"/>
        <s v="¿Son correctas la ortografía –literal, acentual y puntual– y la gramática en los contenidos? &#10;Por ejemplo: para revisar este aspecto, se puede usar un corrector ortográfico y gramatical para revisar los contenidos de las páginas de muestra. Tanto Microsof"/>
        <s v="¿Los contenidos están estructurados como respuestas a las preguntas frecuentes que podrían hacerse las personas usuarias?&#10;&#10;La opción &quot;No aplica&quot; es solo para el caso en que el sitio web no tenga contenidos.&#10;"/>
        <s v="¿Los textos, tanto de la página de inicio como del desarrollo del trámite, son breves y utilizan frases cortas en su redacción? &#10;"/>
        <s v="Si existe un texto extenso –de cuatro o más párrafos–, ¿existe un resumen al inicio?&#10;&#10;La opción &quot;No aplica&quot; es solo para el caso en que no se encuentren textos de cuatro o más párrafos.&#10;"/>
        <s v="¿Los textos de los enlaces (rótulos) son descriptivos del contenido o sitio al que dirigen o directos en el llamado a la acción que impulsan, evitando términos ambiguos como &quot;Haga clic aquí&quot; o &quot;Más&quot;? &#10;Por ejemplo: &quot;Consultar fecha de pago&quot;, &quot;Solicitar cer"/>
        <s v="¿Las funcionalidades del sitio se pueden usar correctamente desde un teléfono celular o una tablet?  &#10;Por ejemplo: si en un formulario se pide cargar documentos, esta funcionalidad no se ve interrumpida si se hace desde un teléfono celular o una tablet. &#10;"/>
        <s v="¿El sitio web utiliza el protocolo seguro HTTPS en su URL?&#10;Para verificarlo, haga doble clic en la barra de direcciones y asegúrese de que la URL comience con &quot;https://&quot;."/>
        <s v="¿El certificado SSL/TLS es válido? &#10;Por ejemplo: al revisar en Google Chrome a través del ícono &quot;Consulta la información del sitio&quot;, que se encuentra inmediatamente a la izquierda de la URL en la barra de direcciones del navegador, verificar que existe el"/>
        <s v="Capacidad exhibida por la institución pública de dar respuesta y atender las necesidades de las personas usuaria de forma completa."/>
        <s v="¿Las páginas que informan sobre un determinado trámite cuentan con un enlace al mismo?&#10;Por ejemplo: se informa sobre un nuevo bono y el contenido tiene un enlace para solicitarlo.&#10;&#10;La opción &quot;No aplica&quot; es solo para el caso en que el sitio web no tenga co"/>
        <s v="Durante la revisión, ¿los trámites y servicios en línea ofrecidos en el sitio web pueden realizarse de manera completa sin errores técnicos?"/>
        <s v="¿La institución ofrece tiempos de respuesta estimados para cada tipo de trámite o servicio en su sitio web? &#10;Por ejemplo: al solicitar un pasaporte en el sitio web del Registro Civil, se informa que el trámite se completará en 10 días hábiles.&#10;&#10;La opción "/>
        <s v="Durante la realización del trámite no fue necesario acudir a otras fuentes para encontrar información sobre cómo completarlo.&#10;"/>
        <s v="¿Existen canales de comunicación claros para que las personas usuarias puedan hacer seguimiento al estado de sus solicitudes? &#10;Por ejemplo: verificar el estado de su solicitud de renovación de cédula de identidad a través del sitio web.&#10;"/>
        <s v="¿El servicio digital estimula que las personas usuarias puedan realizar los trámites en línea?&#10;Por ejemplo: se le entrega a la persona usuaria toda la información y asistencia necesaria para que realice el trámite en línea de inicio a fin sin necesidad de"/>
        <s v="¿Se comunica que el o los trámites en línea se resuelven en menor tiempo que de manera presencial?&#10;"/>
        <s v="¿El trámite muestra en qué etapa de progreso está o se ha quedado la persona usuaria?&#10;"/>
        <s v="¿Se puede resolver todo el trámite en línea sin necesidad de ir presencialmente a una oficina?&#10;&#10;La opción &quot;No aplica&quot; es solo para el caso en que el servicio digital por su naturaleza legal requiera obligatoriamente la presencialidad para continuar o fina"/>
        <s v="El trámite, ¿se resuelve en una cantidad de pasos acotada?, es decir, no pide más datos de los realmente necesarios para el trámite. &#10;Por ejemplo: el formulario para la obtención de un beneficio no pregunta por el género de la persona usuaria si no es rea"/>
        <s v="Al finalizar un trámite, ¿se entrega a la persona usuaria información clara y sin tecnicismos?&#10;"/>
        <s v="Condición del servicio digital que permite a las personas usuarias acceder a la información expedita y oportuna, independiente de la calidad o tipo de dispositivo a través del que se está conectando."/>
        <s v="¿Se puede realizar el trámite exitosamente o acceder al servicio completamente desde el sitio web a pesar de existir también una aplicación móvil para realizarlo?&#10;"/>
        <s v="¿El servicio digital puede ser navegado con la velocidad más baja de Internet móvil? &#10;Por ejemplo: la página web carga en menos de 3 segundos con una conexión 3G de datos móviles.&#10;&#10;1. Se puede realizar una prueba de rendimiento en Webpagetest, copiando la"/>
        <s v="¿El servicio digital sigue siendo comprensible y funcional en navegadores más antiguos o menos comunes, asegurando su compatibilidad retroactiva?&#10;&#10;Se puede emular la visualización de una página web en un navegador más antiguo en Google Chrome:&#10;1. Primero "/>
        <s v="¿El servicio digital carga correctamente en los navegadores web más utilizados? &#10;Por ejemplo: Google Chrome, Mozilla Firefox, Safari y Microsoft Edge.&#10;&#10;Se puede emular la visualización de una página web en otros navegadores con Google Chrome:&#10;1. Primero p"/>
        <s v="¿El servicio digital está diseñado para cargar correctamente en cualquier dispositivo? &#10;Por ejemplo: que el sitio web sea correctamente visualizado en un celular de baja gama.&#10;&#10;Se puede emular la visualización de una página web en otros dispositivos con G"/>
        <s v="¿El sitio muestra la misma información en todos los tipos de conexión? &#10;Por ejemplo: el sitio web, independiente de que se utilicen datos móviles, wi-fi o por cable LAN (ethernet), carga todas las imágenes.&#10;&#10;Para emular la visualización de una página web "/>
        <s v="¿El servicio digital muestra la misma información desde diferentes ubicaciones geográficas?&#10;&#10;Para emular la visualización de una página web desde diferentes ubicaciones geográficas:&#10;1. En Webpagetest, copiando la URL de la portada del servicio digital y p"/>
        <s v="¿La URL del servicio digital utiliza un directorio interno o subdominio hijo del dominio principal del sitio? &#10;Por ejemplo: para un trámite de una institución cuyo dominio principal es https://sitioejemplo.cl, se espera que se utilice una URL como https:/"/>
        <s v="¿Los pasos del trámite o secciones del formulario están clasificados con criterios que les sean intuitivos y familiares para las personas usuarias?"/>
        <s v="¿La portada o el primer paso del trámite anticipa los documentos que serán requeridos en las etapas siguientes?&#10;&#10;La opción &quot;No aplica&quot; es solo para el caso en que no se requieren documentos o no haya etapas siguientes.&#10;"/>
        <s v="¿Se mantienen constantes los rótulos o etiquetas?"/>
        <s v="¿Los rótulos o etiquetas describen de forma clara y directa el contenido requerido de cada campo del formulario? &#10;"/>
        <s v="¿Se advierten claramente las opciones del menú de navegación con las etapas del proceso?&#10;&#10;La opción &quot;No aplica&quot; es solo para el caso en que el proceso tenga una sola etapa.&#10;"/>
        <s v="¿El menú está en una posición destacada?&#10;&#10;La opción &quot;No aplica&quot; es solo para el caso en que el proceso tenga una sola etapa.&#10;"/>
        <s v="¿Se identifican fácilmente los elementos cliqueables en el menú?&#10;&#10;La opción &quot;No aplica&quot; es solo para el caso en que el proceso tenga una sola etapa.&#10;"/>
        <s v="¿Existen elementos que contextualizan a la persona usuaria respecto de su ubicación, nivel de avance en la navegación y estado del sistema?&#10;&#10;La opción &quot;No aplica&quot; es solo para el caso en que el proceso tenga una sola etapa.&#10;"/>
        <s v="¿Se evita el uso de siglas, eufemismos o términos rebuscados en los rótulos o etiquetas? &#10;"/>
        <s v="No se presentan rótulos o etiquetas del tipo &quot;Haga clic aquí&quot;.&#10;"/>
        <s v="¿Se presentan vías de comunicación entre las personas usuarias y el organismo? &#10;Por ejemplo: formulario de contacto, correo electrónico y/o teléfono.&#10;"/>
        <s v="¿Se presentan documentos o recursos de información para que la persona usuaria entienda los trámites y procesos? &#10;Por ejemplo: guías, tutoriales, videos explicativos y/o manuales descargables.&#10;"/>
        <s v="El enlace a la sección de ayuda, ¿está ubicado en una zona visible y destacada?&#10;&#10;"/>
        <s v="¿Se presentan canales de atención interactivos o en tiempo real para las personas usuarias? &#10;Por ejemplo: chat, teléfono de atención, videollamada y/o asistentes virtuales.&#10;"/>
        <s v="¿Se utilizan familias tipográficas optimizadas para la lectura en pantalla, especialmente las de palo seco (sin conectores visuales entre las letras) o sin &quot;serif&quot;? &#10;Por ejemplo: Roboto, Verdana, Arial.&#10;En la guía se puede consultar cómo se identifica el "/>
        <s v="¿Su tamaño permite una adecuada legibilidad?  &#10;Por ejemplo: igual o superior a 16 puntos, con un espaciado de al menos 1,5 veces del tamaño de la fuente y alto contraste, evitando letras grises sobre fondos blancos.  &#10;En la guía se puede consultar cómo se"/>
        <s v="¿Su tamaño se adapta automáticamente al dispositivo? &#10;Esto se puede verificar revisando la estructura jerárquica adecuada entre los tamaños de los títulos, subtítulos y párrafos de texto y que el interlineado de cada párrafo facilite la lectura. También p"/>
        <s v="¿Los elementos que contienen texto informativo, como botones de acción e infografías, se disponen como texto seleccionable en vez de presentarlos dentro de una imagen?&#10;&#10;La opción &quot;No aplica&quot; corresponde solo cuando no hay botones de acción, infografías u "/>
        <s v="¿Las funcionalidades del sitio web están disponibles las 24 horas los 7 días de la semana?&#10;Por ejemplo: un formulario de contacto se puede completar y enviar cualquier día a cualquier hora.&#10;"/>
        <s v="¿La URL del sitio funciona sin y con &quot;www&quot; como prefijo de dominio? &#10;Por ejemplo: verificar que las URLs &quot;https://www.sitioejemplo.gob.cl&quot; y &quot;https://sitioejemplo.gob.cl&quot; llevan al mismo contenido del sitio web.&#10;"/>
        <s v="Si se trata un sitio web del gobierno central, ¿utiliza el dominio .gob.cl? &#10;&#10;La opción &quot;No aplica&quot; es solo para el caso en que el sitio web examinado no pertenezca al gobierno central. &#10;"/>
        <s v="¿El código HTML del sitio web no presenta errores al comprobarlo en el validador de la W3C?&#10;&#10;La opción &quot;No aplica&quot; es solo para el caso en que no sea posible utilizar la herramienta externa. &#10;"/>
        <s v="¿Los certificados o documentos descargables están optimizados para imprimirse sin dificultades o alteraciones significativas de su apariencia?&#10;&#10;La opción &quot;No aplica&quot; es solo para el caso en que no se encuentren documentos. &#10;"/>
        <s v="¿El código JavaScript está libre de errores en la consola del navegador?  &#10;Por ejemplo: no figuran errores en la consola del navegador.  &#10; &#10;Para la verificación se ingresa en la pestaña &quot;Consola&quot; (en inglés &quot;Console&quot;) del inspector de código de Google Chr"/>
        <s v="¿Existe un cambio visible cuando se selecciona o apunta a algún elemento clickable? &#10;Por ejemplo: cuando el puntero del cursor pasa por sobre una zona clickable, este cambia de flecha a mano y además se percibe un cambio de diseño, como subrayado y/o colo"/>
        <s v="¿El sistema le informa visualmente a la persona usuaria si algo sucede o sucederá tras sus interacciones? &#10;"/>
        <s v="¿Existen señales claras para indicar en qué etapa de un proceso se encuentra la persona usuaria?&#10;Por ejemplo: las barras de carga o progreso, o el número del paso en un trámite.&#10;&#10;La opción &quot;No aplica&quot; es solo cuando el proceso no implique múltiples etapas"/>
        <s v="¿El sitio informa claramente a las personas usuarias que serán redirigidos a una pasarela de pago y que esta puede ser un servicio externo?&#10;&#10;La opción &quot;No aplica&quot; es solo para el caso en que no existan pasarelas de pago en el sitio web.&#10;"/>
        <s v="¿Se informa expresamente que las condiciones de pago dependen del banco en que la persona tenga su cuenta? &#10;Por ejemplo: pago en cuotas a precio contado es una opción que ofrecen algunas tarjetas bancarias y, por tanto, no aplica para todas las personas u"/>
        <s v="¿Se informa claramente el detalle y costo total del pago, evitando cobros inesperados al llegar al último paso del proceso?&#10;Por ejemplo: se explicitan los cobros de comisión de la pasarela utilizada, costos de cancelación o gastos de gestión.&#10;&#10;La opción &quot;"/>
        <s v="¿Se pueden descargar los documentos asociados a un trámite, a modo de respaldo y comprobación? &#10;Por ejemplo: una versión completa de toda la documentación aportada en PDF.&#10;&#10;La opción &quot;No aplica&quot; se utiliza solo si el trámite no incluye documentos descarga"/>
        <s v="¿Existen foros o blogs que permitan la comunicación, intercambio y participación entre las personas usuarias y los responsables del servicio digital?&#10;"/>
        <s v="¿Existen encuestas de evaluación de la calidad del servicio digital para conocer las opiniones de los usuarios, que permitan mejorar el servicio ofrecido?&#10;"/>
        <s v="Si durante la evaluación del servicio digital se produce una interrupción, ¿el sistema se recupera rápidamente, manteniendo la continuidad del servicio? &#10;Por ejemplo: menos de 3 minutos.&#10;&#10;La opción &quot;No aplica&quot; es solo para el caso en que no ocurra ninguna"/>
        <s v="Si durante la evaluación del servicio digital se produce una interrupción, ¿el sistema no vuelve a pedir los datos llenados previamente? &#10;Por ejemplo: no se pierde toda la información ingresada a un formulario.&#10;&#10;La opción &quot;No aplica&quot; es solo para el caso "/>
        <s v="¿Existen formas de comunicarse con la persona responsable o unidad de soporte técnico del servicio digital específico?&#10;"/>
        <s v="¿Se puede avanzar por cada paso del trámite de manera fluida sin esperas mayores a 3 segundos al cargar las páginas del proceso? &#10;&#10;La opción &quot;No aplica&quot; es solo para el caso en que el trámite se realice en un formulario único sin carga de nuevas páginas.&#10;"/>
        <s v="¿El servicio digital envía respuestas o confirmaciones de recepción automáticas e inmediatas? &#10;Por ejemplo: al enviar un formulario de contacto se recibe una notificación inmediata al correo electrónico de que fue recibido correctamente.&#10;"/>
        <s v="¿El sitio presenta imágenes, videos y archivos de audio propios? &#10;Por ejemplo: una manera de comprobar autoría es buscando una imagen del sitio en el buscador de imágenes de Google.&#10;&#10;La opción &quot;No aplica&quot; es solo para el caso en que no existan imágenes, v"/>
        <s v="¿Predomina el uso de imágenes en formato de nueva generación como WebP que proporciona una mejor compresión que JPG, PNG o GIF?&#10;&#10;En el punto V de la guía, puede consultar cómo verificar el formato de las imágenes. &#10;&#10;La opción &quot;No aplica&quot; es solo para el c"/>
        <s v="¿Las imágenes pesan menos de 600 KB para no ralentizar la carga de la página?&#10;&#10;En el punto V de la guía, puede consultar cómo verificar el peso de las imágenes.&#10;&#10;La opción &quot;No aplica&quot; es solo para el caso en que no existan imágenes en el sitio web.&#10;"/>
        <s v="¿Las imágenes del sitio están libres de sexismo y estereotipos de género? &#10;Por ejemplo: no se identifican profesiones ni actividades exclusivamente como femeninas o masculinas (como representar la ingeniería con fotos sólo masculinas o en el caso de la ed"/>
        <s v="Cuando se utiliza musicalización en videos o archivos de audios, ¿las letras de canciones utilizadas están libres de sexismo y de palabras o términos discriminatorios?&#10;&#10;La opción &quot;No aplica&quot; es solo para el caso en que no existan videos o audio en el siti"/>
        <s v="¿Es proporcional por género la representatividad en contenidos, imágenes, vídeos y audios publicados?&#10;&#10;La opción &quot;No aplica&quot; es solo para el caso en que no existan contenidos, imágenes, videos o audios en el sitio web. &#10;"/>
        <s v="¿El servicio digital cuenta con un mecanismo oficial de autenticación que permita autenticar personas sin RUT?&#10;&#10;Los mecanismos se pueden revisar en la Norma Técnica de Autenticación"/>
        <s v="¿La página de entrada al trámite permite ser traducida con la opción de traducción automática del navegador? &#10;&#10;Para verificar este aspecto, en Google Chrome al hacer clic con el botón secundario elegir la opción &quot;Traducir al español&quot; (aunque ya esté en es"/>
        <s v="¿Los servicios y formularios están confeccionados considerando igualdad de oportunidades de acceso para personas usuarias de todas las regiones? &#10;Por ejemplo: que la persona usuaria pueda finalizar el trámite en línea sin necesidad de acudir a una oficina"/>
        <s v="¿El diseño considera contrastes y combinaciones de color aptos para el daltonismo? &#10;Por ejemplo: esto se puede evaluar sacando una captura de pantalla del sitio web y revisando en el simulador de daltonismo del sitio web de Color Lite Lens: luego de subir"/>
        <s v="¿Se presenta al menos un texto redactado con la técnica de Lectura Fácil? &#10;Por ejemplo: es posible observar texto organizado con frases sencillas y cortas, en caso de existir palabras poco comunes, estas cuentan con un cuadro con la definición al costado "/>
        <s v="¿Las personas usuarias pueden modificar el diseño del sitio web o servicio digital para verlo en escala de grises o alto contraste por medio de un botón presente en el sitio?&#10;"/>
        <s v="¿Se genera una pre visualización que muestra una imagen y el título del contenido al compartir la página de inicio del trámite por redes sociales? &#10;Por ejemplo: al pegar la URL de la página de inicio en una conversación en WhatsApp el mensaje genera una v"/>
        <s v="¿La metaetiqueta &quot;description&quot; de la página de inicio del trámite utiliza las palabras claves para identificar el contenido que esta contiene y lo hace en menos de 160 caracteres? &#10;Por ejemplo: al revisar el código fuente del sitio del Ministerio de Salud"/>
        <s v="¿El sitio no obliga a realizar acciones forzadas a la persona usuaria para completar su tarea u obtener un servicio? Por ejemplo: registrar una cuenta o suscribirse a un boletín informativo.&#10;"/>
      </sharedItems>
    </cacheField>
    <cacheField name="Respuesta">
      <sharedItems containsBlank="1" containsMixedTypes="1" containsNumber="1" containsInteger="1">
        <m/>
        <s v="% cumplimiento Imprescindible"/>
        <s v="% cumplimiento Esperable"/>
        <s v="% cumplimiento Deseable"/>
        <s v="Respuesta"/>
        <n v="0.0"/>
        <s v="Por responder"/>
        <s v="% cumplimiento Imprescindibles"/>
      </sharedItems>
    </cacheField>
  </cacheFields>
</pivotCacheDefinition>
</file>

<file path=xl/pivotCache/pivotCacheDefinition2.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Q997" sheet="Ej.v2"/>
  </cacheSource>
  <cacheFields>
    <cacheField name="Dimensión" numFmtId="0">
      <sharedItems containsBlank="1">
        <s v="Procedimientos administrativos y otras tramitaciones electrónicas"/>
        <s v="Calidad web y servicios digitales"/>
        <s v="Gestión de datos"/>
        <m/>
      </sharedItems>
    </cacheField>
    <cacheField name="Instrumento" numFmtId="0">
      <sharedItems containsBlank="1">
        <s v="  Instrumento de evaluación de Procedimientos administrativos"/>
        <s v="  Instrumento de evaluación de calidad para sitios web"/>
        <s v="  Instrumento de evaluación de calidad para servicios digitales transaccionales"/>
        <s v="  Instrumento de evaluación de la Gestión de datos"/>
        <m/>
      </sharedItems>
    </cacheField>
    <cacheField name="ID_Iniciativa" numFmtId="165">
      <sharedItems containsDate="1" containsString="0" containsBlank="1">
        <d v="2025-01-01T00:00:00Z"/>
        <d v="2025-02-01T00:00:00Z"/>
        <d v="2025-03-01T00:00:00Z"/>
        <d v="2025-04-01T00:00:00Z"/>
        <d v="2025-05-01T00:00:00Z"/>
        <d v="2025-06-01T00:00:00Z"/>
        <d v="2001-01-02T00:00:00Z"/>
        <d v="2002-01-02T00:00:00Z"/>
        <d v="2003-01-02T00:00:00Z"/>
        <d v="2004-01-02T00:00:00Z"/>
        <d v="2005-01-02T00:00:00Z"/>
        <d v="2006-01-02T00:00:00Z"/>
        <d v="2007-01-02T00:00:00Z"/>
        <d v="2008-01-02T00:00:00Z"/>
        <d v="2009-01-02T00:00:00Z"/>
        <d v="2010-01-02T00:00:00Z"/>
        <d v="2011-01-02T00:00:00Z"/>
        <d v="2012-01-02T00:00:00Z"/>
        <d v="2013-01-02T00:00:00Z"/>
        <d v="2014-01-02T00:00:00Z"/>
        <d v="2015-01-02T00:00:00Z"/>
        <d v="2016-01-02T00:00:00Z"/>
        <d v="2017-01-02T00:00:00Z"/>
        <d v="2018-01-02T00:00:00Z"/>
        <d v="2019-01-02T00:00:00Z"/>
        <d v="2020-01-02T00:00:00Z"/>
        <d v="2001-02-02T00:00:00Z"/>
        <d v="2002-02-02T00:00:00Z"/>
        <d v="2003-02-02T00:00:00Z"/>
        <d v="2004-02-02T00:00:00Z"/>
        <d v="2005-02-02T00:00:00Z"/>
        <d v="2006-02-02T00:00:00Z"/>
        <d v="2007-02-02T00:00:00Z"/>
        <d v="2008-02-02T00:00:00Z"/>
        <d v="2009-02-02T00:00:00Z"/>
        <d v="2010-02-02T00:00:00Z"/>
        <d v="2011-02-02T00:00:00Z"/>
        <d v="2012-02-02T00:00:00Z"/>
        <d v="2013-02-02T00:00:00Z"/>
        <d v="2014-02-02T00:00:00Z"/>
        <d v="2015-02-02T00:00:00Z"/>
        <d v="2016-02-02T00:00:00Z"/>
        <d v="2017-02-02T00:00:00Z"/>
        <d v="2018-02-02T00:00:00Z"/>
        <d v="2019-02-02T00:00:00Z"/>
        <d v="2020-02-02T00:00:00Z"/>
        <d v="2025-01-03T00:00:00Z"/>
        <d v="2025-02-03T00:00:00Z"/>
        <d v="2025-03-03T00:00:00Z"/>
        <d v="2025-04-03T00:00:00Z"/>
        <d v="2025-05-03T00:00:00Z"/>
        <d v="2025-06-03T00:00:00Z"/>
        <d v="2025-07-03T00:00:00Z"/>
        <d v="2025-08-03T00:00:00Z"/>
        <d v="2025-09-03T00:00:00Z"/>
        <d v="2025-10-03T00:00:00Z"/>
        <d v="2025-11-03T00:00:00Z"/>
        <d v="2025-12-03T00:00:00Z"/>
        <m/>
      </sharedItems>
    </cacheField>
    <cacheField name="Nombre_Iniciativa" numFmtId="0">
      <sharedItems containsBlank="1">
        <s v="Implementación de Autenticación Digital con Mecanismos Oficiales"/>
        <s v="Adopción de la Interoperabilidad del Estado"/>
        <s v="Implementación de Notificaciones Electrónicas"/>
        <s v="Digitalización del Ingreso de Trámites"/>
        <s v="Implementación del Expediente Electrónico"/>
        <s v="Adopción de Comunicaciones Oficiales Electrónicas"/>
        <s v="Fortalecimiento de Contenido y Lenguaje Claro"/>
        <s v="Fortalecimiento de la Usabilidad"/>
        <s v="Garantía de la Accesibilidad Web"/>
        <s v="Fortalecimiento de Arquitectura de información"/>
        <s v="Fortalecimiento de Búsqueda y encontrabilidad"/>
        <s v="Fortalecimiento de Responsividad móvil"/>
        <s v="Fortalecimiento de Diseño e imagen institucional"/>
        <s v="Fortalecimiento de Seguridad"/>
        <s v="Fortalecimiento de Tecnología"/>
        <s v="Fortalecimiento de Atención a la ciudadanía"/>
        <s v="Fortalecimiento de Audiovisualidad"/>
        <s v="Fortalecimiento de Enfoque de género"/>
        <s v="Fortalecimiento de Imparcialidad e igualdad de trato"/>
        <s v="Fortalecimiento de Inclusión"/>
        <s v="Fortalecimiento de Promoción"/>
        <s v="Fortalecimiento de Transparencia y apertura"/>
        <s v="Fortalecimiento de Prevención de errores"/>
        <s v="Fortalecimiento de Facilidad de acceso e independencia tecnológica"/>
        <s v="Fortalecimiento de Interacción y retroalimentación"/>
        <s v="Fortalecimiento de Rapidez de respuesta"/>
        <s v="Fortalecimiento de la Usabilidad en Servicios Digitales"/>
        <s v="Fortalecimiento de Prevención de errores en Servicios Digitales"/>
        <s v="Fortalecimiento de Accesibilidad web en Servicios Digitales"/>
        <s v="Fortalecimiento de Interoperabilidad en Servicios Digitales"/>
        <s v="Fortalecimiento de Contenido y lenguaje claro en Servicios Digitales"/>
        <s v="Fortalecimiento de Responsividad móvil en Servicios Digitales"/>
        <s v="Fortalecimiento de Seguridad en Servicios Digitales"/>
        <s v="Fortalecimiento de Resolutividad en Servicios Digitales"/>
        <s v="Fortalecimiento de Facilidad de acceso e independencia tecnológica en Servicios Digitales"/>
        <s v="Fortalecimiento de Arquitectura de información en Servicios Digitales"/>
        <s v="Fortalecimiento de Atención a la ciudadanía en Servicios Digitales"/>
        <s v="Fortalecimiento de Diseño e imagen institucional en Servicios Digitales"/>
        <s v="Fortalecimiento de Tecnología en Servicios Digitales"/>
        <s v="Fortalecimiento de Interacción y retroalimentación en Servicios Digitales"/>
        <s v="Fortalecimiento de Rapidez de respuesta en Servicios Digitales"/>
        <s v="Fortalecimiento de Audiovisualidad en Servicios Digitales"/>
        <s v="Fortalecimiento de Enfoque de género en Servicios Digitales"/>
        <s v="Fortalecimiento de Imparcialidad e igualdad de trato en Servicios Digitales"/>
        <s v="Fortalecimiento de Inclusión en Servicios Digitales"/>
        <s v="Fortalecimiento de Promoción en Servicios Digitales"/>
        <s v="Implementación del Nivel Básico de Visión estratégica"/>
        <s v="Implementación del Nivel Básico de Gobernanza de datos"/>
        <s v="Implementación del Nivel Básico de Arquitectura, diseño y documentación"/>
        <s v="Implementación del Nivel Básico de Almacenamiento y operación"/>
        <s v="Implementación del Nivel Básico de Seguridad y ciberseguridad de datos"/>
        <s v="Implementación del Nivel Básico de Integración e interoperabilidad"/>
        <s v="Implementación del Nivel Básico de Documentos y contenidos"/>
        <s v="Implementación del Nivel Básico de Datos maestros y de referencia"/>
        <s v="Implementación del Nivel Básico de Analítica e inteligencia de negocios"/>
        <s v="Implementación del Nivel Básico de Calidad de datos"/>
        <s v="Implementación del Nivel Básico de Datos abiertos"/>
        <s v="Implementación del Nivel Básico de Aspectos legales y normativos"/>
        <m/>
      </sharedItems>
    </cacheField>
    <cacheField name="Subdimension" numFmtId="0">
      <sharedItems containsBlank="1">
        <s v="Utilizar autenticación digital mediante mecanismos oficiales"/>
        <s v="Interoperar para obtener y/o entregar datos, documentos y expedientes de otros Órganos de la Administración del Estado"/>
        <s v="Enviar notificaciones por medios electrónicos"/>
        <s v="Utilizar una o más plataformas electrónicas (Ingreso de solicitudes)"/>
        <s v="Contar con expediente electrónico que brinda acceso a los interesados"/>
        <s v="Enviar y recepcionar electrónicamente las comunicaciones oficiales entre los Órganos de la Administración del Estado"/>
        <s v="1. Contenido y lenguaje claro"/>
        <s v="2. Usabilidad"/>
        <s v="3. Accesibilidad web"/>
        <s v="4. Arquitectura de información"/>
        <s v="5. Búsqueda y encontrabilidad"/>
        <s v="6. Responsividad móvil"/>
        <s v="7. Diseño e imagen institucional"/>
        <s v="8. Seguridad"/>
        <s v="9. Tecnología"/>
        <s v="10. Atención a la ciudadanía"/>
        <s v="11. Audiovisualidad"/>
        <s v="12. Enfoque de género"/>
        <s v="13. Imparcialidad e igualdad de trato"/>
        <s v="14. Inclusión"/>
        <s v="15. Promoción"/>
        <s v="16. Transparencia y apertura"/>
        <s v="17. Prevención de errores"/>
        <s v="18. Facilidad de acceso e independencia tecnológica"/>
        <s v="19. Interacción y retroalimentación"/>
        <s v="20. Rapidez de respuesta"/>
        <s v="1. Usabilidad"/>
        <s v="2. Prevención de errores"/>
        <s v="4. Interoperabilidad"/>
        <s v="5. Contenido y lenguaje claro"/>
        <s v="7. Seguridad"/>
        <s v="8. Resolutividad"/>
        <s v="9. Facilidad de acceso e independencia tecnológica"/>
        <s v="10. Arquitectura de información"/>
        <s v="11. Atención a la ciudadanía"/>
        <s v="12. Diseño e imagen institucional"/>
        <s v="13. Tecnología"/>
        <s v="14. Interacción y retroalimentación"/>
        <s v="15. Rapidez de respuesta"/>
        <s v="16. Audiovisualidad"/>
        <s v="17. Enfoque de género"/>
        <s v="18. Imparcialidad e igualdad de trato"/>
        <s v="19. Inclusión"/>
        <s v="20. Promoción"/>
        <s v="1. Visión estratégica"/>
        <s v="2. Gobernanza de datos"/>
        <s v="3. Arquitectura, diseño y documentación"/>
        <s v="4. Almacenamiento y operación"/>
        <s v="5. Seguridad y ciberseguridad de datos"/>
        <s v="6. Integración e interoperabilidad"/>
        <s v="7. Documentos y contenidos"/>
        <s v="8. Datos maestros y de referencia"/>
        <s v="9. Analítica e inteligencia de negocios"/>
        <s v="10. Calidad de datos"/>
        <s v="11. Datos abiertos"/>
        <s v="12. Aspectos legales y normativos"/>
        <m/>
      </sharedItems>
    </cacheField>
    <cacheField name="Ponderacion">
      <sharedItems containsBlank="1" containsMixedTypes="1" containsNumber="1">
        <n v="0.16666666666666666"/>
        <n v="0.13"/>
        <n v="0.1"/>
        <n v="0.08"/>
        <n v="0.06"/>
        <n v="0.05"/>
        <n v="0.04"/>
        <n v="0.03"/>
        <n v="0.02"/>
        <s v="8.3%"/>
        <m/>
      </sharedItems>
    </cacheField>
    <cacheField name="Brecha" numFmtId="0">
      <sharedItems containsBlank="1">
        <s v="Trámites en línea que utilizan mecanismos de autenticación débiles (usuario/contraseña internos) o no oficiales, incumpliendo la normativa y generando riesgos de seguridad."/>
        <s v="La institución solicita a los usuarios certificados o documentos que son emitidos por otros organismos del Estado, contraviniendo el principio de 'cero filas' y la Ley N° 21.180."/>
        <s v="Las notificaciones sobre el estado de los trámites se realizan por medios no electrónicos (carta certificada) o no se realizan, generando incertidumbre y costos."/>
        <s v="Trámites de alta demanda que solo pueden iniciarse de manera presencial, limitando el acceso y contraviniendo los objetivos de la transformación digital."/>
        <s v="La tramitación se basa en expedientes físicos o sistemas que no consolidan la información ni permiten el acceso en línea a los interesados."/>
        <s v="La institución utiliza medios físicos (papel) para el envío y recepción de oficios, generando altos costos, demoras y falta de trazabilidad."/>
        <s v="El contenido del sitio web es ambiguo, incompleto o utiliza jerga técnica, dificultando la comprensión por parte de los usuarios."/>
        <s v="El diseño y la estructura del sitio web son poco intuitivos."/>
        <s v="El sitio web presenta barreras que impiden o dificultan el acceso a personas en situación de discapacidad."/>
        <s v="Bajo cumplimiento de los criterios de la subdimensión 'Arquitectura de información', afectando la calidad general del sitio web."/>
        <s v="Bajo cumplimiento de los criterios de la subdimensión 'Búsqueda y encontrabilidad', afectando la calidad general del sitio web."/>
        <s v="Bajo cumplimiento de los criterios de la subdimensión 'Responsividad móvil', afectando la calidad general del sitio web."/>
        <s v="Bajo cumplimiento de los criterios de la subdimensión 'Diseño e imagen institucional', afectando la calidad general del sitio web."/>
        <s v="Bajo cumplimiento de los criterios de la subdimensión 'Seguridad', afectando la calidad general del sitio web."/>
        <s v="Bajo cumplimiento de los criterios de la subdimensión 'Tecnología', afectando la calidad general del sitio web."/>
        <s v="Bajo cumplimiento de los criterios de la subdimensión 'Atención a la ciudadanía', afectando la calidad general del sitio web."/>
        <s v="Bajo cumplimiento de los criterios de la subdimensión 'Audiovisualidad', afectando la calidad general del sitio web."/>
        <s v="Bajo cumplimiento de los criterios de la subdimensión 'Enfoque de género', afectando la calidad general del sitio web."/>
        <s v="Bajo cumplimiento de los criterios de la subdimensión 'Imparcialidad e igualdad de trato', afectando la calidad general del sitio web."/>
        <s v="Bajo cumplimiento de los criterios de la subdimensión 'Inclusión', afectando la calidad general del sitio web."/>
        <s v="Bajo cumplimiento de los criterios de la subdimensión 'Promoción', afectando la calidad general del sitio web."/>
        <s v="Bajo cumplimiento de los criterios de la subdimensión 'Transparencia y apertura', afectando la calidad general del sitio web."/>
        <s v="Bajo cumplimiento de los criterios de la subdimensión 'Prevención de errores', afectando la calidad general del sitio web."/>
        <s v="Bajo cumplimiento de los criterios de la subdimensión 'Facilidad de acceso e independencia tecnológica', afectando la calidad general del sitio web."/>
        <s v="Bajo cumplimiento de los criterios de la subdimensión 'Interacción y retroalimentación', afectando la calidad general del sitio web."/>
        <s v="Bajo cumplimiento de los criterios de la subdimensión 'Rapidez de respuesta', afectando la calidad general del sitio web."/>
        <s v="El flujo del trámite en línea es confuso, con pasos innecesarios que provocan el abandono del usuario antes de completarlo."/>
        <s v="Bajo cumplimiento de los criterios de la subdimensión 'Prevención de errores', afectando la capacidad del usuario para completar el trámite de forma exitosa."/>
        <s v="Bajo cumplimiento de los criterios de la subdimensión 'Accesibilidad web', afectando la capacidad del usuario para completar el trámite de forma exitosa."/>
        <s v="Bajo cumplimiento de los criterios de la subdimensión 'Interoperabilidad', afectando la capacidad del usuario para completar el trámite de forma exitosa."/>
        <s v="Bajo cumplimiento de los criterios de la subdimensión 'Contenido y lenguaje claro', afectando la capacidad del usuario para completar el trámite de forma exitosa."/>
        <s v="Bajo cumplimiento de los criterios de la subdimensión 'Responsividad móvil', afectando la capacidad del usuario para completar el trámite de forma exitosa."/>
        <s v="Bajo cumplimiento de los criterios de la subdimensión 'Seguridad', afectando la capacidad del usuario para completar el trámite de forma exitosa."/>
        <s v="Bajo cumplimiento de los criterios de la subdimensión 'Resolutividad', afectando la capacidad del usuario para completar el trámite de forma exitosa."/>
        <s v="Bajo cumplimiento de los criterios de la subdimensión 'Facilidad de acceso e independencia tecnológica', afectando la capacidad del usuario para completar el trámite de forma exitosa."/>
        <s v="Bajo cumplimiento de los criterios de la subdimensión 'Arquitectura de información', afectando la capacidad del usuario para completar el trámite de forma exitosa."/>
        <s v="Bajo cumplimiento de los criterios de la subdimensión 'Atención a la ciudadanía', afectando la capacidad del usuario para completar el trámite de forma exitosa."/>
        <s v="Bajo cumplimiento de los criterios de la subdimensión 'Diseño e imagen institucional', afectando la capacidad del usuario para completar el trámite de forma exitosa."/>
        <s v="Bajo cumplimiento de los criterios de la subdimensión 'Tecnología', afectando la capacidad del usuario para completar el trámite de forma exitosa."/>
        <s v="Bajo cumplimiento de los criterios de la subdimensión 'Interacción y retroalimentación', afectando la capacidad del usuario para completar el trámite de forma exitosa."/>
        <s v="Bajo cumplimiento de los criterios de la subdimensión 'Rapidez de respuesta', afectando la capacidad del usuario para completar el trámite de forma exitosa."/>
        <s v="Bajo cumplimiento de los criterios de la subdimensión 'Audiovisualidad', afectando la capacidad del usuario para completar el trámite de forma exitosa."/>
        <s v="Bajo cumplimiento de los criterios de la subdimensión 'Enfoque de género', afectando la capacidad del usuario para completar el trámite de forma exitosa."/>
        <s v="Bajo cumplimiento de los criterios de la subdimensión 'Imparcialidad e igualdad de trato', afectando la capacidad del usuario para completar el trámite de forma exitosa."/>
        <s v="Bajo cumplimiento de los criterios de la subdimensión 'Inclusión', afectando la capacidad del usuario para completar el trámite de forma exitosa."/>
        <s v="Bajo cumplimiento de los criterios de la subdimensión 'Promoción', afectando la capacidad del usuario para completar el trámite de forma exitosa."/>
        <s v="Nivel de madurez 'Insuficiente' en la dimensión 'Visión estratégica', impidiendo la correcta gestión y aprovechamiento de los datos como activo estratégico."/>
        <s v="Nivel de madurez 'Insuficiente' en la dimensión 'Gobernanza de datos', impidiendo la correcta gestión y aprovechamiento de los datos como activo estratégico."/>
        <s v="Nivel de madurez 'Insuficiente' en la dimensión 'Arquitectura, diseño y documentación', impidiendo la correcta gestión y aprovechamiento de los datos como activo estratégico."/>
        <s v="Nivel de madurez 'Insuficiente' en la dimensión 'Almacenamiento y operación', impidiendo la correcta gestión y aprovechamiento de los datos como activo estratégico."/>
        <s v="Nivel de madurez 'Insuficiente' en la dimensión 'Seguridad y ciberseguridad de datos', impidiendo la correcta gestión y aprovechamiento de los datos como activo estratégico."/>
        <s v="Nivel de madurez 'Insuficiente' en la dimensión 'Integración e interoperabilidad', impidiendo la correcta gestión y aprovechamiento de los datos como activo estratégico."/>
        <s v="Nivel de madurez 'Insuficiente' en la dimensión 'Documentos y contenidos', impidiendo la correcta gestión y aprovechamiento de los datos como activo estratégico."/>
        <s v="Nivel de madurez 'Insuficiente' en la dimensión 'Datos maestros y de referencia', impidiendo la correcta gestión y aprovechamiento de los datos como activo estratégico."/>
        <s v="Nivel de madurez 'Insuficiente' en la dimensión 'Analítica e inteligencia de negocios', impidiendo la correcta gestión y aprovechamiento de los datos como activo estratégico."/>
        <s v="Nivel de madurez 'Insuficiente' en la dimensión 'Calidad de datos', impidiendo la correcta gestión y aprovechamiento de los datos como activo estratégico."/>
        <s v="Nivel de madurez 'Insuficiente' en la dimensión 'Datos abiertos', impidiendo la correcta gestión y aprovechamiento de los datos como activo estratégico."/>
        <s v="Nivel de madurez 'Insuficiente' en la dimensión 'Aspectos legales y normativos', impidiendo la correcta gestión y aprovechamiento de los datos como activo estratégico."/>
        <m/>
      </sharedItems>
    </cacheField>
    <cacheField name="Indicador_Proceso" numFmtId="0">
      <sharedItems containsBlank="1">
        <s v="Porcentaje de avance en el plan de integración de ClaveÚnica en las plataformas institucionales."/>
        <s v="Número de servicios de interoperabilidad de la plataforma PISEE implementados y en producción."/>
        <s v="Porcentaje de trámites que han sido integrados al sistema de notificaciones electrónicas."/>
        <s v="Número de trámites prioritarios que han sido digitalizados para su inicio en línea."/>
        <s v="Porcentaje de avance en la implementación de la plataforma de expediente electrónico."/>
        <s v="Porcentaje de funcionarios capacitados en la nueva plataforma de comunicaciones oficiales."/>
        <s v="Porcentaje de páginas del sitio web revisadas y reescritas bajo los principios de lenguaje claro."/>
        <s v="Número de pruebas de usabilidad realizadas con usuarios reales."/>
        <s v="Porcentaje de avance en la corrección de errores de accesibilidad reportados."/>
        <s v="Porcentaje de avance en el plan de acción para la subdimensión."/>
        <s v="Número de flujos de trámite rediseñados y probados con usuarios reales."/>
        <s v="Porcentaje de avance en el plan de acción para la subdimensión 'Prevención de errores'."/>
        <s v="Porcentaje de avance en el plan de acción para la subdimensión 'Accesibilidad web'."/>
        <s v="Porcentaje de avance en el plan de acción para la subdimensión 'Interoperabilidad'."/>
        <s v="Porcentaje de avance en el plan de acción para la subdimensión 'Contenido y lenguaje claro'."/>
        <s v="Porcentaje de avance en el plan de acción para la subdimensión 'Responsividad móvil'."/>
        <s v="Porcentaje de avance en el plan de acción para la subdimensión 'Seguridad'."/>
        <s v="Porcentaje de avance en el plan de acción para la subdimensión 'Resolutividad'."/>
        <s v="Porcentaje de avance en el plan de acción para la subdimensión 'Facilidad de acceso e independencia tecnológica'."/>
        <s v="Porcentaje de avance en el plan de acción para la subdimensión 'Arquitectura de información'."/>
        <s v="Porcentaje de avance en el plan de acción para la subdimensión 'Atención a la ciudadanía'."/>
        <s v="Porcentaje de avance en el plan de acción para la subdimensión 'Diseño e imagen institucional'."/>
        <s v="Porcentaje de avance en el plan de acción para la subdimensión 'Tecnología'."/>
        <s v="Porcentaje de avance en el plan de acción para la subdimensión 'Interacción y retroalimentación'."/>
        <s v="Porcentaje de avance en el plan de acción para la subdimensión 'Rapidez de respuesta'."/>
        <s v="Porcentaje de avance en el plan de acción para la subdimensión 'Audiovisualidad'."/>
        <s v="Porcentaje de avance en el plan de acción para la subdimensión 'Enfoque de género'."/>
        <s v="Porcentaje de avance en el plan de acción para la subdimensión 'Imparcialidad e igualdad de trato'."/>
        <s v="Porcentaje de avance en el plan de acción para la subdimensión 'Inclusión'."/>
        <s v="Porcentaje de avance en el plan de acción para la subdimensión 'Promoción'."/>
        <s v="Porcentaje de avance en la ejecución de la Hoja de Ruta del MGDE para alcanzar el nivel 'Básico' en la dimensión."/>
        <m/>
      </sharedItems>
    </cacheField>
    <cacheField name="Indicador_Impacto" numFmtId="0">
      <sharedItems containsBlank="1">
        <s v="Porcentaje de trámites en línea que utilizan ClaveÚnica como mecanismo de autenticación (Meta: 100%)."/>
        <s v="Número de documentos de otros organismos que se han dejado de solicitar a los usuarios gracias a la interoperación."/>
        <s v="Porcentaje de notificaciones de procedimientos administrativos que se envían por medios electrónicos (Meta: 100%)."/>
        <s v="Porcentaje de trámites de la institución que pueden ser iniciados a través de una plataforma electrónica."/>
        <s v="Porcentaje de nuevos procedimientos administrativos que se gestionan sobre una plataforma de expediente electrónico."/>
        <s v="Porcentaje de comunicaciones oficiales (oficios emitidos) que se gestionan por vía electrónica (Meta: 100%)."/>
        <s v="Aumento en el puntaje ponderado de la subdimensión en la siguiente evaluación."/>
        <s v="Aumento en la tasa de éxito de tareas clave evaluadas en las pruebas de usabilidad."/>
        <s v="Nivel de conformidad alcanzado según las Pautas de Accesibilidad (WCAG)."/>
        <s v="Aumento en el puntaje ponderado de la subdimensión 'Arquitectura de información'."/>
        <s v="Aumento en el puntaje ponderado de la subdimensión 'Búsqueda y encontrabilidad'."/>
        <s v="Aumento en el puntaje ponderado de la subdimensión 'Responsividad móvil'."/>
        <s v="Aumento en el puntaje ponderado de la subdimensión 'Diseño e imagen institucional'."/>
        <s v="Aumento en el puntaje ponderado de la subdimensión 'Seguridad'."/>
        <s v="Aumento en el puntaje ponderado de la subdimensión 'Tecnología'."/>
        <s v="Aumento en el puntaje ponderado de la subdimensión 'Atención a la ciudadanía'."/>
        <s v="Aumento en el puntaje ponderado de la subdimensión 'Audiovisualidad'."/>
        <s v="Aumento en el puntaje ponderado de la subdimensión 'Enfoque de género'."/>
        <s v="Aumento en el puntaje ponderado de la subdimensión 'Imparcialidad e igualdad de trato'."/>
        <s v="Aumento en el puntaje ponderado de la subdimensión 'Inclusión'."/>
        <s v="Aumento en el puntaje ponderado de la subdimensión 'Promoción'."/>
        <s v="Aumento en el puntaje ponderado de la subdimensión 'Transparencia y apertura'."/>
        <s v="Aumento en el puntaje ponderado de la subdimensión 'Prevención de errores'."/>
        <s v="Aumento en el puntaje ponderado de la subdimensión 'Facilidad de acceso e independencia tecnológica'."/>
        <s v="Aumento en el puntaje ponderado de la subdimensión 'Interacción y retroalimentación'."/>
        <s v="Aumento en el puntaje ponderado de la subdimensión 'Rapidez de respuesta'."/>
        <s v="Reducción de la tasa de abandono durante el flujo del trámite en línea."/>
        <s v="Aumento en el puntaje ponderado de la subdimensión 'Prevención de errores' en la siguiente evaluación del servicio."/>
        <s v="Aumento en el puntaje ponderado de la subdimensión 'Accesibilidad web' en la siguiente evaluación del servicio."/>
        <s v="Aumento en el puntaje ponderado de la subdimensión 'Interoperabilidad' en la siguiente evaluación del servicio."/>
        <s v="Aumento en el puntaje ponderado de la subdimensión 'Contenido y lenguaje claro' en la siguiente evaluación del servicio."/>
        <s v="Aumento en el puntaje ponderado de la subdimensión 'Responsividad móvil' en la siguiente evaluación del servicio."/>
        <s v="Aumento en el puntaje ponderado de la subdimensión 'Seguridad' en la siguiente evaluación del servicio."/>
        <s v="Aumento en el puntaje ponderado de la subdimensión 'Resolutividad' en la siguiente evaluación del servicio."/>
        <s v="Aumento en el puntaje ponderado de la subdimensión 'Facilidad de acceso e independencia tecnológica' en la siguiente evaluación del servicio."/>
        <s v="Aumento en el puntaje ponderado de la subdimensión 'Arquitectura de información' en la siguiente evaluación del servicio."/>
        <s v="Aumento en el puntaje ponderado de la subdimensión 'Atención a la ciudadanía' en la siguiente evaluación del servicio."/>
        <s v="Aumento en el puntaje ponderado de la subdimensión 'Diseño e imagen institucional' en la siguiente evaluación del servicio."/>
        <s v="Aumento en el puntaje ponderado de la subdimensión 'Tecnología' en la siguiente evaluación del servicio."/>
        <s v="Aumento en el puntaje ponderado de la subdimensión 'Interacción y retroalimentación' en la siguiente evaluación del servicio."/>
        <s v="Aumento en el puntaje ponderado de la subdimensión 'Rapidez de respuesta' en la siguiente evaluación del servicio."/>
        <s v="Aumento en el puntaje ponderado de la subdimensión 'Audiovisualidad' en la siguiente evaluación del servicio."/>
        <s v="Aumento en el puntaje ponderado de la subdimensión 'Enfoque de género' en la siguiente evaluación del servicio."/>
        <s v="Aumento en el puntaje ponderado de la subdimensión 'Imparcialidad e igualdad de trato' en la siguiente evaluación del servicio."/>
        <s v="Aumento en el puntaje ponderado de la subdimensión 'Inclusión' en la siguiente evaluación del servicio."/>
        <s v="Aumento en el puntaje ponderado de la subdimensión 'Promoción' en la siguiente evaluación del servicio."/>
        <s v="Calificación de 'Básico' obtenida en la autoevaluación del MGDE para la dimensión 'Visión estratégica'."/>
        <s v="Calificación de 'Básico' obtenida en la autoevaluación del MGDE para la dimensión 'Gobernanza de datos'."/>
        <s v="Calificación de 'Básico' obtenida en la autoevaluación del MGDE para la dimensión 'Arquitectura, diseño y documentación'."/>
        <s v="Calificación de 'Básico' obtenida en la autoevaluación del MGDE para la dimensión 'Almacenamiento y operación'."/>
        <s v="Calificación de 'Básico' obtenida en la autoevaluación del MGDE para la dimensión 'Seguridad y ciberseguridad de datos'."/>
        <s v="Calificación de 'Básico' obtenida en la autoevaluación del MGDE para la dimensión 'Integración e interoperabilidad'."/>
        <s v="Calificación de 'Básico' obtenida en la autoevaluación del MGDE para la dimensión 'Documentos y contenidos'."/>
        <s v="Calificación de 'Básico' obtenida en la autoevaluación del MGDE para la dimensión 'Datos maestros y de referencia'."/>
        <s v="Calificación de 'Básico' obtenida en la autoevaluación del MGDE para la dimensión 'Analítica e inteligencia de negocios'."/>
        <s v="Calificación de 'Básico' obtenida en la autoevaluación del MGDE para la dimensión 'Calidad de datos'."/>
        <s v="Calificación de 'Básico' obtenida en la autoevaluación del MGDE para la dimensión 'Datos abiertos'."/>
        <s v="Calificación de 'Básico' obtenida en la autoevaluación del MGDE para la dimensión 'Aspectos legales y normativos'."/>
        <m/>
      </sharedItems>
    </cacheField>
    <cacheField name="N_Actividad_Hito" numFmtId="0">
      <sharedItems containsString="0" containsBlank="1" containsNumber="1" containsInteger="1">
        <n v="1.0"/>
        <n v="2.0"/>
        <n v="3.0"/>
        <n v="4.0"/>
        <n v="5.0"/>
        <m/>
      </sharedItems>
    </cacheField>
    <cacheField name="Tipo" numFmtId="0">
      <sharedItems containsBlank="1">
        <s v="Actividad"/>
        <s v="Hito"/>
        <m/>
      </sharedItems>
    </cacheField>
    <cacheField name="Nombre_Actividad_Hito" numFmtId="0">
      <sharedItems containsBlank="1">
        <s v="Realizar un catastro de todos los trámites y sistemas institucionales que actualmente requieren un inicio de sesión de usuario."/>
        <s v="Gestionar la integración técnica con la plataforma de ClaveÚnica, siguiendo las guías de la División de Gobierno Digital."/>
        <s v="Convenio de Integración con ClaveÚnica Firmado y Aprobado."/>
        <s v="Implementar el nuevo módulo en producción, comunicando a los usuarios sobre el cambio y dando de baja los mecanismos anteriores."/>
        <s v="100% de los accesos a trámites en línea operan con ClaveÚnica."/>
        <s v="Identificar y listar todos los documentos emitidos por otros organismos públicos que actualmente se solicitan en los trámites institucionales."/>
        <s v="Consultar el catálogo de servicios disponibles en la Plataforma de Interoperabilidad del Estado (PISEE) para cada documento identificado."/>
        <s v="Plan de Implementación de Servicios de Interoperabilidad Definido."/>
        <s v="Desarrollar las integraciones técnicas con los servicios de interoperabilidad priorizados, conforme a la Norma Técnica de Interoperabilidad."/>
        <s v="Trámite de mayor demanda ya no solicita certificados al usuario."/>
        <s v="Definir los hitos clave en el ciclo de vida de cada trámite que deben ser notificados al usuario."/>
        <s v="Seleccionar o desarrollar una plataforma para la gestión y envío de notificaciones electrónicas."/>
        <s v="Plataforma de Notificaciones Electrónicas Implementada."/>
        <s v="Integrar los sistemas de tramitación con la plataforma de notificaciones para automatizar los envíos."/>
        <s v="100% de los trámites iniciados digitalmente emiten notificaciones electrónicas."/>
        <s v="Realizar un catastro de todos los trámites y su canal de inicio actual (presencial, digital), incluyendo su volumen de solicitudes."/>
        <s v="Priorizar los trámites más frecuentes que actualmente son solo presenciales para su digitalización."/>
        <s v="Hoja de Ruta de Digitalización de Trámites Aprobada."/>
        <s v="Diseñar y desarrollar los formularios de ingreso electrónico para los trámites priorizados."/>
        <s v="Lanzamiento en Producción de la Versión Digital de los Trámites Priorizados."/>
        <s v="Definir el modelo de datos y la estructura del expediente electrónico, conforme a la Norma Técnica."/>
        <s v="Seleccionar o adaptar una plataforma de gestión documental que soporte la creación y gestión de expedientes electrónicos."/>
        <s v="Plataforma de Expediente Electrónico Seleccionada e Implementada."/>
        <s v="Desarrollar un portal o módulo donde los interesados, previa autenticación, puedan consultar el estado y documentos de sus expedientes."/>
        <s v="Lanzamiento del Portal de Consulta de Expedientes para Interesados."/>
        <s v="Evaluar y seleccionar una plataforma de gestión documental que cumpla con la normativa para el envío y recepción de comunicaciones oficiales."/>
        <s v="Capacitar a todas las unidades responsables de emitir y gestionar oficios en el uso de la nueva plataforma."/>
        <s v="Plataforma de Comunicaciones Oficiales Implementada y Usuarios Capacitados."/>
        <s v="Definir y oficializar el procedimiento interno para la creación, firma electrónica, despacho y recepción de comunicaciones electrónicas."/>
        <s v="Decreto Interno que Establece la Obligatoriedad del Procedimiento Electrónico."/>
        <s v="Realizar un diagnóstico de contenido para identificar brechas de nivel Imprescindible, como páginas sin contenido o títulos que no representan fielmente la información."/>
        <s v="Plan de Remediación de Contenido Aprobado."/>
        <s v="Corregir el 100% de las brechas de nivel Imprescindible y avanzar en las de nivel Esperable."/>
        <s v="Capacitar a todos los editores de contenido en las guías de lenguaje claro."/>
        <s v="100% de Cumplimiento en Criterios Imprescindibles de la Subdimensión."/>
        <s v="Realizar una evaluación heurística del sitio web para identificar violaciones a los principios de usabilidad."/>
        <s v="Informe Heurístico con Brechas de Usabilidad Priorizadas."/>
        <s v="Diseñar y ejecutar pruebas de usabilidad con usuarios reales."/>
        <s v="Implementar las mejoras de diseño y estructura para corregir las brechas."/>
        <s v="Rediseño de Componentes Críticos Implementado."/>
        <s v="Realizar un diagnóstico completo de accesibilidad para detectar fallos de nivel Imprescindible."/>
        <s v="Informe de Diagnóstico de Accesibilidad con Brechas Priorizadas."/>
        <s v="Capacitar al equipo de desarrollo y de contenidos en las pautas WCAG."/>
        <s v="Ejecutar el plan de corrección de brechas, abordando primero los elementos de nivel Imprescindible."/>
        <s v="Publicación de la Política de Accesibilidad de la Institución."/>
        <s v="Realizar un diagnóstico de la subdimensión para identificar brechas de nivel Imprescindible."/>
        <s v="Informe de Diagnóstico con Brechas Priorizadas Aprobado."/>
        <s v="Ejecutar el plan de corrección para el 100% de las brechas de nivel Imprescindible y Esperable."/>
        <s v="Capacitar a los equipos responsables en las mejores prácticas de la subdimensión."/>
        <s v="Mapear el flujo de usuario (user journey) de los 3 servicios digitales más críticos."/>
        <s v="Informe de Diagnóstico de Usabilidad con Brechas Priorizadas."/>
        <s v="Rediseñar los flujos de los trámites para simplificarlos, eliminando pasos y campos innecesarios."/>
        <s v="Realizar pruebas de usabilidad con usuarios reales sobre los nuevos flujos rediseñados."/>
        <s v="Lanzamiento del Flujo Optimizado para el Servicio Digital Principal."/>
        <s v="Realizar un diagnóstico del servicio digital para identificar brechas de nivel Imprescindible en la subdimensión."/>
        <s v="Capacitar a los equipos de desarrollo y de negocio en las mejores prácticas de la subdimensión para servicios digitales."/>
        <s v="100% de Cumplimiento en Criterios Imprescindibles de la Subdimensión para el servicio evaluado."/>
        <s v="Realizar talleres de concientización para equipos directivos sobre el valor estratégico de los datos."/>
        <s v="Resolución de Compromiso Directivo con la Gestión de Datos Emitida."/>
        <s v="Proponer la inclusión de objetivos de datos en la planificación estratégica institucional."/>
        <s v="Generar un plan de gestión del cambio utilizando la guía base del MGDE."/>
        <s v="Nivel de Madurez 'Básico' Alcanzado en la Dimensión 'Visión Estratégica'."/>
        <s v="Adoptar la política/estrategia base de gobernanza de datos o generar una propia."/>
        <s v="Asignar un rol y/o equipo de trabajo en esquema compartido (comité) responsable del Gobierno de Datos."/>
        <s v="Acto Administrativo que Formaliza el Comité de Gobernanza de Datos."/>
        <s v="Utilizar planillas, presentaciones y documentos como herramientas iniciales de gobernanza."/>
        <s v="Nivel de Madurez 'Básico' Alcanzado en la Dimensión 'Gobernanza de datos'."/>
        <s v="Generar una conceptualización formalizada (documento, presentación) de los datos relevantes para la institución."/>
        <s v="Generar un levantamiento general de los datos que maneja la institución (inventario en planilla)."/>
        <s v="Inventario General de Datos v1.0 Finalizado."/>
        <s v="Recopilar la documentación existente (diseño, diccionario de datos), aunque sea parcial o desactualizada."/>
        <s v="Nivel de Madurez 'Básico' Alcanzado en la Dimensión 'Arquitectura, diseño y documentación'."/>
        <s v="Gestionar la operación y el almacenamiento de los datos mediante la administración de las bases de datos o de documentos más relevantes."/>
        <s v="Identificar los requerimientos de almacenamiento y operación de las otras dimensiones del MGDE."/>
        <s v="Catastro de Plataformas de Almacenamiento de Datos Realizado."/>
        <s v="Establecer un procedimiento básico de respaldo y recuperación para las bases de datos críticas."/>
        <s v="Nivel de Madurez 'Básico' Alcanzado en la Dimensión 'Almacenamiento y operación'."/>
        <s v="Definir políticas y procedimientos básicos para el cumplimiento de la normativa de seguridad de la información."/>
        <s v="Definir políticas y procedimientos básicos de ciberseguridad de la información."/>
        <s v="Política de Seguridad de la Información y Ciberseguridad v1.0 Aprobada."/>
        <s v="Definir mecanismos técnicos de respaldo y recuperación de los datos y probarlos periódicamente."/>
        <s v="Nivel de Madurez 'Básico' Alcanzado en la Dimensión 'Seguridad y ciberseguridad de datos'."/>
        <s v="Establecer las necesidades de acceso y/o intercambio de datos con terceros, estableciendo prioridades."/>
        <s v="Identificar los requerimientos de interoperabilidad (entrada y salida) e implementar mecanismos básicos, ya sea PISEE 2.0 u otros."/>
        <s v="Plan de Implementación de Servicios de Interoperabilidad Priorizados Definido."/>
        <s v="Definir e implementar mecanismos básicos de integración y consolidación de datos para algunas bases (ej. planillas)."/>
        <s v="Nivel de Madurez 'Básico' Alcanzado en la Dimensión 'Integración e interoperabilidad'."/>
        <s v="Generar un diagnóstico del estado de la gestión documental y definir una política básica."/>
        <s v="Política de Gestión Documental v1.0 Aprobada."/>
        <s v="Revisar la definición de metadatos para la gestión documental, identificar las brechas y generar un plan de cumplimiento."/>
        <s v="Generar una definición y plan de implementación del expediente electrónico de acuerdo a la Ley 21.180."/>
        <s v="Nivel de Madurez 'Básico' Alcanzado en la Dimensión 'Documentos y contenidos'."/>
        <s v="Estandarizar códigos básicos (datos de referencia) para datos que se comparten entre áreas y/o con externos."/>
        <s v="Identificar los datos maestros de la institución (sin consolidarlos ni gestionarlos centralmente)."/>
        <s v="Catálogo de Datos Maestros y de Referencia v1.0 Creado."/>
        <s v="Generar desarrollos ad-hoc (ej. planillas maestras) para apoyar la gestión inicial de estos datos."/>
        <s v="Nivel de Madurez 'Básico' Alcanzado en la Dimensión 'Datos maestros y de referencia'."/>
        <s v="Definir institucionalmente e incorporar la práctica de hacer análisis de datos para la gestión y toma de decisiones."/>
        <s v="Implementar repositorios de gestión básicos (ej. planillas consolidadas) que aborden algunos ámbitos de gestión."/>
        <s v="Primer Dashboard o Panel de Control de Gestión Implementado."/>
        <s v="Incorporar herramientas de tipo inteligencia de negocios para visualización de información (paneles de control)."/>
        <s v="Nivel de Madurez 'Básico' Alcanzado en la Dimensión 'Analítica e inteligencia de negocios'."/>
        <s v="Generar una definición y estándares básicos de calidad de datos para la institución."/>
        <s v="Documento de Estándares de Calidad de Datos v1.0 Aprobado."/>
        <s v="Identificar y evaluar metodologías (o estándares) y herramientas para la gestión de calidad."/>
        <s v="Realizar un proyecto piloto de limpieza de datos (data cleansing) sobre un conjunto de datos crítico."/>
        <s v="Nivel de Madurez 'Básico' Alcanzado en la Dimensión 'Calidad de datos'."/>
        <s v="Incorporar institucionalmente la definición de datos abiertos por defecto y los principios del Open Data Charter."/>
        <s v="Publicar datos abiertos básicos de manera regular."/>
        <s v="Primer Conjunto de Datos Publicado en el Portal Nacional de Datos Abiertos."/>
        <s v="Definir las condiciones (recursos) e incentivos requeridos para la publicación de datos abiertos."/>
        <s v="Nivel de Madurez 'Básico' Alcanzado en la Dimensión 'Datos abiertos'."/>
        <s v="Informar al área jurídica sobre las políticas y procedimientos de gobierno de datos para su revisión."/>
        <s v="Realizar una revisión jurídica de las regulaciones y estándares relevantes en cuanto a la gestión y protección de datos personales."/>
        <s v="Informe de Brechas Legales y Normativas en Gestión de Datos Finalizado."/>
        <s v="Definir un plan de cumplimiento para las brechas legales y normativas identificadas."/>
        <s v="Nivel de Madurez 'Básico' Alcanzado en la Dimensión 'Aspectos legales y normativos'."/>
        <m/>
      </sharedItems>
    </cacheField>
    <cacheField name="Observaciones" numFmtId="0">
      <sharedItems containsBlank="1">
        <s v="(Especificar las plataformas, ej: portal de postulación, sistema de consulta de expedientes, etc.)."/>
        <s v="(Designar un responsable técnico para liderar el proceso de integración)."/>
        <s v="(Hito administrativo que habilita el inicio de los desarrollos técnicos)."/>
        <s v="(La comunicación debe ser clara, explicando los beneficios de seguridad)."/>
        <s v="(Hito de cierre que certifica el cumplimiento total del requisito)."/>
        <s v="(Ejemplos: certificado de antecedentes, registro social de hogares, etc.)."/>
        <s v="(El equipo técnico debe validar la viabilidad de la conexión y los datos que entrega cada servicio)."/>
        <s v="(El plan debe priorizar los trámites según el volumen de solicitudes y el impacto en el usuario)."/>
        <s v="(Asegurar que la integración cumple con los estándares de seguridad y trazabilidad definidos)."/>
        <s v="(Hito clave que demuestra el valor de la interoperabilidad)."/>
        <s v="(Ej. recepción, en revisión, resuelto, etc.). Este levantamiento se debe hacer con los dueños de cada proceso."/>
        <s v="(La plataforma debe permitir el envío a través de correo electrónico certificado u otro domicilio digital único)."/>
        <s v="(Hito técnico que habilita la automatización de las comunicaciones)."/>
        <s v="(La integración debe ser robusta para evitar errores en el envío de información sensible)."/>
        <s v="(Hito de cierre que asegura el cumplimiento del requisito para todos los nuevos procedimientos)."/>
        <s v="(El catastro debe incluir el volumen de solicitudes anuales para facilitar la priorización)."/>
        <s v="(La priorización debe ser validada por la alta dirección de la institución)."/>
        <s v="(Documento que formaliza el compromiso, los plazos y los recursos para la iniciativa)."/>
        <s v="(Asegurar la usabilidad y accesibilidad de los formularios)."/>
        <s v="(Hito comunicacional que visibiliza los avances de la transformación digital de la institución)."/>
        <s v="(Este trabajo debe ser liderado por el área de gestión documental o archivo, en conjunto con TI)."/>
        <s v="(Se debe evaluar si la plataforma actual cumple con los requisitos o si se requiere una nueva)."/>
        <s v="(Hito técnico que provee la infraestructura base para la digitalización de los expedientes)."/>
        <s v="(La interfaz debe ser simple e intuitiva para el ciudadano)."/>
        <s v="(Hito que materializa el principio de transparencia, permitiendo al ciudadano acceder a su información)."/>
        <s v="(Muchas plataformas de expediente electrónico ya incluyen esta funcionalidad)."/>
        <s v="(La capacitación debe incluir no solo el uso de la herramienta, sino también el nuevo procedimiento interno)."/>
        <s v="(Hito que asegura que tanto la tecnología como las personas están listas para el cambio)."/>
        <s v="(El procedimiento debe ser claro y distribuido a toda la institución)."/>
        <s v="(Hito administrativo que prohíbe el uso del papel para comunicaciones oficiales y consolida el cumplimiento)."/>
        <s v="(Priorizar la revisión de las 30 páginas más visitadas del sitio web)."/>
        <s v="(El plan debe listar todas las URLs a intervenir, priorizando las brechas de nivel imprescindible)."/>
        <s v="(Designar responsables de contenido por cada área de negocio para validar la información)."/>
        <s v="(La capacitación debe ser obligatoria para todos los funcionarios que publican en el sitio web)."/>
        <s v="(Hito que valida la corrección de las brechas más críticas)."/>
        <s v="(La evaluación puede ser realizada por un equipo interno o un experto externo)."/>
        <s v="(El informe debe enfocarse en los problemas que impiden a los usuarios completar tareas)."/>
        <s v="(Definir 3 a 5 tareas clave para que los usuarios las realicen)."/>
        <s v="(Ej. simplificar el menú de navegación, mejorar la visibilidad de los botones de acción)."/>
        <s v="(Hito que demuestra la corrección de los principales problemas de usabilidad identificados)."/>
        <s v="(Utilizar las herramientas y guías técnicas recomendadas en la 'Guía para la verificación técnica')."/>
        <s v="(Clasificar las brechas según su nivel de severidad y el criterio de la Guía de Calidad Web)."/>
        <s v="(La capacitación es un requisito fundamental para la sostenibilidad)."/>
        <s v="(Ej. agregar textos alternativos a las imágenes, asegurar el contraste de color, etc.)."/>
        <s v="(Documento que formaliza el compromiso de la institución con la inclusión digital)."/>
        <s v="(La institución debe detallar el alcance específico de esta acción)."/>
        <s v="(Identificar todos los pasos, puntos de decisión y posibles puntos de fricción)."/>
        <s v="(Priorizar brechas de nivel Imprescindible, como la falta de indicaciones claras)."/>
        <s v="(Aplicar principios de diseño centrado en el usuario)."/>
        <s v="(Validar que los usuarios pueden completar el trámite de forma autónoma y sin errores)."/>
        <s v="(Hito que demuestra una mejora tangible en la experiencia del trámite más importante)."/>
        <s v="(La institución debe detallar el alcance específico para el servicio digital evaluado)."/>
        <s v="(La institución debe detallar el alcance específico de esta acción para su realidad)."/>
        <m/>
      </sharedItems>
    </cacheField>
    <cacheField name="Área responsable" numFmtId="0">
      <sharedItems containsString="0" containsBlank="1">
        <m/>
      </sharedItems>
    </cacheField>
    <cacheField name="Costo estimado total" numFmtId="0">
      <sharedItems containsString="0" containsBlank="1">
        <m/>
      </sharedItems>
    </cacheField>
    <cacheField name="Fecha inicio" numFmtId="0">
      <sharedItems containsBlank="1">
        <s v="dd-mmm-aaaa"/>
        <m/>
      </sharedItems>
    </cacheField>
    <cacheField name="Fecha fin" numFmtId="0">
      <sharedItems containsBlank="1">
        <s v="dd-mmm-aaaa"/>
        <m/>
      </sharedItems>
    </cacheField>
  </cacheFields>
</pivotCacheDefinition>
</file>

<file path=xl/pivotCache/pivotCacheDefinition3.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S997" sheet="Ej.v3"/>
  </cacheSource>
  <cacheFields>
    <cacheField name="Dimensión" numFmtId="0">
      <sharedItems containsBlank="1">
        <s v="Procedimientos administrativos y otras tramitaciones electrónicas"/>
        <s v="Calidad web y servicios digitales"/>
        <s v="Gestión de datos"/>
        <m/>
      </sharedItems>
    </cacheField>
    <cacheField name="Instrumento" numFmtId="0">
      <sharedItems containsBlank="1">
        <s v="  Instrumento de evaluación de Procedimientos administrativos"/>
        <s v="  Instrumento de evaluación de calidad para servicios digitales transaccionales"/>
        <s v="  Instrumento de evaluación de calidad para sitios web"/>
        <s v="  Instrumento de evaluación de la Gestión de datos"/>
        <m/>
      </sharedItems>
    </cacheField>
    <cacheField name="Subdimension" numFmtId="0">
      <sharedItems containsBlank="1">
        <s v="Autenticación digital"/>
        <s v="Interoperabilidad"/>
        <s v="Notificaciones electrónicas"/>
        <s v="Formularios digitales transversales"/>
        <s v="Expediente electrónico"/>
        <s v="Comunicaciones oficiales"/>
        <s v="Arquitectura de la información"/>
        <s v="Estandarización de componentes"/>
        <s v="Claridad en los contenidos"/>
        <s v="Diseño visual"/>
        <s v="Formularios"/>
        <s v="Buscador"/>
        <s v="Ayuda"/>
        <s v="Errores"/>
        <s v="Requerimientos técnicos"/>
        <s v="Usabilidad"/>
        <s v="Accesibilidad"/>
        <s v="Disponibilidad y rendimiento"/>
        <s v="Seguridad"/>
        <s v="Comunicación con el usuario"/>
        <s v="Soporte y retroalimentación"/>
        <s v="Lenguaje claro"/>
        <s v="Descripción del servicio digital"/>
        <s v="Marco normativo"/>
        <s v="Enfoque de género"/>
        <s v="Medición y reporte"/>
        <s v="Estructura"/>
        <s v="Promoción"/>
        <s v="Visión estratégica"/>
        <s v="Cumplimiento legal y normativo"/>
        <s v="Roles y responsabilidades"/>
        <s v="Arquitectura de datos"/>
        <s v="Modelamiento y diseño de datos"/>
        <s v="Seguridad de datos"/>
        <s v="Almacenamiento y operaciones de datos"/>
        <s v="Calidad de datos"/>
        <s v="Gestión de metadatos"/>
        <s v="Gestión de datos maestros y de referencia"/>
        <s v="Intercambio e interoperabilidad de datos"/>
        <s v="Analítica y Business Intelligence (BI)"/>
        <m/>
      </sharedItems>
    </cacheField>
    <cacheField name="ID_Iniciativa" numFmtId="0">
      <sharedItems containsBlank="1">
        <s v="PTD-D1-I01"/>
        <s v="PTD-D1-I02"/>
        <s v="PTD-D1-I03"/>
        <s v="PTD-D1-I04"/>
        <s v="PTD-D1-I05"/>
        <s v="PTD-D1-I06"/>
        <s v="PTD-D2S-I01"/>
        <s v="PTD-D2S-I02"/>
        <s v="PTD-D2S-I03"/>
        <s v="PTD-D2S-I04"/>
        <s v="PTD-D2S-I05"/>
        <s v="PTD-D2S-I06"/>
        <s v="PTD-D2S-I07"/>
        <s v="PTD-D2S-I08"/>
        <s v="PTD-D2S-I09"/>
        <s v="PTD-D2S-I10"/>
        <s v="PTD-D2S-I11"/>
        <s v="PTD-D2S-I12"/>
        <s v="PTD-D2S-I13"/>
        <s v="PTD-D2S-I14"/>
        <s v="PTD-D2S-I15"/>
        <s v="PTD-D2S-I16"/>
        <s v="PTD-D2S-I17"/>
        <s v="PTD-D2S-I18"/>
        <s v="PTD-D2S-I19"/>
        <s v="PTD-D2S-I20"/>
        <s v="PTD-D2W-I01"/>
        <s v="PTD-D2W-I02"/>
        <s v="PTD-D2W-I03"/>
        <s v="PTD-D2W-I04"/>
        <s v="PTD-D2W-I05"/>
        <s v="PTD-D2W-I06"/>
        <s v="PTD-D2W-I07"/>
        <s v="PTD-D2W-I08"/>
        <s v="PTD-D2W-I09"/>
        <s v="PTD-D2W-I10"/>
        <s v="PTD-D2W-I11"/>
        <s v="PTD-D2W-I12"/>
        <s v="PTD-D2W-I13"/>
        <s v="PTD-D2W-I14"/>
        <s v="PTD-D2W-I15"/>
        <s v="PTD-D2W-I16"/>
        <s v="PTD-D2W-I17"/>
        <s v="PTD-D2W-I18"/>
        <s v="PTD-D2W-I19"/>
        <s v="PTD-D2W-I20"/>
        <s v="PTD-D3-I01"/>
        <s v="PTD-D3-I02"/>
        <s v="PTD-D3-I03"/>
        <s v="PTD-D3-I04"/>
        <s v="PTD-D3-I05"/>
        <s v="PTD-D3-I06"/>
        <s v="PTD-D3-I07"/>
        <s v="PTD-D3-I08"/>
        <s v="PTD-D3-I09"/>
        <s v="PTD-D3-I10"/>
        <s v="PTD-D3-I11"/>
        <s v="PTD-D3-I12"/>
        <m/>
      </sharedItems>
    </cacheField>
    <cacheField name="Nombre_Iniciativa" numFmtId="0">
      <sharedItems containsBlank="1">
        <s v="Iniciativa para la Adopción de Mecanismos de Autenticación Oficial"/>
        <s v="Iniciativa para la Integración con la Red de Interoperabilidad del Estado"/>
        <s v="Iniciativa para la Implementación de Notificaciones Electrónicas"/>
        <s v="Iniciativa para la Estandarización de Pagos en Línea"/>
        <s v="Iniciativa para la Disponibilización del Expediente Electrónico"/>
        <s v="Iniciativa para la Adopción de Comunicaciones Oficiales Digitales"/>
        <s v="Iniciativa de Calidad en Servicios Digitales: Arquitectura de la Información"/>
        <s v="Iniciativa de Calidad en Servicios Digitales: Estandarización de Componentes"/>
        <s v="Iniciativa de Calidad en Servicios Digitales: Claridad en los Contenidos"/>
        <s v="Iniciativa de Calidad en Servicios Digitales: Diseño Visual"/>
        <s v="Iniciativa de Calidad en Servicios Digitales: Formularios"/>
        <s v="Iniciativa de Calidad en Servicios Digitales: Buscador"/>
        <s v="Iniciativa de Calidad en Servicios Digitales: Ayuda"/>
        <s v="Iniciativa de Calidad en Servicios Digitales: Errores"/>
        <s v="Iniciativa de Calidad en Servicios Digitales: Requerimientos Técnicos"/>
        <s v="Iniciativa de Calidad en Servicios Digitales: Usabilidad"/>
        <s v="Iniciativa de Calidad en Servicios Digitales: Accesibilidad"/>
        <s v="Iniciativa de Calidad en Servicios Digitales: Disponibilidad y Rendimiento"/>
        <s v="Iniciativa de Calidad en Servicios Digitales: Seguridad"/>
        <s v="Iniciativa de Calidad en Servicios Digitales: Comunicación con el Usuario"/>
        <s v="Iniciativa de Calidad en Servicios Digitales: Soporte y Retroalimentación"/>
        <s v="Iniciativa de Calidad en Servicios Digitales: Lenguaje Claro"/>
        <s v="Iniciativa de Calidad en Servicios Digitales: Descripción del Servicio Digital"/>
        <s v="Iniciativa de Calidad en Servicios Digitales: Marco Normativo"/>
        <s v="Iniciativa de Calidad en Servicios Digitales: Enfoque de Género"/>
        <s v="Iniciativa de Calidad en Servicios Digitales: Medición y Reporte"/>
        <s v="Iniciativa de Calidad para Sitios Web: Arquitectura de la Información"/>
        <s v="Iniciativa de Calidad para Sitios Web: Estandarización de Componentes"/>
        <s v="Iniciativa de Calidad para Sitios Web: Claridad en los Contenidos"/>
        <s v="Iniciativa de Calidad para Sitios Web: Diseño Visual"/>
        <s v="Iniciativa de Calidad para Sitios Web: Formularios"/>
        <s v="Iniciativa de Calidad para Sitios Web: Buscador"/>
        <s v="Iniciativa de Calidad para Sitios Web: Ayuda"/>
        <s v="Iniciativa de Calidad para Sitios Web: Errores"/>
        <s v="Iniciativa de Calidad para Sitios Web: Requerimientos Técnicos"/>
        <s v="Iniciativa de Calidad para Sitios Web: Usabilidad"/>
        <s v="Iniciativa de Calidad para Sitios Web: Accesibilidad"/>
        <s v="Iniciativa de Calidad para Sitios Web: Disponibilidad y Rendimiento"/>
        <s v="Iniciativa de Calidad para Sitios Web: Seguridad"/>
        <s v="Iniciativa de Calidad para Sitios Web: Comunicación con el Usuario"/>
        <s v="Iniciativa de Calidad para Sitios Web: Soporte y Retroalimentación"/>
        <s v="Iniciativa de Calidad para Sitios Web: Lenguaje Claro"/>
        <s v="Iniciativa de Calidad para Sitios Web: Estructura"/>
        <s v="Iniciativa de Calidad para Sitios Web: Marco Normativo"/>
        <s v="Iniciativa de Calidad para Sitios Web: Enfoque de Género"/>
        <s v="Iniciativa de Calidad para Sitios Web: Promoción"/>
        <s v="Iniciativa de Madurez en Visión Estratégica de Datos"/>
        <s v="Iniciativa de Madurez en Cumplimiento Legal y Normativo"/>
        <s v="Iniciativa de Madurez en Roles y Responsabilidades"/>
        <s v="Iniciativa de Madurez en Arquitectura de Datos"/>
        <s v="Iniciativa de Madurez en Modelamiento y Diseño de Datos"/>
        <s v="Iniciativa de Madurez en Seguridad de Datos"/>
        <s v="Iniciativa de Madurez en Almacenamiento y Operaciones de Datos"/>
        <s v="Iniciativa de Madurez en Calidad de Datos"/>
        <s v="Iniciativa de Madurez en Gestión de Metadatos"/>
        <s v="Iniciativa de Madurez en Gestión de Datos Maestros y de Referencia"/>
        <s v="Iniciativa de Madurez en Intercambio e Interoperabilidad de Datos"/>
        <s v="Iniciativa de Madurez en Analítica y Business Intelligence (BI)"/>
        <m/>
      </sharedItems>
    </cacheField>
    <cacheField name="Ponderacion" numFmtId="0">
      <sharedItems containsBlank="1">
        <s v=""/>
        <m/>
      </sharedItems>
    </cacheField>
    <cacheField name="Brecha" numFmtId="0">
      <sharedItems containsBlank="1">
        <s v="Bajo porcentaje de procedimientos que utilizan ClaveÚnica o Clave Tributaria como mecanismo de autenticación, según lo exige la Norma Técnica de Autenticación."/>
        <s v="Bajo porcentaje de procedimientos que consultan datos a través de la Plataforma de Interoperabilidad, generando solicitudes de información redundante a las personas."/>
        <s v="Bajo porcentaje de procedimientos que utilizan el Domicilio Digital Único como medio de notificación oficial, dependiendo de medios físicos o correos electrónicos no certificados."/>
        <s v="Bajo porcentaje de procedimientos que requieren un pago y que utilizan la plataforma de la Tesorería General de la República (TGR), diversificando los medios de pago."/>
        <s v="Bajo porcentaje de procedimientos que cuentan con un expediente electrónico accesible para las personas interesadas, limitando la transparencia y el derecho de acceso."/>
        <s v="Bajo porcentaje de comunicaciones oficiales con otros órganos del Estado que se realizan a través de la plataforma DocDigital, utilizando aún canales en papel o no formales."/>
        <s v="El servicio digital presenta una estructura de contenidos y navegación que no es clara, coherente ni predecible para las personas usuarias."/>
        <s v="El servicio digital utiliza elementos de interfaz (botones, enlaces, íconos) de manera inconsistente, dificultando el aprendizaje y uso de la plataforma."/>
        <s v="Los textos y contenidos del servicio son ambiguos, técnicos o difíciles de entender, generando confusión en las personas usuarias."/>
        <s v="El diseño visual del servicio es poco atractivo, inconsistente o no se alinea con la identidad gráfica del gobierno, afectando la confianza y la experiencia de uso."/>
        <s v="Los formularios del servicio son largos, complejos y no entregan la ayuda necesaria, provocando errores y frustración en las personas."/>
        <s v="El servicio carece de una función de búsqueda o la que existe es ineficaz, dificultando que las personas encuentren la información que necesitan."/>
        <s v="El servicio no ofrece mecanismos de ayuda claros y accesibles, dejando a las personas sin soporte cuando encuentran dificultades."/>
        <s v="El sistema no maneja los errores de forma adecuada, mostrando mensajes crípticos o no guiando a la persona usuaria para solucionar el problema."/>
        <s v="El servicio no informa sobre los requerimientos técnicos necesarios para su uso o depende de tecnologías obsoletas que limitan su acceso."/>
        <s v="El servicio es difícil de usar, requiere de mucho esfuerzo cognitivo por parte de la persona usuaria o no sigue convenciones de diseño establecidas."/>
        <s v="El servicio no cumple con las pautas de accesibilidad web, impidiendo o dificultando su uso por parte de personas con discapacidad."/>
        <s v="El servicio presenta caídas frecuentes, es lento o no responde de manera adecuada ante una alta demanda, afectando la confianza y satisfacción de las personas."/>
        <s v="El servicio no implementa las medidas de seguridad necesarias para proteger la información de las personas y de la institución."/>
        <s v="El servicio no mantiene informada a la persona usuaria sobre el estado de sus solicitudes o los próximos pasos del trámite, generando incertidumbre."/>
        <s v="El servicio no ofrece canales claros para que las personas usuarias puedan solicitar ayuda o entregar su opinión para la mejora del mismo."/>
        <s v="El servicio utiliza jerga técnica, legal o burocrática que dificulta la comprensión por parte de la ciudadanía."/>
        <s v="La información sobre qué es el servicio, a quién está dirigido, qué se necesita para usarlo y qué se obtiene no es clara ni completa."/>
        <s v="El servicio no informa de manera transparente la normativa que lo rige o lo hace de una forma incomprensible para la ciudadanía."/>
        <s v="El lenguaje, las imágenes y el diseño del servicio no son inclusivos y pueden perpetuar estereotipos de género."/>
        <s v="No se mide el uso ni la satisfacción con el servicio, impidiendo la toma de decisiones basada en datos para su mejora continua."/>
        <s v="El sitio web presenta una estructura de contenidos y navegación que no es clara, coherente ni predecible para las personas usuarias."/>
        <s v="El sitio web utiliza elementos de interfaz (botones, enlaces, íconos) de manera inconsistente, dificultando el aprendizaje y uso de la plataforma."/>
        <s v="Los textos y contenidos del sitio son ambiguos, técnicos o difíciles de entender, generando confusión en las personas usuarias."/>
        <s v="El diseño visual del sitio es poco atractivo, inconsistente o no se alinea con la identidad gráfica del gobierno, afectando la confianza y la experiencia de uso."/>
        <s v="Los formularios de contacto u otros del sitio son largos, complejos y no entregan la ayuda necesaria, provocando errores y frustración en las personas."/>
        <s v="El sitio carece de una función de búsqueda o la que existe es ineficaz, dificultando que las personas encuentren la información que necesitan."/>
        <s v="El sitio no ofrece mecanismos de ayuda claros y accesibles, dejando a las personas sin soporte cuando encuentran dificultades."/>
        <s v="El sitio no maneja los errores de forma adecuada, mostrando páginas de error genéricas (Error 404) que no guían a la persona usuaria."/>
        <s v="El sitio no informa sobre los requerimientos técnicos necesarios para su uso o depende de tecnologías obsoletas que limitan su acceso."/>
        <s v="El sitio es difícil de navegar, requiere de mucho esfuerzo cognitivo por parte de la persona usuaria o no sigue convenciones de diseño establecidas."/>
        <s v="El sitio no cumple con las pautas de accesibilidad web, impidiendo o dificultando su uso por parte de personas con discapacidad."/>
        <s v="El sitio presenta caídas frecuentes, es lento o no responde de manera adecuada ante una alta demanda, afectando la confianza y satisfacción de las personas."/>
        <s v="El sitio no implementa las medidas de seguridad necesarias para proteger la información de las personas y de la institución."/>
        <s v="El sitio no informa de manera clara y oportuna sobre noticias, eventos o cambios relevantes para la ciudadanía."/>
        <s v="El sitio no ofrece canales claros para que las personas usuarias puedan entregar su opinión para la mejora del mismo."/>
        <s v="El sitio utiliza jerga técnica, legal o burocrática que dificulta la comprensión por parte de la ciudadanía."/>
        <s v="El contenido del sitio no está organizado lógicamente o carece de elementos estructurales básicos que faciliten su comprensión y uso."/>
        <s v="El sitio no informa de manera transparente la normativa que rige a la institución o sus actos."/>
        <s v="El lenguaje, las imágenes y el diseño del sitio no son inclusivos y pueden perpetuar estereotipos de género."/>
        <s v="El sitio no está optimizado para ser encontrado por los motores de búsqueda y no se utilizan canales digitales para difundir sus contenidos."/>
        <s v="Bajo nivel de madurez en la alineación de la gestión de datos con los objetivos estratégicos de la institución."/>
        <s v="Desconocimiento o bajo cumplimiento de las regulaciones sobre protección y gestión de datos (Ley 19.628, Ley 21.180, etc.)."/>
        <s v="Inexistencia de roles formales y responsabilidades asignadas para la gestión y gobierno de los datos en la institución."/>
        <s v="La arquitectura de datos de la institución no está definida, documentada ni alineada con las necesidades del negocio."/>
        <s v="No existen estándares ni prácticas formales para el modelamiento y diseño de las estructuras de datos."/>
        <s v="Las políticas y controles para asegurar la confidencialidad, integridad y disponibilidad de los datos son débiles o inexistentes."/>
        <s v="Las prácticas para almacenar, respaldar y recuperar los datos son informales y no garantizan su disponibilidad y protección."/>
        <s v="La calidad de los datos es baja o desconocida, lo que genera desconfianza y afecta la toma de decisiones y la operación."/>
        <s v="No se capturan, gestionan ni utilizan los metadatos, lo que dificulta el descubrimiento, entendimiento y confianza en los datos."/>
        <s v="Los datos maestros (ej. ciudadanos, proveedores) y de referencia (ej. comunas, regiones) son inconsistentes a través de los sistemas."/>
        <s v="El intercambio de datos con otras instituciones es manual, ineficiente y no sigue estándares, limitando la colaboración y la eficiencia."/>
        <s v="La capacidad para analizar datos y generar reportes para la toma de decisiones es limitada y se basa en procesos manuales y hojas de cálculo."/>
        <m/>
      </sharedItems>
    </cacheField>
    <cacheField name="Objetivo de la iniciativa" numFmtId="0">
      <sharedItems containsBlank="1">
        <s v="Digitalizar integralmente los procedimientos administrativos para ofrecer un servicio más simple, rápido y eficiente a las personas usuarias"/>
        <s v="Garantizar que los sitios web y servicios públicos digitales sean confiables, accesibles y fáciles de usar para todas las personas usuarias"/>
        <s v="Gobernar los datos institucionales como un activo estratégico para generar valor público y mejorar la toma de decisiones y la calidad de servicio a las personas usuarias"/>
        <m/>
      </sharedItems>
    </cacheField>
    <cacheField name="Indicador_Proceso" numFmtId="0">
      <sharedItems containsBlank="1">
        <s v="Porcentaje de hitos de la iniciativa completados respecto al total de hitos planificados."/>
        <s v="Porcentaje de hitos de la iniciativa completados."/>
        <s v="Porcentaje de hitos de la iniciativa completados por nivel de madurez."/>
        <m/>
      </sharedItems>
    </cacheField>
    <cacheField name="Indicador_Impacto" numFmtId="0">
      <sharedItems containsBlank="1">
        <s v="Aumento porcentual en el número de procedimientos administrativos de la institución que utilizan ClaveÚnica."/>
        <s v="Aumento en el número de procedimientos que obtienen datos de otros organismos del Estado a través de la Plataforma de Interoperabilidad."/>
        <s v="Porcentaje de notificaciones oficiales del servicio enviadas a través de la plataforma de Domicilio Digital Único."/>
        <s v="Porcentaje de los ingresos por trámites digitales recaudados a través de la plataforma de TGR."/>
        <s v="Porcentaje de procedimientos administrativos que permiten el acceso en línea al expediente electrónico por parte de las personas interesadas."/>
        <s v="Porcentaje de oficios y comunicaciones oficiales enviados y recibidos a través de la plataforma DocDigital."/>
        <s v="Aumento porcentual en la calificación de la subdimensión &quot;Arquitectura de la Información&quot; en la siguiente evaluación de calidad."/>
        <s v="Aumento porcentual en la calificación de la subdimensión &quot;Estandarización de Componentes&quot; en la siguiente evaluación de calidad."/>
        <s v="Aumento porcentual en la calificación de la subdimensión &quot;Claridad en los Contenidos&quot; en la siguiente evaluación de calidad."/>
        <s v="Aumento porcentual en la calificación de la subdimensión &quot;Diseño Visual&quot; en la siguiente evaluación de calidad."/>
        <s v="Aumento porcentual en la calificación de la subdimensión &quot;Formularios&quot; en la siguiente evaluación de calidad."/>
        <s v="Aumento porcentual en la calificación de la subdimensión &quot;Buscador&quot; en la siguiente evaluación de calidad."/>
        <s v="Aumento porcentual en la calificación de la subdimensión &quot;Ayuda&quot; en la siguiente evaluación de calidad."/>
        <s v="Aumento porcentual en la calificación de la subdimensión &quot;Errores&quot; en la siguiente evaluación de calidad."/>
        <s v="Aumento porcentual en la calificación de la subdimensión &quot;Requerimientos Técnicos&quot; en la siguiente evaluación de calidad."/>
        <s v="Aumento porcentual en la calificación de la subdimensión &quot;Usabilidad&quot; en la siguiente evaluación de calidad."/>
        <s v="Aumento porcentual en la calificación de la subdimensión &quot;Accesibilidad&quot; en la siguiente evaluación de calidad."/>
        <s v="Aumento porcentual en la calificación de la subdimensión &quot;Disponibilidad y Rendimiento&quot; en la siguiente evaluación de calidad."/>
        <s v="Aumento porcentual en la calificación de la subdimensión &quot;Seguridad&quot; en la siguiente evaluación de calidad."/>
        <s v="Aumento porcentual en la calificación de la subdimensión &quot;Comunicación con el Usuario&quot; en la siguiente evaluación de calidad."/>
        <s v="Aumento porcentual en la calificación de la subdimensión &quot;Soporte y Retroalimentación&quot; en la siguiente evaluación de calidad."/>
        <s v="Aumento porcentual en la calificación de la subdimensión &quot;Lenguaje Claro&quot; en la siguiente evaluación de calidad."/>
        <s v="Aumento porcentual en la calificación de la subdimensión &quot;Descripción del Servicio Digital&quot; en la siguiente evaluación de calidad."/>
        <s v="Aumento porcentual en la calificación de la subdimensión &quot;Marco Normativo&quot; en la siguiente evaluación de calidad."/>
        <s v="Aumento porcentual en la calificación de la subdimensión &quot;Enfoque de Género&quot; en la siguiente evaluación de calidad."/>
        <s v="Aumento porcentual en la calificación de la subdimensión &quot;Medición y Reporte&quot; en la siguiente evaluación de calidad."/>
        <s v="Aumento porcentual en la calificación de la subdimensión &quot;Estructura&quot; en la siguiente evaluación de calidad."/>
        <s v="Aumento porcentual en la calificación de la subdimensión &quot;Promoción&quot; en la siguiente evaluación de calidad."/>
        <s v="Nivel de madurez alcanzado en la subdimensión &quot;Visión estratégica&quot; (Básico, Medio o Avanzado)."/>
        <s v="Nivel de madurez alcanzado en la subdimensión &quot;Cumplimiento legal y normativo&quot; (Básico, Medio o Avanzado)."/>
        <s v="Nivel de madurez alcanzado en la subdimensión &quot;Roles y responsabilidades&quot; (Básico, Medio o Avanzado)."/>
        <s v="Nivel de madurez alcanzado en la subdimensión &quot;Arquitectura de datos&quot; (Básico, Medio o Avanzado)."/>
        <s v="Nivel de madurez alcanzado en la subdimensión &quot;Modelamiento y diseño de datos&quot; (Básico, Medio o Avanzado)."/>
        <s v="Nivel de madurez alcanzado en la subdimensión &quot;Seguridad de datos&quot; (Básico, Medio o Avanzado)."/>
        <s v="Nivel de madurez alcanzado en la subdimensión &quot;Almacenamiento y operaciones de datos&quot; (Básico, Medio o Avanzado)."/>
        <s v="Nivel de madurez alcanzado en la subdimensión &quot;Calidad de datos&quot; (Básico, Medio o Avanzado)."/>
        <s v="Nivel de madurez alcanzado en la subdimensión &quot;Gestión de metadatos&quot; (Básico, Medio o Avanzado)."/>
        <s v="Nivel de madurez alcanzado en la subdimensión &quot;Gestión de datos maestros y de referencia&quot; (Básico, Medio o Avanzado)."/>
        <s v="Nivel de madurez alcanzado en la subdimensión &quot;Intercambio e interoperabilidad de datos&quot; (Básico, Medio o Avanzado)."/>
        <s v="Nivel de madurez alcanzado en la subdimensión &quot;Analítica y Business Intelligence (BI)&quot; (Básico, Medio o Avanzado)."/>
        <m/>
      </sharedItems>
    </cacheField>
    <cacheField name="Área responsable" numFmtId="0">
      <sharedItems containsString="0" containsBlank="1">
        <m/>
      </sharedItems>
    </cacheField>
    <cacheField name="Costo estimado total" numFmtId="0">
      <sharedItems containsString="0" containsBlank="1">
        <m/>
      </sharedItems>
    </cacheField>
    <cacheField name="Código EVALTIC" numFmtId="0">
      <sharedItems containsBlank="1">
        <s v="&lt;ID iniciativa EVALTIC, cuando aplique&gt;"/>
        <m/>
      </sharedItems>
    </cacheField>
    <cacheField name="N_Actividad_Hito" numFmtId="165">
      <sharedItems containsDate="1" containsString="0" containsBlank="1">
        <d v="2025-01-01T00:00:00Z"/>
        <d v="2025-02-01T00:00:00Z"/>
        <d v="2025-03-01T00:00:00Z"/>
        <d v="2025-04-01T00:00:00Z"/>
        <d v="2025-05-01T00:00:00Z"/>
        <d v="2025-01-02T00:00:00Z"/>
        <d v="2025-02-02T00:00:00Z"/>
        <d v="2025-03-02T00:00:00Z"/>
        <d v="2025-04-02T00:00:00Z"/>
        <d v="2025-05-02T00:00:00Z"/>
        <d v="2025-01-03T00:00:00Z"/>
        <d v="2025-02-03T00:00:00Z"/>
        <d v="2025-03-03T00:00:00Z"/>
        <d v="2025-04-03T00:00:00Z"/>
        <d v="2025-05-03T00:00:00Z"/>
        <d v="2025-01-04T00:00:00Z"/>
        <d v="2025-02-04T00:00:00Z"/>
        <d v="2025-03-04T00:00:00Z"/>
        <d v="2025-04-04T00:00:00Z"/>
        <d v="2025-05-04T00:00:00Z"/>
        <d v="2025-01-05T00:00:00Z"/>
        <d v="2025-02-05T00:00:00Z"/>
        <d v="2025-03-05T00:00:00Z"/>
        <d v="2025-04-05T00:00:00Z"/>
        <d v="2025-05-05T00:00:00Z"/>
        <d v="2025-01-06T00:00:00Z"/>
        <d v="2025-02-06T00:00:00Z"/>
        <d v="2025-03-06T00:00:00Z"/>
        <d v="2025-04-06T00:00:00Z"/>
        <d v="2025-05-06T00:00:00Z"/>
        <d v="2025-06-01T00:00:00Z"/>
        <d v="2025-07-01T00:00:00Z"/>
        <d v="2025-08-01T00:00:00Z"/>
        <d v="2025-06-02T00:00:00Z"/>
        <d v="2025-06-03T00:00:00Z"/>
        <d v="2025-06-04T00:00:00Z"/>
        <d v="2025-06-05T00:00:00Z"/>
        <d v="2025-01-07T00:00:00Z"/>
        <d v="2025-02-07T00:00:00Z"/>
        <d v="2025-03-07T00:00:00Z"/>
        <d v="2025-04-07T00:00:00Z"/>
        <d v="2025-05-07T00:00:00Z"/>
        <d v="2025-06-07T00:00:00Z"/>
        <d v="2025-01-08T00:00:00Z"/>
        <d v="2025-02-08T00:00:00Z"/>
        <d v="2025-03-08T00:00:00Z"/>
        <d v="2025-04-08T00:00:00Z"/>
        <d v="2025-01-09T00:00:00Z"/>
        <d v="2025-02-09T00:00:00Z"/>
        <d v="2025-03-09T00:00:00Z"/>
        <d v="2025-04-09T00:00:00Z"/>
        <d v="2025-01-10T00:00:00Z"/>
        <d v="2025-02-10T00:00:00Z"/>
        <d v="2025-03-10T00:00:00Z"/>
        <d v="2025-04-10T00:00:00Z"/>
        <d v="2025-05-10T00:00:00Z"/>
        <d v="2025-06-10T00:00:00Z"/>
        <d v="2025-01-11T00:00:00Z"/>
        <d v="2025-02-11T00:00:00Z"/>
        <d v="2025-03-11T00:00:00Z"/>
        <d v="2025-04-11T00:00:00Z"/>
        <d v="2025-01-12T00:00:00Z"/>
        <d v="2025-02-12T00:00:00Z"/>
        <d v="2025-03-12T00:00:00Z"/>
        <d v="2025-04-12T00:00:00Z"/>
        <d v="2025-01-13T00:00:00Z"/>
        <d v="2025-02-13T00:00:00Z"/>
        <d v="2025-03-13T00:00:00Z"/>
        <d v="2025-04-13T00:00:00Z"/>
        <d v="2025-01-14T00:00:00Z"/>
        <d v="2025-02-14T00:00:00Z"/>
        <d v="2025-03-14T00:00:00Z"/>
        <d v="2025-04-14T00:00:00Z"/>
        <d v="2025-01-15T00:00:00Z"/>
        <d v="2025-02-15T00:00:00Z"/>
        <d v="2025-03-15T00:00:00Z"/>
        <d v="2025-04-15T00:00:00Z"/>
        <d v="2025-01-16T00:00:00Z"/>
        <d v="2025-02-16T00:00:00Z"/>
        <d v="2025-03-16T00:00:00Z"/>
        <d v="2025-04-16T00:00:00Z"/>
        <d v="2025-01-17T00:00:00Z"/>
        <d v="2025-02-17T00:00:00Z"/>
        <d v="2025-03-17T00:00:00Z"/>
        <d v="2025-04-17T00:00:00Z"/>
        <d v="2025-01-18T00:00:00Z"/>
        <d v="2025-02-18T00:00:00Z"/>
        <d v="2025-03-18T00:00:00Z"/>
        <d v="2025-04-18T00:00:00Z"/>
        <d v="2025-01-19T00:00:00Z"/>
        <d v="2025-02-19T00:00:00Z"/>
        <d v="2025-03-19T00:00:00Z"/>
        <d v="2025-04-19T00:00:00Z"/>
        <d v="2025-01-20T00:00:00Z"/>
        <d v="2025-02-20T00:00:00Z"/>
        <d v="2025-03-20T00:00:00Z"/>
        <d v="2025-04-20T00:00:00Z"/>
        <d v="2025-05-20T00:00:00Z"/>
        <d v="2025-06-20T00:00:00Z"/>
        <d v="2025-06-06T00:00:00Z"/>
        <d v="2025-09-01T00:00:00Z"/>
        <d v="2025-07-02T00:00:00Z"/>
        <d v="2025-08-02T00:00:00Z"/>
        <d v="2025-09-02T00:00:00Z"/>
        <d v="2025-07-03T00:00:00Z"/>
        <d v="2025-08-03T00:00:00Z"/>
        <d v="2025-09-03T00:00:00Z"/>
        <d v="2025-07-04T00:00:00Z"/>
        <d v="2025-08-04T00:00:00Z"/>
        <d v="2025-09-04T00:00:00Z"/>
        <d v="2025-07-05T00:00:00Z"/>
        <d v="2025-08-05T00:00:00Z"/>
        <d v="2025-07-06T00:00:00Z"/>
        <d v="2025-08-06T00:00:00Z"/>
        <d v="2025-07-07T00:00:00Z"/>
        <d v="2025-08-07T00:00:00Z"/>
        <d v="2025-05-08T00:00:00Z"/>
        <d v="2025-06-08T00:00:00Z"/>
        <d v="2025-07-08T00:00:00Z"/>
        <d v="2025-08-08T00:00:00Z"/>
        <d v="2025-05-09T00:00:00Z"/>
        <d v="2025-06-09T00:00:00Z"/>
        <d v="2025-07-09T00:00:00Z"/>
        <d v="2025-08-09T00:00:00Z"/>
        <d v="2025-07-10T00:00:00Z"/>
        <d v="2025-05-11T00:00:00Z"/>
        <d v="2025-06-11T00:00:00Z"/>
        <d v="2025-07-11T00:00:00Z"/>
        <d v="2025-08-11T00:00:00Z"/>
        <d v="2025-05-12T00:00:00Z"/>
        <d v="2025-06-12T00:00:00Z"/>
        <d v="2025-07-12T00:00:00Z"/>
        <d v="2025-08-12T00:00:00Z"/>
        <m/>
      </sharedItems>
    </cacheField>
    <cacheField name="Tipo" numFmtId="0">
      <sharedItems containsBlank="1">
        <s v="Actividad"/>
        <s v="Hito"/>
        <m/>
      </sharedItems>
    </cacheField>
    <cacheField name="Nombre_Actividad_Hito" numFmtId="0">
      <sharedItems containsBlank="1">
        <s v="Realizar un catastro de los procedimientos administrativos que requieren autenticación y que actualmente no utilizan un mecanismo oficial."/>
        <s v="Inscribir a los equipos técnicos y de negocio en la capacitación “ClaveÚnica: Integración de plataformas” ofrecida por Gobierno Digital."/>
        <s v="Elaborar un plan de trabajo para la integración técnica, definiendo plazos, responsables y recursos para los procedimientos priorizados."/>
        <s v="Ejecutar la integración técnica de ClaveÚnica y/o Clave Tributaria en las plataformas de los procedimientos seleccionados."/>
        <s v="Verificar la correcta implementación y funcionamiento de la autenticación en los procedimientos intervenidos."/>
        <s v="Identificar los datos y documentos que la institución solicita a las personas y que pueden ser obtenidos desde otras fuentes del Estado."/>
        <s v="Gestionar la suscripción a los servicios de datos disponibles en la Plataforma de Interoperabilidad del Estado."/>
        <s v="Adaptar los formularios y procesos internos para consumir los datos vía interoperabilidad y eliminar la solicitud de dicha información a los usuarios."/>
        <s v="Realizar pruebas integrales para asegurar la correcta recepción y uso de los datos interoperados."/>
        <s v="Procedimientos priorizados operando con consultas a la Plataforma de Interoperabilidad en ambiente productivo."/>
        <s v="Realizar un catastro de todos los actos administrativos y comunicaciones que, por su naturaleza, deben ser notificados formalmente a las personas."/>
        <s v="Planificar la integración de los sistemas institucionales con la plataforma de Domicilio Digital Único."/>
        <s v="Desarrollar y ejecutar las tareas técnicas para la integración con la plataforma de notificaciones."/>
        <s v="Capacitar a los funcionarios encargados sobre el uso y la validez legal de las notificaciones enviadas por este medio."/>
        <s v="Plataformas institucionales integradas y enviando notificaciones a través de Domicilio Digital Único."/>
        <s v="Identificar todos los procedimientos administrativos que involucran un pago por parte de la persona usuaria."/>
        <s v="Coordinar con la Tesorería General de la República la integración de los procedimientos identificados en su plataforma de pagos."/>
        <s v="Ejecutar la integración de los sistemas institucionales con el portal de pagos de TGR."/>
        <s v="Actualizar la información en el sitio web y otros canales para dirigir a los usuarios a la plataforma de pago estandarizada."/>
        <s v="Todos los procedimientos que requieren pago operan a través de la plataforma de TGR."/>
        <s v="Definir el estándar de conformación del expediente electrónico para los procedimientos de la institución."/>
        <s v="Implementar o adaptar un sistema de gestión documental que soporte la creación y almacenamiento de expedientes electrónicos."/>
        <s v="Desarrollar una interfaz de acceso segura para que las personas interesadas, previa autenticación, puedan consultar su expediente."/>
        <s v="Digitalizar los documentos necesarios y asegurar que todos los nuevos documentos se incorporen en formato electrónico al expediente."/>
        <s v="Habilitado el acceso en línea al expediente electrónico para un conjunto priorizado de procedimientos."/>
        <s v="Designar al “Administrador/a Principal” de DocDigital en la institución, siguiendo el procedimiento de Gobierno Digital."/>
        <s v="Inscribir a los funcionarios clave en las capacitaciones mensuales sobre la plataforma DocDigital."/>
        <s v="Configurar las dependencias y usuarios de la institución en el ambiente de producción de DocDigital."/>
        <s v="Definir y comunicar internamente el procedimiento para el envío y recepción de todas las comunicaciones oficiales a través de DocDigital."/>
        <s v="El 100% de las comunicaciones oficiales salientes de la institución se gestionan a través de DocDigital."/>
        <s v="Definir y documentar la jerarquía de la información y el flujo de navegación del servicio, asegurando que se alinee con las tareas y necesidades de las personas usuarias."/>
        <s v="Se cuenta con un mapa de arquitectura de información y flujos de navegación documentados y aprobados."/>
        <s v="Implementar un menú de navegación principal consistente y visible en todas las páginas del servicio digital."/>
        <s v="El menú de navegación es consistente en todo el servicio digital."/>
        <s v="Implementar &quot;migas de pan&quot; (breadcrumbs) en todas las páginas internas para que la persona usuaria sepa dónde se encuentra."/>
        <s v="Las &quot;migas de pan&quot; están implementadas y funcionan correctamente."/>
        <s v="Asegurar que los títulos de cada página describan claramente su contenido y propósito."/>
        <s v="Los títulos de las páginas son claros y descriptivos."/>
        <s v="Adoptar y aplicar el Kit de Diseño UI del Estado para estandarizar la apariencia y comportamiento de los componentes de la interfaz."/>
        <s v="Los componentes visuales del servicio (botones, campos de formulario, etc.) se rigen por el Kit de Diseño UI del Estado."/>
        <s v="Definir y aplicar un estilo consistente para los enlaces, asegurando que sean fácilmente identificables como elementos interactivos."/>
        <s v="Los enlaces son visualmente consistentes y reconocibles en todo el servicio."/>
        <s v="Implementar un pie de página (footer) estandarizado que contenga la información de contacto, enlaces de ayuda y logos requeridos."/>
        <s v="El pie de página cumple con los estándares definidos y se muestra en todo el servicio."/>
        <s v="Revisar y reescribir todos los textos del servicio digital utilizando los principios de Lenguaje Claro."/>
        <s v="Los contenidos del servicio están redactados en Lenguaje Claro."/>
        <s v="Asegurar que el propósito del servicio y los pasos a seguir estén claramente explicados en la página de inicio del mismo."/>
        <s v="La página de inicio del servicio explica claramente su propósito y cómo utilizarlo."/>
        <s v="Utilizar encabezados y listas para estructurar el contenido y facilitar su lectura rápida (escaneo)."/>
        <s v="El contenido está correctamente estructurado con encabezados y listas."/>
        <s v="Aplicar la paleta de colores, tipografías y logos definidos en el manual de normas gráficas del gobierno."/>
        <s v="El diseño visual del servicio se alinea con la identidad gráfica del gobierno."/>
        <s v="Asegurar que existe suficiente contraste entre el color del texto y el fondo para garantizar la legibilidad."/>
        <s v="El contraste de color cumple con los estándares de accesibilidad (AA)."/>
        <s v="Garantizar que el diseño se adapte correctamente a diferentes tamaños de pantalla (diseño responsivo), especialmente en dispositivos móviles."/>
        <s v="El servicio digital es completamente funcional y usable en dispositivos móviles."/>
        <s v="Agrupar los campos del formulario en secciones lógicas y presentarlos en un orden intuitivo."/>
        <s v="Los campos del formulario están agrupados de manera lógica."/>
        <s v="Indicar claramente qué campos son obligatorios y cuáles son opcionales."/>
        <s v="Todos los campos obligatorios están claramente marcados."/>
        <s v="Proporcionar mensajes de ayuda y validación claros y en tiempo real para cada campo."/>
        <s v="Los mensajes de error son claros, específicos y se muestran junto al campo correspondiente."/>
        <s v="Implementar una funcionalidad de búsqueda visible y accesible desde cualquier página del servicio."/>
        <s v="Existe una funcionalidad de búsqueda accesible en el servicio."/>
        <s v="Asegurar que los resultados de la búsqueda sean relevantes y se presenten de manera clara y ordenada."/>
        <s v="Los resultados de la búsqueda son relevantes y están bien presentados."/>
        <s v="Crear y mantener una sección de &quot;Preguntas Frecuentes&quot; (FAQ) con las dudas más comunes de las personas usuarias."/>
        <s v="El servicio cuenta con una sección de Preguntas Frecuentes útil y actualizada."/>
        <s v="Proporcionar ayuda contextual (tooltips, pop-ups de ayuda) en los campos y secciones más complejos."/>
        <s v="Se ofrece ayuda contextual en los elementos complejos de la interfaz."/>
        <s v="Ofrecer canales de contacto claros (teléfono, correo, chat) para que las personas puedan solicitar soporte."/>
        <s v="Los canales de contacto para soporte están visibles y accesibles."/>
        <s v="Revisar y reescribir todos los mensajes de error del sistema para que sean claros, expliquen el problema y sugieran una solución."/>
        <s v="Los mensajes de error están redactados en lenguaje claro y ofrecen una solución."/>
        <s v="Implementar un sistema de validación que prevenga los errores antes de que la persona envíe la información (ej. validar formato de correo electrónico)."/>
        <s v="El sistema previene errores comunes mediante validaciones proactivas."/>
        <s v="Verificar que el servicio sea compatible con las últimas versiones de los navegadores web más utilizados (Chrome, Firefox, Safari, Edge)."/>
        <s v="El servicio es compatible con los principales navegadores web actualizados."/>
        <s v="Eliminar la dependencia de plugins o software de terceros que no sean estrictamente necesarios (ej. Flash, Java Applets)."/>
        <s v="El servicio no requiere plugins o tecnologías obsoletas para su funcionamiento."/>
        <s v="Realizar pruebas de usabilidad con personas usuarias representativas para identificar los principales problemas de la interfaz."/>
        <s v="Se han ejecutado pruebas de usabilidad y se cuenta con un informe de resultados."/>
        <s v="Elaborar un plan de mejoras de usabilidad basado en los hallazgos de las pruebas."/>
        <s v="Existe un plan de mejoras de usabilidad con acciones y plazos definidos."/>
        <s v="Implementar las mejoras de usabilidad priorizadas."/>
        <s v="Las mejoras de usabilidad han sido implementadas en el servicio."/>
        <s v="Realizar una auditoría de accesibilidad del servicio utilizando herramientas automáticas y revisiones manuales, basada en las pautas WCAG 2.1 nivel AA."/>
        <s v="Se cuenta con un informe de auditoría de accesibilidad que identifica las brechas."/>
        <s v="Implementar las correcciones técnicas para cumplir con los criterios de accesibilidad (ej. textos alternativos para imágenes, etiquetas para campos de formulario, navegación por teclado)."/>
        <s v="El servicio cumple con los criterios de accesibilidad de nivel AA de las WCAG 2.1."/>
        <s v="Implementar un sistema de monitoreo continuo para medir el tiempo de actividad (uptime) y los tiempos de respuesta del servicio."/>
        <s v="Se monitorea activamente la disponibilidad y el rendimiento del servicio."/>
        <s v="Realizar pruebas de carga y estrés para identificar cuellos de botella y optimizar el rendimiento del servicio."/>
        <s v="Se han optimizado los tiempos de carga del servicio para una experiencia fluida."/>
        <s v="Asegurar que toda la comunicación entre la persona usuaria y el servicio esté cifrada mediante el protocolo HTTPS."/>
        <s v="El servicio opera exclusivamente bajo HTTPS."/>
        <s v="Realizar análisis periódicos de vulnerabilidades y aplicar los parches de seguridad correspondientes."/>
        <s v="Se realizan análisis de vulnerabilidades de forma periódica y se corrigen las brechas detectadas."/>
        <s v="Implementar un sistema de notificaciones automáticas (por correo electrónico o en la misma plataforma) para informar sobre los cambios de estado de un trámite."/>
        <s v="La persona usuaria recibe notificaciones sobre el avance de su trámite."/>
        <s v="Proporcionar un comprobante o número de seguimiento al finalizar una transacción o solicitud."/>
        <s v="El servicio entrega un comprobante descargable y/o un número de seguimiento al completar una operación."/>
        <s v="Implementar un mecanismo visible y sencillo para que las personas puedan calificar el servicio y dejar comentarios o sugerencias."/>
        <s v="Existe un mecanismo para recoger la retroalimentación de las personas usuarias."/>
        <s v="Definir y publicar los canales de soporte (teléfono, chat, formulario de contacto) y sus horarios de atención."/>
        <s v="Los canales de soporte y sus horarios están claramente informados."/>
        <s v="Capacitar a los equipos responsables del contenido en los principios y técnicas de Lenguaje Claro."/>
        <s v="El equipo de contenidos ha sido capacitado en Lenguaje Claro."/>
        <s v="Crear una guía de estilo o manual de voz y tono para asegurar la consistencia y claridad de los textos."/>
        <s v="Se cuenta con una guía de estilo para la redacción de contenidos."/>
        <s v="Elaborar y publicar una ficha del servicio en el portal ChileAtiende y en el sitio web institucional."/>
        <s v="La ficha del servicio está publicada y actualizada en ChileAtiende y el sitio web institucional."/>
        <s v="Asegurar que la ficha del servicio contenga: descripción clara, a quién va dirigido, requisitos, costo, vigencia y resultado."/>
        <s v="La ficha del servicio contiene toda la información requerida de manera completa y clara."/>
        <s v="Identificar y listar todas las leyes, decretos y resoluciones que regulan el trámite o servicio digital."/>
        <s v="Se cuenta con un listado completo del marco normativo aplicable."/>
        <s v="Publicar en la ficha del servicio un resumen en lenguaje claro del marco normativo y enlaces a los documentos originales."/>
        <s v="El marco normativo está disponible y explicado en lenguaje claro en la ficha del servicio."/>
        <s v="Revisar todos los textos e imágenes del servicio para eliminar cualquier sesgo de género y utilizar un lenguaje inclusivo."/>
        <s v="El contenido del servicio utiliza lenguaje e imágenes inclusivas."/>
        <s v="Asegurar que los formularios ofrezcan opciones de género inclusivas cuando sea pertinente solicitar esta información."/>
        <s v="Los formularios utilizan opciones de género inclusivas."/>
        <s v="Implementar una herramienta de analítica web para medir el comportamiento de las personas usuarias en el servicio."/>
        <s v="Se recopilan datos de uso del servicio a través de una plataforma de analítica web."/>
        <s v="Definir Indicadores Clave de Desempeño (KPIs) para el servicio (ej. tasa de éxito, tiempo en la tarea, satisfacción)."/>
        <s v="Se han definido los KPIs para la medición del servicio."/>
        <s v="Generar reportes periódicos con los KPIs y la retroalimentación de las personas usuarias para informar la toma de decisiones."/>
        <s v="Se generan y utilizan reportes periódicos para la mejora continua del servicio."/>
        <s v="Definir y documentar la jerarquía de contenidos y el mapa de navegación del sitio, asegurando que se alinee con las tareas y necesidades de las personas usuarias."/>
        <s v="Se cuenta con un mapa de arquitectura de información del sitio documentado y aprobado."/>
        <s v="Implementar un menú de navegación principal consistente y visible en todas las páginas del sitio web."/>
        <s v="El menú de navegación es consistente en todo el sitio web."/>
        <s v="Crear y mantener actualizado un mapa del sitio en formato HTML y XML para facilitar la navegación y la indexación por buscadores."/>
        <s v="El mapa del sitio (HTML y XML) está implementado y actualizado."/>
        <s v="Los componentes visuales del sitio (botones, campos de formulario, etc.) se rigen por el Kit de Diseño UI del Estado."/>
        <s v="Los enlaces son visualmente consistentes y reconocibles en todo el sitio."/>
        <s v="El pie de página cumple con los estándares definidos y se muestra en todo el sitio."/>
        <s v="Revisar y reescribir todos los textos del sitio web utilizando los principios de Lenguaje Claro."/>
        <s v="Los contenidos del sitio están redactados en Lenguaje Claro."/>
        <s v="Asegurar que la página de inicio presente claramente la misión de la institución y el propósito del sitio web."/>
        <s v="La página de inicio explica claramente el propósito del sitio web."/>
        <s v="Utilizar encabezados, listas y párrafos cortos para estructurar el contenido y facilitar su lectura rápida (escaneo)."/>
        <s v="El contenido está correctamente estructurado con encabezados, listas y párrafos cortos."/>
        <s v="El diseño visual del sitio se alinea con la identidad gráfica del gobierno."/>
        <s v="El sitio web es completamente funcional y usable en dispositivos móviles."/>
        <s v="Implementar una funcionalidad de búsqueda visible y accesible desde cualquier página del sitio."/>
        <s v="Existe una funcionalidad de búsqueda accesible en el sitio."/>
        <s v="Implementar una página de &quot;búsqueda avanzada&quot; con filtros para refinar los resultados."/>
        <s v="La funcionalidad de búsqueda avanzada está implementada."/>
        <s v="Crear y mantener una sección de &quot;Preguntas Frecuentes&quot; (FAQ) con las dudas más comunes de las personas usuarias sobre la institución y sus servicios."/>
        <s v="El sitio cuenta con una sección de Preguntas Frecuentes útil y actualizada."/>
        <s v="Ofrecer canales de contacto claros (teléfono, correo, formulario, dirección) para que las personas puedan solicitar soporte o información."/>
        <s v="Diseñar una página de error 404 personalizada que sea amigable, explique el problema y ofrezca alternativas de navegación (buscador, enlace a la home)."/>
        <s v="El sitio cuenta con una página de error 404 personalizada y útil."/>
        <s v="Realizar revisiones periódicas para detectar y corregir enlaces rotos dentro del sitio web."/>
        <s v="Se mantiene un bajo porcentaje de enlaces rotos en el sitio web."/>
        <s v="Verificar que el sitio sea compatible con las últimas versiones de los navegadores web más utilizados (Chrome, Firefox, Safari, Edge)."/>
        <s v="El sitio es compatible con los principales navegadores web actualizados."/>
        <s v="El sitio no requiere plugins o tecnologías obsoletas para su funcionamiento."/>
        <s v="Realizar una auditoría de accesibilidad del sitio utilizando herramientas automáticas y revisiones manuales, basada en las pautas WCAG 2.1 nivel AA."/>
        <s v="El sitio cumple con los criterios de accesibilidad de nivel AA de las WCAG 2.1."/>
        <s v="Implementar un sistema de monitoreo continuo para medir el tiempo de actividad (uptime) y los tiempos de respuesta del sitio."/>
        <s v="Se monitorea activamente la disponibilidad y el rendimiento del sitio."/>
        <s v="Realizar pruebas de carga y estrés para identificar cuellos de botella y optimizar el rendimiento del sitio."/>
        <s v="Se han optimizado los tiempos de carga del sitio para una experiencia fluida."/>
        <s v="Asegurar que toda la comunicación entre la persona usuaria y el sitio esté cifrada mediante el protocolo HTTPS."/>
        <s v="El sitio opera exclusivamente bajo HTTPS."/>
        <s v="Mantener una sección de &quot;Noticias&quot; o &quot;Actualidad&quot; con información relevante y actualizada para la ciudadanía."/>
        <s v="La sección de noticias del sitio se mantiene actualizada."/>
        <s v="Implementar un sistema de suscripción voluntaria a un boletín informativo (newsletter)."/>
        <s v="Existe un sistema de suscripción a boletín informativo."/>
        <s v="Implementar un mecanismo visible y sencillo para que las personas puedan calificar el sitio o una página específica y dejar comentarios."/>
        <s v="Analizar periódicamente la retroalimentación recibida para identificar oportunidades de mejora."/>
        <s v="La retroalimentación de los usuarios se analiza y utiliza para mejorar el sitio."/>
        <s v="Asegurar que todas las páginas tengan un título único y descriptivo (etiqueta &lt;title&gt;)."/>
        <s v="Todas las páginas tienen títulos únicos y descriptivos."/>
        <s v="Utilizar correctamente las etiquetas de encabezado (H1, H2, H3) para jerarquizar el contenido de cada página."/>
        <s v="La jerarquía de encabezados se utiliza correctamente en todas las páginas."/>
        <s v="Publicar y mantener actualizada una sección con el marco normativo que rige a la institución."/>
        <s v="El sitio cuenta con una sección de Marco Normativo actualizada."/>
        <s v="Asegurar que la información sobre Transparencia Activa esté completa, actualizada y sea de fácil acceso."/>
        <s v="El sitio cumple con los requerimientos de Transparencia Activa."/>
        <s v="Revisar todos los textos e imágenes del sitio para eliminar cualquier sesgo de género y utilizar un lenguaje inclusivo."/>
        <s v="El contenido del sitio utiliza lenguaje e imágenes inclusivas."/>
        <s v="Implementar las mejores prácticas de optimización para motores de búsqueda (SEO), incluyendo el uso de palabras clave, meta descripciones y URLs amigables."/>
        <s v="El sitio está técnicamente optimizado para motores de búsqueda (SEO)."/>
        <s v="Integrar el sitio con las redes sociales institucionales, permitiendo compartir contenidos fácilmente."/>
        <s v="El sitio está integrado con las redes sociales de la institución."/>
        <s v="(Para Nivel Básico) Socializar con las autoridades la importancia de los datos como un activo estratégico y los objetivos del Marco de Gestión de Datos del Estado (MGDE)."/>
        <s v="(Para Nivel Básico) Identificar y documentar los principales objetivos estratégicos de la institución que pueden ser apoyados por una mejor gestión de datos."/>
        <s v="(Hito Nivel Básico) Nivel de Madurez Básico alcanzado en Visión estratégica."/>
        <s v="(Para Nivel Medio) Elaborar una declaración formal de la visión estratégica de datos y un plan de acción, alineado con los objetivos institucionales."/>
        <s v="(Para Nivel Medio) Comunicar formalmente la visión y el plan de acción a toda la organización para generar compromiso."/>
        <s v="(Hito Nivel Medio) Nivel de Madurez Medio alcanzado en Visión estratégica."/>
        <s v="(Para Nivel Avanzado) Integrar la estrategia de datos en el ciclo de planificación estratégica formal de la institución."/>
        <s v="(Para Nivel Avanzado) Medir y reportar periódicamente el impacto de la gestión de datos en el cumplimiento de los objetivos estratégicos."/>
        <s v="(Hito Nivel Avanzado) Nivel de Madurez Avanzado alcanzado en Visión estratégica."/>
        <s v="(Para Nivel Básico) Informar al área jurídica sobre las políticas y procedimientos de gobierno de datos que se están definiendo."/>
        <s v="(Para Nivel Básico) Realizar una revisión jurídica para detectar potenciales incumplimientos en la gestión de datos personales y definir acciones."/>
        <s v="(Hito Nivel Básico) Nivel de Madurez Básico alcanzado en Cumplimiento legal y normativo."/>
        <s v="(Para Nivel Medio) Solicitar la validación del área jurídica para las políticas y procedimientos de gobierno de datos."/>
        <s v="(Para Nivel Medio) Aplicar un plan de cumplimiento para cerrar las brechas detectadas en la gestión de datos personales."/>
        <s v="(Hito Nivel Medio) Nivel de Madurez Medio alcanzado en Cumplimiento legal y normativo."/>
        <s v="(Para Nivel Avanzado) Incorporar al área jurídica en la definición y validación continua de políticas de gobernanza de datos."/>
        <s v="(Para Nivel Avanzado) Instalar procedimientos para garantizar el cumplimiento normativo frente a cambios legislativos."/>
        <s v="(Hito Nivel Avanzado) Nivel de Madurez Avanzado alcanzado en Cumplimiento legal y normativo."/>
        <s v="(Para Nivel Básico) Identificar a los funcionarios clave que actualmente trabajan con los datos más importantes de la institución."/>
        <s v="(Para Nivel Básico) Elaborar una propuesta inicial de roles y responsabilidades para el gobierno de datos (ej. Dueño de dato, Custodio de dato)."/>
        <s v="(Hito Nivel Básico) Nivel de Madurez Básico alcanzado en Roles y responsabilidades."/>
        <s v="(Para Nivel Medio) Designar formalmente a los dueños de los activos de datos críticos y comunicar sus responsabilidades."/>
        <s v="(Para Nivel Medio) Crear y formalizar un Comité de Gobierno de Datos o una instancia similar con participación de áreas de negocio y TI."/>
        <s v="(Hito Nivel Medio) Nivel de Madurez Medio alcanzado en Roles y responsabilidades."/>
        <s v="(Para Nivel Avanzado) Integrar las responsabilidades de gestión de datos en las descripciones de cargo y evaluaciones de desempeño de los roles designados."/>
        <s v="(Para Nivel Avanzado) Establecer un programa de formación continua para los roles de gobierno y gestión de datos."/>
        <s v="(Hito Nivel Avanzado) Nivel de Madurez Avanzado alcanzado en Roles y responsabilidades."/>
        <s v="(Para Nivel Básico) Realizar un levantamiento de los principales sistemas y bases de datos existentes en la institución."/>
        <s v="(Para Nivel Básico) Documentar los flujos de datos más críticos entre los sistemas identificados."/>
        <s v="(Hito Nivel Básico) Nivel de Madurez Básico alcanzado en Arquitectura de datos."/>
        <s v="(Para Nivel Medio) Definir y documentar un modelo conceptual de datos para los dominios de negocio más importantes."/>
        <s v="(Para Nivel Medio) Establecer principios y estándares para el diseño y desarrollo de nuevas soluciones de datos."/>
        <s v="(Hito Nivel Medio) Nivel de Madurez Medio alcanzado en Arquitectura de datos."/>
        <s v="(Para Nivel Avanzado) Desarrollar y mantener una arquitectura de datos empresarial completa que guíe toda la inversión en tecnología de datos."/>
        <s v="(Para Nivel Avanzado) Implementar un proceso formal para la revisión y aprobación de la arquitectura de todas las nuevas soluciones de datos."/>
        <s v="(Hito Nivel Avanzado) Nivel de Madurez Avanzado alcanzado en Arquitectura de datos."/>
        <s v="(Para Nivel Básico) Identificar y documentar los modelos de datos existentes de los sistemas más importantes (aunque sea de forma retroactiva)."/>
        <s v="(Hito Nivel Básico) Nivel de Madurez Básico alcanzado en Modelamiento y diseño de datos."/>
        <s v="(Para Nivel Medio) Adoptar una notación estándar para el modelamiento de datos (ej. IDEF1X, UML) y capacitar a los equipos."/>
        <s v="(Para Nivel Medio) Crear y mantener un repositorio central de modelos de datos conceptuales, lógicos y físicos."/>
        <s v="(Hito Nivel Medio) Nivel de Madurez Medio alcanzado en Modelamiento y diseño de datos."/>
        <s v="(Para Nivel Avanzado) Integrar el modelamiento de datos en el ciclo de vida de desarrollo de software (SDLC) como una etapa obligatoria."/>
        <s v="(Para Nivel Avanzado) Utilizar herramientas de modelamiento que permitan la ingeniería directa e inversa desde y hacia las bases de datos."/>
        <s v="(Hito Nivel Avanzado) Nivel de Madurez Avanzado alcanzado en Modelamiento y diseño de datos."/>
        <s v="(Para Nivel Básico) Realizar un levantamiento y clasificación inicial de los datos según su sensibilidad (ej. Público, Reservado, Secreto)."/>
        <s v="(Hito Nivel Básico) Nivel de Madurez Básico alcanzado en Seguridad de datos."/>
        <s v="(Para Nivel Medio) Definir e implementar políticas de control de acceso a los datos basadas en roles y responsabilidades."/>
        <s v="(Para Nivel Medio) Aplicar técnicas de anonimización o pseudonimización para los datos sensibles utilizados en ambientes no productivos."/>
        <s v="(Hito Nivel Medio) Nivel de Madurez Medio alcanzado en Seguridad de datos."/>
        <s v="(Para Nivel Avanzado) Implementar un sistema de monitoreo y auditoría de los accesos a los datos sensibles."/>
        <s v="(Para Nivel Avanzado) Integrar la clasificación y los controles de seguridad de datos en todo el ciclo de vida del dato."/>
        <s v="(Hito Nivel Avanzado) Nivel de Madurez Avanzado alcanzado en Seguridad de datos."/>
        <s v="(Para Nivel Básico) Documentar los procedimientos existentes de respaldo (backup) y recuperación de las bases de datos críticas."/>
        <s v="(Hito Nivel Básico) Nivel de Madurez Básico alcanzado en Almacenamiento y operaciones de datos."/>
        <s v="(Para Nivel Medio) Implementar y automatizar rutinas de respaldo para todas las bases de datos productivas."/>
        <s v="(Para Nivel Medio) Realizar pruebas periódicas de los planes de recuperación de desastres (DRP)."/>
        <s v="(Hito Nivel Medio) Nivel de Madurez Medio alcanzado en Almacenamiento y operaciones de datos."/>
        <s v="(Para Nivel Avanzado) Definir e implementar políticas de retención y archivado de datos para optimizar el almacenamiento."/>
        <s v="(Para Nivel Avanzado) Establecer acuerdos de nivel de servicio (SLAs) para la disponibilidad y el rendimiento de las bases de datos."/>
        <s v="(Hito Nivel Avanzado) Nivel de Madurez Avanzado alcanzado en Almacenamiento y operaciones de datos."/>
        <s v="(Para Nivel Básico) Realizar un perfilamiento inicial de datos en un conjunto de datos crítico para identificar problemas de calidad (ej. valores nulos, inconsistencias)."/>
        <s v="(Hito Nivel Básico) Nivel de Madurez Básico alcanzado en Calidad de datos."/>
        <s v="(Para Nivel Medio) Definir métricas y umbrales de calidad de datos para los elementos de datos críticos (completitud, exactitud, consistencia, etc.)."/>
        <s v="(Para Nivel Medio) Implementar procesos de limpieza y corrección de datos para los problemas identificados."/>
        <s v="(Hito Nivel Medio) Nivel de Madurez Medio alcanzado en Calidad de datos."/>
        <s v="(Para Nivel Avanzado) Implementar reglas de calidad de datos automatizadas en los procesos de ingesta de datos para prevenir errores."/>
        <s v="(Para Nivel Avanzado) Publicar un tablero de control (dashboard) con las métricas de calidad de datos para los dueños de los datos."/>
        <s v="(Hito Nivel Avanzado) Nivel de Madurez Avanzado alcanzado en Calidad de datos."/>
        <s v="(Para Nivel Básico) Identificar y documentar los metadatos técnicos básicos (nombres de tablas y columnas, tipos de datos) para un sistema crítico."/>
        <s v="(Hito Nivel Básico) Nivel de Madurez Básico alcanzado en Gestión de metadatos."/>
        <s v="(Para Nivel Medio) Implementar un catálogo de datos o un repositorio centralizado para gestionar los metadatos técnicos y de negocio."/>
        <s v="(Para Nivel Medio) Definir un proceso para documentar el linaje de datos de los reportes y conjuntos de datos más importantes."/>
        <s v="(Hito Nivel Medio) Nivel de Madurez Medio alcanzado en Gestión de metadatos."/>
        <s v="(Para Nivel Avanzado) Automatizar la recolección de metadatos técnicos y de linaje de datos desde las fuentes de origen."/>
        <s v="(Para Nivel Avanzado) Integrar el catálogo de datos con otras herramientas (calidad de datos, BI) para enriquecer el contexto del usuario."/>
        <s v="(Hito Nivel Avanzado) Nivel de Madurez Avanzado alcanzado en Gestión de metadatos."/>
        <s v="(Para Nivel Básico) Identificar los principales datos maestros y de referencia utilizados en la institución."/>
        <s v="(Hito Nivel Básico) Nivel de Madurez Básico alcanzado en Gestión de datos maestros y de referencia."/>
        <s v="(Para Nivel Medio) Establecer una fuente autorizada única para cada dato maestro y de referencia crítico."/>
        <s v="(Para Nivel Medio) Definir procesos para la creación, actualización y eliminación de los registros de datos maestros."/>
        <s v="(Hito Nivel Medio) Nivel de Madurez Medio alcanzado en Gestión de datos maestros y de referencia."/>
        <s v="(Para Nivel Avanzado) Implementar una solución tecnológica de Gestión de Datos Maestros (MDM) para automatizar la consolidación y distribución de los datos."/>
        <s v="(Hito Nivel Avanzado) Nivel de Madurez Avanzado alcanzado en Gestión de datos maestros y de referencia."/>
        <s v="(Para Nivel Básico) Identificar los principales flujos de intercambio de datos manuales que podrían ser automatizados."/>
        <s v="(Hito Nivel Básico) Nivel de Madurez Básico alcanzado en Intercambio e interoperabilidad de datos."/>
        <s v="(Para Nivel Medio) Documentar los conjuntos de datos que la institución puede ofrecer a otros y consumir desde otros, y publicarlos en un catálogo."/>
        <s v="(Para Nivel Medio) Utilizar la Plataforma de Interoperabilidad del Estado para consumir servicios de datos de otras instituciones."/>
        <s v="(Hito Nivel Medio) Nivel de Madurez Medio alcanzado en Intercambio e interoperabilidad de datos."/>
        <s v="(Para Nivel Avanzado) Desarrollar y publicar APIs (Interfaces de Programación de Aplicaciones) siguiendo los estándares del Estado para exponer los datos de la institución."/>
        <s v="(Para Nivel Avanzado) Establecer convenios de interoperabilidad formales con otras instituciones para regular el intercambio de datos."/>
        <s v="(Hito Nivel Avanzado) Nivel de Madurez Avanzado alcanzado en Intercambio e interoperabilidad de datos."/>
        <s v="(Para Nivel Básico) Identificar las principales preguntas de negocio y necesidades de reportería de las áreas clave."/>
        <s v="(Hito Nivel Básico) Nivel de Madurez Básico alcanzado en Analítica y Business Intelligence (BI)."/>
        <s v="(Para Nivel Medio) Implementar una plataforma de Business Intelligence (BI) para la creación de reportes y tableros de control estandarizados."/>
        <s v="(Para Nivel Medio) Capacitar a los usuarios de negocio en el uso de la herramienta de BI para el auto-servicio de reportería."/>
        <s v="(Hito Nivel Medio) Nivel de Madurez Medio alcanzado en Analítica y Business Intelligence (BI)."/>
        <s v="(Para Nivel Avanzado) Desarrollar modelos de analítica avanzada (predictiva, prescriptiva) para responder a preguntas estratégicas complejas."/>
        <s v="(Para Nivel Avanzado) Fomentar una cultura de toma de decisiones basada en datos, donde la analítica sea parte integral de los procesos de negocio."/>
        <s v="(Hito Nivel Avanzado) Nivel de Madurez Avanzado alcanzado en Analítica y Business Intelligence (BI)."/>
        <m/>
      </sharedItems>
    </cacheField>
    <cacheField name="Observaciones" numFmtId="0">
      <sharedItems containsBlank="1">
        <s v=""/>
        <m/>
      </sharedItems>
    </cacheField>
    <cacheField name="Fecha inicio" numFmtId="0">
      <sharedItems containsBlank="1">
        <s v="dd-mmm-aaaa"/>
        <m/>
      </sharedItems>
    </cacheField>
    <cacheField name="Fecha fin" numFmtId="0">
      <sharedItems containsBlank="1">
        <s v="dd-mmm-aaaa"/>
        <m/>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name="Inf_CWySSTT" cacheId="0" dataCaption="" compact="0" compactData="0">
  <location ref="A3:F46" firstHeaderRow="0" firstDataRow="2" firstDataCol="1" rowPageCount="1" colPageCount="1"/>
  <pivotFields>
    <pivotField name="Instrumento de Diagnóstico" axis="axisRow" compact="0" outline="0" multipleItemSelectionAllowed="1" showAll="0" sortType="ascending">
      <items>
        <item x="0"/>
        <item x="2"/>
        <item x="1"/>
        <item t="default"/>
      </items>
    </pivotField>
    <pivotField name="pregunta" axis="axisPage" compact="0" outline="0" multipleItemSelectionAllowed="1" showAll="0">
      <items>
        <item h="1" x="0"/>
        <item h="1" x="1"/>
        <item x="2"/>
        <item t="default"/>
      </items>
    </pivotField>
    <pivotField name="n_subdimensió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t="default"/>
      </items>
    </pivotField>
    <pivotField name="subdimensión" axis="axisRow" compact="0" outline="0" multipleItemSelectionAllowed="1" showAll="0" sortType="ascending">
      <items>
        <item x="0"/>
        <item x="3"/>
        <item x="4"/>
        <item x="10"/>
        <item x="11"/>
        <item x="5"/>
        <item x="1"/>
        <item x="7"/>
        <item x="12"/>
        <item x="17"/>
        <item x="22"/>
        <item x="13"/>
        <item x="18"/>
        <item x="20"/>
        <item x="16"/>
        <item x="14"/>
        <item x="19"/>
        <item x="21"/>
        <item x="6"/>
        <item x="8"/>
        <item x="9"/>
        <item x="15"/>
        <item x="2"/>
        <item t="default"/>
      </items>
    </pivotField>
    <pivotField name="Descripción_subdimensión" compact="0" outline="0" multipleItemSelectionAllowed="1" showAll="0">
      <items>
        <item x="0"/>
        <item x="1"/>
        <item x="2"/>
        <item x="3"/>
        <item x="4"/>
        <item x="5"/>
        <item x="6"/>
        <item x="7"/>
        <item x="8"/>
        <item x="9"/>
        <item x="10"/>
        <item x="11"/>
        <item x="12"/>
        <item x="13"/>
        <item x="14"/>
        <item x="15"/>
        <item x="16"/>
        <item x="17"/>
        <item x="18"/>
        <item x="19"/>
        <item x="20"/>
        <item x="21"/>
        <item x="22"/>
        <item x="23"/>
        <item t="default"/>
      </items>
    </pivotField>
    <pivotField name="n_tip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t="default"/>
      </items>
    </pivotField>
    <pivotField name="tipo" axis="axisCol" compact="0" outline="0" multipleItemSelectionAllowed="1" showAll="0" sortType="ascending">
      <items>
        <item x="0"/>
        <item x="3"/>
        <item x="2"/>
        <item x="1"/>
        <item t="default"/>
      </items>
    </pivotField>
    <pivotField name="x" compact="0" outline="0" multipleItemSelectionAllowed="1" showAll="0">
      <items>
        <item x="0"/>
        <item t="default"/>
      </items>
    </pivotField>
    <pivotField name="n_indicador_b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t="default"/>
      </items>
    </pivotField>
    <pivotField name="indicador_b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t="default"/>
      </items>
    </pivotField>
    <pivotField name="Definición_ind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t="default"/>
      </items>
    </pivotField>
    <pivotField name="n_indicador_bd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t="default"/>
      </items>
    </pivotField>
    <pivotField name="indicador_bd2"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t="default"/>
      </items>
    </pivotField>
    <pivotField name="Definición_Indicador_bd"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t="default"/>
      </items>
    </pivotField>
    <pivotField name="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t="default"/>
      </items>
    </pivotField>
    <pivotField name="Indicador"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t="default"/>
      </items>
    </pivotField>
    <pivotField name="Definición "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t="default"/>
      </items>
    </pivotField>
    <pivotField name="espacio" compact="0" outline="0" multipleItemSelectionAllowed="1" showAll="0">
      <items>
        <item x="0"/>
        <item t="default"/>
      </items>
    </pivotField>
    <pivotField name="Preguntas de chequeo"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t="default"/>
      </items>
    </pivotField>
    <pivotField name="Respuesta" compact="0" outline="0" multipleItemSelectionAllowed="1" showAll="0">
      <items>
        <item x="0"/>
        <item x="1"/>
        <item x="2"/>
        <item x="3"/>
        <item x="4"/>
        <item x="5"/>
        <item x="6"/>
        <item x="7"/>
        <item t="default"/>
      </items>
    </pivotField>
  </pivotFields>
  <rowFields>
    <field x="0"/>
    <field x="3"/>
  </rowFields>
  <colFields>
    <field x="6"/>
  </colFields>
  <pageFields>
    <pageField fld="1"/>
  </pageFields>
  <dataFields>
    <dataField name="COUNTA of Preguntas de chequeo" fld="18" subtotal="count" baseField="0"/>
  </dataFields>
</pivotTableDefinition>
</file>

<file path=xl/pivotTables/pivotTable2.xml><?xml version="1.0" encoding="utf-8"?>
<pivotTableDefinition xmlns="http://schemas.openxmlformats.org/spreadsheetml/2006/main" name="Resumen" cacheId="1" dataCaption="" compact="0" compactData="0">
  <location ref="A4:E10" firstHeaderRow="0" firstDataRow="1" firstDataCol="1"/>
  <pivotFields>
    <pivotField name="Dimensión" axis="axisRow" compact="0" outline="0" multipleItemSelectionAllowed="1" showAll="0" sortType="ascending">
      <items>
        <item x="3"/>
        <item x="1"/>
        <item x="2"/>
        <item x="0"/>
        <item t="default"/>
      </items>
    </pivotField>
    <pivotField name="Instrumento" compact="0" outline="0" multipleItemSelectionAllowed="1" showAll="0">
      <items>
        <item x="0"/>
        <item x="1"/>
        <item x="2"/>
        <item x="3"/>
        <item x="4"/>
        <item t="default"/>
      </items>
    </pivotField>
    <pivotField name="ID_Iniciativa"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Nombre_Iniciat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Subdimens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t="default"/>
      </items>
    </pivotField>
    <pivotField name="Ponderacion" compact="0" outline="0" multipleItemSelectionAllowed="1" showAll="0">
      <items>
        <item x="0"/>
        <item x="1"/>
        <item x="2"/>
        <item x="3"/>
        <item x="4"/>
        <item x="5"/>
        <item x="6"/>
        <item x="7"/>
        <item x="8"/>
        <item x="9"/>
        <item x="10"/>
        <item t="default"/>
      </items>
    </pivotField>
    <pivotField name="Brech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Indicador_Proces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t="default"/>
      </items>
    </pivotField>
    <pivotField name="Indicador_Imp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N_Actividad_Hito" dataField="1" compact="0" outline="0" multipleItemSelectionAllowed="1" showAll="0">
      <items>
        <item x="0"/>
        <item x="1"/>
        <item x="2"/>
        <item x="3"/>
        <item x="4"/>
        <item x="5"/>
        <item t="default"/>
      </items>
    </pivotField>
    <pivotField name="Tipo" axis="axisCol" compact="0" outline="0" multipleItemSelectionAllowed="1" showAll="0" sortType="ascending">
      <items>
        <item x="2"/>
        <item x="0"/>
        <item x="1"/>
        <item t="default"/>
      </items>
    </pivotField>
    <pivotField name="Nombre_Actividad_Hi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t="default"/>
      </items>
    </pivotField>
    <pivotField name="Observaciones"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t="default"/>
      </items>
    </pivotField>
    <pivotField name="Área responsable" compact="0" outline="0" multipleItemSelectionAllowed="1" showAll="0">
      <items>
        <item x="0"/>
        <item t="default"/>
      </items>
    </pivotField>
    <pivotField name="Costo estimado total" compact="0" outline="0" multipleItemSelectionAllowed="1" showAll="0">
      <items>
        <item x="0"/>
        <item t="default"/>
      </items>
    </pivotField>
    <pivotField name="Fecha inicio" compact="0" outline="0" multipleItemSelectionAllowed="1" showAll="0">
      <items>
        <item x="0"/>
        <item x="1"/>
        <item t="default"/>
      </items>
    </pivotField>
    <pivotField name="Fecha fin" compact="0" outline="0" multipleItemSelectionAllowed="1" showAll="0">
      <items>
        <item x="0"/>
        <item x="1"/>
        <item t="default"/>
      </items>
    </pivotField>
  </pivotFields>
  <rowFields>
    <field x="0"/>
  </rowFields>
  <colFields>
    <field x="10"/>
  </colFields>
  <dataFields>
    <dataField name="COUNT of N_Actividad_Hito" fld="9" subtotal="countNums" baseField="0"/>
  </dataFields>
</pivotTableDefinition>
</file>

<file path=xl/pivotTables/pivotTable3.xml><?xml version="1.0" encoding="utf-8"?>
<pivotTableDefinition xmlns="http://schemas.openxmlformats.org/spreadsheetml/2006/main" name="Resumen 2" cacheId="2" dataCaption="" compact="0" compactData="0">
  <location ref="G4:L11" firstHeaderRow="0" firstDataRow="2" firstDataCol="1"/>
  <pivotFields>
    <pivotField name="Dimensión" axis="axisRow" compact="0" outline="0" multipleItemSelectionAllowed="1" showAll="0" sortType="ascending" defaultSubtotal="0">
      <items>
        <item x="3"/>
        <item x="1"/>
        <item x="2"/>
        <item x="0"/>
      </items>
    </pivotField>
    <pivotField name="Instrumento" axis="axisRow" compact="0" outline="0" multipleItemSelectionAllowed="1" showAll="0" sortType="ascending">
      <items>
        <item x="4"/>
        <item x="1"/>
        <item x="2"/>
        <item x="3"/>
        <item x="0"/>
        <item t="default"/>
      </items>
    </pivotField>
    <pivotField name="Subdimension"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ID_Iniciat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Nombre_Iniciativ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Ponderacion" compact="0" outline="0" multipleItemSelectionAllowed="1" showAll="0">
      <items>
        <item x="0"/>
        <item x="1"/>
        <item t="default"/>
      </items>
    </pivotField>
    <pivotField name="Brecha"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t="default"/>
      </items>
    </pivotField>
    <pivotField name="Objetivo de la iniciativa" compact="0" outline="0" multipleItemSelectionAllowed="1" showAll="0">
      <items>
        <item x="0"/>
        <item x="1"/>
        <item x="2"/>
        <item x="3"/>
        <item t="default"/>
      </items>
    </pivotField>
    <pivotField name="Indicador_Proceso" compact="0" outline="0" multipleItemSelectionAllowed="1" showAll="0">
      <items>
        <item x="0"/>
        <item x="1"/>
        <item x="2"/>
        <item x="3"/>
        <item t="default"/>
      </items>
    </pivotField>
    <pivotField name="Indicador_Impac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t="default"/>
      </items>
    </pivotField>
    <pivotField name="Área responsable" compact="0" outline="0" multipleItemSelectionAllowed="1" showAll="0">
      <items>
        <item x="0"/>
        <item t="default"/>
      </items>
    </pivotField>
    <pivotField name="Costo estimado total" compact="0" outline="0" multipleItemSelectionAllowed="1" showAll="0">
      <items>
        <item x="0"/>
        <item t="default"/>
      </items>
    </pivotField>
    <pivotField name="Código EVALTIC" compact="0" outline="0" multipleItemSelectionAllowed="1" showAll="0">
      <items>
        <item x="0"/>
        <item x="1"/>
        <item t="default"/>
      </items>
    </pivotField>
    <pivotField name="N_Actividad_Hito" dataField="1" compact="0" numFmtId="165"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t="default"/>
      </items>
    </pivotField>
    <pivotField name="Tipo" axis="axisCol" compact="0" outline="0" multipleItemSelectionAllowed="1" showAll="0" sortType="ascending">
      <items>
        <item x="2"/>
        <item x="0"/>
        <item x="1"/>
        <item t="default"/>
      </items>
    </pivotField>
    <pivotField name="Nombre_Actividad_Hito"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t="default"/>
      </items>
    </pivotField>
    <pivotField name="Observaciones" compact="0" outline="0" multipleItemSelectionAllowed="1" showAll="0">
      <items>
        <item x="0"/>
        <item x="1"/>
        <item t="default"/>
      </items>
    </pivotField>
    <pivotField name="Fecha inicio" compact="0" outline="0" multipleItemSelectionAllowed="1" showAll="0">
      <items>
        <item x="0"/>
        <item x="1"/>
        <item t="default"/>
      </items>
    </pivotField>
    <pivotField name="Fecha fin" compact="0" outline="0" multipleItemSelectionAllowed="1" showAll="0">
      <items>
        <item x="0"/>
        <item x="1"/>
        <item t="default"/>
      </items>
    </pivotField>
  </pivotFields>
  <rowFields>
    <field x="0"/>
    <field x="1"/>
  </rowFields>
  <colFields>
    <field x="14"/>
  </colFields>
  <dataFields>
    <dataField name="COUNTA of N_Actividad_Hito" fld="13" subtotal="count" baseField="0"/>
  </dataFields>
</pivotTableDefinition>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gobdigital.cerofilas.gob.cl/tramites/informativo/2785." TargetMode="External"/><Relationship Id="rId2" Type="http://schemas.openxmlformats.org/officeDocument/2006/relationships/hyperlink" Target="https://gobdigital.cerofilas.gob.cl/tramites/informativo/2785" TargetMode="External"/><Relationship Id="rId3" Type="http://schemas.openxmlformats.org/officeDocument/2006/relationships/hyperlink" Target="https://wikiguias.digital.gob.cl/" TargetMode="External"/><Relationship Id="rId4" Type="http://schemas.openxmlformats.org/officeDocument/2006/relationships/hyperlink" Target="https://gobdigital.cerofilas.gob.cl/tramites/informativo/2785" TargetMode="External"/><Relationship Id="rId5"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hyperlink" Target="https://gobdigital.cerofilas.gob.cl/tramites/informativo/2785." TargetMode="External"/><Relationship Id="rId2" Type="http://schemas.openxmlformats.org/officeDocument/2006/relationships/hyperlink" Target="https://gobdigital.cerofilas.gob.cl/tramites/informativo/2785" TargetMode="External"/><Relationship Id="rId3" Type="http://schemas.openxmlformats.org/officeDocument/2006/relationships/hyperlink" Target="https://wikiguias.digital.gob.cl/" TargetMode="External"/><Relationship Id="rId4" Type="http://schemas.openxmlformats.org/officeDocument/2006/relationships/hyperlink" Target="https://gobdigital.cerofilas.gob.cl/tramites/informativo/2785" TargetMode="External"/><Relationship Id="rId5"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40" Type="http://schemas.openxmlformats.org/officeDocument/2006/relationships/hyperlink" Target="https://jigsaw.w3.org/css-validator/" TargetMode="External"/><Relationship Id="rId42" Type="http://schemas.openxmlformats.org/officeDocument/2006/relationships/hyperlink" Target="https://pagespeed.web.dev/" TargetMode="External"/><Relationship Id="rId41" Type="http://schemas.openxmlformats.org/officeDocument/2006/relationships/hyperlink" Target="https://pagespeed.web.dev/" TargetMode="External"/><Relationship Id="rId44" Type="http://schemas.openxmlformats.org/officeDocument/2006/relationships/hyperlink" Target="https://tools.pingdom.com/" TargetMode="External"/><Relationship Id="rId43" Type="http://schemas.openxmlformats.org/officeDocument/2006/relationships/hyperlink" Target="https://www.webpagetest.org/" TargetMode="External"/><Relationship Id="rId46" Type="http://schemas.openxmlformats.org/officeDocument/2006/relationships/hyperlink" Target="https://www.es.colorlitelens.com/images/tesztek/simulator/" TargetMode="External"/><Relationship Id="rId45" Type="http://schemas.openxmlformats.org/officeDocument/2006/relationships/hyperlink" Target="https://bcn.cl/biuDqH" TargetMode="External"/><Relationship Id="rId1" Type="http://schemas.openxmlformats.org/officeDocument/2006/relationships/hyperlink" Target="https://legible.es/" TargetMode="External"/><Relationship Id="rId2" Type="http://schemas.openxmlformats.org/officeDocument/2006/relationships/hyperlink" Target="https://languagetool.org/es" TargetMode="External"/><Relationship Id="rId3" Type="http://schemas.openxmlformats.org/officeDocument/2006/relationships/hyperlink" Target="https://www.figma.com/@gobdigitalcl" TargetMode="External"/><Relationship Id="rId4" Type="http://schemas.openxmlformats.org/officeDocument/2006/relationships/hyperlink" Target="https://sitioejemplo.gob.cl/abcde." TargetMode="External"/><Relationship Id="rId9" Type="http://schemas.openxmlformats.org/officeDocument/2006/relationships/hyperlink" Target="https://securityheaders.com/" TargetMode="External"/><Relationship Id="rId48" Type="http://schemas.openxmlformats.org/officeDocument/2006/relationships/hyperlink" Target="https://www.zerogpt.com/word-counter" TargetMode="External"/><Relationship Id="rId47" Type="http://schemas.openxmlformats.org/officeDocument/2006/relationships/hyperlink" Target="https://www.plenainclusion.org/discapacidad-intelectual/recurso/lectura-facil/" TargetMode="External"/><Relationship Id="rId49" Type="http://schemas.openxmlformats.org/officeDocument/2006/relationships/drawing" Target="../drawings/drawing5.xml"/><Relationship Id="rId5" Type="http://schemas.openxmlformats.org/officeDocument/2006/relationships/hyperlink" Target="https://reportedeaccesibilidad.senadis.cl/sign." TargetMode="External"/><Relationship Id="rId6" Type="http://schemas.openxmlformats.org/officeDocument/2006/relationships/hyperlink" Target="https://mauve.isti.cnr.it/" TargetMode="External"/><Relationship Id="rId7" Type="http://schemas.openxmlformats.org/officeDocument/2006/relationships/hyperlink" Target="https://www.figma.com/@gobdigitalcl" TargetMode="External"/><Relationship Id="rId8" Type="http://schemas.openxmlformats.org/officeDocument/2006/relationships/hyperlink" Target="https://www.figma.com/@gobdigitalcl" TargetMode="External"/><Relationship Id="rId31" Type="http://schemas.openxmlformats.org/officeDocument/2006/relationships/hyperlink" Target="https://securityheaders.com/" TargetMode="External"/><Relationship Id="rId30" Type="http://schemas.openxmlformats.org/officeDocument/2006/relationships/hyperlink" Target="https://languagetool.org/es" TargetMode="External"/><Relationship Id="rId33" Type="http://schemas.openxmlformats.org/officeDocument/2006/relationships/hyperlink" Target="https://securityheaders.com/" TargetMode="External"/><Relationship Id="rId32" Type="http://schemas.openxmlformats.org/officeDocument/2006/relationships/hyperlink" Target="https://securityheaders.com/" TargetMode="External"/><Relationship Id="rId35" Type="http://schemas.openxmlformats.org/officeDocument/2006/relationships/hyperlink" Target="https://www.webpagetest.org/" TargetMode="External"/><Relationship Id="rId34" Type="http://schemas.openxmlformats.org/officeDocument/2006/relationships/hyperlink" Target="https://www.webpagetest.org/" TargetMode="External"/><Relationship Id="rId37" Type="http://schemas.openxmlformats.org/officeDocument/2006/relationships/hyperlink" Target="https://www.figma.com/@gobdigitalcl" TargetMode="External"/><Relationship Id="rId36" Type="http://schemas.openxmlformats.org/officeDocument/2006/relationships/hyperlink" Target="https://www.figma.com/@gobdigitalcl" TargetMode="External"/><Relationship Id="rId39" Type="http://schemas.openxmlformats.org/officeDocument/2006/relationships/hyperlink" Target="https://validator.w3.org/" TargetMode="External"/><Relationship Id="rId38" Type="http://schemas.openxmlformats.org/officeDocument/2006/relationships/hyperlink" Target="https://validator.w3.org/checklink" TargetMode="External"/><Relationship Id="rId20" Type="http://schemas.openxmlformats.org/officeDocument/2006/relationships/hyperlink" Target="https://www.declaracionjurada.cl/" TargetMode="External"/><Relationship Id="rId22" Type="http://schemas.openxmlformats.org/officeDocument/2006/relationships/hyperlink" Target="https://datos.gob.cl/" TargetMode="External"/><Relationship Id="rId21" Type="http://schemas.openxmlformats.org/officeDocument/2006/relationships/hyperlink" Target="https://www.consejotransparencia.cl/" TargetMode="External"/><Relationship Id="rId24" Type="http://schemas.openxmlformats.org/officeDocument/2006/relationships/hyperlink" Target="https://www.webpagetest.org/" TargetMode="External"/><Relationship Id="rId23" Type="http://schemas.openxmlformats.org/officeDocument/2006/relationships/hyperlink" Target="https://www.webpagetest.org/" TargetMode="External"/><Relationship Id="rId26" Type="http://schemas.openxmlformats.org/officeDocument/2006/relationships/hyperlink" Target="https://tools.pingdom.com/" TargetMode="External"/><Relationship Id="rId25" Type="http://schemas.openxmlformats.org/officeDocument/2006/relationships/hyperlink" Target="https://www.webpagetest.org/" TargetMode="External"/><Relationship Id="rId28" Type="http://schemas.openxmlformats.org/officeDocument/2006/relationships/hyperlink" Target="https://mauve.isti.cnr.it/" TargetMode="External"/><Relationship Id="rId27" Type="http://schemas.openxmlformats.org/officeDocument/2006/relationships/hyperlink" Target="https://www.figma.com/@gobdigitalcl" TargetMode="External"/><Relationship Id="rId29" Type="http://schemas.openxmlformats.org/officeDocument/2006/relationships/hyperlink" Target="https://legible.es/" TargetMode="External"/><Relationship Id="rId11" Type="http://schemas.openxmlformats.org/officeDocument/2006/relationships/hyperlink" Target="https://securityheaders.com/" TargetMode="External"/><Relationship Id="rId10" Type="http://schemas.openxmlformats.org/officeDocument/2006/relationships/hyperlink" Target="https://securityheaders.com/" TargetMode="External"/><Relationship Id="rId13" Type="http://schemas.openxmlformats.org/officeDocument/2006/relationships/hyperlink" Target="https://validator.w3.org/" TargetMode="External"/><Relationship Id="rId12" Type="http://schemas.openxmlformats.org/officeDocument/2006/relationships/hyperlink" Target="https://validator.w3.org/checklink" TargetMode="External"/><Relationship Id="rId15" Type="http://schemas.openxmlformats.org/officeDocument/2006/relationships/hyperlink" Target="https://pagespeed.web.dev/" TargetMode="External"/><Relationship Id="rId14" Type="http://schemas.openxmlformats.org/officeDocument/2006/relationships/hyperlink" Target="https://jigsaw.w3.org/css-validator/" TargetMode="External"/><Relationship Id="rId17" Type="http://schemas.openxmlformats.org/officeDocument/2006/relationships/hyperlink" Target="https://www.es.colorlitelens.com/images/tesztek/simulator/" TargetMode="External"/><Relationship Id="rId16" Type="http://schemas.openxmlformats.org/officeDocument/2006/relationships/hyperlink" Target="https://pagespeed.web.dev/" TargetMode="External"/><Relationship Id="rId19" Type="http://schemas.openxmlformats.org/officeDocument/2006/relationships/hyperlink" Target="https://www.zerogpt.com/word-counter" TargetMode="External"/><Relationship Id="rId18" Type="http://schemas.openxmlformats.org/officeDocument/2006/relationships/hyperlink" Target="https://www.plenainclusion.org/discapacidad-intelectual/recurso/lectura-facil/" TargetMode="External"/></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7.xml"/><Relationship Id="rId3" Type="http://schemas.openxmlformats.org/officeDocument/2006/relationships/vmlDrawing" Target="../drawings/vmlDrawing1.v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comments" Target="../comments2.xml"/><Relationship Id="rId2" Type="http://schemas.openxmlformats.org/officeDocument/2006/relationships/drawing" Target="../drawings/drawing9.xml"/><Relationship Id="rId3" Type="http://schemas.openxmlformats.org/officeDocument/2006/relationships/vmlDrawing" Target="../drawings/vmlDrawing2.vml"/></Relationships>
</file>

<file path=xl/worksheets/_rels/sheet10.xml.rels><?xml version="1.0" encoding="UTF-8" standalone="yes"?><Relationships xmlns="http://schemas.openxmlformats.org/package/2006/relationships"><Relationship Id="rId1" Type="http://schemas.openxmlformats.org/officeDocument/2006/relationships/comments" Target="../comments3.xml"/><Relationship Id="rId2" Type="http://schemas.openxmlformats.org/officeDocument/2006/relationships/drawing" Target="../drawings/drawing10.xml"/><Relationship Id="rId3" Type="http://schemas.openxmlformats.org/officeDocument/2006/relationships/vmlDrawing" Target="../drawings/vmlDrawing3.vml"/></Relationships>
</file>

<file path=xl/worksheets/_rels/sheet11.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drawing" Target="../drawings/drawing1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9.88"/>
    <col customWidth="1" min="2" max="2" width="37.25"/>
    <col customWidth="1" min="4" max="4" width="15.63"/>
    <col customWidth="1" min="5" max="5" width="17.75"/>
    <col customWidth="1" min="7" max="7" width="17.75"/>
  </cols>
  <sheetData>
    <row r="1">
      <c r="A1" s="1"/>
      <c r="B1" s="1"/>
      <c r="C1" s="1"/>
      <c r="D1" s="2"/>
      <c r="E1" s="1"/>
      <c r="F1" s="1"/>
      <c r="G1" s="1"/>
      <c r="H1" s="1"/>
      <c r="I1" s="1"/>
      <c r="J1" s="3"/>
      <c r="K1" s="3"/>
      <c r="L1" s="3"/>
      <c r="M1" s="3"/>
      <c r="N1" s="3"/>
      <c r="O1" s="3"/>
      <c r="P1" s="3"/>
      <c r="Q1" s="3"/>
      <c r="R1" s="3"/>
      <c r="S1" s="3"/>
      <c r="T1" s="3"/>
      <c r="U1" s="3"/>
    </row>
    <row r="2">
      <c r="C2" s="4"/>
      <c r="D2" s="5"/>
      <c r="E2" s="4"/>
      <c r="F2" s="4"/>
      <c r="G2" s="4"/>
      <c r="H2" s="4"/>
      <c r="I2" s="4"/>
    </row>
    <row r="3">
      <c r="B3" s="1"/>
      <c r="D3" s="5"/>
      <c r="E3" s="4"/>
      <c r="F3" s="4"/>
      <c r="G3" s="4"/>
      <c r="H3" s="4"/>
      <c r="I3" s="4"/>
    </row>
    <row r="4">
      <c r="B4" s="1"/>
      <c r="D4" s="5"/>
      <c r="E4" s="4"/>
      <c r="F4" s="4"/>
      <c r="G4" s="4"/>
      <c r="H4" s="4"/>
      <c r="I4" s="4"/>
    </row>
    <row r="5">
      <c r="B5" s="1"/>
      <c r="D5" s="5"/>
      <c r="E5" s="4"/>
      <c r="F5" s="4"/>
      <c r="G5" s="4"/>
      <c r="H5" s="4"/>
      <c r="I5" s="4"/>
    </row>
    <row r="6">
      <c r="B6" s="1"/>
      <c r="D6" s="5"/>
      <c r="E6" s="4"/>
      <c r="F6" s="4"/>
      <c r="G6" s="4"/>
      <c r="H6" s="4"/>
      <c r="I6" s="4"/>
    </row>
    <row r="7">
      <c r="B7" s="1"/>
      <c r="D7" s="5"/>
      <c r="E7" s="4"/>
      <c r="F7" s="4"/>
      <c r="G7" s="4"/>
      <c r="H7" s="4"/>
      <c r="I7" s="4"/>
    </row>
    <row r="8">
      <c r="B8" s="1"/>
      <c r="D8" s="5"/>
      <c r="E8" s="4"/>
      <c r="F8" s="4"/>
      <c r="G8" s="4"/>
      <c r="H8" s="4"/>
      <c r="I8" s="4"/>
    </row>
    <row r="9">
      <c r="B9" s="1"/>
      <c r="D9" s="5"/>
      <c r="E9" s="4"/>
      <c r="F9" s="4"/>
      <c r="G9" s="4"/>
      <c r="H9" s="4"/>
      <c r="I9" s="4"/>
    </row>
    <row r="10">
      <c r="B10" s="1"/>
      <c r="D10" s="5"/>
      <c r="E10" s="4"/>
      <c r="F10" s="4"/>
      <c r="G10" s="4"/>
      <c r="H10" s="4"/>
      <c r="I10" s="4"/>
    </row>
    <row r="11">
      <c r="B11" s="1"/>
      <c r="D11" s="5"/>
      <c r="E11" s="4"/>
      <c r="F11" s="4"/>
      <c r="G11" s="4"/>
      <c r="H11" s="4"/>
      <c r="I11" s="4"/>
    </row>
    <row r="12">
      <c r="B12" s="1"/>
      <c r="D12" s="5"/>
      <c r="E12" s="4"/>
      <c r="F12" s="4"/>
      <c r="G12" s="4"/>
      <c r="H12" s="4"/>
      <c r="I12" s="4"/>
    </row>
    <row r="13">
      <c r="B13" s="1"/>
      <c r="D13" s="5"/>
      <c r="E13" s="4"/>
      <c r="F13" s="4"/>
      <c r="G13" s="4"/>
      <c r="H13" s="4"/>
      <c r="I13" s="4"/>
    </row>
    <row r="14">
      <c r="B14" s="1"/>
      <c r="D14" s="5"/>
      <c r="E14" s="4"/>
      <c r="F14" s="4"/>
      <c r="G14" s="4"/>
      <c r="H14" s="4"/>
      <c r="I14" s="4"/>
    </row>
    <row r="15">
      <c r="B15" s="1"/>
      <c r="D15" s="5"/>
      <c r="E15" s="4"/>
      <c r="F15" s="4"/>
      <c r="G15" s="4"/>
      <c r="H15" s="4"/>
      <c r="I15" s="4"/>
    </row>
    <row r="16">
      <c r="B16" s="1"/>
      <c r="D16" s="5"/>
      <c r="E16" s="4"/>
      <c r="F16" s="4"/>
      <c r="G16" s="4"/>
      <c r="H16" s="4"/>
      <c r="I16" s="4"/>
    </row>
    <row r="17">
      <c r="B17" s="1"/>
      <c r="D17" s="5"/>
      <c r="E17" s="4"/>
      <c r="F17" s="4"/>
      <c r="G17" s="4"/>
      <c r="H17" s="4"/>
      <c r="I17" s="4"/>
    </row>
    <row r="18">
      <c r="B18" s="1"/>
      <c r="D18" s="5"/>
      <c r="E18" s="4"/>
      <c r="F18" s="4"/>
      <c r="G18" s="4"/>
      <c r="H18" s="4"/>
      <c r="I18" s="4"/>
    </row>
    <row r="19">
      <c r="B19" s="1"/>
      <c r="D19" s="5"/>
      <c r="E19" s="4"/>
      <c r="F19" s="4"/>
      <c r="G19" s="4"/>
      <c r="H19" s="4"/>
      <c r="I19" s="4"/>
    </row>
    <row r="20">
      <c r="B20" s="1"/>
      <c r="D20" s="5"/>
      <c r="E20" s="4"/>
      <c r="F20" s="4"/>
      <c r="G20" s="4"/>
      <c r="H20" s="4"/>
      <c r="I20" s="4"/>
    </row>
    <row r="21">
      <c r="B21" s="1"/>
      <c r="D21" s="5"/>
      <c r="E21" s="4"/>
      <c r="F21" s="4"/>
      <c r="G21" s="4"/>
      <c r="H21" s="4"/>
      <c r="I21" s="4"/>
    </row>
    <row r="22">
      <c r="B22" s="1"/>
      <c r="D22" s="5"/>
      <c r="E22" s="4"/>
      <c r="F22" s="4"/>
      <c r="G22" s="4"/>
      <c r="H22" s="4"/>
      <c r="I22" s="4"/>
    </row>
    <row r="23">
      <c r="B23" s="1"/>
      <c r="D23" s="5"/>
      <c r="E23" s="4"/>
      <c r="F23" s="4"/>
      <c r="G23" s="4"/>
      <c r="H23" s="4"/>
      <c r="I23" s="4"/>
    </row>
    <row r="24">
      <c r="B24" s="1"/>
      <c r="D24" s="5"/>
      <c r="E24" s="4"/>
      <c r="F24" s="4"/>
      <c r="G24" s="4"/>
      <c r="H24" s="4"/>
      <c r="I24" s="4"/>
    </row>
    <row r="25">
      <c r="B25" s="1"/>
      <c r="D25" s="5"/>
      <c r="E25" s="4"/>
      <c r="F25" s="4"/>
      <c r="G25" s="4"/>
      <c r="H25" s="4"/>
      <c r="I25" s="4"/>
    </row>
    <row r="26">
      <c r="B26" s="1"/>
      <c r="D26" s="5"/>
      <c r="E26" s="4"/>
      <c r="F26" s="4"/>
      <c r="G26" s="4"/>
      <c r="H26" s="4"/>
      <c r="I26" s="4"/>
    </row>
    <row r="27">
      <c r="B27" s="1"/>
      <c r="D27" s="5"/>
      <c r="E27" s="4"/>
      <c r="F27" s="4"/>
      <c r="G27" s="4"/>
      <c r="H27" s="4"/>
      <c r="I27" s="4"/>
    </row>
    <row r="28">
      <c r="A28" s="6" t="s">
        <v>0</v>
      </c>
      <c r="B28" s="6" t="s">
        <v>1</v>
      </c>
      <c r="C28" s="6" t="s">
        <v>2</v>
      </c>
      <c r="D28" s="5"/>
      <c r="E28" s="4"/>
      <c r="F28" s="4"/>
      <c r="G28" s="4"/>
      <c r="H28" s="4"/>
      <c r="I28" s="4"/>
    </row>
    <row r="29">
      <c r="A29" s="7">
        <v>1.0</v>
      </c>
      <c r="B29" s="7" t="s">
        <v>3</v>
      </c>
      <c r="C29" s="7" t="s">
        <v>4</v>
      </c>
      <c r="D29" s="8" t="str">
        <f t="shared" ref="D29:D33" si="1">A29&amp;": "&amp;B29&amp;" ("&amp;C29&amp;")"</f>
        <v>1: Costo Base (Hasta 1.000 UTM)</v>
      </c>
      <c r="E29" s="4"/>
      <c r="F29" s="4"/>
      <c r="G29" s="4"/>
      <c r="H29" s="4"/>
      <c r="I29" s="4"/>
    </row>
    <row r="30">
      <c r="A30" s="7">
        <v>2.0</v>
      </c>
      <c r="B30" s="7" t="s">
        <v>5</v>
      </c>
      <c r="C30" s="7" t="s">
        <v>6</v>
      </c>
      <c r="D30" s="8" t="str">
        <f t="shared" si="1"/>
        <v>2: Costo Medio (Entre 1.001 y 5.000 UTM)</v>
      </c>
      <c r="E30" s="4"/>
      <c r="F30" s="4"/>
      <c r="G30" s="4"/>
      <c r="H30" s="4"/>
      <c r="I30" s="4"/>
    </row>
    <row r="31">
      <c r="A31" s="7">
        <v>3.0</v>
      </c>
      <c r="B31" s="7" t="s">
        <v>7</v>
      </c>
      <c r="C31" s="7" t="s">
        <v>8</v>
      </c>
      <c r="D31" s="8" t="str">
        <f t="shared" si="1"/>
        <v>3: Costo Significativo (Entre 5.001 y 10.000 UTM)</v>
      </c>
      <c r="E31" s="4"/>
      <c r="F31" s="4"/>
      <c r="G31" s="4"/>
      <c r="H31" s="4"/>
      <c r="I31" s="4"/>
    </row>
    <row r="32">
      <c r="A32" s="7">
        <v>4.0</v>
      </c>
      <c r="B32" s="7" t="s">
        <v>9</v>
      </c>
      <c r="C32" s="7" t="s">
        <v>10</v>
      </c>
      <c r="D32" s="8" t="str">
        <f t="shared" si="1"/>
        <v>4: Alto Costo (Entre 10.001 y 15.000 UTM)</v>
      </c>
      <c r="E32" s="4"/>
      <c r="F32" s="4"/>
      <c r="G32" s="4"/>
      <c r="H32" s="4"/>
      <c r="I32" s="4"/>
    </row>
    <row r="33">
      <c r="A33" s="7">
        <v>5.0</v>
      </c>
      <c r="B33" s="7" t="s">
        <v>11</v>
      </c>
      <c r="C33" s="7" t="s">
        <v>12</v>
      </c>
      <c r="D33" s="8" t="str">
        <f t="shared" si="1"/>
        <v>5: Muy Alto Costo (Más de 15.000 UTM)</v>
      </c>
      <c r="E33" s="4"/>
      <c r="F33" s="4"/>
      <c r="G33" s="4"/>
      <c r="H33" s="4"/>
      <c r="I33" s="4"/>
    </row>
    <row r="34">
      <c r="B34" s="1"/>
      <c r="D34" s="5"/>
      <c r="E34" s="4"/>
      <c r="F34" s="4"/>
      <c r="G34" s="4"/>
      <c r="H34" s="4"/>
      <c r="I34" s="4"/>
    </row>
    <row r="35">
      <c r="B35" s="1"/>
      <c r="D35" s="5"/>
      <c r="E35" s="4"/>
      <c r="F35" s="4"/>
      <c r="G35" s="4"/>
      <c r="H35" s="4"/>
      <c r="I35" s="4"/>
    </row>
    <row r="36">
      <c r="B36" s="1"/>
      <c r="D36" s="5"/>
      <c r="E36" s="4"/>
      <c r="F36" s="4"/>
      <c r="G36" s="4"/>
      <c r="H36" s="4"/>
      <c r="I36" s="4"/>
    </row>
    <row r="37">
      <c r="C37" s="9"/>
      <c r="D37" s="10"/>
      <c r="E37" s="10"/>
      <c r="F37" s="9"/>
      <c r="G37" s="10"/>
      <c r="H37" s="9"/>
      <c r="I37" s="10"/>
    </row>
    <row r="38">
      <c r="C38" s="9"/>
      <c r="D38" s="10"/>
      <c r="E38" s="10"/>
      <c r="F38" s="9"/>
      <c r="G38" s="10"/>
      <c r="H38" s="4"/>
      <c r="I38" s="10"/>
    </row>
    <row r="39">
      <c r="C39" s="9"/>
      <c r="D39" s="10"/>
      <c r="E39" s="10"/>
      <c r="F39" s="10"/>
      <c r="G39" s="10"/>
      <c r="H39" s="10"/>
      <c r="I39" s="10"/>
      <c r="J39" s="10"/>
      <c r="K39" s="10"/>
      <c r="L39" s="10"/>
      <c r="M39" s="10"/>
      <c r="N39" s="10"/>
      <c r="O39" s="10"/>
      <c r="P39" s="10"/>
      <c r="Q39" s="10"/>
      <c r="R39" s="10"/>
      <c r="S39" s="10"/>
      <c r="T39" s="10"/>
      <c r="U39" s="10"/>
    </row>
    <row r="40">
      <c r="A40" s="11" t="s">
        <v>13</v>
      </c>
      <c r="C40" s="10"/>
      <c r="D40" s="10"/>
      <c r="E40" s="10"/>
      <c r="F40" s="10"/>
      <c r="G40" s="10"/>
      <c r="H40" s="10"/>
      <c r="I40" s="10"/>
      <c r="J40" s="10"/>
      <c r="K40" s="10"/>
      <c r="L40" s="10"/>
      <c r="M40" s="10"/>
      <c r="N40" s="10"/>
      <c r="O40" s="10"/>
      <c r="P40" s="10"/>
      <c r="Q40" s="10"/>
      <c r="R40" s="10"/>
      <c r="S40" s="10"/>
      <c r="T40" s="10"/>
      <c r="U40" s="10"/>
    </row>
    <row r="41">
      <c r="A41" s="11"/>
      <c r="B41" s="11" t="s">
        <v>14</v>
      </c>
      <c r="C41" s="12" t="s">
        <v>15</v>
      </c>
      <c r="D41" s="10"/>
      <c r="E41" s="13" t="s">
        <v>16</v>
      </c>
      <c r="F41" s="10">
        <v>0.6</v>
      </c>
      <c r="G41" s="10"/>
      <c r="H41" s="10"/>
      <c r="I41" s="10"/>
      <c r="J41" s="10"/>
      <c r="K41" s="10"/>
      <c r="L41" s="10"/>
      <c r="M41" s="10"/>
      <c r="N41" s="10"/>
      <c r="O41" s="10"/>
      <c r="P41" s="10"/>
      <c r="Q41" s="10"/>
      <c r="R41" s="10"/>
      <c r="S41" s="10"/>
      <c r="T41" s="10"/>
      <c r="U41" s="10"/>
    </row>
    <row r="42">
      <c r="A42" s="11" t="s">
        <v>17</v>
      </c>
      <c r="B42" s="1" t="s">
        <v>18</v>
      </c>
      <c r="C42" s="10">
        <v>0.13</v>
      </c>
      <c r="D42" s="10"/>
      <c r="E42" s="13" t="s">
        <v>19</v>
      </c>
      <c r="F42" s="10">
        <v>0.25</v>
      </c>
      <c r="G42" s="10"/>
      <c r="H42" s="10"/>
      <c r="I42" s="10"/>
      <c r="J42" s="10"/>
      <c r="K42" s="10"/>
      <c r="L42" s="10"/>
      <c r="M42" s="10"/>
      <c r="N42" s="10"/>
      <c r="O42" s="10"/>
      <c r="P42" s="10"/>
      <c r="Q42" s="10"/>
      <c r="R42" s="10"/>
      <c r="S42" s="10"/>
      <c r="T42" s="10"/>
      <c r="U42" s="10"/>
    </row>
    <row r="43">
      <c r="A43" s="11" t="s">
        <v>20</v>
      </c>
      <c r="B43" s="1" t="s">
        <v>21</v>
      </c>
      <c r="C43" s="10">
        <v>0.13</v>
      </c>
      <c r="D43" s="10"/>
      <c r="E43" s="13" t="s">
        <v>22</v>
      </c>
      <c r="F43" s="10">
        <v>0.15</v>
      </c>
      <c r="G43" s="10"/>
      <c r="H43" s="10"/>
      <c r="I43" s="10"/>
      <c r="J43" s="10"/>
      <c r="K43" s="10"/>
      <c r="L43" s="10"/>
      <c r="M43" s="10"/>
      <c r="N43" s="10"/>
      <c r="O43" s="10"/>
      <c r="P43" s="10"/>
      <c r="Q43" s="10"/>
      <c r="R43" s="10"/>
      <c r="S43" s="10"/>
      <c r="T43" s="10"/>
      <c r="U43" s="10"/>
    </row>
    <row r="44">
      <c r="A44" s="11" t="s">
        <v>23</v>
      </c>
      <c r="B44" s="1" t="s">
        <v>24</v>
      </c>
      <c r="C44" s="10">
        <v>0.1</v>
      </c>
      <c r="D44" s="10"/>
      <c r="E44" s="10"/>
      <c r="F44" s="10">
        <f>SUM(F41:F43)</f>
        <v>1</v>
      </c>
      <c r="G44" s="10"/>
      <c r="H44" s="10"/>
      <c r="I44" s="10"/>
      <c r="J44" s="10"/>
      <c r="K44" s="10"/>
      <c r="L44" s="10"/>
      <c r="M44" s="10"/>
      <c r="N44" s="10"/>
      <c r="O44" s="10"/>
      <c r="P44" s="10"/>
      <c r="Q44" s="10"/>
      <c r="R44" s="10"/>
      <c r="S44" s="10"/>
      <c r="T44" s="10"/>
      <c r="U44" s="10"/>
    </row>
    <row r="45">
      <c r="A45" s="11" t="s">
        <v>25</v>
      </c>
      <c r="B45" s="1" t="s">
        <v>26</v>
      </c>
      <c r="C45" s="10">
        <v>0.1</v>
      </c>
      <c r="D45" s="10"/>
      <c r="E45" s="10"/>
      <c r="F45" s="10"/>
      <c r="G45" s="10"/>
      <c r="H45" s="10"/>
      <c r="I45" s="10"/>
      <c r="J45" s="10"/>
      <c r="K45" s="10"/>
      <c r="L45" s="10"/>
      <c r="M45" s="10"/>
      <c r="N45" s="10"/>
      <c r="O45" s="10"/>
      <c r="P45" s="10"/>
      <c r="Q45" s="10"/>
      <c r="R45" s="10"/>
      <c r="S45" s="10"/>
      <c r="T45" s="10"/>
      <c r="U45" s="10"/>
    </row>
    <row r="46">
      <c r="A46" s="11" t="s">
        <v>27</v>
      </c>
      <c r="B46" s="1" t="s">
        <v>28</v>
      </c>
      <c r="C46" s="10">
        <v>0.08</v>
      </c>
      <c r="D46" s="10"/>
      <c r="E46" s="10"/>
      <c r="F46" s="10"/>
      <c r="G46" s="10"/>
      <c r="H46" s="10"/>
      <c r="I46" s="10"/>
      <c r="J46" s="10"/>
      <c r="K46" s="10"/>
      <c r="L46" s="10"/>
      <c r="M46" s="10"/>
      <c r="N46" s="10"/>
      <c r="O46" s="10"/>
      <c r="P46" s="10"/>
      <c r="Q46" s="10"/>
      <c r="R46" s="10"/>
      <c r="S46" s="10"/>
      <c r="T46" s="10"/>
      <c r="U46" s="10"/>
    </row>
    <row r="47">
      <c r="A47" s="11" t="s">
        <v>29</v>
      </c>
      <c r="B47" s="1" t="s">
        <v>30</v>
      </c>
      <c r="C47" s="10">
        <v>0.06</v>
      </c>
      <c r="D47" s="10"/>
      <c r="E47" s="10"/>
      <c r="F47" s="10"/>
      <c r="G47" s="10"/>
      <c r="H47" s="10"/>
      <c r="I47" s="10"/>
      <c r="J47" s="10"/>
      <c r="K47" s="10"/>
      <c r="L47" s="10"/>
      <c r="M47" s="10"/>
      <c r="N47" s="10"/>
      <c r="O47" s="10"/>
      <c r="P47" s="10"/>
      <c r="Q47" s="10"/>
      <c r="R47" s="10"/>
      <c r="S47" s="10"/>
      <c r="T47" s="10"/>
      <c r="U47" s="10"/>
    </row>
    <row r="48">
      <c r="A48" s="11" t="s">
        <v>31</v>
      </c>
      <c r="B48" s="1" t="s">
        <v>32</v>
      </c>
      <c r="C48" s="10">
        <v>0.05</v>
      </c>
      <c r="D48" s="10"/>
      <c r="E48" s="10"/>
      <c r="F48" s="10"/>
      <c r="G48" s="10"/>
      <c r="H48" s="10"/>
      <c r="I48" s="10"/>
      <c r="J48" s="10"/>
      <c r="K48" s="10"/>
      <c r="L48" s="10"/>
      <c r="M48" s="10"/>
      <c r="N48" s="10"/>
      <c r="O48" s="10"/>
      <c r="P48" s="10"/>
      <c r="Q48" s="10"/>
      <c r="R48" s="10"/>
      <c r="S48" s="10"/>
      <c r="T48" s="10"/>
      <c r="U48" s="10"/>
    </row>
    <row r="49">
      <c r="A49" s="11" t="s">
        <v>33</v>
      </c>
      <c r="B49" s="1" t="s">
        <v>34</v>
      </c>
      <c r="C49" s="10">
        <v>0.05</v>
      </c>
      <c r="D49" s="10"/>
      <c r="E49" s="10"/>
      <c r="F49" s="10"/>
      <c r="G49" s="10"/>
      <c r="H49" s="10"/>
      <c r="I49" s="10"/>
      <c r="J49" s="10"/>
      <c r="K49" s="10"/>
      <c r="L49" s="10"/>
      <c r="M49" s="10"/>
      <c r="N49" s="10"/>
      <c r="O49" s="10"/>
      <c r="P49" s="10"/>
      <c r="Q49" s="10"/>
      <c r="R49" s="10"/>
      <c r="S49" s="10"/>
      <c r="T49" s="10"/>
      <c r="U49" s="10"/>
    </row>
    <row r="50">
      <c r="A50" s="11" t="s">
        <v>35</v>
      </c>
      <c r="B50" s="1" t="s">
        <v>36</v>
      </c>
      <c r="C50" s="10">
        <v>0.05</v>
      </c>
      <c r="D50" s="10"/>
      <c r="E50" s="10"/>
      <c r="F50" s="10"/>
      <c r="G50" s="10"/>
      <c r="H50" s="10"/>
      <c r="I50" s="10"/>
      <c r="J50" s="10"/>
      <c r="K50" s="10"/>
      <c r="L50" s="10"/>
      <c r="M50" s="10"/>
      <c r="N50" s="10"/>
      <c r="O50" s="10"/>
      <c r="P50" s="10"/>
      <c r="Q50" s="10"/>
      <c r="R50" s="10"/>
      <c r="S50" s="10"/>
      <c r="T50" s="10"/>
      <c r="U50" s="10"/>
    </row>
    <row r="51">
      <c r="A51" s="11" t="s">
        <v>37</v>
      </c>
      <c r="B51" s="1" t="s">
        <v>38</v>
      </c>
      <c r="C51" s="9">
        <v>0.04</v>
      </c>
      <c r="D51" s="10"/>
      <c r="E51" s="10"/>
      <c r="F51" s="10"/>
      <c r="G51" s="10"/>
      <c r="H51" s="10"/>
      <c r="I51" s="10"/>
      <c r="J51" s="10"/>
      <c r="K51" s="10"/>
      <c r="L51" s="10"/>
      <c r="M51" s="10"/>
      <c r="N51" s="10"/>
      <c r="O51" s="10"/>
      <c r="P51" s="10"/>
      <c r="Q51" s="10"/>
      <c r="R51" s="10"/>
      <c r="S51" s="10"/>
      <c r="T51" s="10"/>
      <c r="U51" s="10"/>
    </row>
    <row r="52">
      <c r="A52" s="14" t="s">
        <v>39</v>
      </c>
      <c r="B52" s="15" t="s">
        <v>40</v>
      </c>
      <c r="C52" s="16">
        <v>0.03</v>
      </c>
      <c r="D52" s="10"/>
      <c r="E52" s="10"/>
      <c r="F52" s="10"/>
      <c r="G52" s="10"/>
      <c r="H52" s="10"/>
      <c r="I52" s="10"/>
      <c r="J52" s="10"/>
      <c r="K52" s="10"/>
      <c r="L52" s="10"/>
      <c r="M52" s="10"/>
      <c r="N52" s="10"/>
      <c r="O52" s="10"/>
      <c r="P52" s="10"/>
      <c r="Q52" s="10"/>
      <c r="R52" s="10"/>
      <c r="S52" s="10"/>
      <c r="T52" s="10"/>
      <c r="U52" s="10"/>
    </row>
    <row r="53">
      <c r="A53" s="14" t="s">
        <v>41</v>
      </c>
      <c r="B53" s="15" t="s">
        <v>42</v>
      </c>
      <c r="C53" s="16">
        <v>0.02</v>
      </c>
      <c r="D53" s="10"/>
      <c r="E53" s="10"/>
      <c r="F53" s="10"/>
      <c r="G53" s="10"/>
      <c r="H53" s="10"/>
      <c r="I53" s="10"/>
      <c r="J53" s="10"/>
      <c r="K53" s="10"/>
      <c r="L53" s="10"/>
      <c r="M53" s="10"/>
      <c r="N53" s="10"/>
      <c r="O53" s="10"/>
      <c r="P53" s="10"/>
      <c r="Q53" s="10"/>
      <c r="R53" s="10"/>
      <c r="S53" s="10"/>
      <c r="T53" s="10"/>
      <c r="U53" s="10"/>
    </row>
    <row r="54">
      <c r="A54" s="11" t="s">
        <v>43</v>
      </c>
      <c r="B54" s="1" t="s">
        <v>44</v>
      </c>
      <c r="C54" s="9">
        <v>0.02</v>
      </c>
      <c r="D54" s="10"/>
      <c r="E54" s="10"/>
      <c r="F54" s="10"/>
      <c r="G54" s="10"/>
      <c r="H54" s="10"/>
      <c r="I54" s="10"/>
      <c r="J54" s="10"/>
      <c r="K54" s="10"/>
      <c r="L54" s="10"/>
      <c r="M54" s="10"/>
      <c r="N54" s="10"/>
      <c r="O54" s="10"/>
      <c r="P54" s="10"/>
      <c r="Q54" s="10"/>
      <c r="R54" s="10"/>
      <c r="S54" s="10"/>
      <c r="T54" s="10"/>
      <c r="U54" s="10"/>
    </row>
    <row r="55">
      <c r="A55" s="1" t="s">
        <v>45</v>
      </c>
      <c r="B55" s="1" t="s">
        <v>46</v>
      </c>
      <c r="C55" s="9">
        <v>0.02</v>
      </c>
      <c r="D55" s="10"/>
      <c r="E55" s="10"/>
      <c r="F55" s="10"/>
      <c r="G55" s="10"/>
      <c r="H55" s="10"/>
      <c r="I55" s="10"/>
      <c r="J55" s="10"/>
      <c r="K55" s="10"/>
      <c r="L55" s="10"/>
      <c r="M55" s="10"/>
      <c r="N55" s="10"/>
      <c r="O55" s="10"/>
      <c r="P55" s="10"/>
      <c r="Q55" s="10"/>
      <c r="R55" s="10"/>
      <c r="S55" s="10"/>
      <c r="T55" s="10"/>
      <c r="U55" s="10"/>
    </row>
    <row r="56">
      <c r="A56" s="17" t="s">
        <v>47</v>
      </c>
      <c r="B56" s="17" t="s">
        <v>48</v>
      </c>
      <c r="C56" s="18">
        <v>0.02</v>
      </c>
      <c r="D56" s="10"/>
      <c r="E56" s="10"/>
      <c r="F56" s="10"/>
      <c r="G56" s="10"/>
      <c r="H56" s="10"/>
      <c r="I56" s="10"/>
      <c r="J56" s="10"/>
      <c r="K56" s="10"/>
      <c r="L56" s="10"/>
      <c r="M56" s="10"/>
      <c r="N56" s="10"/>
      <c r="O56" s="10"/>
      <c r="P56" s="10"/>
      <c r="Q56" s="10"/>
      <c r="R56" s="10"/>
      <c r="S56" s="10"/>
      <c r="T56" s="10"/>
      <c r="U56" s="10"/>
    </row>
    <row r="57">
      <c r="A57" s="1" t="s">
        <v>49</v>
      </c>
      <c r="B57" s="1" t="s">
        <v>50</v>
      </c>
      <c r="C57" s="9">
        <v>0.02</v>
      </c>
      <c r="D57" s="10"/>
      <c r="E57" s="10"/>
      <c r="F57" s="10"/>
      <c r="G57" s="10"/>
      <c r="H57" s="10"/>
      <c r="I57" s="10"/>
      <c r="J57" s="10"/>
      <c r="K57" s="10"/>
      <c r="L57" s="10"/>
      <c r="M57" s="10"/>
      <c r="N57" s="10"/>
      <c r="O57" s="10"/>
      <c r="P57" s="10"/>
      <c r="Q57" s="10"/>
      <c r="R57" s="10"/>
      <c r="S57" s="10"/>
      <c r="T57" s="10"/>
      <c r="U57" s="10"/>
    </row>
    <row r="58">
      <c r="A58" s="11" t="s">
        <v>51</v>
      </c>
      <c r="B58" s="1" t="s">
        <v>52</v>
      </c>
      <c r="C58" s="9">
        <v>0.02</v>
      </c>
      <c r="D58" s="10"/>
      <c r="E58" s="10"/>
      <c r="F58" s="10"/>
      <c r="G58" s="10"/>
      <c r="H58" s="10"/>
      <c r="I58" s="10"/>
      <c r="J58" s="10"/>
      <c r="K58" s="10"/>
      <c r="L58" s="10"/>
      <c r="M58" s="10"/>
      <c r="N58" s="10"/>
      <c r="O58" s="10"/>
      <c r="P58" s="10"/>
      <c r="Q58" s="10"/>
      <c r="R58" s="10"/>
      <c r="S58" s="10"/>
      <c r="T58" s="10"/>
      <c r="U58" s="10"/>
    </row>
    <row r="59">
      <c r="A59" s="11" t="s">
        <v>53</v>
      </c>
      <c r="B59" s="1" t="s">
        <v>54</v>
      </c>
      <c r="C59" s="9">
        <v>0.02</v>
      </c>
      <c r="D59" s="10"/>
      <c r="E59" s="10"/>
      <c r="F59" s="10"/>
      <c r="G59" s="10"/>
      <c r="H59" s="10"/>
      <c r="I59" s="10"/>
      <c r="J59" s="10"/>
      <c r="K59" s="10"/>
      <c r="L59" s="10"/>
      <c r="M59" s="10"/>
      <c r="N59" s="10"/>
      <c r="O59" s="10"/>
      <c r="P59" s="10"/>
      <c r="Q59" s="10"/>
      <c r="R59" s="10"/>
      <c r="S59" s="10"/>
      <c r="T59" s="10"/>
      <c r="U59" s="10"/>
    </row>
    <row r="60">
      <c r="A60" s="11" t="s">
        <v>55</v>
      </c>
      <c r="B60" s="1" t="s">
        <v>56</v>
      </c>
      <c r="C60" s="9">
        <v>0.02</v>
      </c>
      <c r="D60" s="10"/>
      <c r="E60" s="10"/>
      <c r="F60" s="10"/>
      <c r="G60" s="10"/>
      <c r="H60" s="10"/>
      <c r="I60" s="10"/>
      <c r="J60" s="10"/>
      <c r="K60" s="10"/>
      <c r="L60" s="10"/>
      <c r="M60" s="10"/>
      <c r="N60" s="10"/>
      <c r="O60" s="10"/>
      <c r="P60" s="10"/>
      <c r="Q60" s="10"/>
      <c r="R60" s="10"/>
      <c r="S60" s="10"/>
      <c r="T60" s="10"/>
      <c r="U60" s="10"/>
    </row>
    <row r="61">
      <c r="A61" s="11" t="s">
        <v>57</v>
      </c>
      <c r="B61" s="1" t="s">
        <v>58</v>
      </c>
      <c r="C61" s="9">
        <v>0.02</v>
      </c>
      <c r="D61" s="10"/>
      <c r="E61" s="10"/>
      <c r="F61" s="10"/>
      <c r="G61" s="10"/>
      <c r="H61" s="10"/>
      <c r="I61" s="10"/>
      <c r="J61" s="10"/>
      <c r="K61" s="10"/>
      <c r="L61" s="10"/>
      <c r="M61" s="10"/>
      <c r="N61" s="10"/>
      <c r="O61" s="10"/>
      <c r="P61" s="10"/>
      <c r="Q61" s="10"/>
      <c r="R61" s="10"/>
      <c r="S61" s="10"/>
      <c r="T61" s="10"/>
      <c r="U61" s="10"/>
    </row>
    <row r="62">
      <c r="C62" s="19">
        <f>SUM(C42:C61)</f>
        <v>1</v>
      </c>
      <c r="D62" s="10"/>
      <c r="E62" s="10"/>
      <c r="F62" s="10"/>
      <c r="G62" s="10"/>
      <c r="H62" s="10"/>
      <c r="I62" s="10"/>
      <c r="J62" s="10"/>
      <c r="K62" s="10"/>
      <c r="L62" s="10"/>
      <c r="M62" s="10"/>
      <c r="N62" s="10"/>
      <c r="O62" s="10"/>
      <c r="P62" s="10"/>
      <c r="Q62" s="10"/>
      <c r="R62" s="10"/>
      <c r="S62" s="10"/>
      <c r="T62" s="10"/>
      <c r="U62" s="10"/>
    </row>
    <row r="63">
      <c r="D63" s="10"/>
      <c r="E63" s="10"/>
      <c r="F63" s="10"/>
      <c r="G63" s="10"/>
      <c r="H63" s="10"/>
      <c r="I63" s="10"/>
      <c r="J63" s="10"/>
      <c r="K63" s="10"/>
      <c r="L63" s="10"/>
      <c r="M63" s="10"/>
      <c r="N63" s="10"/>
      <c r="O63" s="10"/>
      <c r="P63" s="10"/>
      <c r="Q63" s="10"/>
      <c r="R63" s="10"/>
      <c r="S63" s="10"/>
      <c r="T63" s="10"/>
      <c r="U63" s="10"/>
    </row>
    <row r="64">
      <c r="A64" s="11" t="s">
        <v>59</v>
      </c>
      <c r="B64" s="11"/>
      <c r="C64" s="11"/>
      <c r="D64" s="10"/>
      <c r="E64" s="10"/>
      <c r="F64" s="10"/>
      <c r="G64" s="10"/>
      <c r="H64" s="10"/>
      <c r="I64" s="10"/>
      <c r="J64" s="10"/>
      <c r="K64" s="10"/>
      <c r="L64" s="10"/>
      <c r="M64" s="10"/>
      <c r="N64" s="10"/>
      <c r="O64" s="10"/>
      <c r="P64" s="10"/>
      <c r="Q64" s="10"/>
      <c r="R64" s="10"/>
      <c r="S64" s="10"/>
      <c r="T64" s="10"/>
      <c r="U64" s="10"/>
    </row>
    <row r="65">
      <c r="A65" s="11"/>
      <c r="B65" s="11" t="s">
        <v>14</v>
      </c>
      <c r="C65" s="11" t="s">
        <v>15</v>
      </c>
      <c r="D65" s="10"/>
      <c r="E65" s="10"/>
      <c r="F65" s="10"/>
      <c r="G65" s="10"/>
      <c r="H65" s="10"/>
      <c r="I65" s="10"/>
      <c r="J65" s="10"/>
      <c r="K65" s="10"/>
      <c r="L65" s="10"/>
      <c r="M65" s="10"/>
      <c r="N65" s="10"/>
      <c r="O65" s="10"/>
      <c r="P65" s="10"/>
      <c r="Q65" s="10"/>
      <c r="R65" s="10"/>
      <c r="S65" s="10"/>
      <c r="T65" s="10"/>
      <c r="U65" s="10"/>
    </row>
    <row r="66">
      <c r="A66" s="11" t="s">
        <v>17</v>
      </c>
      <c r="B66" s="11" t="s">
        <v>21</v>
      </c>
      <c r="C66" s="10">
        <v>0.1</v>
      </c>
      <c r="E66" s="10"/>
      <c r="F66" s="10"/>
      <c r="G66" s="10"/>
      <c r="H66" s="10"/>
      <c r="I66" s="10"/>
      <c r="J66" s="10"/>
      <c r="K66" s="10"/>
      <c r="L66" s="10"/>
      <c r="M66" s="10"/>
      <c r="N66" s="10"/>
      <c r="O66" s="10"/>
      <c r="P66" s="10"/>
      <c r="Q66" s="10"/>
      <c r="R66" s="10"/>
      <c r="S66" s="10"/>
      <c r="T66" s="10"/>
      <c r="U66" s="10"/>
    </row>
    <row r="67">
      <c r="A67" s="11" t="s">
        <v>20</v>
      </c>
      <c r="B67" s="11" t="s">
        <v>52</v>
      </c>
      <c r="C67" s="10">
        <v>0.1</v>
      </c>
      <c r="E67" s="10"/>
      <c r="F67" s="10"/>
      <c r="G67" s="10"/>
      <c r="H67" s="10"/>
      <c r="I67" s="10"/>
      <c r="J67" s="10"/>
      <c r="K67" s="10"/>
      <c r="L67" s="10"/>
      <c r="M67" s="10"/>
      <c r="N67" s="10"/>
      <c r="O67" s="10"/>
      <c r="P67" s="10"/>
      <c r="Q67" s="10"/>
      <c r="R67" s="10"/>
      <c r="S67" s="10"/>
      <c r="T67" s="10"/>
      <c r="U67" s="10"/>
    </row>
    <row r="68">
      <c r="A68" s="11" t="s">
        <v>23</v>
      </c>
      <c r="B68" s="11" t="s">
        <v>24</v>
      </c>
      <c r="C68" s="10">
        <v>0.08</v>
      </c>
      <c r="E68" s="10"/>
      <c r="F68" s="10"/>
      <c r="G68" s="10"/>
      <c r="H68" s="10"/>
      <c r="I68" s="10"/>
      <c r="J68" s="10"/>
      <c r="K68" s="10"/>
      <c r="L68" s="10"/>
      <c r="M68" s="10"/>
      <c r="N68" s="10"/>
      <c r="O68" s="10"/>
      <c r="P68" s="10"/>
      <c r="Q68" s="10"/>
      <c r="R68" s="10"/>
      <c r="S68" s="10"/>
      <c r="T68" s="10"/>
      <c r="U68" s="10"/>
    </row>
    <row r="69">
      <c r="A69" s="11" t="s">
        <v>25</v>
      </c>
      <c r="B69" s="11" t="s">
        <v>60</v>
      </c>
      <c r="C69" s="10">
        <v>0.08</v>
      </c>
      <c r="E69" s="10"/>
      <c r="F69" s="10"/>
      <c r="G69" s="10"/>
      <c r="H69" s="10"/>
      <c r="I69" s="10"/>
      <c r="J69" s="10"/>
      <c r="K69" s="10"/>
      <c r="L69" s="10"/>
      <c r="M69" s="10"/>
      <c r="N69" s="10"/>
      <c r="O69" s="10"/>
      <c r="P69" s="10"/>
      <c r="Q69" s="10"/>
      <c r="R69" s="10"/>
      <c r="S69" s="10"/>
      <c r="T69" s="10"/>
      <c r="U69" s="10"/>
    </row>
    <row r="70">
      <c r="A70" s="11" t="s">
        <v>27</v>
      </c>
      <c r="B70" s="11" t="s">
        <v>18</v>
      </c>
      <c r="C70" s="10">
        <v>0.06</v>
      </c>
      <c r="E70" s="10"/>
      <c r="F70" s="10"/>
      <c r="G70" s="10"/>
      <c r="H70" s="10"/>
      <c r="I70" s="10"/>
      <c r="J70" s="10"/>
      <c r="K70" s="10"/>
      <c r="L70" s="10"/>
      <c r="M70" s="10"/>
      <c r="N70" s="10"/>
      <c r="O70" s="10"/>
      <c r="P70" s="10"/>
      <c r="Q70" s="10"/>
      <c r="R70" s="10"/>
      <c r="S70" s="10"/>
      <c r="T70" s="10"/>
      <c r="U70" s="10"/>
    </row>
    <row r="71">
      <c r="A71" s="11" t="s">
        <v>29</v>
      </c>
      <c r="B71" s="11" t="s">
        <v>30</v>
      </c>
      <c r="C71" s="10">
        <v>0.06</v>
      </c>
      <c r="E71" s="10"/>
      <c r="F71" s="10"/>
      <c r="G71" s="10"/>
      <c r="H71" s="10"/>
      <c r="I71" s="10"/>
      <c r="J71" s="10"/>
      <c r="K71" s="10"/>
      <c r="L71" s="10"/>
      <c r="M71" s="10"/>
      <c r="N71" s="10"/>
      <c r="O71" s="10"/>
      <c r="P71" s="10"/>
      <c r="Q71" s="10"/>
      <c r="R71" s="10"/>
      <c r="S71" s="10"/>
      <c r="T71" s="10"/>
      <c r="U71" s="10"/>
    </row>
    <row r="72">
      <c r="A72" s="11" t="s">
        <v>31</v>
      </c>
      <c r="B72" s="11" t="s">
        <v>34</v>
      </c>
      <c r="C72" s="10">
        <v>0.06</v>
      </c>
      <c r="E72" s="10"/>
      <c r="F72" s="10"/>
      <c r="G72" s="10"/>
      <c r="H72" s="10"/>
      <c r="I72" s="10"/>
      <c r="J72" s="10"/>
      <c r="K72" s="10"/>
      <c r="L72" s="10"/>
      <c r="M72" s="10"/>
      <c r="N72" s="10"/>
      <c r="O72" s="10"/>
      <c r="P72" s="10"/>
      <c r="Q72" s="10"/>
      <c r="R72" s="10"/>
      <c r="S72" s="10"/>
      <c r="T72" s="10"/>
      <c r="U72" s="10"/>
    </row>
    <row r="73">
      <c r="A73" s="11" t="s">
        <v>33</v>
      </c>
      <c r="B73" s="11" t="s">
        <v>61</v>
      </c>
      <c r="C73" s="10">
        <v>0.06</v>
      </c>
      <c r="E73" s="10"/>
      <c r="F73" s="10"/>
      <c r="G73" s="10"/>
      <c r="H73" s="10"/>
      <c r="I73" s="10"/>
      <c r="J73" s="10"/>
      <c r="K73" s="10"/>
      <c r="L73" s="10"/>
      <c r="M73" s="10"/>
      <c r="N73" s="10"/>
      <c r="O73" s="10"/>
      <c r="P73" s="10"/>
      <c r="Q73" s="10"/>
      <c r="R73" s="10"/>
      <c r="S73" s="10"/>
      <c r="T73" s="10"/>
      <c r="U73" s="10"/>
    </row>
    <row r="74">
      <c r="A74" s="11" t="s">
        <v>35</v>
      </c>
      <c r="B74" s="11" t="s">
        <v>54</v>
      </c>
      <c r="C74" s="10">
        <v>0.06</v>
      </c>
      <c r="E74" s="4"/>
      <c r="F74" s="4"/>
      <c r="G74" s="4"/>
      <c r="H74" s="4"/>
      <c r="I74" s="4"/>
    </row>
    <row r="75">
      <c r="A75" s="11" t="s">
        <v>37</v>
      </c>
      <c r="B75" s="11" t="s">
        <v>26</v>
      </c>
      <c r="C75" s="10">
        <v>0.04</v>
      </c>
      <c r="E75" s="4"/>
      <c r="F75" s="4"/>
      <c r="G75" s="4"/>
      <c r="H75" s="4"/>
      <c r="I75" s="4"/>
    </row>
    <row r="76">
      <c r="A76" s="11" t="s">
        <v>39</v>
      </c>
      <c r="B76" s="11" t="s">
        <v>38</v>
      </c>
      <c r="C76" s="10">
        <v>0.04</v>
      </c>
      <c r="E76" s="4"/>
      <c r="F76" s="4"/>
      <c r="G76" s="4"/>
      <c r="H76" s="4"/>
      <c r="I76" s="4"/>
    </row>
    <row r="77">
      <c r="A77" s="11" t="s">
        <v>41</v>
      </c>
      <c r="B77" s="11" t="s">
        <v>32</v>
      </c>
      <c r="C77" s="10">
        <v>0.04</v>
      </c>
      <c r="E77" s="4"/>
      <c r="F77" s="4"/>
      <c r="G77" s="4"/>
      <c r="H77" s="4"/>
      <c r="I77" s="4"/>
    </row>
    <row r="78">
      <c r="A78" s="11" t="s">
        <v>43</v>
      </c>
      <c r="B78" s="11" t="s">
        <v>36</v>
      </c>
      <c r="C78" s="10">
        <v>0.04</v>
      </c>
      <c r="E78" s="4"/>
      <c r="F78" s="4"/>
      <c r="G78" s="4"/>
      <c r="H78" s="4"/>
      <c r="I78" s="4"/>
    </row>
    <row r="79">
      <c r="A79" s="11" t="s">
        <v>45</v>
      </c>
      <c r="B79" s="11" t="s">
        <v>56</v>
      </c>
      <c r="C79" s="10">
        <v>0.04</v>
      </c>
      <c r="E79" s="4"/>
      <c r="F79" s="4"/>
      <c r="G79" s="4"/>
      <c r="H79" s="4"/>
      <c r="I79" s="4"/>
    </row>
    <row r="80">
      <c r="A80" s="11" t="s">
        <v>47</v>
      </c>
      <c r="B80" s="11" t="s">
        <v>58</v>
      </c>
      <c r="C80" s="10">
        <v>0.04</v>
      </c>
      <c r="E80" s="4"/>
      <c r="F80" s="4"/>
      <c r="G80" s="4"/>
      <c r="H80" s="4"/>
      <c r="I80" s="4"/>
    </row>
    <row r="81">
      <c r="A81" s="11" t="s">
        <v>49</v>
      </c>
      <c r="B81" s="11" t="s">
        <v>40</v>
      </c>
      <c r="C81" s="10">
        <v>0.02</v>
      </c>
      <c r="E81" s="4"/>
      <c r="F81" s="4"/>
      <c r="G81" s="4"/>
      <c r="H81" s="4"/>
      <c r="I81" s="4"/>
    </row>
    <row r="82">
      <c r="A82" s="11" t="s">
        <v>51</v>
      </c>
      <c r="B82" s="11" t="s">
        <v>42</v>
      </c>
      <c r="C82" s="10">
        <v>0.02</v>
      </c>
      <c r="E82" s="4"/>
      <c r="F82" s="4"/>
      <c r="G82" s="4"/>
      <c r="H82" s="4"/>
      <c r="I82" s="4"/>
    </row>
    <row r="83">
      <c r="A83" s="11" t="s">
        <v>53</v>
      </c>
      <c r="B83" s="11" t="s">
        <v>44</v>
      </c>
      <c r="C83" s="10">
        <v>0.02</v>
      </c>
      <c r="E83" s="4"/>
      <c r="F83" s="4"/>
      <c r="G83" s="4"/>
      <c r="H83" s="4"/>
      <c r="I83" s="4"/>
    </row>
    <row r="84">
      <c r="A84" s="11" t="s">
        <v>55</v>
      </c>
      <c r="B84" s="11" t="s">
        <v>46</v>
      </c>
      <c r="C84" s="10">
        <v>0.02</v>
      </c>
      <c r="E84" s="4"/>
      <c r="F84" s="4"/>
      <c r="G84" s="4"/>
      <c r="H84" s="4"/>
      <c r="I84" s="4"/>
    </row>
    <row r="85">
      <c r="A85" s="11" t="s">
        <v>57</v>
      </c>
      <c r="B85" s="11" t="s">
        <v>48</v>
      </c>
      <c r="C85" s="10">
        <v>0.02</v>
      </c>
      <c r="E85" s="4"/>
      <c r="F85" s="4"/>
      <c r="G85" s="4"/>
      <c r="H85" s="4"/>
      <c r="I85" s="4"/>
    </row>
    <row r="86">
      <c r="C86" s="5">
        <f>SUM(C66:C85)</f>
        <v>1</v>
      </c>
      <c r="D86" s="5"/>
      <c r="E86" s="4"/>
      <c r="F86" s="4"/>
      <c r="G86" s="4"/>
      <c r="H86" s="4"/>
      <c r="I86" s="4"/>
    </row>
    <row r="87">
      <c r="C87" s="4"/>
      <c r="D87" s="5"/>
      <c r="E87" s="4"/>
      <c r="F87" s="4"/>
      <c r="G87" s="4"/>
      <c r="H87" s="4"/>
      <c r="I87" s="4"/>
    </row>
    <row r="88">
      <c r="A88" s="11" t="s">
        <v>62</v>
      </c>
      <c r="C88" s="4"/>
      <c r="D88" s="5"/>
      <c r="E88" s="4"/>
      <c r="F88" s="4"/>
      <c r="G88" s="4"/>
      <c r="H88" s="4"/>
      <c r="I88" s="4"/>
    </row>
    <row r="89">
      <c r="A89" s="11" t="s">
        <v>63</v>
      </c>
      <c r="C89" s="4"/>
      <c r="D89" s="5"/>
      <c r="E89" s="4"/>
      <c r="F89" s="4"/>
      <c r="G89" s="4"/>
      <c r="H89" s="4"/>
      <c r="I89" s="4"/>
    </row>
    <row r="90">
      <c r="A90" s="11" t="s">
        <v>64</v>
      </c>
      <c r="C90" s="4"/>
      <c r="D90" s="5"/>
      <c r="E90" s="4"/>
      <c r="F90" s="4"/>
      <c r="G90" s="4"/>
      <c r="H90" s="4"/>
      <c r="I90" s="4"/>
    </row>
    <row r="91">
      <c r="A91" s="11" t="s">
        <v>65</v>
      </c>
      <c r="C91" s="4"/>
      <c r="D91" s="5"/>
      <c r="E91" s="4"/>
      <c r="F91" s="4"/>
      <c r="G91" s="4"/>
      <c r="H91" s="4"/>
      <c r="I91" s="4"/>
    </row>
    <row r="92">
      <c r="A92" s="11" t="s">
        <v>66</v>
      </c>
      <c r="C92" s="4"/>
      <c r="D92" s="5"/>
      <c r="E92" s="4"/>
      <c r="F92" s="4"/>
      <c r="G92" s="4"/>
      <c r="H92" s="4"/>
      <c r="I92" s="4"/>
    </row>
    <row r="93">
      <c r="A93" s="11" t="s">
        <v>67</v>
      </c>
      <c r="C93" s="4"/>
      <c r="D93" s="5"/>
      <c r="E93" s="4"/>
      <c r="F93" s="4"/>
      <c r="G93" s="4"/>
      <c r="H93" s="4"/>
      <c r="I93" s="4"/>
    </row>
    <row r="94">
      <c r="A94" s="11"/>
      <c r="C94" s="4"/>
      <c r="D94" s="5"/>
      <c r="E94" s="4"/>
      <c r="F94" s="4"/>
      <c r="G94" s="4"/>
      <c r="H94" s="4"/>
      <c r="I94" s="4"/>
    </row>
    <row r="95">
      <c r="A95" s="20" t="s">
        <v>68</v>
      </c>
      <c r="C95" s="4"/>
      <c r="D95" s="5"/>
      <c r="E95" s="4"/>
      <c r="F95" s="4"/>
      <c r="G95" s="4"/>
      <c r="H95" s="4"/>
      <c r="I95" s="4"/>
    </row>
    <row r="96">
      <c r="A96" s="20" t="s">
        <v>69</v>
      </c>
      <c r="C96" s="4"/>
      <c r="D96" s="5"/>
      <c r="E96" s="4"/>
      <c r="F96" s="4"/>
      <c r="G96" s="4"/>
      <c r="H96" s="4"/>
      <c r="I96" s="4"/>
    </row>
    <row r="97">
      <c r="A97" s="20" t="s">
        <v>70</v>
      </c>
      <c r="C97" s="4"/>
      <c r="D97" s="5"/>
      <c r="E97" s="4"/>
      <c r="F97" s="4"/>
      <c r="G97" s="4"/>
      <c r="H97" s="4"/>
      <c r="I97" s="4"/>
    </row>
    <row r="98">
      <c r="A98" s="20" t="s">
        <v>71</v>
      </c>
      <c r="C98" s="4"/>
      <c r="D98" s="5"/>
      <c r="E98" s="4"/>
      <c r="F98" s="4"/>
      <c r="G98" s="4"/>
      <c r="H98" s="4"/>
      <c r="I98" s="4"/>
    </row>
    <row r="99">
      <c r="A99" s="20" t="s">
        <v>72</v>
      </c>
      <c r="C99" s="4"/>
      <c r="D99" s="5"/>
      <c r="E99" s="4"/>
      <c r="F99" s="4"/>
      <c r="G99" s="4"/>
      <c r="H99" s="4"/>
      <c r="I99" s="4"/>
    </row>
    <row r="100">
      <c r="A100" s="20" t="s">
        <v>73</v>
      </c>
      <c r="C100" s="4"/>
      <c r="D100" s="5"/>
      <c r="E100" s="4"/>
      <c r="F100" s="4"/>
      <c r="G100" s="4"/>
      <c r="H100" s="4"/>
      <c r="I100" s="4"/>
    </row>
    <row r="101">
      <c r="A101" s="20" t="s">
        <v>74</v>
      </c>
      <c r="C101" s="4"/>
      <c r="D101" s="5"/>
      <c r="E101" s="4"/>
      <c r="F101" s="4"/>
      <c r="G101" s="4"/>
      <c r="H101" s="4"/>
      <c r="I101" s="4"/>
    </row>
    <row r="102">
      <c r="A102" s="20" t="s">
        <v>36</v>
      </c>
      <c r="C102" s="4"/>
      <c r="D102" s="5"/>
      <c r="E102" s="4"/>
      <c r="F102" s="4"/>
      <c r="G102" s="4"/>
      <c r="H102" s="4"/>
      <c r="I102" s="4"/>
    </row>
    <row r="103">
      <c r="A103" s="20" t="s">
        <v>75</v>
      </c>
      <c r="C103" s="4"/>
      <c r="D103" s="5"/>
      <c r="E103" s="4"/>
      <c r="F103" s="4"/>
      <c r="G103" s="4"/>
      <c r="H103" s="4"/>
      <c r="I103" s="4"/>
    </row>
    <row r="104">
      <c r="A104" s="20" t="s">
        <v>76</v>
      </c>
      <c r="C104" s="4"/>
      <c r="D104" s="5"/>
      <c r="E104" s="4"/>
      <c r="F104" s="4"/>
      <c r="G104" s="4"/>
      <c r="H104" s="4"/>
      <c r="I104" s="4"/>
    </row>
    <row r="105">
      <c r="A105" s="20" t="s">
        <v>77</v>
      </c>
      <c r="C105" s="4"/>
      <c r="D105" s="5"/>
      <c r="E105" s="4"/>
      <c r="F105" s="4"/>
      <c r="G105" s="4"/>
      <c r="H105" s="4"/>
      <c r="I105" s="4"/>
    </row>
    <row r="106">
      <c r="C106" s="4"/>
      <c r="D106" s="5"/>
      <c r="E106" s="4"/>
      <c r="F106" s="4"/>
      <c r="G106" s="4"/>
      <c r="H106" s="4"/>
      <c r="I106" s="4"/>
    </row>
    <row r="107">
      <c r="C107" s="4"/>
      <c r="D107" s="5"/>
      <c r="E107" s="4"/>
      <c r="F107" s="4"/>
      <c r="G107" s="4"/>
      <c r="H107" s="4"/>
      <c r="I107" s="4"/>
    </row>
    <row r="108">
      <c r="C108" s="4"/>
      <c r="D108" s="5"/>
      <c r="E108" s="4"/>
      <c r="F108" s="4"/>
      <c r="G108" s="4"/>
      <c r="H108" s="4"/>
      <c r="I108" s="4"/>
    </row>
    <row r="109">
      <c r="C109" s="4"/>
      <c r="D109" s="5"/>
      <c r="E109" s="4"/>
      <c r="F109" s="4"/>
      <c r="G109" s="4"/>
      <c r="H109" s="4"/>
      <c r="I109" s="4"/>
    </row>
    <row r="110">
      <c r="C110" s="4"/>
      <c r="D110" s="5"/>
      <c r="E110" s="4"/>
      <c r="F110" s="4"/>
      <c r="G110" s="4"/>
      <c r="H110" s="4"/>
      <c r="I110" s="4"/>
    </row>
    <row r="111">
      <c r="C111" s="4"/>
      <c r="D111" s="5"/>
      <c r="E111" s="4"/>
      <c r="F111" s="4"/>
      <c r="G111" s="4"/>
      <c r="H111" s="4"/>
      <c r="I111" s="4"/>
    </row>
    <row r="112">
      <c r="C112" s="4"/>
      <c r="D112" s="5"/>
      <c r="E112" s="4"/>
      <c r="F112" s="4"/>
      <c r="G112" s="4"/>
      <c r="H112" s="4"/>
      <c r="I112" s="4"/>
    </row>
    <row r="113">
      <c r="C113" s="4"/>
      <c r="D113" s="5"/>
      <c r="E113" s="4"/>
      <c r="F113" s="4"/>
      <c r="G113" s="4"/>
      <c r="H113" s="4"/>
      <c r="I113" s="4"/>
    </row>
    <row r="114">
      <c r="C114" s="4"/>
      <c r="D114" s="5"/>
      <c r="E114" s="4"/>
      <c r="F114" s="4"/>
      <c r="G114" s="4"/>
      <c r="H114" s="4"/>
      <c r="I114" s="4"/>
    </row>
    <row r="115">
      <c r="C115" s="4"/>
      <c r="D115" s="5"/>
      <c r="E115" s="4"/>
      <c r="F115" s="4"/>
      <c r="G115" s="4"/>
      <c r="H115" s="4"/>
      <c r="I115" s="4"/>
    </row>
    <row r="116">
      <c r="C116" s="4"/>
      <c r="D116" s="5"/>
      <c r="E116" s="4"/>
      <c r="F116" s="4"/>
      <c r="G116" s="4"/>
      <c r="H116" s="4"/>
      <c r="I116" s="4"/>
    </row>
    <row r="117">
      <c r="C117" s="4"/>
      <c r="D117" s="5"/>
      <c r="E117" s="4"/>
      <c r="F117" s="4"/>
      <c r="G117" s="4"/>
      <c r="H117" s="4"/>
      <c r="I117" s="4"/>
    </row>
    <row r="118">
      <c r="C118" s="4"/>
      <c r="D118" s="5"/>
      <c r="E118" s="4"/>
      <c r="F118" s="4"/>
      <c r="G118" s="4"/>
      <c r="H118" s="4"/>
      <c r="I118" s="4"/>
    </row>
    <row r="119">
      <c r="C119" s="4"/>
      <c r="D119" s="5"/>
      <c r="E119" s="4"/>
      <c r="F119" s="4"/>
      <c r="G119" s="4"/>
      <c r="H119" s="4"/>
      <c r="I119" s="4"/>
    </row>
    <row r="120">
      <c r="C120" s="4"/>
      <c r="D120" s="5"/>
      <c r="E120" s="4"/>
      <c r="F120" s="4"/>
      <c r="G120" s="4"/>
      <c r="H120" s="4"/>
      <c r="I120" s="4"/>
    </row>
    <row r="121">
      <c r="C121" s="4"/>
      <c r="D121" s="5"/>
      <c r="E121" s="4"/>
      <c r="F121" s="4"/>
      <c r="G121" s="4"/>
      <c r="H121" s="4"/>
      <c r="I121" s="4"/>
    </row>
    <row r="122">
      <c r="C122" s="4"/>
      <c r="D122" s="5"/>
      <c r="E122" s="4"/>
      <c r="F122" s="4"/>
      <c r="G122" s="4"/>
      <c r="H122" s="4"/>
      <c r="I122" s="4"/>
    </row>
    <row r="123">
      <c r="C123" s="4"/>
      <c r="D123" s="5"/>
      <c r="E123" s="4"/>
      <c r="F123" s="4"/>
      <c r="G123" s="4"/>
      <c r="H123" s="4"/>
      <c r="I123" s="4"/>
    </row>
    <row r="124">
      <c r="C124" s="4"/>
      <c r="D124" s="5"/>
      <c r="E124" s="4"/>
      <c r="F124" s="4"/>
      <c r="G124" s="4"/>
      <c r="H124" s="4"/>
      <c r="I124" s="4"/>
    </row>
    <row r="125">
      <c r="C125" s="4"/>
      <c r="D125" s="5"/>
      <c r="E125" s="4"/>
      <c r="F125" s="4"/>
      <c r="G125" s="4"/>
      <c r="H125" s="4"/>
      <c r="I125" s="4"/>
    </row>
    <row r="126">
      <c r="C126" s="4"/>
      <c r="D126" s="5"/>
      <c r="E126" s="4"/>
      <c r="F126" s="4"/>
      <c r="G126" s="4"/>
      <c r="H126" s="4"/>
      <c r="I126" s="4"/>
    </row>
    <row r="127">
      <c r="C127" s="4"/>
      <c r="D127" s="5"/>
      <c r="E127" s="4"/>
      <c r="F127" s="4"/>
      <c r="G127" s="4"/>
      <c r="H127" s="4"/>
      <c r="I127" s="4"/>
    </row>
    <row r="128">
      <c r="C128" s="4"/>
      <c r="D128" s="5"/>
      <c r="E128" s="4"/>
      <c r="F128" s="4"/>
      <c r="G128" s="4"/>
      <c r="H128" s="4"/>
      <c r="I128" s="4"/>
    </row>
    <row r="129">
      <c r="C129" s="4"/>
      <c r="D129" s="5"/>
      <c r="E129" s="4"/>
      <c r="F129" s="4"/>
      <c r="G129" s="4"/>
      <c r="H129" s="4"/>
      <c r="I129" s="4"/>
    </row>
    <row r="130">
      <c r="C130" s="4"/>
      <c r="D130" s="5"/>
      <c r="E130" s="4"/>
      <c r="F130" s="4"/>
      <c r="G130" s="4"/>
      <c r="H130" s="4"/>
      <c r="I130" s="4"/>
    </row>
    <row r="131">
      <c r="C131" s="4"/>
      <c r="D131" s="5"/>
      <c r="E131" s="4"/>
      <c r="F131" s="4"/>
      <c r="G131" s="4"/>
      <c r="H131" s="4"/>
      <c r="I131" s="4"/>
    </row>
    <row r="132">
      <c r="C132" s="4"/>
      <c r="D132" s="5"/>
      <c r="E132" s="4"/>
      <c r="F132" s="4"/>
      <c r="G132" s="4"/>
      <c r="H132" s="4"/>
      <c r="I132" s="4"/>
    </row>
    <row r="133">
      <c r="C133" s="4"/>
      <c r="D133" s="5"/>
      <c r="E133" s="4"/>
      <c r="F133" s="4"/>
      <c r="G133" s="4"/>
      <c r="H133" s="4"/>
      <c r="I133" s="4"/>
    </row>
    <row r="134">
      <c r="C134" s="4"/>
      <c r="D134" s="5"/>
      <c r="E134" s="4"/>
      <c r="F134" s="4"/>
      <c r="G134" s="4"/>
      <c r="H134" s="4"/>
      <c r="I134" s="4"/>
    </row>
    <row r="135">
      <c r="C135" s="4"/>
      <c r="D135" s="5"/>
      <c r="E135" s="4"/>
      <c r="F135" s="4"/>
      <c r="G135" s="4"/>
      <c r="H135" s="4"/>
      <c r="I135" s="4"/>
    </row>
    <row r="136">
      <c r="C136" s="4"/>
      <c r="D136" s="5"/>
      <c r="E136" s="4"/>
      <c r="F136" s="4"/>
      <c r="G136" s="4"/>
      <c r="H136" s="4"/>
      <c r="I136" s="4"/>
    </row>
    <row r="137">
      <c r="C137" s="4"/>
      <c r="D137" s="5"/>
      <c r="E137" s="4"/>
      <c r="F137" s="4"/>
      <c r="G137" s="4"/>
      <c r="H137" s="4"/>
      <c r="I137" s="4"/>
    </row>
    <row r="138">
      <c r="C138" s="4"/>
      <c r="D138" s="5"/>
      <c r="E138" s="4"/>
      <c r="F138" s="4"/>
      <c r="G138" s="4"/>
      <c r="H138" s="4"/>
      <c r="I138" s="4"/>
    </row>
    <row r="139">
      <c r="C139" s="4"/>
      <c r="D139" s="5"/>
      <c r="E139" s="4"/>
      <c r="F139" s="4"/>
      <c r="G139" s="4"/>
      <c r="H139" s="4"/>
      <c r="I139" s="4"/>
    </row>
    <row r="140">
      <c r="C140" s="4"/>
      <c r="D140" s="5"/>
      <c r="E140" s="4"/>
      <c r="F140" s="4"/>
      <c r="G140" s="4"/>
      <c r="H140" s="4"/>
      <c r="I140" s="4"/>
    </row>
    <row r="141">
      <c r="C141" s="4"/>
      <c r="D141" s="5"/>
      <c r="E141" s="4"/>
      <c r="F141" s="4"/>
      <c r="G141" s="4"/>
      <c r="H141" s="4"/>
      <c r="I141" s="4"/>
    </row>
    <row r="142">
      <c r="C142" s="4"/>
      <c r="D142" s="5"/>
      <c r="E142" s="4"/>
      <c r="F142" s="4"/>
      <c r="G142" s="4"/>
      <c r="H142" s="4"/>
      <c r="I142" s="4"/>
    </row>
    <row r="143">
      <c r="C143" s="4"/>
      <c r="D143" s="5"/>
      <c r="E143" s="4"/>
      <c r="F143" s="4"/>
      <c r="G143" s="4"/>
      <c r="H143" s="4"/>
      <c r="I143" s="4"/>
    </row>
    <row r="144">
      <c r="C144" s="4"/>
      <c r="D144" s="5"/>
      <c r="E144" s="4"/>
      <c r="F144" s="4"/>
      <c r="G144" s="4"/>
      <c r="H144" s="4"/>
      <c r="I144" s="4"/>
    </row>
    <row r="145">
      <c r="C145" s="4"/>
      <c r="D145" s="5"/>
      <c r="E145" s="4"/>
      <c r="F145" s="4"/>
      <c r="G145" s="4"/>
      <c r="H145" s="4"/>
      <c r="I145" s="4"/>
    </row>
    <row r="146">
      <c r="C146" s="4"/>
      <c r="D146" s="5"/>
      <c r="E146" s="4"/>
      <c r="F146" s="4"/>
      <c r="G146" s="4"/>
      <c r="H146" s="4"/>
      <c r="I146" s="4"/>
    </row>
    <row r="147">
      <c r="C147" s="4"/>
      <c r="D147" s="5"/>
      <c r="E147" s="4"/>
      <c r="F147" s="4"/>
      <c r="G147" s="4"/>
      <c r="H147" s="4"/>
      <c r="I147" s="4"/>
    </row>
    <row r="148">
      <c r="C148" s="4"/>
      <c r="D148" s="5"/>
      <c r="E148" s="4"/>
      <c r="F148" s="4"/>
      <c r="G148" s="4"/>
      <c r="H148" s="4"/>
      <c r="I148" s="4"/>
    </row>
    <row r="149">
      <c r="C149" s="4"/>
      <c r="D149" s="5"/>
      <c r="E149" s="4"/>
      <c r="F149" s="4"/>
      <c r="G149" s="4"/>
      <c r="H149" s="4"/>
      <c r="I149" s="4"/>
    </row>
    <row r="150">
      <c r="C150" s="4"/>
      <c r="D150" s="5"/>
      <c r="E150" s="4"/>
      <c r="F150" s="4"/>
      <c r="G150" s="4"/>
      <c r="H150" s="4"/>
      <c r="I150" s="4"/>
    </row>
    <row r="151">
      <c r="C151" s="4"/>
      <c r="D151" s="5"/>
      <c r="E151" s="4"/>
      <c r="F151" s="4"/>
      <c r="G151" s="4"/>
      <c r="H151" s="4"/>
      <c r="I151" s="4"/>
    </row>
    <row r="152">
      <c r="C152" s="4"/>
      <c r="D152" s="5"/>
      <c r="E152" s="4"/>
      <c r="F152" s="4"/>
      <c r="G152" s="4"/>
      <c r="H152" s="4"/>
      <c r="I152" s="4"/>
    </row>
    <row r="153">
      <c r="C153" s="4"/>
      <c r="D153" s="5"/>
      <c r="E153" s="4"/>
      <c r="F153" s="4"/>
      <c r="G153" s="4"/>
      <c r="H153" s="4"/>
      <c r="I153" s="4"/>
    </row>
    <row r="154">
      <c r="C154" s="4"/>
      <c r="D154" s="5"/>
      <c r="E154" s="4"/>
      <c r="F154" s="4"/>
      <c r="G154" s="4"/>
      <c r="H154" s="4"/>
      <c r="I154" s="4"/>
    </row>
    <row r="155">
      <c r="C155" s="4"/>
      <c r="D155" s="5"/>
      <c r="E155" s="4"/>
      <c r="F155" s="4"/>
      <c r="G155" s="4"/>
      <c r="H155" s="4"/>
      <c r="I155" s="4"/>
    </row>
    <row r="156">
      <c r="C156" s="4"/>
      <c r="D156" s="5"/>
      <c r="E156" s="4"/>
      <c r="F156" s="4"/>
      <c r="G156" s="4"/>
      <c r="H156" s="4"/>
      <c r="I156" s="4"/>
    </row>
    <row r="157">
      <c r="C157" s="4"/>
      <c r="D157" s="5"/>
      <c r="E157" s="4"/>
      <c r="F157" s="4"/>
      <c r="G157" s="4"/>
      <c r="H157" s="4"/>
      <c r="I157" s="4"/>
    </row>
    <row r="158">
      <c r="C158" s="4"/>
      <c r="D158" s="5"/>
      <c r="E158" s="4"/>
      <c r="F158" s="4"/>
      <c r="G158" s="4"/>
      <c r="H158" s="4"/>
      <c r="I158" s="4"/>
    </row>
    <row r="159">
      <c r="C159" s="4"/>
      <c r="D159" s="5"/>
      <c r="E159" s="4"/>
      <c r="F159" s="4"/>
      <c r="G159" s="4"/>
      <c r="H159" s="4"/>
      <c r="I159" s="4"/>
    </row>
    <row r="160">
      <c r="C160" s="4"/>
      <c r="D160" s="5"/>
      <c r="E160" s="4"/>
      <c r="F160" s="4"/>
      <c r="G160" s="4"/>
      <c r="H160" s="4"/>
      <c r="I160" s="4"/>
    </row>
    <row r="161">
      <c r="C161" s="4"/>
      <c r="D161" s="5"/>
      <c r="E161" s="4"/>
      <c r="F161" s="4"/>
      <c r="G161" s="4"/>
      <c r="H161" s="4"/>
      <c r="I161" s="4"/>
    </row>
    <row r="162">
      <c r="C162" s="4"/>
      <c r="D162" s="5"/>
      <c r="E162" s="4"/>
      <c r="F162" s="4"/>
      <c r="G162" s="4"/>
      <c r="H162" s="4"/>
      <c r="I162" s="4"/>
    </row>
    <row r="163">
      <c r="C163" s="4"/>
      <c r="D163" s="5"/>
      <c r="E163" s="4"/>
      <c r="F163" s="4"/>
      <c r="G163" s="4"/>
      <c r="H163" s="4"/>
      <c r="I163" s="4"/>
    </row>
    <row r="164">
      <c r="C164" s="4"/>
      <c r="D164" s="5"/>
      <c r="E164" s="4"/>
      <c r="F164" s="4"/>
      <c r="G164" s="4"/>
      <c r="H164" s="4"/>
      <c r="I164" s="4"/>
    </row>
    <row r="165">
      <c r="C165" s="4"/>
      <c r="D165" s="5"/>
      <c r="E165" s="4"/>
      <c r="F165" s="4"/>
      <c r="G165" s="4"/>
      <c r="H165" s="4"/>
      <c r="I165" s="4"/>
    </row>
    <row r="166">
      <c r="C166" s="4"/>
      <c r="D166" s="5"/>
      <c r="E166" s="4"/>
      <c r="F166" s="4"/>
      <c r="G166" s="4"/>
      <c r="H166" s="4"/>
      <c r="I166" s="4"/>
    </row>
    <row r="167">
      <c r="C167" s="4"/>
      <c r="D167" s="5"/>
      <c r="E167" s="4"/>
      <c r="F167" s="4"/>
      <c r="G167" s="4"/>
      <c r="H167" s="4"/>
      <c r="I167" s="4"/>
    </row>
    <row r="168">
      <c r="C168" s="4"/>
      <c r="D168" s="5"/>
      <c r="E168" s="4"/>
      <c r="F168" s="4"/>
      <c r="G168" s="4"/>
      <c r="H168" s="4"/>
      <c r="I168" s="4"/>
    </row>
    <row r="169">
      <c r="C169" s="4"/>
      <c r="D169" s="5"/>
      <c r="E169" s="4"/>
      <c r="F169" s="4"/>
      <c r="G169" s="4"/>
      <c r="H169" s="4"/>
      <c r="I169" s="4"/>
    </row>
    <row r="170">
      <c r="C170" s="4"/>
      <c r="D170" s="5"/>
      <c r="E170" s="4"/>
      <c r="F170" s="4"/>
      <c r="G170" s="4"/>
      <c r="H170" s="4"/>
      <c r="I170" s="4"/>
    </row>
    <row r="171">
      <c r="C171" s="4"/>
      <c r="D171" s="5"/>
      <c r="E171" s="4"/>
      <c r="F171" s="4"/>
      <c r="G171" s="4"/>
      <c r="H171" s="4"/>
      <c r="I171" s="4"/>
    </row>
    <row r="172">
      <c r="C172" s="4"/>
      <c r="D172" s="5"/>
      <c r="E172" s="4"/>
      <c r="F172" s="4"/>
      <c r="G172" s="4"/>
      <c r="H172" s="4"/>
      <c r="I172" s="4"/>
    </row>
    <row r="173">
      <c r="C173" s="4"/>
      <c r="D173" s="5"/>
      <c r="E173" s="4"/>
      <c r="F173" s="4"/>
      <c r="G173" s="4"/>
      <c r="H173" s="4"/>
      <c r="I173" s="4"/>
    </row>
    <row r="174">
      <c r="C174" s="4"/>
      <c r="D174" s="5"/>
      <c r="E174" s="4"/>
      <c r="F174" s="4"/>
      <c r="G174" s="4"/>
      <c r="H174" s="4"/>
      <c r="I174" s="4"/>
    </row>
    <row r="175">
      <c r="C175" s="4"/>
      <c r="D175" s="5"/>
      <c r="E175" s="4"/>
      <c r="F175" s="4"/>
      <c r="G175" s="4"/>
      <c r="H175" s="4"/>
      <c r="I175" s="4"/>
    </row>
    <row r="176">
      <c r="C176" s="4"/>
      <c r="D176" s="5"/>
      <c r="E176" s="4"/>
      <c r="F176" s="4"/>
      <c r="G176" s="4"/>
      <c r="H176" s="4"/>
      <c r="I176" s="4"/>
    </row>
    <row r="177">
      <c r="C177" s="4"/>
      <c r="D177" s="5"/>
      <c r="E177" s="4"/>
      <c r="F177" s="4"/>
      <c r="G177" s="4"/>
      <c r="H177" s="4"/>
      <c r="I177" s="4"/>
    </row>
    <row r="178">
      <c r="C178" s="4"/>
      <c r="D178" s="5"/>
      <c r="E178" s="4"/>
      <c r="F178" s="4"/>
      <c r="G178" s="4"/>
      <c r="H178" s="4"/>
      <c r="I178" s="4"/>
    </row>
    <row r="179">
      <c r="C179" s="4"/>
      <c r="D179" s="5"/>
      <c r="E179" s="4"/>
      <c r="F179" s="4"/>
      <c r="G179" s="4"/>
      <c r="H179" s="4"/>
      <c r="I179" s="4"/>
    </row>
    <row r="180">
      <c r="C180" s="4"/>
      <c r="D180" s="5"/>
      <c r="E180" s="4"/>
      <c r="F180" s="4"/>
      <c r="G180" s="4"/>
      <c r="H180" s="4"/>
      <c r="I180" s="4"/>
    </row>
    <row r="181">
      <c r="C181" s="4"/>
      <c r="D181" s="5"/>
      <c r="E181" s="4"/>
      <c r="F181" s="4"/>
      <c r="G181" s="4"/>
      <c r="H181" s="4"/>
      <c r="I181" s="4"/>
    </row>
    <row r="182">
      <c r="C182" s="4"/>
      <c r="D182" s="5"/>
      <c r="E182" s="4"/>
      <c r="F182" s="4"/>
      <c r="G182" s="4"/>
      <c r="H182" s="4"/>
      <c r="I182" s="4"/>
    </row>
    <row r="183">
      <c r="C183" s="4"/>
      <c r="D183" s="5"/>
      <c r="E183" s="4"/>
      <c r="F183" s="4"/>
      <c r="G183" s="4"/>
      <c r="H183" s="4"/>
      <c r="I183" s="4"/>
    </row>
    <row r="184">
      <c r="C184" s="4"/>
      <c r="D184" s="5"/>
      <c r="E184" s="4"/>
      <c r="F184" s="4"/>
      <c r="G184" s="4"/>
      <c r="H184" s="4"/>
      <c r="I184" s="4"/>
    </row>
    <row r="185">
      <c r="C185" s="4"/>
      <c r="D185" s="5"/>
      <c r="E185" s="4"/>
      <c r="F185" s="4"/>
      <c r="G185" s="4"/>
      <c r="H185" s="4"/>
      <c r="I185" s="4"/>
    </row>
    <row r="186">
      <c r="C186" s="4"/>
      <c r="D186" s="5"/>
      <c r="E186" s="4"/>
      <c r="F186" s="4"/>
      <c r="G186" s="4"/>
      <c r="H186" s="4"/>
      <c r="I186" s="4"/>
    </row>
    <row r="187">
      <c r="C187" s="4"/>
      <c r="D187" s="5"/>
      <c r="E187" s="4"/>
      <c r="F187" s="4"/>
      <c r="G187" s="4"/>
      <c r="H187" s="4"/>
      <c r="I187" s="4"/>
    </row>
    <row r="188">
      <c r="C188" s="4"/>
      <c r="D188" s="5"/>
      <c r="E188" s="4"/>
      <c r="F188" s="4"/>
      <c r="G188" s="4"/>
      <c r="H188" s="4"/>
      <c r="I188" s="4"/>
    </row>
    <row r="189">
      <c r="C189" s="4"/>
      <c r="D189" s="5"/>
      <c r="E189" s="4"/>
      <c r="F189" s="4"/>
      <c r="G189" s="4"/>
      <c r="H189" s="4"/>
      <c r="I189" s="4"/>
    </row>
    <row r="190">
      <c r="C190" s="4"/>
      <c r="D190" s="5"/>
      <c r="E190" s="4"/>
      <c r="F190" s="4"/>
      <c r="G190" s="4"/>
      <c r="H190" s="4"/>
      <c r="I190" s="4"/>
    </row>
    <row r="191">
      <c r="C191" s="4"/>
      <c r="D191" s="5"/>
      <c r="E191" s="4"/>
      <c r="F191" s="4"/>
      <c r="G191" s="4"/>
      <c r="H191" s="4"/>
      <c r="I191" s="4"/>
    </row>
    <row r="192">
      <c r="C192" s="4"/>
      <c r="D192" s="5"/>
      <c r="E192" s="4"/>
      <c r="F192" s="4"/>
      <c r="G192" s="4"/>
      <c r="H192" s="4"/>
      <c r="I192" s="4"/>
    </row>
    <row r="193">
      <c r="C193" s="4"/>
      <c r="D193" s="5"/>
      <c r="E193" s="4"/>
      <c r="F193" s="4"/>
      <c r="G193" s="4"/>
      <c r="H193" s="4"/>
      <c r="I193" s="4"/>
    </row>
    <row r="194">
      <c r="C194" s="4"/>
      <c r="D194" s="5"/>
      <c r="E194" s="4"/>
      <c r="F194" s="4"/>
      <c r="G194" s="4"/>
      <c r="H194" s="4"/>
      <c r="I194" s="4"/>
    </row>
    <row r="195">
      <c r="C195" s="4"/>
      <c r="D195" s="5"/>
      <c r="E195" s="4"/>
      <c r="F195" s="4"/>
      <c r="G195" s="4"/>
      <c r="H195" s="4"/>
      <c r="I195" s="4"/>
    </row>
    <row r="196">
      <c r="C196" s="4"/>
      <c r="D196" s="5"/>
      <c r="E196" s="4"/>
      <c r="F196" s="4"/>
      <c r="G196" s="4"/>
      <c r="H196" s="4"/>
      <c r="I196" s="4"/>
    </row>
    <row r="197">
      <c r="C197" s="4"/>
      <c r="D197" s="5"/>
      <c r="E197" s="4"/>
      <c r="F197" s="4"/>
      <c r="G197" s="4"/>
      <c r="H197" s="4"/>
      <c r="I197" s="4"/>
    </row>
    <row r="198">
      <c r="C198" s="4"/>
      <c r="D198" s="5"/>
      <c r="E198" s="4"/>
      <c r="F198" s="4"/>
      <c r="G198" s="4"/>
      <c r="H198" s="4"/>
      <c r="I198" s="4"/>
    </row>
    <row r="199">
      <c r="C199" s="4"/>
      <c r="D199" s="5"/>
      <c r="E199" s="4"/>
      <c r="F199" s="4"/>
      <c r="G199" s="4"/>
      <c r="H199" s="4"/>
      <c r="I199" s="4"/>
    </row>
    <row r="200">
      <c r="C200" s="4"/>
      <c r="D200" s="5"/>
      <c r="E200" s="4"/>
      <c r="F200" s="4"/>
      <c r="G200" s="4"/>
      <c r="H200" s="4"/>
      <c r="I200" s="4"/>
    </row>
    <row r="201">
      <c r="C201" s="4"/>
      <c r="D201" s="5"/>
      <c r="E201" s="4"/>
      <c r="F201" s="4"/>
      <c r="G201" s="4"/>
      <c r="H201" s="4"/>
      <c r="I201" s="4"/>
    </row>
    <row r="202">
      <c r="C202" s="4"/>
      <c r="D202" s="5"/>
      <c r="E202" s="4"/>
      <c r="F202" s="4"/>
      <c r="G202" s="4"/>
      <c r="H202" s="4"/>
      <c r="I202" s="4"/>
    </row>
    <row r="203">
      <c r="C203" s="4"/>
      <c r="D203" s="5"/>
      <c r="E203" s="4"/>
      <c r="F203" s="4"/>
      <c r="G203" s="4"/>
      <c r="H203" s="4"/>
      <c r="I203" s="4"/>
    </row>
    <row r="204">
      <c r="C204" s="4"/>
      <c r="D204" s="5"/>
      <c r="E204" s="4"/>
      <c r="F204" s="4"/>
      <c r="G204" s="4"/>
      <c r="H204" s="4"/>
      <c r="I204" s="4"/>
    </row>
    <row r="205">
      <c r="C205" s="4"/>
      <c r="D205" s="5"/>
      <c r="E205" s="4"/>
      <c r="F205" s="4"/>
      <c r="G205" s="4"/>
      <c r="H205" s="4"/>
      <c r="I205" s="4"/>
    </row>
    <row r="206">
      <c r="C206" s="4"/>
      <c r="D206" s="5"/>
      <c r="E206" s="4"/>
      <c r="F206" s="4"/>
      <c r="G206" s="4"/>
      <c r="H206" s="4"/>
      <c r="I206" s="4"/>
    </row>
    <row r="207">
      <c r="C207" s="4"/>
      <c r="D207" s="5"/>
      <c r="E207" s="4"/>
      <c r="F207" s="4"/>
      <c r="G207" s="4"/>
      <c r="H207" s="4"/>
      <c r="I207" s="4"/>
    </row>
    <row r="208">
      <c r="C208" s="4"/>
      <c r="D208" s="5"/>
      <c r="E208" s="4"/>
      <c r="F208" s="4"/>
      <c r="G208" s="4"/>
      <c r="H208" s="4"/>
      <c r="I208" s="4"/>
    </row>
    <row r="209">
      <c r="C209" s="4"/>
      <c r="D209" s="5"/>
      <c r="E209" s="4"/>
      <c r="F209" s="4"/>
      <c r="G209" s="4"/>
      <c r="H209" s="4"/>
      <c r="I209" s="4"/>
    </row>
    <row r="210">
      <c r="C210" s="4"/>
      <c r="D210" s="5"/>
      <c r="E210" s="4"/>
      <c r="F210" s="4"/>
      <c r="G210" s="4"/>
      <c r="H210" s="4"/>
      <c r="I210" s="4"/>
    </row>
    <row r="211">
      <c r="C211" s="4"/>
      <c r="D211" s="5"/>
      <c r="E211" s="4"/>
      <c r="F211" s="4"/>
      <c r="G211" s="4"/>
      <c r="H211" s="4"/>
      <c r="I211" s="4"/>
    </row>
    <row r="212">
      <c r="C212" s="4"/>
      <c r="D212" s="5"/>
      <c r="E212" s="4"/>
      <c r="F212" s="4"/>
      <c r="G212" s="4"/>
      <c r="H212" s="4"/>
      <c r="I212" s="4"/>
    </row>
    <row r="213">
      <c r="C213" s="4"/>
      <c r="D213" s="5"/>
      <c r="E213" s="4"/>
      <c r="F213" s="4"/>
      <c r="G213" s="4"/>
      <c r="H213" s="4"/>
      <c r="I213" s="4"/>
    </row>
    <row r="214">
      <c r="C214" s="4"/>
      <c r="D214" s="5"/>
      <c r="E214" s="4"/>
      <c r="F214" s="4"/>
      <c r="G214" s="4"/>
      <c r="H214" s="4"/>
      <c r="I214" s="4"/>
    </row>
    <row r="215">
      <c r="C215" s="4"/>
      <c r="D215" s="5"/>
      <c r="E215" s="4"/>
      <c r="F215" s="4"/>
      <c r="G215" s="4"/>
      <c r="H215" s="4"/>
      <c r="I215" s="4"/>
    </row>
    <row r="216">
      <c r="C216" s="4"/>
      <c r="D216" s="5"/>
      <c r="E216" s="4"/>
      <c r="F216" s="4"/>
      <c r="G216" s="4"/>
      <c r="H216" s="4"/>
      <c r="I216" s="4"/>
    </row>
    <row r="217">
      <c r="C217" s="4"/>
      <c r="D217" s="5"/>
      <c r="E217" s="4"/>
      <c r="F217" s="4"/>
      <c r="G217" s="4"/>
      <c r="H217" s="4"/>
      <c r="I217" s="4"/>
    </row>
    <row r="218">
      <c r="C218" s="4"/>
      <c r="D218" s="5"/>
      <c r="E218" s="4"/>
      <c r="F218" s="4"/>
      <c r="G218" s="4"/>
      <c r="H218" s="4"/>
      <c r="I218" s="4"/>
    </row>
    <row r="219">
      <c r="C219" s="4"/>
      <c r="D219" s="5"/>
      <c r="E219" s="4"/>
      <c r="F219" s="4"/>
      <c r="G219" s="4"/>
      <c r="H219" s="4"/>
      <c r="I219" s="4"/>
    </row>
    <row r="220">
      <c r="C220" s="4"/>
      <c r="D220" s="5"/>
      <c r="E220" s="4"/>
      <c r="F220" s="4"/>
      <c r="G220" s="4"/>
      <c r="H220" s="4"/>
      <c r="I220" s="4"/>
    </row>
    <row r="221">
      <c r="C221" s="4"/>
      <c r="D221" s="5"/>
      <c r="E221" s="4"/>
      <c r="F221" s="4"/>
      <c r="G221" s="4"/>
      <c r="H221" s="4"/>
      <c r="I221" s="4"/>
    </row>
    <row r="222">
      <c r="C222" s="4"/>
      <c r="D222" s="5"/>
      <c r="E222" s="4"/>
      <c r="F222" s="4"/>
      <c r="G222" s="4"/>
      <c r="H222" s="4"/>
      <c r="I222" s="4"/>
    </row>
    <row r="223">
      <c r="C223" s="4"/>
      <c r="D223" s="5"/>
      <c r="E223" s="4"/>
      <c r="F223" s="4"/>
      <c r="G223" s="4"/>
      <c r="H223" s="4"/>
      <c r="I223" s="4"/>
    </row>
    <row r="224">
      <c r="C224" s="4"/>
      <c r="D224" s="5"/>
      <c r="E224" s="4"/>
      <c r="F224" s="4"/>
      <c r="G224" s="4"/>
      <c r="H224" s="4"/>
      <c r="I224" s="4"/>
    </row>
    <row r="225">
      <c r="C225" s="4"/>
      <c r="D225" s="5"/>
      <c r="E225" s="4"/>
      <c r="F225" s="4"/>
      <c r="G225" s="4"/>
      <c r="H225" s="4"/>
      <c r="I225" s="4"/>
    </row>
    <row r="226">
      <c r="C226" s="4"/>
      <c r="D226" s="5"/>
      <c r="E226" s="4"/>
      <c r="F226" s="4"/>
      <c r="G226" s="4"/>
      <c r="H226" s="4"/>
      <c r="I226" s="4"/>
    </row>
    <row r="227">
      <c r="C227" s="4"/>
      <c r="D227" s="5"/>
      <c r="E227" s="4"/>
      <c r="F227" s="4"/>
      <c r="G227" s="4"/>
      <c r="H227" s="4"/>
      <c r="I227" s="4"/>
    </row>
    <row r="228">
      <c r="C228" s="4"/>
      <c r="D228" s="5"/>
      <c r="E228" s="4"/>
      <c r="F228" s="4"/>
      <c r="G228" s="4"/>
      <c r="H228" s="4"/>
      <c r="I228" s="4"/>
    </row>
    <row r="229">
      <c r="C229" s="4"/>
      <c r="D229" s="5"/>
      <c r="E229" s="4"/>
      <c r="F229" s="4"/>
      <c r="G229" s="4"/>
      <c r="H229" s="4"/>
      <c r="I229" s="4"/>
    </row>
    <row r="230">
      <c r="C230" s="4"/>
      <c r="D230" s="5"/>
      <c r="E230" s="4"/>
      <c r="F230" s="4"/>
      <c r="G230" s="4"/>
      <c r="H230" s="4"/>
      <c r="I230" s="4"/>
    </row>
    <row r="231">
      <c r="C231" s="4"/>
      <c r="D231" s="5"/>
      <c r="E231" s="4"/>
      <c r="F231" s="4"/>
      <c r="G231" s="4"/>
      <c r="H231" s="4"/>
      <c r="I231" s="4"/>
    </row>
    <row r="232">
      <c r="C232" s="4"/>
      <c r="D232" s="5"/>
      <c r="E232" s="4"/>
      <c r="F232" s="4"/>
      <c r="G232" s="4"/>
      <c r="H232" s="4"/>
      <c r="I232" s="4"/>
    </row>
    <row r="233">
      <c r="C233" s="4"/>
      <c r="D233" s="5"/>
      <c r="E233" s="4"/>
      <c r="F233" s="4"/>
      <c r="G233" s="4"/>
      <c r="H233" s="4"/>
      <c r="I233" s="4"/>
    </row>
    <row r="234">
      <c r="C234" s="4"/>
      <c r="D234" s="5"/>
      <c r="E234" s="4"/>
      <c r="F234" s="4"/>
      <c r="G234" s="4"/>
      <c r="H234" s="4"/>
      <c r="I234" s="4"/>
    </row>
    <row r="235">
      <c r="C235" s="4"/>
      <c r="D235" s="5"/>
      <c r="E235" s="4"/>
      <c r="F235" s="4"/>
      <c r="G235" s="4"/>
      <c r="H235" s="4"/>
      <c r="I235" s="4"/>
    </row>
    <row r="236">
      <c r="C236" s="4"/>
      <c r="D236" s="5"/>
      <c r="E236" s="4"/>
      <c r="F236" s="4"/>
      <c r="G236" s="4"/>
      <c r="H236" s="4"/>
      <c r="I236" s="4"/>
    </row>
    <row r="237">
      <c r="C237" s="4"/>
      <c r="D237" s="5"/>
      <c r="E237" s="4"/>
      <c r="F237" s="4"/>
      <c r="G237" s="4"/>
      <c r="H237" s="4"/>
      <c r="I237" s="4"/>
    </row>
    <row r="238">
      <c r="C238" s="4"/>
      <c r="D238" s="5"/>
      <c r="E238" s="4"/>
      <c r="F238" s="4"/>
      <c r="G238" s="4"/>
      <c r="H238" s="4"/>
      <c r="I238" s="4"/>
    </row>
    <row r="239">
      <c r="C239" s="4"/>
      <c r="D239" s="5"/>
      <c r="E239" s="4"/>
      <c r="F239" s="4"/>
      <c r="G239" s="4"/>
      <c r="H239" s="4"/>
      <c r="I239" s="4"/>
    </row>
    <row r="240">
      <c r="C240" s="4"/>
      <c r="D240" s="5"/>
      <c r="E240" s="4"/>
      <c r="F240" s="4"/>
      <c r="G240" s="4"/>
      <c r="H240" s="4"/>
      <c r="I240" s="4"/>
    </row>
    <row r="241">
      <c r="C241" s="4"/>
      <c r="D241" s="5"/>
      <c r="E241" s="4"/>
      <c r="F241" s="4"/>
      <c r="G241" s="4"/>
      <c r="H241" s="4"/>
      <c r="I241" s="4"/>
    </row>
    <row r="242">
      <c r="C242" s="4"/>
      <c r="D242" s="5"/>
      <c r="E242" s="4"/>
      <c r="F242" s="4"/>
      <c r="G242" s="4"/>
      <c r="H242" s="4"/>
      <c r="I242" s="4"/>
    </row>
    <row r="243">
      <c r="C243" s="4"/>
      <c r="D243" s="5"/>
      <c r="E243" s="4"/>
      <c r="F243" s="4"/>
      <c r="G243" s="4"/>
      <c r="H243" s="4"/>
      <c r="I243" s="4"/>
    </row>
    <row r="244">
      <c r="C244" s="4"/>
      <c r="D244" s="5"/>
      <c r="E244" s="4"/>
      <c r="F244" s="4"/>
      <c r="G244" s="4"/>
      <c r="H244" s="4"/>
      <c r="I244" s="4"/>
    </row>
    <row r="245">
      <c r="C245" s="4"/>
      <c r="D245" s="5"/>
      <c r="E245" s="4"/>
      <c r="F245" s="4"/>
      <c r="G245" s="4"/>
      <c r="H245" s="4"/>
      <c r="I245" s="4"/>
    </row>
    <row r="246">
      <c r="C246" s="4"/>
      <c r="D246" s="5"/>
      <c r="E246" s="4"/>
      <c r="F246" s="4"/>
      <c r="G246" s="4"/>
      <c r="H246" s="4"/>
      <c r="I246" s="4"/>
    </row>
    <row r="247">
      <c r="C247" s="4"/>
      <c r="D247" s="5"/>
      <c r="E247" s="4"/>
      <c r="F247" s="4"/>
      <c r="G247" s="4"/>
      <c r="H247" s="4"/>
      <c r="I247" s="4"/>
    </row>
    <row r="248">
      <c r="C248" s="4"/>
      <c r="D248" s="5"/>
      <c r="E248" s="4"/>
      <c r="F248" s="4"/>
      <c r="G248" s="4"/>
      <c r="H248" s="4"/>
      <c r="I248" s="4"/>
    </row>
    <row r="249">
      <c r="C249" s="4"/>
      <c r="D249" s="5"/>
      <c r="E249" s="4"/>
      <c r="F249" s="4"/>
      <c r="G249" s="4"/>
      <c r="H249" s="4"/>
      <c r="I249" s="4"/>
    </row>
    <row r="250">
      <c r="C250" s="4"/>
      <c r="D250" s="5"/>
      <c r="E250" s="4"/>
      <c r="F250" s="4"/>
      <c r="G250" s="4"/>
      <c r="H250" s="4"/>
      <c r="I250" s="4"/>
    </row>
    <row r="251">
      <c r="C251" s="4"/>
      <c r="D251" s="5"/>
      <c r="E251" s="4"/>
      <c r="F251" s="4"/>
      <c r="G251" s="4"/>
      <c r="H251" s="4"/>
      <c r="I251" s="4"/>
    </row>
    <row r="252">
      <c r="C252" s="4"/>
      <c r="D252" s="5"/>
      <c r="E252" s="4"/>
      <c r="F252" s="4"/>
      <c r="G252" s="4"/>
      <c r="H252" s="4"/>
      <c r="I252" s="4"/>
    </row>
    <row r="253">
      <c r="C253" s="4"/>
      <c r="D253" s="5"/>
      <c r="E253" s="4"/>
      <c r="F253" s="4"/>
      <c r="G253" s="4"/>
      <c r="H253" s="4"/>
      <c r="I253" s="4"/>
    </row>
    <row r="254">
      <c r="C254" s="4"/>
      <c r="D254" s="5"/>
      <c r="E254" s="4"/>
      <c r="F254" s="4"/>
      <c r="G254" s="4"/>
      <c r="H254" s="4"/>
      <c r="I254" s="4"/>
    </row>
    <row r="255">
      <c r="C255" s="4"/>
      <c r="D255" s="5"/>
      <c r="E255" s="4"/>
      <c r="F255" s="4"/>
      <c r="G255" s="4"/>
      <c r="H255" s="4"/>
      <c r="I255" s="4"/>
    </row>
    <row r="256">
      <c r="C256" s="4"/>
      <c r="D256" s="5"/>
      <c r="E256" s="4"/>
      <c r="F256" s="4"/>
      <c r="G256" s="4"/>
      <c r="H256" s="4"/>
      <c r="I256" s="4"/>
    </row>
    <row r="257">
      <c r="C257" s="4"/>
      <c r="D257" s="5"/>
      <c r="E257" s="4"/>
      <c r="F257" s="4"/>
      <c r="G257" s="4"/>
      <c r="H257" s="4"/>
      <c r="I257" s="4"/>
    </row>
    <row r="258">
      <c r="C258" s="4"/>
      <c r="D258" s="5"/>
      <c r="E258" s="4"/>
      <c r="F258" s="4"/>
      <c r="G258" s="4"/>
      <c r="H258" s="4"/>
      <c r="I258" s="4"/>
    </row>
    <row r="259">
      <c r="C259" s="4"/>
      <c r="D259" s="5"/>
      <c r="E259" s="4"/>
      <c r="F259" s="4"/>
      <c r="G259" s="4"/>
      <c r="H259" s="4"/>
      <c r="I259" s="4"/>
    </row>
    <row r="260">
      <c r="C260" s="4"/>
      <c r="D260" s="5"/>
      <c r="E260" s="4"/>
      <c r="F260" s="4"/>
      <c r="G260" s="4"/>
      <c r="H260" s="4"/>
      <c r="I260" s="4"/>
    </row>
    <row r="261">
      <c r="C261" s="4"/>
      <c r="D261" s="5"/>
      <c r="E261" s="4"/>
      <c r="F261" s="4"/>
      <c r="G261" s="4"/>
      <c r="H261" s="4"/>
      <c r="I261" s="4"/>
    </row>
    <row r="262">
      <c r="C262" s="4"/>
      <c r="D262" s="5"/>
      <c r="E262" s="4"/>
      <c r="F262" s="4"/>
      <c r="G262" s="4"/>
      <c r="H262" s="4"/>
      <c r="I262" s="4"/>
    </row>
    <row r="263">
      <c r="C263" s="4"/>
      <c r="D263" s="5"/>
      <c r="E263" s="4"/>
      <c r="F263" s="4"/>
      <c r="G263" s="4"/>
      <c r="H263" s="4"/>
      <c r="I263" s="4"/>
    </row>
    <row r="264">
      <c r="C264" s="4"/>
      <c r="D264" s="5"/>
      <c r="E264" s="4"/>
      <c r="F264" s="4"/>
      <c r="G264" s="4"/>
      <c r="H264" s="4"/>
      <c r="I264" s="4"/>
    </row>
    <row r="265">
      <c r="C265" s="4"/>
      <c r="D265" s="5"/>
      <c r="E265" s="4"/>
      <c r="F265" s="4"/>
      <c r="G265" s="4"/>
      <c r="H265" s="4"/>
      <c r="I265" s="4"/>
    </row>
    <row r="266">
      <c r="C266" s="4"/>
      <c r="D266" s="5"/>
      <c r="E266" s="4"/>
      <c r="F266" s="4"/>
      <c r="G266" s="4"/>
      <c r="H266" s="4"/>
      <c r="I266" s="4"/>
    </row>
    <row r="267">
      <c r="C267" s="4"/>
      <c r="D267" s="5"/>
      <c r="E267" s="4"/>
      <c r="F267" s="4"/>
      <c r="G267" s="4"/>
      <c r="H267" s="4"/>
      <c r="I267" s="4"/>
    </row>
    <row r="268">
      <c r="C268" s="4"/>
      <c r="D268" s="5"/>
      <c r="E268" s="4"/>
      <c r="F268" s="4"/>
      <c r="G268" s="4"/>
      <c r="H268" s="4"/>
      <c r="I268" s="4"/>
    </row>
    <row r="269">
      <c r="C269" s="4"/>
      <c r="D269" s="5"/>
      <c r="E269" s="4"/>
      <c r="F269" s="4"/>
      <c r="G269" s="4"/>
      <c r="H269" s="4"/>
      <c r="I269" s="4"/>
    </row>
    <row r="270">
      <c r="C270" s="4"/>
      <c r="D270" s="5"/>
      <c r="E270" s="4"/>
      <c r="F270" s="4"/>
      <c r="G270" s="4"/>
      <c r="H270" s="4"/>
      <c r="I270" s="4"/>
    </row>
    <row r="271">
      <c r="C271" s="4"/>
      <c r="D271" s="5"/>
      <c r="E271" s="4"/>
      <c r="F271" s="4"/>
      <c r="G271" s="4"/>
      <c r="H271" s="4"/>
      <c r="I271" s="4"/>
    </row>
    <row r="272">
      <c r="C272" s="4"/>
      <c r="D272" s="5"/>
      <c r="E272" s="4"/>
      <c r="F272" s="4"/>
      <c r="G272" s="4"/>
      <c r="H272" s="4"/>
      <c r="I272" s="4"/>
    </row>
    <row r="273">
      <c r="C273" s="4"/>
      <c r="D273" s="5"/>
      <c r="E273" s="4"/>
      <c r="F273" s="4"/>
      <c r="G273" s="4"/>
      <c r="H273" s="4"/>
      <c r="I273" s="4"/>
    </row>
    <row r="274">
      <c r="C274" s="4"/>
      <c r="D274" s="5"/>
      <c r="E274" s="4"/>
      <c r="F274" s="4"/>
      <c r="G274" s="4"/>
      <c r="H274" s="4"/>
      <c r="I274" s="4"/>
    </row>
    <row r="275">
      <c r="C275" s="4"/>
      <c r="D275" s="5"/>
      <c r="E275" s="4"/>
      <c r="F275" s="4"/>
      <c r="G275" s="4"/>
      <c r="H275" s="4"/>
      <c r="I275" s="4"/>
    </row>
    <row r="276">
      <c r="C276" s="4"/>
      <c r="D276" s="5"/>
      <c r="E276" s="4"/>
      <c r="F276" s="4"/>
      <c r="G276" s="4"/>
      <c r="H276" s="4"/>
      <c r="I276" s="4"/>
    </row>
    <row r="277">
      <c r="C277" s="4"/>
      <c r="D277" s="5"/>
      <c r="E277" s="4"/>
      <c r="F277" s="4"/>
      <c r="G277" s="4"/>
      <c r="H277" s="4"/>
      <c r="I277" s="4"/>
    </row>
    <row r="278">
      <c r="C278" s="4"/>
      <c r="D278" s="5"/>
      <c r="E278" s="4"/>
      <c r="F278" s="4"/>
      <c r="G278" s="4"/>
      <c r="H278" s="4"/>
      <c r="I278" s="4"/>
    </row>
    <row r="279">
      <c r="C279" s="4"/>
      <c r="D279" s="5"/>
      <c r="E279" s="4"/>
      <c r="F279" s="4"/>
      <c r="G279" s="4"/>
      <c r="H279" s="4"/>
      <c r="I279" s="4"/>
    </row>
    <row r="280">
      <c r="C280" s="4"/>
      <c r="D280" s="5"/>
      <c r="E280" s="4"/>
      <c r="F280" s="4"/>
      <c r="G280" s="4"/>
      <c r="H280" s="4"/>
      <c r="I280" s="4"/>
    </row>
    <row r="281">
      <c r="C281" s="4"/>
      <c r="D281" s="5"/>
      <c r="E281" s="4"/>
      <c r="F281" s="4"/>
      <c r="G281" s="4"/>
      <c r="H281" s="4"/>
      <c r="I281" s="4"/>
    </row>
    <row r="282">
      <c r="C282" s="4"/>
      <c r="D282" s="5"/>
      <c r="E282" s="4"/>
      <c r="F282" s="4"/>
      <c r="G282" s="4"/>
      <c r="H282" s="4"/>
      <c r="I282" s="4"/>
    </row>
    <row r="283">
      <c r="C283" s="4"/>
      <c r="D283" s="5"/>
      <c r="E283" s="4"/>
      <c r="F283" s="4"/>
      <c r="G283" s="4"/>
      <c r="H283" s="4"/>
      <c r="I283" s="4"/>
    </row>
    <row r="284">
      <c r="C284" s="4"/>
      <c r="D284" s="5"/>
      <c r="E284" s="4"/>
      <c r="F284" s="4"/>
      <c r="G284" s="4"/>
      <c r="H284" s="4"/>
      <c r="I284" s="4"/>
    </row>
    <row r="285">
      <c r="C285" s="4"/>
      <c r="D285" s="5"/>
      <c r="E285" s="4"/>
      <c r="F285" s="4"/>
      <c r="G285" s="4"/>
      <c r="H285" s="4"/>
      <c r="I285" s="4"/>
    </row>
    <row r="286">
      <c r="C286" s="4"/>
      <c r="D286" s="5"/>
      <c r="E286" s="4"/>
      <c r="F286" s="4"/>
      <c r="G286" s="4"/>
      <c r="H286" s="4"/>
      <c r="I286" s="4"/>
    </row>
    <row r="287">
      <c r="C287" s="4"/>
      <c r="D287" s="5"/>
      <c r="E287" s="4"/>
      <c r="F287" s="4"/>
      <c r="G287" s="4"/>
      <c r="H287" s="4"/>
      <c r="I287" s="4"/>
    </row>
    <row r="288">
      <c r="C288" s="4"/>
      <c r="D288" s="5"/>
      <c r="E288" s="4"/>
      <c r="F288" s="4"/>
      <c r="G288" s="4"/>
      <c r="H288" s="4"/>
      <c r="I288" s="4"/>
    </row>
    <row r="289">
      <c r="C289" s="4"/>
      <c r="D289" s="5"/>
      <c r="E289" s="4"/>
      <c r="F289" s="4"/>
      <c r="G289" s="4"/>
      <c r="H289" s="4"/>
      <c r="I289" s="4"/>
    </row>
    <row r="290">
      <c r="C290" s="4"/>
      <c r="D290" s="5"/>
      <c r="E290" s="4"/>
      <c r="F290" s="4"/>
      <c r="G290" s="4"/>
      <c r="H290" s="4"/>
      <c r="I290" s="4"/>
    </row>
    <row r="291">
      <c r="C291" s="4"/>
      <c r="D291" s="5"/>
      <c r="E291" s="4"/>
      <c r="F291" s="4"/>
      <c r="G291" s="4"/>
      <c r="H291" s="4"/>
      <c r="I291" s="4"/>
    </row>
    <row r="292">
      <c r="C292" s="4"/>
      <c r="D292" s="5"/>
      <c r="E292" s="4"/>
      <c r="F292" s="4"/>
      <c r="G292" s="4"/>
      <c r="H292" s="4"/>
      <c r="I292" s="4"/>
    </row>
    <row r="293">
      <c r="C293" s="4"/>
      <c r="D293" s="5"/>
      <c r="E293" s="4"/>
      <c r="F293" s="4"/>
      <c r="G293" s="4"/>
      <c r="H293" s="4"/>
      <c r="I293" s="4"/>
    </row>
    <row r="294">
      <c r="C294" s="4"/>
      <c r="D294" s="5"/>
      <c r="E294" s="4"/>
      <c r="F294" s="4"/>
      <c r="G294" s="4"/>
      <c r="H294" s="4"/>
      <c r="I294" s="4"/>
    </row>
    <row r="295">
      <c r="C295" s="4"/>
      <c r="D295" s="5"/>
      <c r="E295" s="4"/>
      <c r="F295" s="4"/>
      <c r="G295" s="4"/>
      <c r="H295" s="4"/>
      <c r="I295" s="4"/>
    </row>
    <row r="296">
      <c r="C296" s="4"/>
      <c r="D296" s="5"/>
      <c r="E296" s="4"/>
      <c r="F296" s="4"/>
      <c r="G296" s="4"/>
      <c r="H296" s="4"/>
      <c r="I296" s="4"/>
    </row>
    <row r="297">
      <c r="C297" s="4"/>
      <c r="D297" s="5"/>
      <c r="E297" s="4"/>
      <c r="F297" s="4"/>
      <c r="G297" s="4"/>
      <c r="H297" s="4"/>
      <c r="I297" s="4"/>
    </row>
    <row r="298">
      <c r="C298" s="4"/>
      <c r="D298" s="5"/>
      <c r="E298" s="4"/>
      <c r="F298" s="4"/>
      <c r="G298" s="4"/>
      <c r="H298" s="4"/>
      <c r="I298" s="4"/>
    </row>
    <row r="299">
      <c r="C299" s="4"/>
      <c r="D299" s="5"/>
      <c r="E299" s="4"/>
      <c r="F299" s="4"/>
      <c r="G299" s="4"/>
      <c r="H299" s="4"/>
      <c r="I299" s="4"/>
    </row>
    <row r="300">
      <c r="C300" s="4"/>
      <c r="D300" s="5"/>
      <c r="E300" s="4"/>
      <c r="F300" s="4"/>
      <c r="G300" s="4"/>
      <c r="H300" s="4"/>
      <c r="I300" s="4"/>
    </row>
    <row r="301">
      <c r="C301" s="4"/>
      <c r="D301" s="5"/>
      <c r="E301" s="4"/>
      <c r="F301" s="4"/>
      <c r="G301" s="4"/>
      <c r="H301" s="4"/>
      <c r="I301" s="4"/>
    </row>
    <row r="302">
      <c r="C302" s="4"/>
      <c r="D302" s="5"/>
      <c r="E302" s="4"/>
      <c r="F302" s="4"/>
      <c r="G302" s="4"/>
      <c r="H302" s="4"/>
      <c r="I302" s="4"/>
    </row>
    <row r="303">
      <c r="C303" s="4"/>
      <c r="D303" s="5"/>
      <c r="E303" s="4"/>
      <c r="F303" s="4"/>
      <c r="G303" s="4"/>
      <c r="H303" s="4"/>
      <c r="I303" s="4"/>
    </row>
    <row r="304">
      <c r="C304" s="4"/>
      <c r="D304" s="5"/>
      <c r="E304" s="4"/>
      <c r="F304" s="4"/>
      <c r="G304" s="4"/>
      <c r="H304" s="4"/>
      <c r="I304" s="4"/>
    </row>
    <row r="305">
      <c r="C305" s="4"/>
      <c r="D305" s="5"/>
      <c r="E305" s="4"/>
      <c r="F305" s="4"/>
      <c r="G305" s="4"/>
      <c r="H305" s="4"/>
      <c r="I305" s="4"/>
    </row>
    <row r="306">
      <c r="C306" s="4"/>
      <c r="D306" s="5"/>
      <c r="E306" s="4"/>
      <c r="F306" s="4"/>
      <c r="G306" s="4"/>
      <c r="H306" s="4"/>
      <c r="I306" s="4"/>
    </row>
    <row r="307">
      <c r="C307" s="4"/>
      <c r="D307" s="5"/>
      <c r="E307" s="4"/>
      <c r="F307" s="4"/>
      <c r="G307" s="4"/>
      <c r="H307" s="4"/>
      <c r="I307" s="4"/>
    </row>
    <row r="308">
      <c r="C308" s="4"/>
      <c r="D308" s="5"/>
      <c r="E308" s="4"/>
      <c r="F308" s="4"/>
      <c r="G308" s="4"/>
      <c r="H308" s="4"/>
      <c r="I308" s="4"/>
    </row>
    <row r="309">
      <c r="C309" s="4"/>
      <c r="D309" s="5"/>
      <c r="E309" s="4"/>
      <c r="F309" s="4"/>
      <c r="G309" s="4"/>
      <c r="H309" s="4"/>
      <c r="I309" s="4"/>
    </row>
    <row r="310">
      <c r="C310" s="4"/>
      <c r="D310" s="5"/>
      <c r="E310" s="4"/>
      <c r="F310" s="4"/>
      <c r="G310" s="4"/>
      <c r="H310" s="4"/>
      <c r="I310" s="4"/>
    </row>
    <row r="311">
      <c r="C311" s="4"/>
      <c r="D311" s="5"/>
      <c r="E311" s="4"/>
      <c r="F311" s="4"/>
      <c r="G311" s="4"/>
      <c r="H311" s="4"/>
      <c r="I311" s="4"/>
    </row>
    <row r="312">
      <c r="C312" s="4"/>
      <c r="D312" s="5"/>
      <c r="E312" s="4"/>
      <c r="F312" s="4"/>
      <c r="G312" s="4"/>
      <c r="H312" s="4"/>
      <c r="I312" s="4"/>
    </row>
    <row r="313">
      <c r="C313" s="4"/>
      <c r="D313" s="5"/>
      <c r="E313" s="4"/>
      <c r="F313" s="4"/>
      <c r="G313" s="4"/>
      <c r="H313" s="4"/>
      <c r="I313" s="4"/>
    </row>
    <row r="314">
      <c r="C314" s="4"/>
      <c r="D314" s="5"/>
      <c r="E314" s="4"/>
      <c r="F314" s="4"/>
      <c r="G314" s="4"/>
      <c r="H314" s="4"/>
      <c r="I314" s="4"/>
    </row>
    <row r="315">
      <c r="C315" s="4"/>
      <c r="D315" s="5"/>
      <c r="E315" s="4"/>
      <c r="F315" s="4"/>
      <c r="G315" s="4"/>
      <c r="H315" s="4"/>
      <c r="I315" s="4"/>
    </row>
    <row r="316">
      <c r="C316" s="4"/>
      <c r="D316" s="5"/>
      <c r="E316" s="4"/>
      <c r="F316" s="4"/>
      <c r="G316" s="4"/>
      <c r="H316" s="4"/>
      <c r="I316" s="4"/>
    </row>
    <row r="317">
      <c r="C317" s="4"/>
      <c r="D317" s="5"/>
      <c r="E317" s="4"/>
      <c r="F317" s="4"/>
      <c r="G317" s="4"/>
      <c r="H317" s="4"/>
      <c r="I317" s="4"/>
    </row>
    <row r="318">
      <c r="C318" s="4"/>
      <c r="D318" s="5"/>
      <c r="E318" s="4"/>
      <c r="F318" s="4"/>
      <c r="G318" s="4"/>
      <c r="H318" s="4"/>
      <c r="I318" s="4"/>
    </row>
    <row r="319">
      <c r="C319" s="4"/>
      <c r="D319" s="5"/>
      <c r="E319" s="4"/>
      <c r="F319" s="4"/>
      <c r="G319" s="4"/>
      <c r="H319" s="4"/>
      <c r="I319" s="4"/>
    </row>
    <row r="320">
      <c r="C320" s="4"/>
      <c r="D320" s="5"/>
      <c r="E320" s="4"/>
      <c r="F320" s="4"/>
      <c r="G320" s="4"/>
      <c r="H320" s="4"/>
      <c r="I320" s="4"/>
    </row>
    <row r="321">
      <c r="C321" s="4"/>
      <c r="D321" s="5"/>
      <c r="E321" s="4"/>
      <c r="F321" s="4"/>
      <c r="G321" s="4"/>
      <c r="H321" s="4"/>
      <c r="I321" s="4"/>
    </row>
    <row r="322">
      <c r="C322" s="4"/>
      <c r="D322" s="5"/>
      <c r="E322" s="4"/>
      <c r="F322" s="4"/>
      <c r="G322" s="4"/>
      <c r="H322" s="4"/>
      <c r="I322" s="4"/>
    </row>
    <row r="323">
      <c r="C323" s="4"/>
      <c r="D323" s="5"/>
      <c r="E323" s="4"/>
      <c r="F323" s="4"/>
      <c r="G323" s="4"/>
      <c r="H323" s="4"/>
      <c r="I323" s="4"/>
    </row>
    <row r="324">
      <c r="C324" s="4"/>
      <c r="D324" s="5"/>
      <c r="E324" s="4"/>
      <c r="F324" s="4"/>
      <c r="G324" s="4"/>
      <c r="H324" s="4"/>
      <c r="I324" s="4"/>
    </row>
    <row r="325">
      <c r="C325" s="4"/>
      <c r="D325" s="5"/>
      <c r="E325" s="4"/>
      <c r="F325" s="4"/>
      <c r="G325" s="4"/>
      <c r="H325" s="4"/>
      <c r="I325" s="4"/>
    </row>
    <row r="326">
      <c r="C326" s="4"/>
      <c r="D326" s="5"/>
      <c r="E326" s="4"/>
      <c r="F326" s="4"/>
      <c r="G326" s="4"/>
      <c r="H326" s="4"/>
      <c r="I326" s="4"/>
    </row>
    <row r="327">
      <c r="C327" s="4"/>
      <c r="D327" s="5"/>
      <c r="E327" s="4"/>
      <c r="F327" s="4"/>
      <c r="G327" s="4"/>
      <c r="H327" s="4"/>
      <c r="I327" s="4"/>
    </row>
    <row r="328">
      <c r="C328" s="4"/>
      <c r="D328" s="5"/>
      <c r="E328" s="4"/>
      <c r="F328" s="4"/>
      <c r="G328" s="4"/>
      <c r="H328" s="4"/>
      <c r="I328" s="4"/>
    </row>
    <row r="329">
      <c r="C329" s="4"/>
      <c r="D329" s="5"/>
      <c r="E329" s="4"/>
      <c r="F329" s="4"/>
      <c r="G329" s="4"/>
      <c r="H329" s="4"/>
      <c r="I329" s="4"/>
    </row>
    <row r="330">
      <c r="C330" s="4"/>
      <c r="D330" s="5"/>
      <c r="E330" s="4"/>
      <c r="F330" s="4"/>
      <c r="G330" s="4"/>
      <c r="H330" s="4"/>
      <c r="I330" s="4"/>
    </row>
    <row r="331">
      <c r="C331" s="4"/>
      <c r="D331" s="5"/>
      <c r="E331" s="4"/>
      <c r="F331" s="4"/>
      <c r="G331" s="4"/>
      <c r="H331" s="4"/>
      <c r="I331" s="4"/>
    </row>
    <row r="332">
      <c r="C332" s="4"/>
      <c r="D332" s="5"/>
      <c r="E332" s="4"/>
      <c r="F332" s="4"/>
      <c r="G332" s="4"/>
      <c r="H332" s="4"/>
      <c r="I332" s="4"/>
    </row>
    <row r="333">
      <c r="C333" s="4"/>
      <c r="D333" s="5"/>
      <c r="E333" s="4"/>
      <c r="F333" s="4"/>
      <c r="G333" s="4"/>
      <c r="H333" s="4"/>
      <c r="I333" s="4"/>
    </row>
    <row r="334">
      <c r="C334" s="4"/>
      <c r="D334" s="5"/>
      <c r="E334" s="4"/>
      <c r="F334" s="4"/>
      <c r="G334" s="4"/>
      <c r="H334" s="4"/>
      <c r="I334" s="4"/>
    </row>
    <row r="335">
      <c r="C335" s="4"/>
      <c r="D335" s="5"/>
      <c r="E335" s="4"/>
      <c r="F335" s="4"/>
      <c r="G335" s="4"/>
      <c r="H335" s="4"/>
      <c r="I335" s="4"/>
    </row>
    <row r="336">
      <c r="C336" s="4"/>
      <c r="D336" s="5"/>
      <c r="E336" s="4"/>
      <c r="F336" s="4"/>
      <c r="G336" s="4"/>
      <c r="H336" s="4"/>
      <c r="I336" s="4"/>
    </row>
    <row r="337">
      <c r="C337" s="4"/>
      <c r="D337" s="5"/>
      <c r="E337" s="4"/>
      <c r="F337" s="4"/>
      <c r="G337" s="4"/>
      <c r="H337" s="4"/>
      <c r="I337" s="4"/>
    </row>
    <row r="338">
      <c r="C338" s="4"/>
      <c r="D338" s="5"/>
      <c r="E338" s="4"/>
      <c r="F338" s="4"/>
      <c r="G338" s="4"/>
      <c r="H338" s="4"/>
      <c r="I338" s="4"/>
    </row>
    <row r="339">
      <c r="C339" s="4"/>
      <c r="D339" s="5"/>
      <c r="E339" s="4"/>
      <c r="F339" s="4"/>
      <c r="G339" s="4"/>
      <c r="H339" s="4"/>
      <c r="I339" s="4"/>
    </row>
    <row r="340">
      <c r="C340" s="4"/>
      <c r="D340" s="5"/>
      <c r="E340" s="4"/>
      <c r="F340" s="4"/>
      <c r="G340" s="4"/>
      <c r="H340" s="4"/>
      <c r="I340" s="4"/>
    </row>
    <row r="341">
      <c r="C341" s="4"/>
      <c r="D341" s="5"/>
      <c r="E341" s="4"/>
      <c r="F341" s="4"/>
      <c r="G341" s="4"/>
      <c r="H341" s="4"/>
      <c r="I341" s="4"/>
    </row>
    <row r="342">
      <c r="C342" s="4"/>
      <c r="D342" s="5"/>
      <c r="E342" s="4"/>
      <c r="F342" s="4"/>
      <c r="G342" s="4"/>
      <c r="H342" s="4"/>
      <c r="I342" s="4"/>
    </row>
    <row r="343">
      <c r="C343" s="4"/>
      <c r="D343" s="5"/>
      <c r="E343" s="4"/>
      <c r="F343" s="4"/>
      <c r="G343" s="4"/>
      <c r="H343" s="4"/>
      <c r="I343" s="4"/>
    </row>
    <row r="344">
      <c r="C344" s="4"/>
      <c r="D344" s="5"/>
      <c r="E344" s="4"/>
      <c r="F344" s="4"/>
      <c r="G344" s="4"/>
      <c r="H344" s="4"/>
      <c r="I344" s="4"/>
    </row>
    <row r="345">
      <c r="C345" s="4"/>
      <c r="D345" s="5"/>
      <c r="E345" s="4"/>
      <c r="F345" s="4"/>
      <c r="G345" s="4"/>
      <c r="H345" s="4"/>
      <c r="I345" s="4"/>
    </row>
    <row r="346">
      <c r="C346" s="4"/>
      <c r="D346" s="5"/>
      <c r="E346" s="4"/>
      <c r="F346" s="4"/>
      <c r="G346" s="4"/>
      <c r="H346" s="4"/>
      <c r="I346" s="4"/>
    </row>
    <row r="347">
      <c r="C347" s="4"/>
      <c r="D347" s="5"/>
      <c r="E347" s="4"/>
      <c r="F347" s="4"/>
      <c r="G347" s="4"/>
      <c r="H347" s="4"/>
      <c r="I347" s="4"/>
    </row>
    <row r="348">
      <c r="C348" s="4"/>
      <c r="D348" s="5"/>
      <c r="E348" s="4"/>
      <c r="F348" s="4"/>
      <c r="G348" s="4"/>
      <c r="H348" s="4"/>
      <c r="I348" s="4"/>
    </row>
    <row r="349">
      <c r="C349" s="4"/>
      <c r="D349" s="5"/>
      <c r="E349" s="4"/>
      <c r="F349" s="4"/>
      <c r="G349" s="4"/>
      <c r="H349" s="4"/>
      <c r="I349" s="4"/>
    </row>
    <row r="350">
      <c r="C350" s="4"/>
      <c r="D350" s="5"/>
      <c r="E350" s="4"/>
      <c r="F350" s="4"/>
      <c r="G350" s="4"/>
      <c r="H350" s="4"/>
      <c r="I350" s="4"/>
    </row>
    <row r="351">
      <c r="C351" s="4"/>
      <c r="D351" s="5"/>
      <c r="E351" s="4"/>
      <c r="F351" s="4"/>
      <c r="G351" s="4"/>
      <c r="H351" s="4"/>
      <c r="I351" s="4"/>
    </row>
    <row r="352">
      <c r="C352" s="4"/>
      <c r="D352" s="5"/>
      <c r="E352" s="4"/>
      <c r="F352" s="4"/>
      <c r="G352" s="4"/>
      <c r="H352" s="4"/>
      <c r="I352" s="4"/>
    </row>
    <row r="353">
      <c r="C353" s="4"/>
      <c r="D353" s="5"/>
      <c r="E353" s="4"/>
      <c r="F353" s="4"/>
      <c r="G353" s="4"/>
      <c r="H353" s="4"/>
      <c r="I353" s="4"/>
    </row>
    <row r="354">
      <c r="C354" s="4"/>
      <c r="D354" s="5"/>
      <c r="E354" s="4"/>
      <c r="F354" s="4"/>
      <c r="G354" s="4"/>
      <c r="H354" s="4"/>
      <c r="I354" s="4"/>
    </row>
    <row r="355">
      <c r="C355" s="4"/>
      <c r="D355" s="5"/>
      <c r="E355" s="4"/>
      <c r="F355" s="4"/>
      <c r="G355" s="4"/>
      <c r="H355" s="4"/>
      <c r="I355" s="4"/>
    </row>
    <row r="356">
      <c r="C356" s="4"/>
      <c r="D356" s="5"/>
      <c r="E356" s="4"/>
      <c r="F356" s="4"/>
      <c r="G356" s="4"/>
      <c r="H356" s="4"/>
      <c r="I356" s="4"/>
    </row>
    <row r="357">
      <c r="C357" s="4"/>
      <c r="D357" s="5"/>
      <c r="E357" s="4"/>
      <c r="F357" s="4"/>
      <c r="G357" s="4"/>
      <c r="H357" s="4"/>
      <c r="I357" s="4"/>
    </row>
    <row r="358">
      <c r="C358" s="4"/>
      <c r="D358" s="5"/>
      <c r="E358" s="4"/>
      <c r="F358" s="4"/>
      <c r="G358" s="4"/>
      <c r="H358" s="4"/>
      <c r="I358" s="4"/>
    </row>
    <row r="359">
      <c r="C359" s="4"/>
      <c r="D359" s="5"/>
      <c r="E359" s="4"/>
      <c r="F359" s="4"/>
      <c r="G359" s="4"/>
      <c r="H359" s="4"/>
      <c r="I359" s="4"/>
    </row>
    <row r="360">
      <c r="C360" s="4"/>
      <c r="D360" s="5"/>
      <c r="E360" s="4"/>
      <c r="F360" s="4"/>
      <c r="G360" s="4"/>
      <c r="H360" s="4"/>
      <c r="I360" s="4"/>
    </row>
    <row r="361">
      <c r="C361" s="4"/>
      <c r="D361" s="5"/>
      <c r="E361" s="4"/>
      <c r="F361" s="4"/>
      <c r="G361" s="4"/>
      <c r="H361" s="4"/>
      <c r="I361" s="4"/>
    </row>
    <row r="362">
      <c r="C362" s="4"/>
      <c r="D362" s="5"/>
      <c r="E362" s="4"/>
      <c r="F362" s="4"/>
      <c r="G362" s="4"/>
      <c r="H362" s="4"/>
      <c r="I362" s="4"/>
    </row>
    <row r="363">
      <c r="C363" s="4"/>
      <c r="D363" s="5"/>
      <c r="E363" s="4"/>
      <c r="F363" s="4"/>
      <c r="G363" s="4"/>
      <c r="H363" s="4"/>
      <c r="I363" s="4"/>
    </row>
    <row r="364">
      <c r="C364" s="4"/>
      <c r="D364" s="5"/>
      <c r="E364" s="4"/>
      <c r="F364" s="4"/>
      <c r="G364" s="4"/>
      <c r="H364" s="4"/>
      <c r="I364" s="4"/>
    </row>
    <row r="365">
      <c r="C365" s="4"/>
      <c r="D365" s="5"/>
      <c r="E365" s="4"/>
      <c r="F365" s="4"/>
      <c r="G365" s="4"/>
      <c r="H365" s="4"/>
      <c r="I365" s="4"/>
    </row>
    <row r="366">
      <c r="C366" s="4"/>
      <c r="D366" s="5"/>
      <c r="E366" s="4"/>
      <c r="F366" s="4"/>
      <c r="G366" s="4"/>
      <c r="H366" s="4"/>
      <c r="I366" s="4"/>
    </row>
    <row r="367">
      <c r="C367" s="4"/>
      <c r="D367" s="5"/>
      <c r="E367" s="4"/>
      <c r="F367" s="4"/>
      <c r="G367" s="4"/>
      <c r="H367" s="4"/>
      <c r="I367" s="4"/>
    </row>
    <row r="368">
      <c r="C368" s="4"/>
      <c r="D368" s="5"/>
      <c r="E368" s="4"/>
      <c r="F368" s="4"/>
      <c r="G368" s="4"/>
      <c r="H368" s="4"/>
      <c r="I368" s="4"/>
    </row>
    <row r="369">
      <c r="C369" s="4"/>
      <c r="D369" s="5"/>
      <c r="E369" s="4"/>
      <c r="F369" s="4"/>
      <c r="G369" s="4"/>
      <c r="H369" s="4"/>
      <c r="I369" s="4"/>
    </row>
    <row r="370">
      <c r="C370" s="4"/>
      <c r="D370" s="5"/>
      <c r="E370" s="4"/>
      <c r="F370" s="4"/>
      <c r="G370" s="4"/>
      <c r="H370" s="4"/>
      <c r="I370" s="4"/>
    </row>
    <row r="371">
      <c r="C371" s="4"/>
      <c r="D371" s="5"/>
      <c r="E371" s="4"/>
      <c r="F371" s="4"/>
      <c r="G371" s="4"/>
      <c r="H371" s="4"/>
      <c r="I371" s="4"/>
    </row>
    <row r="372">
      <c r="C372" s="4"/>
      <c r="D372" s="5"/>
      <c r="E372" s="4"/>
      <c r="F372" s="4"/>
      <c r="G372" s="4"/>
      <c r="H372" s="4"/>
      <c r="I372" s="4"/>
    </row>
    <row r="373">
      <c r="C373" s="4"/>
      <c r="D373" s="5"/>
      <c r="E373" s="4"/>
      <c r="F373" s="4"/>
      <c r="G373" s="4"/>
      <c r="H373" s="4"/>
      <c r="I373" s="4"/>
    </row>
    <row r="374">
      <c r="C374" s="4"/>
      <c r="D374" s="5"/>
      <c r="E374" s="4"/>
      <c r="F374" s="4"/>
      <c r="G374" s="4"/>
      <c r="H374" s="4"/>
      <c r="I374" s="4"/>
    </row>
    <row r="375">
      <c r="C375" s="4"/>
      <c r="D375" s="5"/>
      <c r="E375" s="4"/>
      <c r="F375" s="4"/>
      <c r="G375" s="4"/>
      <c r="H375" s="4"/>
      <c r="I375" s="4"/>
    </row>
    <row r="376">
      <c r="C376" s="4"/>
      <c r="D376" s="5"/>
      <c r="E376" s="4"/>
      <c r="F376" s="4"/>
      <c r="G376" s="4"/>
      <c r="H376" s="4"/>
      <c r="I376" s="4"/>
    </row>
    <row r="377">
      <c r="C377" s="4"/>
      <c r="D377" s="5"/>
      <c r="E377" s="4"/>
      <c r="F377" s="4"/>
      <c r="G377" s="4"/>
      <c r="H377" s="4"/>
      <c r="I377" s="4"/>
    </row>
    <row r="378">
      <c r="C378" s="4"/>
      <c r="D378" s="5"/>
      <c r="E378" s="4"/>
      <c r="F378" s="4"/>
      <c r="G378" s="4"/>
      <c r="H378" s="4"/>
      <c r="I378" s="4"/>
    </row>
    <row r="379">
      <c r="C379" s="4"/>
      <c r="D379" s="5"/>
      <c r="E379" s="4"/>
      <c r="F379" s="4"/>
      <c r="G379" s="4"/>
      <c r="H379" s="4"/>
      <c r="I379" s="4"/>
    </row>
    <row r="380">
      <c r="C380" s="4"/>
      <c r="D380" s="5"/>
      <c r="E380" s="4"/>
      <c r="F380" s="4"/>
      <c r="G380" s="4"/>
      <c r="H380" s="4"/>
      <c r="I380" s="4"/>
    </row>
    <row r="381">
      <c r="C381" s="4"/>
      <c r="D381" s="5"/>
      <c r="E381" s="4"/>
      <c r="F381" s="4"/>
      <c r="G381" s="4"/>
      <c r="H381" s="4"/>
      <c r="I381" s="4"/>
    </row>
    <row r="382">
      <c r="C382" s="4"/>
      <c r="D382" s="5"/>
      <c r="E382" s="4"/>
      <c r="F382" s="4"/>
      <c r="G382" s="4"/>
      <c r="H382" s="4"/>
      <c r="I382" s="4"/>
    </row>
    <row r="383">
      <c r="C383" s="4"/>
      <c r="D383" s="5"/>
      <c r="E383" s="4"/>
      <c r="F383" s="4"/>
      <c r="G383" s="4"/>
      <c r="H383" s="4"/>
      <c r="I383" s="4"/>
    </row>
    <row r="384">
      <c r="C384" s="4"/>
      <c r="D384" s="5"/>
      <c r="E384" s="4"/>
      <c r="F384" s="4"/>
      <c r="G384" s="4"/>
      <c r="H384" s="4"/>
      <c r="I384" s="4"/>
    </row>
    <row r="385">
      <c r="C385" s="4"/>
      <c r="D385" s="5"/>
      <c r="E385" s="4"/>
      <c r="F385" s="4"/>
      <c r="G385" s="4"/>
      <c r="H385" s="4"/>
      <c r="I385" s="4"/>
    </row>
    <row r="386">
      <c r="C386" s="4"/>
      <c r="D386" s="5"/>
      <c r="E386" s="4"/>
      <c r="F386" s="4"/>
      <c r="G386" s="4"/>
      <c r="H386" s="4"/>
      <c r="I386" s="4"/>
    </row>
    <row r="387">
      <c r="C387" s="4"/>
      <c r="D387" s="5"/>
      <c r="E387" s="4"/>
      <c r="F387" s="4"/>
      <c r="G387" s="4"/>
      <c r="H387" s="4"/>
      <c r="I387" s="4"/>
    </row>
    <row r="388">
      <c r="C388" s="4"/>
      <c r="D388" s="5"/>
      <c r="E388" s="4"/>
      <c r="F388" s="4"/>
      <c r="G388" s="4"/>
      <c r="H388" s="4"/>
      <c r="I388" s="4"/>
    </row>
    <row r="389">
      <c r="C389" s="4"/>
      <c r="D389" s="5"/>
      <c r="E389" s="4"/>
      <c r="F389" s="4"/>
      <c r="G389" s="4"/>
      <c r="H389" s="4"/>
      <c r="I389" s="4"/>
    </row>
    <row r="390">
      <c r="C390" s="4"/>
      <c r="D390" s="5"/>
      <c r="E390" s="4"/>
      <c r="F390" s="4"/>
      <c r="G390" s="4"/>
      <c r="H390" s="4"/>
      <c r="I390" s="4"/>
    </row>
    <row r="391">
      <c r="C391" s="4"/>
      <c r="D391" s="5"/>
      <c r="E391" s="4"/>
      <c r="F391" s="4"/>
      <c r="G391" s="4"/>
      <c r="H391" s="4"/>
      <c r="I391" s="4"/>
    </row>
    <row r="392">
      <c r="C392" s="4"/>
      <c r="D392" s="5"/>
      <c r="E392" s="4"/>
      <c r="F392" s="4"/>
      <c r="G392" s="4"/>
      <c r="H392" s="4"/>
      <c r="I392" s="4"/>
    </row>
    <row r="393">
      <c r="C393" s="4"/>
      <c r="D393" s="5"/>
      <c r="E393" s="4"/>
      <c r="F393" s="4"/>
      <c r="G393" s="4"/>
      <c r="H393" s="4"/>
      <c r="I393" s="4"/>
    </row>
    <row r="394">
      <c r="C394" s="4"/>
      <c r="D394" s="5"/>
      <c r="E394" s="4"/>
      <c r="F394" s="4"/>
      <c r="G394" s="4"/>
      <c r="H394" s="4"/>
      <c r="I394" s="4"/>
    </row>
    <row r="395">
      <c r="C395" s="4"/>
      <c r="D395" s="5"/>
      <c r="E395" s="4"/>
      <c r="F395" s="4"/>
      <c r="G395" s="4"/>
      <c r="H395" s="4"/>
      <c r="I395" s="4"/>
    </row>
    <row r="396">
      <c r="C396" s="4"/>
      <c r="D396" s="5"/>
      <c r="E396" s="4"/>
      <c r="F396" s="4"/>
      <c r="G396" s="4"/>
      <c r="H396" s="4"/>
      <c r="I396" s="4"/>
    </row>
    <row r="397">
      <c r="C397" s="4"/>
      <c r="D397" s="5"/>
      <c r="E397" s="4"/>
      <c r="F397" s="4"/>
      <c r="G397" s="4"/>
      <c r="H397" s="4"/>
      <c r="I397" s="4"/>
    </row>
    <row r="398">
      <c r="C398" s="4"/>
      <c r="D398" s="5"/>
      <c r="E398" s="4"/>
      <c r="F398" s="4"/>
      <c r="G398" s="4"/>
      <c r="H398" s="4"/>
      <c r="I398" s="4"/>
    </row>
    <row r="399">
      <c r="C399" s="4"/>
      <c r="D399" s="5"/>
      <c r="E399" s="4"/>
      <c r="F399" s="4"/>
      <c r="G399" s="4"/>
      <c r="H399" s="4"/>
      <c r="I399" s="4"/>
    </row>
    <row r="400">
      <c r="C400" s="4"/>
      <c r="D400" s="5"/>
      <c r="E400" s="4"/>
      <c r="F400" s="4"/>
      <c r="G400" s="4"/>
      <c r="H400" s="4"/>
      <c r="I400" s="4"/>
    </row>
    <row r="401">
      <c r="C401" s="4"/>
      <c r="D401" s="5"/>
      <c r="E401" s="4"/>
      <c r="F401" s="4"/>
      <c r="G401" s="4"/>
      <c r="H401" s="4"/>
      <c r="I401" s="4"/>
    </row>
    <row r="402">
      <c r="C402" s="4"/>
      <c r="D402" s="5"/>
      <c r="E402" s="4"/>
      <c r="F402" s="4"/>
      <c r="G402" s="4"/>
      <c r="H402" s="4"/>
      <c r="I402" s="4"/>
    </row>
    <row r="403">
      <c r="C403" s="4"/>
      <c r="D403" s="5"/>
      <c r="E403" s="4"/>
      <c r="F403" s="4"/>
      <c r="G403" s="4"/>
      <c r="H403" s="4"/>
      <c r="I403" s="4"/>
    </row>
    <row r="404">
      <c r="C404" s="4"/>
      <c r="D404" s="5"/>
      <c r="E404" s="4"/>
      <c r="F404" s="4"/>
      <c r="G404" s="4"/>
      <c r="H404" s="4"/>
      <c r="I404" s="4"/>
    </row>
    <row r="405">
      <c r="C405" s="4"/>
      <c r="D405" s="5"/>
      <c r="E405" s="4"/>
      <c r="F405" s="4"/>
      <c r="G405" s="4"/>
      <c r="H405" s="4"/>
      <c r="I405" s="4"/>
    </row>
    <row r="406">
      <c r="C406" s="4"/>
      <c r="D406" s="5"/>
      <c r="E406" s="4"/>
      <c r="F406" s="4"/>
      <c r="G406" s="4"/>
      <c r="H406" s="4"/>
      <c r="I406" s="4"/>
    </row>
    <row r="407">
      <c r="C407" s="4"/>
      <c r="D407" s="5"/>
      <c r="E407" s="4"/>
      <c r="F407" s="4"/>
      <c r="G407" s="4"/>
      <c r="H407" s="4"/>
      <c r="I407" s="4"/>
    </row>
    <row r="408">
      <c r="C408" s="4"/>
      <c r="D408" s="5"/>
      <c r="E408" s="4"/>
      <c r="F408" s="4"/>
      <c r="G408" s="4"/>
      <c r="H408" s="4"/>
      <c r="I408" s="4"/>
    </row>
    <row r="409">
      <c r="C409" s="4"/>
      <c r="D409" s="5"/>
      <c r="E409" s="4"/>
      <c r="F409" s="4"/>
      <c r="G409" s="4"/>
      <c r="H409" s="4"/>
      <c r="I409" s="4"/>
    </row>
    <row r="410">
      <c r="C410" s="4"/>
      <c r="D410" s="5"/>
      <c r="E410" s="4"/>
      <c r="F410" s="4"/>
      <c r="G410" s="4"/>
      <c r="H410" s="4"/>
      <c r="I410" s="4"/>
    </row>
    <row r="411">
      <c r="C411" s="4"/>
      <c r="D411" s="5"/>
      <c r="E411" s="4"/>
      <c r="F411" s="4"/>
      <c r="G411" s="4"/>
      <c r="H411" s="4"/>
      <c r="I411" s="4"/>
    </row>
    <row r="412">
      <c r="C412" s="4"/>
      <c r="D412" s="5"/>
      <c r="E412" s="4"/>
      <c r="F412" s="4"/>
      <c r="G412" s="4"/>
      <c r="H412" s="4"/>
      <c r="I412" s="4"/>
    </row>
    <row r="413">
      <c r="C413" s="4"/>
      <c r="D413" s="5"/>
      <c r="E413" s="4"/>
      <c r="F413" s="4"/>
      <c r="G413" s="4"/>
      <c r="H413" s="4"/>
      <c r="I413" s="4"/>
    </row>
    <row r="414">
      <c r="C414" s="4"/>
      <c r="D414" s="5"/>
      <c r="E414" s="4"/>
      <c r="F414" s="4"/>
      <c r="G414" s="4"/>
      <c r="H414" s="4"/>
      <c r="I414" s="4"/>
    </row>
    <row r="415">
      <c r="C415" s="4"/>
      <c r="D415" s="5"/>
      <c r="E415" s="4"/>
      <c r="F415" s="4"/>
      <c r="G415" s="4"/>
      <c r="H415" s="4"/>
      <c r="I415" s="4"/>
    </row>
    <row r="416">
      <c r="C416" s="4"/>
      <c r="D416" s="5"/>
      <c r="E416" s="4"/>
      <c r="F416" s="4"/>
      <c r="G416" s="4"/>
      <c r="H416" s="4"/>
      <c r="I416" s="4"/>
    </row>
    <row r="417">
      <c r="C417" s="4"/>
      <c r="D417" s="5"/>
      <c r="E417" s="4"/>
      <c r="F417" s="4"/>
      <c r="G417" s="4"/>
      <c r="H417" s="4"/>
      <c r="I417" s="4"/>
    </row>
    <row r="418">
      <c r="C418" s="4"/>
      <c r="D418" s="5"/>
      <c r="E418" s="4"/>
      <c r="F418" s="4"/>
      <c r="G418" s="4"/>
      <c r="H418" s="4"/>
      <c r="I418" s="4"/>
    </row>
    <row r="419">
      <c r="C419" s="4"/>
      <c r="D419" s="5"/>
      <c r="E419" s="4"/>
      <c r="F419" s="4"/>
      <c r="G419" s="4"/>
      <c r="H419" s="4"/>
      <c r="I419" s="4"/>
    </row>
    <row r="420">
      <c r="C420" s="4"/>
      <c r="D420" s="5"/>
      <c r="E420" s="4"/>
      <c r="F420" s="4"/>
      <c r="G420" s="4"/>
      <c r="H420" s="4"/>
      <c r="I420" s="4"/>
    </row>
    <row r="421">
      <c r="C421" s="4"/>
      <c r="D421" s="5"/>
      <c r="E421" s="4"/>
      <c r="F421" s="4"/>
      <c r="G421" s="4"/>
      <c r="H421" s="4"/>
      <c r="I421" s="4"/>
    </row>
    <row r="422">
      <c r="C422" s="4"/>
      <c r="D422" s="5"/>
      <c r="E422" s="4"/>
      <c r="F422" s="4"/>
      <c r="G422" s="4"/>
      <c r="H422" s="4"/>
      <c r="I422" s="4"/>
    </row>
    <row r="423">
      <c r="C423" s="4"/>
      <c r="D423" s="5"/>
      <c r="E423" s="4"/>
      <c r="F423" s="4"/>
      <c r="G423" s="4"/>
      <c r="H423" s="4"/>
      <c r="I423" s="4"/>
    </row>
    <row r="424">
      <c r="C424" s="4"/>
      <c r="D424" s="5"/>
      <c r="E424" s="4"/>
      <c r="F424" s="4"/>
      <c r="G424" s="4"/>
      <c r="H424" s="4"/>
      <c r="I424" s="4"/>
    </row>
    <row r="425">
      <c r="C425" s="4"/>
      <c r="D425" s="5"/>
      <c r="E425" s="4"/>
      <c r="F425" s="4"/>
      <c r="G425" s="4"/>
      <c r="H425" s="4"/>
      <c r="I425" s="4"/>
    </row>
    <row r="426">
      <c r="C426" s="4"/>
      <c r="D426" s="5"/>
      <c r="E426" s="4"/>
      <c r="F426" s="4"/>
      <c r="G426" s="4"/>
      <c r="H426" s="4"/>
      <c r="I426" s="4"/>
    </row>
    <row r="427">
      <c r="C427" s="4"/>
      <c r="D427" s="5"/>
      <c r="E427" s="4"/>
      <c r="F427" s="4"/>
      <c r="G427" s="4"/>
      <c r="H427" s="4"/>
      <c r="I427" s="4"/>
    </row>
    <row r="428">
      <c r="C428" s="4"/>
      <c r="D428" s="5"/>
      <c r="E428" s="4"/>
      <c r="F428" s="4"/>
      <c r="G428" s="4"/>
      <c r="H428" s="4"/>
      <c r="I428" s="4"/>
    </row>
    <row r="429">
      <c r="C429" s="4"/>
      <c r="D429" s="5"/>
      <c r="E429" s="4"/>
      <c r="F429" s="4"/>
      <c r="G429" s="4"/>
      <c r="H429" s="4"/>
      <c r="I429" s="4"/>
    </row>
    <row r="430">
      <c r="C430" s="4"/>
      <c r="D430" s="5"/>
      <c r="E430" s="4"/>
      <c r="F430" s="4"/>
      <c r="G430" s="4"/>
      <c r="H430" s="4"/>
      <c r="I430" s="4"/>
    </row>
    <row r="431">
      <c r="C431" s="4"/>
      <c r="D431" s="5"/>
      <c r="E431" s="4"/>
      <c r="F431" s="4"/>
      <c r="G431" s="4"/>
      <c r="H431" s="4"/>
      <c r="I431" s="4"/>
    </row>
    <row r="432">
      <c r="C432" s="4"/>
      <c r="D432" s="5"/>
      <c r="E432" s="4"/>
      <c r="F432" s="4"/>
      <c r="G432" s="4"/>
      <c r="H432" s="4"/>
      <c r="I432" s="4"/>
    </row>
    <row r="433">
      <c r="C433" s="4"/>
      <c r="D433" s="5"/>
      <c r="E433" s="4"/>
      <c r="F433" s="4"/>
      <c r="G433" s="4"/>
      <c r="H433" s="4"/>
      <c r="I433" s="4"/>
    </row>
    <row r="434">
      <c r="C434" s="4"/>
      <c r="D434" s="5"/>
      <c r="E434" s="4"/>
      <c r="F434" s="4"/>
      <c r="G434" s="4"/>
      <c r="H434" s="4"/>
      <c r="I434" s="4"/>
    </row>
    <row r="435">
      <c r="C435" s="4"/>
      <c r="D435" s="5"/>
      <c r="E435" s="4"/>
      <c r="F435" s="4"/>
      <c r="G435" s="4"/>
      <c r="H435" s="4"/>
      <c r="I435" s="4"/>
    </row>
    <row r="436">
      <c r="C436" s="4"/>
      <c r="D436" s="5"/>
      <c r="E436" s="4"/>
      <c r="F436" s="4"/>
      <c r="G436" s="4"/>
      <c r="H436" s="4"/>
      <c r="I436" s="4"/>
    </row>
    <row r="437">
      <c r="C437" s="4"/>
      <c r="D437" s="5"/>
      <c r="E437" s="4"/>
      <c r="F437" s="4"/>
      <c r="G437" s="4"/>
      <c r="H437" s="4"/>
      <c r="I437" s="4"/>
    </row>
    <row r="438">
      <c r="C438" s="4"/>
      <c r="D438" s="5"/>
      <c r="E438" s="4"/>
      <c r="F438" s="4"/>
      <c r="G438" s="4"/>
      <c r="H438" s="4"/>
      <c r="I438" s="4"/>
    </row>
    <row r="439">
      <c r="C439" s="4"/>
      <c r="D439" s="5"/>
      <c r="E439" s="4"/>
      <c r="F439" s="4"/>
      <c r="G439" s="4"/>
      <c r="H439" s="4"/>
      <c r="I439" s="4"/>
    </row>
    <row r="440">
      <c r="C440" s="4"/>
      <c r="D440" s="5"/>
      <c r="E440" s="4"/>
      <c r="F440" s="4"/>
      <c r="G440" s="4"/>
      <c r="H440" s="4"/>
      <c r="I440" s="4"/>
    </row>
    <row r="441">
      <c r="C441" s="4"/>
      <c r="D441" s="5"/>
      <c r="E441" s="4"/>
      <c r="F441" s="4"/>
      <c r="G441" s="4"/>
      <c r="H441" s="4"/>
      <c r="I441" s="4"/>
    </row>
    <row r="442">
      <c r="C442" s="4"/>
      <c r="D442" s="5"/>
      <c r="E442" s="4"/>
      <c r="F442" s="4"/>
      <c r="G442" s="4"/>
      <c r="H442" s="4"/>
      <c r="I442" s="4"/>
    </row>
    <row r="443">
      <c r="C443" s="4"/>
      <c r="D443" s="5"/>
      <c r="E443" s="4"/>
      <c r="F443" s="4"/>
      <c r="G443" s="4"/>
      <c r="H443" s="4"/>
      <c r="I443" s="4"/>
    </row>
    <row r="444">
      <c r="C444" s="4"/>
      <c r="D444" s="5"/>
      <c r="E444" s="4"/>
      <c r="F444" s="4"/>
      <c r="G444" s="4"/>
      <c r="H444" s="4"/>
      <c r="I444" s="4"/>
    </row>
    <row r="445">
      <c r="C445" s="4"/>
      <c r="D445" s="5"/>
      <c r="E445" s="4"/>
      <c r="F445" s="4"/>
      <c r="G445" s="4"/>
      <c r="H445" s="4"/>
      <c r="I445" s="4"/>
    </row>
    <row r="446">
      <c r="C446" s="4"/>
      <c r="D446" s="5"/>
      <c r="E446" s="4"/>
      <c r="F446" s="4"/>
      <c r="G446" s="4"/>
      <c r="H446" s="4"/>
      <c r="I446" s="4"/>
    </row>
    <row r="447">
      <c r="C447" s="4"/>
      <c r="D447" s="5"/>
      <c r="E447" s="4"/>
      <c r="F447" s="4"/>
      <c r="G447" s="4"/>
      <c r="H447" s="4"/>
      <c r="I447" s="4"/>
    </row>
    <row r="448">
      <c r="C448" s="4"/>
      <c r="D448" s="5"/>
      <c r="E448" s="4"/>
      <c r="F448" s="4"/>
      <c r="G448" s="4"/>
      <c r="H448" s="4"/>
      <c r="I448" s="4"/>
    </row>
    <row r="449">
      <c r="C449" s="4"/>
      <c r="D449" s="5"/>
      <c r="E449" s="4"/>
      <c r="F449" s="4"/>
      <c r="G449" s="4"/>
      <c r="H449" s="4"/>
      <c r="I449" s="4"/>
    </row>
    <row r="450">
      <c r="C450" s="4"/>
      <c r="D450" s="5"/>
      <c r="E450" s="4"/>
      <c r="F450" s="4"/>
      <c r="G450" s="4"/>
      <c r="H450" s="4"/>
      <c r="I450" s="4"/>
    </row>
    <row r="451">
      <c r="C451" s="4"/>
      <c r="D451" s="5"/>
      <c r="E451" s="4"/>
      <c r="F451" s="4"/>
      <c r="G451" s="4"/>
      <c r="H451" s="4"/>
      <c r="I451" s="4"/>
    </row>
    <row r="452">
      <c r="C452" s="4"/>
      <c r="D452" s="5"/>
      <c r="E452" s="4"/>
      <c r="F452" s="4"/>
      <c r="G452" s="4"/>
      <c r="H452" s="4"/>
      <c r="I452" s="4"/>
    </row>
    <row r="453">
      <c r="C453" s="4"/>
      <c r="D453" s="5"/>
      <c r="E453" s="4"/>
      <c r="F453" s="4"/>
      <c r="G453" s="4"/>
      <c r="H453" s="4"/>
      <c r="I453" s="4"/>
    </row>
    <row r="454">
      <c r="C454" s="4"/>
      <c r="D454" s="5"/>
      <c r="E454" s="4"/>
      <c r="F454" s="4"/>
      <c r="G454" s="4"/>
      <c r="H454" s="4"/>
      <c r="I454" s="4"/>
    </row>
    <row r="455">
      <c r="C455" s="4"/>
      <c r="D455" s="5"/>
      <c r="E455" s="4"/>
      <c r="F455" s="4"/>
      <c r="G455" s="4"/>
      <c r="H455" s="4"/>
      <c r="I455" s="4"/>
    </row>
    <row r="456">
      <c r="C456" s="4"/>
      <c r="D456" s="5"/>
      <c r="E456" s="4"/>
      <c r="F456" s="4"/>
      <c r="G456" s="4"/>
      <c r="H456" s="4"/>
      <c r="I456" s="4"/>
    </row>
    <row r="457">
      <c r="C457" s="4"/>
      <c r="D457" s="5"/>
      <c r="E457" s="4"/>
      <c r="F457" s="4"/>
      <c r="G457" s="4"/>
      <c r="H457" s="4"/>
      <c r="I457" s="4"/>
    </row>
    <row r="458">
      <c r="C458" s="4"/>
      <c r="D458" s="5"/>
      <c r="E458" s="4"/>
      <c r="F458" s="4"/>
      <c r="G458" s="4"/>
      <c r="H458" s="4"/>
      <c r="I458" s="4"/>
    </row>
    <row r="459">
      <c r="C459" s="4"/>
      <c r="D459" s="5"/>
      <c r="E459" s="4"/>
      <c r="F459" s="4"/>
      <c r="G459" s="4"/>
      <c r="H459" s="4"/>
      <c r="I459" s="4"/>
    </row>
    <row r="460">
      <c r="C460" s="4"/>
      <c r="D460" s="5"/>
      <c r="E460" s="4"/>
      <c r="F460" s="4"/>
      <c r="G460" s="4"/>
      <c r="H460" s="4"/>
      <c r="I460" s="4"/>
    </row>
    <row r="461">
      <c r="C461" s="4"/>
      <c r="D461" s="5"/>
      <c r="E461" s="4"/>
      <c r="F461" s="4"/>
      <c r="G461" s="4"/>
      <c r="H461" s="4"/>
      <c r="I461" s="4"/>
    </row>
    <row r="462">
      <c r="C462" s="4"/>
      <c r="D462" s="5"/>
      <c r="E462" s="4"/>
      <c r="F462" s="4"/>
      <c r="G462" s="4"/>
      <c r="H462" s="4"/>
      <c r="I462" s="4"/>
    </row>
    <row r="463">
      <c r="C463" s="4"/>
      <c r="D463" s="5"/>
      <c r="E463" s="4"/>
      <c r="F463" s="4"/>
      <c r="G463" s="4"/>
      <c r="H463" s="4"/>
      <c r="I463" s="4"/>
    </row>
    <row r="464">
      <c r="C464" s="4"/>
      <c r="D464" s="5"/>
      <c r="E464" s="4"/>
      <c r="F464" s="4"/>
      <c r="G464" s="4"/>
      <c r="H464" s="4"/>
      <c r="I464" s="4"/>
    </row>
    <row r="465">
      <c r="C465" s="4"/>
      <c r="D465" s="5"/>
      <c r="E465" s="4"/>
      <c r="F465" s="4"/>
      <c r="G465" s="4"/>
      <c r="H465" s="4"/>
      <c r="I465" s="4"/>
    </row>
    <row r="466">
      <c r="C466" s="4"/>
      <c r="D466" s="5"/>
      <c r="E466" s="4"/>
      <c r="F466" s="4"/>
      <c r="G466" s="4"/>
      <c r="H466" s="4"/>
      <c r="I466" s="4"/>
    </row>
    <row r="467">
      <c r="C467" s="4"/>
      <c r="D467" s="5"/>
      <c r="E467" s="4"/>
      <c r="F467" s="4"/>
      <c r="G467" s="4"/>
      <c r="H467" s="4"/>
      <c r="I467" s="4"/>
    </row>
    <row r="468">
      <c r="C468" s="4"/>
      <c r="D468" s="5"/>
      <c r="E468" s="4"/>
      <c r="F468" s="4"/>
      <c r="G468" s="4"/>
      <c r="H468" s="4"/>
      <c r="I468" s="4"/>
    </row>
    <row r="469">
      <c r="C469" s="4"/>
      <c r="D469" s="5"/>
      <c r="E469" s="4"/>
      <c r="F469" s="4"/>
      <c r="G469" s="4"/>
      <c r="H469" s="4"/>
      <c r="I469" s="4"/>
    </row>
    <row r="470">
      <c r="C470" s="4"/>
      <c r="D470" s="5"/>
      <c r="E470" s="4"/>
      <c r="F470" s="4"/>
      <c r="G470" s="4"/>
      <c r="H470" s="4"/>
      <c r="I470" s="4"/>
    </row>
    <row r="471">
      <c r="C471" s="4"/>
      <c r="D471" s="5"/>
      <c r="E471" s="4"/>
      <c r="F471" s="4"/>
      <c r="G471" s="4"/>
      <c r="H471" s="4"/>
      <c r="I471" s="4"/>
    </row>
    <row r="472">
      <c r="C472" s="4"/>
      <c r="D472" s="5"/>
      <c r="E472" s="4"/>
      <c r="F472" s="4"/>
      <c r="G472" s="4"/>
      <c r="H472" s="4"/>
      <c r="I472" s="4"/>
    </row>
    <row r="473">
      <c r="C473" s="4"/>
      <c r="D473" s="5"/>
      <c r="E473" s="4"/>
      <c r="F473" s="4"/>
      <c r="G473" s="4"/>
      <c r="H473" s="4"/>
      <c r="I473" s="4"/>
    </row>
    <row r="474">
      <c r="C474" s="4"/>
      <c r="D474" s="5"/>
      <c r="E474" s="4"/>
      <c r="F474" s="4"/>
      <c r="G474" s="4"/>
      <c r="H474" s="4"/>
      <c r="I474" s="4"/>
    </row>
    <row r="475">
      <c r="C475" s="4"/>
      <c r="D475" s="5"/>
      <c r="E475" s="4"/>
      <c r="F475" s="4"/>
      <c r="G475" s="4"/>
      <c r="H475" s="4"/>
      <c r="I475" s="4"/>
    </row>
    <row r="476">
      <c r="C476" s="4"/>
      <c r="D476" s="5"/>
      <c r="E476" s="4"/>
      <c r="F476" s="4"/>
      <c r="G476" s="4"/>
      <c r="H476" s="4"/>
      <c r="I476" s="4"/>
    </row>
    <row r="477">
      <c r="C477" s="4"/>
      <c r="D477" s="5"/>
      <c r="E477" s="4"/>
      <c r="F477" s="4"/>
      <c r="G477" s="4"/>
      <c r="H477" s="4"/>
      <c r="I477" s="4"/>
    </row>
    <row r="478">
      <c r="C478" s="4"/>
      <c r="D478" s="5"/>
      <c r="E478" s="4"/>
      <c r="F478" s="4"/>
      <c r="G478" s="4"/>
      <c r="H478" s="4"/>
      <c r="I478" s="4"/>
    </row>
    <row r="479">
      <c r="C479" s="4"/>
      <c r="D479" s="5"/>
      <c r="E479" s="4"/>
      <c r="F479" s="4"/>
      <c r="G479" s="4"/>
      <c r="H479" s="4"/>
      <c r="I479" s="4"/>
    </row>
    <row r="480">
      <c r="C480" s="4"/>
      <c r="D480" s="5"/>
      <c r="E480" s="4"/>
      <c r="F480" s="4"/>
      <c r="G480" s="4"/>
      <c r="H480" s="4"/>
      <c r="I480" s="4"/>
    </row>
    <row r="481">
      <c r="C481" s="4"/>
      <c r="D481" s="5"/>
      <c r="E481" s="4"/>
      <c r="F481" s="4"/>
      <c r="G481" s="4"/>
      <c r="H481" s="4"/>
      <c r="I481" s="4"/>
    </row>
    <row r="482">
      <c r="C482" s="4"/>
      <c r="D482" s="5"/>
      <c r="E482" s="4"/>
      <c r="F482" s="4"/>
      <c r="G482" s="4"/>
      <c r="H482" s="4"/>
      <c r="I482" s="4"/>
    </row>
    <row r="483">
      <c r="C483" s="4"/>
      <c r="D483" s="5"/>
      <c r="E483" s="4"/>
      <c r="F483" s="4"/>
      <c r="G483" s="4"/>
      <c r="H483" s="4"/>
      <c r="I483" s="4"/>
    </row>
    <row r="484">
      <c r="C484" s="4"/>
      <c r="D484" s="5"/>
      <c r="E484" s="4"/>
      <c r="F484" s="4"/>
      <c r="G484" s="4"/>
      <c r="H484" s="4"/>
      <c r="I484" s="4"/>
    </row>
    <row r="485">
      <c r="C485" s="4"/>
      <c r="D485" s="5"/>
      <c r="E485" s="4"/>
      <c r="F485" s="4"/>
      <c r="G485" s="4"/>
      <c r="H485" s="4"/>
      <c r="I485" s="4"/>
    </row>
    <row r="486">
      <c r="C486" s="4"/>
      <c r="D486" s="5"/>
      <c r="E486" s="4"/>
      <c r="F486" s="4"/>
      <c r="G486" s="4"/>
      <c r="H486" s="4"/>
      <c r="I486" s="4"/>
    </row>
    <row r="487">
      <c r="C487" s="4"/>
      <c r="D487" s="5"/>
      <c r="E487" s="4"/>
      <c r="F487" s="4"/>
      <c r="G487" s="4"/>
      <c r="H487" s="4"/>
      <c r="I487" s="4"/>
    </row>
    <row r="488">
      <c r="C488" s="4"/>
      <c r="D488" s="5"/>
      <c r="E488" s="4"/>
      <c r="F488" s="4"/>
      <c r="G488" s="4"/>
      <c r="H488" s="4"/>
      <c r="I488" s="4"/>
    </row>
    <row r="489">
      <c r="C489" s="4"/>
      <c r="D489" s="5"/>
      <c r="E489" s="4"/>
      <c r="F489" s="4"/>
      <c r="G489" s="4"/>
      <c r="H489" s="4"/>
      <c r="I489" s="4"/>
    </row>
    <row r="490">
      <c r="C490" s="4"/>
      <c r="D490" s="5"/>
      <c r="E490" s="4"/>
      <c r="F490" s="4"/>
      <c r="G490" s="4"/>
      <c r="H490" s="4"/>
      <c r="I490" s="4"/>
    </row>
    <row r="491">
      <c r="C491" s="4"/>
      <c r="D491" s="5"/>
      <c r="E491" s="4"/>
      <c r="F491" s="4"/>
      <c r="G491" s="4"/>
      <c r="H491" s="4"/>
      <c r="I491" s="4"/>
    </row>
    <row r="492">
      <c r="C492" s="4"/>
      <c r="D492" s="5"/>
      <c r="E492" s="4"/>
      <c r="F492" s="4"/>
      <c r="G492" s="4"/>
      <c r="H492" s="4"/>
      <c r="I492" s="4"/>
    </row>
    <row r="493">
      <c r="C493" s="4"/>
      <c r="D493" s="5"/>
      <c r="E493" s="4"/>
      <c r="F493" s="4"/>
      <c r="G493" s="4"/>
      <c r="H493" s="4"/>
      <c r="I493" s="4"/>
    </row>
    <row r="494">
      <c r="C494" s="4"/>
      <c r="D494" s="5"/>
      <c r="E494" s="4"/>
      <c r="F494" s="4"/>
      <c r="G494" s="4"/>
      <c r="H494" s="4"/>
      <c r="I494" s="4"/>
    </row>
    <row r="495">
      <c r="C495" s="4"/>
      <c r="D495" s="5"/>
      <c r="E495" s="4"/>
      <c r="F495" s="4"/>
      <c r="G495" s="4"/>
      <c r="H495" s="4"/>
      <c r="I495" s="4"/>
    </row>
    <row r="496">
      <c r="C496" s="4"/>
      <c r="D496" s="5"/>
      <c r="E496" s="4"/>
      <c r="F496" s="4"/>
      <c r="G496" s="4"/>
      <c r="H496" s="4"/>
      <c r="I496" s="4"/>
    </row>
    <row r="497">
      <c r="C497" s="4"/>
      <c r="D497" s="5"/>
      <c r="E497" s="4"/>
      <c r="F497" s="4"/>
      <c r="G497" s="4"/>
      <c r="H497" s="4"/>
      <c r="I497" s="4"/>
    </row>
    <row r="498">
      <c r="C498" s="4"/>
      <c r="D498" s="5"/>
      <c r="E498" s="4"/>
      <c r="F498" s="4"/>
      <c r="G498" s="4"/>
      <c r="H498" s="4"/>
      <c r="I498" s="4"/>
    </row>
    <row r="499">
      <c r="C499" s="4"/>
      <c r="D499" s="5"/>
      <c r="E499" s="4"/>
      <c r="F499" s="4"/>
      <c r="G499" s="4"/>
      <c r="H499" s="4"/>
      <c r="I499" s="4"/>
    </row>
    <row r="500">
      <c r="C500" s="4"/>
      <c r="D500" s="5"/>
      <c r="E500" s="4"/>
      <c r="F500" s="4"/>
      <c r="G500" s="4"/>
      <c r="H500" s="4"/>
      <c r="I500" s="4"/>
    </row>
    <row r="501">
      <c r="C501" s="4"/>
      <c r="D501" s="5"/>
      <c r="E501" s="4"/>
      <c r="F501" s="4"/>
      <c r="G501" s="4"/>
      <c r="H501" s="4"/>
      <c r="I501" s="4"/>
    </row>
    <row r="502">
      <c r="C502" s="4"/>
      <c r="D502" s="5"/>
      <c r="E502" s="4"/>
      <c r="F502" s="4"/>
      <c r="G502" s="4"/>
      <c r="H502" s="4"/>
      <c r="I502" s="4"/>
    </row>
    <row r="503">
      <c r="C503" s="4"/>
      <c r="D503" s="5"/>
      <c r="E503" s="4"/>
      <c r="F503" s="4"/>
      <c r="G503" s="4"/>
      <c r="H503" s="4"/>
      <c r="I503" s="4"/>
    </row>
    <row r="504">
      <c r="C504" s="4"/>
      <c r="D504" s="5"/>
      <c r="E504" s="4"/>
      <c r="F504" s="4"/>
      <c r="G504" s="4"/>
      <c r="H504" s="4"/>
      <c r="I504" s="4"/>
    </row>
    <row r="505">
      <c r="C505" s="4"/>
      <c r="D505" s="5"/>
      <c r="E505" s="4"/>
      <c r="F505" s="4"/>
      <c r="G505" s="4"/>
      <c r="H505" s="4"/>
      <c r="I505" s="4"/>
    </row>
    <row r="506">
      <c r="C506" s="4"/>
      <c r="D506" s="5"/>
      <c r="E506" s="4"/>
      <c r="F506" s="4"/>
      <c r="G506" s="4"/>
      <c r="H506" s="4"/>
      <c r="I506" s="4"/>
    </row>
    <row r="507">
      <c r="C507" s="4"/>
      <c r="D507" s="5"/>
      <c r="E507" s="4"/>
      <c r="F507" s="4"/>
      <c r="G507" s="4"/>
      <c r="H507" s="4"/>
      <c r="I507" s="4"/>
    </row>
    <row r="508">
      <c r="C508" s="4"/>
      <c r="D508" s="5"/>
      <c r="E508" s="4"/>
      <c r="F508" s="4"/>
      <c r="G508" s="4"/>
      <c r="H508" s="4"/>
      <c r="I508" s="4"/>
    </row>
    <row r="509">
      <c r="C509" s="4"/>
      <c r="D509" s="5"/>
      <c r="E509" s="4"/>
      <c r="F509" s="4"/>
      <c r="G509" s="4"/>
      <c r="H509" s="4"/>
      <c r="I509" s="4"/>
    </row>
    <row r="510">
      <c r="C510" s="4"/>
      <c r="D510" s="5"/>
      <c r="E510" s="4"/>
      <c r="F510" s="4"/>
      <c r="G510" s="4"/>
      <c r="H510" s="4"/>
      <c r="I510" s="4"/>
    </row>
    <row r="511">
      <c r="C511" s="4"/>
      <c r="D511" s="5"/>
      <c r="E511" s="4"/>
      <c r="F511" s="4"/>
      <c r="G511" s="4"/>
      <c r="H511" s="4"/>
      <c r="I511" s="4"/>
    </row>
    <row r="512">
      <c r="C512" s="4"/>
      <c r="D512" s="5"/>
      <c r="E512" s="4"/>
      <c r="F512" s="4"/>
      <c r="G512" s="4"/>
      <c r="H512" s="4"/>
      <c r="I512" s="4"/>
    </row>
    <row r="513">
      <c r="C513" s="4"/>
      <c r="D513" s="5"/>
      <c r="E513" s="4"/>
      <c r="F513" s="4"/>
      <c r="G513" s="4"/>
      <c r="H513" s="4"/>
      <c r="I513" s="4"/>
    </row>
    <row r="514">
      <c r="C514" s="4"/>
      <c r="D514" s="5"/>
      <c r="E514" s="4"/>
      <c r="F514" s="4"/>
      <c r="G514" s="4"/>
      <c r="H514" s="4"/>
      <c r="I514" s="4"/>
    </row>
    <row r="515">
      <c r="C515" s="4"/>
      <c r="D515" s="5"/>
      <c r="E515" s="4"/>
      <c r="F515" s="4"/>
      <c r="G515" s="4"/>
      <c r="H515" s="4"/>
      <c r="I515" s="4"/>
    </row>
    <row r="516">
      <c r="C516" s="4"/>
      <c r="D516" s="5"/>
      <c r="E516" s="4"/>
      <c r="F516" s="4"/>
      <c r="G516" s="4"/>
      <c r="H516" s="4"/>
      <c r="I516" s="4"/>
    </row>
    <row r="517">
      <c r="C517" s="4"/>
      <c r="D517" s="5"/>
      <c r="E517" s="4"/>
      <c r="F517" s="4"/>
      <c r="G517" s="4"/>
      <c r="H517" s="4"/>
      <c r="I517" s="4"/>
    </row>
    <row r="518">
      <c r="C518" s="4"/>
      <c r="D518" s="5"/>
      <c r="E518" s="4"/>
      <c r="F518" s="4"/>
      <c r="G518" s="4"/>
      <c r="H518" s="4"/>
      <c r="I518" s="4"/>
    </row>
    <row r="519">
      <c r="C519" s="4"/>
      <c r="D519" s="5"/>
      <c r="E519" s="4"/>
      <c r="F519" s="4"/>
      <c r="G519" s="4"/>
      <c r="H519" s="4"/>
      <c r="I519" s="4"/>
    </row>
    <row r="520">
      <c r="C520" s="4"/>
      <c r="D520" s="5"/>
      <c r="E520" s="4"/>
      <c r="F520" s="4"/>
      <c r="G520" s="4"/>
      <c r="H520" s="4"/>
      <c r="I520" s="4"/>
    </row>
    <row r="521">
      <c r="C521" s="4"/>
      <c r="D521" s="5"/>
      <c r="E521" s="4"/>
      <c r="F521" s="4"/>
      <c r="G521" s="4"/>
      <c r="H521" s="4"/>
      <c r="I521" s="4"/>
    </row>
    <row r="522">
      <c r="C522" s="4"/>
      <c r="D522" s="5"/>
      <c r="E522" s="4"/>
      <c r="F522" s="4"/>
      <c r="G522" s="4"/>
      <c r="H522" s="4"/>
      <c r="I522" s="4"/>
    </row>
    <row r="523">
      <c r="C523" s="4"/>
      <c r="D523" s="5"/>
      <c r="E523" s="4"/>
      <c r="F523" s="4"/>
      <c r="G523" s="4"/>
      <c r="H523" s="4"/>
      <c r="I523" s="4"/>
    </row>
    <row r="524">
      <c r="C524" s="4"/>
      <c r="D524" s="5"/>
      <c r="E524" s="4"/>
      <c r="F524" s="4"/>
      <c r="G524" s="4"/>
      <c r="H524" s="4"/>
      <c r="I524" s="4"/>
    </row>
    <row r="525">
      <c r="C525" s="4"/>
      <c r="D525" s="5"/>
      <c r="E525" s="4"/>
      <c r="F525" s="4"/>
      <c r="G525" s="4"/>
      <c r="H525" s="4"/>
      <c r="I525" s="4"/>
    </row>
    <row r="526">
      <c r="C526" s="4"/>
      <c r="D526" s="5"/>
      <c r="E526" s="4"/>
      <c r="F526" s="4"/>
      <c r="G526" s="4"/>
      <c r="H526" s="4"/>
      <c r="I526" s="4"/>
    </row>
    <row r="527">
      <c r="C527" s="4"/>
      <c r="D527" s="5"/>
      <c r="E527" s="4"/>
      <c r="F527" s="4"/>
      <c r="G527" s="4"/>
      <c r="H527" s="4"/>
      <c r="I527" s="4"/>
    </row>
    <row r="528">
      <c r="C528" s="4"/>
      <c r="D528" s="5"/>
      <c r="E528" s="4"/>
      <c r="F528" s="4"/>
      <c r="G528" s="4"/>
      <c r="H528" s="4"/>
      <c r="I528" s="4"/>
    </row>
    <row r="529">
      <c r="C529" s="4"/>
      <c r="D529" s="5"/>
      <c r="E529" s="4"/>
      <c r="F529" s="4"/>
      <c r="G529" s="4"/>
      <c r="H529" s="4"/>
      <c r="I529" s="4"/>
    </row>
    <row r="530">
      <c r="C530" s="4"/>
      <c r="D530" s="5"/>
      <c r="E530" s="4"/>
      <c r="F530" s="4"/>
      <c r="G530" s="4"/>
      <c r="H530" s="4"/>
      <c r="I530" s="4"/>
    </row>
    <row r="531">
      <c r="C531" s="4"/>
      <c r="D531" s="5"/>
      <c r="E531" s="4"/>
      <c r="F531" s="4"/>
      <c r="G531" s="4"/>
      <c r="H531" s="4"/>
      <c r="I531" s="4"/>
    </row>
    <row r="532">
      <c r="C532" s="4"/>
      <c r="D532" s="5"/>
      <c r="E532" s="4"/>
      <c r="F532" s="4"/>
      <c r="G532" s="4"/>
      <c r="H532" s="4"/>
      <c r="I532" s="4"/>
    </row>
    <row r="533">
      <c r="C533" s="4"/>
      <c r="D533" s="5"/>
      <c r="E533" s="4"/>
      <c r="F533" s="4"/>
      <c r="G533" s="4"/>
      <c r="H533" s="4"/>
      <c r="I533" s="4"/>
    </row>
    <row r="534">
      <c r="C534" s="4"/>
      <c r="D534" s="5"/>
      <c r="E534" s="4"/>
      <c r="F534" s="4"/>
      <c r="G534" s="4"/>
      <c r="H534" s="4"/>
      <c r="I534" s="4"/>
    </row>
    <row r="535">
      <c r="C535" s="4"/>
      <c r="D535" s="5"/>
      <c r="E535" s="4"/>
      <c r="F535" s="4"/>
      <c r="G535" s="4"/>
      <c r="H535" s="4"/>
      <c r="I535" s="4"/>
    </row>
    <row r="536">
      <c r="C536" s="4"/>
      <c r="D536" s="5"/>
      <c r="E536" s="4"/>
      <c r="F536" s="4"/>
      <c r="G536" s="4"/>
      <c r="H536" s="4"/>
      <c r="I536" s="4"/>
    </row>
    <row r="537">
      <c r="C537" s="4"/>
      <c r="D537" s="5"/>
      <c r="E537" s="4"/>
      <c r="F537" s="4"/>
      <c r="G537" s="4"/>
      <c r="H537" s="4"/>
      <c r="I537" s="4"/>
    </row>
    <row r="538">
      <c r="C538" s="4"/>
      <c r="D538" s="5"/>
      <c r="E538" s="4"/>
      <c r="F538" s="4"/>
      <c r="G538" s="4"/>
      <c r="H538" s="4"/>
      <c r="I538" s="4"/>
    </row>
    <row r="539">
      <c r="C539" s="4"/>
      <c r="D539" s="5"/>
      <c r="E539" s="4"/>
      <c r="F539" s="4"/>
      <c r="G539" s="4"/>
      <c r="H539" s="4"/>
      <c r="I539" s="4"/>
    </row>
    <row r="540">
      <c r="C540" s="4"/>
      <c r="D540" s="5"/>
      <c r="E540" s="4"/>
      <c r="F540" s="4"/>
      <c r="G540" s="4"/>
      <c r="H540" s="4"/>
      <c r="I540" s="4"/>
    </row>
    <row r="541">
      <c r="C541" s="4"/>
      <c r="D541" s="5"/>
      <c r="E541" s="4"/>
      <c r="F541" s="4"/>
      <c r="G541" s="4"/>
      <c r="H541" s="4"/>
      <c r="I541" s="4"/>
    </row>
    <row r="542">
      <c r="C542" s="4"/>
      <c r="D542" s="5"/>
      <c r="E542" s="4"/>
      <c r="F542" s="4"/>
      <c r="G542" s="4"/>
      <c r="H542" s="4"/>
      <c r="I542" s="4"/>
    </row>
    <row r="543">
      <c r="C543" s="4"/>
      <c r="D543" s="5"/>
      <c r="E543" s="4"/>
      <c r="F543" s="4"/>
      <c r="G543" s="4"/>
      <c r="H543" s="4"/>
      <c r="I543" s="4"/>
    </row>
    <row r="544">
      <c r="C544" s="4"/>
      <c r="D544" s="5"/>
      <c r="E544" s="4"/>
      <c r="F544" s="4"/>
      <c r="G544" s="4"/>
      <c r="H544" s="4"/>
      <c r="I544" s="4"/>
    </row>
    <row r="545">
      <c r="C545" s="4"/>
      <c r="D545" s="5"/>
      <c r="E545" s="4"/>
      <c r="F545" s="4"/>
      <c r="G545" s="4"/>
      <c r="H545" s="4"/>
      <c r="I545" s="4"/>
    </row>
    <row r="546">
      <c r="C546" s="4"/>
      <c r="D546" s="5"/>
      <c r="E546" s="4"/>
      <c r="F546" s="4"/>
      <c r="G546" s="4"/>
      <c r="H546" s="4"/>
      <c r="I546" s="4"/>
    </row>
    <row r="547">
      <c r="C547" s="4"/>
      <c r="D547" s="5"/>
      <c r="E547" s="4"/>
      <c r="F547" s="4"/>
      <c r="G547" s="4"/>
      <c r="H547" s="4"/>
      <c r="I547" s="4"/>
    </row>
    <row r="548">
      <c r="C548" s="4"/>
      <c r="D548" s="5"/>
      <c r="E548" s="4"/>
      <c r="F548" s="4"/>
      <c r="G548" s="4"/>
      <c r="H548" s="4"/>
      <c r="I548" s="4"/>
    </row>
    <row r="549">
      <c r="C549" s="4"/>
      <c r="D549" s="5"/>
      <c r="E549" s="4"/>
      <c r="F549" s="4"/>
      <c r="G549" s="4"/>
      <c r="H549" s="4"/>
      <c r="I549" s="4"/>
    </row>
    <row r="550">
      <c r="C550" s="4"/>
      <c r="D550" s="5"/>
      <c r="E550" s="4"/>
      <c r="F550" s="4"/>
      <c r="G550" s="4"/>
      <c r="H550" s="4"/>
      <c r="I550" s="4"/>
    </row>
    <row r="551">
      <c r="C551" s="4"/>
      <c r="D551" s="5"/>
      <c r="E551" s="4"/>
      <c r="F551" s="4"/>
      <c r="G551" s="4"/>
      <c r="H551" s="4"/>
      <c r="I551" s="4"/>
    </row>
    <row r="552">
      <c r="C552" s="4"/>
      <c r="D552" s="5"/>
      <c r="E552" s="4"/>
      <c r="F552" s="4"/>
      <c r="G552" s="4"/>
      <c r="H552" s="4"/>
      <c r="I552" s="4"/>
    </row>
    <row r="553">
      <c r="C553" s="4"/>
      <c r="D553" s="5"/>
      <c r="E553" s="4"/>
      <c r="F553" s="4"/>
      <c r="G553" s="4"/>
      <c r="H553" s="4"/>
      <c r="I553" s="4"/>
    </row>
    <row r="554">
      <c r="C554" s="4"/>
      <c r="D554" s="5"/>
      <c r="E554" s="4"/>
      <c r="F554" s="4"/>
      <c r="G554" s="4"/>
      <c r="H554" s="4"/>
      <c r="I554" s="4"/>
    </row>
    <row r="555">
      <c r="C555" s="4"/>
      <c r="D555" s="5"/>
      <c r="E555" s="4"/>
      <c r="F555" s="4"/>
      <c r="G555" s="4"/>
      <c r="H555" s="4"/>
      <c r="I555" s="4"/>
    </row>
    <row r="556">
      <c r="C556" s="4"/>
      <c r="D556" s="5"/>
      <c r="E556" s="4"/>
      <c r="F556" s="4"/>
      <c r="G556" s="4"/>
      <c r="H556" s="4"/>
      <c r="I556" s="4"/>
    </row>
    <row r="557">
      <c r="C557" s="4"/>
      <c r="D557" s="5"/>
      <c r="E557" s="4"/>
      <c r="F557" s="4"/>
      <c r="G557" s="4"/>
      <c r="H557" s="4"/>
      <c r="I557" s="4"/>
    </row>
    <row r="558">
      <c r="C558" s="4"/>
      <c r="D558" s="5"/>
      <c r="E558" s="4"/>
      <c r="F558" s="4"/>
      <c r="G558" s="4"/>
      <c r="H558" s="4"/>
      <c r="I558" s="4"/>
    </row>
    <row r="559">
      <c r="C559" s="4"/>
      <c r="D559" s="5"/>
      <c r="E559" s="4"/>
      <c r="F559" s="4"/>
      <c r="G559" s="4"/>
      <c r="H559" s="4"/>
      <c r="I559" s="4"/>
    </row>
    <row r="560">
      <c r="C560" s="4"/>
      <c r="D560" s="5"/>
      <c r="E560" s="4"/>
      <c r="F560" s="4"/>
      <c r="G560" s="4"/>
      <c r="H560" s="4"/>
      <c r="I560" s="4"/>
    </row>
    <row r="561">
      <c r="C561" s="4"/>
      <c r="D561" s="5"/>
      <c r="E561" s="4"/>
      <c r="F561" s="4"/>
      <c r="G561" s="4"/>
      <c r="H561" s="4"/>
      <c r="I561" s="4"/>
    </row>
    <row r="562">
      <c r="C562" s="4"/>
      <c r="D562" s="5"/>
      <c r="E562" s="4"/>
      <c r="F562" s="4"/>
      <c r="G562" s="4"/>
      <c r="H562" s="4"/>
      <c r="I562" s="4"/>
    </row>
    <row r="563">
      <c r="C563" s="4"/>
      <c r="D563" s="5"/>
      <c r="E563" s="4"/>
      <c r="F563" s="4"/>
      <c r="G563" s="4"/>
      <c r="H563" s="4"/>
      <c r="I563" s="4"/>
    </row>
    <row r="564">
      <c r="C564" s="4"/>
      <c r="D564" s="5"/>
      <c r="E564" s="4"/>
      <c r="F564" s="4"/>
      <c r="G564" s="4"/>
      <c r="H564" s="4"/>
      <c r="I564" s="4"/>
    </row>
    <row r="565">
      <c r="C565" s="4"/>
      <c r="D565" s="5"/>
      <c r="E565" s="4"/>
      <c r="F565" s="4"/>
      <c r="G565" s="4"/>
      <c r="H565" s="4"/>
      <c r="I565" s="4"/>
    </row>
    <row r="566">
      <c r="C566" s="4"/>
      <c r="D566" s="5"/>
      <c r="E566" s="4"/>
      <c r="F566" s="4"/>
      <c r="G566" s="4"/>
      <c r="H566" s="4"/>
      <c r="I566" s="4"/>
    </row>
    <row r="567">
      <c r="C567" s="4"/>
      <c r="D567" s="5"/>
      <c r="E567" s="4"/>
      <c r="F567" s="4"/>
      <c r="G567" s="4"/>
      <c r="H567" s="4"/>
      <c r="I567" s="4"/>
    </row>
    <row r="568">
      <c r="C568" s="4"/>
      <c r="D568" s="5"/>
      <c r="E568" s="4"/>
      <c r="F568" s="4"/>
      <c r="G568" s="4"/>
      <c r="H568" s="4"/>
      <c r="I568" s="4"/>
    </row>
    <row r="569">
      <c r="C569" s="4"/>
      <c r="D569" s="5"/>
      <c r="E569" s="4"/>
      <c r="F569" s="4"/>
      <c r="G569" s="4"/>
      <c r="H569" s="4"/>
      <c r="I569" s="4"/>
    </row>
    <row r="570">
      <c r="C570" s="4"/>
      <c r="D570" s="5"/>
      <c r="E570" s="4"/>
      <c r="F570" s="4"/>
      <c r="G570" s="4"/>
      <c r="H570" s="4"/>
      <c r="I570" s="4"/>
    </row>
    <row r="571">
      <c r="C571" s="4"/>
      <c r="D571" s="5"/>
      <c r="E571" s="4"/>
      <c r="F571" s="4"/>
      <c r="G571" s="4"/>
      <c r="H571" s="4"/>
      <c r="I571" s="4"/>
    </row>
    <row r="572">
      <c r="C572" s="4"/>
      <c r="D572" s="5"/>
      <c r="E572" s="4"/>
      <c r="F572" s="4"/>
      <c r="G572" s="4"/>
      <c r="H572" s="4"/>
      <c r="I572" s="4"/>
    </row>
    <row r="573">
      <c r="C573" s="4"/>
      <c r="D573" s="5"/>
      <c r="E573" s="4"/>
      <c r="F573" s="4"/>
      <c r="G573" s="4"/>
      <c r="H573" s="4"/>
      <c r="I573" s="4"/>
    </row>
    <row r="574">
      <c r="C574" s="4"/>
      <c r="D574" s="5"/>
      <c r="E574" s="4"/>
      <c r="F574" s="4"/>
      <c r="G574" s="4"/>
      <c r="H574" s="4"/>
      <c r="I574" s="4"/>
    </row>
    <row r="575">
      <c r="C575" s="4"/>
      <c r="D575" s="5"/>
      <c r="E575" s="4"/>
      <c r="F575" s="4"/>
      <c r="G575" s="4"/>
      <c r="H575" s="4"/>
      <c r="I575" s="4"/>
    </row>
    <row r="576">
      <c r="C576" s="4"/>
      <c r="D576" s="5"/>
      <c r="E576" s="4"/>
      <c r="F576" s="4"/>
      <c r="G576" s="4"/>
      <c r="H576" s="4"/>
      <c r="I576" s="4"/>
    </row>
    <row r="577">
      <c r="C577" s="4"/>
      <c r="D577" s="5"/>
      <c r="E577" s="4"/>
      <c r="F577" s="4"/>
      <c r="G577" s="4"/>
      <c r="H577" s="4"/>
      <c r="I577" s="4"/>
    </row>
    <row r="578">
      <c r="C578" s="4"/>
      <c r="D578" s="5"/>
      <c r="E578" s="4"/>
      <c r="F578" s="4"/>
      <c r="G578" s="4"/>
      <c r="H578" s="4"/>
      <c r="I578" s="4"/>
    </row>
    <row r="579">
      <c r="C579" s="4"/>
      <c r="D579" s="5"/>
      <c r="E579" s="4"/>
      <c r="F579" s="4"/>
      <c r="G579" s="4"/>
      <c r="H579" s="4"/>
      <c r="I579" s="4"/>
    </row>
    <row r="580">
      <c r="C580" s="4"/>
      <c r="D580" s="5"/>
      <c r="E580" s="4"/>
      <c r="F580" s="4"/>
      <c r="G580" s="4"/>
      <c r="H580" s="4"/>
      <c r="I580" s="4"/>
    </row>
    <row r="581">
      <c r="C581" s="4"/>
      <c r="D581" s="5"/>
      <c r="E581" s="4"/>
      <c r="F581" s="4"/>
      <c r="G581" s="4"/>
      <c r="H581" s="4"/>
      <c r="I581" s="4"/>
    </row>
    <row r="582">
      <c r="C582" s="4"/>
      <c r="D582" s="5"/>
      <c r="E582" s="4"/>
      <c r="F582" s="4"/>
      <c r="G582" s="4"/>
      <c r="H582" s="4"/>
      <c r="I582" s="4"/>
    </row>
    <row r="583">
      <c r="C583" s="4"/>
      <c r="D583" s="5"/>
      <c r="E583" s="4"/>
      <c r="F583" s="4"/>
      <c r="G583" s="4"/>
      <c r="H583" s="4"/>
      <c r="I583" s="4"/>
    </row>
    <row r="584">
      <c r="C584" s="4"/>
      <c r="D584" s="5"/>
      <c r="E584" s="4"/>
      <c r="F584" s="4"/>
      <c r="G584" s="4"/>
      <c r="H584" s="4"/>
      <c r="I584" s="4"/>
    </row>
    <row r="585">
      <c r="C585" s="4"/>
      <c r="D585" s="5"/>
      <c r="E585" s="4"/>
      <c r="F585" s="4"/>
      <c r="G585" s="4"/>
      <c r="H585" s="4"/>
      <c r="I585" s="4"/>
    </row>
    <row r="586">
      <c r="C586" s="4"/>
      <c r="D586" s="5"/>
      <c r="E586" s="4"/>
      <c r="F586" s="4"/>
      <c r="G586" s="4"/>
      <c r="H586" s="4"/>
      <c r="I586" s="4"/>
    </row>
    <row r="587">
      <c r="C587" s="4"/>
      <c r="D587" s="5"/>
      <c r="E587" s="4"/>
      <c r="F587" s="4"/>
      <c r="G587" s="4"/>
      <c r="H587" s="4"/>
      <c r="I587" s="4"/>
    </row>
    <row r="588">
      <c r="C588" s="4"/>
      <c r="D588" s="5"/>
      <c r="E588" s="4"/>
      <c r="F588" s="4"/>
      <c r="G588" s="4"/>
      <c r="H588" s="4"/>
      <c r="I588" s="4"/>
    </row>
    <row r="589">
      <c r="C589" s="4"/>
      <c r="D589" s="5"/>
      <c r="E589" s="4"/>
      <c r="F589" s="4"/>
      <c r="G589" s="4"/>
      <c r="H589" s="4"/>
      <c r="I589" s="4"/>
    </row>
    <row r="590">
      <c r="C590" s="4"/>
      <c r="D590" s="5"/>
      <c r="E590" s="4"/>
      <c r="F590" s="4"/>
      <c r="G590" s="4"/>
      <c r="H590" s="4"/>
      <c r="I590" s="4"/>
    </row>
    <row r="591">
      <c r="C591" s="4"/>
      <c r="D591" s="5"/>
      <c r="E591" s="4"/>
      <c r="F591" s="4"/>
      <c r="G591" s="4"/>
      <c r="H591" s="4"/>
      <c r="I591" s="4"/>
    </row>
    <row r="592">
      <c r="C592" s="4"/>
      <c r="D592" s="5"/>
      <c r="E592" s="4"/>
      <c r="F592" s="4"/>
      <c r="G592" s="4"/>
      <c r="H592" s="4"/>
      <c r="I592" s="4"/>
    </row>
    <row r="593">
      <c r="C593" s="4"/>
      <c r="D593" s="5"/>
      <c r="E593" s="4"/>
      <c r="F593" s="4"/>
      <c r="G593" s="4"/>
      <c r="H593" s="4"/>
      <c r="I593" s="4"/>
    </row>
    <row r="594">
      <c r="C594" s="4"/>
      <c r="D594" s="5"/>
      <c r="E594" s="4"/>
      <c r="F594" s="4"/>
      <c r="G594" s="4"/>
      <c r="H594" s="4"/>
      <c r="I594" s="4"/>
    </row>
    <row r="595">
      <c r="C595" s="4"/>
      <c r="D595" s="5"/>
      <c r="E595" s="4"/>
      <c r="F595" s="4"/>
      <c r="G595" s="4"/>
      <c r="H595" s="4"/>
      <c r="I595" s="4"/>
    </row>
    <row r="596">
      <c r="C596" s="4"/>
      <c r="D596" s="5"/>
      <c r="E596" s="4"/>
      <c r="F596" s="4"/>
      <c r="G596" s="4"/>
      <c r="H596" s="4"/>
      <c r="I596" s="4"/>
    </row>
    <row r="597">
      <c r="C597" s="4"/>
      <c r="D597" s="5"/>
      <c r="E597" s="4"/>
      <c r="F597" s="4"/>
      <c r="G597" s="4"/>
      <c r="H597" s="4"/>
      <c r="I597" s="4"/>
    </row>
    <row r="598">
      <c r="C598" s="4"/>
      <c r="D598" s="5"/>
      <c r="E598" s="4"/>
      <c r="F598" s="4"/>
      <c r="G598" s="4"/>
      <c r="H598" s="4"/>
      <c r="I598" s="4"/>
    </row>
    <row r="599">
      <c r="C599" s="4"/>
      <c r="D599" s="5"/>
      <c r="E599" s="4"/>
      <c r="F599" s="4"/>
      <c r="G599" s="4"/>
      <c r="H599" s="4"/>
      <c r="I599" s="4"/>
    </row>
    <row r="600">
      <c r="C600" s="4"/>
      <c r="D600" s="5"/>
      <c r="E600" s="4"/>
      <c r="F600" s="4"/>
      <c r="G600" s="4"/>
      <c r="H600" s="4"/>
      <c r="I600" s="4"/>
    </row>
    <row r="601">
      <c r="C601" s="4"/>
      <c r="D601" s="5"/>
      <c r="E601" s="4"/>
      <c r="F601" s="4"/>
      <c r="G601" s="4"/>
      <c r="H601" s="4"/>
      <c r="I601" s="4"/>
    </row>
    <row r="602">
      <c r="C602" s="4"/>
      <c r="D602" s="5"/>
      <c r="E602" s="4"/>
      <c r="F602" s="4"/>
      <c r="G602" s="4"/>
      <c r="H602" s="4"/>
      <c r="I602" s="4"/>
    </row>
    <row r="603">
      <c r="C603" s="4"/>
      <c r="D603" s="5"/>
      <c r="E603" s="4"/>
      <c r="F603" s="4"/>
      <c r="G603" s="4"/>
      <c r="H603" s="4"/>
      <c r="I603" s="4"/>
    </row>
    <row r="604">
      <c r="C604" s="4"/>
      <c r="D604" s="5"/>
      <c r="E604" s="4"/>
      <c r="F604" s="4"/>
      <c r="G604" s="4"/>
      <c r="H604" s="4"/>
      <c r="I604" s="4"/>
    </row>
    <row r="605">
      <c r="C605" s="4"/>
      <c r="D605" s="5"/>
      <c r="E605" s="4"/>
      <c r="F605" s="4"/>
      <c r="G605" s="4"/>
      <c r="H605" s="4"/>
      <c r="I605" s="4"/>
    </row>
    <row r="606">
      <c r="C606" s="4"/>
      <c r="D606" s="5"/>
      <c r="E606" s="4"/>
      <c r="F606" s="4"/>
      <c r="G606" s="4"/>
      <c r="H606" s="4"/>
      <c r="I606" s="4"/>
    </row>
    <row r="607">
      <c r="C607" s="4"/>
      <c r="D607" s="5"/>
      <c r="E607" s="4"/>
      <c r="F607" s="4"/>
      <c r="G607" s="4"/>
      <c r="H607" s="4"/>
      <c r="I607" s="4"/>
    </row>
    <row r="608">
      <c r="C608" s="4"/>
      <c r="D608" s="5"/>
      <c r="E608" s="4"/>
      <c r="F608" s="4"/>
      <c r="G608" s="4"/>
      <c r="H608" s="4"/>
      <c r="I608" s="4"/>
    </row>
    <row r="609">
      <c r="C609" s="4"/>
      <c r="D609" s="5"/>
      <c r="E609" s="4"/>
      <c r="F609" s="4"/>
      <c r="G609" s="4"/>
      <c r="H609" s="4"/>
      <c r="I609" s="4"/>
    </row>
    <row r="610">
      <c r="C610" s="4"/>
      <c r="D610" s="5"/>
      <c r="E610" s="4"/>
      <c r="F610" s="4"/>
      <c r="G610" s="4"/>
      <c r="H610" s="4"/>
      <c r="I610" s="4"/>
    </row>
    <row r="611">
      <c r="C611" s="4"/>
      <c r="D611" s="5"/>
      <c r="E611" s="4"/>
      <c r="F611" s="4"/>
      <c r="G611" s="4"/>
      <c r="H611" s="4"/>
      <c r="I611" s="4"/>
    </row>
    <row r="612">
      <c r="C612" s="4"/>
      <c r="D612" s="5"/>
      <c r="E612" s="4"/>
      <c r="F612" s="4"/>
      <c r="G612" s="4"/>
      <c r="H612" s="4"/>
      <c r="I612" s="4"/>
    </row>
    <row r="613">
      <c r="C613" s="4"/>
      <c r="D613" s="5"/>
      <c r="E613" s="4"/>
      <c r="F613" s="4"/>
      <c r="G613" s="4"/>
      <c r="H613" s="4"/>
      <c r="I613" s="4"/>
    </row>
    <row r="614">
      <c r="C614" s="4"/>
      <c r="D614" s="5"/>
      <c r="E614" s="4"/>
      <c r="F614" s="4"/>
      <c r="G614" s="4"/>
      <c r="H614" s="4"/>
      <c r="I614" s="4"/>
    </row>
    <row r="615">
      <c r="C615" s="4"/>
      <c r="D615" s="5"/>
      <c r="E615" s="4"/>
      <c r="F615" s="4"/>
      <c r="G615" s="4"/>
      <c r="H615" s="4"/>
      <c r="I615" s="4"/>
    </row>
    <row r="616">
      <c r="C616" s="4"/>
      <c r="D616" s="5"/>
      <c r="E616" s="4"/>
      <c r="F616" s="4"/>
      <c r="G616" s="4"/>
      <c r="H616" s="4"/>
      <c r="I616" s="4"/>
    </row>
    <row r="617">
      <c r="C617" s="4"/>
      <c r="D617" s="5"/>
      <c r="E617" s="4"/>
      <c r="F617" s="4"/>
      <c r="G617" s="4"/>
      <c r="H617" s="4"/>
      <c r="I617" s="4"/>
    </row>
    <row r="618">
      <c r="C618" s="4"/>
      <c r="D618" s="5"/>
      <c r="E618" s="4"/>
      <c r="F618" s="4"/>
      <c r="G618" s="4"/>
      <c r="H618" s="4"/>
      <c r="I618" s="4"/>
    </row>
    <row r="619">
      <c r="C619" s="4"/>
      <c r="D619" s="5"/>
      <c r="E619" s="4"/>
      <c r="F619" s="4"/>
      <c r="G619" s="4"/>
      <c r="H619" s="4"/>
      <c r="I619" s="4"/>
    </row>
    <row r="620">
      <c r="C620" s="4"/>
      <c r="D620" s="5"/>
      <c r="E620" s="4"/>
      <c r="F620" s="4"/>
      <c r="G620" s="4"/>
      <c r="H620" s="4"/>
      <c r="I620" s="4"/>
    </row>
    <row r="621">
      <c r="C621" s="4"/>
      <c r="D621" s="5"/>
      <c r="E621" s="4"/>
      <c r="F621" s="4"/>
      <c r="G621" s="4"/>
      <c r="H621" s="4"/>
      <c r="I621" s="4"/>
    </row>
    <row r="622">
      <c r="C622" s="4"/>
      <c r="D622" s="5"/>
      <c r="E622" s="4"/>
      <c r="F622" s="4"/>
      <c r="G622" s="4"/>
      <c r="H622" s="4"/>
      <c r="I622" s="4"/>
    </row>
    <row r="623">
      <c r="C623" s="4"/>
      <c r="D623" s="5"/>
      <c r="E623" s="4"/>
      <c r="F623" s="4"/>
      <c r="G623" s="4"/>
      <c r="H623" s="4"/>
      <c r="I623" s="4"/>
    </row>
    <row r="624">
      <c r="C624" s="4"/>
      <c r="D624" s="5"/>
      <c r="E624" s="4"/>
      <c r="F624" s="4"/>
      <c r="G624" s="4"/>
      <c r="H624" s="4"/>
      <c r="I624" s="4"/>
    </row>
    <row r="625">
      <c r="C625" s="4"/>
      <c r="D625" s="5"/>
      <c r="E625" s="4"/>
      <c r="F625" s="4"/>
      <c r="G625" s="4"/>
      <c r="H625" s="4"/>
      <c r="I625" s="4"/>
    </row>
    <row r="626">
      <c r="C626" s="4"/>
      <c r="D626" s="5"/>
      <c r="E626" s="4"/>
      <c r="F626" s="4"/>
      <c r="G626" s="4"/>
      <c r="H626" s="4"/>
      <c r="I626" s="4"/>
    </row>
    <row r="627">
      <c r="C627" s="4"/>
      <c r="D627" s="5"/>
      <c r="E627" s="4"/>
      <c r="F627" s="4"/>
      <c r="G627" s="4"/>
      <c r="H627" s="4"/>
      <c r="I627" s="4"/>
    </row>
    <row r="628">
      <c r="C628" s="4"/>
      <c r="D628" s="5"/>
      <c r="E628" s="4"/>
      <c r="F628" s="4"/>
      <c r="G628" s="4"/>
      <c r="H628" s="4"/>
      <c r="I628" s="4"/>
    </row>
    <row r="629">
      <c r="C629" s="4"/>
      <c r="D629" s="5"/>
      <c r="E629" s="4"/>
      <c r="F629" s="4"/>
      <c r="G629" s="4"/>
      <c r="H629" s="4"/>
      <c r="I629" s="4"/>
    </row>
    <row r="630">
      <c r="C630" s="4"/>
      <c r="D630" s="5"/>
      <c r="E630" s="4"/>
      <c r="F630" s="4"/>
      <c r="G630" s="4"/>
      <c r="H630" s="4"/>
      <c r="I630" s="4"/>
    </row>
    <row r="631">
      <c r="C631" s="4"/>
      <c r="D631" s="5"/>
      <c r="E631" s="4"/>
      <c r="F631" s="4"/>
      <c r="G631" s="4"/>
      <c r="H631" s="4"/>
      <c r="I631" s="4"/>
    </row>
    <row r="632">
      <c r="C632" s="4"/>
      <c r="D632" s="5"/>
      <c r="E632" s="4"/>
      <c r="F632" s="4"/>
      <c r="G632" s="4"/>
      <c r="H632" s="4"/>
      <c r="I632" s="4"/>
    </row>
    <row r="633">
      <c r="C633" s="4"/>
      <c r="D633" s="5"/>
      <c r="E633" s="4"/>
      <c r="F633" s="4"/>
      <c r="G633" s="4"/>
      <c r="H633" s="4"/>
      <c r="I633" s="4"/>
    </row>
    <row r="634">
      <c r="C634" s="4"/>
      <c r="D634" s="5"/>
      <c r="E634" s="4"/>
      <c r="F634" s="4"/>
      <c r="G634" s="4"/>
      <c r="H634" s="4"/>
      <c r="I634" s="4"/>
    </row>
    <row r="635">
      <c r="C635" s="4"/>
      <c r="D635" s="5"/>
      <c r="E635" s="4"/>
      <c r="F635" s="4"/>
      <c r="G635" s="4"/>
      <c r="H635" s="4"/>
      <c r="I635" s="4"/>
    </row>
    <row r="636">
      <c r="C636" s="4"/>
      <c r="D636" s="5"/>
      <c r="E636" s="4"/>
      <c r="F636" s="4"/>
      <c r="G636" s="4"/>
      <c r="H636" s="4"/>
      <c r="I636" s="4"/>
    </row>
    <row r="637">
      <c r="C637" s="4"/>
      <c r="D637" s="5"/>
      <c r="E637" s="4"/>
      <c r="F637" s="4"/>
      <c r="G637" s="4"/>
      <c r="H637" s="4"/>
      <c r="I637" s="4"/>
    </row>
    <row r="638">
      <c r="C638" s="4"/>
      <c r="D638" s="5"/>
      <c r="E638" s="4"/>
      <c r="F638" s="4"/>
      <c r="G638" s="4"/>
      <c r="H638" s="4"/>
      <c r="I638" s="4"/>
    </row>
    <row r="639">
      <c r="C639" s="4"/>
      <c r="D639" s="5"/>
      <c r="E639" s="4"/>
      <c r="F639" s="4"/>
      <c r="G639" s="4"/>
      <c r="H639" s="4"/>
      <c r="I639" s="4"/>
    </row>
    <row r="640">
      <c r="C640" s="4"/>
      <c r="D640" s="5"/>
      <c r="E640" s="4"/>
      <c r="F640" s="4"/>
      <c r="G640" s="4"/>
      <c r="H640" s="4"/>
      <c r="I640" s="4"/>
    </row>
    <row r="641">
      <c r="C641" s="4"/>
      <c r="D641" s="5"/>
      <c r="E641" s="4"/>
      <c r="F641" s="4"/>
      <c r="G641" s="4"/>
      <c r="H641" s="4"/>
      <c r="I641" s="4"/>
    </row>
    <row r="642">
      <c r="C642" s="4"/>
      <c r="D642" s="5"/>
      <c r="E642" s="4"/>
      <c r="F642" s="4"/>
      <c r="G642" s="4"/>
      <c r="H642" s="4"/>
      <c r="I642" s="4"/>
    </row>
    <row r="643">
      <c r="C643" s="4"/>
      <c r="D643" s="5"/>
      <c r="E643" s="4"/>
      <c r="F643" s="4"/>
      <c r="G643" s="4"/>
      <c r="H643" s="4"/>
      <c r="I643" s="4"/>
    </row>
    <row r="644">
      <c r="C644" s="4"/>
      <c r="D644" s="5"/>
      <c r="E644" s="4"/>
      <c r="F644" s="4"/>
      <c r="G644" s="4"/>
      <c r="H644" s="4"/>
      <c r="I644" s="4"/>
    </row>
    <row r="645">
      <c r="C645" s="4"/>
      <c r="D645" s="5"/>
      <c r="E645" s="4"/>
      <c r="F645" s="4"/>
      <c r="G645" s="4"/>
      <c r="H645" s="4"/>
      <c r="I645" s="4"/>
    </row>
    <row r="646">
      <c r="C646" s="4"/>
      <c r="D646" s="5"/>
      <c r="E646" s="4"/>
      <c r="F646" s="4"/>
      <c r="G646" s="4"/>
      <c r="H646" s="4"/>
      <c r="I646" s="4"/>
    </row>
    <row r="647">
      <c r="C647" s="4"/>
      <c r="D647" s="5"/>
      <c r="E647" s="4"/>
      <c r="F647" s="4"/>
      <c r="G647" s="4"/>
      <c r="H647" s="4"/>
      <c r="I647" s="4"/>
    </row>
    <row r="648">
      <c r="C648" s="4"/>
      <c r="D648" s="5"/>
      <c r="E648" s="4"/>
      <c r="F648" s="4"/>
      <c r="G648" s="4"/>
      <c r="H648" s="4"/>
      <c r="I648" s="4"/>
    </row>
    <row r="649">
      <c r="C649" s="4"/>
      <c r="D649" s="5"/>
      <c r="E649" s="4"/>
      <c r="F649" s="4"/>
      <c r="G649" s="4"/>
      <c r="H649" s="4"/>
      <c r="I649" s="4"/>
    </row>
    <row r="650">
      <c r="C650" s="4"/>
      <c r="D650" s="5"/>
      <c r="E650" s="4"/>
      <c r="F650" s="4"/>
      <c r="G650" s="4"/>
      <c r="H650" s="4"/>
      <c r="I650" s="4"/>
    </row>
    <row r="651">
      <c r="C651" s="4"/>
      <c r="D651" s="5"/>
      <c r="E651" s="4"/>
      <c r="F651" s="4"/>
      <c r="G651" s="4"/>
      <c r="H651" s="4"/>
      <c r="I651" s="4"/>
    </row>
    <row r="652">
      <c r="C652" s="4"/>
      <c r="D652" s="5"/>
      <c r="E652" s="4"/>
      <c r="F652" s="4"/>
      <c r="G652" s="4"/>
      <c r="H652" s="4"/>
      <c r="I652" s="4"/>
    </row>
    <row r="653">
      <c r="C653" s="4"/>
      <c r="D653" s="5"/>
      <c r="E653" s="4"/>
      <c r="F653" s="4"/>
      <c r="G653" s="4"/>
      <c r="H653" s="4"/>
      <c r="I653" s="4"/>
    </row>
    <row r="654">
      <c r="C654" s="4"/>
      <c r="D654" s="5"/>
      <c r="E654" s="4"/>
      <c r="F654" s="4"/>
      <c r="G654" s="4"/>
      <c r="H654" s="4"/>
      <c r="I654" s="4"/>
    </row>
    <row r="655">
      <c r="C655" s="4"/>
      <c r="D655" s="5"/>
      <c r="E655" s="4"/>
      <c r="F655" s="4"/>
      <c r="G655" s="4"/>
      <c r="H655" s="4"/>
      <c r="I655" s="4"/>
    </row>
    <row r="656">
      <c r="C656" s="4"/>
      <c r="D656" s="5"/>
      <c r="E656" s="4"/>
      <c r="F656" s="4"/>
      <c r="G656" s="4"/>
      <c r="H656" s="4"/>
      <c r="I656" s="4"/>
    </row>
    <row r="657">
      <c r="C657" s="4"/>
      <c r="D657" s="5"/>
      <c r="E657" s="4"/>
      <c r="F657" s="4"/>
      <c r="G657" s="4"/>
      <c r="H657" s="4"/>
      <c r="I657" s="4"/>
    </row>
    <row r="658">
      <c r="C658" s="4"/>
      <c r="D658" s="5"/>
      <c r="E658" s="4"/>
      <c r="F658" s="4"/>
      <c r="G658" s="4"/>
      <c r="H658" s="4"/>
      <c r="I658" s="4"/>
    </row>
    <row r="659">
      <c r="C659" s="4"/>
      <c r="D659" s="5"/>
      <c r="E659" s="4"/>
      <c r="F659" s="4"/>
      <c r="G659" s="4"/>
      <c r="H659" s="4"/>
      <c r="I659" s="4"/>
    </row>
    <row r="660">
      <c r="C660" s="4"/>
      <c r="D660" s="5"/>
      <c r="E660" s="4"/>
      <c r="F660" s="4"/>
      <c r="G660" s="4"/>
      <c r="H660" s="4"/>
      <c r="I660" s="4"/>
    </row>
    <row r="661">
      <c r="C661" s="4"/>
      <c r="D661" s="5"/>
      <c r="E661" s="4"/>
      <c r="F661" s="4"/>
      <c r="G661" s="4"/>
      <c r="H661" s="4"/>
      <c r="I661" s="4"/>
    </row>
    <row r="662">
      <c r="C662" s="4"/>
      <c r="D662" s="5"/>
      <c r="E662" s="4"/>
      <c r="F662" s="4"/>
      <c r="G662" s="4"/>
      <c r="H662" s="4"/>
      <c r="I662" s="4"/>
    </row>
    <row r="663">
      <c r="C663" s="4"/>
      <c r="D663" s="5"/>
      <c r="E663" s="4"/>
      <c r="F663" s="4"/>
      <c r="G663" s="4"/>
      <c r="H663" s="4"/>
      <c r="I663" s="4"/>
    </row>
    <row r="664">
      <c r="C664" s="4"/>
      <c r="D664" s="5"/>
      <c r="E664" s="4"/>
      <c r="F664" s="4"/>
      <c r="G664" s="4"/>
      <c r="H664" s="4"/>
      <c r="I664" s="4"/>
    </row>
    <row r="665">
      <c r="C665" s="4"/>
      <c r="D665" s="5"/>
      <c r="E665" s="4"/>
      <c r="F665" s="4"/>
      <c r="G665" s="4"/>
      <c r="H665" s="4"/>
      <c r="I665" s="4"/>
    </row>
    <row r="666">
      <c r="C666" s="4"/>
      <c r="D666" s="5"/>
      <c r="E666" s="4"/>
      <c r="F666" s="4"/>
      <c r="G666" s="4"/>
      <c r="H666" s="4"/>
      <c r="I666" s="4"/>
    </row>
    <row r="667">
      <c r="C667" s="4"/>
      <c r="D667" s="5"/>
      <c r="E667" s="4"/>
      <c r="F667" s="4"/>
      <c r="G667" s="4"/>
      <c r="H667" s="4"/>
      <c r="I667" s="4"/>
    </row>
    <row r="668">
      <c r="C668" s="4"/>
      <c r="D668" s="5"/>
      <c r="E668" s="4"/>
      <c r="F668" s="4"/>
      <c r="G668" s="4"/>
      <c r="H668" s="4"/>
      <c r="I668" s="4"/>
    </row>
    <row r="669">
      <c r="C669" s="4"/>
      <c r="D669" s="5"/>
      <c r="E669" s="4"/>
      <c r="F669" s="4"/>
      <c r="G669" s="4"/>
      <c r="H669" s="4"/>
      <c r="I669" s="4"/>
    </row>
    <row r="670">
      <c r="C670" s="4"/>
      <c r="D670" s="5"/>
      <c r="E670" s="4"/>
      <c r="F670" s="4"/>
      <c r="G670" s="4"/>
      <c r="H670" s="4"/>
      <c r="I670" s="4"/>
    </row>
    <row r="671">
      <c r="C671" s="4"/>
      <c r="D671" s="5"/>
      <c r="E671" s="4"/>
      <c r="F671" s="4"/>
      <c r="G671" s="4"/>
      <c r="H671" s="4"/>
      <c r="I671" s="4"/>
    </row>
    <row r="672">
      <c r="C672" s="4"/>
      <c r="D672" s="5"/>
      <c r="E672" s="4"/>
      <c r="F672" s="4"/>
      <c r="G672" s="4"/>
      <c r="H672" s="4"/>
      <c r="I672" s="4"/>
    </row>
    <row r="673">
      <c r="C673" s="4"/>
      <c r="D673" s="5"/>
      <c r="E673" s="4"/>
      <c r="F673" s="4"/>
      <c r="G673" s="4"/>
      <c r="H673" s="4"/>
      <c r="I673" s="4"/>
    </row>
    <row r="674">
      <c r="C674" s="4"/>
      <c r="D674" s="5"/>
      <c r="E674" s="4"/>
      <c r="F674" s="4"/>
      <c r="G674" s="4"/>
      <c r="H674" s="4"/>
      <c r="I674" s="4"/>
    </row>
    <row r="675">
      <c r="C675" s="4"/>
      <c r="D675" s="5"/>
      <c r="E675" s="4"/>
      <c r="F675" s="4"/>
      <c r="G675" s="4"/>
      <c r="H675" s="4"/>
      <c r="I675" s="4"/>
    </row>
    <row r="676">
      <c r="C676" s="4"/>
      <c r="D676" s="5"/>
      <c r="E676" s="4"/>
      <c r="F676" s="4"/>
      <c r="G676" s="4"/>
      <c r="H676" s="4"/>
      <c r="I676" s="4"/>
    </row>
    <row r="677">
      <c r="C677" s="4"/>
      <c r="D677" s="5"/>
      <c r="E677" s="4"/>
      <c r="F677" s="4"/>
      <c r="G677" s="4"/>
      <c r="H677" s="4"/>
      <c r="I677" s="4"/>
    </row>
    <row r="678">
      <c r="C678" s="4"/>
      <c r="D678" s="5"/>
      <c r="E678" s="4"/>
      <c r="F678" s="4"/>
      <c r="G678" s="4"/>
      <c r="H678" s="4"/>
      <c r="I678" s="4"/>
    </row>
    <row r="679">
      <c r="C679" s="4"/>
      <c r="D679" s="5"/>
      <c r="E679" s="4"/>
      <c r="F679" s="4"/>
      <c r="G679" s="4"/>
      <c r="H679" s="4"/>
      <c r="I679" s="4"/>
    </row>
    <row r="680">
      <c r="C680" s="4"/>
      <c r="D680" s="5"/>
      <c r="E680" s="4"/>
      <c r="F680" s="4"/>
      <c r="G680" s="4"/>
      <c r="H680" s="4"/>
      <c r="I680" s="4"/>
    </row>
    <row r="681">
      <c r="C681" s="4"/>
      <c r="D681" s="5"/>
      <c r="E681" s="4"/>
      <c r="F681" s="4"/>
      <c r="G681" s="4"/>
      <c r="H681" s="4"/>
      <c r="I681" s="4"/>
    </row>
    <row r="682">
      <c r="C682" s="4"/>
      <c r="D682" s="5"/>
      <c r="E682" s="4"/>
      <c r="F682" s="4"/>
      <c r="G682" s="4"/>
      <c r="H682" s="4"/>
      <c r="I682" s="4"/>
    </row>
    <row r="683">
      <c r="C683" s="4"/>
      <c r="D683" s="5"/>
      <c r="E683" s="4"/>
      <c r="F683" s="4"/>
      <c r="G683" s="4"/>
      <c r="H683" s="4"/>
      <c r="I683" s="4"/>
    </row>
    <row r="684">
      <c r="C684" s="4"/>
      <c r="D684" s="5"/>
      <c r="E684" s="4"/>
      <c r="F684" s="4"/>
      <c r="G684" s="4"/>
      <c r="H684" s="4"/>
      <c r="I684" s="4"/>
    </row>
    <row r="685">
      <c r="C685" s="4"/>
      <c r="D685" s="5"/>
      <c r="E685" s="4"/>
      <c r="F685" s="4"/>
      <c r="G685" s="4"/>
      <c r="H685" s="4"/>
      <c r="I685" s="4"/>
    </row>
    <row r="686">
      <c r="C686" s="4"/>
      <c r="D686" s="5"/>
      <c r="E686" s="4"/>
      <c r="F686" s="4"/>
      <c r="G686" s="4"/>
      <c r="H686" s="4"/>
      <c r="I686" s="4"/>
    </row>
    <row r="687">
      <c r="C687" s="4"/>
      <c r="D687" s="5"/>
      <c r="E687" s="4"/>
      <c r="F687" s="4"/>
      <c r="G687" s="4"/>
      <c r="H687" s="4"/>
      <c r="I687" s="4"/>
    </row>
    <row r="688">
      <c r="C688" s="4"/>
      <c r="D688" s="5"/>
      <c r="E688" s="4"/>
      <c r="F688" s="4"/>
      <c r="G688" s="4"/>
      <c r="H688" s="4"/>
      <c r="I688" s="4"/>
    </row>
    <row r="689">
      <c r="C689" s="4"/>
      <c r="D689" s="5"/>
      <c r="E689" s="4"/>
      <c r="F689" s="4"/>
      <c r="G689" s="4"/>
      <c r="H689" s="4"/>
      <c r="I689" s="4"/>
    </row>
    <row r="690">
      <c r="C690" s="4"/>
      <c r="D690" s="5"/>
      <c r="E690" s="4"/>
      <c r="F690" s="4"/>
      <c r="G690" s="4"/>
      <c r="H690" s="4"/>
      <c r="I690" s="4"/>
    </row>
    <row r="691">
      <c r="C691" s="4"/>
      <c r="D691" s="5"/>
      <c r="E691" s="4"/>
      <c r="F691" s="4"/>
      <c r="G691" s="4"/>
      <c r="H691" s="4"/>
      <c r="I691" s="4"/>
    </row>
    <row r="692">
      <c r="C692" s="4"/>
      <c r="D692" s="5"/>
      <c r="E692" s="4"/>
      <c r="F692" s="4"/>
      <c r="G692" s="4"/>
      <c r="H692" s="4"/>
      <c r="I692" s="4"/>
    </row>
    <row r="693">
      <c r="C693" s="4"/>
      <c r="D693" s="5"/>
      <c r="E693" s="4"/>
      <c r="F693" s="4"/>
      <c r="G693" s="4"/>
      <c r="H693" s="4"/>
      <c r="I693" s="4"/>
    </row>
    <row r="694">
      <c r="C694" s="4"/>
      <c r="D694" s="5"/>
      <c r="E694" s="4"/>
      <c r="F694" s="4"/>
      <c r="G694" s="4"/>
      <c r="H694" s="4"/>
      <c r="I694" s="4"/>
    </row>
    <row r="695">
      <c r="C695" s="4"/>
      <c r="D695" s="5"/>
      <c r="E695" s="4"/>
      <c r="F695" s="4"/>
      <c r="G695" s="4"/>
      <c r="H695" s="4"/>
      <c r="I695" s="4"/>
    </row>
    <row r="696">
      <c r="C696" s="4"/>
      <c r="D696" s="5"/>
      <c r="E696" s="4"/>
      <c r="F696" s="4"/>
      <c r="G696" s="4"/>
      <c r="H696" s="4"/>
      <c r="I696" s="4"/>
    </row>
    <row r="697">
      <c r="C697" s="4"/>
      <c r="D697" s="5"/>
      <c r="E697" s="4"/>
      <c r="F697" s="4"/>
      <c r="G697" s="4"/>
      <c r="H697" s="4"/>
      <c r="I697" s="4"/>
    </row>
    <row r="698">
      <c r="C698" s="4"/>
      <c r="D698" s="5"/>
      <c r="E698" s="4"/>
      <c r="F698" s="4"/>
      <c r="G698" s="4"/>
      <c r="H698" s="4"/>
      <c r="I698" s="4"/>
    </row>
    <row r="699">
      <c r="C699" s="4"/>
      <c r="D699" s="5"/>
      <c r="E699" s="4"/>
      <c r="F699" s="4"/>
      <c r="G699" s="4"/>
      <c r="H699" s="4"/>
      <c r="I699" s="4"/>
    </row>
    <row r="700">
      <c r="C700" s="4"/>
      <c r="D700" s="5"/>
      <c r="E700" s="4"/>
      <c r="F700" s="4"/>
      <c r="G700" s="4"/>
      <c r="H700" s="4"/>
      <c r="I700" s="4"/>
    </row>
    <row r="701">
      <c r="C701" s="4"/>
      <c r="D701" s="5"/>
      <c r="E701" s="4"/>
      <c r="F701" s="4"/>
      <c r="G701" s="4"/>
      <c r="H701" s="4"/>
      <c r="I701" s="4"/>
    </row>
    <row r="702">
      <c r="C702" s="4"/>
      <c r="D702" s="5"/>
      <c r="E702" s="4"/>
      <c r="F702" s="4"/>
      <c r="G702" s="4"/>
      <c r="H702" s="4"/>
      <c r="I702" s="4"/>
    </row>
    <row r="703">
      <c r="C703" s="4"/>
      <c r="D703" s="5"/>
      <c r="E703" s="4"/>
      <c r="F703" s="4"/>
      <c r="G703" s="4"/>
      <c r="H703" s="4"/>
      <c r="I703" s="4"/>
    </row>
    <row r="704">
      <c r="C704" s="4"/>
      <c r="D704" s="5"/>
      <c r="E704" s="4"/>
      <c r="F704" s="4"/>
      <c r="G704" s="4"/>
      <c r="H704" s="4"/>
      <c r="I704" s="4"/>
    </row>
    <row r="705">
      <c r="C705" s="4"/>
      <c r="D705" s="5"/>
      <c r="E705" s="4"/>
      <c r="F705" s="4"/>
      <c r="G705" s="4"/>
      <c r="H705" s="4"/>
      <c r="I705" s="4"/>
    </row>
    <row r="706">
      <c r="C706" s="4"/>
      <c r="D706" s="5"/>
      <c r="E706" s="4"/>
      <c r="F706" s="4"/>
      <c r="G706" s="4"/>
      <c r="H706" s="4"/>
      <c r="I706" s="4"/>
    </row>
    <row r="707">
      <c r="C707" s="4"/>
      <c r="D707" s="5"/>
      <c r="E707" s="4"/>
      <c r="F707" s="4"/>
      <c r="G707" s="4"/>
      <c r="H707" s="4"/>
      <c r="I707" s="4"/>
    </row>
    <row r="708">
      <c r="C708" s="4"/>
      <c r="D708" s="5"/>
      <c r="E708" s="4"/>
      <c r="F708" s="4"/>
      <c r="G708" s="4"/>
      <c r="H708" s="4"/>
      <c r="I708" s="4"/>
    </row>
    <row r="709">
      <c r="C709" s="4"/>
      <c r="D709" s="5"/>
      <c r="E709" s="4"/>
      <c r="F709" s="4"/>
      <c r="G709" s="4"/>
      <c r="H709" s="4"/>
      <c r="I709" s="4"/>
    </row>
    <row r="710">
      <c r="C710" s="4"/>
      <c r="D710" s="5"/>
      <c r="E710" s="4"/>
      <c r="F710" s="4"/>
      <c r="G710" s="4"/>
      <c r="H710" s="4"/>
      <c r="I710" s="4"/>
    </row>
    <row r="711">
      <c r="C711" s="4"/>
      <c r="D711" s="5"/>
      <c r="E711" s="4"/>
      <c r="F711" s="4"/>
      <c r="G711" s="4"/>
      <c r="H711" s="4"/>
      <c r="I711" s="4"/>
    </row>
    <row r="712">
      <c r="C712" s="4"/>
      <c r="D712" s="5"/>
      <c r="E712" s="4"/>
      <c r="F712" s="4"/>
      <c r="G712" s="4"/>
      <c r="H712" s="4"/>
      <c r="I712" s="4"/>
    </row>
    <row r="713">
      <c r="C713" s="4"/>
      <c r="D713" s="5"/>
      <c r="E713" s="4"/>
      <c r="F713" s="4"/>
      <c r="G713" s="4"/>
      <c r="H713" s="4"/>
      <c r="I713" s="4"/>
    </row>
    <row r="714">
      <c r="C714" s="4"/>
      <c r="D714" s="5"/>
      <c r="E714" s="4"/>
      <c r="F714" s="4"/>
      <c r="G714" s="4"/>
      <c r="H714" s="4"/>
      <c r="I714" s="4"/>
    </row>
    <row r="715">
      <c r="C715" s="4"/>
      <c r="D715" s="5"/>
      <c r="E715" s="4"/>
      <c r="F715" s="4"/>
      <c r="G715" s="4"/>
      <c r="H715" s="4"/>
      <c r="I715" s="4"/>
    </row>
    <row r="716">
      <c r="C716" s="4"/>
      <c r="D716" s="5"/>
      <c r="E716" s="4"/>
      <c r="F716" s="4"/>
      <c r="G716" s="4"/>
      <c r="H716" s="4"/>
      <c r="I716" s="4"/>
    </row>
    <row r="717">
      <c r="C717" s="4"/>
      <c r="D717" s="5"/>
      <c r="E717" s="4"/>
      <c r="F717" s="4"/>
      <c r="G717" s="4"/>
      <c r="H717" s="4"/>
      <c r="I717" s="4"/>
    </row>
    <row r="718">
      <c r="C718" s="4"/>
      <c r="D718" s="5"/>
      <c r="E718" s="4"/>
      <c r="F718" s="4"/>
      <c r="G718" s="4"/>
      <c r="H718" s="4"/>
      <c r="I718" s="4"/>
    </row>
    <row r="719">
      <c r="C719" s="4"/>
      <c r="D719" s="5"/>
      <c r="E719" s="4"/>
      <c r="F719" s="4"/>
      <c r="G719" s="4"/>
      <c r="H719" s="4"/>
      <c r="I719" s="4"/>
    </row>
    <row r="720">
      <c r="C720" s="4"/>
      <c r="D720" s="5"/>
      <c r="E720" s="4"/>
      <c r="F720" s="4"/>
      <c r="G720" s="4"/>
      <c r="H720" s="4"/>
      <c r="I720" s="4"/>
    </row>
    <row r="721">
      <c r="C721" s="4"/>
      <c r="D721" s="5"/>
      <c r="E721" s="4"/>
      <c r="F721" s="4"/>
      <c r="G721" s="4"/>
      <c r="H721" s="4"/>
      <c r="I721" s="4"/>
    </row>
    <row r="722">
      <c r="C722" s="4"/>
      <c r="D722" s="5"/>
      <c r="E722" s="4"/>
      <c r="F722" s="4"/>
      <c r="G722" s="4"/>
      <c r="H722" s="4"/>
      <c r="I722" s="4"/>
    </row>
    <row r="723">
      <c r="C723" s="4"/>
      <c r="D723" s="5"/>
      <c r="E723" s="4"/>
      <c r="F723" s="4"/>
      <c r="G723" s="4"/>
      <c r="H723" s="4"/>
      <c r="I723" s="4"/>
    </row>
    <row r="724">
      <c r="C724" s="4"/>
      <c r="D724" s="5"/>
      <c r="E724" s="4"/>
      <c r="F724" s="4"/>
      <c r="G724" s="4"/>
      <c r="H724" s="4"/>
      <c r="I724" s="4"/>
    </row>
    <row r="725">
      <c r="C725" s="4"/>
      <c r="D725" s="5"/>
      <c r="E725" s="4"/>
      <c r="F725" s="4"/>
      <c r="G725" s="4"/>
      <c r="H725" s="4"/>
      <c r="I725" s="4"/>
    </row>
    <row r="726">
      <c r="C726" s="4"/>
      <c r="D726" s="5"/>
      <c r="E726" s="4"/>
      <c r="F726" s="4"/>
      <c r="G726" s="4"/>
      <c r="H726" s="4"/>
      <c r="I726" s="4"/>
    </row>
    <row r="727">
      <c r="C727" s="4"/>
      <c r="D727" s="5"/>
      <c r="E727" s="4"/>
      <c r="F727" s="4"/>
      <c r="G727" s="4"/>
      <c r="H727" s="4"/>
      <c r="I727" s="4"/>
    </row>
    <row r="728">
      <c r="C728" s="4"/>
      <c r="D728" s="5"/>
      <c r="E728" s="4"/>
      <c r="F728" s="4"/>
      <c r="G728" s="4"/>
      <c r="H728" s="4"/>
      <c r="I728" s="4"/>
    </row>
    <row r="729">
      <c r="C729" s="4"/>
      <c r="D729" s="5"/>
      <c r="E729" s="4"/>
      <c r="F729" s="4"/>
      <c r="G729" s="4"/>
      <c r="H729" s="4"/>
      <c r="I729" s="4"/>
    </row>
    <row r="730">
      <c r="C730" s="4"/>
      <c r="D730" s="5"/>
      <c r="E730" s="4"/>
      <c r="F730" s="4"/>
      <c r="G730" s="4"/>
      <c r="H730" s="4"/>
      <c r="I730" s="4"/>
    </row>
    <row r="731">
      <c r="C731" s="4"/>
      <c r="D731" s="5"/>
      <c r="E731" s="4"/>
      <c r="F731" s="4"/>
      <c r="G731" s="4"/>
      <c r="H731" s="4"/>
      <c r="I731" s="4"/>
    </row>
    <row r="732">
      <c r="C732" s="4"/>
      <c r="D732" s="5"/>
      <c r="E732" s="4"/>
      <c r="F732" s="4"/>
      <c r="G732" s="4"/>
      <c r="H732" s="4"/>
      <c r="I732" s="4"/>
    </row>
    <row r="733">
      <c r="C733" s="4"/>
      <c r="D733" s="5"/>
      <c r="E733" s="4"/>
      <c r="F733" s="4"/>
      <c r="G733" s="4"/>
      <c r="H733" s="4"/>
      <c r="I733" s="4"/>
    </row>
    <row r="734">
      <c r="C734" s="4"/>
      <c r="D734" s="5"/>
      <c r="E734" s="4"/>
      <c r="F734" s="4"/>
      <c r="G734" s="4"/>
      <c r="H734" s="4"/>
      <c r="I734" s="4"/>
    </row>
    <row r="735">
      <c r="C735" s="4"/>
      <c r="D735" s="5"/>
      <c r="E735" s="4"/>
      <c r="F735" s="4"/>
      <c r="G735" s="4"/>
      <c r="H735" s="4"/>
      <c r="I735" s="4"/>
    </row>
    <row r="736">
      <c r="C736" s="4"/>
      <c r="D736" s="5"/>
      <c r="E736" s="4"/>
      <c r="F736" s="4"/>
      <c r="G736" s="4"/>
      <c r="H736" s="4"/>
      <c r="I736" s="4"/>
    </row>
    <row r="737">
      <c r="C737" s="4"/>
      <c r="D737" s="5"/>
      <c r="E737" s="4"/>
      <c r="F737" s="4"/>
      <c r="G737" s="4"/>
      <c r="H737" s="4"/>
      <c r="I737" s="4"/>
    </row>
    <row r="738">
      <c r="C738" s="4"/>
      <c r="D738" s="5"/>
      <c r="E738" s="4"/>
      <c r="F738" s="4"/>
      <c r="G738" s="4"/>
      <c r="H738" s="4"/>
      <c r="I738" s="4"/>
    </row>
    <row r="739">
      <c r="C739" s="4"/>
      <c r="D739" s="5"/>
      <c r="E739" s="4"/>
      <c r="F739" s="4"/>
      <c r="G739" s="4"/>
      <c r="H739" s="4"/>
      <c r="I739" s="4"/>
    </row>
    <row r="740">
      <c r="C740" s="4"/>
      <c r="D740" s="5"/>
      <c r="E740" s="4"/>
      <c r="F740" s="4"/>
      <c r="G740" s="4"/>
      <c r="H740" s="4"/>
      <c r="I740" s="4"/>
    </row>
    <row r="741">
      <c r="C741" s="4"/>
      <c r="D741" s="5"/>
      <c r="E741" s="4"/>
      <c r="F741" s="4"/>
      <c r="G741" s="4"/>
      <c r="H741" s="4"/>
      <c r="I741" s="4"/>
    </row>
    <row r="742">
      <c r="C742" s="4"/>
      <c r="D742" s="5"/>
      <c r="E742" s="4"/>
      <c r="F742" s="4"/>
      <c r="G742" s="4"/>
      <c r="H742" s="4"/>
      <c r="I742" s="4"/>
    </row>
    <row r="743">
      <c r="C743" s="4"/>
      <c r="D743" s="5"/>
      <c r="E743" s="4"/>
      <c r="F743" s="4"/>
      <c r="G743" s="4"/>
      <c r="H743" s="4"/>
      <c r="I743" s="4"/>
    </row>
    <row r="744">
      <c r="C744" s="4"/>
      <c r="D744" s="5"/>
      <c r="E744" s="4"/>
      <c r="F744" s="4"/>
      <c r="G744" s="4"/>
      <c r="H744" s="4"/>
      <c r="I744" s="4"/>
    </row>
    <row r="745">
      <c r="C745" s="4"/>
      <c r="D745" s="5"/>
      <c r="E745" s="4"/>
      <c r="F745" s="4"/>
      <c r="G745" s="4"/>
      <c r="H745" s="4"/>
      <c r="I745" s="4"/>
    </row>
    <row r="746">
      <c r="C746" s="4"/>
      <c r="D746" s="5"/>
      <c r="E746" s="4"/>
      <c r="F746" s="4"/>
      <c r="G746" s="4"/>
      <c r="H746" s="4"/>
      <c r="I746" s="4"/>
    </row>
    <row r="747">
      <c r="C747" s="4"/>
      <c r="D747" s="5"/>
      <c r="E747" s="4"/>
      <c r="F747" s="4"/>
      <c r="G747" s="4"/>
      <c r="H747" s="4"/>
      <c r="I747" s="4"/>
    </row>
    <row r="748">
      <c r="C748" s="4"/>
      <c r="D748" s="5"/>
      <c r="E748" s="4"/>
      <c r="F748" s="4"/>
      <c r="G748" s="4"/>
      <c r="H748" s="4"/>
      <c r="I748" s="4"/>
    </row>
    <row r="749">
      <c r="C749" s="4"/>
      <c r="D749" s="5"/>
      <c r="E749" s="4"/>
      <c r="F749" s="4"/>
      <c r="G749" s="4"/>
      <c r="H749" s="4"/>
      <c r="I749" s="4"/>
    </row>
    <row r="750">
      <c r="C750" s="4"/>
      <c r="D750" s="5"/>
      <c r="E750" s="4"/>
      <c r="F750" s="4"/>
      <c r="G750" s="4"/>
      <c r="H750" s="4"/>
      <c r="I750" s="4"/>
    </row>
    <row r="751">
      <c r="C751" s="4"/>
      <c r="D751" s="5"/>
      <c r="E751" s="4"/>
      <c r="F751" s="4"/>
      <c r="G751" s="4"/>
      <c r="H751" s="4"/>
      <c r="I751" s="4"/>
    </row>
    <row r="752">
      <c r="C752" s="4"/>
      <c r="D752" s="5"/>
      <c r="E752" s="4"/>
      <c r="F752" s="4"/>
      <c r="G752" s="4"/>
      <c r="H752" s="4"/>
      <c r="I752" s="4"/>
    </row>
    <row r="753">
      <c r="C753" s="4"/>
      <c r="D753" s="5"/>
      <c r="E753" s="4"/>
      <c r="F753" s="4"/>
      <c r="G753" s="4"/>
      <c r="H753" s="4"/>
      <c r="I753" s="4"/>
    </row>
    <row r="754">
      <c r="C754" s="4"/>
      <c r="D754" s="5"/>
      <c r="E754" s="4"/>
      <c r="F754" s="4"/>
      <c r="G754" s="4"/>
      <c r="H754" s="4"/>
      <c r="I754" s="4"/>
    </row>
    <row r="755">
      <c r="C755" s="4"/>
      <c r="D755" s="5"/>
      <c r="E755" s="4"/>
      <c r="F755" s="4"/>
      <c r="G755" s="4"/>
      <c r="H755" s="4"/>
      <c r="I755" s="4"/>
    </row>
    <row r="756">
      <c r="C756" s="4"/>
      <c r="D756" s="5"/>
      <c r="E756" s="4"/>
      <c r="F756" s="4"/>
      <c r="G756" s="4"/>
      <c r="H756" s="4"/>
      <c r="I756" s="4"/>
    </row>
    <row r="757">
      <c r="C757" s="4"/>
      <c r="D757" s="5"/>
      <c r="E757" s="4"/>
      <c r="F757" s="4"/>
      <c r="G757" s="4"/>
      <c r="H757" s="4"/>
      <c r="I757" s="4"/>
    </row>
    <row r="758">
      <c r="C758" s="4"/>
      <c r="D758" s="5"/>
      <c r="E758" s="4"/>
      <c r="F758" s="4"/>
      <c r="G758" s="4"/>
      <c r="H758" s="4"/>
      <c r="I758" s="4"/>
    </row>
    <row r="759">
      <c r="C759" s="4"/>
      <c r="D759" s="5"/>
      <c r="E759" s="4"/>
      <c r="F759" s="4"/>
      <c r="G759" s="4"/>
      <c r="H759" s="4"/>
      <c r="I759" s="4"/>
    </row>
    <row r="760">
      <c r="C760" s="4"/>
      <c r="D760" s="5"/>
      <c r="E760" s="4"/>
      <c r="F760" s="4"/>
      <c r="G760" s="4"/>
      <c r="H760" s="4"/>
      <c r="I760" s="4"/>
    </row>
    <row r="761">
      <c r="C761" s="4"/>
      <c r="D761" s="5"/>
      <c r="E761" s="4"/>
      <c r="F761" s="4"/>
      <c r="G761" s="4"/>
      <c r="H761" s="4"/>
      <c r="I761" s="4"/>
    </row>
    <row r="762">
      <c r="C762" s="4"/>
      <c r="D762" s="5"/>
      <c r="E762" s="4"/>
      <c r="F762" s="4"/>
      <c r="G762" s="4"/>
      <c r="H762" s="4"/>
      <c r="I762" s="4"/>
    </row>
    <row r="763">
      <c r="C763" s="4"/>
      <c r="D763" s="5"/>
      <c r="E763" s="4"/>
      <c r="F763" s="4"/>
      <c r="G763" s="4"/>
      <c r="H763" s="4"/>
      <c r="I763" s="4"/>
    </row>
    <row r="764">
      <c r="C764" s="4"/>
      <c r="D764" s="5"/>
      <c r="E764" s="4"/>
      <c r="F764" s="4"/>
      <c r="G764" s="4"/>
      <c r="H764" s="4"/>
      <c r="I764" s="4"/>
    </row>
    <row r="765">
      <c r="C765" s="4"/>
      <c r="D765" s="5"/>
      <c r="E765" s="4"/>
      <c r="F765" s="4"/>
      <c r="G765" s="4"/>
      <c r="H765" s="4"/>
      <c r="I765" s="4"/>
    </row>
    <row r="766">
      <c r="C766" s="4"/>
      <c r="D766" s="5"/>
      <c r="E766" s="4"/>
      <c r="F766" s="4"/>
      <c r="G766" s="4"/>
      <c r="H766" s="4"/>
      <c r="I766" s="4"/>
    </row>
    <row r="767">
      <c r="C767" s="4"/>
      <c r="D767" s="5"/>
      <c r="E767" s="4"/>
      <c r="F767" s="4"/>
      <c r="G767" s="4"/>
      <c r="H767" s="4"/>
      <c r="I767" s="4"/>
    </row>
    <row r="768">
      <c r="C768" s="4"/>
      <c r="D768" s="5"/>
      <c r="E768" s="4"/>
      <c r="F768" s="4"/>
      <c r="G768" s="4"/>
      <c r="H768" s="4"/>
      <c r="I768" s="4"/>
    </row>
    <row r="769">
      <c r="C769" s="4"/>
      <c r="D769" s="5"/>
      <c r="E769" s="4"/>
      <c r="F769" s="4"/>
      <c r="G769" s="4"/>
      <c r="H769" s="4"/>
      <c r="I769" s="4"/>
    </row>
    <row r="770">
      <c r="C770" s="4"/>
      <c r="D770" s="5"/>
      <c r="E770" s="4"/>
      <c r="F770" s="4"/>
      <c r="G770" s="4"/>
      <c r="H770" s="4"/>
      <c r="I770" s="4"/>
    </row>
    <row r="771">
      <c r="C771" s="4"/>
      <c r="D771" s="5"/>
      <c r="E771" s="4"/>
      <c r="F771" s="4"/>
      <c r="G771" s="4"/>
      <c r="H771" s="4"/>
      <c r="I771" s="4"/>
    </row>
    <row r="772">
      <c r="C772" s="4"/>
      <c r="D772" s="5"/>
      <c r="E772" s="4"/>
      <c r="F772" s="4"/>
      <c r="G772" s="4"/>
      <c r="H772" s="4"/>
      <c r="I772" s="4"/>
    </row>
    <row r="773">
      <c r="C773" s="4"/>
      <c r="D773" s="5"/>
      <c r="E773" s="4"/>
      <c r="F773" s="4"/>
      <c r="G773" s="4"/>
      <c r="H773" s="4"/>
      <c r="I773" s="4"/>
    </row>
    <row r="774">
      <c r="C774" s="4"/>
      <c r="D774" s="5"/>
      <c r="E774" s="4"/>
      <c r="F774" s="4"/>
      <c r="G774" s="4"/>
      <c r="H774" s="4"/>
      <c r="I774" s="4"/>
    </row>
    <row r="775">
      <c r="C775" s="4"/>
      <c r="D775" s="5"/>
      <c r="E775" s="4"/>
      <c r="F775" s="4"/>
      <c r="G775" s="4"/>
      <c r="H775" s="4"/>
      <c r="I775" s="4"/>
    </row>
    <row r="776">
      <c r="C776" s="4"/>
      <c r="D776" s="5"/>
      <c r="E776" s="4"/>
      <c r="F776" s="4"/>
      <c r="G776" s="4"/>
      <c r="H776" s="4"/>
      <c r="I776" s="4"/>
    </row>
    <row r="777">
      <c r="C777" s="4"/>
      <c r="D777" s="5"/>
      <c r="E777" s="4"/>
      <c r="F777" s="4"/>
      <c r="G777" s="4"/>
      <c r="H777" s="4"/>
      <c r="I777" s="4"/>
    </row>
    <row r="778">
      <c r="C778" s="4"/>
      <c r="D778" s="5"/>
      <c r="E778" s="4"/>
      <c r="F778" s="4"/>
      <c r="G778" s="4"/>
      <c r="H778" s="4"/>
      <c r="I778" s="4"/>
    </row>
    <row r="779">
      <c r="C779" s="4"/>
      <c r="D779" s="5"/>
      <c r="E779" s="4"/>
      <c r="F779" s="4"/>
      <c r="G779" s="4"/>
      <c r="H779" s="4"/>
      <c r="I779" s="4"/>
    </row>
    <row r="780">
      <c r="C780" s="4"/>
      <c r="D780" s="5"/>
      <c r="E780" s="4"/>
      <c r="F780" s="4"/>
      <c r="G780" s="4"/>
      <c r="H780" s="4"/>
      <c r="I780" s="4"/>
    </row>
    <row r="781">
      <c r="C781" s="4"/>
      <c r="D781" s="5"/>
      <c r="E781" s="4"/>
      <c r="F781" s="4"/>
      <c r="G781" s="4"/>
      <c r="H781" s="4"/>
      <c r="I781" s="4"/>
    </row>
    <row r="782">
      <c r="C782" s="4"/>
      <c r="D782" s="5"/>
      <c r="E782" s="4"/>
      <c r="F782" s="4"/>
      <c r="G782" s="4"/>
      <c r="H782" s="4"/>
      <c r="I782" s="4"/>
    </row>
    <row r="783">
      <c r="C783" s="4"/>
      <c r="D783" s="5"/>
      <c r="E783" s="4"/>
      <c r="F783" s="4"/>
      <c r="G783" s="4"/>
      <c r="H783" s="4"/>
      <c r="I783" s="4"/>
    </row>
    <row r="784">
      <c r="C784" s="4"/>
      <c r="D784" s="5"/>
      <c r="E784" s="4"/>
      <c r="F784" s="4"/>
      <c r="G784" s="4"/>
      <c r="H784" s="4"/>
      <c r="I784" s="4"/>
    </row>
    <row r="785">
      <c r="C785" s="4"/>
      <c r="D785" s="5"/>
      <c r="E785" s="4"/>
      <c r="F785" s="4"/>
      <c r="G785" s="4"/>
      <c r="H785" s="4"/>
      <c r="I785" s="4"/>
    </row>
    <row r="786">
      <c r="C786" s="4"/>
      <c r="D786" s="5"/>
      <c r="E786" s="4"/>
      <c r="F786" s="4"/>
      <c r="G786" s="4"/>
      <c r="H786" s="4"/>
      <c r="I786" s="4"/>
    </row>
    <row r="787">
      <c r="C787" s="4"/>
      <c r="D787" s="5"/>
      <c r="E787" s="4"/>
      <c r="F787" s="4"/>
      <c r="G787" s="4"/>
      <c r="H787" s="4"/>
      <c r="I787" s="4"/>
    </row>
    <row r="788">
      <c r="C788" s="4"/>
      <c r="D788" s="5"/>
      <c r="E788" s="4"/>
      <c r="F788" s="4"/>
      <c r="G788" s="4"/>
      <c r="H788" s="4"/>
      <c r="I788" s="4"/>
    </row>
    <row r="789">
      <c r="C789" s="4"/>
      <c r="D789" s="5"/>
      <c r="E789" s="4"/>
      <c r="F789" s="4"/>
      <c r="G789" s="4"/>
      <c r="H789" s="4"/>
      <c r="I789" s="4"/>
    </row>
    <row r="790">
      <c r="C790" s="4"/>
      <c r="D790" s="5"/>
      <c r="E790" s="4"/>
      <c r="F790" s="4"/>
      <c r="G790" s="4"/>
      <c r="H790" s="4"/>
      <c r="I790" s="4"/>
    </row>
    <row r="791">
      <c r="C791" s="4"/>
      <c r="D791" s="5"/>
      <c r="E791" s="4"/>
      <c r="F791" s="4"/>
      <c r="G791" s="4"/>
      <c r="H791" s="4"/>
      <c r="I791" s="4"/>
    </row>
    <row r="792">
      <c r="C792" s="4"/>
      <c r="D792" s="5"/>
      <c r="E792" s="4"/>
      <c r="F792" s="4"/>
      <c r="G792" s="4"/>
      <c r="H792" s="4"/>
      <c r="I792" s="4"/>
    </row>
    <row r="793">
      <c r="C793" s="4"/>
      <c r="D793" s="5"/>
      <c r="E793" s="4"/>
      <c r="F793" s="4"/>
      <c r="G793" s="4"/>
      <c r="H793" s="4"/>
      <c r="I793" s="4"/>
    </row>
    <row r="794">
      <c r="C794" s="4"/>
      <c r="D794" s="5"/>
      <c r="E794" s="4"/>
      <c r="F794" s="4"/>
      <c r="G794" s="4"/>
      <c r="H794" s="4"/>
      <c r="I794" s="4"/>
    </row>
    <row r="795">
      <c r="C795" s="4"/>
      <c r="D795" s="5"/>
      <c r="E795" s="4"/>
      <c r="F795" s="4"/>
      <c r="G795" s="4"/>
      <c r="H795" s="4"/>
      <c r="I795" s="4"/>
    </row>
    <row r="796">
      <c r="C796" s="4"/>
      <c r="D796" s="5"/>
      <c r="E796" s="4"/>
      <c r="F796" s="4"/>
      <c r="G796" s="4"/>
      <c r="H796" s="4"/>
      <c r="I796" s="4"/>
    </row>
    <row r="797">
      <c r="C797" s="4"/>
      <c r="D797" s="5"/>
      <c r="E797" s="4"/>
      <c r="F797" s="4"/>
      <c r="G797" s="4"/>
      <c r="H797" s="4"/>
      <c r="I797" s="4"/>
    </row>
    <row r="798">
      <c r="C798" s="4"/>
      <c r="D798" s="5"/>
      <c r="E798" s="4"/>
      <c r="F798" s="4"/>
      <c r="G798" s="4"/>
      <c r="H798" s="4"/>
      <c r="I798" s="4"/>
    </row>
    <row r="799">
      <c r="C799" s="4"/>
      <c r="D799" s="5"/>
      <c r="E799" s="4"/>
      <c r="F799" s="4"/>
      <c r="G799" s="4"/>
      <c r="H799" s="4"/>
      <c r="I799" s="4"/>
    </row>
    <row r="800">
      <c r="C800" s="4"/>
      <c r="D800" s="5"/>
      <c r="E800" s="4"/>
      <c r="F800" s="4"/>
      <c r="G800" s="4"/>
      <c r="H800" s="4"/>
      <c r="I800" s="4"/>
    </row>
    <row r="801">
      <c r="C801" s="4"/>
      <c r="D801" s="5"/>
      <c r="E801" s="4"/>
      <c r="F801" s="4"/>
      <c r="G801" s="4"/>
      <c r="H801" s="4"/>
      <c r="I801" s="4"/>
    </row>
    <row r="802">
      <c r="C802" s="4"/>
      <c r="D802" s="5"/>
      <c r="E802" s="4"/>
      <c r="F802" s="4"/>
      <c r="G802" s="4"/>
      <c r="H802" s="4"/>
      <c r="I802" s="4"/>
    </row>
    <row r="803">
      <c r="C803" s="4"/>
      <c r="D803" s="5"/>
      <c r="E803" s="4"/>
      <c r="F803" s="4"/>
      <c r="G803" s="4"/>
      <c r="H803" s="4"/>
      <c r="I803" s="4"/>
    </row>
    <row r="804">
      <c r="C804" s="4"/>
      <c r="D804" s="5"/>
      <c r="E804" s="4"/>
      <c r="F804" s="4"/>
      <c r="G804" s="4"/>
      <c r="H804" s="4"/>
      <c r="I804" s="4"/>
    </row>
    <row r="805">
      <c r="C805" s="4"/>
      <c r="D805" s="5"/>
      <c r="E805" s="4"/>
      <c r="F805" s="4"/>
      <c r="G805" s="4"/>
      <c r="H805" s="4"/>
      <c r="I805" s="4"/>
    </row>
    <row r="806">
      <c r="C806" s="4"/>
      <c r="D806" s="5"/>
      <c r="E806" s="4"/>
      <c r="F806" s="4"/>
      <c r="G806" s="4"/>
      <c r="H806" s="4"/>
      <c r="I806" s="4"/>
    </row>
    <row r="807">
      <c r="C807" s="4"/>
      <c r="D807" s="5"/>
      <c r="E807" s="4"/>
      <c r="F807" s="4"/>
      <c r="G807" s="4"/>
      <c r="H807" s="4"/>
      <c r="I807" s="4"/>
    </row>
    <row r="808">
      <c r="C808" s="4"/>
      <c r="D808" s="5"/>
      <c r="E808" s="4"/>
      <c r="F808" s="4"/>
      <c r="G808" s="4"/>
      <c r="H808" s="4"/>
      <c r="I808" s="4"/>
    </row>
    <row r="809">
      <c r="C809" s="4"/>
      <c r="D809" s="5"/>
      <c r="E809" s="4"/>
      <c r="F809" s="4"/>
      <c r="G809" s="4"/>
      <c r="H809" s="4"/>
      <c r="I809" s="4"/>
    </row>
    <row r="810">
      <c r="C810" s="4"/>
      <c r="D810" s="5"/>
      <c r="E810" s="4"/>
      <c r="F810" s="4"/>
      <c r="G810" s="4"/>
      <c r="H810" s="4"/>
      <c r="I810" s="4"/>
    </row>
    <row r="811">
      <c r="C811" s="4"/>
      <c r="D811" s="5"/>
      <c r="E811" s="4"/>
      <c r="F811" s="4"/>
      <c r="G811" s="4"/>
      <c r="H811" s="4"/>
      <c r="I811" s="4"/>
    </row>
    <row r="812">
      <c r="C812" s="4"/>
      <c r="D812" s="5"/>
      <c r="E812" s="4"/>
      <c r="F812" s="4"/>
      <c r="G812" s="4"/>
      <c r="H812" s="4"/>
      <c r="I812" s="4"/>
    </row>
    <row r="813">
      <c r="C813" s="4"/>
      <c r="D813" s="5"/>
      <c r="E813" s="4"/>
      <c r="F813" s="4"/>
      <c r="G813" s="4"/>
      <c r="H813" s="4"/>
      <c r="I813" s="4"/>
    </row>
    <row r="814">
      <c r="C814" s="4"/>
      <c r="D814" s="5"/>
      <c r="E814" s="4"/>
      <c r="F814" s="4"/>
      <c r="G814" s="4"/>
      <c r="H814" s="4"/>
      <c r="I814" s="4"/>
    </row>
    <row r="815">
      <c r="C815" s="4"/>
      <c r="D815" s="5"/>
      <c r="E815" s="4"/>
      <c r="F815" s="4"/>
      <c r="G815" s="4"/>
      <c r="H815" s="4"/>
      <c r="I815" s="4"/>
    </row>
    <row r="816">
      <c r="C816" s="4"/>
      <c r="D816" s="5"/>
      <c r="E816" s="4"/>
      <c r="F816" s="4"/>
      <c r="G816" s="4"/>
      <c r="H816" s="4"/>
      <c r="I816" s="4"/>
    </row>
    <row r="817">
      <c r="C817" s="4"/>
      <c r="D817" s="5"/>
      <c r="E817" s="4"/>
      <c r="F817" s="4"/>
      <c r="G817" s="4"/>
      <c r="H817" s="4"/>
      <c r="I817" s="4"/>
    </row>
    <row r="818">
      <c r="C818" s="4"/>
      <c r="D818" s="5"/>
      <c r="E818" s="4"/>
      <c r="F818" s="4"/>
      <c r="G818" s="4"/>
      <c r="H818" s="4"/>
      <c r="I818" s="4"/>
    </row>
    <row r="819">
      <c r="C819" s="4"/>
      <c r="D819" s="5"/>
      <c r="E819" s="4"/>
      <c r="F819" s="4"/>
      <c r="G819" s="4"/>
      <c r="H819" s="4"/>
      <c r="I819" s="4"/>
    </row>
    <row r="820">
      <c r="C820" s="4"/>
      <c r="D820" s="5"/>
      <c r="E820" s="4"/>
      <c r="F820" s="4"/>
      <c r="G820" s="4"/>
      <c r="H820" s="4"/>
      <c r="I820" s="4"/>
    </row>
    <row r="821">
      <c r="C821" s="4"/>
      <c r="D821" s="5"/>
      <c r="E821" s="4"/>
      <c r="F821" s="4"/>
      <c r="G821" s="4"/>
      <c r="H821" s="4"/>
      <c r="I821" s="4"/>
    </row>
    <row r="822">
      <c r="C822" s="4"/>
      <c r="D822" s="5"/>
      <c r="E822" s="4"/>
      <c r="F822" s="4"/>
      <c r="G822" s="4"/>
      <c r="H822" s="4"/>
      <c r="I822" s="4"/>
    </row>
    <row r="823">
      <c r="C823" s="4"/>
      <c r="D823" s="5"/>
      <c r="E823" s="4"/>
      <c r="F823" s="4"/>
      <c r="G823" s="4"/>
      <c r="H823" s="4"/>
      <c r="I823" s="4"/>
    </row>
    <row r="824">
      <c r="C824" s="4"/>
      <c r="D824" s="5"/>
      <c r="E824" s="4"/>
      <c r="F824" s="4"/>
      <c r="G824" s="4"/>
      <c r="H824" s="4"/>
      <c r="I824" s="4"/>
    </row>
    <row r="825">
      <c r="C825" s="4"/>
      <c r="D825" s="5"/>
      <c r="E825" s="4"/>
      <c r="F825" s="4"/>
      <c r="G825" s="4"/>
      <c r="H825" s="4"/>
      <c r="I825" s="4"/>
    </row>
    <row r="826">
      <c r="C826" s="4"/>
      <c r="D826" s="5"/>
      <c r="E826" s="4"/>
      <c r="F826" s="4"/>
      <c r="G826" s="4"/>
      <c r="H826" s="4"/>
      <c r="I826" s="4"/>
    </row>
    <row r="827">
      <c r="C827" s="4"/>
      <c r="D827" s="5"/>
      <c r="E827" s="4"/>
      <c r="F827" s="4"/>
      <c r="G827" s="4"/>
      <c r="H827" s="4"/>
      <c r="I827" s="4"/>
    </row>
    <row r="828">
      <c r="C828" s="4"/>
      <c r="D828" s="5"/>
      <c r="E828" s="4"/>
      <c r="F828" s="4"/>
      <c r="G828" s="4"/>
      <c r="H828" s="4"/>
      <c r="I828" s="4"/>
    </row>
    <row r="829">
      <c r="C829" s="4"/>
      <c r="D829" s="5"/>
      <c r="E829" s="4"/>
      <c r="F829" s="4"/>
      <c r="G829" s="4"/>
      <c r="H829" s="4"/>
      <c r="I829" s="4"/>
    </row>
    <row r="830">
      <c r="C830" s="4"/>
      <c r="D830" s="5"/>
      <c r="E830" s="4"/>
      <c r="F830" s="4"/>
      <c r="G830" s="4"/>
      <c r="H830" s="4"/>
      <c r="I830" s="4"/>
    </row>
    <row r="831">
      <c r="C831" s="4"/>
      <c r="D831" s="5"/>
      <c r="E831" s="4"/>
      <c r="F831" s="4"/>
      <c r="G831" s="4"/>
      <c r="H831" s="4"/>
      <c r="I831" s="4"/>
    </row>
    <row r="832">
      <c r="C832" s="4"/>
      <c r="D832" s="5"/>
      <c r="E832" s="4"/>
      <c r="F832" s="4"/>
      <c r="G832" s="4"/>
      <c r="H832" s="4"/>
      <c r="I832" s="4"/>
    </row>
    <row r="833">
      <c r="C833" s="4"/>
      <c r="D833" s="5"/>
      <c r="E833" s="4"/>
      <c r="F833" s="4"/>
      <c r="G833" s="4"/>
      <c r="H833" s="4"/>
      <c r="I833" s="4"/>
    </row>
    <row r="834">
      <c r="C834" s="4"/>
      <c r="D834" s="5"/>
      <c r="E834" s="4"/>
      <c r="F834" s="4"/>
      <c r="G834" s="4"/>
      <c r="H834" s="4"/>
      <c r="I834" s="4"/>
    </row>
    <row r="835">
      <c r="C835" s="4"/>
      <c r="D835" s="5"/>
      <c r="E835" s="4"/>
      <c r="F835" s="4"/>
      <c r="G835" s="4"/>
      <c r="H835" s="4"/>
      <c r="I835" s="4"/>
    </row>
    <row r="836">
      <c r="C836" s="4"/>
      <c r="D836" s="5"/>
      <c r="E836" s="4"/>
      <c r="F836" s="4"/>
      <c r="G836" s="4"/>
      <c r="H836" s="4"/>
      <c r="I836" s="4"/>
    </row>
    <row r="837">
      <c r="C837" s="4"/>
      <c r="D837" s="5"/>
      <c r="E837" s="4"/>
      <c r="F837" s="4"/>
      <c r="G837" s="4"/>
      <c r="H837" s="4"/>
      <c r="I837" s="4"/>
    </row>
    <row r="838">
      <c r="C838" s="4"/>
      <c r="D838" s="5"/>
      <c r="E838" s="4"/>
      <c r="F838" s="4"/>
      <c r="G838" s="4"/>
      <c r="H838" s="4"/>
      <c r="I838" s="4"/>
    </row>
    <row r="839">
      <c r="C839" s="4"/>
      <c r="D839" s="5"/>
      <c r="E839" s="4"/>
      <c r="F839" s="4"/>
      <c r="G839" s="4"/>
      <c r="H839" s="4"/>
      <c r="I839" s="4"/>
    </row>
    <row r="840">
      <c r="C840" s="4"/>
      <c r="D840" s="5"/>
      <c r="E840" s="4"/>
      <c r="F840" s="4"/>
      <c r="G840" s="4"/>
      <c r="H840" s="4"/>
      <c r="I840" s="4"/>
    </row>
    <row r="841">
      <c r="C841" s="4"/>
      <c r="D841" s="5"/>
      <c r="E841" s="4"/>
      <c r="F841" s="4"/>
      <c r="G841" s="4"/>
      <c r="H841" s="4"/>
      <c r="I841" s="4"/>
    </row>
    <row r="842">
      <c r="C842" s="4"/>
      <c r="D842" s="5"/>
      <c r="E842" s="4"/>
      <c r="F842" s="4"/>
      <c r="G842" s="4"/>
      <c r="H842" s="4"/>
      <c r="I842" s="4"/>
    </row>
    <row r="843">
      <c r="C843" s="4"/>
      <c r="D843" s="5"/>
      <c r="E843" s="4"/>
      <c r="F843" s="4"/>
      <c r="G843" s="4"/>
      <c r="H843" s="4"/>
      <c r="I843" s="4"/>
    </row>
    <row r="844">
      <c r="C844" s="4"/>
      <c r="D844" s="5"/>
      <c r="E844" s="4"/>
      <c r="F844" s="4"/>
      <c r="G844" s="4"/>
      <c r="H844" s="4"/>
      <c r="I844" s="4"/>
    </row>
    <row r="845">
      <c r="C845" s="4"/>
      <c r="D845" s="5"/>
      <c r="E845" s="4"/>
      <c r="F845" s="4"/>
      <c r="G845" s="4"/>
      <c r="H845" s="4"/>
      <c r="I845" s="4"/>
    </row>
    <row r="846">
      <c r="C846" s="4"/>
      <c r="D846" s="5"/>
      <c r="E846" s="4"/>
      <c r="F846" s="4"/>
      <c r="G846" s="4"/>
      <c r="H846" s="4"/>
      <c r="I846" s="4"/>
    </row>
    <row r="847">
      <c r="C847" s="4"/>
      <c r="D847" s="5"/>
      <c r="E847" s="4"/>
      <c r="F847" s="4"/>
      <c r="G847" s="4"/>
      <c r="H847" s="4"/>
      <c r="I847" s="4"/>
    </row>
    <row r="848">
      <c r="C848" s="4"/>
      <c r="D848" s="5"/>
      <c r="E848" s="4"/>
      <c r="F848" s="4"/>
      <c r="G848" s="4"/>
      <c r="H848" s="4"/>
      <c r="I848" s="4"/>
    </row>
    <row r="849">
      <c r="C849" s="4"/>
      <c r="D849" s="5"/>
      <c r="E849" s="4"/>
      <c r="F849" s="4"/>
      <c r="G849" s="4"/>
      <c r="H849" s="4"/>
      <c r="I849" s="4"/>
    </row>
    <row r="850">
      <c r="C850" s="4"/>
      <c r="D850" s="5"/>
      <c r="E850" s="4"/>
      <c r="F850" s="4"/>
      <c r="G850" s="4"/>
      <c r="H850" s="4"/>
      <c r="I850" s="4"/>
    </row>
    <row r="851">
      <c r="C851" s="4"/>
      <c r="D851" s="5"/>
      <c r="E851" s="4"/>
      <c r="F851" s="4"/>
      <c r="G851" s="4"/>
      <c r="H851" s="4"/>
      <c r="I851" s="4"/>
    </row>
    <row r="852">
      <c r="C852" s="4"/>
      <c r="D852" s="5"/>
      <c r="E852" s="4"/>
      <c r="F852" s="4"/>
      <c r="G852" s="4"/>
      <c r="H852" s="4"/>
      <c r="I852" s="4"/>
    </row>
    <row r="853">
      <c r="C853" s="4"/>
      <c r="D853" s="5"/>
      <c r="E853" s="4"/>
      <c r="F853" s="4"/>
      <c r="G853" s="4"/>
      <c r="H853" s="4"/>
      <c r="I853" s="4"/>
    </row>
    <row r="854">
      <c r="C854" s="4"/>
      <c r="D854" s="5"/>
      <c r="E854" s="4"/>
      <c r="F854" s="4"/>
      <c r="G854" s="4"/>
      <c r="H854" s="4"/>
      <c r="I854" s="4"/>
    </row>
    <row r="855">
      <c r="C855" s="4"/>
      <c r="D855" s="5"/>
      <c r="E855" s="4"/>
      <c r="F855" s="4"/>
      <c r="G855" s="4"/>
      <c r="H855" s="4"/>
      <c r="I855" s="4"/>
    </row>
    <row r="856">
      <c r="C856" s="4"/>
      <c r="D856" s="5"/>
      <c r="E856" s="4"/>
      <c r="F856" s="4"/>
      <c r="G856" s="4"/>
      <c r="H856" s="4"/>
      <c r="I856" s="4"/>
    </row>
    <row r="857">
      <c r="C857" s="4"/>
      <c r="D857" s="5"/>
      <c r="E857" s="4"/>
      <c r="F857" s="4"/>
      <c r="G857" s="4"/>
      <c r="H857" s="4"/>
      <c r="I857" s="4"/>
    </row>
    <row r="858">
      <c r="C858" s="4"/>
      <c r="D858" s="5"/>
      <c r="E858" s="4"/>
      <c r="F858" s="4"/>
      <c r="G858" s="4"/>
      <c r="H858" s="4"/>
      <c r="I858" s="4"/>
    </row>
    <row r="859">
      <c r="C859" s="4"/>
      <c r="D859" s="5"/>
      <c r="E859" s="4"/>
      <c r="F859" s="4"/>
      <c r="G859" s="4"/>
      <c r="H859" s="4"/>
      <c r="I859" s="4"/>
    </row>
    <row r="860">
      <c r="C860" s="4"/>
      <c r="D860" s="5"/>
      <c r="E860" s="4"/>
      <c r="F860" s="4"/>
      <c r="G860" s="4"/>
      <c r="H860" s="4"/>
      <c r="I860" s="4"/>
    </row>
    <row r="861">
      <c r="C861" s="4"/>
      <c r="D861" s="5"/>
      <c r="E861" s="4"/>
      <c r="F861" s="4"/>
      <c r="G861" s="4"/>
      <c r="H861" s="4"/>
      <c r="I861" s="4"/>
    </row>
    <row r="862">
      <c r="C862" s="4"/>
      <c r="D862" s="5"/>
      <c r="E862" s="4"/>
      <c r="F862" s="4"/>
      <c r="G862" s="4"/>
      <c r="H862" s="4"/>
      <c r="I862" s="4"/>
    </row>
    <row r="863">
      <c r="C863" s="4"/>
      <c r="D863" s="5"/>
      <c r="E863" s="4"/>
      <c r="F863" s="4"/>
      <c r="G863" s="4"/>
      <c r="H863" s="4"/>
      <c r="I863" s="4"/>
    </row>
    <row r="864">
      <c r="C864" s="4"/>
      <c r="D864" s="5"/>
      <c r="E864" s="4"/>
      <c r="F864" s="4"/>
      <c r="G864" s="4"/>
      <c r="H864" s="4"/>
      <c r="I864" s="4"/>
    </row>
    <row r="865">
      <c r="C865" s="4"/>
      <c r="D865" s="5"/>
      <c r="E865" s="4"/>
      <c r="F865" s="4"/>
      <c r="G865" s="4"/>
      <c r="H865" s="4"/>
      <c r="I865" s="4"/>
    </row>
    <row r="866">
      <c r="C866" s="4"/>
      <c r="D866" s="5"/>
      <c r="E866" s="4"/>
      <c r="F866" s="4"/>
      <c r="G866" s="4"/>
      <c r="H866" s="4"/>
      <c r="I866" s="4"/>
    </row>
    <row r="867">
      <c r="C867" s="4"/>
      <c r="D867" s="5"/>
      <c r="E867" s="4"/>
      <c r="F867" s="4"/>
      <c r="G867" s="4"/>
      <c r="H867" s="4"/>
      <c r="I867" s="4"/>
    </row>
    <row r="868">
      <c r="C868" s="4"/>
      <c r="D868" s="5"/>
      <c r="E868" s="4"/>
      <c r="F868" s="4"/>
      <c r="G868" s="4"/>
      <c r="H868" s="4"/>
      <c r="I868" s="4"/>
    </row>
    <row r="869">
      <c r="C869" s="4"/>
      <c r="D869" s="5"/>
      <c r="E869" s="4"/>
      <c r="F869" s="4"/>
      <c r="G869" s="4"/>
      <c r="H869" s="4"/>
      <c r="I869" s="4"/>
    </row>
    <row r="870">
      <c r="C870" s="4"/>
      <c r="D870" s="5"/>
      <c r="E870" s="4"/>
      <c r="F870" s="4"/>
      <c r="G870" s="4"/>
      <c r="H870" s="4"/>
      <c r="I870" s="4"/>
    </row>
    <row r="871">
      <c r="C871" s="4"/>
      <c r="D871" s="5"/>
      <c r="E871" s="4"/>
      <c r="F871" s="4"/>
      <c r="G871" s="4"/>
      <c r="H871" s="4"/>
      <c r="I871" s="4"/>
    </row>
    <row r="872">
      <c r="C872" s="4"/>
      <c r="D872" s="5"/>
      <c r="E872" s="4"/>
      <c r="F872" s="4"/>
      <c r="G872" s="4"/>
      <c r="H872" s="4"/>
      <c r="I872" s="4"/>
    </row>
    <row r="873">
      <c r="C873" s="4"/>
      <c r="D873" s="5"/>
      <c r="E873" s="4"/>
      <c r="F873" s="4"/>
      <c r="G873" s="4"/>
      <c r="H873" s="4"/>
      <c r="I873" s="4"/>
    </row>
    <row r="874">
      <c r="C874" s="4"/>
      <c r="D874" s="5"/>
      <c r="E874" s="4"/>
      <c r="F874" s="4"/>
      <c r="G874" s="4"/>
      <c r="H874" s="4"/>
      <c r="I874" s="4"/>
    </row>
    <row r="875">
      <c r="C875" s="4"/>
      <c r="D875" s="5"/>
      <c r="E875" s="4"/>
      <c r="F875" s="4"/>
      <c r="G875" s="4"/>
      <c r="H875" s="4"/>
      <c r="I875" s="4"/>
    </row>
    <row r="876">
      <c r="C876" s="4"/>
      <c r="D876" s="5"/>
      <c r="E876" s="4"/>
      <c r="F876" s="4"/>
      <c r="G876" s="4"/>
      <c r="H876" s="4"/>
      <c r="I876" s="4"/>
    </row>
    <row r="877">
      <c r="C877" s="4"/>
      <c r="D877" s="5"/>
      <c r="E877" s="4"/>
      <c r="F877" s="4"/>
      <c r="G877" s="4"/>
      <c r="H877" s="4"/>
      <c r="I877" s="4"/>
    </row>
    <row r="878">
      <c r="C878" s="4"/>
      <c r="D878" s="5"/>
      <c r="E878" s="4"/>
      <c r="F878" s="4"/>
      <c r="G878" s="4"/>
      <c r="H878" s="4"/>
      <c r="I878" s="4"/>
    </row>
    <row r="879">
      <c r="C879" s="4"/>
      <c r="D879" s="5"/>
      <c r="E879" s="4"/>
      <c r="F879" s="4"/>
      <c r="G879" s="4"/>
      <c r="H879" s="4"/>
      <c r="I879" s="4"/>
    </row>
    <row r="880">
      <c r="C880" s="4"/>
      <c r="D880" s="5"/>
      <c r="E880" s="4"/>
      <c r="F880" s="4"/>
      <c r="G880" s="4"/>
      <c r="H880" s="4"/>
      <c r="I880" s="4"/>
    </row>
    <row r="881">
      <c r="C881" s="4"/>
      <c r="D881" s="5"/>
      <c r="E881" s="4"/>
      <c r="F881" s="4"/>
      <c r="G881" s="4"/>
      <c r="H881" s="4"/>
      <c r="I881" s="4"/>
    </row>
    <row r="882">
      <c r="C882" s="4"/>
      <c r="D882" s="5"/>
      <c r="E882" s="4"/>
      <c r="F882" s="4"/>
      <c r="G882" s="4"/>
      <c r="H882" s="4"/>
      <c r="I882" s="4"/>
    </row>
    <row r="883">
      <c r="C883" s="4"/>
      <c r="D883" s="5"/>
      <c r="E883" s="4"/>
      <c r="F883" s="4"/>
      <c r="G883" s="4"/>
      <c r="H883" s="4"/>
      <c r="I883" s="4"/>
    </row>
    <row r="884">
      <c r="C884" s="4"/>
      <c r="D884" s="5"/>
      <c r="E884" s="4"/>
      <c r="F884" s="4"/>
      <c r="G884" s="4"/>
      <c r="H884" s="4"/>
      <c r="I884" s="4"/>
    </row>
    <row r="885">
      <c r="C885" s="4"/>
      <c r="D885" s="5"/>
      <c r="E885" s="4"/>
      <c r="F885" s="4"/>
      <c r="G885" s="4"/>
      <c r="H885" s="4"/>
      <c r="I885" s="4"/>
    </row>
    <row r="886">
      <c r="C886" s="4"/>
      <c r="D886" s="5"/>
      <c r="E886" s="4"/>
      <c r="F886" s="4"/>
      <c r="G886" s="4"/>
      <c r="H886" s="4"/>
      <c r="I886" s="4"/>
    </row>
    <row r="887">
      <c r="C887" s="4"/>
      <c r="D887" s="5"/>
      <c r="E887" s="4"/>
      <c r="F887" s="4"/>
      <c r="G887" s="4"/>
      <c r="H887" s="4"/>
      <c r="I887" s="4"/>
    </row>
    <row r="888">
      <c r="C888" s="4"/>
      <c r="D888" s="5"/>
      <c r="E888" s="4"/>
      <c r="F888" s="4"/>
      <c r="G888" s="4"/>
      <c r="H888" s="4"/>
      <c r="I888" s="4"/>
    </row>
    <row r="889">
      <c r="C889" s="4"/>
      <c r="D889" s="5"/>
      <c r="E889" s="4"/>
      <c r="F889" s="4"/>
      <c r="G889" s="4"/>
      <c r="H889" s="4"/>
      <c r="I889" s="4"/>
    </row>
    <row r="890">
      <c r="C890" s="4"/>
      <c r="D890" s="5"/>
      <c r="E890" s="4"/>
      <c r="F890" s="4"/>
      <c r="G890" s="4"/>
      <c r="H890" s="4"/>
      <c r="I890" s="4"/>
    </row>
    <row r="891">
      <c r="C891" s="4"/>
      <c r="D891" s="5"/>
      <c r="E891" s="4"/>
      <c r="F891" s="4"/>
      <c r="G891" s="4"/>
      <c r="H891" s="4"/>
      <c r="I891" s="4"/>
    </row>
    <row r="892">
      <c r="C892" s="4"/>
      <c r="D892" s="5"/>
      <c r="E892" s="4"/>
      <c r="F892" s="4"/>
      <c r="G892" s="4"/>
      <c r="H892" s="4"/>
      <c r="I892" s="4"/>
    </row>
    <row r="893">
      <c r="C893" s="4"/>
      <c r="D893" s="5"/>
      <c r="E893" s="4"/>
      <c r="F893" s="4"/>
      <c r="G893" s="4"/>
      <c r="H893" s="4"/>
      <c r="I893" s="4"/>
    </row>
    <row r="894">
      <c r="C894" s="4"/>
      <c r="D894" s="5"/>
      <c r="E894" s="4"/>
      <c r="F894" s="4"/>
      <c r="G894" s="4"/>
      <c r="H894" s="4"/>
      <c r="I894" s="4"/>
    </row>
    <row r="895">
      <c r="C895" s="4"/>
      <c r="D895" s="5"/>
      <c r="E895" s="4"/>
      <c r="F895" s="4"/>
      <c r="G895" s="4"/>
      <c r="H895" s="4"/>
      <c r="I895" s="4"/>
    </row>
    <row r="896">
      <c r="C896" s="4"/>
      <c r="D896" s="5"/>
      <c r="E896" s="4"/>
      <c r="F896" s="4"/>
      <c r="G896" s="4"/>
      <c r="H896" s="4"/>
      <c r="I896" s="4"/>
    </row>
    <row r="897">
      <c r="C897" s="4"/>
      <c r="D897" s="5"/>
      <c r="E897" s="4"/>
      <c r="F897" s="4"/>
      <c r="G897" s="4"/>
      <c r="H897" s="4"/>
      <c r="I897" s="4"/>
    </row>
    <row r="898">
      <c r="C898" s="4"/>
      <c r="D898" s="5"/>
      <c r="E898" s="4"/>
      <c r="F898" s="4"/>
      <c r="G898" s="4"/>
      <c r="H898" s="4"/>
      <c r="I898" s="4"/>
    </row>
    <row r="899">
      <c r="C899" s="4"/>
      <c r="D899" s="5"/>
      <c r="E899" s="4"/>
      <c r="F899" s="4"/>
      <c r="G899" s="4"/>
      <c r="H899" s="4"/>
      <c r="I899" s="4"/>
    </row>
    <row r="900">
      <c r="C900" s="4"/>
      <c r="D900" s="5"/>
      <c r="E900" s="4"/>
      <c r="F900" s="4"/>
      <c r="G900" s="4"/>
      <c r="H900" s="4"/>
      <c r="I900" s="4"/>
    </row>
    <row r="901">
      <c r="C901" s="4"/>
      <c r="D901" s="5"/>
      <c r="E901" s="4"/>
      <c r="F901" s="4"/>
      <c r="G901" s="4"/>
      <c r="H901" s="4"/>
      <c r="I901" s="4"/>
    </row>
    <row r="902">
      <c r="C902" s="4"/>
      <c r="D902" s="5"/>
      <c r="E902" s="4"/>
      <c r="F902" s="4"/>
      <c r="G902" s="4"/>
      <c r="H902" s="4"/>
      <c r="I902" s="4"/>
    </row>
    <row r="903">
      <c r="C903" s="4"/>
      <c r="D903" s="5"/>
      <c r="E903" s="4"/>
      <c r="F903" s="4"/>
      <c r="G903" s="4"/>
      <c r="H903" s="4"/>
      <c r="I903" s="4"/>
    </row>
    <row r="904">
      <c r="C904" s="4"/>
      <c r="D904" s="5"/>
      <c r="E904" s="4"/>
      <c r="F904" s="4"/>
      <c r="G904" s="4"/>
      <c r="H904" s="4"/>
      <c r="I904" s="4"/>
    </row>
    <row r="905">
      <c r="C905" s="4"/>
      <c r="D905" s="5"/>
      <c r="E905" s="4"/>
      <c r="F905" s="4"/>
      <c r="G905" s="4"/>
      <c r="H905" s="4"/>
      <c r="I905" s="4"/>
    </row>
    <row r="906">
      <c r="C906" s="4"/>
      <c r="D906" s="5"/>
      <c r="E906" s="4"/>
      <c r="F906" s="4"/>
      <c r="G906" s="4"/>
      <c r="H906" s="4"/>
      <c r="I906" s="4"/>
    </row>
    <row r="907">
      <c r="C907" s="4"/>
      <c r="D907" s="5"/>
      <c r="E907" s="4"/>
      <c r="F907" s="4"/>
      <c r="G907" s="4"/>
      <c r="H907" s="4"/>
      <c r="I907" s="4"/>
    </row>
    <row r="908">
      <c r="C908" s="4"/>
      <c r="D908" s="5"/>
      <c r="E908" s="4"/>
      <c r="F908" s="4"/>
      <c r="G908" s="4"/>
      <c r="H908" s="4"/>
      <c r="I908" s="4"/>
    </row>
    <row r="909">
      <c r="C909" s="4"/>
      <c r="D909" s="5"/>
      <c r="E909" s="4"/>
      <c r="F909" s="4"/>
      <c r="G909" s="4"/>
      <c r="H909" s="4"/>
      <c r="I909" s="4"/>
    </row>
    <row r="910">
      <c r="C910" s="4"/>
      <c r="D910" s="5"/>
      <c r="E910" s="4"/>
      <c r="F910" s="4"/>
      <c r="G910" s="4"/>
      <c r="H910" s="4"/>
      <c r="I910" s="4"/>
    </row>
    <row r="911">
      <c r="C911" s="4"/>
      <c r="D911" s="5"/>
      <c r="E911" s="4"/>
      <c r="F911" s="4"/>
      <c r="G911" s="4"/>
      <c r="H911" s="4"/>
      <c r="I911" s="4"/>
    </row>
    <row r="912">
      <c r="C912" s="4"/>
      <c r="D912" s="5"/>
      <c r="E912" s="4"/>
      <c r="F912" s="4"/>
      <c r="G912" s="4"/>
      <c r="H912" s="4"/>
      <c r="I912" s="4"/>
    </row>
    <row r="913">
      <c r="C913" s="4"/>
      <c r="D913" s="5"/>
      <c r="E913" s="4"/>
      <c r="F913" s="4"/>
      <c r="G913" s="4"/>
      <c r="H913" s="4"/>
      <c r="I913" s="4"/>
    </row>
    <row r="914">
      <c r="C914" s="4"/>
      <c r="D914" s="5"/>
      <c r="E914" s="4"/>
      <c r="F914" s="4"/>
      <c r="G914" s="4"/>
      <c r="H914" s="4"/>
      <c r="I914" s="4"/>
    </row>
    <row r="915">
      <c r="C915" s="4"/>
      <c r="D915" s="5"/>
      <c r="E915" s="4"/>
      <c r="F915" s="4"/>
      <c r="G915" s="4"/>
      <c r="H915" s="4"/>
      <c r="I915" s="4"/>
    </row>
    <row r="916">
      <c r="C916" s="4"/>
      <c r="D916" s="5"/>
      <c r="E916" s="4"/>
      <c r="F916" s="4"/>
      <c r="G916" s="4"/>
      <c r="H916" s="4"/>
      <c r="I916" s="4"/>
    </row>
    <row r="917">
      <c r="C917" s="4"/>
      <c r="D917" s="5"/>
      <c r="E917" s="4"/>
      <c r="F917" s="4"/>
      <c r="G917" s="4"/>
      <c r="H917" s="4"/>
      <c r="I917" s="4"/>
    </row>
    <row r="918">
      <c r="C918" s="4"/>
      <c r="D918" s="5"/>
      <c r="E918" s="4"/>
      <c r="F918" s="4"/>
      <c r="G918" s="4"/>
      <c r="H918" s="4"/>
      <c r="I918" s="4"/>
    </row>
    <row r="919">
      <c r="C919" s="4"/>
      <c r="D919" s="5"/>
      <c r="E919" s="4"/>
      <c r="F919" s="4"/>
      <c r="G919" s="4"/>
      <c r="H919" s="4"/>
      <c r="I919" s="4"/>
    </row>
    <row r="920">
      <c r="C920" s="4"/>
      <c r="D920" s="5"/>
      <c r="E920" s="4"/>
      <c r="F920" s="4"/>
      <c r="G920" s="4"/>
      <c r="H920" s="4"/>
      <c r="I920" s="4"/>
    </row>
    <row r="921">
      <c r="C921" s="4"/>
      <c r="D921" s="5"/>
      <c r="E921" s="4"/>
      <c r="F921" s="4"/>
      <c r="G921" s="4"/>
      <c r="H921" s="4"/>
      <c r="I921" s="4"/>
    </row>
    <row r="922">
      <c r="C922" s="4"/>
      <c r="D922" s="5"/>
      <c r="E922" s="4"/>
      <c r="F922" s="4"/>
      <c r="G922" s="4"/>
      <c r="H922" s="4"/>
      <c r="I922" s="4"/>
    </row>
    <row r="923">
      <c r="C923" s="4"/>
      <c r="D923" s="5"/>
      <c r="E923" s="4"/>
      <c r="F923" s="4"/>
      <c r="G923" s="4"/>
      <c r="H923" s="4"/>
      <c r="I923" s="4"/>
    </row>
    <row r="924">
      <c r="C924" s="4"/>
      <c r="D924" s="5"/>
      <c r="E924" s="4"/>
      <c r="F924" s="4"/>
      <c r="G924" s="4"/>
      <c r="H924" s="4"/>
      <c r="I924" s="4"/>
    </row>
    <row r="925">
      <c r="C925" s="4"/>
      <c r="D925" s="5"/>
      <c r="E925" s="4"/>
      <c r="F925" s="4"/>
      <c r="G925" s="4"/>
      <c r="H925" s="4"/>
      <c r="I925" s="4"/>
    </row>
    <row r="926">
      <c r="C926" s="4"/>
      <c r="D926" s="5"/>
      <c r="E926" s="4"/>
      <c r="F926" s="4"/>
      <c r="G926" s="4"/>
      <c r="H926" s="4"/>
      <c r="I926" s="4"/>
    </row>
    <row r="927">
      <c r="C927" s="4"/>
      <c r="D927" s="5"/>
      <c r="E927" s="4"/>
      <c r="F927" s="4"/>
      <c r="G927" s="4"/>
      <c r="H927" s="4"/>
      <c r="I927" s="4"/>
    </row>
    <row r="928">
      <c r="C928" s="4"/>
      <c r="D928" s="5"/>
      <c r="E928" s="4"/>
      <c r="F928" s="4"/>
      <c r="G928" s="4"/>
      <c r="H928" s="4"/>
      <c r="I928" s="4"/>
    </row>
    <row r="929">
      <c r="C929" s="4"/>
      <c r="D929" s="5"/>
      <c r="E929" s="4"/>
      <c r="F929" s="4"/>
      <c r="G929" s="4"/>
      <c r="H929" s="4"/>
      <c r="I929" s="4"/>
    </row>
    <row r="930">
      <c r="C930" s="4"/>
      <c r="D930" s="5"/>
      <c r="E930" s="4"/>
      <c r="F930" s="4"/>
      <c r="G930" s="4"/>
      <c r="H930" s="4"/>
      <c r="I930" s="4"/>
    </row>
    <row r="931">
      <c r="C931" s="4"/>
      <c r="D931" s="5"/>
      <c r="E931" s="4"/>
      <c r="F931" s="4"/>
      <c r="G931" s="4"/>
      <c r="H931" s="4"/>
      <c r="I931" s="4"/>
    </row>
    <row r="932">
      <c r="C932" s="4"/>
      <c r="D932" s="5"/>
      <c r="E932" s="4"/>
      <c r="F932" s="4"/>
      <c r="G932" s="4"/>
      <c r="H932" s="4"/>
      <c r="I932" s="4"/>
    </row>
    <row r="933">
      <c r="C933" s="4"/>
      <c r="D933" s="5"/>
      <c r="E933" s="4"/>
      <c r="F933" s="4"/>
      <c r="G933" s="4"/>
      <c r="H933" s="4"/>
      <c r="I933" s="4"/>
    </row>
    <row r="934">
      <c r="C934" s="4"/>
      <c r="D934" s="5"/>
      <c r="E934" s="4"/>
      <c r="F934" s="4"/>
      <c r="G934" s="4"/>
      <c r="H934" s="4"/>
      <c r="I934" s="4"/>
    </row>
    <row r="935">
      <c r="C935" s="4"/>
      <c r="D935" s="5"/>
      <c r="E935" s="4"/>
      <c r="F935" s="4"/>
      <c r="G935" s="4"/>
      <c r="H935" s="4"/>
      <c r="I935" s="4"/>
    </row>
    <row r="936">
      <c r="C936" s="4"/>
      <c r="D936" s="5"/>
      <c r="E936" s="4"/>
      <c r="F936" s="4"/>
      <c r="G936" s="4"/>
      <c r="H936" s="4"/>
      <c r="I936" s="4"/>
    </row>
    <row r="937">
      <c r="C937" s="4"/>
      <c r="D937" s="5"/>
      <c r="E937" s="4"/>
      <c r="F937" s="4"/>
      <c r="G937" s="4"/>
      <c r="H937" s="4"/>
      <c r="I937" s="4"/>
    </row>
    <row r="938">
      <c r="C938" s="4"/>
      <c r="D938" s="5"/>
      <c r="E938" s="4"/>
      <c r="F938" s="4"/>
      <c r="G938" s="4"/>
      <c r="H938" s="4"/>
      <c r="I938" s="4"/>
    </row>
    <row r="939">
      <c r="C939" s="4"/>
      <c r="D939" s="5"/>
      <c r="E939" s="4"/>
      <c r="F939" s="4"/>
      <c r="G939" s="4"/>
      <c r="H939" s="4"/>
      <c r="I939" s="4"/>
    </row>
    <row r="940">
      <c r="C940" s="4"/>
      <c r="D940" s="5"/>
      <c r="E940" s="4"/>
      <c r="F940" s="4"/>
      <c r="G940" s="4"/>
      <c r="H940" s="4"/>
      <c r="I940" s="4"/>
    </row>
    <row r="941">
      <c r="C941" s="4"/>
      <c r="D941" s="5"/>
      <c r="E941" s="4"/>
      <c r="F941" s="4"/>
      <c r="G941" s="4"/>
      <c r="H941" s="4"/>
      <c r="I941" s="4"/>
    </row>
    <row r="942">
      <c r="C942" s="4"/>
      <c r="D942" s="5"/>
      <c r="E942" s="4"/>
      <c r="F942" s="4"/>
      <c r="G942" s="4"/>
      <c r="H942" s="4"/>
      <c r="I942" s="4"/>
    </row>
    <row r="943">
      <c r="C943" s="4"/>
      <c r="D943" s="5"/>
      <c r="E943" s="4"/>
      <c r="F943" s="4"/>
      <c r="G943" s="4"/>
      <c r="H943" s="4"/>
      <c r="I943" s="4"/>
    </row>
    <row r="944">
      <c r="C944" s="4"/>
      <c r="D944" s="5"/>
      <c r="E944" s="4"/>
      <c r="F944" s="4"/>
      <c r="G944" s="4"/>
      <c r="H944" s="4"/>
      <c r="I944" s="4"/>
    </row>
    <row r="945">
      <c r="C945" s="4"/>
      <c r="D945" s="5"/>
      <c r="E945" s="4"/>
      <c r="F945" s="4"/>
      <c r="G945" s="4"/>
      <c r="H945" s="4"/>
      <c r="I945" s="4"/>
    </row>
    <row r="946">
      <c r="C946" s="4"/>
      <c r="D946" s="5"/>
      <c r="E946" s="4"/>
      <c r="F946" s="4"/>
      <c r="G946" s="4"/>
      <c r="H946" s="4"/>
      <c r="I946" s="4"/>
    </row>
    <row r="947">
      <c r="C947" s="4"/>
      <c r="D947" s="5"/>
      <c r="E947" s="4"/>
      <c r="F947" s="4"/>
      <c r="G947" s="4"/>
      <c r="H947" s="4"/>
      <c r="I947" s="4"/>
    </row>
    <row r="948">
      <c r="C948" s="4"/>
      <c r="D948" s="5"/>
      <c r="E948" s="4"/>
      <c r="F948" s="4"/>
      <c r="G948" s="4"/>
      <c r="H948" s="4"/>
      <c r="I948" s="4"/>
    </row>
    <row r="949">
      <c r="C949" s="4"/>
      <c r="D949" s="5"/>
      <c r="E949" s="4"/>
      <c r="F949" s="4"/>
      <c r="G949" s="4"/>
      <c r="H949" s="4"/>
      <c r="I949" s="4"/>
    </row>
    <row r="950">
      <c r="C950" s="4"/>
      <c r="D950" s="5"/>
      <c r="E950" s="4"/>
      <c r="F950" s="4"/>
      <c r="G950" s="4"/>
      <c r="H950" s="4"/>
      <c r="I950" s="4"/>
    </row>
    <row r="951">
      <c r="C951" s="4"/>
      <c r="D951" s="5"/>
      <c r="E951" s="4"/>
      <c r="F951" s="4"/>
      <c r="G951" s="4"/>
      <c r="H951" s="4"/>
      <c r="I951" s="4"/>
    </row>
    <row r="952">
      <c r="C952" s="4"/>
      <c r="D952" s="5"/>
      <c r="E952" s="4"/>
      <c r="F952" s="4"/>
      <c r="G952" s="4"/>
      <c r="H952" s="4"/>
      <c r="I952" s="4"/>
    </row>
    <row r="953">
      <c r="C953" s="4"/>
      <c r="D953" s="5"/>
      <c r="E953" s="4"/>
      <c r="F953" s="4"/>
      <c r="G953" s="4"/>
      <c r="H953" s="4"/>
      <c r="I953" s="4"/>
    </row>
    <row r="954">
      <c r="C954" s="4"/>
      <c r="D954" s="5"/>
      <c r="E954" s="4"/>
      <c r="F954" s="4"/>
      <c r="G954" s="4"/>
      <c r="H954" s="4"/>
      <c r="I954" s="4"/>
    </row>
    <row r="955">
      <c r="C955" s="4"/>
      <c r="D955" s="5"/>
      <c r="E955" s="4"/>
      <c r="F955" s="4"/>
      <c r="G955" s="4"/>
      <c r="H955" s="4"/>
      <c r="I955" s="4"/>
    </row>
    <row r="956">
      <c r="C956" s="4"/>
      <c r="D956" s="5"/>
      <c r="E956" s="4"/>
      <c r="F956" s="4"/>
      <c r="G956" s="4"/>
      <c r="H956" s="4"/>
      <c r="I956" s="4"/>
    </row>
    <row r="957">
      <c r="C957" s="4"/>
      <c r="D957" s="5"/>
      <c r="E957" s="4"/>
      <c r="F957" s="4"/>
      <c r="G957" s="4"/>
      <c r="H957" s="4"/>
      <c r="I957" s="4"/>
    </row>
    <row r="958">
      <c r="C958" s="4"/>
      <c r="D958" s="5"/>
      <c r="E958" s="4"/>
      <c r="F958" s="4"/>
      <c r="G958" s="4"/>
      <c r="H958" s="4"/>
      <c r="I958" s="4"/>
    </row>
    <row r="959">
      <c r="C959" s="4"/>
      <c r="D959" s="5"/>
      <c r="E959" s="4"/>
      <c r="F959" s="4"/>
      <c r="G959" s="4"/>
      <c r="H959" s="4"/>
      <c r="I959" s="4"/>
    </row>
    <row r="960">
      <c r="C960" s="4"/>
      <c r="D960" s="5"/>
      <c r="E960" s="4"/>
      <c r="F960" s="4"/>
      <c r="G960" s="4"/>
      <c r="H960" s="4"/>
      <c r="I960" s="4"/>
    </row>
    <row r="961">
      <c r="C961" s="4"/>
      <c r="D961" s="5"/>
      <c r="E961" s="4"/>
      <c r="F961" s="4"/>
      <c r="G961" s="4"/>
      <c r="H961" s="4"/>
      <c r="I961" s="4"/>
    </row>
    <row r="962">
      <c r="C962" s="4"/>
      <c r="D962" s="5"/>
      <c r="E962" s="4"/>
      <c r="F962" s="4"/>
      <c r="G962" s="4"/>
      <c r="H962" s="4"/>
      <c r="I962" s="4"/>
    </row>
    <row r="963">
      <c r="C963" s="4"/>
      <c r="D963" s="5"/>
      <c r="E963" s="4"/>
      <c r="F963" s="4"/>
      <c r="G963" s="4"/>
      <c r="H963" s="4"/>
      <c r="I963" s="4"/>
    </row>
    <row r="964">
      <c r="C964" s="4"/>
      <c r="D964" s="5"/>
      <c r="E964" s="4"/>
      <c r="F964" s="4"/>
      <c r="G964" s="4"/>
      <c r="H964" s="4"/>
      <c r="I964" s="4"/>
    </row>
    <row r="965">
      <c r="C965" s="4"/>
      <c r="D965" s="5"/>
      <c r="E965" s="4"/>
      <c r="F965" s="4"/>
      <c r="G965" s="4"/>
      <c r="H965" s="4"/>
      <c r="I965" s="4"/>
    </row>
    <row r="966">
      <c r="C966" s="4"/>
      <c r="D966" s="5"/>
      <c r="E966" s="4"/>
      <c r="F966" s="4"/>
      <c r="G966" s="4"/>
      <c r="H966" s="4"/>
      <c r="I966" s="4"/>
    </row>
    <row r="967">
      <c r="C967" s="4"/>
      <c r="D967" s="5"/>
      <c r="E967" s="4"/>
      <c r="F967" s="4"/>
      <c r="G967" s="4"/>
      <c r="H967" s="4"/>
      <c r="I967" s="4"/>
    </row>
    <row r="968">
      <c r="C968" s="4"/>
      <c r="D968" s="5"/>
      <c r="E968" s="4"/>
      <c r="F968" s="4"/>
      <c r="G968" s="4"/>
      <c r="H968" s="4"/>
      <c r="I968" s="4"/>
    </row>
    <row r="969">
      <c r="C969" s="4"/>
      <c r="D969" s="5"/>
      <c r="E969" s="4"/>
      <c r="F969" s="4"/>
      <c r="G969" s="4"/>
      <c r="H969" s="4"/>
      <c r="I969" s="4"/>
    </row>
    <row r="970">
      <c r="C970" s="4"/>
      <c r="D970" s="5"/>
      <c r="E970" s="4"/>
      <c r="F970" s="4"/>
      <c r="G970" s="4"/>
      <c r="H970" s="4"/>
      <c r="I970" s="4"/>
    </row>
    <row r="971">
      <c r="C971" s="4"/>
      <c r="D971" s="5"/>
      <c r="E971" s="4"/>
      <c r="F971" s="4"/>
      <c r="G971" s="4"/>
      <c r="H971" s="4"/>
      <c r="I971" s="4"/>
    </row>
    <row r="972">
      <c r="C972" s="4"/>
      <c r="D972" s="5"/>
      <c r="E972" s="4"/>
      <c r="F972" s="4"/>
      <c r="G972" s="4"/>
      <c r="H972" s="4"/>
      <c r="I972" s="4"/>
    </row>
    <row r="973">
      <c r="C973" s="4"/>
      <c r="D973" s="5"/>
      <c r="E973" s="4"/>
      <c r="F973" s="4"/>
      <c r="G973" s="4"/>
      <c r="H973" s="4"/>
      <c r="I973" s="4"/>
    </row>
    <row r="974">
      <c r="C974" s="4"/>
      <c r="D974" s="5"/>
      <c r="E974" s="4"/>
      <c r="F974" s="4"/>
      <c r="G974" s="4"/>
      <c r="H974" s="4"/>
      <c r="I974" s="4"/>
    </row>
    <row r="975">
      <c r="C975" s="4"/>
      <c r="D975" s="5"/>
      <c r="E975" s="4"/>
      <c r="F975" s="4"/>
      <c r="G975" s="4"/>
      <c r="H975" s="4"/>
      <c r="I975" s="4"/>
    </row>
    <row r="976">
      <c r="C976" s="4"/>
      <c r="D976" s="5"/>
      <c r="E976" s="4"/>
      <c r="F976" s="4"/>
      <c r="G976" s="4"/>
      <c r="H976" s="4"/>
      <c r="I976" s="4"/>
    </row>
    <row r="977">
      <c r="C977" s="4"/>
      <c r="D977" s="5"/>
      <c r="E977" s="4"/>
      <c r="F977" s="4"/>
      <c r="G977" s="4"/>
      <c r="H977" s="4"/>
      <c r="I977" s="4"/>
    </row>
    <row r="978">
      <c r="C978" s="4"/>
      <c r="D978" s="5"/>
      <c r="E978" s="4"/>
      <c r="F978" s="4"/>
      <c r="G978" s="4"/>
      <c r="H978" s="4"/>
      <c r="I978" s="4"/>
    </row>
    <row r="979">
      <c r="C979" s="4"/>
      <c r="D979" s="5"/>
      <c r="E979" s="4"/>
      <c r="F979" s="4"/>
      <c r="G979" s="4"/>
      <c r="H979" s="4"/>
      <c r="I979" s="4"/>
    </row>
    <row r="980">
      <c r="C980" s="4"/>
      <c r="D980" s="5"/>
      <c r="E980" s="4"/>
      <c r="F980" s="4"/>
      <c r="G980" s="4"/>
      <c r="H980" s="4"/>
      <c r="I980" s="4"/>
    </row>
    <row r="981">
      <c r="C981" s="4"/>
      <c r="D981" s="5"/>
      <c r="E981" s="4"/>
      <c r="F981" s="4"/>
      <c r="G981" s="4"/>
      <c r="H981" s="4"/>
      <c r="I981" s="4"/>
    </row>
    <row r="982">
      <c r="C982" s="4"/>
      <c r="D982" s="5"/>
      <c r="E982" s="4"/>
      <c r="F982" s="4"/>
      <c r="G982" s="4"/>
      <c r="H982" s="4"/>
      <c r="I982" s="4"/>
    </row>
    <row r="983">
      <c r="C983" s="4"/>
      <c r="D983" s="5"/>
      <c r="E983" s="4"/>
      <c r="F983" s="4"/>
      <c r="G983" s="4"/>
      <c r="H983" s="4"/>
      <c r="I983" s="4"/>
    </row>
    <row r="984">
      <c r="C984" s="4"/>
      <c r="D984" s="5"/>
      <c r="E984" s="4"/>
      <c r="F984" s="4"/>
      <c r="G984" s="4"/>
      <c r="H984" s="4"/>
      <c r="I984" s="4"/>
    </row>
    <row r="985">
      <c r="C985" s="4"/>
      <c r="D985" s="5"/>
      <c r="E985" s="4"/>
      <c r="F985" s="4"/>
      <c r="G985" s="4"/>
      <c r="H985" s="4"/>
      <c r="I985" s="4"/>
    </row>
    <row r="986">
      <c r="C986" s="4"/>
      <c r="D986" s="5"/>
      <c r="E986" s="4"/>
      <c r="F986" s="4"/>
      <c r="G986" s="4"/>
      <c r="H986" s="4"/>
      <c r="I986" s="4"/>
    </row>
    <row r="987">
      <c r="C987" s="4"/>
      <c r="D987" s="5"/>
      <c r="E987" s="4"/>
      <c r="F987" s="4"/>
      <c r="G987" s="4"/>
      <c r="H987" s="4"/>
      <c r="I987" s="4"/>
    </row>
    <row r="988">
      <c r="C988" s="4"/>
      <c r="D988" s="5"/>
      <c r="E988" s="4"/>
      <c r="F988" s="4"/>
      <c r="G988" s="4"/>
      <c r="H988" s="4"/>
      <c r="I988" s="4"/>
    </row>
    <row r="989">
      <c r="C989" s="4"/>
      <c r="D989" s="5"/>
      <c r="E989" s="4"/>
      <c r="F989" s="4"/>
      <c r="G989" s="4"/>
      <c r="H989" s="4"/>
      <c r="I989" s="4"/>
    </row>
    <row r="990">
      <c r="C990" s="4"/>
      <c r="D990" s="5"/>
      <c r="E990" s="4"/>
      <c r="F990" s="4"/>
      <c r="G990" s="4"/>
      <c r="H990" s="4"/>
      <c r="I990" s="4"/>
    </row>
    <row r="991">
      <c r="C991" s="4"/>
      <c r="D991" s="5"/>
      <c r="E991" s="4"/>
      <c r="F991" s="4"/>
      <c r="G991" s="4"/>
      <c r="H991" s="4"/>
      <c r="I991" s="4"/>
    </row>
    <row r="992">
      <c r="C992" s="4"/>
      <c r="D992" s="5"/>
      <c r="E992" s="4"/>
      <c r="F992" s="4"/>
      <c r="G992" s="4"/>
      <c r="H992" s="4"/>
      <c r="I992" s="4"/>
    </row>
    <row r="993">
      <c r="C993" s="4"/>
      <c r="D993" s="5"/>
      <c r="E993" s="4"/>
      <c r="F993" s="4"/>
      <c r="G993" s="4"/>
      <c r="H993" s="4"/>
      <c r="I993" s="4"/>
    </row>
    <row r="994">
      <c r="C994" s="4"/>
      <c r="D994" s="5"/>
      <c r="E994" s="4"/>
      <c r="F994" s="4"/>
      <c r="G994" s="4"/>
      <c r="H994" s="4"/>
      <c r="I994" s="4"/>
    </row>
    <row r="995">
      <c r="C995" s="4"/>
      <c r="D995" s="5"/>
      <c r="E995" s="4"/>
      <c r="F995" s="4"/>
      <c r="G995" s="4"/>
      <c r="H995" s="4"/>
      <c r="I995" s="4"/>
    </row>
    <row r="996">
      <c r="C996" s="4"/>
      <c r="D996" s="5"/>
      <c r="E996" s="4"/>
      <c r="F996" s="4"/>
      <c r="G996" s="4"/>
      <c r="H996" s="4"/>
      <c r="I996" s="4"/>
    </row>
    <row r="997">
      <c r="C997" s="4"/>
      <c r="D997" s="5"/>
      <c r="E997" s="4"/>
      <c r="F997" s="4"/>
      <c r="G997" s="4"/>
      <c r="H997" s="4"/>
      <c r="I997" s="4"/>
    </row>
    <row r="998">
      <c r="C998" s="4"/>
      <c r="D998" s="5"/>
      <c r="E998" s="4"/>
      <c r="F998" s="4"/>
      <c r="G998" s="4"/>
      <c r="H998" s="4"/>
      <c r="I998" s="4"/>
    </row>
    <row r="999">
      <c r="C999" s="4"/>
      <c r="D999" s="5"/>
      <c r="E999" s="4"/>
      <c r="F999" s="4"/>
      <c r="G999" s="4"/>
      <c r="H999" s="4"/>
      <c r="I999" s="4"/>
    </row>
    <row r="1000">
      <c r="C1000" s="4"/>
      <c r="D1000" s="5"/>
      <c r="E1000" s="4"/>
      <c r="F1000" s="4"/>
      <c r="G1000" s="4"/>
      <c r="H1000" s="4"/>
      <c r="I1000" s="4"/>
    </row>
    <row r="1001">
      <c r="C1001" s="4"/>
      <c r="D1001" s="5"/>
      <c r="E1001" s="4"/>
      <c r="F1001" s="4"/>
      <c r="G1001" s="4"/>
      <c r="H1001" s="4"/>
      <c r="I1001" s="4"/>
    </row>
    <row r="1002">
      <c r="C1002" s="4"/>
      <c r="D1002" s="5"/>
      <c r="E1002" s="4"/>
      <c r="F1002" s="4"/>
      <c r="G1002" s="4"/>
      <c r="H1002" s="4"/>
      <c r="I1002" s="4"/>
    </row>
    <row r="1003">
      <c r="C1003" s="4"/>
      <c r="D1003" s="5"/>
      <c r="E1003" s="4"/>
      <c r="F1003" s="4"/>
      <c r="G1003" s="4"/>
      <c r="H1003" s="4"/>
      <c r="I1003" s="4"/>
    </row>
    <row r="1004">
      <c r="C1004" s="4"/>
      <c r="D1004" s="5"/>
      <c r="E1004" s="4"/>
      <c r="F1004" s="4"/>
      <c r="G1004" s="4"/>
      <c r="H1004" s="4"/>
      <c r="I1004" s="4"/>
    </row>
    <row r="1005">
      <c r="C1005" s="4"/>
      <c r="D1005" s="5"/>
      <c r="E1005" s="4"/>
      <c r="F1005" s="4"/>
      <c r="G1005" s="4"/>
      <c r="H1005" s="4"/>
      <c r="I1005" s="4"/>
    </row>
    <row r="1006">
      <c r="C1006" s="4"/>
      <c r="D1006" s="5"/>
      <c r="E1006" s="4"/>
      <c r="F1006" s="4"/>
      <c r="G1006" s="4"/>
      <c r="H1006" s="4"/>
      <c r="I1006" s="4"/>
    </row>
    <row r="1007">
      <c r="C1007" s="4"/>
      <c r="D1007" s="5"/>
      <c r="E1007" s="4"/>
      <c r="F1007" s="4"/>
      <c r="G1007" s="4"/>
      <c r="H1007" s="4"/>
      <c r="I1007" s="4"/>
    </row>
    <row r="1008">
      <c r="C1008" s="4"/>
      <c r="D1008" s="5"/>
      <c r="E1008" s="4"/>
      <c r="F1008" s="4"/>
      <c r="G1008" s="4"/>
      <c r="H1008" s="4"/>
      <c r="I1008" s="4"/>
    </row>
    <row r="1009">
      <c r="C1009" s="4"/>
      <c r="D1009" s="5"/>
      <c r="E1009" s="4"/>
      <c r="F1009" s="4"/>
      <c r="G1009" s="4"/>
      <c r="H1009" s="4"/>
      <c r="I1009" s="4"/>
    </row>
    <row r="1010">
      <c r="C1010" s="4"/>
      <c r="D1010" s="5"/>
      <c r="E1010" s="4"/>
      <c r="F1010" s="4"/>
      <c r="G1010" s="4"/>
      <c r="H1010" s="4"/>
      <c r="I1010" s="4"/>
    </row>
    <row r="1011">
      <c r="C1011" s="4"/>
      <c r="D1011" s="5"/>
      <c r="E1011" s="4"/>
      <c r="F1011" s="4"/>
      <c r="G1011" s="4"/>
      <c r="H1011" s="4"/>
      <c r="I1011" s="4"/>
    </row>
    <row r="1012">
      <c r="C1012" s="4"/>
      <c r="D1012" s="5"/>
      <c r="E1012" s="4"/>
      <c r="F1012" s="4"/>
      <c r="G1012" s="4"/>
      <c r="H1012" s="4"/>
      <c r="I1012" s="4"/>
    </row>
    <row r="1013">
      <c r="C1013" s="4"/>
      <c r="D1013" s="5"/>
      <c r="E1013" s="4"/>
      <c r="F1013" s="4"/>
      <c r="G1013" s="4"/>
      <c r="H1013" s="4"/>
      <c r="I1013" s="4"/>
    </row>
    <row r="1014">
      <c r="C1014" s="4"/>
      <c r="D1014" s="5"/>
      <c r="E1014" s="4"/>
      <c r="F1014" s="4"/>
      <c r="G1014" s="4"/>
      <c r="H1014" s="4"/>
      <c r="I1014" s="4"/>
    </row>
    <row r="1015">
      <c r="C1015" s="4"/>
      <c r="D1015" s="5"/>
      <c r="E1015" s="4"/>
      <c r="F1015" s="4"/>
      <c r="G1015" s="4"/>
      <c r="H1015" s="4"/>
      <c r="I1015" s="4"/>
    </row>
    <row r="1016">
      <c r="C1016" s="4"/>
      <c r="D1016" s="5"/>
      <c r="E1016" s="4"/>
      <c r="F1016" s="4"/>
      <c r="G1016" s="4"/>
      <c r="H1016" s="4"/>
      <c r="I1016" s="4"/>
    </row>
    <row r="1017">
      <c r="C1017" s="4"/>
      <c r="D1017" s="5"/>
      <c r="E1017" s="4"/>
      <c r="F1017" s="4"/>
      <c r="G1017" s="4"/>
      <c r="H1017" s="4"/>
      <c r="I1017" s="4"/>
    </row>
    <row r="1018">
      <c r="C1018" s="4"/>
      <c r="D1018" s="5"/>
      <c r="E1018" s="4"/>
      <c r="F1018" s="4"/>
      <c r="G1018" s="4"/>
      <c r="H1018" s="4"/>
      <c r="I1018" s="4"/>
    </row>
    <row r="1019">
      <c r="C1019" s="4"/>
      <c r="D1019" s="5"/>
      <c r="E1019" s="4"/>
      <c r="F1019" s="4"/>
      <c r="G1019" s="4"/>
      <c r="H1019" s="4"/>
      <c r="I1019" s="4"/>
    </row>
    <row r="1020">
      <c r="C1020" s="4"/>
      <c r="D1020" s="5"/>
      <c r="E1020" s="4"/>
      <c r="F1020" s="4"/>
      <c r="G1020" s="4"/>
      <c r="H1020" s="4"/>
      <c r="I1020" s="4"/>
    </row>
    <row r="1021">
      <c r="C1021" s="4"/>
      <c r="D1021" s="5"/>
      <c r="E1021" s="4"/>
      <c r="F1021" s="4"/>
      <c r="G1021" s="4"/>
      <c r="H1021" s="4"/>
      <c r="I1021" s="4"/>
    </row>
    <row r="1022">
      <c r="C1022" s="4"/>
      <c r="D1022" s="5"/>
      <c r="E1022" s="4"/>
      <c r="F1022" s="4"/>
      <c r="G1022" s="4"/>
      <c r="H1022" s="4"/>
      <c r="I1022" s="4"/>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51.13"/>
    <col customWidth="1" min="3" max="3" width="5.25"/>
    <col customWidth="1" min="4" max="4" width="16.38"/>
    <col customWidth="1" min="5" max="5" width="9.88"/>
    <col customWidth="1" min="6" max="7" width="5.25"/>
    <col customWidth="1" min="8" max="8" width="5.88"/>
    <col customWidth="1" min="9" max="9" width="5.75"/>
    <col customWidth="1" min="10" max="10" width="22.88"/>
    <col customWidth="1" min="11" max="11" width="4.25"/>
    <col customWidth="1" min="12" max="12" width="16.63"/>
    <col customWidth="1" min="13" max="13" width="21.63"/>
    <col customWidth="1" min="14" max="19" width="9.88"/>
    <col customWidth="1" min="20" max="20" width="35.13"/>
    <col customWidth="1" min="21" max="21" width="8.38"/>
    <col customWidth="1" min="22" max="22" width="16.75"/>
  </cols>
  <sheetData>
    <row r="1" ht="15.75" customHeight="1">
      <c r="A1" s="21" t="s">
        <v>78</v>
      </c>
      <c r="B1" s="22" t="s">
        <v>79</v>
      </c>
      <c r="C1" s="22" t="s">
        <v>80</v>
      </c>
      <c r="D1" s="23" t="s">
        <v>81</v>
      </c>
      <c r="E1" s="24" t="s">
        <v>82</v>
      </c>
      <c r="F1" s="22" t="s">
        <v>83</v>
      </c>
      <c r="G1" s="22" t="s">
        <v>84</v>
      </c>
      <c r="H1" s="24" t="s">
        <v>85</v>
      </c>
      <c r="I1" s="24" t="s">
        <v>86</v>
      </c>
      <c r="J1" s="25" t="s">
        <v>87</v>
      </c>
      <c r="K1" s="26" t="s">
        <v>88</v>
      </c>
      <c r="L1" s="25" t="s">
        <v>89</v>
      </c>
      <c r="M1" s="25" t="s">
        <v>90</v>
      </c>
      <c r="N1" s="25" t="s">
        <v>91</v>
      </c>
      <c r="O1" s="24" t="s">
        <v>92</v>
      </c>
      <c r="P1" s="27" t="s">
        <v>93</v>
      </c>
      <c r="Q1" s="27" t="s">
        <v>94</v>
      </c>
      <c r="R1" s="28" t="s">
        <v>95</v>
      </c>
      <c r="S1" s="25" t="s">
        <v>96</v>
      </c>
      <c r="T1" s="25" t="s">
        <v>97</v>
      </c>
      <c r="U1" s="22" t="s">
        <v>98</v>
      </c>
      <c r="V1" s="22" t="s">
        <v>99</v>
      </c>
      <c r="W1" s="29"/>
      <c r="X1" s="22"/>
    </row>
    <row r="2" ht="15.75" customHeight="1">
      <c r="A2" s="27" t="s">
        <v>100</v>
      </c>
      <c r="B2" s="22" t="s">
        <v>101</v>
      </c>
      <c r="C2" s="22" t="s">
        <v>17</v>
      </c>
      <c r="D2" s="11" t="s">
        <v>102</v>
      </c>
      <c r="E2" s="24" t="s">
        <v>103</v>
      </c>
      <c r="F2" s="30">
        <v>45658.0</v>
      </c>
      <c r="G2" s="29"/>
      <c r="H2" s="31"/>
      <c r="I2" s="31"/>
      <c r="J2" s="11" t="s">
        <v>102</v>
      </c>
      <c r="K2" s="32">
        <v>1.0</v>
      </c>
      <c r="L2" s="33" t="s">
        <v>104</v>
      </c>
      <c r="M2" s="27" t="s">
        <v>105</v>
      </c>
      <c r="N2" s="34"/>
      <c r="O2" s="31"/>
      <c r="P2" s="29"/>
      <c r="Q2" s="29"/>
      <c r="R2" s="29"/>
      <c r="S2" s="29"/>
      <c r="T2" s="35" t="s">
        <v>106</v>
      </c>
      <c r="U2" s="29"/>
      <c r="V2" s="29" t="s">
        <v>107</v>
      </c>
      <c r="W2" s="29"/>
      <c r="X2" s="29"/>
    </row>
    <row r="3" ht="15.75" customHeight="1">
      <c r="A3" s="27" t="s">
        <v>100</v>
      </c>
      <c r="B3" s="22" t="s">
        <v>101</v>
      </c>
      <c r="C3" s="22" t="s">
        <v>20</v>
      </c>
      <c r="D3" s="11" t="s">
        <v>60</v>
      </c>
      <c r="E3" s="24" t="s">
        <v>108</v>
      </c>
      <c r="F3" s="30">
        <v>45659.0</v>
      </c>
      <c r="G3" s="29"/>
      <c r="H3" s="31"/>
      <c r="I3" s="31"/>
      <c r="J3" s="11" t="s">
        <v>60</v>
      </c>
      <c r="K3" s="32">
        <v>2.0</v>
      </c>
      <c r="L3" s="33" t="s">
        <v>109</v>
      </c>
      <c r="M3" s="27" t="s">
        <v>105</v>
      </c>
      <c r="N3" s="34"/>
      <c r="O3" s="31"/>
      <c r="P3" s="29"/>
      <c r="Q3" s="29"/>
      <c r="R3" s="29"/>
      <c r="S3" s="29"/>
      <c r="T3" s="36" t="s">
        <v>110</v>
      </c>
      <c r="U3" s="29"/>
      <c r="V3" s="29" t="s">
        <v>107</v>
      </c>
      <c r="W3" s="29"/>
      <c r="X3" s="29"/>
    </row>
    <row r="4" ht="15.75" customHeight="1">
      <c r="A4" s="27" t="s">
        <v>100</v>
      </c>
      <c r="B4" s="22" t="s">
        <v>101</v>
      </c>
      <c r="C4" s="22" t="s">
        <v>23</v>
      </c>
      <c r="D4" s="11" t="s">
        <v>111</v>
      </c>
      <c r="E4" s="24" t="s">
        <v>112</v>
      </c>
      <c r="F4" s="37">
        <v>45660.0</v>
      </c>
      <c r="G4" s="29"/>
      <c r="H4" s="31"/>
      <c r="I4" s="31"/>
      <c r="J4" s="11" t="s">
        <v>111</v>
      </c>
      <c r="K4" s="32">
        <v>3.0</v>
      </c>
      <c r="L4" s="33" t="s">
        <v>113</v>
      </c>
      <c r="M4" s="27" t="s">
        <v>105</v>
      </c>
      <c r="N4" s="34"/>
      <c r="O4" s="31"/>
      <c r="P4" s="29"/>
      <c r="Q4" s="29"/>
      <c r="R4" s="29"/>
      <c r="S4" s="29"/>
      <c r="T4" s="36" t="s">
        <v>114</v>
      </c>
      <c r="U4" s="29"/>
      <c r="V4" s="29" t="s">
        <v>107</v>
      </c>
      <c r="W4" s="29"/>
      <c r="X4" s="29"/>
    </row>
    <row r="5" ht="15.75" customHeight="1">
      <c r="A5" s="27" t="s">
        <v>100</v>
      </c>
      <c r="B5" s="22" t="s">
        <v>101</v>
      </c>
      <c r="C5" s="22" t="s">
        <v>25</v>
      </c>
      <c r="D5" s="11" t="s">
        <v>115</v>
      </c>
      <c r="E5" s="24" t="s">
        <v>116</v>
      </c>
      <c r="F5" s="37">
        <v>45661.0</v>
      </c>
      <c r="G5" s="29"/>
      <c r="H5" s="31"/>
      <c r="I5" s="31"/>
      <c r="J5" s="11" t="s">
        <v>115</v>
      </c>
      <c r="K5" s="32">
        <v>4.0</v>
      </c>
      <c r="L5" s="33" t="s">
        <v>117</v>
      </c>
      <c r="M5" s="27" t="s">
        <v>105</v>
      </c>
      <c r="N5" s="34"/>
      <c r="O5" s="31"/>
      <c r="P5" s="29"/>
      <c r="Q5" s="29"/>
      <c r="R5" s="29"/>
      <c r="S5" s="29"/>
      <c r="T5" s="35" t="s">
        <v>118</v>
      </c>
      <c r="U5" s="29"/>
      <c r="V5" s="29" t="s">
        <v>107</v>
      </c>
      <c r="W5" s="29"/>
      <c r="X5" s="29"/>
    </row>
    <row r="6" ht="15.75" customHeight="1">
      <c r="A6" s="27" t="s">
        <v>100</v>
      </c>
      <c r="B6" s="22" t="s">
        <v>101</v>
      </c>
      <c r="C6" s="22" t="s">
        <v>27</v>
      </c>
      <c r="D6" s="11" t="s">
        <v>119</v>
      </c>
      <c r="E6" s="24" t="s">
        <v>120</v>
      </c>
      <c r="F6" s="37">
        <v>45662.0</v>
      </c>
      <c r="G6" s="29"/>
      <c r="H6" s="31"/>
      <c r="I6" s="31"/>
      <c r="J6" s="11" t="s">
        <v>119</v>
      </c>
      <c r="K6" s="32">
        <v>5.0</v>
      </c>
      <c r="L6" s="33" t="s">
        <v>121</v>
      </c>
      <c r="M6" s="27" t="s">
        <v>105</v>
      </c>
      <c r="N6" s="34"/>
      <c r="O6" s="31"/>
      <c r="P6" s="29"/>
      <c r="Q6" s="29"/>
      <c r="R6" s="29"/>
      <c r="S6" s="29"/>
      <c r="T6" s="36" t="s">
        <v>122</v>
      </c>
      <c r="U6" s="29"/>
      <c r="V6" s="29" t="s">
        <v>107</v>
      </c>
      <c r="W6" s="29"/>
      <c r="X6" s="29"/>
    </row>
    <row r="7" ht="15.75" customHeight="1">
      <c r="A7" s="27" t="s">
        <v>100</v>
      </c>
      <c r="B7" s="22" t="s">
        <v>101</v>
      </c>
      <c r="C7" s="22" t="s">
        <v>29</v>
      </c>
      <c r="D7" s="11" t="s">
        <v>123</v>
      </c>
      <c r="E7" s="24" t="s">
        <v>124</v>
      </c>
      <c r="F7" s="37">
        <v>45663.0</v>
      </c>
      <c r="G7" s="29"/>
      <c r="H7" s="31"/>
      <c r="I7" s="31"/>
      <c r="J7" s="11" t="s">
        <v>123</v>
      </c>
      <c r="K7" s="32">
        <v>6.0</v>
      </c>
      <c r="L7" s="33" t="s">
        <v>125</v>
      </c>
      <c r="M7" s="27" t="s">
        <v>105</v>
      </c>
      <c r="N7" s="34"/>
      <c r="O7" s="31"/>
      <c r="P7" s="29"/>
      <c r="Q7" s="29"/>
      <c r="R7" s="29"/>
      <c r="S7" s="29"/>
      <c r="T7" s="36" t="s">
        <v>126</v>
      </c>
      <c r="U7" s="29"/>
      <c r="V7" s="29" t="s">
        <v>107</v>
      </c>
      <c r="W7" s="29"/>
      <c r="X7" s="29"/>
    </row>
    <row r="8" ht="15.75" customHeight="1">
      <c r="A8" s="22" t="s">
        <v>127</v>
      </c>
      <c r="B8" s="22" t="s">
        <v>128</v>
      </c>
      <c r="C8" s="22" t="s">
        <v>17</v>
      </c>
      <c r="D8" s="38" t="s">
        <v>129</v>
      </c>
      <c r="E8" s="39" t="s">
        <v>130</v>
      </c>
      <c r="F8" s="20" t="s">
        <v>131</v>
      </c>
      <c r="G8" s="29"/>
      <c r="H8" s="40"/>
      <c r="J8" s="38" t="s">
        <v>132</v>
      </c>
      <c r="K8" s="41">
        <v>1.0</v>
      </c>
      <c r="L8" s="38" t="s">
        <v>133</v>
      </c>
      <c r="M8" s="38" t="s">
        <v>134</v>
      </c>
      <c r="N8" s="38" t="s">
        <v>135</v>
      </c>
      <c r="O8" s="40" t="str">
        <f>D8&amp;J8&amp;N8</f>
        <v>Visión EstratégicaVisiónInsuficiente</v>
      </c>
      <c r="P8" s="22">
        <v>1.0</v>
      </c>
      <c r="Q8" s="42">
        <v>1.0</v>
      </c>
      <c r="R8" s="43" t="s">
        <v>136</v>
      </c>
      <c r="S8" s="38" t="s">
        <v>137</v>
      </c>
      <c r="T8" s="38" t="s">
        <v>138</v>
      </c>
      <c r="U8" s="29" t="e">
        <v>#N/A</v>
      </c>
      <c r="V8" s="29" t="s">
        <v>107</v>
      </c>
      <c r="W8" s="29"/>
      <c r="X8" s="29"/>
    </row>
    <row r="9" ht="15.75" customHeight="1">
      <c r="A9" s="22" t="s">
        <v>127</v>
      </c>
      <c r="B9" s="22" t="s">
        <v>128</v>
      </c>
      <c r="C9" s="22" t="s">
        <v>17</v>
      </c>
      <c r="D9" s="38" t="s">
        <v>129</v>
      </c>
      <c r="E9" s="39" t="s">
        <v>130</v>
      </c>
      <c r="F9" s="20" t="s">
        <v>131</v>
      </c>
      <c r="G9" s="29"/>
      <c r="H9" s="40"/>
      <c r="J9" s="38" t="s">
        <v>132</v>
      </c>
      <c r="K9" s="41">
        <v>1.0</v>
      </c>
      <c r="L9" s="38" t="s">
        <v>133</v>
      </c>
      <c r="M9" s="34"/>
      <c r="N9" s="34"/>
      <c r="O9" s="40"/>
      <c r="P9" s="34"/>
      <c r="Q9" s="42">
        <v>43.0</v>
      </c>
      <c r="R9" s="43" t="s">
        <v>139</v>
      </c>
      <c r="S9" s="38" t="s">
        <v>140</v>
      </c>
      <c r="T9" s="38" t="s">
        <v>138</v>
      </c>
      <c r="U9" s="29" t="e">
        <v>#N/A</v>
      </c>
      <c r="V9" s="29" t="s">
        <v>141</v>
      </c>
      <c r="W9" s="29"/>
      <c r="X9" s="29"/>
    </row>
    <row r="10" ht="15.75" customHeight="1">
      <c r="A10" s="22" t="s">
        <v>127</v>
      </c>
      <c r="B10" s="22" t="s">
        <v>128</v>
      </c>
      <c r="C10" s="22" t="s">
        <v>17</v>
      </c>
      <c r="D10" s="38" t="s">
        <v>129</v>
      </c>
      <c r="E10" s="39" t="s">
        <v>130</v>
      </c>
      <c r="F10" s="20" t="s">
        <v>131</v>
      </c>
      <c r="G10" s="29"/>
      <c r="H10" s="40"/>
      <c r="J10" s="38" t="s">
        <v>132</v>
      </c>
      <c r="K10" s="41">
        <v>1.0</v>
      </c>
      <c r="L10" s="38" t="s">
        <v>133</v>
      </c>
      <c r="M10" s="38" t="s">
        <v>142</v>
      </c>
      <c r="N10" s="38" t="s">
        <v>143</v>
      </c>
      <c r="O10" s="40" t="str">
        <f t="shared" ref="O10:O202" si="1">D10&amp;J10&amp;N10</f>
        <v>Visión EstratégicaVisiónAvanzado</v>
      </c>
      <c r="P10" s="29">
        <v>2.0</v>
      </c>
      <c r="Q10" s="42">
        <v>85.0</v>
      </c>
      <c r="R10" s="43" t="s">
        <v>144</v>
      </c>
      <c r="S10" s="38" t="s">
        <v>143</v>
      </c>
      <c r="T10" s="38" t="s">
        <v>138</v>
      </c>
      <c r="U10" s="29">
        <v>2.0</v>
      </c>
      <c r="V10" s="29" t="s">
        <v>141</v>
      </c>
      <c r="W10" s="29"/>
      <c r="X10" s="29"/>
    </row>
    <row r="11" ht="15.75" customHeight="1">
      <c r="A11" s="22" t="s">
        <v>127</v>
      </c>
      <c r="B11" s="22" t="s">
        <v>128</v>
      </c>
      <c r="C11" s="22" t="s">
        <v>17</v>
      </c>
      <c r="D11" s="38" t="s">
        <v>129</v>
      </c>
      <c r="E11" s="39" t="s">
        <v>130</v>
      </c>
      <c r="F11" s="20" t="s">
        <v>145</v>
      </c>
      <c r="G11" s="29"/>
      <c r="H11" s="40"/>
      <c r="J11" s="38" t="s">
        <v>146</v>
      </c>
      <c r="K11" s="41">
        <v>2.0</v>
      </c>
      <c r="L11" s="38" t="s">
        <v>147</v>
      </c>
      <c r="M11" s="38" t="s">
        <v>134</v>
      </c>
      <c r="N11" s="38" t="s">
        <v>135</v>
      </c>
      <c r="O11" s="40" t="str">
        <f t="shared" si="1"/>
        <v>Visión EstratégicaEstrategiaInsuficiente</v>
      </c>
      <c r="P11" s="29">
        <v>3.0</v>
      </c>
      <c r="Q11" s="42">
        <v>44.0</v>
      </c>
      <c r="R11" s="43" t="s">
        <v>148</v>
      </c>
      <c r="S11" s="38" t="s">
        <v>140</v>
      </c>
      <c r="T11" s="38" t="s">
        <v>149</v>
      </c>
      <c r="U11" s="29" t="e">
        <v>#N/A</v>
      </c>
      <c r="V11" s="29" t="s">
        <v>107</v>
      </c>
      <c r="W11" s="29"/>
      <c r="X11" s="29"/>
    </row>
    <row r="12" ht="15.75" customHeight="1">
      <c r="A12" s="22" t="s">
        <v>127</v>
      </c>
      <c r="B12" s="22" t="s">
        <v>128</v>
      </c>
      <c r="C12" s="22" t="s">
        <v>17</v>
      </c>
      <c r="D12" s="38" t="s">
        <v>129</v>
      </c>
      <c r="E12" s="39" t="s">
        <v>130</v>
      </c>
      <c r="F12" s="20" t="s">
        <v>145</v>
      </c>
      <c r="G12" s="29"/>
      <c r="H12" s="40"/>
      <c r="J12" s="38" t="s">
        <v>146</v>
      </c>
      <c r="K12" s="41">
        <v>2.0</v>
      </c>
      <c r="L12" s="38" t="s">
        <v>147</v>
      </c>
      <c r="M12" s="38" t="s">
        <v>150</v>
      </c>
      <c r="N12" s="38" t="s">
        <v>137</v>
      </c>
      <c r="O12" s="40" t="str">
        <f t="shared" si="1"/>
        <v>Visión EstratégicaEstrategiaBásico</v>
      </c>
      <c r="P12" s="29">
        <v>4.0</v>
      </c>
      <c r="Q12" s="42">
        <v>2.0</v>
      </c>
      <c r="R12" s="43" t="s">
        <v>151</v>
      </c>
      <c r="S12" s="38" t="s">
        <v>137</v>
      </c>
      <c r="T12" s="38" t="s">
        <v>149</v>
      </c>
      <c r="U12" s="29">
        <v>4.0</v>
      </c>
      <c r="V12" s="29" t="s">
        <v>141</v>
      </c>
      <c r="W12" s="29"/>
      <c r="X12" s="29"/>
    </row>
    <row r="13" ht="15.75" customHeight="1">
      <c r="A13" s="22" t="s">
        <v>127</v>
      </c>
      <c r="B13" s="22" t="s">
        <v>128</v>
      </c>
      <c r="C13" s="22" t="s">
        <v>17</v>
      </c>
      <c r="D13" s="38" t="s">
        <v>129</v>
      </c>
      <c r="E13" s="39" t="s">
        <v>130</v>
      </c>
      <c r="F13" s="20" t="s">
        <v>145</v>
      </c>
      <c r="G13" s="29"/>
      <c r="H13" s="40"/>
      <c r="J13" s="38" t="s">
        <v>146</v>
      </c>
      <c r="K13" s="41">
        <v>2.0</v>
      </c>
      <c r="L13" s="38" t="s">
        <v>147</v>
      </c>
      <c r="M13" s="38" t="s">
        <v>152</v>
      </c>
      <c r="N13" s="38" t="s">
        <v>143</v>
      </c>
      <c r="O13" s="40" t="str">
        <f t="shared" si="1"/>
        <v>Visión EstratégicaEstrategiaAvanzado</v>
      </c>
      <c r="P13" s="29">
        <v>5.0</v>
      </c>
      <c r="Q13" s="42">
        <v>86.0</v>
      </c>
      <c r="R13" s="43" t="s">
        <v>153</v>
      </c>
      <c r="S13" s="38" t="s">
        <v>143</v>
      </c>
      <c r="T13" s="38" t="s">
        <v>149</v>
      </c>
      <c r="U13" s="29">
        <v>5.0</v>
      </c>
      <c r="V13" s="29" t="s">
        <v>141</v>
      </c>
      <c r="W13" s="29"/>
      <c r="X13" s="29"/>
    </row>
    <row r="14" ht="15.75" customHeight="1">
      <c r="A14" s="22" t="s">
        <v>127</v>
      </c>
      <c r="B14" s="22" t="s">
        <v>128</v>
      </c>
      <c r="C14" s="22" t="s">
        <v>17</v>
      </c>
      <c r="D14" s="38" t="s">
        <v>129</v>
      </c>
      <c r="E14" s="39" t="s">
        <v>130</v>
      </c>
      <c r="F14" s="20" t="s">
        <v>154</v>
      </c>
      <c r="G14" s="29"/>
      <c r="H14" s="40"/>
      <c r="J14" s="38" t="s">
        <v>155</v>
      </c>
      <c r="K14" s="41">
        <v>3.0</v>
      </c>
      <c r="L14" s="38" t="s">
        <v>156</v>
      </c>
      <c r="M14" s="38" t="s">
        <v>157</v>
      </c>
      <c r="N14" s="38" t="s">
        <v>135</v>
      </c>
      <c r="O14" s="40" t="str">
        <f t="shared" si="1"/>
        <v>Visión EstratégicaPresupuesto y RecursosInsuficiente</v>
      </c>
      <c r="P14" s="29">
        <v>6.0</v>
      </c>
      <c r="Q14" s="42">
        <v>3.0</v>
      </c>
      <c r="R14" s="43" t="s">
        <v>158</v>
      </c>
      <c r="S14" s="38" t="s">
        <v>137</v>
      </c>
      <c r="T14" s="38" t="s">
        <v>159</v>
      </c>
      <c r="U14" s="29" t="e">
        <v>#N/A</v>
      </c>
      <c r="V14" s="29" t="s">
        <v>107</v>
      </c>
      <c r="W14" s="29"/>
      <c r="X14" s="29"/>
    </row>
    <row r="15" ht="15.75" customHeight="1">
      <c r="A15" s="22" t="s">
        <v>127</v>
      </c>
      <c r="B15" s="22" t="s">
        <v>128</v>
      </c>
      <c r="C15" s="22" t="s">
        <v>17</v>
      </c>
      <c r="D15" s="38" t="s">
        <v>129</v>
      </c>
      <c r="E15" s="39" t="s">
        <v>130</v>
      </c>
      <c r="F15" s="20" t="s">
        <v>154</v>
      </c>
      <c r="G15" s="29"/>
      <c r="H15" s="40"/>
      <c r="J15" s="38" t="s">
        <v>155</v>
      </c>
      <c r="K15" s="41">
        <v>3.0</v>
      </c>
      <c r="L15" s="38" t="s">
        <v>156</v>
      </c>
      <c r="M15" s="38" t="s">
        <v>134</v>
      </c>
      <c r="N15" s="38" t="s">
        <v>135</v>
      </c>
      <c r="O15" s="40" t="str">
        <f t="shared" si="1"/>
        <v>Visión EstratégicaPresupuesto y RecursosInsuficiente</v>
      </c>
      <c r="P15" s="29">
        <v>7.0</v>
      </c>
      <c r="Q15" s="42">
        <v>45.0</v>
      </c>
      <c r="R15" s="43" t="s">
        <v>160</v>
      </c>
      <c r="S15" s="38" t="s">
        <v>140</v>
      </c>
      <c r="T15" s="38" t="s">
        <v>159</v>
      </c>
      <c r="U15" s="29" t="e">
        <v>#N/A</v>
      </c>
      <c r="V15" s="29" t="s">
        <v>141</v>
      </c>
      <c r="W15" s="29"/>
      <c r="X15" s="29"/>
    </row>
    <row r="16" ht="15.75" customHeight="1">
      <c r="A16" s="22" t="s">
        <v>127</v>
      </c>
      <c r="B16" s="22" t="s">
        <v>128</v>
      </c>
      <c r="C16" s="22" t="s">
        <v>17</v>
      </c>
      <c r="D16" s="38" t="s">
        <v>129</v>
      </c>
      <c r="E16" s="39" t="s">
        <v>130</v>
      </c>
      <c r="F16" s="20" t="s">
        <v>154</v>
      </c>
      <c r="G16" s="29"/>
      <c r="H16" s="40"/>
      <c r="J16" s="38" t="s">
        <v>155</v>
      </c>
      <c r="K16" s="41">
        <v>3.0</v>
      </c>
      <c r="L16" s="38" t="s">
        <v>156</v>
      </c>
      <c r="M16" s="38" t="s">
        <v>142</v>
      </c>
      <c r="N16" s="38" t="s">
        <v>143</v>
      </c>
      <c r="O16" s="40" t="str">
        <f t="shared" si="1"/>
        <v>Visión EstratégicaPresupuesto y RecursosAvanzado</v>
      </c>
      <c r="P16" s="29">
        <v>8.0</v>
      </c>
      <c r="Q16" s="42">
        <v>87.0</v>
      </c>
      <c r="R16" s="43" t="s">
        <v>161</v>
      </c>
      <c r="S16" s="38" t="s">
        <v>143</v>
      </c>
      <c r="T16" s="38" t="s">
        <v>159</v>
      </c>
      <c r="U16" s="29">
        <v>8.0</v>
      </c>
      <c r="V16" s="29" t="s">
        <v>141</v>
      </c>
      <c r="W16" s="29"/>
      <c r="X16" s="29"/>
    </row>
    <row r="17" ht="15.75" customHeight="1">
      <c r="A17" s="22" t="s">
        <v>127</v>
      </c>
      <c r="B17" s="22" t="s">
        <v>128</v>
      </c>
      <c r="C17" s="22" t="s">
        <v>17</v>
      </c>
      <c r="D17" s="38" t="s">
        <v>129</v>
      </c>
      <c r="E17" s="39" t="s">
        <v>130</v>
      </c>
      <c r="F17" s="20" t="s">
        <v>162</v>
      </c>
      <c r="G17" s="29"/>
      <c r="H17" s="40"/>
      <c r="J17" s="38" t="s">
        <v>163</v>
      </c>
      <c r="K17" s="41">
        <v>4.0</v>
      </c>
      <c r="L17" s="38" t="s">
        <v>164</v>
      </c>
      <c r="M17" s="38" t="s">
        <v>134</v>
      </c>
      <c r="N17" s="38" t="s">
        <v>135</v>
      </c>
      <c r="O17" s="40" t="str">
        <f t="shared" si="1"/>
        <v>Visión EstratégicaCapacidadesInsuficiente</v>
      </c>
      <c r="P17" s="29">
        <v>9.0</v>
      </c>
      <c r="Q17" s="44"/>
      <c r="R17" s="34"/>
      <c r="S17" s="34"/>
      <c r="T17" s="34"/>
      <c r="U17" s="34"/>
      <c r="V17" s="29" t="s">
        <v>107</v>
      </c>
      <c r="W17" s="29"/>
      <c r="X17" s="29"/>
    </row>
    <row r="18" ht="15.75" customHeight="1">
      <c r="A18" s="22" t="s">
        <v>127</v>
      </c>
      <c r="B18" s="22" t="s">
        <v>128</v>
      </c>
      <c r="C18" s="22" t="s">
        <v>17</v>
      </c>
      <c r="D18" s="38" t="s">
        <v>129</v>
      </c>
      <c r="E18" s="39" t="s">
        <v>130</v>
      </c>
      <c r="F18" s="20" t="s">
        <v>162</v>
      </c>
      <c r="G18" s="29"/>
      <c r="H18" s="40"/>
      <c r="J18" s="38" t="s">
        <v>163</v>
      </c>
      <c r="K18" s="41">
        <v>4.0</v>
      </c>
      <c r="L18" s="38" t="s">
        <v>164</v>
      </c>
      <c r="M18" s="38" t="s">
        <v>165</v>
      </c>
      <c r="N18" s="38" t="s">
        <v>137</v>
      </c>
      <c r="O18" s="40" t="str">
        <f t="shared" si="1"/>
        <v>Visión EstratégicaCapacidadesBásico</v>
      </c>
      <c r="P18" s="29">
        <v>10.0</v>
      </c>
      <c r="Q18" s="42">
        <v>4.0</v>
      </c>
      <c r="R18" s="43" t="s">
        <v>166</v>
      </c>
      <c r="S18" s="38" t="s">
        <v>137</v>
      </c>
      <c r="T18" s="38" t="s">
        <v>167</v>
      </c>
      <c r="U18" s="29">
        <v>10.0</v>
      </c>
      <c r="V18" s="29" t="s">
        <v>141</v>
      </c>
      <c r="W18" s="29"/>
      <c r="X18" s="29"/>
    </row>
    <row r="19" ht="15.75" customHeight="1">
      <c r="A19" s="22" t="s">
        <v>127</v>
      </c>
      <c r="B19" s="22" t="s">
        <v>128</v>
      </c>
      <c r="C19" s="22" t="s">
        <v>17</v>
      </c>
      <c r="D19" s="38" t="s">
        <v>129</v>
      </c>
      <c r="E19" s="39" t="s">
        <v>130</v>
      </c>
      <c r="F19" s="20" t="s">
        <v>162</v>
      </c>
      <c r="G19" s="29"/>
      <c r="H19" s="40"/>
      <c r="J19" s="38" t="s">
        <v>163</v>
      </c>
      <c r="K19" s="41">
        <v>4.0</v>
      </c>
      <c r="L19" s="38" t="s">
        <v>164</v>
      </c>
      <c r="M19" s="38" t="s">
        <v>168</v>
      </c>
      <c r="N19" s="38" t="s">
        <v>140</v>
      </c>
      <c r="O19" s="40" t="str">
        <f t="shared" si="1"/>
        <v>Visión EstratégicaCapacidadesMedio</v>
      </c>
      <c r="P19" s="29">
        <v>11.0</v>
      </c>
      <c r="Q19" s="42">
        <v>46.0</v>
      </c>
      <c r="R19" s="43" t="s">
        <v>169</v>
      </c>
      <c r="S19" s="38" t="s">
        <v>140</v>
      </c>
      <c r="T19" s="38" t="s">
        <v>170</v>
      </c>
      <c r="U19" s="29">
        <v>11.0</v>
      </c>
      <c r="V19" s="29" t="s">
        <v>141</v>
      </c>
      <c r="W19" s="29"/>
      <c r="X19" s="29"/>
    </row>
    <row r="20" ht="15.75" customHeight="1">
      <c r="A20" s="22" t="s">
        <v>127</v>
      </c>
      <c r="B20" s="22" t="s">
        <v>128</v>
      </c>
      <c r="C20" s="22" t="s">
        <v>17</v>
      </c>
      <c r="D20" s="38" t="s">
        <v>129</v>
      </c>
      <c r="E20" s="39" t="s">
        <v>130</v>
      </c>
      <c r="F20" s="20" t="s">
        <v>162</v>
      </c>
      <c r="G20" s="29"/>
      <c r="H20" s="40"/>
      <c r="J20" s="38" t="s">
        <v>163</v>
      </c>
      <c r="K20" s="41">
        <v>4.0</v>
      </c>
      <c r="L20" s="38" t="s">
        <v>164</v>
      </c>
      <c r="M20" s="38" t="s">
        <v>171</v>
      </c>
      <c r="N20" s="38" t="s">
        <v>143</v>
      </c>
      <c r="O20" s="40" t="str">
        <f t="shared" si="1"/>
        <v>Visión EstratégicaCapacidadesAvanzado</v>
      </c>
      <c r="P20" s="29">
        <v>12.0</v>
      </c>
      <c r="Q20" s="42">
        <v>88.0</v>
      </c>
      <c r="R20" s="43" t="s">
        <v>172</v>
      </c>
      <c r="S20" s="38" t="s">
        <v>143</v>
      </c>
      <c r="T20" s="38" t="s">
        <v>173</v>
      </c>
      <c r="U20" s="29">
        <v>12.0</v>
      </c>
      <c r="V20" s="29" t="s">
        <v>141</v>
      </c>
      <c r="W20" s="29"/>
      <c r="X20" s="29"/>
    </row>
    <row r="21" ht="15.75" customHeight="1">
      <c r="A21" s="22" t="s">
        <v>127</v>
      </c>
      <c r="B21" s="22" t="s">
        <v>128</v>
      </c>
      <c r="C21" s="22" t="s">
        <v>17</v>
      </c>
      <c r="D21" s="38" t="s">
        <v>129</v>
      </c>
      <c r="E21" s="39" t="s">
        <v>130</v>
      </c>
      <c r="F21" s="20" t="s">
        <v>174</v>
      </c>
      <c r="G21" s="29"/>
      <c r="H21" s="40"/>
      <c r="J21" s="38" t="s">
        <v>175</v>
      </c>
      <c r="K21" s="41">
        <v>5.0</v>
      </c>
      <c r="L21" s="38" t="s">
        <v>176</v>
      </c>
      <c r="M21" s="38" t="s">
        <v>134</v>
      </c>
      <c r="N21" s="38" t="s">
        <v>135</v>
      </c>
      <c r="O21" s="40" t="str">
        <f t="shared" si="1"/>
        <v>Visión EstratégicaGestión del CambioInsuficiente</v>
      </c>
      <c r="P21" s="29">
        <v>13.0</v>
      </c>
      <c r="Q21" s="42">
        <v>5.0</v>
      </c>
      <c r="R21" s="43" t="s">
        <v>177</v>
      </c>
      <c r="S21" s="38" t="s">
        <v>137</v>
      </c>
      <c r="T21" s="38" t="s">
        <v>178</v>
      </c>
      <c r="U21" s="29">
        <v>14.0</v>
      </c>
      <c r="V21" s="29" t="s">
        <v>107</v>
      </c>
      <c r="W21" s="29"/>
      <c r="X21" s="29"/>
    </row>
    <row r="22" ht="15.75" customHeight="1">
      <c r="A22" s="22" t="s">
        <v>127</v>
      </c>
      <c r="B22" s="22" t="s">
        <v>128</v>
      </c>
      <c r="C22" s="22" t="s">
        <v>17</v>
      </c>
      <c r="D22" s="38" t="s">
        <v>129</v>
      </c>
      <c r="E22" s="39" t="s">
        <v>130</v>
      </c>
      <c r="F22" s="20" t="s">
        <v>174</v>
      </c>
      <c r="G22" s="29"/>
      <c r="H22" s="40"/>
      <c r="J22" s="38" t="s">
        <v>175</v>
      </c>
      <c r="K22" s="41">
        <v>5.0</v>
      </c>
      <c r="L22" s="38" t="s">
        <v>176</v>
      </c>
      <c r="M22" s="38" t="s">
        <v>179</v>
      </c>
      <c r="N22" s="38" t="s">
        <v>137</v>
      </c>
      <c r="O22" s="40" t="str">
        <f t="shared" si="1"/>
        <v>Visión EstratégicaGestión del CambioBásico</v>
      </c>
      <c r="P22" s="29">
        <v>14.0</v>
      </c>
      <c r="Q22" s="42">
        <v>47.0</v>
      </c>
      <c r="R22" s="43" t="s">
        <v>180</v>
      </c>
      <c r="S22" s="38" t="s">
        <v>140</v>
      </c>
      <c r="T22" s="38" t="s">
        <v>181</v>
      </c>
      <c r="U22" s="29">
        <v>15.0</v>
      </c>
      <c r="V22" s="29" t="s">
        <v>141</v>
      </c>
      <c r="W22" s="29"/>
      <c r="X22" s="29"/>
    </row>
    <row r="23" ht="15.75" customHeight="1">
      <c r="A23" s="22" t="s">
        <v>127</v>
      </c>
      <c r="B23" s="22" t="s">
        <v>128</v>
      </c>
      <c r="C23" s="22" t="s">
        <v>17</v>
      </c>
      <c r="D23" s="38" t="s">
        <v>129</v>
      </c>
      <c r="E23" s="39" t="s">
        <v>130</v>
      </c>
      <c r="F23" s="20" t="s">
        <v>174</v>
      </c>
      <c r="G23" s="29"/>
      <c r="H23" s="40"/>
      <c r="J23" s="38" t="s">
        <v>175</v>
      </c>
      <c r="K23" s="41">
        <v>5.0</v>
      </c>
      <c r="L23" s="38" t="s">
        <v>176</v>
      </c>
      <c r="M23" s="38" t="s">
        <v>182</v>
      </c>
      <c r="N23" s="38" t="s">
        <v>140</v>
      </c>
      <c r="O23" s="40" t="str">
        <f t="shared" si="1"/>
        <v>Visión EstratégicaGestión del CambioMedio</v>
      </c>
      <c r="P23" s="29">
        <v>15.0</v>
      </c>
      <c r="Q23" s="42">
        <v>89.0</v>
      </c>
      <c r="R23" s="43" t="s">
        <v>183</v>
      </c>
      <c r="S23" s="38" t="s">
        <v>143</v>
      </c>
      <c r="T23" s="38" t="s">
        <v>184</v>
      </c>
      <c r="U23" s="29">
        <v>16.0</v>
      </c>
      <c r="V23" s="29" t="s">
        <v>141</v>
      </c>
      <c r="W23" s="29"/>
      <c r="X23" s="29"/>
    </row>
    <row r="24" ht="15.75" customHeight="1">
      <c r="A24" s="22" t="s">
        <v>127</v>
      </c>
      <c r="B24" s="22" t="s">
        <v>128</v>
      </c>
      <c r="C24" s="22" t="s">
        <v>17</v>
      </c>
      <c r="D24" s="38" t="s">
        <v>129</v>
      </c>
      <c r="E24" s="39" t="s">
        <v>130</v>
      </c>
      <c r="F24" s="20" t="s">
        <v>174</v>
      </c>
      <c r="G24" s="29"/>
      <c r="H24" s="40"/>
      <c r="J24" s="38" t="s">
        <v>175</v>
      </c>
      <c r="K24" s="41">
        <v>5.0</v>
      </c>
      <c r="L24" s="38" t="s">
        <v>176</v>
      </c>
      <c r="M24" s="38" t="s">
        <v>185</v>
      </c>
      <c r="N24" s="38" t="s">
        <v>143</v>
      </c>
      <c r="O24" s="40" t="str">
        <f t="shared" si="1"/>
        <v>Visión EstratégicaGestión del CambioAvanzado</v>
      </c>
      <c r="P24" s="29">
        <v>16.0</v>
      </c>
      <c r="Q24" s="44"/>
      <c r="R24" s="34"/>
      <c r="S24" s="34"/>
      <c r="T24" s="34"/>
      <c r="U24" s="34"/>
      <c r="V24" s="29" t="s">
        <v>141</v>
      </c>
      <c r="W24" s="29"/>
      <c r="X24" s="29"/>
    </row>
    <row r="25" ht="15.75" customHeight="1">
      <c r="A25" s="22" t="s">
        <v>127</v>
      </c>
      <c r="B25" s="22" t="s">
        <v>128</v>
      </c>
      <c r="C25" s="22" t="s">
        <v>17</v>
      </c>
      <c r="D25" s="38" t="s">
        <v>129</v>
      </c>
      <c r="E25" s="39" t="s">
        <v>130</v>
      </c>
      <c r="F25" s="20" t="s">
        <v>186</v>
      </c>
      <c r="G25" s="29"/>
      <c r="H25" s="40"/>
      <c r="J25" s="38" t="s">
        <v>187</v>
      </c>
      <c r="K25" s="41">
        <v>6.0</v>
      </c>
      <c r="L25" s="38" t="s">
        <v>188</v>
      </c>
      <c r="M25" s="38" t="s">
        <v>134</v>
      </c>
      <c r="N25" s="38" t="s">
        <v>135</v>
      </c>
      <c r="O25" s="40" t="str">
        <f t="shared" si="1"/>
        <v>Visión EstratégicaAlianzas y ColaboracionesInsuficiente</v>
      </c>
      <c r="P25" s="29">
        <v>17.0</v>
      </c>
      <c r="Q25" s="34"/>
      <c r="R25" s="34"/>
      <c r="S25" s="34"/>
      <c r="T25" s="34"/>
      <c r="U25" s="34"/>
      <c r="V25" s="29" t="s">
        <v>107</v>
      </c>
      <c r="W25" s="29"/>
      <c r="X25" s="29"/>
    </row>
    <row r="26" ht="15.75" customHeight="1">
      <c r="A26" s="22" t="s">
        <v>127</v>
      </c>
      <c r="B26" s="22" t="s">
        <v>128</v>
      </c>
      <c r="C26" s="22" t="s">
        <v>17</v>
      </c>
      <c r="D26" s="38" t="s">
        <v>129</v>
      </c>
      <c r="E26" s="39" t="s">
        <v>130</v>
      </c>
      <c r="F26" s="20" t="s">
        <v>186</v>
      </c>
      <c r="G26" s="29"/>
      <c r="H26" s="40"/>
      <c r="J26" s="38" t="s">
        <v>187</v>
      </c>
      <c r="K26" s="41">
        <v>6.0</v>
      </c>
      <c r="L26" s="38" t="s">
        <v>188</v>
      </c>
      <c r="M26" s="38" t="s">
        <v>189</v>
      </c>
      <c r="N26" s="38" t="s">
        <v>137</v>
      </c>
      <c r="O26" s="40" t="str">
        <f t="shared" si="1"/>
        <v>Visión EstratégicaAlianzas y ColaboracionesBásico</v>
      </c>
      <c r="P26" s="29">
        <v>18.0</v>
      </c>
      <c r="Q26" s="42">
        <v>6.0</v>
      </c>
      <c r="R26" s="43" t="s">
        <v>190</v>
      </c>
      <c r="S26" s="38" t="s">
        <v>137</v>
      </c>
      <c r="T26" s="38" t="s">
        <v>191</v>
      </c>
      <c r="U26" s="29">
        <v>18.0</v>
      </c>
      <c r="V26" s="29" t="s">
        <v>141</v>
      </c>
      <c r="W26" s="29"/>
      <c r="X26" s="29"/>
    </row>
    <row r="27" ht="15.75" customHeight="1">
      <c r="A27" s="22" t="s">
        <v>127</v>
      </c>
      <c r="B27" s="22" t="s">
        <v>128</v>
      </c>
      <c r="C27" s="22" t="s">
        <v>17</v>
      </c>
      <c r="D27" s="38" t="s">
        <v>129</v>
      </c>
      <c r="E27" s="39" t="s">
        <v>130</v>
      </c>
      <c r="F27" s="20" t="s">
        <v>186</v>
      </c>
      <c r="G27" s="29"/>
      <c r="H27" s="40"/>
      <c r="J27" s="38" t="s">
        <v>187</v>
      </c>
      <c r="K27" s="41">
        <v>6.0</v>
      </c>
      <c r="L27" s="38" t="s">
        <v>188</v>
      </c>
      <c r="M27" s="38" t="s">
        <v>192</v>
      </c>
      <c r="N27" s="38" t="s">
        <v>140</v>
      </c>
      <c r="O27" s="40" t="str">
        <f t="shared" si="1"/>
        <v>Visión EstratégicaAlianzas y ColaboracionesMedio</v>
      </c>
      <c r="P27" s="29">
        <v>19.0</v>
      </c>
      <c r="Q27" s="42">
        <v>48.0</v>
      </c>
      <c r="R27" s="43" t="s">
        <v>193</v>
      </c>
      <c r="S27" s="38" t="s">
        <v>140</v>
      </c>
      <c r="T27" s="38" t="s">
        <v>194</v>
      </c>
      <c r="U27" s="29">
        <v>19.0</v>
      </c>
      <c r="V27" s="29" t="s">
        <v>141</v>
      </c>
      <c r="W27" s="29"/>
      <c r="X27" s="29"/>
    </row>
    <row r="28" ht="15.75" customHeight="1">
      <c r="A28" s="22" t="s">
        <v>127</v>
      </c>
      <c r="B28" s="22" t="s">
        <v>128</v>
      </c>
      <c r="C28" s="22" t="s">
        <v>17</v>
      </c>
      <c r="D28" s="38" t="s">
        <v>129</v>
      </c>
      <c r="E28" s="39" t="s">
        <v>130</v>
      </c>
      <c r="F28" s="20" t="s">
        <v>186</v>
      </c>
      <c r="G28" s="29"/>
      <c r="H28" s="40"/>
      <c r="J28" s="38" t="s">
        <v>187</v>
      </c>
      <c r="K28" s="41">
        <v>6.0</v>
      </c>
      <c r="L28" s="38" t="s">
        <v>188</v>
      </c>
      <c r="M28" s="38" t="s">
        <v>195</v>
      </c>
      <c r="N28" s="38" t="s">
        <v>143</v>
      </c>
      <c r="O28" s="40" t="str">
        <f t="shared" si="1"/>
        <v>Visión EstratégicaAlianzas y ColaboracionesAvanzado</v>
      </c>
      <c r="P28" s="29">
        <v>20.0</v>
      </c>
      <c r="Q28" s="42">
        <v>90.0</v>
      </c>
      <c r="R28" s="43" t="s">
        <v>196</v>
      </c>
      <c r="S28" s="38" t="s">
        <v>143</v>
      </c>
      <c r="T28" s="38" t="s">
        <v>197</v>
      </c>
      <c r="U28" s="29">
        <v>20.0</v>
      </c>
      <c r="V28" s="29" t="s">
        <v>141</v>
      </c>
      <c r="W28" s="29"/>
      <c r="X28" s="29"/>
    </row>
    <row r="29" ht="15.75" customHeight="1">
      <c r="A29" s="22" t="s">
        <v>127</v>
      </c>
      <c r="B29" s="22" t="s">
        <v>128</v>
      </c>
      <c r="C29" s="22" t="s">
        <v>17</v>
      </c>
      <c r="D29" s="38" t="s">
        <v>129</v>
      </c>
      <c r="E29" s="39" t="s">
        <v>130</v>
      </c>
      <c r="F29" s="20" t="s">
        <v>198</v>
      </c>
      <c r="G29" s="29"/>
      <c r="H29" s="40"/>
      <c r="J29" s="38" t="s">
        <v>199</v>
      </c>
      <c r="K29" s="41">
        <v>7.0</v>
      </c>
      <c r="L29" s="38" t="s">
        <v>200</v>
      </c>
      <c r="M29" s="38" t="s">
        <v>134</v>
      </c>
      <c r="N29" s="38" t="s">
        <v>135</v>
      </c>
      <c r="O29" s="40" t="str">
        <f t="shared" si="1"/>
        <v>Visión EstratégicaMedición y SeguimientoInsuficiente</v>
      </c>
      <c r="P29" s="29">
        <v>21.0</v>
      </c>
      <c r="Q29" s="34"/>
      <c r="R29" s="34"/>
      <c r="S29" s="34"/>
      <c r="T29" s="34"/>
      <c r="U29" s="34"/>
      <c r="V29" s="29" t="s">
        <v>107</v>
      </c>
      <c r="W29" s="29"/>
      <c r="X29" s="29"/>
    </row>
    <row r="30" ht="15.75" customHeight="1">
      <c r="A30" s="22" t="s">
        <v>127</v>
      </c>
      <c r="B30" s="22" t="s">
        <v>128</v>
      </c>
      <c r="C30" s="22" t="s">
        <v>17</v>
      </c>
      <c r="D30" s="38" t="s">
        <v>129</v>
      </c>
      <c r="E30" s="39" t="s">
        <v>130</v>
      </c>
      <c r="F30" s="20" t="s">
        <v>198</v>
      </c>
      <c r="G30" s="29"/>
      <c r="H30" s="40"/>
      <c r="J30" s="38" t="s">
        <v>199</v>
      </c>
      <c r="K30" s="41">
        <v>7.0</v>
      </c>
      <c r="L30" s="38" t="s">
        <v>200</v>
      </c>
      <c r="M30" s="38" t="s">
        <v>201</v>
      </c>
      <c r="N30" s="38" t="s">
        <v>137</v>
      </c>
      <c r="O30" s="40" t="str">
        <f t="shared" si="1"/>
        <v>Visión EstratégicaMedición y SeguimientoBásico</v>
      </c>
      <c r="P30" s="29">
        <v>22.0</v>
      </c>
      <c r="Q30" s="42">
        <v>7.0</v>
      </c>
      <c r="R30" s="43" t="s">
        <v>202</v>
      </c>
      <c r="S30" s="38" t="s">
        <v>137</v>
      </c>
      <c r="T30" s="38" t="s">
        <v>203</v>
      </c>
      <c r="U30" s="29">
        <v>22.0</v>
      </c>
      <c r="V30" s="29" t="s">
        <v>141</v>
      </c>
      <c r="W30" s="29"/>
      <c r="X30" s="29"/>
    </row>
    <row r="31" ht="15.75" customHeight="1">
      <c r="A31" s="22" t="s">
        <v>127</v>
      </c>
      <c r="B31" s="22" t="s">
        <v>128</v>
      </c>
      <c r="C31" s="22" t="s">
        <v>17</v>
      </c>
      <c r="D31" s="38" t="s">
        <v>129</v>
      </c>
      <c r="E31" s="39" t="s">
        <v>130</v>
      </c>
      <c r="F31" s="20" t="s">
        <v>198</v>
      </c>
      <c r="G31" s="29"/>
      <c r="H31" s="40"/>
      <c r="J31" s="38" t="s">
        <v>199</v>
      </c>
      <c r="K31" s="41">
        <v>7.0</v>
      </c>
      <c r="L31" s="38" t="s">
        <v>200</v>
      </c>
      <c r="M31" s="38" t="s">
        <v>204</v>
      </c>
      <c r="N31" s="38" t="s">
        <v>140</v>
      </c>
      <c r="O31" s="40" t="str">
        <f t="shared" si="1"/>
        <v>Visión EstratégicaMedición y SeguimientoMedio</v>
      </c>
      <c r="P31" s="29">
        <v>23.0</v>
      </c>
      <c r="Q31" s="42">
        <v>49.0</v>
      </c>
      <c r="R31" s="43" t="s">
        <v>205</v>
      </c>
      <c r="S31" s="38" t="s">
        <v>140</v>
      </c>
      <c r="T31" s="38" t="s">
        <v>206</v>
      </c>
      <c r="U31" s="29">
        <v>23.0</v>
      </c>
      <c r="V31" s="29" t="s">
        <v>141</v>
      </c>
      <c r="W31" s="29"/>
      <c r="X31" s="29"/>
    </row>
    <row r="32" ht="15.75" customHeight="1">
      <c r="A32" s="22" t="s">
        <v>127</v>
      </c>
      <c r="B32" s="22" t="s">
        <v>128</v>
      </c>
      <c r="C32" s="22" t="s">
        <v>17</v>
      </c>
      <c r="D32" s="38" t="s">
        <v>129</v>
      </c>
      <c r="E32" s="39" t="s">
        <v>130</v>
      </c>
      <c r="F32" s="20" t="s">
        <v>198</v>
      </c>
      <c r="G32" s="29"/>
      <c r="H32" s="40"/>
      <c r="J32" s="38" t="s">
        <v>199</v>
      </c>
      <c r="K32" s="41">
        <v>7.0</v>
      </c>
      <c r="L32" s="38" t="s">
        <v>200</v>
      </c>
      <c r="M32" s="38" t="s">
        <v>207</v>
      </c>
      <c r="N32" s="38" t="s">
        <v>143</v>
      </c>
      <c r="O32" s="40" t="str">
        <f t="shared" si="1"/>
        <v>Visión EstratégicaMedición y SeguimientoAvanzado</v>
      </c>
      <c r="P32" s="29">
        <v>24.0</v>
      </c>
      <c r="Q32" s="42">
        <v>91.0</v>
      </c>
      <c r="R32" s="43" t="s">
        <v>208</v>
      </c>
      <c r="S32" s="38" t="s">
        <v>143</v>
      </c>
      <c r="T32" s="38" t="s">
        <v>209</v>
      </c>
      <c r="U32" s="29">
        <v>24.0</v>
      </c>
      <c r="V32" s="29" t="s">
        <v>141</v>
      </c>
      <c r="W32" s="29"/>
      <c r="X32" s="29"/>
    </row>
    <row r="33" ht="15.75" customHeight="1">
      <c r="A33" s="22" t="s">
        <v>127</v>
      </c>
      <c r="B33" s="22" t="s">
        <v>128</v>
      </c>
      <c r="C33" s="22" t="s">
        <v>20</v>
      </c>
      <c r="D33" s="38" t="s">
        <v>210</v>
      </c>
      <c r="E33" s="39" t="s">
        <v>211</v>
      </c>
      <c r="F33" s="20" t="s">
        <v>212</v>
      </c>
      <c r="G33" s="29"/>
      <c r="H33" s="40"/>
      <c r="J33" s="38" t="s">
        <v>213</v>
      </c>
      <c r="K33" s="41">
        <v>8.0</v>
      </c>
      <c r="L33" s="38" t="s">
        <v>214</v>
      </c>
      <c r="M33" s="38" t="s">
        <v>134</v>
      </c>
      <c r="N33" s="38" t="s">
        <v>135</v>
      </c>
      <c r="O33" s="40" t="str">
        <f t="shared" si="1"/>
        <v>Gobernanza de DatosPolítica de gobernanza de datosInsuficiente</v>
      </c>
      <c r="P33" s="29">
        <v>25.0</v>
      </c>
      <c r="Q33" s="34"/>
      <c r="R33" s="34"/>
      <c r="S33" s="34"/>
      <c r="T33" s="34"/>
      <c r="U33" s="34"/>
      <c r="V33" s="29" t="s">
        <v>107</v>
      </c>
      <c r="W33" s="29"/>
      <c r="X33" s="29"/>
    </row>
    <row r="34" ht="15.75" customHeight="1">
      <c r="A34" s="22" t="s">
        <v>127</v>
      </c>
      <c r="B34" s="22" t="s">
        <v>128</v>
      </c>
      <c r="C34" s="22" t="s">
        <v>20</v>
      </c>
      <c r="D34" s="38" t="s">
        <v>210</v>
      </c>
      <c r="E34" s="39" t="s">
        <v>211</v>
      </c>
      <c r="F34" s="20" t="s">
        <v>212</v>
      </c>
      <c r="G34" s="29"/>
      <c r="H34" s="40"/>
      <c r="J34" s="38" t="s">
        <v>213</v>
      </c>
      <c r="K34" s="41">
        <v>8.0</v>
      </c>
      <c r="L34" s="38" t="s">
        <v>214</v>
      </c>
      <c r="M34" s="38" t="s">
        <v>215</v>
      </c>
      <c r="N34" s="38" t="s">
        <v>137</v>
      </c>
      <c r="O34" s="40" t="str">
        <f t="shared" si="1"/>
        <v>Gobernanza de DatosPolítica de gobernanza de datosBásico</v>
      </c>
      <c r="P34" s="29">
        <v>26.0</v>
      </c>
      <c r="Q34" s="42">
        <v>8.0</v>
      </c>
      <c r="R34" s="43" t="s">
        <v>216</v>
      </c>
      <c r="S34" s="38" t="s">
        <v>137</v>
      </c>
      <c r="T34" s="38" t="s">
        <v>217</v>
      </c>
      <c r="U34" s="29">
        <v>26.0</v>
      </c>
      <c r="V34" s="29" t="s">
        <v>141</v>
      </c>
      <c r="W34" s="29"/>
      <c r="X34" s="29"/>
    </row>
    <row r="35" ht="15.75" customHeight="1">
      <c r="A35" s="22" t="s">
        <v>127</v>
      </c>
      <c r="B35" s="22" t="s">
        <v>128</v>
      </c>
      <c r="C35" s="22" t="s">
        <v>20</v>
      </c>
      <c r="D35" s="38" t="s">
        <v>210</v>
      </c>
      <c r="E35" s="39" t="s">
        <v>211</v>
      </c>
      <c r="F35" s="20" t="s">
        <v>212</v>
      </c>
      <c r="G35" s="29"/>
      <c r="H35" s="40"/>
      <c r="J35" s="38" t="s">
        <v>213</v>
      </c>
      <c r="K35" s="41">
        <v>8.0</v>
      </c>
      <c r="L35" s="38" t="s">
        <v>214</v>
      </c>
      <c r="M35" s="38" t="s">
        <v>218</v>
      </c>
      <c r="N35" s="38" t="s">
        <v>140</v>
      </c>
      <c r="O35" s="40" t="str">
        <f t="shared" si="1"/>
        <v>Gobernanza de DatosPolítica de gobernanza de datosMedio</v>
      </c>
      <c r="P35" s="29">
        <v>27.0</v>
      </c>
      <c r="Q35" s="42">
        <v>50.0</v>
      </c>
      <c r="R35" s="43" t="s">
        <v>219</v>
      </c>
      <c r="S35" s="38" t="s">
        <v>140</v>
      </c>
      <c r="T35" s="38" t="s">
        <v>220</v>
      </c>
      <c r="U35" s="29">
        <v>27.0</v>
      </c>
      <c r="V35" s="29" t="s">
        <v>141</v>
      </c>
      <c r="W35" s="29"/>
      <c r="X35" s="29"/>
    </row>
    <row r="36" ht="15.75" customHeight="1">
      <c r="A36" s="22" t="s">
        <v>127</v>
      </c>
      <c r="B36" s="22" t="s">
        <v>128</v>
      </c>
      <c r="C36" s="22" t="s">
        <v>20</v>
      </c>
      <c r="D36" s="38" t="s">
        <v>210</v>
      </c>
      <c r="E36" s="39" t="s">
        <v>211</v>
      </c>
      <c r="F36" s="20" t="s">
        <v>212</v>
      </c>
      <c r="G36" s="29"/>
      <c r="H36" s="40"/>
      <c r="J36" s="38" t="s">
        <v>213</v>
      </c>
      <c r="K36" s="41">
        <v>8.0</v>
      </c>
      <c r="L36" s="38" t="s">
        <v>214</v>
      </c>
      <c r="M36" s="38" t="s">
        <v>221</v>
      </c>
      <c r="N36" s="38" t="s">
        <v>143</v>
      </c>
      <c r="O36" s="40" t="str">
        <f t="shared" si="1"/>
        <v>Gobernanza de DatosPolítica de gobernanza de datosAvanzado</v>
      </c>
      <c r="P36" s="29">
        <v>28.0</v>
      </c>
      <c r="Q36" s="42">
        <v>92.0</v>
      </c>
      <c r="R36" s="43" t="s">
        <v>222</v>
      </c>
      <c r="S36" s="38" t="s">
        <v>143</v>
      </c>
      <c r="T36" s="38" t="s">
        <v>223</v>
      </c>
      <c r="U36" s="29">
        <v>28.0</v>
      </c>
      <c r="V36" s="29" t="s">
        <v>141</v>
      </c>
      <c r="W36" s="29"/>
      <c r="X36" s="29"/>
    </row>
    <row r="37" ht="15.75" customHeight="1">
      <c r="A37" s="22" t="s">
        <v>127</v>
      </c>
      <c r="B37" s="22" t="s">
        <v>128</v>
      </c>
      <c r="C37" s="22" t="s">
        <v>20</v>
      </c>
      <c r="D37" s="38" t="s">
        <v>210</v>
      </c>
      <c r="E37" s="39" t="s">
        <v>211</v>
      </c>
      <c r="F37" s="20" t="s">
        <v>224</v>
      </c>
      <c r="G37" s="29"/>
      <c r="H37" s="40"/>
      <c r="J37" s="38" t="s">
        <v>225</v>
      </c>
      <c r="K37" s="41">
        <v>9.0</v>
      </c>
      <c r="L37" s="38" t="s">
        <v>226</v>
      </c>
      <c r="M37" s="38" t="s">
        <v>134</v>
      </c>
      <c r="N37" s="38" t="s">
        <v>135</v>
      </c>
      <c r="O37" s="40" t="str">
        <f t="shared" si="1"/>
        <v>Gobernanza de DatosOrganizaciónInsuficiente</v>
      </c>
      <c r="P37" s="29">
        <v>29.0</v>
      </c>
      <c r="Q37" s="34"/>
      <c r="R37" s="34"/>
      <c r="S37" s="34"/>
      <c r="T37" s="34"/>
      <c r="U37" s="34"/>
      <c r="V37" s="29" t="s">
        <v>107</v>
      </c>
      <c r="W37" s="29"/>
      <c r="X37" s="29"/>
    </row>
    <row r="38" ht="15.75" customHeight="1">
      <c r="A38" s="22" t="s">
        <v>127</v>
      </c>
      <c r="B38" s="22" t="s">
        <v>128</v>
      </c>
      <c r="C38" s="22" t="s">
        <v>20</v>
      </c>
      <c r="D38" s="38" t="s">
        <v>210</v>
      </c>
      <c r="E38" s="39" t="s">
        <v>211</v>
      </c>
      <c r="F38" s="20" t="s">
        <v>224</v>
      </c>
      <c r="G38" s="29"/>
      <c r="H38" s="40"/>
      <c r="J38" s="38" t="s">
        <v>225</v>
      </c>
      <c r="K38" s="41">
        <v>9.0</v>
      </c>
      <c r="L38" s="38" t="s">
        <v>226</v>
      </c>
      <c r="M38" s="38" t="s">
        <v>227</v>
      </c>
      <c r="N38" s="38" t="s">
        <v>137</v>
      </c>
      <c r="O38" s="40" t="str">
        <f t="shared" si="1"/>
        <v>Gobernanza de DatosOrganizaciónBásico</v>
      </c>
      <c r="P38" s="29">
        <v>30.0</v>
      </c>
      <c r="Q38" s="42">
        <v>9.0</v>
      </c>
      <c r="R38" s="43" t="s">
        <v>228</v>
      </c>
      <c r="S38" s="38" t="s">
        <v>137</v>
      </c>
      <c r="T38" s="38" t="s">
        <v>229</v>
      </c>
      <c r="U38" s="29">
        <v>30.0</v>
      </c>
      <c r="V38" s="29" t="s">
        <v>141</v>
      </c>
      <c r="W38" s="29"/>
      <c r="X38" s="29"/>
    </row>
    <row r="39" ht="15.75" customHeight="1">
      <c r="A39" s="22" t="s">
        <v>127</v>
      </c>
      <c r="B39" s="22" t="s">
        <v>128</v>
      </c>
      <c r="C39" s="22" t="s">
        <v>20</v>
      </c>
      <c r="D39" s="38" t="s">
        <v>210</v>
      </c>
      <c r="E39" s="39" t="s">
        <v>211</v>
      </c>
      <c r="F39" s="20" t="s">
        <v>224</v>
      </c>
      <c r="G39" s="29"/>
      <c r="H39" s="40"/>
      <c r="J39" s="38" t="s">
        <v>225</v>
      </c>
      <c r="K39" s="41">
        <v>9.0</v>
      </c>
      <c r="L39" s="38" t="s">
        <v>226</v>
      </c>
      <c r="M39" s="38" t="s">
        <v>230</v>
      </c>
      <c r="N39" s="38" t="s">
        <v>140</v>
      </c>
      <c r="O39" s="40" t="str">
        <f t="shared" si="1"/>
        <v>Gobernanza de DatosOrganizaciónMedio</v>
      </c>
      <c r="P39" s="29">
        <v>31.0</v>
      </c>
      <c r="Q39" s="42">
        <v>51.0</v>
      </c>
      <c r="R39" s="43" t="s">
        <v>231</v>
      </c>
      <c r="S39" s="38" t="s">
        <v>140</v>
      </c>
      <c r="T39" s="38" t="s">
        <v>232</v>
      </c>
      <c r="U39" s="29">
        <v>31.0</v>
      </c>
      <c r="V39" s="29" t="s">
        <v>141</v>
      </c>
      <c r="W39" s="29"/>
      <c r="X39" s="29"/>
    </row>
    <row r="40" ht="15.75" customHeight="1">
      <c r="A40" s="22" t="s">
        <v>127</v>
      </c>
      <c r="B40" s="22" t="s">
        <v>128</v>
      </c>
      <c r="C40" s="22" t="s">
        <v>20</v>
      </c>
      <c r="D40" s="38" t="s">
        <v>210</v>
      </c>
      <c r="E40" s="39" t="s">
        <v>211</v>
      </c>
      <c r="F40" s="20" t="s">
        <v>224</v>
      </c>
      <c r="G40" s="29"/>
      <c r="H40" s="40"/>
      <c r="J40" s="38" t="s">
        <v>225</v>
      </c>
      <c r="K40" s="41">
        <v>9.0</v>
      </c>
      <c r="L40" s="38" t="s">
        <v>226</v>
      </c>
      <c r="M40" s="38" t="s">
        <v>233</v>
      </c>
      <c r="N40" s="38" t="s">
        <v>143</v>
      </c>
      <c r="O40" s="40" t="str">
        <f t="shared" si="1"/>
        <v>Gobernanza de DatosOrganizaciónAvanzado</v>
      </c>
      <c r="P40" s="29">
        <v>32.0</v>
      </c>
      <c r="Q40" s="42">
        <v>93.0</v>
      </c>
      <c r="R40" s="43" t="s">
        <v>234</v>
      </c>
      <c r="S40" s="38" t="s">
        <v>143</v>
      </c>
      <c r="T40" s="38" t="s">
        <v>235</v>
      </c>
      <c r="U40" s="29">
        <v>32.0</v>
      </c>
      <c r="V40" s="29" t="s">
        <v>141</v>
      </c>
      <c r="W40" s="29"/>
      <c r="X40" s="29"/>
    </row>
    <row r="41" ht="15.75" customHeight="1">
      <c r="A41" s="22" t="s">
        <v>127</v>
      </c>
      <c r="B41" s="22" t="s">
        <v>128</v>
      </c>
      <c r="C41" s="22" t="s">
        <v>20</v>
      </c>
      <c r="D41" s="38" t="s">
        <v>210</v>
      </c>
      <c r="E41" s="39" t="s">
        <v>211</v>
      </c>
      <c r="F41" s="20" t="s">
        <v>236</v>
      </c>
      <c r="G41" s="29"/>
      <c r="H41" s="40"/>
      <c r="J41" s="38" t="s">
        <v>237</v>
      </c>
      <c r="K41" s="41">
        <v>10.0</v>
      </c>
      <c r="L41" s="38" t="s">
        <v>238</v>
      </c>
      <c r="M41" s="38" t="s">
        <v>134</v>
      </c>
      <c r="N41" s="38" t="s">
        <v>135</v>
      </c>
      <c r="O41" s="40" t="str">
        <f t="shared" si="1"/>
        <v>Gobernanza de DatosImplementaciónInsuficiente</v>
      </c>
      <c r="P41" s="29">
        <v>33.0</v>
      </c>
      <c r="Q41" s="34"/>
      <c r="R41" s="34"/>
      <c r="S41" s="34"/>
      <c r="T41" s="34"/>
      <c r="U41" s="34"/>
      <c r="V41" s="29" t="s">
        <v>107</v>
      </c>
      <c r="W41" s="29"/>
      <c r="X41" s="29"/>
    </row>
    <row r="42" ht="15.75" customHeight="1">
      <c r="A42" s="22" t="s">
        <v>127</v>
      </c>
      <c r="B42" s="22" t="s">
        <v>128</v>
      </c>
      <c r="C42" s="22" t="s">
        <v>20</v>
      </c>
      <c r="D42" s="38" t="s">
        <v>210</v>
      </c>
      <c r="E42" s="39" t="s">
        <v>211</v>
      </c>
      <c r="F42" s="20" t="s">
        <v>236</v>
      </c>
      <c r="G42" s="29"/>
      <c r="H42" s="40"/>
      <c r="J42" s="38" t="s">
        <v>237</v>
      </c>
      <c r="K42" s="41">
        <v>10.0</v>
      </c>
      <c r="L42" s="38" t="s">
        <v>238</v>
      </c>
      <c r="M42" s="38" t="s">
        <v>239</v>
      </c>
      <c r="N42" s="38" t="s">
        <v>137</v>
      </c>
      <c r="O42" s="40" t="str">
        <f t="shared" si="1"/>
        <v>Gobernanza de DatosImplementaciónBásico</v>
      </c>
      <c r="P42" s="29">
        <v>34.0</v>
      </c>
      <c r="Q42" s="42">
        <v>10.0</v>
      </c>
      <c r="R42" s="43" t="s">
        <v>240</v>
      </c>
      <c r="S42" s="38" t="s">
        <v>137</v>
      </c>
      <c r="T42" s="38" t="s">
        <v>241</v>
      </c>
      <c r="U42" s="29">
        <v>34.0</v>
      </c>
      <c r="V42" s="29" t="s">
        <v>141</v>
      </c>
      <c r="W42" s="29"/>
      <c r="X42" s="29"/>
    </row>
    <row r="43" ht="15.75" customHeight="1">
      <c r="A43" s="22" t="s">
        <v>127</v>
      </c>
      <c r="B43" s="22" t="s">
        <v>128</v>
      </c>
      <c r="C43" s="22" t="s">
        <v>20</v>
      </c>
      <c r="D43" s="38" t="s">
        <v>210</v>
      </c>
      <c r="E43" s="39" t="s">
        <v>211</v>
      </c>
      <c r="F43" s="20" t="s">
        <v>236</v>
      </c>
      <c r="G43" s="29"/>
      <c r="H43" s="40"/>
      <c r="J43" s="38" t="s">
        <v>237</v>
      </c>
      <c r="K43" s="41">
        <v>10.0</v>
      </c>
      <c r="L43" s="38" t="s">
        <v>238</v>
      </c>
      <c r="M43" s="38" t="s">
        <v>242</v>
      </c>
      <c r="N43" s="38" t="s">
        <v>140</v>
      </c>
      <c r="O43" s="40" t="str">
        <f t="shared" si="1"/>
        <v>Gobernanza de DatosImplementaciónMedio</v>
      </c>
      <c r="P43" s="29">
        <v>35.0</v>
      </c>
      <c r="Q43" s="42">
        <v>52.0</v>
      </c>
      <c r="R43" s="43" t="s">
        <v>243</v>
      </c>
      <c r="S43" s="38" t="s">
        <v>140</v>
      </c>
      <c r="T43" s="38" t="s">
        <v>244</v>
      </c>
      <c r="U43" s="29">
        <v>35.0</v>
      </c>
      <c r="V43" s="29" t="s">
        <v>141</v>
      </c>
      <c r="W43" s="29"/>
      <c r="X43" s="29"/>
    </row>
    <row r="44" ht="15.75" customHeight="1">
      <c r="A44" s="22" t="s">
        <v>127</v>
      </c>
      <c r="B44" s="22" t="s">
        <v>128</v>
      </c>
      <c r="C44" s="22" t="s">
        <v>20</v>
      </c>
      <c r="D44" s="38" t="s">
        <v>210</v>
      </c>
      <c r="E44" s="39" t="s">
        <v>211</v>
      </c>
      <c r="F44" s="20" t="s">
        <v>236</v>
      </c>
      <c r="G44" s="29"/>
      <c r="H44" s="40"/>
      <c r="J44" s="38" t="s">
        <v>237</v>
      </c>
      <c r="K44" s="41">
        <v>10.0</v>
      </c>
      <c r="L44" s="38" t="s">
        <v>238</v>
      </c>
      <c r="M44" s="38" t="s">
        <v>185</v>
      </c>
      <c r="N44" s="38" t="s">
        <v>143</v>
      </c>
      <c r="O44" s="40" t="str">
        <f t="shared" si="1"/>
        <v>Gobernanza de DatosImplementaciónAvanzado</v>
      </c>
      <c r="P44" s="29">
        <v>36.0</v>
      </c>
      <c r="Q44" s="42">
        <v>94.0</v>
      </c>
      <c r="R44" s="43" t="s">
        <v>245</v>
      </c>
      <c r="S44" s="38" t="s">
        <v>143</v>
      </c>
      <c r="T44" s="38" t="s">
        <v>246</v>
      </c>
      <c r="U44" s="29">
        <v>36.0</v>
      </c>
      <c r="V44" s="29" t="s">
        <v>141</v>
      </c>
      <c r="W44" s="29"/>
      <c r="X44" s="29"/>
    </row>
    <row r="45" ht="15.75" customHeight="1">
      <c r="A45" s="22" t="s">
        <v>127</v>
      </c>
      <c r="B45" s="22" t="s">
        <v>128</v>
      </c>
      <c r="C45" s="22" t="s">
        <v>20</v>
      </c>
      <c r="D45" s="38" t="s">
        <v>210</v>
      </c>
      <c r="E45" s="39" t="s">
        <v>211</v>
      </c>
      <c r="F45" s="20" t="s">
        <v>247</v>
      </c>
      <c r="G45" s="29"/>
      <c r="H45" s="40"/>
      <c r="J45" s="38" t="s">
        <v>248</v>
      </c>
      <c r="K45" s="41">
        <v>11.0</v>
      </c>
      <c r="L45" s="38" t="s">
        <v>249</v>
      </c>
      <c r="M45" s="38" t="s">
        <v>134</v>
      </c>
      <c r="N45" s="38" t="s">
        <v>135</v>
      </c>
      <c r="O45" s="40" t="str">
        <f t="shared" si="1"/>
        <v>Gobernanza de DatosHerramientasInsuficiente</v>
      </c>
      <c r="P45" s="29">
        <v>37.0</v>
      </c>
      <c r="Q45" s="34"/>
      <c r="R45" s="34"/>
      <c r="S45" s="34"/>
      <c r="T45" s="34"/>
      <c r="U45" s="34"/>
      <c r="V45" s="29" t="s">
        <v>107</v>
      </c>
      <c r="W45" s="29"/>
      <c r="X45" s="29"/>
    </row>
    <row r="46" ht="15.75" customHeight="1">
      <c r="A46" s="22" t="s">
        <v>127</v>
      </c>
      <c r="B46" s="22" t="s">
        <v>128</v>
      </c>
      <c r="C46" s="22" t="s">
        <v>20</v>
      </c>
      <c r="D46" s="38" t="s">
        <v>210</v>
      </c>
      <c r="E46" s="39" t="s">
        <v>211</v>
      </c>
      <c r="F46" s="20" t="s">
        <v>247</v>
      </c>
      <c r="G46" s="29"/>
      <c r="H46" s="40"/>
      <c r="J46" s="38" t="s">
        <v>248</v>
      </c>
      <c r="K46" s="41">
        <v>11.0</v>
      </c>
      <c r="L46" s="38" t="s">
        <v>249</v>
      </c>
      <c r="M46" s="38" t="s">
        <v>250</v>
      </c>
      <c r="N46" s="38" t="s">
        <v>137</v>
      </c>
      <c r="O46" s="40" t="str">
        <f t="shared" si="1"/>
        <v>Gobernanza de DatosHerramientasBásico</v>
      </c>
      <c r="P46" s="29">
        <v>38.0</v>
      </c>
      <c r="Q46" s="42">
        <v>11.0</v>
      </c>
      <c r="R46" s="43" t="s">
        <v>251</v>
      </c>
      <c r="S46" s="38" t="s">
        <v>137</v>
      </c>
      <c r="T46" s="38" t="s">
        <v>252</v>
      </c>
      <c r="U46" s="29">
        <v>38.0</v>
      </c>
      <c r="V46" s="29" t="s">
        <v>141</v>
      </c>
      <c r="W46" s="29"/>
      <c r="X46" s="29"/>
    </row>
    <row r="47" ht="15.75" customHeight="1">
      <c r="A47" s="22" t="s">
        <v>127</v>
      </c>
      <c r="B47" s="22" t="s">
        <v>128</v>
      </c>
      <c r="C47" s="22" t="s">
        <v>20</v>
      </c>
      <c r="D47" s="38" t="s">
        <v>210</v>
      </c>
      <c r="E47" s="39" t="s">
        <v>211</v>
      </c>
      <c r="F47" s="20" t="s">
        <v>247</v>
      </c>
      <c r="G47" s="29"/>
      <c r="H47" s="40"/>
      <c r="J47" s="38" t="s">
        <v>248</v>
      </c>
      <c r="K47" s="41">
        <v>11.0</v>
      </c>
      <c r="L47" s="38" t="s">
        <v>249</v>
      </c>
      <c r="M47" s="38" t="s">
        <v>253</v>
      </c>
      <c r="N47" s="38" t="s">
        <v>140</v>
      </c>
      <c r="O47" s="40" t="str">
        <f t="shared" si="1"/>
        <v>Gobernanza de DatosHerramientasMedio</v>
      </c>
      <c r="P47" s="29">
        <v>39.0</v>
      </c>
      <c r="Q47" s="42">
        <v>53.0</v>
      </c>
      <c r="R47" s="43" t="s">
        <v>254</v>
      </c>
      <c r="S47" s="38" t="s">
        <v>140</v>
      </c>
      <c r="T47" s="38" t="s">
        <v>255</v>
      </c>
      <c r="U47" s="29">
        <v>39.0</v>
      </c>
      <c r="V47" s="29" t="s">
        <v>141</v>
      </c>
      <c r="W47" s="29"/>
      <c r="X47" s="29"/>
    </row>
    <row r="48" ht="15.75" customHeight="1">
      <c r="A48" s="22" t="s">
        <v>127</v>
      </c>
      <c r="B48" s="22" t="s">
        <v>128</v>
      </c>
      <c r="C48" s="22" t="s">
        <v>20</v>
      </c>
      <c r="D48" s="38" t="s">
        <v>210</v>
      </c>
      <c r="E48" s="39" t="s">
        <v>211</v>
      </c>
      <c r="F48" s="20" t="s">
        <v>247</v>
      </c>
      <c r="G48" s="29"/>
      <c r="H48" s="40"/>
      <c r="J48" s="38" t="s">
        <v>248</v>
      </c>
      <c r="K48" s="41">
        <v>11.0</v>
      </c>
      <c r="L48" s="38" t="s">
        <v>249</v>
      </c>
      <c r="M48" s="38" t="s">
        <v>256</v>
      </c>
      <c r="N48" s="38" t="s">
        <v>143</v>
      </c>
      <c r="O48" s="40" t="str">
        <f t="shared" si="1"/>
        <v>Gobernanza de DatosHerramientasAvanzado</v>
      </c>
      <c r="P48" s="29">
        <v>40.0</v>
      </c>
      <c r="Q48" s="42">
        <v>95.0</v>
      </c>
      <c r="R48" s="43" t="s">
        <v>257</v>
      </c>
      <c r="S48" s="38" t="s">
        <v>143</v>
      </c>
      <c r="T48" s="38" t="s">
        <v>258</v>
      </c>
      <c r="U48" s="29">
        <v>40.0</v>
      </c>
      <c r="V48" s="29" t="s">
        <v>141</v>
      </c>
      <c r="W48" s="29"/>
      <c r="X48" s="29"/>
    </row>
    <row r="49" ht="15.75" customHeight="1">
      <c r="A49" s="22" t="s">
        <v>127</v>
      </c>
      <c r="B49" s="22" t="s">
        <v>128</v>
      </c>
      <c r="C49" s="22" t="s">
        <v>20</v>
      </c>
      <c r="D49" s="38" t="s">
        <v>210</v>
      </c>
      <c r="E49" s="39" t="s">
        <v>211</v>
      </c>
      <c r="F49" s="20" t="s">
        <v>259</v>
      </c>
      <c r="G49" s="29"/>
      <c r="H49" s="40"/>
      <c r="J49" s="38" t="s">
        <v>260</v>
      </c>
      <c r="K49" s="41">
        <v>12.0</v>
      </c>
      <c r="L49" s="38" t="s">
        <v>261</v>
      </c>
      <c r="M49" s="38" t="s">
        <v>134</v>
      </c>
      <c r="N49" s="38" t="s">
        <v>135</v>
      </c>
      <c r="O49" s="40" t="str">
        <f t="shared" si="1"/>
        <v>Gobernanza de DatosCapacitaciónInsuficiente</v>
      </c>
      <c r="P49" s="29">
        <v>41.0</v>
      </c>
      <c r="Q49" s="34"/>
      <c r="R49" s="34"/>
      <c r="S49" s="34"/>
      <c r="T49" s="34"/>
      <c r="U49" s="34"/>
      <c r="V49" s="29" t="s">
        <v>107</v>
      </c>
      <c r="W49" s="29"/>
      <c r="X49" s="29"/>
    </row>
    <row r="50" ht="15.75" customHeight="1">
      <c r="A50" s="22" t="s">
        <v>127</v>
      </c>
      <c r="B50" s="22" t="s">
        <v>128</v>
      </c>
      <c r="C50" s="22" t="s">
        <v>20</v>
      </c>
      <c r="D50" s="38" t="s">
        <v>210</v>
      </c>
      <c r="E50" s="39" t="s">
        <v>211</v>
      </c>
      <c r="F50" s="20" t="s">
        <v>259</v>
      </c>
      <c r="G50" s="29"/>
      <c r="H50" s="40"/>
      <c r="J50" s="38" t="s">
        <v>260</v>
      </c>
      <c r="K50" s="41">
        <v>12.0</v>
      </c>
      <c r="L50" s="38" t="s">
        <v>261</v>
      </c>
      <c r="M50" s="38" t="s">
        <v>262</v>
      </c>
      <c r="N50" s="38" t="s">
        <v>137</v>
      </c>
      <c r="O50" s="40" t="str">
        <f t="shared" si="1"/>
        <v>Gobernanza de DatosCapacitaciónBásico</v>
      </c>
      <c r="P50" s="29">
        <v>42.0</v>
      </c>
      <c r="Q50" s="42">
        <v>12.0</v>
      </c>
      <c r="R50" s="43" t="s">
        <v>263</v>
      </c>
      <c r="S50" s="38" t="s">
        <v>137</v>
      </c>
      <c r="T50" s="38" t="s">
        <v>264</v>
      </c>
      <c r="U50" s="29">
        <v>42.0</v>
      </c>
      <c r="V50" s="29" t="s">
        <v>141</v>
      </c>
      <c r="W50" s="29"/>
      <c r="X50" s="29"/>
    </row>
    <row r="51" ht="15.75" customHeight="1">
      <c r="A51" s="22" t="s">
        <v>127</v>
      </c>
      <c r="B51" s="22" t="s">
        <v>128</v>
      </c>
      <c r="C51" s="22" t="s">
        <v>20</v>
      </c>
      <c r="D51" s="38" t="s">
        <v>210</v>
      </c>
      <c r="E51" s="39" t="s">
        <v>211</v>
      </c>
      <c r="F51" s="20" t="s">
        <v>259</v>
      </c>
      <c r="G51" s="29"/>
      <c r="H51" s="40"/>
      <c r="J51" s="38" t="s">
        <v>260</v>
      </c>
      <c r="K51" s="41">
        <v>12.0</v>
      </c>
      <c r="L51" s="38" t="s">
        <v>261</v>
      </c>
      <c r="M51" s="38" t="s">
        <v>265</v>
      </c>
      <c r="N51" s="38" t="s">
        <v>140</v>
      </c>
      <c r="O51" s="40" t="str">
        <f t="shared" si="1"/>
        <v>Gobernanza de DatosCapacitaciónMedio</v>
      </c>
      <c r="P51" s="29">
        <v>43.0</v>
      </c>
      <c r="Q51" s="42">
        <v>54.0</v>
      </c>
      <c r="R51" s="43" t="s">
        <v>266</v>
      </c>
      <c r="S51" s="38" t="s">
        <v>140</v>
      </c>
      <c r="T51" s="38" t="s">
        <v>267</v>
      </c>
      <c r="U51" s="29">
        <v>43.0</v>
      </c>
      <c r="V51" s="29" t="s">
        <v>141</v>
      </c>
      <c r="W51" s="29"/>
      <c r="X51" s="29"/>
    </row>
    <row r="52" ht="15.75" customHeight="1">
      <c r="A52" s="22" t="s">
        <v>127</v>
      </c>
      <c r="B52" s="22" t="s">
        <v>128</v>
      </c>
      <c r="C52" s="22" t="s">
        <v>20</v>
      </c>
      <c r="D52" s="38" t="s">
        <v>210</v>
      </c>
      <c r="E52" s="39" t="s">
        <v>211</v>
      </c>
      <c r="F52" s="20" t="s">
        <v>259</v>
      </c>
      <c r="G52" s="29"/>
      <c r="H52" s="40"/>
      <c r="J52" s="38" t="s">
        <v>260</v>
      </c>
      <c r="K52" s="41">
        <v>12.0</v>
      </c>
      <c r="L52" s="38" t="s">
        <v>261</v>
      </c>
      <c r="M52" s="38" t="s">
        <v>268</v>
      </c>
      <c r="N52" s="38" t="s">
        <v>143</v>
      </c>
      <c r="O52" s="40" t="str">
        <f t="shared" si="1"/>
        <v>Gobernanza de DatosCapacitaciónAvanzado</v>
      </c>
      <c r="P52" s="29">
        <v>44.0</v>
      </c>
      <c r="Q52" s="42">
        <v>96.0</v>
      </c>
      <c r="R52" s="43" t="s">
        <v>269</v>
      </c>
      <c r="S52" s="38" t="s">
        <v>143</v>
      </c>
      <c r="T52" s="38" t="s">
        <v>270</v>
      </c>
      <c r="U52" s="29">
        <v>44.0</v>
      </c>
      <c r="V52" s="29" t="s">
        <v>141</v>
      </c>
      <c r="W52" s="29"/>
      <c r="X52" s="29"/>
    </row>
    <row r="53" ht="15.75" customHeight="1">
      <c r="A53" s="22" t="s">
        <v>127</v>
      </c>
      <c r="B53" s="22" t="s">
        <v>128</v>
      </c>
      <c r="C53" s="22" t="s">
        <v>20</v>
      </c>
      <c r="D53" s="38" t="s">
        <v>210</v>
      </c>
      <c r="E53" s="39" t="s">
        <v>211</v>
      </c>
      <c r="F53" s="20" t="s">
        <v>271</v>
      </c>
      <c r="G53" s="29"/>
      <c r="H53" s="40"/>
      <c r="J53" s="38" t="s">
        <v>272</v>
      </c>
      <c r="K53" s="41">
        <v>13.0</v>
      </c>
      <c r="L53" s="38" t="s">
        <v>273</v>
      </c>
      <c r="M53" s="38" t="s">
        <v>134</v>
      </c>
      <c r="N53" s="38" t="s">
        <v>135</v>
      </c>
      <c r="O53" s="40" t="str">
        <f t="shared" si="1"/>
        <v>Gobernanza de DatosGestión de RiesgosInsuficiente</v>
      </c>
      <c r="P53" s="29">
        <v>45.0</v>
      </c>
      <c r="Q53" s="34"/>
      <c r="R53" s="34"/>
      <c r="S53" s="34"/>
      <c r="T53" s="34"/>
      <c r="U53" s="34"/>
      <c r="V53" s="29" t="s">
        <v>107</v>
      </c>
      <c r="W53" s="29"/>
      <c r="X53" s="29"/>
    </row>
    <row r="54" ht="15.75" customHeight="1">
      <c r="A54" s="22" t="s">
        <v>127</v>
      </c>
      <c r="B54" s="22" t="s">
        <v>128</v>
      </c>
      <c r="C54" s="22" t="s">
        <v>20</v>
      </c>
      <c r="D54" s="38" t="s">
        <v>210</v>
      </c>
      <c r="E54" s="39" t="s">
        <v>211</v>
      </c>
      <c r="F54" s="20" t="s">
        <v>271</v>
      </c>
      <c r="G54" s="29"/>
      <c r="H54" s="40"/>
      <c r="J54" s="38" t="s">
        <v>272</v>
      </c>
      <c r="K54" s="41">
        <v>13.0</v>
      </c>
      <c r="L54" s="38" t="s">
        <v>273</v>
      </c>
      <c r="M54" s="38" t="s">
        <v>274</v>
      </c>
      <c r="N54" s="38" t="s">
        <v>137</v>
      </c>
      <c r="O54" s="40" t="str">
        <f t="shared" si="1"/>
        <v>Gobernanza de DatosGestión de RiesgosBásico</v>
      </c>
      <c r="P54" s="29">
        <v>46.0</v>
      </c>
      <c r="Q54" s="42">
        <v>13.0</v>
      </c>
      <c r="R54" s="43" t="s">
        <v>275</v>
      </c>
      <c r="S54" s="38" t="s">
        <v>137</v>
      </c>
      <c r="T54" s="38" t="s">
        <v>276</v>
      </c>
      <c r="U54" s="29">
        <v>46.0</v>
      </c>
      <c r="V54" s="29" t="s">
        <v>141</v>
      </c>
      <c r="W54" s="29"/>
      <c r="X54" s="29"/>
    </row>
    <row r="55" ht="15.75" customHeight="1">
      <c r="A55" s="22" t="s">
        <v>127</v>
      </c>
      <c r="B55" s="22" t="s">
        <v>128</v>
      </c>
      <c r="C55" s="22" t="s">
        <v>20</v>
      </c>
      <c r="D55" s="38" t="s">
        <v>210</v>
      </c>
      <c r="E55" s="39" t="s">
        <v>211</v>
      </c>
      <c r="F55" s="20" t="s">
        <v>271</v>
      </c>
      <c r="G55" s="29"/>
      <c r="H55" s="40"/>
      <c r="J55" s="38" t="s">
        <v>272</v>
      </c>
      <c r="K55" s="41">
        <v>13.0</v>
      </c>
      <c r="L55" s="38" t="s">
        <v>273</v>
      </c>
      <c r="M55" s="38" t="s">
        <v>277</v>
      </c>
      <c r="N55" s="38" t="s">
        <v>140</v>
      </c>
      <c r="O55" s="40" t="str">
        <f t="shared" si="1"/>
        <v>Gobernanza de DatosGestión de RiesgosMedio</v>
      </c>
      <c r="P55" s="29">
        <v>47.0</v>
      </c>
      <c r="Q55" s="42">
        <v>55.0</v>
      </c>
      <c r="R55" s="43" t="s">
        <v>278</v>
      </c>
      <c r="S55" s="38" t="s">
        <v>140</v>
      </c>
      <c r="T55" s="38" t="s">
        <v>279</v>
      </c>
      <c r="U55" s="29">
        <v>47.0</v>
      </c>
      <c r="V55" s="29" t="s">
        <v>141</v>
      </c>
      <c r="W55" s="29"/>
      <c r="X55" s="29"/>
    </row>
    <row r="56" ht="15.75" customHeight="1">
      <c r="A56" s="22" t="s">
        <v>127</v>
      </c>
      <c r="B56" s="22" t="s">
        <v>128</v>
      </c>
      <c r="C56" s="22" t="s">
        <v>20</v>
      </c>
      <c r="D56" s="38" t="s">
        <v>210</v>
      </c>
      <c r="E56" s="39" t="s">
        <v>211</v>
      </c>
      <c r="F56" s="20" t="s">
        <v>271</v>
      </c>
      <c r="G56" s="29"/>
      <c r="H56" s="40"/>
      <c r="J56" s="38" t="s">
        <v>272</v>
      </c>
      <c r="K56" s="41">
        <v>13.0</v>
      </c>
      <c r="L56" s="38" t="s">
        <v>273</v>
      </c>
      <c r="M56" s="38" t="s">
        <v>280</v>
      </c>
      <c r="N56" s="38" t="s">
        <v>143</v>
      </c>
      <c r="O56" s="40" t="str">
        <f t="shared" si="1"/>
        <v>Gobernanza de DatosGestión de RiesgosAvanzado</v>
      </c>
      <c r="P56" s="29">
        <v>48.0</v>
      </c>
      <c r="Q56" s="42">
        <v>97.0</v>
      </c>
      <c r="R56" s="43" t="s">
        <v>281</v>
      </c>
      <c r="S56" s="38" t="s">
        <v>143</v>
      </c>
      <c r="T56" s="38" t="s">
        <v>282</v>
      </c>
      <c r="U56" s="29">
        <v>48.0</v>
      </c>
      <c r="V56" s="29" t="s">
        <v>141</v>
      </c>
      <c r="W56" s="29"/>
      <c r="X56" s="29"/>
    </row>
    <row r="57" ht="15.75" customHeight="1">
      <c r="A57" s="22" t="s">
        <v>127</v>
      </c>
      <c r="B57" s="22" t="s">
        <v>128</v>
      </c>
      <c r="C57" s="22" t="s">
        <v>20</v>
      </c>
      <c r="D57" s="38" t="s">
        <v>210</v>
      </c>
      <c r="E57" s="39" t="s">
        <v>211</v>
      </c>
      <c r="F57" s="20" t="s">
        <v>283</v>
      </c>
      <c r="G57" s="29"/>
      <c r="H57" s="40"/>
      <c r="J57" s="38" t="s">
        <v>284</v>
      </c>
      <c r="K57" s="41">
        <v>14.0</v>
      </c>
      <c r="L57" s="38" t="s">
        <v>285</v>
      </c>
      <c r="M57" s="38" t="s">
        <v>134</v>
      </c>
      <c r="N57" s="38" t="s">
        <v>135</v>
      </c>
      <c r="O57" s="40" t="str">
        <f t="shared" si="1"/>
        <v>Gobernanza de DatosGestión ética de datosInsuficiente</v>
      </c>
      <c r="P57" s="29">
        <v>49.0</v>
      </c>
      <c r="Q57" s="42">
        <v>56.0</v>
      </c>
      <c r="R57" s="43" t="s">
        <v>286</v>
      </c>
      <c r="S57" s="38" t="s">
        <v>140</v>
      </c>
      <c r="T57" s="38" t="s">
        <v>287</v>
      </c>
      <c r="U57" s="29" t="e">
        <v>#N/A</v>
      </c>
      <c r="V57" s="29" t="s">
        <v>107</v>
      </c>
      <c r="W57" s="29"/>
      <c r="X57" s="29"/>
    </row>
    <row r="58" ht="15.75" customHeight="1">
      <c r="A58" s="22" t="s">
        <v>127</v>
      </c>
      <c r="B58" s="22" t="s">
        <v>128</v>
      </c>
      <c r="C58" s="22" t="s">
        <v>20</v>
      </c>
      <c r="D58" s="38" t="s">
        <v>210</v>
      </c>
      <c r="E58" s="39" t="s">
        <v>211</v>
      </c>
      <c r="F58" s="20" t="s">
        <v>283</v>
      </c>
      <c r="G58" s="29"/>
      <c r="H58" s="40"/>
      <c r="J58" s="38" t="s">
        <v>284</v>
      </c>
      <c r="K58" s="41">
        <v>14.0</v>
      </c>
      <c r="L58" s="38" t="s">
        <v>285</v>
      </c>
      <c r="M58" s="38" t="s">
        <v>142</v>
      </c>
      <c r="N58" s="38" t="s">
        <v>143</v>
      </c>
      <c r="O58" s="40" t="str">
        <f t="shared" si="1"/>
        <v>Gobernanza de DatosGestión ética de datosAvanzado</v>
      </c>
      <c r="P58" s="29">
        <v>50.0</v>
      </c>
      <c r="Q58" s="42">
        <v>98.0</v>
      </c>
      <c r="R58" s="43" t="s">
        <v>288</v>
      </c>
      <c r="S58" s="38" t="s">
        <v>143</v>
      </c>
      <c r="T58" s="38" t="s">
        <v>287</v>
      </c>
      <c r="U58" s="29">
        <v>50.0</v>
      </c>
      <c r="V58" s="29" t="s">
        <v>141</v>
      </c>
      <c r="W58" s="29"/>
      <c r="X58" s="29"/>
    </row>
    <row r="59" ht="15.75" customHeight="1">
      <c r="A59" s="22" t="s">
        <v>127</v>
      </c>
      <c r="B59" s="22" t="s">
        <v>128</v>
      </c>
      <c r="C59" s="22" t="s">
        <v>23</v>
      </c>
      <c r="D59" s="38" t="s">
        <v>289</v>
      </c>
      <c r="E59" s="39" t="s">
        <v>290</v>
      </c>
      <c r="F59" s="20" t="s">
        <v>291</v>
      </c>
      <c r="G59" s="29"/>
      <c r="H59" s="40"/>
      <c r="J59" s="38" t="s">
        <v>292</v>
      </c>
      <c r="K59" s="41">
        <v>15.0</v>
      </c>
      <c r="L59" s="38" t="s">
        <v>293</v>
      </c>
      <c r="M59" s="38" t="s">
        <v>134</v>
      </c>
      <c r="N59" s="38" t="s">
        <v>135</v>
      </c>
      <c r="O59" s="40" t="str">
        <f t="shared" si="1"/>
        <v>Arquitectura, Diseño y DocumentaciónArquitectura Institucional de datosInsuficiente</v>
      </c>
      <c r="P59" s="29">
        <v>51.0</v>
      </c>
      <c r="Q59" s="34"/>
      <c r="R59" s="34"/>
      <c r="S59" s="34"/>
      <c r="T59" s="34"/>
      <c r="U59" s="34"/>
      <c r="V59" s="29" t="s">
        <v>107</v>
      </c>
      <c r="W59" s="29"/>
      <c r="X59" s="29"/>
    </row>
    <row r="60" ht="15.75" customHeight="1">
      <c r="A60" s="22" t="s">
        <v>127</v>
      </c>
      <c r="B60" s="22" t="s">
        <v>128</v>
      </c>
      <c r="C60" s="22" t="s">
        <v>23</v>
      </c>
      <c r="D60" s="38" t="s">
        <v>289</v>
      </c>
      <c r="E60" s="39" t="s">
        <v>290</v>
      </c>
      <c r="F60" s="20" t="s">
        <v>291</v>
      </c>
      <c r="G60" s="29"/>
      <c r="H60" s="40"/>
      <c r="J60" s="38" t="s">
        <v>292</v>
      </c>
      <c r="K60" s="41">
        <v>15.0</v>
      </c>
      <c r="L60" s="38" t="s">
        <v>293</v>
      </c>
      <c r="M60" s="38" t="s">
        <v>294</v>
      </c>
      <c r="N60" s="38" t="s">
        <v>137</v>
      </c>
      <c r="O60" s="40" t="str">
        <f t="shared" si="1"/>
        <v>Arquitectura, Diseño y DocumentaciónArquitectura Institucional de datosBásico</v>
      </c>
      <c r="P60" s="29">
        <v>52.0</v>
      </c>
      <c r="Q60" s="42">
        <v>15.0</v>
      </c>
      <c r="R60" s="43" t="s">
        <v>295</v>
      </c>
      <c r="S60" s="38" t="s">
        <v>137</v>
      </c>
      <c r="T60" s="38" t="s">
        <v>296</v>
      </c>
      <c r="U60" s="29">
        <v>52.0</v>
      </c>
      <c r="V60" s="29" t="s">
        <v>141</v>
      </c>
      <c r="W60" s="29"/>
      <c r="X60" s="29"/>
    </row>
    <row r="61" ht="15.75" customHeight="1">
      <c r="A61" s="22" t="s">
        <v>127</v>
      </c>
      <c r="B61" s="22" t="s">
        <v>128</v>
      </c>
      <c r="C61" s="22" t="s">
        <v>23</v>
      </c>
      <c r="D61" s="38" t="s">
        <v>289</v>
      </c>
      <c r="E61" s="39" t="s">
        <v>290</v>
      </c>
      <c r="F61" s="20" t="s">
        <v>291</v>
      </c>
      <c r="G61" s="29"/>
      <c r="H61" s="40"/>
      <c r="J61" s="38" t="s">
        <v>292</v>
      </c>
      <c r="K61" s="41">
        <v>15.0</v>
      </c>
      <c r="L61" s="38" t="s">
        <v>293</v>
      </c>
      <c r="M61" s="38" t="s">
        <v>297</v>
      </c>
      <c r="N61" s="38" t="s">
        <v>140</v>
      </c>
      <c r="O61" s="40" t="str">
        <f t="shared" si="1"/>
        <v>Arquitectura, Diseño y DocumentaciónArquitectura Institucional de datosMedio</v>
      </c>
      <c r="P61" s="29">
        <v>53.0</v>
      </c>
      <c r="Q61" s="42">
        <v>57.0</v>
      </c>
      <c r="R61" s="43" t="s">
        <v>298</v>
      </c>
      <c r="S61" s="38" t="s">
        <v>140</v>
      </c>
      <c r="T61" s="38" t="s">
        <v>299</v>
      </c>
      <c r="U61" s="29">
        <v>53.0</v>
      </c>
      <c r="V61" s="29" t="s">
        <v>141</v>
      </c>
      <c r="W61" s="29"/>
      <c r="X61" s="29"/>
    </row>
    <row r="62" ht="15.75" customHeight="1">
      <c r="A62" s="22" t="s">
        <v>127</v>
      </c>
      <c r="B62" s="22" t="s">
        <v>128</v>
      </c>
      <c r="C62" s="22" t="s">
        <v>23</v>
      </c>
      <c r="D62" s="38" t="s">
        <v>289</v>
      </c>
      <c r="E62" s="39" t="s">
        <v>290</v>
      </c>
      <c r="F62" s="20" t="s">
        <v>291</v>
      </c>
      <c r="G62" s="29"/>
      <c r="H62" s="40"/>
      <c r="J62" s="38" t="s">
        <v>292</v>
      </c>
      <c r="K62" s="41">
        <v>15.0</v>
      </c>
      <c r="L62" s="38" t="s">
        <v>293</v>
      </c>
      <c r="M62" s="38" t="s">
        <v>300</v>
      </c>
      <c r="N62" s="38" t="s">
        <v>143</v>
      </c>
      <c r="O62" s="40" t="str">
        <f t="shared" si="1"/>
        <v>Arquitectura, Diseño y DocumentaciónArquitectura Institucional de datosAvanzado</v>
      </c>
      <c r="P62" s="29">
        <v>54.0</v>
      </c>
      <c r="Q62" s="42">
        <v>99.0</v>
      </c>
      <c r="R62" s="43" t="s">
        <v>301</v>
      </c>
      <c r="S62" s="38" t="s">
        <v>143</v>
      </c>
      <c r="T62" s="38" t="s">
        <v>302</v>
      </c>
      <c r="U62" s="29">
        <v>54.0</v>
      </c>
      <c r="V62" s="29" t="s">
        <v>141</v>
      </c>
      <c r="W62" s="29"/>
      <c r="X62" s="29"/>
    </row>
    <row r="63" ht="15.75" customHeight="1">
      <c r="A63" s="22" t="s">
        <v>127</v>
      </c>
      <c r="B63" s="22" t="s">
        <v>128</v>
      </c>
      <c r="C63" s="22" t="s">
        <v>23</v>
      </c>
      <c r="D63" s="38" t="s">
        <v>289</v>
      </c>
      <c r="E63" s="39" t="s">
        <v>290</v>
      </c>
      <c r="F63" s="20" t="s">
        <v>303</v>
      </c>
      <c r="G63" s="29"/>
      <c r="H63" s="40"/>
      <c r="J63" s="38" t="s">
        <v>304</v>
      </c>
      <c r="K63" s="41">
        <v>16.0</v>
      </c>
      <c r="L63" s="38" t="s">
        <v>305</v>
      </c>
      <c r="M63" s="38" t="s">
        <v>134</v>
      </c>
      <c r="N63" s="38" t="s">
        <v>135</v>
      </c>
      <c r="O63" s="40" t="str">
        <f t="shared" si="1"/>
        <v>Arquitectura, Diseño y DocumentaciónCatálogoInsuficiente</v>
      </c>
      <c r="P63" s="29">
        <v>55.0</v>
      </c>
      <c r="Q63" s="34"/>
      <c r="R63" s="34"/>
      <c r="S63" s="34"/>
      <c r="T63" s="34"/>
      <c r="U63" s="34"/>
      <c r="V63" s="29" t="s">
        <v>107</v>
      </c>
      <c r="W63" s="29"/>
      <c r="X63" s="29"/>
    </row>
    <row r="64" ht="15.75" customHeight="1">
      <c r="A64" s="22" t="s">
        <v>127</v>
      </c>
      <c r="B64" s="22" t="s">
        <v>128</v>
      </c>
      <c r="C64" s="22" t="s">
        <v>23</v>
      </c>
      <c r="D64" s="38" t="s">
        <v>289</v>
      </c>
      <c r="E64" s="39" t="s">
        <v>290</v>
      </c>
      <c r="F64" s="20" t="s">
        <v>303</v>
      </c>
      <c r="G64" s="29"/>
      <c r="H64" s="40"/>
      <c r="J64" s="38" t="s">
        <v>304</v>
      </c>
      <c r="K64" s="41">
        <v>16.0</v>
      </c>
      <c r="L64" s="38" t="s">
        <v>305</v>
      </c>
      <c r="M64" s="38" t="s">
        <v>306</v>
      </c>
      <c r="N64" s="38" t="s">
        <v>137</v>
      </c>
      <c r="O64" s="40" t="str">
        <f t="shared" si="1"/>
        <v>Arquitectura, Diseño y DocumentaciónCatálogoBásico</v>
      </c>
      <c r="P64" s="29">
        <v>56.0</v>
      </c>
      <c r="Q64" s="42">
        <v>16.0</v>
      </c>
      <c r="R64" s="43" t="s">
        <v>307</v>
      </c>
      <c r="S64" s="38" t="s">
        <v>137</v>
      </c>
      <c r="T64" s="38" t="s">
        <v>308</v>
      </c>
      <c r="U64" s="29">
        <v>56.0</v>
      </c>
      <c r="V64" s="29" t="s">
        <v>141</v>
      </c>
      <c r="W64" s="29"/>
      <c r="X64" s="29"/>
    </row>
    <row r="65" ht="15.75" customHeight="1">
      <c r="A65" s="22" t="s">
        <v>127</v>
      </c>
      <c r="B65" s="22" t="s">
        <v>128</v>
      </c>
      <c r="C65" s="22" t="s">
        <v>23</v>
      </c>
      <c r="D65" s="38" t="s">
        <v>289</v>
      </c>
      <c r="E65" s="39" t="s">
        <v>290</v>
      </c>
      <c r="F65" s="20" t="s">
        <v>303</v>
      </c>
      <c r="G65" s="29"/>
      <c r="H65" s="40"/>
      <c r="J65" s="38" t="s">
        <v>304</v>
      </c>
      <c r="K65" s="41">
        <v>16.0</v>
      </c>
      <c r="L65" s="38" t="s">
        <v>305</v>
      </c>
      <c r="M65" s="38" t="s">
        <v>309</v>
      </c>
      <c r="N65" s="38" t="s">
        <v>140</v>
      </c>
      <c r="O65" s="40" t="str">
        <f t="shared" si="1"/>
        <v>Arquitectura, Diseño y DocumentaciónCatálogoMedio</v>
      </c>
      <c r="P65" s="29">
        <v>57.0</v>
      </c>
      <c r="Q65" s="42">
        <v>58.0</v>
      </c>
      <c r="R65" s="43" t="s">
        <v>310</v>
      </c>
      <c r="S65" s="38" t="s">
        <v>140</v>
      </c>
      <c r="T65" s="38" t="s">
        <v>311</v>
      </c>
      <c r="U65" s="29">
        <v>57.0</v>
      </c>
      <c r="V65" s="29" t="s">
        <v>141</v>
      </c>
      <c r="W65" s="29"/>
      <c r="X65" s="29"/>
    </row>
    <row r="66" ht="15.75" customHeight="1">
      <c r="A66" s="22" t="s">
        <v>127</v>
      </c>
      <c r="B66" s="22" t="s">
        <v>128</v>
      </c>
      <c r="C66" s="22" t="s">
        <v>23</v>
      </c>
      <c r="D66" s="38" t="s">
        <v>289</v>
      </c>
      <c r="E66" s="39" t="s">
        <v>290</v>
      </c>
      <c r="F66" s="20" t="s">
        <v>303</v>
      </c>
      <c r="G66" s="29"/>
      <c r="H66" s="40"/>
      <c r="J66" s="38" t="s">
        <v>304</v>
      </c>
      <c r="K66" s="41">
        <v>16.0</v>
      </c>
      <c r="L66" s="38" t="s">
        <v>305</v>
      </c>
      <c r="M66" s="38" t="s">
        <v>312</v>
      </c>
      <c r="N66" s="38" t="s">
        <v>143</v>
      </c>
      <c r="O66" s="40" t="str">
        <f t="shared" si="1"/>
        <v>Arquitectura, Diseño y DocumentaciónCatálogoAvanzado</v>
      </c>
      <c r="P66" s="29">
        <v>58.0</v>
      </c>
      <c r="Q66" s="42">
        <v>100.0</v>
      </c>
      <c r="R66" s="43" t="s">
        <v>313</v>
      </c>
      <c r="S66" s="38" t="s">
        <v>143</v>
      </c>
      <c r="T66" s="38" t="s">
        <v>314</v>
      </c>
      <c r="U66" s="29">
        <v>58.0</v>
      </c>
      <c r="V66" s="29" t="s">
        <v>141</v>
      </c>
      <c r="W66" s="29"/>
      <c r="X66" s="29"/>
    </row>
    <row r="67" ht="15.75" customHeight="1">
      <c r="A67" s="22" t="s">
        <v>127</v>
      </c>
      <c r="B67" s="22" t="s">
        <v>128</v>
      </c>
      <c r="C67" s="22" t="s">
        <v>23</v>
      </c>
      <c r="D67" s="38" t="s">
        <v>289</v>
      </c>
      <c r="E67" s="39" t="s">
        <v>290</v>
      </c>
      <c r="F67" s="20" t="s">
        <v>303</v>
      </c>
      <c r="G67" s="29"/>
      <c r="H67" s="40"/>
      <c r="J67" s="38" t="s">
        <v>304</v>
      </c>
      <c r="K67" s="41">
        <v>17.0</v>
      </c>
      <c r="L67" s="38" t="s">
        <v>315</v>
      </c>
      <c r="M67" s="38" t="s">
        <v>134</v>
      </c>
      <c r="N67" s="38" t="s">
        <v>135</v>
      </c>
      <c r="O67" s="40" t="str">
        <f t="shared" si="1"/>
        <v>Arquitectura, Diseño y DocumentaciónCatálogoInsuficiente</v>
      </c>
      <c r="P67" s="29">
        <v>59.0</v>
      </c>
      <c r="Q67" s="34"/>
      <c r="R67" s="34"/>
      <c r="S67" s="34"/>
      <c r="T67" s="34"/>
      <c r="U67" s="34"/>
      <c r="V67" s="29" t="s">
        <v>107</v>
      </c>
      <c r="W67" s="29"/>
      <c r="X67" s="29"/>
    </row>
    <row r="68" ht="15.75" customHeight="1">
      <c r="A68" s="22" t="s">
        <v>127</v>
      </c>
      <c r="B68" s="22" t="s">
        <v>128</v>
      </c>
      <c r="C68" s="22" t="s">
        <v>23</v>
      </c>
      <c r="D68" s="38" t="s">
        <v>289</v>
      </c>
      <c r="E68" s="39" t="s">
        <v>290</v>
      </c>
      <c r="F68" s="20" t="s">
        <v>303</v>
      </c>
      <c r="G68" s="29"/>
      <c r="H68" s="40"/>
      <c r="J68" s="38" t="s">
        <v>304</v>
      </c>
      <c r="K68" s="41">
        <v>17.0</v>
      </c>
      <c r="L68" s="38" t="s">
        <v>315</v>
      </c>
      <c r="M68" s="38" t="s">
        <v>316</v>
      </c>
      <c r="N68" s="38" t="s">
        <v>137</v>
      </c>
      <c r="O68" s="40" t="str">
        <f t="shared" si="1"/>
        <v>Arquitectura, Diseño y DocumentaciónCatálogoBásico</v>
      </c>
      <c r="P68" s="29">
        <v>60.0</v>
      </c>
      <c r="Q68" s="42">
        <v>17.0</v>
      </c>
      <c r="R68" s="43" t="s">
        <v>317</v>
      </c>
      <c r="S68" s="38" t="s">
        <v>137</v>
      </c>
      <c r="T68" s="38" t="s">
        <v>318</v>
      </c>
      <c r="U68" s="29">
        <v>64.0</v>
      </c>
      <c r="V68" s="29" t="s">
        <v>141</v>
      </c>
      <c r="W68" s="29"/>
      <c r="X68" s="29"/>
    </row>
    <row r="69" ht="15.75" customHeight="1">
      <c r="A69" s="22" t="s">
        <v>127</v>
      </c>
      <c r="B69" s="22" t="s">
        <v>128</v>
      </c>
      <c r="C69" s="22" t="s">
        <v>23</v>
      </c>
      <c r="D69" s="38" t="s">
        <v>289</v>
      </c>
      <c r="E69" s="39" t="s">
        <v>290</v>
      </c>
      <c r="F69" s="20" t="s">
        <v>303</v>
      </c>
      <c r="G69" s="29"/>
      <c r="H69" s="40"/>
      <c r="J69" s="38" t="s">
        <v>304</v>
      </c>
      <c r="K69" s="41">
        <v>17.0</v>
      </c>
      <c r="L69" s="38" t="s">
        <v>315</v>
      </c>
      <c r="M69" s="38" t="s">
        <v>319</v>
      </c>
      <c r="N69" s="38" t="s">
        <v>140</v>
      </c>
      <c r="O69" s="40" t="str">
        <f t="shared" si="1"/>
        <v>Arquitectura, Diseño y DocumentaciónCatálogoMedio</v>
      </c>
      <c r="P69" s="29">
        <v>61.0</v>
      </c>
      <c r="Q69" s="42">
        <v>59.0</v>
      </c>
      <c r="R69" s="43" t="s">
        <v>320</v>
      </c>
      <c r="S69" s="38" t="s">
        <v>140</v>
      </c>
      <c r="T69" s="38" t="s">
        <v>321</v>
      </c>
      <c r="U69" s="29">
        <v>65.0</v>
      </c>
      <c r="V69" s="29" t="s">
        <v>141</v>
      </c>
      <c r="W69" s="29"/>
      <c r="X69" s="29"/>
    </row>
    <row r="70" ht="15.75" customHeight="1">
      <c r="A70" s="22" t="s">
        <v>127</v>
      </c>
      <c r="B70" s="22" t="s">
        <v>128</v>
      </c>
      <c r="C70" s="22" t="s">
        <v>23</v>
      </c>
      <c r="D70" s="38" t="s">
        <v>289</v>
      </c>
      <c r="E70" s="39" t="s">
        <v>290</v>
      </c>
      <c r="F70" s="20" t="s">
        <v>303</v>
      </c>
      <c r="G70" s="29"/>
      <c r="H70" s="40"/>
      <c r="J70" s="38" t="s">
        <v>304</v>
      </c>
      <c r="K70" s="41">
        <v>17.0</v>
      </c>
      <c r="L70" s="38" t="s">
        <v>315</v>
      </c>
      <c r="M70" s="38" t="s">
        <v>322</v>
      </c>
      <c r="N70" s="38" t="s">
        <v>143</v>
      </c>
      <c r="O70" s="40" t="str">
        <f t="shared" si="1"/>
        <v>Arquitectura, Diseño y DocumentaciónCatálogoAvanzado</v>
      </c>
      <c r="P70" s="29">
        <v>62.0</v>
      </c>
      <c r="Q70" s="42">
        <v>101.0</v>
      </c>
      <c r="R70" s="43" t="s">
        <v>323</v>
      </c>
      <c r="S70" s="38" t="s">
        <v>143</v>
      </c>
      <c r="T70" s="38" t="s">
        <v>324</v>
      </c>
      <c r="U70" s="29">
        <v>66.0</v>
      </c>
      <c r="V70" s="29" t="s">
        <v>141</v>
      </c>
      <c r="W70" s="29"/>
      <c r="X70" s="29"/>
    </row>
    <row r="71" ht="15.75" customHeight="1">
      <c r="A71" s="22" t="s">
        <v>127</v>
      </c>
      <c r="B71" s="22" t="s">
        <v>128</v>
      </c>
      <c r="C71" s="22" t="s">
        <v>23</v>
      </c>
      <c r="D71" s="38" t="s">
        <v>289</v>
      </c>
      <c r="E71" s="39" t="s">
        <v>290</v>
      </c>
      <c r="F71" s="20" t="s">
        <v>325</v>
      </c>
      <c r="G71" s="29"/>
      <c r="H71" s="40"/>
      <c r="J71" s="38" t="s">
        <v>326</v>
      </c>
      <c r="K71" s="41">
        <v>18.0</v>
      </c>
      <c r="L71" s="38" t="s">
        <v>327</v>
      </c>
      <c r="M71" s="38" t="s">
        <v>134</v>
      </c>
      <c r="N71" s="38" t="s">
        <v>135</v>
      </c>
      <c r="O71" s="40" t="str">
        <f t="shared" si="1"/>
        <v>Arquitectura, Diseño y DocumentaciónModelos y DocumentaciónInsuficiente</v>
      </c>
      <c r="P71" s="29">
        <v>63.0</v>
      </c>
      <c r="Q71" s="44"/>
      <c r="R71" s="34"/>
      <c r="S71" s="34"/>
      <c r="T71" s="34"/>
      <c r="U71" s="34"/>
      <c r="V71" s="29" t="s">
        <v>107</v>
      </c>
      <c r="W71" s="29"/>
      <c r="X71" s="29"/>
    </row>
    <row r="72" ht="15.75" customHeight="1">
      <c r="A72" s="22" t="s">
        <v>127</v>
      </c>
      <c r="B72" s="22" t="s">
        <v>128</v>
      </c>
      <c r="C72" s="22" t="s">
        <v>23</v>
      </c>
      <c r="D72" s="38" t="s">
        <v>289</v>
      </c>
      <c r="E72" s="39" t="s">
        <v>290</v>
      </c>
      <c r="F72" s="20" t="s">
        <v>325</v>
      </c>
      <c r="G72" s="29"/>
      <c r="H72" s="40"/>
      <c r="J72" s="38" t="s">
        <v>326</v>
      </c>
      <c r="K72" s="41">
        <v>18.0</v>
      </c>
      <c r="L72" s="38" t="s">
        <v>327</v>
      </c>
      <c r="M72" s="38" t="s">
        <v>328</v>
      </c>
      <c r="N72" s="38" t="s">
        <v>137</v>
      </c>
      <c r="O72" s="40" t="str">
        <f t="shared" si="1"/>
        <v>Arquitectura, Diseño y DocumentaciónModelos y DocumentaciónBásico</v>
      </c>
      <c r="P72" s="29">
        <v>64.0</v>
      </c>
      <c r="Q72" s="44"/>
      <c r="R72" s="34"/>
      <c r="S72" s="34"/>
      <c r="T72" s="34"/>
      <c r="U72" s="34"/>
      <c r="V72" s="29" t="s">
        <v>141</v>
      </c>
      <c r="W72" s="29"/>
      <c r="X72" s="29"/>
    </row>
    <row r="73" ht="15.75" customHeight="1">
      <c r="A73" s="22" t="s">
        <v>127</v>
      </c>
      <c r="B73" s="22" t="s">
        <v>128</v>
      </c>
      <c r="C73" s="22" t="s">
        <v>23</v>
      </c>
      <c r="D73" s="38" t="s">
        <v>289</v>
      </c>
      <c r="E73" s="39" t="s">
        <v>290</v>
      </c>
      <c r="F73" s="20" t="s">
        <v>325</v>
      </c>
      <c r="G73" s="29"/>
      <c r="H73" s="40"/>
      <c r="J73" s="38" t="s">
        <v>326</v>
      </c>
      <c r="K73" s="41">
        <v>18.0</v>
      </c>
      <c r="L73" s="38" t="s">
        <v>327</v>
      </c>
      <c r="M73" s="38" t="s">
        <v>329</v>
      </c>
      <c r="N73" s="38" t="s">
        <v>140</v>
      </c>
      <c r="O73" s="40" t="str">
        <f t="shared" si="1"/>
        <v>Arquitectura, Diseño y DocumentaciónModelos y DocumentaciónMedio</v>
      </c>
      <c r="P73" s="29">
        <v>65.0</v>
      </c>
      <c r="Q73" s="44"/>
      <c r="R73" s="34"/>
      <c r="S73" s="34"/>
      <c r="T73" s="34"/>
      <c r="U73" s="34"/>
      <c r="V73" s="29" t="s">
        <v>141</v>
      </c>
      <c r="W73" s="29"/>
      <c r="X73" s="29"/>
    </row>
    <row r="74" ht="15.75" customHeight="1">
      <c r="A74" s="22" t="s">
        <v>127</v>
      </c>
      <c r="B74" s="22" t="s">
        <v>128</v>
      </c>
      <c r="C74" s="22" t="s">
        <v>23</v>
      </c>
      <c r="D74" s="38" t="s">
        <v>289</v>
      </c>
      <c r="E74" s="39" t="s">
        <v>290</v>
      </c>
      <c r="F74" s="20" t="s">
        <v>325</v>
      </c>
      <c r="G74" s="29"/>
      <c r="H74" s="40"/>
      <c r="J74" s="38" t="s">
        <v>326</v>
      </c>
      <c r="K74" s="41">
        <v>18.0</v>
      </c>
      <c r="L74" s="38" t="s">
        <v>327</v>
      </c>
      <c r="M74" s="38" t="s">
        <v>330</v>
      </c>
      <c r="N74" s="38" t="s">
        <v>143</v>
      </c>
      <c r="O74" s="40" t="str">
        <f t="shared" si="1"/>
        <v>Arquitectura, Diseño y DocumentaciónModelos y DocumentaciónAvanzado</v>
      </c>
      <c r="P74" s="29">
        <v>66.0</v>
      </c>
      <c r="Q74" s="34"/>
      <c r="R74" s="34"/>
      <c r="S74" s="34"/>
      <c r="T74" s="34"/>
      <c r="U74" s="34"/>
      <c r="V74" s="29" t="s">
        <v>141</v>
      </c>
      <c r="W74" s="29"/>
      <c r="X74" s="29"/>
    </row>
    <row r="75" ht="15.75" customHeight="1">
      <c r="A75" s="22" t="s">
        <v>127</v>
      </c>
      <c r="B75" s="22" t="s">
        <v>128</v>
      </c>
      <c r="C75" s="22" t="s">
        <v>23</v>
      </c>
      <c r="D75" s="38" t="s">
        <v>289</v>
      </c>
      <c r="E75" s="39" t="s">
        <v>290</v>
      </c>
      <c r="F75" s="20" t="s">
        <v>331</v>
      </c>
      <c r="G75" s="29"/>
      <c r="H75" s="40"/>
      <c r="J75" s="38" t="s">
        <v>332</v>
      </c>
      <c r="K75" s="41">
        <v>19.0</v>
      </c>
      <c r="L75" s="38" t="s">
        <v>333</v>
      </c>
      <c r="M75" s="38" t="s">
        <v>134</v>
      </c>
      <c r="N75" s="38" t="s">
        <v>135</v>
      </c>
      <c r="O75" s="40" t="str">
        <f t="shared" si="1"/>
        <v>Arquitectura, Diseño y DocumentaciónMetadatosInsuficiente</v>
      </c>
      <c r="P75" s="29">
        <v>67.0</v>
      </c>
      <c r="Q75" s="34"/>
      <c r="R75" s="34"/>
      <c r="S75" s="34"/>
      <c r="T75" s="34"/>
      <c r="U75" s="34"/>
      <c r="V75" s="29" t="s">
        <v>107</v>
      </c>
      <c r="W75" s="29"/>
      <c r="X75" s="29"/>
    </row>
    <row r="76" ht="15.75" customHeight="1">
      <c r="A76" s="22" t="s">
        <v>127</v>
      </c>
      <c r="B76" s="22" t="s">
        <v>128</v>
      </c>
      <c r="C76" s="22" t="s">
        <v>23</v>
      </c>
      <c r="D76" s="38" t="s">
        <v>289</v>
      </c>
      <c r="E76" s="39" t="s">
        <v>290</v>
      </c>
      <c r="F76" s="20" t="s">
        <v>331</v>
      </c>
      <c r="G76" s="29"/>
      <c r="H76" s="40"/>
      <c r="J76" s="38" t="s">
        <v>332</v>
      </c>
      <c r="K76" s="41">
        <v>19.0</v>
      </c>
      <c r="L76" s="38" t="s">
        <v>333</v>
      </c>
      <c r="M76" s="38" t="s">
        <v>316</v>
      </c>
      <c r="N76" s="38" t="s">
        <v>137</v>
      </c>
      <c r="O76" s="40" t="str">
        <f t="shared" si="1"/>
        <v>Arquitectura, Diseño y DocumentaciónMetadatosBásico</v>
      </c>
      <c r="P76" s="29">
        <v>68.0</v>
      </c>
      <c r="Q76" s="34"/>
      <c r="R76" s="34"/>
      <c r="S76" s="34"/>
      <c r="T76" s="34"/>
      <c r="U76" s="34"/>
      <c r="V76" s="29" t="s">
        <v>141</v>
      </c>
      <c r="W76" s="29"/>
      <c r="X76" s="29"/>
    </row>
    <row r="77" ht="15.75" customHeight="1">
      <c r="A77" s="22" t="s">
        <v>127</v>
      </c>
      <c r="B77" s="22" t="s">
        <v>128</v>
      </c>
      <c r="C77" s="22" t="s">
        <v>23</v>
      </c>
      <c r="D77" s="38" t="s">
        <v>289</v>
      </c>
      <c r="E77" s="39" t="s">
        <v>290</v>
      </c>
      <c r="F77" s="20" t="s">
        <v>331</v>
      </c>
      <c r="G77" s="29"/>
      <c r="H77" s="40"/>
      <c r="J77" s="38" t="s">
        <v>332</v>
      </c>
      <c r="K77" s="41">
        <v>19.0</v>
      </c>
      <c r="L77" s="38" t="s">
        <v>333</v>
      </c>
      <c r="M77" s="38" t="s">
        <v>334</v>
      </c>
      <c r="N77" s="38" t="s">
        <v>140</v>
      </c>
      <c r="O77" s="40" t="str">
        <f t="shared" si="1"/>
        <v>Arquitectura, Diseño y DocumentaciónMetadatosMedio</v>
      </c>
      <c r="P77" s="29">
        <v>69.0</v>
      </c>
      <c r="Q77" s="34"/>
      <c r="R77" s="34"/>
      <c r="S77" s="34"/>
      <c r="T77" s="34"/>
      <c r="U77" s="34"/>
      <c r="V77" s="29" t="s">
        <v>141</v>
      </c>
      <c r="W77" s="29"/>
      <c r="X77" s="29"/>
    </row>
    <row r="78" ht="15.75" customHeight="1">
      <c r="A78" s="22" t="s">
        <v>127</v>
      </c>
      <c r="B78" s="22" t="s">
        <v>128</v>
      </c>
      <c r="C78" s="22" t="s">
        <v>23</v>
      </c>
      <c r="D78" s="38" t="s">
        <v>289</v>
      </c>
      <c r="E78" s="39" t="s">
        <v>290</v>
      </c>
      <c r="F78" s="20" t="s">
        <v>331</v>
      </c>
      <c r="G78" s="29"/>
      <c r="H78" s="40"/>
      <c r="J78" s="38" t="s">
        <v>332</v>
      </c>
      <c r="K78" s="41">
        <v>19.0</v>
      </c>
      <c r="L78" s="38" t="s">
        <v>333</v>
      </c>
      <c r="M78" s="38" t="s">
        <v>335</v>
      </c>
      <c r="N78" s="38" t="s">
        <v>143</v>
      </c>
      <c r="O78" s="40" t="str">
        <f t="shared" si="1"/>
        <v>Arquitectura, Diseño y DocumentaciónMetadatosAvanzado</v>
      </c>
      <c r="P78" s="29">
        <v>70.0</v>
      </c>
      <c r="Q78" s="34"/>
      <c r="R78" s="34"/>
      <c r="S78" s="34"/>
      <c r="T78" s="34"/>
      <c r="U78" s="34"/>
      <c r="V78" s="29" t="s">
        <v>141</v>
      </c>
      <c r="W78" s="29"/>
      <c r="X78" s="29"/>
    </row>
    <row r="79" ht="15.75" customHeight="1">
      <c r="A79" s="22" t="s">
        <v>127</v>
      </c>
      <c r="B79" s="22" t="s">
        <v>128</v>
      </c>
      <c r="C79" s="22" t="s">
        <v>23</v>
      </c>
      <c r="D79" s="38" t="s">
        <v>289</v>
      </c>
      <c r="E79" s="39" t="s">
        <v>290</v>
      </c>
      <c r="F79" s="20" t="s">
        <v>331</v>
      </c>
      <c r="G79" s="29"/>
      <c r="H79" s="40"/>
      <c r="J79" s="38" t="s">
        <v>332</v>
      </c>
      <c r="K79" s="41">
        <v>20.0</v>
      </c>
      <c r="L79" s="38" t="s">
        <v>336</v>
      </c>
      <c r="M79" s="38" t="s">
        <v>134</v>
      </c>
      <c r="N79" s="38" t="s">
        <v>135</v>
      </c>
      <c r="O79" s="40" t="str">
        <f t="shared" si="1"/>
        <v>Arquitectura, Diseño y DocumentaciónMetadatosInsuficiente</v>
      </c>
      <c r="P79" s="29">
        <v>71.0</v>
      </c>
      <c r="Q79" s="34"/>
      <c r="R79" s="34"/>
      <c r="S79" s="34"/>
      <c r="T79" s="34"/>
      <c r="U79" s="34"/>
      <c r="V79" s="29" t="s">
        <v>107</v>
      </c>
      <c r="W79" s="29"/>
      <c r="X79" s="29"/>
    </row>
    <row r="80" ht="15.75" customHeight="1">
      <c r="A80" s="22" t="s">
        <v>127</v>
      </c>
      <c r="B80" s="22" t="s">
        <v>128</v>
      </c>
      <c r="C80" s="22" t="s">
        <v>23</v>
      </c>
      <c r="D80" s="38" t="s">
        <v>289</v>
      </c>
      <c r="E80" s="39" t="s">
        <v>290</v>
      </c>
      <c r="F80" s="20" t="s">
        <v>331</v>
      </c>
      <c r="G80" s="29"/>
      <c r="H80" s="40"/>
      <c r="J80" s="38" t="s">
        <v>332</v>
      </c>
      <c r="K80" s="41">
        <v>20.0</v>
      </c>
      <c r="L80" s="38" t="s">
        <v>336</v>
      </c>
      <c r="M80" s="38" t="s">
        <v>337</v>
      </c>
      <c r="N80" s="38" t="s">
        <v>137</v>
      </c>
      <c r="O80" s="40" t="str">
        <f t="shared" si="1"/>
        <v>Arquitectura, Diseño y DocumentaciónMetadatosBásico</v>
      </c>
      <c r="P80" s="29">
        <v>72.0</v>
      </c>
      <c r="Q80" s="42">
        <v>18.0</v>
      </c>
      <c r="R80" s="43" t="s">
        <v>338</v>
      </c>
      <c r="S80" s="38" t="s">
        <v>137</v>
      </c>
      <c r="T80" s="38" t="s">
        <v>339</v>
      </c>
      <c r="U80" s="29">
        <v>68.0</v>
      </c>
      <c r="V80" s="29" t="s">
        <v>141</v>
      </c>
      <c r="W80" s="29"/>
      <c r="X80" s="29"/>
    </row>
    <row r="81" ht="15.75" customHeight="1">
      <c r="A81" s="22" t="s">
        <v>127</v>
      </c>
      <c r="B81" s="22" t="s">
        <v>128</v>
      </c>
      <c r="C81" s="22" t="s">
        <v>23</v>
      </c>
      <c r="D81" s="38" t="s">
        <v>289</v>
      </c>
      <c r="E81" s="39" t="s">
        <v>290</v>
      </c>
      <c r="F81" s="20" t="s">
        <v>331</v>
      </c>
      <c r="G81" s="29"/>
      <c r="H81" s="40"/>
      <c r="J81" s="38" t="s">
        <v>332</v>
      </c>
      <c r="K81" s="41">
        <v>20.0</v>
      </c>
      <c r="L81" s="38" t="s">
        <v>336</v>
      </c>
      <c r="M81" s="38" t="s">
        <v>340</v>
      </c>
      <c r="N81" s="38" t="s">
        <v>140</v>
      </c>
      <c r="O81" s="40" t="str">
        <f t="shared" si="1"/>
        <v>Arquitectura, Diseño y DocumentaciónMetadatosMedio</v>
      </c>
      <c r="P81" s="29">
        <v>73.0</v>
      </c>
      <c r="Q81" s="42">
        <v>60.0</v>
      </c>
      <c r="R81" s="43" t="s">
        <v>341</v>
      </c>
      <c r="S81" s="38" t="s">
        <v>140</v>
      </c>
      <c r="T81" s="38" t="s">
        <v>342</v>
      </c>
      <c r="U81" s="29">
        <v>69.0</v>
      </c>
      <c r="V81" s="29" t="s">
        <v>141</v>
      </c>
      <c r="W81" s="29"/>
      <c r="X81" s="29"/>
    </row>
    <row r="82" ht="15.75" customHeight="1">
      <c r="A82" s="22" t="s">
        <v>127</v>
      </c>
      <c r="B82" s="22" t="s">
        <v>128</v>
      </c>
      <c r="C82" s="22" t="s">
        <v>23</v>
      </c>
      <c r="D82" s="38" t="s">
        <v>289</v>
      </c>
      <c r="E82" s="39" t="s">
        <v>290</v>
      </c>
      <c r="F82" s="20" t="s">
        <v>331</v>
      </c>
      <c r="G82" s="29"/>
      <c r="H82" s="40"/>
      <c r="J82" s="38" t="s">
        <v>332</v>
      </c>
      <c r="K82" s="41">
        <v>20.0</v>
      </c>
      <c r="L82" s="38" t="s">
        <v>336</v>
      </c>
      <c r="M82" s="38" t="s">
        <v>343</v>
      </c>
      <c r="N82" s="38" t="s">
        <v>143</v>
      </c>
      <c r="O82" s="40" t="str">
        <f t="shared" si="1"/>
        <v>Arquitectura, Diseño y DocumentaciónMetadatosAvanzado</v>
      </c>
      <c r="P82" s="29">
        <v>74.0</v>
      </c>
      <c r="Q82" s="42">
        <v>102.0</v>
      </c>
      <c r="R82" s="43" t="s">
        <v>344</v>
      </c>
      <c r="S82" s="38" t="s">
        <v>143</v>
      </c>
      <c r="T82" s="38" t="s">
        <v>345</v>
      </c>
      <c r="U82" s="29">
        <v>70.0</v>
      </c>
      <c r="V82" s="29" t="s">
        <v>141</v>
      </c>
      <c r="W82" s="29"/>
      <c r="X82" s="29"/>
    </row>
    <row r="83" ht="15.75" customHeight="1">
      <c r="A83" s="22" t="s">
        <v>127</v>
      </c>
      <c r="B83" s="22" t="s">
        <v>128</v>
      </c>
      <c r="C83" s="22" t="s">
        <v>25</v>
      </c>
      <c r="D83" s="38" t="s">
        <v>346</v>
      </c>
      <c r="E83" s="39" t="s">
        <v>347</v>
      </c>
      <c r="F83" s="20" t="s">
        <v>348</v>
      </c>
      <c r="G83" s="29"/>
      <c r="H83" s="40"/>
      <c r="J83" s="38" t="s">
        <v>349</v>
      </c>
      <c r="K83" s="41">
        <v>21.0</v>
      </c>
      <c r="L83" s="38" t="s">
        <v>350</v>
      </c>
      <c r="M83" s="38" t="s">
        <v>134</v>
      </c>
      <c r="N83" s="38" t="s">
        <v>135</v>
      </c>
      <c r="O83" s="40" t="str">
        <f t="shared" si="1"/>
        <v>Almacenamiento y OperaciónGestión de la operación y almacenamientoInsuficiente</v>
      </c>
      <c r="P83" s="29">
        <v>75.0</v>
      </c>
      <c r="Q83" s="34"/>
      <c r="R83" s="34"/>
      <c r="S83" s="34"/>
      <c r="T83" s="34"/>
      <c r="U83" s="34"/>
      <c r="V83" s="29" t="s">
        <v>107</v>
      </c>
      <c r="W83" s="29"/>
      <c r="X83" s="29"/>
    </row>
    <row r="84" ht="15.75" customHeight="1">
      <c r="A84" s="22" t="s">
        <v>127</v>
      </c>
      <c r="B84" s="22" t="s">
        <v>128</v>
      </c>
      <c r="C84" s="22" t="s">
        <v>25</v>
      </c>
      <c r="D84" s="38" t="s">
        <v>346</v>
      </c>
      <c r="E84" s="39" t="s">
        <v>347</v>
      </c>
      <c r="F84" s="20" t="s">
        <v>348</v>
      </c>
      <c r="G84" s="29"/>
      <c r="H84" s="40"/>
      <c r="J84" s="38" t="s">
        <v>349</v>
      </c>
      <c r="K84" s="41">
        <v>21.0</v>
      </c>
      <c r="L84" s="38" t="s">
        <v>350</v>
      </c>
      <c r="M84" s="38" t="s">
        <v>351</v>
      </c>
      <c r="N84" s="38" t="s">
        <v>137</v>
      </c>
      <c r="O84" s="40" t="str">
        <f t="shared" si="1"/>
        <v>Almacenamiento y OperaciónGestión de la operación y almacenamientoBásico</v>
      </c>
      <c r="P84" s="29">
        <v>76.0</v>
      </c>
      <c r="Q84" s="42">
        <v>19.0</v>
      </c>
      <c r="R84" s="43" t="s">
        <v>352</v>
      </c>
      <c r="S84" s="38" t="s">
        <v>137</v>
      </c>
      <c r="T84" s="38" t="s">
        <v>353</v>
      </c>
      <c r="U84" s="29">
        <v>76.0</v>
      </c>
      <c r="V84" s="29" t="s">
        <v>141</v>
      </c>
      <c r="W84" s="29"/>
      <c r="X84" s="29"/>
    </row>
    <row r="85" ht="15.75" customHeight="1">
      <c r="A85" s="22" t="s">
        <v>127</v>
      </c>
      <c r="B85" s="22" t="s">
        <v>128</v>
      </c>
      <c r="C85" s="22" t="s">
        <v>25</v>
      </c>
      <c r="D85" s="38" t="s">
        <v>346</v>
      </c>
      <c r="E85" s="39" t="s">
        <v>347</v>
      </c>
      <c r="F85" s="20" t="s">
        <v>348</v>
      </c>
      <c r="G85" s="29"/>
      <c r="H85" s="40"/>
      <c r="J85" s="38" t="s">
        <v>349</v>
      </c>
      <c r="K85" s="41">
        <v>21.0</v>
      </c>
      <c r="L85" s="38" t="s">
        <v>350</v>
      </c>
      <c r="M85" s="38" t="s">
        <v>354</v>
      </c>
      <c r="N85" s="38" t="s">
        <v>140</v>
      </c>
      <c r="O85" s="40" t="str">
        <f t="shared" si="1"/>
        <v>Almacenamiento y OperaciónGestión de la operación y almacenamientoMedio</v>
      </c>
      <c r="P85" s="29">
        <v>77.0</v>
      </c>
      <c r="Q85" s="42">
        <v>61.0</v>
      </c>
      <c r="R85" s="43" t="s">
        <v>355</v>
      </c>
      <c r="S85" s="38" t="s">
        <v>140</v>
      </c>
      <c r="T85" s="38" t="s">
        <v>356</v>
      </c>
      <c r="U85" s="29">
        <v>77.0</v>
      </c>
      <c r="V85" s="29" t="s">
        <v>141</v>
      </c>
      <c r="W85" s="29"/>
      <c r="X85" s="29"/>
    </row>
    <row r="86" ht="15.75" customHeight="1">
      <c r="A86" s="22" t="s">
        <v>127</v>
      </c>
      <c r="B86" s="22" t="s">
        <v>128</v>
      </c>
      <c r="C86" s="22" t="s">
        <v>25</v>
      </c>
      <c r="D86" s="38" t="s">
        <v>346</v>
      </c>
      <c r="E86" s="39" t="s">
        <v>347</v>
      </c>
      <c r="F86" s="20" t="s">
        <v>348</v>
      </c>
      <c r="G86" s="29"/>
      <c r="H86" s="40"/>
      <c r="J86" s="38" t="s">
        <v>349</v>
      </c>
      <c r="K86" s="41">
        <v>21.0</v>
      </c>
      <c r="L86" s="38" t="s">
        <v>350</v>
      </c>
      <c r="M86" s="38" t="s">
        <v>357</v>
      </c>
      <c r="N86" s="38" t="s">
        <v>143</v>
      </c>
      <c r="O86" s="40" t="str">
        <f t="shared" si="1"/>
        <v>Almacenamiento y OperaciónGestión de la operación y almacenamientoAvanzado</v>
      </c>
      <c r="P86" s="29">
        <v>78.0</v>
      </c>
      <c r="Q86" s="42">
        <v>103.0</v>
      </c>
      <c r="R86" s="43" t="s">
        <v>358</v>
      </c>
      <c r="S86" s="38" t="s">
        <v>143</v>
      </c>
      <c r="T86" s="38" t="s">
        <v>359</v>
      </c>
      <c r="U86" s="29">
        <v>78.0</v>
      </c>
      <c r="V86" s="29" t="s">
        <v>141</v>
      </c>
      <c r="W86" s="29"/>
      <c r="X86" s="29"/>
    </row>
    <row r="87" ht="15.75" customHeight="1">
      <c r="A87" s="22" t="s">
        <v>127</v>
      </c>
      <c r="B87" s="22" t="s">
        <v>128</v>
      </c>
      <c r="C87" s="22" t="s">
        <v>27</v>
      </c>
      <c r="D87" s="38" t="s">
        <v>360</v>
      </c>
      <c r="E87" s="39" t="s">
        <v>361</v>
      </c>
      <c r="F87" s="20" t="s">
        <v>362</v>
      </c>
      <c r="G87" s="29"/>
      <c r="H87" s="40"/>
      <c r="J87" s="38" t="s">
        <v>34</v>
      </c>
      <c r="K87" s="41">
        <v>22.0</v>
      </c>
      <c r="L87" s="38" t="s">
        <v>363</v>
      </c>
      <c r="M87" s="38" t="s">
        <v>134</v>
      </c>
      <c r="N87" s="38" t="s">
        <v>135</v>
      </c>
      <c r="O87" s="40" t="str">
        <f t="shared" si="1"/>
        <v>Seguridad y Ciberseguridad de DatosSeguridadInsuficiente</v>
      </c>
      <c r="P87" s="29">
        <v>79.0</v>
      </c>
      <c r="Q87" s="34"/>
      <c r="R87" s="34"/>
      <c r="S87" s="34"/>
      <c r="T87" s="34"/>
      <c r="U87" s="34"/>
      <c r="V87" s="29" t="s">
        <v>107</v>
      </c>
      <c r="W87" s="29"/>
      <c r="X87" s="29"/>
    </row>
    <row r="88" ht="15.75" customHeight="1">
      <c r="A88" s="22" t="s">
        <v>127</v>
      </c>
      <c r="B88" s="22" t="s">
        <v>128</v>
      </c>
      <c r="C88" s="22" t="s">
        <v>27</v>
      </c>
      <c r="D88" s="38" t="s">
        <v>360</v>
      </c>
      <c r="E88" s="39" t="s">
        <v>361</v>
      </c>
      <c r="F88" s="20" t="s">
        <v>362</v>
      </c>
      <c r="G88" s="29"/>
      <c r="H88" s="40"/>
      <c r="J88" s="38" t="s">
        <v>34</v>
      </c>
      <c r="K88" s="41">
        <v>22.0</v>
      </c>
      <c r="L88" s="38" t="s">
        <v>363</v>
      </c>
      <c r="M88" s="38" t="s">
        <v>364</v>
      </c>
      <c r="N88" s="38" t="s">
        <v>137</v>
      </c>
      <c r="O88" s="40" t="str">
        <f t="shared" si="1"/>
        <v>Seguridad y Ciberseguridad de DatosSeguridadBásico</v>
      </c>
      <c r="P88" s="29">
        <v>80.0</v>
      </c>
      <c r="Q88" s="42">
        <v>20.0</v>
      </c>
      <c r="R88" s="43" t="s">
        <v>365</v>
      </c>
      <c r="S88" s="38" t="s">
        <v>137</v>
      </c>
      <c r="T88" s="38" t="s">
        <v>366</v>
      </c>
      <c r="U88" s="29">
        <v>80.0</v>
      </c>
      <c r="V88" s="29" t="s">
        <v>141</v>
      </c>
      <c r="W88" s="29"/>
      <c r="X88" s="29"/>
    </row>
    <row r="89" ht="15.75" customHeight="1">
      <c r="A89" s="22" t="s">
        <v>127</v>
      </c>
      <c r="B89" s="22" t="s">
        <v>128</v>
      </c>
      <c r="C89" s="22" t="s">
        <v>27</v>
      </c>
      <c r="D89" s="38" t="s">
        <v>360</v>
      </c>
      <c r="E89" s="39" t="s">
        <v>361</v>
      </c>
      <c r="F89" s="20" t="s">
        <v>362</v>
      </c>
      <c r="G89" s="29"/>
      <c r="H89" s="40"/>
      <c r="J89" s="38" t="s">
        <v>34</v>
      </c>
      <c r="K89" s="41">
        <v>22.0</v>
      </c>
      <c r="L89" s="38" t="s">
        <v>363</v>
      </c>
      <c r="M89" s="38" t="s">
        <v>367</v>
      </c>
      <c r="N89" s="38" t="s">
        <v>140</v>
      </c>
      <c r="O89" s="40" t="str">
        <f t="shared" si="1"/>
        <v>Seguridad y Ciberseguridad de DatosSeguridadMedio</v>
      </c>
      <c r="P89" s="29">
        <v>81.0</v>
      </c>
      <c r="Q89" s="42">
        <v>62.0</v>
      </c>
      <c r="R89" s="43" t="s">
        <v>368</v>
      </c>
      <c r="S89" s="38" t="s">
        <v>140</v>
      </c>
      <c r="T89" s="38" t="s">
        <v>369</v>
      </c>
      <c r="U89" s="29">
        <v>81.0</v>
      </c>
      <c r="V89" s="29" t="s">
        <v>141</v>
      </c>
      <c r="W89" s="29"/>
      <c r="X89" s="29"/>
    </row>
    <row r="90" ht="15.75" customHeight="1">
      <c r="A90" s="22" t="s">
        <v>127</v>
      </c>
      <c r="B90" s="22" t="s">
        <v>128</v>
      </c>
      <c r="C90" s="22" t="s">
        <v>27</v>
      </c>
      <c r="D90" s="38" t="s">
        <v>360</v>
      </c>
      <c r="E90" s="39" t="s">
        <v>361</v>
      </c>
      <c r="F90" s="20" t="s">
        <v>362</v>
      </c>
      <c r="G90" s="29"/>
      <c r="H90" s="40"/>
      <c r="J90" s="38" t="s">
        <v>34</v>
      </c>
      <c r="K90" s="41">
        <v>22.0</v>
      </c>
      <c r="L90" s="38" t="s">
        <v>363</v>
      </c>
      <c r="M90" s="38" t="s">
        <v>370</v>
      </c>
      <c r="N90" s="38" t="s">
        <v>143</v>
      </c>
      <c r="O90" s="40" t="str">
        <f t="shared" si="1"/>
        <v>Seguridad y Ciberseguridad de DatosSeguridadAvanzado</v>
      </c>
      <c r="P90" s="29">
        <v>82.0</v>
      </c>
      <c r="Q90" s="42">
        <v>104.0</v>
      </c>
      <c r="R90" s="43" t="s">
        <v>371</v>
      </c>
      <c r="S90" s="38" t="s">
        <v>143</v>
      </c>
      <c r="T90" s="38" t="s">
        <v>372</v>
      </c>
      <c r="U90" s="29">
        <v>82.0</v>
      </c>
      <c r="V90" s="29" t="s">
        <v>141</v>
      </c>
      <c r="W90" s="29"/>
      <c r="X90" s="29"/>
    </row>
    <row r="91" ht="15.75" customHeight="1">
      <c r="A91" s="22" t="s">
        <v>127</v>
      </c>
      <c r="B91" s="22" t="s">
        <v>128</v>
      </c>
      <c r="C91" s="22" t="s">
        <v>27</v>
      </c>
      <c r="D91" s="38" t="s">
        <v>360</v>
      </c>
      <c r="E91" s="39" t="s">
        <v>361</v>
      </c>
      <c r="F91" s="20" t="s">
        <v>373</v>
      </c>
      <c r="G91" s="29"/>
      <c r="H91" s="40"/>
      <c r="J91" s="38" t="s">
        <v>374</v>
      </c>
      <c r="K91" s="41">
        <v>23.0</v>
      </c>
      <c r="L91" s="38" t="s">
        <v>375</v>
      </c>
      <c r="M91" s="38" t="s">
        <v>134</v>
      </c>
      <c r="N91" s="38" t="s">
        <v>135</v>
      </c>
      <c r="O91" s="40" t="str">
        <f t="shared" si="1"/>
        <v>Seguridad y Ciberseguridad de DatosCiberseguridadInsuficiente</v>
      </c>
      <c r="P91" s="29">
        <v>83.0</v>
      </c>
      <c r="Q91" s="34"/>
      <c r="R91" s="34"/>
      <c r="S91" s="34"/>
      <c r="T91" s="34"/>
      <c r="U91" s="34"/>
      <c r="V91" s="29" t="s">
        <v>107</v>
      </c>
      <c r="W91" s="29"/>
      <c r="X91" s="29"/>
    </row>
    <row r="92" ht="15.75" customHeight="1">
      <c r="A92" s="22" t="s">
        <v>127</v>
      </c>
      <c r="B92" s="22" t="s">
        <v>128</v>
      </c>
      <c r="C92" s="22" t="s">
        <v>27</v>
      </c>
      <c r="D92" s="38" t="s">
        <v>360</v>
      </c>
      <c r="E92" s="39" t="s">
        <v>361</v>
      </c>
      <c r="F92" s="20" t="s">
        <v>373</v>
      </c>
      <c r="G92" s="29"/>
      <c r="H92" s="40"/>
      <c r="J92" s="38" t="s">
        <v>374</v>
      </c>
      <c r="K92" s="41">
        <v>23.0</v>
      </c>
      <c r="L92" s="38" t="s">
        <v>375</v>
      </c>
      <c r="M92" s="38" t="s">
        <v>142</v>
      </c>
      <c r="N92" s="38" t="s">
        <v>137</v>
      </c>
      <c r="O92" s="40" t="str">
        <f t="shared" si="1"/>
        <v>Seguridad y Ciberseguridad de DatosCiberseguridadBásico</v>
      </c>
      <c r="P92" s="29">
        <v>84.0</v>
      </c>
      <c r="Q92" s="42">
        <v>21.0</v>
      </c>
      <c r="R92" s="43" t="s">
        <v>376</v>
      </c>
      <c r="S92" s="38" t="s">
        <v>137</v>
      </c>
      <c r="T92" s="38" t="s">
        <v>377</v>
      </c>
      <c r="U92" s="29">
        <v>84.0</v>
      </c>
      <c r="V92" s="29" t="s">
        <v>141</v>
      </c>
      <c r="W92" s="29"/>
      <c r="X92" s="29"/>
    </row>
    <row r="93" ht="15.75" customHeight="1">
      <c r="A93" s="22" t="s">
        <v>127</v>
      </c>
      <c r="B93" s="22" t="s">
        <v>128</v>
      </c>
      <c r="C93" s="22" t="s">
        <v>27</v>
      </c>
      <c r="D93" s="38" t="s">
        <v>360</v>
      </c>
      <c r="E93" s="39" t="s">
        <v>361</v>
      </c>
      <c r="F93" s="20" t="s">
        <v>373</v>
      </c>
      <c r="G93" s="29"/>
      <c r="H93" s="40"/>
      <c r="J93" s="38" t="s">
        <v>374</v>
      </c>
      <c r="K93" s="41">
        <v>23.0</v>
      </c>
      <c r="L93" s="38" t="s">
        <v>375</v>
      </c>
      <c r="M93" s="38" t="s">
        <v>378</v>
      </c>
      <c r="N93" s="38" t="s">
        <v>140</v>
      </c>
      <c r="O93" s="40" t="str">
        <f t="shared" si="1"/>
        <v>Seguridad y Ciberseguridad de DatosCiberseguridadMedio</v>
      </c>
      <c r="P93" s="29">
        <v>85.0</v>
      </c>
      <c r="Q93" s="42">
        <v>63.0</v>
      </c>
      <c r="R93" s="43" t="s">
        <v>379</v>
      </c>
      <c r="S93" s="38" t="s">
        <v>140</v>
      </c>
      <c r="T93" s="38" t="s">
        <v>380</v>
      </c>
      <c r="U93" s="29">
        <v>85.0</v>
      </c>
      <c r="V93" s="29" t="s">
        <v>141</v>
      </c>
      <c r="W93" s="29"/>
      <c r="X93" s="29"/>
    </row>
    <row r="94" ht="15.75" customHeight="1">
      <c r="A94" s="22" t="s">
        <v>127</v>
      </c>
      <c r="B94" s="22" t="s">
        <v>128</v>
      </c>
      <c r="C94" s="22" t="s">
        <v>27</v>
      </c>
      <c r="D94" s="38" t="s">
        <v>360</v>
      </c>
      <c r="E94" s="39" t="s">
        <v>361</v>
      </c>
      <c r="F94" s="20" t="s">
        <v>373</v>
      </c>
      <c r="G94" s="29"/>
      <c r="H94" s="40"/>
      <c r="J94" s="38" t="s">
        <v>374</v>
      </c>
      <c r="K94" s="41">
        <v>23.0</v>
      </c>
      <c r="L94" s="38" t="s">
        <v>375</v>
      </c>
      <c r="M94" s="38" t="s">
        <v>381</v>
      </c>
      <c r="N94" s="38" t="s">
        <v>143</v>
      </c>
      <c r="O94" s="40" t="str">
        <f t="shared" si="1"/>
        <v>Seguridad y Ciberseguridad de DatosCiberseguridadAvanzado</v>
      </c>
      <c r="P94" s="29">
        <v>86.0</v>
      </c>
      <c r="Q94" s="42">
        <v>105.0</v>
      </c>
      <c r="R94" s="43" t="s">
        <v>382</v>
      </c>
      <c r="S94" s="38" t="s">
        <v>143</v>
      </c>
      <c r="T94" s="38" t="s">
        <v>383</v>
      </c>
      <c r="U94" s="29">
        <v>86.0</v>
      </c>
      <c r="V94" s="29" t="s">
        <v>141</v>
      </c>
      <c r="W94" s="29"/>
      <c r="X94" s="29"/>
    </row>
    <row r="95" ht="15.75" customHeight="1">
      <c r="A95" s="22" t="s">
        <v>127</v>
      </c>
      <c r="B95" s="22" t="s">
        <v>128</v>
      </c>
      <c r="C95" s="22" t="s">
        <v>27</v>
      </c>
      <c r="D95" s="38" t="s">
        <v>360</v>
      </c>
      <c r="E95" s="39" t="s">
        <v>361</v>
      </c>
      <c r="F95" s="20" t="s">
        <v>384</v>
      </c>
      <c r="G95" s="29"/>
      <c r="H95" s="40"/>
      <c r="J95" s="38" t="s">
        <v>385</v>
      </c>
      <c r="K95" s="41">
        <v>24.0</v>
      </c>
      <c r="L95" s="38" t="s">
        <v>386</v>
      </c>
      <c r="M95" s="38" t="s">
        <v>134</v>
      </c>
      <c r="N95" s="38" t="s">
        <v>135</v>
      </c>
      <c r="O95" s="40" t="str">
        <f t="shared" si="1"/>
        <v>Seguridad y Ciberseguridad de DatosProtección de Datos PersonalesInsuficiente</v>
      </c>
      <c r="P95" s="29">
        <v>87.0</v>
      </c>
      <c r="Q95" s="34"/>
      <c r="R95" s="34"/>
      <c r="S95" s="34"/>
      <c r="T95" s="34"/>
      <c r="U95" s="34"/>
      <c r="V95" s="29" t="s">
        <v>107</v>
      </c>
      <c r="W95" s="29"/>
      <c r="X95" s="29"/>
    </row>
    <row r="96" ht="15.75" customHeight="1">
      <c r="A96" s="22" t="s">
        <v>127</v>
      </c>
      <c r="B96" s="22" t="s">
        <v>128</v>
      </c>
      <c r="C96" s="22" t="s">
        <v>27</v>
      </c>
      <c r="D96" s="38" t="s">
        <v>360</v>
      </c>
      <c r="E96" s="39" t="s">
        <v>361</v>
      </c>
      <c r="F96" s="20" t="s">
        <v>384</v>
      </c>
      <c r="G96" s="29"/>
      <c r="H96" s="40"/>
      <c r="J96" s="38" t="s">
        <v>385</v>
      </c>
      <c r="K96" s="41">
        <v>24.0</v>
      </c>
      <c r="L96" s="38" t="s">
        <v>386</v>
      </c>
      <c r="M96" s="38" t="s">
        <v>142</v>
      </c>
      <c r="N96" s="38" t="s">
        <v>143</v>
      </c>
      <c r="O96" s="40" t="str">
        <f t="shared" si="1"/>
        <v>Seguridad y Ciberseguridad de DatosProtección de Datos PersonalesAvanzado</v>
      </c>
      <c r="P96" s="29">
        <v>88.0</v>
      </c>
      <c r="Q96" s="42">
        <v>106.0</v>
      </c>
      <c r="R96" s="43" t="s">
        <v>387</v>
      </c>
      <c r="S96" s="38" t="s">
        <v>143</v>
      </c>
      <c r="T96" s="38" t="s">
        <v>388</v>
      </c>
      <c r="U96" s="29">
        <v>88.0</v>
      </c>
      <c r="V96" s="29" t="s">
        <v>141</v>
      </c>
      <c r="W96" s="29"/>
      <c r="X96" s="29"/>
    </row>
    <row r="97" ht="15.75" customHeight="1">
      <c r="A97" s="22" t="s">
        <v>127</v>
      </c>
      <c r="B97" s="22" t="s">
        <v>128</v>
      </c>
      <c r="C97" s="22" t="s">
        <v>27</v>
      </c>
      <c r="D97" s="38" t="s">
        <v>360</v>
      </c>
      <c r="E97" s="39" t="s">
        <v>361</v>
      </c>
      <c r="F97" s="20" t="s">
        <v>384</v>
      </c>
      <c r="G97" s="29"/>
      <c r="H97" s="40"/>
      <c r="J97" s="38" t="s">
        <v>385</v>
      </c>
      <c r="K97" s="41">
        <v>25.0</v>
      </c>
      <c r="L97" s="38" t="s">
        <v>389</v>
      </c>
      <c r="M97" s="38" t="s">
        <v>134</v>
      </c>
      <c r="N97" s="38" t="s">
        <v>135</v>
      </c>
      <c r="O97" s="40" t="str">
        <f t="shared" si="1"/>
        <v>Seguridad y Ciberseguridad de DatosProtección de Datos PersonalesInsuficiente</v>
      </c>
      <c r="P97" s="29">
        <v>89.0</v>
      </c>
      <c r="Q97" s="42">
        <v>22.0</v>
      </c>
      <c r="R97" s="43" t="s">
        <v>390</v>
      </c>
      <c r="S97" s="38" t="s">
        <v>137</v>
      </c>
      <c r="T97" s="38" t="s">
        <v>388</v>
      </c>
      <c r="U97" s="29">
        <v>90.0</v>
      </c>
      <c r="V97" s="29" t="s">
        <v>107</v>
      </c>
      <c r="W97" s="29"/>
      <c r="X97" s="29"/>
    </row>
    <row r="98" ht="15.75" customHeight="1">
      <c r="A98" s="22" t="s">
        <v>127</v>
      </c>
      <c r="B98" s="22" t="s">
        <v>128</v>
      </c>
      <c r="C98" s="22" t="s">
        <v>27</v>
      </c>
      <c r="D98" s="38" t="s">
        <v>360</v>
      </c>
      <c r="E98" s="39" t="s">
        <v>361</v>
      </c>
      <c r="F98" s="20" t="s">
        <v>384</v>
      </c>
      <c r="G98" s="29"/>
      <c r="H98" s="40"/>
      <c r="J98" s="38" t="s">
        <v>385</v>
      </c>
      <c r="K98" s="41">
        <v>25.0</v>
      </c>
      <c r="L98" s="38" t="s">
        <v>389</v>
      </c>
      <c r="M98" s="38" t="s">
        <v>142</v>
      </c>
      <c r="N98" s="38" t="s">
        <v>137</v>
      </c>
      <c r="O98" s="40" t="str">
        <f t="shared" si="1"/>
        <v>Seguridad y Ciberseguridad de DatosProtección de Datos PersonalesBásico</v>
      </c>
      <c r="P98" s="29">
        <v>90.0</v>
      </c>
      <c r="Q98" s="42">
        <v>64.0</v>
      </c>
      <c r="R98" s="43" t="s">
        <v>391</v>
      </c>
      <c r="S98" s="38" t="s">
        <v>140</v>
      </c>
      <c r="T98" s="38" t="s">
        <v>388</v>
      </c>
      <c r="U98" s="29">
        <v>91.0</v>
      </c>
      <c r="V98" s="29" t="s">
        <v>141</v>
      </c>
      <c r="W98" s="29"/>
      <c r="X98" s="29"/>
    </row>
    <row r="99" ht="15.75" customHeight="1">
      <c r="A99" s="22" t="s">
        <v>127</v>
      </c>
      <c r="B99" s="22" t="s">
        <v>128</v>
      </c>
      <c r="C99" s="22" t="s">
        <v>27</v>
      </c>
      <c r="D99" s="38" t="s">
        <v>360</v>
      </c>
      <c r="E99" s="39" t="s">
        <v>361</v>
      </c>
      <c r="F99" s="20" t="s">
        <v>384</v>
      </c>
      <c r="G99" s="29"/>
      <c r="H99" s="40"/>
      <c r="J99" s="38" t="s">
        <v>385</v>
      </c>
      <c r="K99" s="41">
        <v>25.0</v>
      </c>
      <c r="L99" s="38" t="s">
        <v>389</v>
      </c>
      <c r="M99" s="38" t="s">
        <v>392</v>
      </c>
      <c r="N99" s="38" t="s">
        <v>140</v>
      </c>
      <c r="O99" s="40" t="str">
        <f t="shared" si="1"/>
        <v>Seguridad y Ciberseguridad de DatosProtección de Datos PersonalesMedio</v>
      </c>
      <c r="P99" s="29">
        <v>91.0</v>
      </c>
      <c r="Q99" s="34"/>
      <c r="R99" s="34"/>
      <c r="S99" s="34"/>
      <c r="T99" s="34"/>
      <c r="U99" s="34"/>
      <c r="V99" s="29" t="s">
        <v>141</v>
      </c>
      <c r="W99" s="29"/>
      <c r="X99" s="29"/>
    </row>
    <row r="100" ht="15.75" customHeight="1">
      <c r="A100" s="22" t="s">
        <v>127</v>
      </c>
      <c r="B100" s="22" t="s">
        <v>128</v>
      </c>
      <c r="C100" s="22" t="s">
        <v>27</v>
      </c>
      <c r="D100" s="38" t="s">
        <v>360</v>
      </c>
      <c r="E100" s="39" t="s">
        <v>361</v>
      </c>
      <c r="F100" s="20" t="s">
        <v>384</v>
      </c>
      <c r="G100" s="29"/>
      <c r="H100" s="40"/>
      <c r="J100" s="38" t="s">
        <v>385</v>
      </c>
      <c r="K100" s="41">
        <v>25.0</v>
      </c>
      <c r="L100" s="38" t="s">
        <v>389</v>
      </c>
      <c r="M100" s="38" t="s">
        <v>393</v>
      </c>
      <c r="N100" s="38" t="s">
        <v>143</v>
      </c>
      <c r="O100" s="40" t="str">
        <f t="shared" si="1"/>
        <v>Seguridad y Ciberseguridad de DatosProtección de Datos PersonalesAvanzado</v>
      </c>
      <c r="P100" s="29">
        <v>92.0</v>
      </c>
      <c r="Q100" s="34"/>
      <c r="R100" s="34"/>
      <c r="S100" s="34"/>
      <c r="T100" s="34"/>
      <c r="U100" s="34"/>
      <c r="V100" s="29" t="s">
        <v>141</v>
      </c>
      <c r="W100" s="29"/>
      <c r="X100" s="29"/>
    </row>
    <row r="101" ht="15.75" customHeight="1">
      <c r="A101" s="22" t="s">
        <v>127</v>
      </c>
      <c r="B101" s="22" t="s">
        <v>128</v>
      </c>
      <c r="C101" s="22" t="s">
        <v>27</v>
      </c>
      <c r="D101" s="38" t="s">
        <v>360</v>
      </c>
      <c r="E101" s="39" t="s">
        <v>361</v>
      </c>
      <c r="F101" s="20" t="s">
        <v>384</v>
      </c>
      <c r="G101" s="29"/>
      <c r="H101" s="40"/>
      <c r="J101" s="38" t="s">
        <v>385</v>
      </c>
      <c r="K101" s="41">
        <v>26.0</v>
      </c>
      <c r="L101" s="38" t="s">
        <v>394</v>
      </c>
      <c r="M101" s="38" t="s">
        <v>134</v>
      </c>
      <c r="N101" s="38" t="s">
        <v>135</v>
      </c>
      <c r="O101" s="40" t="str">
        <f t="shared" si="1"/>
        <v>Seguridad y Ciberseguridad de DatosProtección de Datos PersonalesInsuficiente</v>
      </c>
      <c r="P101" s="29">
        <v>93.0</v>
      </c>
      <c r="Q101" s="34"/>
      <c r="R101" s="34"/>
      <c r="S101" s="34"/>
      <c r="T101" s="34"/>
      <c r="U101" s="34"/>
      <c r="V101" s="29" t="s">
        <v>107</v>
      </c>
      <c r="W101" s="29"/>
      <c r="X101" s="29"/>
    </row>
    <row r="102" ht="15.75" customHeight="1">
      <c r="A102" s="22" t="s">
        <v>127</v>
      </c>
      <c r="B102" s="22" t="s">
        <v>128</v>
      </c>
      <c r="C102" s="22" t="s">
        <v>27</v>
      </c>
      <c r="D102" s="38" t="s">
        <v>360</v>
      </c>
      <c r="E102" s="39" t="s">
        <v>361</v>
      </c>
      <c r="F102" s="20" t="s">
        <v>384</v>
      </c>
      <c r="G102" s="29"/>
      <c r="H102" s="40"/>
      <c r="J102" s="38" t="s">
        <v>385</v>
      </c>
      <c r="K102" s="41">
        <v>26.0</v>
      </c>
      <c r="L102" s="38" t="s">
        <v>394</v>
      </c>
      <c r="M102" s="38" t="s">
        <v>142</v>
      </c>
      <c r="N102" s="38" t="s">
        <v>143</v>
      </c>
      <c r="O102" s="40" t="str">
        <f t="shared" si="1"/>
        <v>Seguridad y Ciberseguridad de DatosProtección de Datos PersonalesAvanzado</v>
      </c>
      <c r="P102" s="29">
        <v>94.0</v>
      </c>
      <c r="Q102" s="34"/>
      <c r="R102" s="34"/>
      <c r="S102" s="34"/>
      <c r="T102" s="34"/>
      <c r="U102" s="34"/>
      <c r="V102" s="29" t="s">
        <v>141</v>
      </c>
      <c r="W102" s="29"/>
      <c r="X102" s="29"/>
    </row>
    <row r="103" ht="15.75" customHeight="1">
      <c r="A103" s="22" t="s">
        <v>127</v>
      </c>
      <c r="B103" s="22" t="s">
        <v>128</v>
      </c>
      <c r="C103" s="22" t="s">
        <v>27</v>
      </c>
      <c r="D103" s="38" t="s">
        <v>360</v>
      </c>
      <c r="E103" s="39" t="s">
        <v>361</v>
      </c>
      <c r="F103" s="20" t="s">
        <v>395</v>
      </c>
      <c r="G103" s="29"/>
      <c r="H103" s="40"/>
      <c r="J103" s="38" t="s">
        <v>396</v>
      </c>
      <c r="K103" s="41">
        <v>27.0</v>
      </c>
      <c r="L103" s="38" t="s">
        <v>397</v>
      </c>
      <c r="M103" s="38" t="s">
        <v>134</v>
      </c>
      <c r="N103" s="38" t="s">
        <v>135</v>
      </c>
      <c r="O103" s="40" t="str">
        <f t="shared" si="1"/>
        <v>Seguridad y Ciberseguridad de DatosRecuperación ante desastresInsuficiente</v>
      </c>
      <c r="P103" s="29">
        <v>95.0</v>
      </c>
      <c r="Q103" s="34"/>
      <c r="R103" s="34"/>
      <c r="S103" s="34"/>
      <c r="T103" s="34"/>
      <c r="U103" s="34"/>
      <c r="V103" s="29" t="s">
        <v>107</v>
      </c>
      <c r="W103" s="29"/>
      <c r="X103" s="29"/>
    </row>
    <row r="104" ht="15.75" customHeight="1">
      <c r="A104" s="22" t="s">
        <v>127</v>
      </c>
      <c r="B104" s="22" t="s">
        <v>128</v>
      </c>
      <c r="C104" s="22" t="s">
        <v>27</v>
      </c>
      <c r="D104" s="38" t="s">
        <v>360</v>
      </c>
      <c r="E104" s="39" t="s">
        <v>361</v>
      </c>
      <c r="F104" s="20" t="s">
        <v>395</v>
      </c>
      <c r="G104" s="29"/>
      <c r="H104" s="40"/>
      <c r="J104" s="38" t="s">
        <v>396</v>
      </c>
      <c r="K104" s="41">
        <v>27.0</v>
      </c>
      <c r="L104" s="38" t="s">
        <v>397</v>
      </c>
      <c r="M104" s="38" t="s">
        <v>398</v>
      </c>
      <c r="N104" s="38" t="s">
        <v>137</v>
      </c>
      <c r="O104" s="40" t="str">
        <f t="shared" si="1"/>
        <v>Seguridad y Ciberseguridad de DatosRecuperación ante desastresBásico</v>
      </c>
      <c r="P104" s="29">
        <v>96.0</v>
      </c>
      <c r="Q104" s="42">
        <v>23.0</v>
      </c>
      <c r="R104" s="43" t="s">
        <v>399</v>
      </c>
      <c r="S104" s="38" t="s">
        <v>137</v>
      </c>
      <c r="T104" s="38" t="s">
        <v>400</v>
      </c>
      <c r="U104" s="29">
        <v>96.0</v>
      </c>
      <c r="V104" s="29" t="s">
        <v>141</v>
      </c>
      <c r="W104" s="29"/>
      <c r="X104" s="29"/>
    </row>
    <row r="105" ht="15.75" customHeight="1">
      <c r="A105" s="22" t="s">
        <v>127</v>
      </c>
      <c r="B105" s="22" t="s">
        <v>128</v>
      </c>
      <c r="C105" s="22" t="s">
        <v>27</v>
      </c>
      <c r="D105" s="38" t="s">
        <v>360</v>
      </c>
      <c r="E105" s="39" t="s">
        <v>361</v>
      </c>
      <c r="F105" s="20" t="s">
        <v>395</v>
      </c>
      <c r="G105" s="29"/>
      <c r="H105" s="40"/>
      <c r="J105" s="38" t="s">
        <v>396</v>
      </c>
      <c r="K105" s="41">
        <v>27.0</v>
      </c>
      <c r="L105" s="38" t="s">
        <v>397</v>
      </c>
      <c r="M105" s="38" t="s">
        <v>401</v>
      </c>
      <c r="N105" s="38" t="s">
        <v>140</v>
      </c>
      <c r="O105" s="40" t="str">
        <f t="shared" si="1"/>
        <v>Seguridad y Ciberseguridad de DatosRecuperación ante desastresMedio</v>
      </c>
      <c r="P105" s="29">
        <v>97.0</v>
      </c>
      <c r="Q105" s="42">
        <v>65.0</v>
      </c>
      <c r="R105" s="43" t="s">
        <v>402</v>
      </c>
      <c r="S105" s="38" t="s">
        <v>140</v>
      </c>
      <c r="T105" s="38" t="s">
        <v>403</v>
      </c>
      <c r="U105" s="29">
        <v>97.0</v>
      </c>
      <c r="V105" s="29" t="s">
        <v>141</v>
      </c>
      <c r="W105" s="29"/>
      <c r="X105" s="29"/>
    </row>
    <row r="106" ht="15.75" customHeight="1">
      <c r="A106" s="22" t="s">
        <v>127</v>
      </c>
      <c r="B106" s="22" t="s">
        <v>128</v>
      </c>
      <c r="C106" s="22" t="s">
        <v>27</v>
      </c>
      <c r="D106" s="38" t="s">
        <v>360</v>
      </c>
      <c r="E106" s="39" t="s">
        <v>361</v>
      </c>
      <c r="F106" s="20" t="s">
        <v>395</v>
      </c>
      <c r="G106" s="29"/>
      <c r="H106" s="40"/>
      <c r="J106" s="38" t="s">
        <v>396</v>
      </c>
      <c r="K106" s="41">
        <v>27.0</v>
      </c>
      <c r="L106" s="38" t="s">
        <v>397</v>
      </c>
      <c r="M106" s="38" t="s">
        <v>404</v>
      </c>
      <c r="N106" s="38" t="s">
        <v>143</v>
      </c>
      <c r="O106" s="40" t="str">
        <f t="shared" si="1"/>
        <v>Seguridad y Ciberseguridad de DatosRecuperación ante desastresAvanzado</v>
      </c>
      <c r="P106" s="29">
        <v>98.0</v>
      </c>
      <c r="Q106" s="42">
        <v>107.0</v>
      </c>
      <c r="R106" s="43" t="s">
        <v>405</v>
      </c>
      <c r="S106" s="38" t="s">
        <v>143</v>
      </c>
      <c r="T106" s="38" t="s">
        <v>406</v>
      </c>
      <c r="U106" s="29">
        <v>98.0</v>
      </c>
      <c r="V106" s="29" t="s">
        <v>141</v>
      </c>
      <c r="W106" s="29"/>
      <c r="X106" s="29"/>
    </row>
    <row r="107" ht="15.75" customHeight="1">
      <c r="A107" s="22" t="s">
        <v>127</v>
      </c>
      <c r="B107" s="22" t="s">
        <v>128</v>
      </c>
      <c r="C107" s="22" t="s">
        <v>29</v>
      </c>
      <c r="D107" s="38" t="s">
        <v>407</v>
      </c>
      <c r="E107" s="39" t="s">
        <v>408</v>
      </c>
      <c r="F107" s="20" t="s">
        <v>409</v>
      </c>
      <c r="G107" s="29"/>
      <c r="H107" s="40"/>
      <c r="J107" s="38" t="s">
        <v>410</v>
      </c>
      <c r="K107" s="41">
        <v>28.0</v>
      </c>
      <c r="L107" s="38" t="s">
        <v>411</v>
      </c>
      <c r="M107" s="38" t="s">
        <v>134</v>
      </c>
      <c r="N107" s="38" t="s">
        <v>135</v>
      </c>
      <c r="O107" s="40" t="str">
        <f t="shared" si="1"/>
        <v>Integración e InteroperabilidadIntegraciónInsuficiente</v>
      </c>
      <c r="P107" s="29">
        <v>99.0</v>
      </c>
      <c r="Q107" s="34"/>
      <c r="R107" s="34"/>
      <c r="S107" s="34"/>
      <c r="T107" s="34"/>
      <c r="U107" s="34"/>
      <c r="V107" s="29" t="s">
        <v>107</v>
      </c>
      <c r="W107" s="29"/>
      <c r="X107" s="29"/>
    </row>
    <row r="108" ht="15.75" customHeight="1">
      <c r="A108" s="22" t="s">
        <v>127</v>
      </c>
      <c r="B108" s="22" t="s">
        <v>128</v>
      </c>
      <c r="C108" s="22" t="s">
        <v>29</v>
      </c>
      <c r="D108" s="38" t="s">
        <v>407</v>
      </c>
      <c r="E108" s="39" t="s">
        <v>408</v>
      </c>
      <c r="F108" s="20" t="s">
        <v>409</v>
      </c>
      <c r="G108" s="29"/>
      <c r="H108" s="40"/>
      <c r="J108" s="38" t="s">
        <v>410</v>
      </c>
      <c r="K108" s="41">
        <v>28.0</v>
      </c>
      <c r="L108" s="38" t="s">
        <v>411</v>
      </c>
      <c r="M108" s="38" t="s">
        <v>412</v>
      </c>
      <c r="N108" s="38" t="s">
        <v>137</v>
      </c>
      <c r="O108" s="40" t="str">
        <f t="shared" si="1"/>
        <v>Integración e InteroperabilidadIntegraciónBásico</v>
      </c>
      <c r="P108" s="29">
        <v>100.0</v>
      </c>
      <c r="Q108" s="42">
        <v>24.0</v>
      </c>
      <c r="R108" s="43" t="s">
        <v>413</v>
      </c>
      <c r="S108" s="38" t="s">
        <v>137</v>
      </c>
      <c r="T108" s="38" t="s">
        <v>414</v>
      </c>
      <c r="U108" s="29">
        <v>100.0</v>
      </c>
      <c r="V108" s="29" t="s">
        <v>141</v>
      </c>
      <c r="W108" s="29"/>
      <c r="X108" s="29"/>
    </row>
    <row r="109" ht="15.75" customHeight="1">
      <c r="A109" s="22" t="s">
        <v>127</v>
      </c>
      <c r="B109" s="22" t="s">
        <v>128</v>
      </c>
      <c r="C109" s="22" t="s">
        <v>29</v>
      </c>
      <c r="D109" s="38" t="s">
        <v>407</v>
      </c>
      <c r="E109" s="39" t="s">
        <v>408</v>
      </c>
      <c r="F109" s="20" t="s">
        <v>409</v>
      </c>
      <c r="G109" s="29"/>
      <c r="H109" s="40"/>
      <c r="J109" s="38" t="s">
        <v>410</v>
      </c>
      <c r="K109" s="41">
        <v>28.0</v>
      </c>
      <c r="L109" s="38" t="s">
        <v>411</v>
      </c>
      <c r="M109" s="38" t="s">
        <v>351</v>
      </c>
      <c r="N109" s="38" t="s">
        <v>140</v>
      </c>
      <c r="O109" s="40" t="str">
        <f t="shared" si="1"/>
        <v>Integración e InteroperabilidadIntegraciónMedio</v>
      </c>
      <c r="P109" s="29">
        <v>101.0</v>
      </c>
      <c r="Q109" s="42">
        <v>66.0</v>
      </c>
      <c r="R109" s="43" t="s">
        <v>415</v>
      </c>
      <c r="S109" s="38" t="s">
        <v>140</v>
      </c>
      <c r="T109" s="38" t="s">
        <v>416</v>
      </c>
      <c r="U109" s="29">
        <v>101.0</v>
      </c>
      <c r="V109" s="29" t="s">
        <v>141</v>
      </c>
      <c r="W109" s="29"/>
      <c r="X109" s="29"/>
    </row>
    <row r="110" ht="15.75" customHeight="1">
      <c r="A110" s="22" t="s">
        <v>127</v>
      </c>
      <c r="B110" s="22" t="s">
        <v>128</v>
      </c>
      <c r="C110" s="22" t="s">
        <v>29</v>
      </c>
      <c r="D110" s="38" t="s">
        <v>407</v>
      </c>
      <c r="E110" s="39" t="s">
        <v>408</v>
      </c>
      <c r="F110" s="20" t="s">
        <v>409</v>
      </c>
      <c r="G110" s="29"/>
      <c r="H110" s="40"/>
      <c r="J110" s="38" t="s">
        <v>410</v>
      </c>
      <c r="K110" s="41">
        <v>28.0</v>
      </c>
      <c r="L110" s="38" t="s">
        <v>411</v>
      </c>
      <c r="M110" s="38" t="s">
        <v>417</v>
      </c>
      <c r="N110" s="38" t="s">
        <v>143</v>
      </c>
      <c r="O110" s="40" t="str">
        <f t="shared" si="1"/>
        <v>Integración e InteroperabilidadIntegraciónAvanzado</v>
      </c>
      <c r="P110" s="29">
        <v>102.0</v>
      </c>
      <c r="Q110" s="42">
        <v>108.0</v>
      </c>
      <c r="R110" s="43" t="s">
        <v>418</v>
      </c>
      <c r="S110" s="38" t="s">
        <v>143</v>
      </c>
      <c r="T110" s="38" t="s">
        <v>419</v>
      </c>
      <c r="U110" s="29">
        <v>102.0</v>
      </c>
      <c r="V110" s="29" t="s">
        <v>141</v>
      </c>
      <c r="W110" s="29"/>
      <c r="X110" s="29"/>
    </row>
    <row r="111" ht="15.75" customHeight="1">
      <c r="A111" s="22" t="s">
        <v>127</v>
      </c>
      <c r="B111" s="22" t="s">
        <v>128</v>
      </c>
      <c r="C111" s="22" t="s">
        <v>29</v>
      </c>
      <c r="D111" s="38" t="s">
        <v>407</v>
      </c>
      <c r="E111" s="39" t="s">
        <v>408</v>
      </c>
      <c r="F111" s="20" t="s">
        <v>420</v>
      </c>
      <c r="G111" s="29"/>
      <c r="H111" s="40"/>
      <c r="J111" s="38" t="s">
        <v>60</v>
      </c>
      <c r="K111" s="41">
        <v>29.0</v>
      </c>
      <c r="L111" s="38" t="s">
        <v>421</v>
      </c>
      <c r="M111" s="38" t="s">
        <v>134</v>
      </c>
      <c r="N111" s="38" t="s">
        <v>135</v>
      </c>
      <c r="O111" s="40" t="str">
        <f t="shared" si="1"/>
        <v>Integración e InteroperabilidadInteroperabilidadInsuficiente</v>
      </c>
      <c r="P111" s="29">
        <v>103.0</v>
      </c>
      <c r="Q111" s="34"/>
      <c r="R111" s="34"/>
      <c r="S111" s="34"/>
      <c r="T111" s="34"/>
      <c r="U111" s="34"/>
      <c r="V111" s="29" t="s">
        <v>107</v>
      </c>
      <c r="W111" s="29"/>
      <c r="X111" s="29"/>
    </row>
    <row r="112" ht="15.75" customHeight="1">
      <c r="A112" s="22" t="s">
        <v>127</v>
      </c>
      <c r="B112" s="22" t="s">
        <v>128</v>
      </c>
      <c r="C112" s="22" t="s">
        <v>29</v>
      </c>
      <c r="D112" s="38" t="s">
        <v>407</v>
      </c>
      <c r="E112" s="39" t="s">
        <v>408</v>
      </c>
      <c r="F112" s="20" t="s">
        <v>420</v>
      </c>
      <c r="G112" s="29"/>
      <c r="H112" s="40"/>
      <c r="J112" s="38" t="s">
        <v>60</v>
      </c>
      <c r="K112" s="41">
        <v>29.0</v>
      </c>
      <c r="L112" s="38" t="s">
        <v>421</v>
      </c>
      <c r="M112" s="38" t="s">
        <v>422</v>
      </c>
      <c r="N112" s="38" t="s">
        <v>137</v>
      </c>
      <c r="O112" s="40" t="str">
        <f t="shared" si="1"/>
        <v>Integración e InteroperabilidadInteroperabilidadBásico</v>
      </c>
      <c r="P112" s="29">
        <v>104.0</v>
      </c>
      <c r="Q112" s="42">
        <v>25.0</v>
      </c>
      <c r="R112" s="43" t="s">
        <v>423</v>
      </c>
      <c r="S112" s="38" t="s">
        <v>137</v>
      </c>
      <c r="T112" s="38" t="s">
        <v>424</v>
      </c>
      <c r="U112" s="29">
        <v>104.0</v>
      </c>
      <c r="V112" s="29" t="s">
        <v>141</v>
      </c>
      <c r="W112" s="29"/>
      <c r="X112" s="29"/>
    </row>
    <row r="113" ht="15.75" customHeight="1">
      <c r="A113" s="22" t="s">
        <v>127</v>
      </c>
      <c r="B113" s="22" t="s">
        <v>128</v>
      </c>
      <c r="C113" s="22" t="s">
        <v>29</v>
      </c>
      <c r="D113" s="38" t="s">
        <v>407</v>
      </c>
      <c r="E113" s="39" t="s">
        <v>408</v>
      </c>
      <c r="F113" s="20" t="s">
        <v>420</v>
      </c>
      <c r="G113" s="29"/>
      <c r="H113" s="40"/>
      <c r="J113" s="38" t="s">
        <v>60</v>
      </c>
      <c r="K113" s="41">
        <v>29.0</v>
      </c>
      <c r="L113" s="38" t="s">
        <v>421</v>
      </c>
      <c r="M113" s="38" t="s">
        <v>425</v>
      </c>
      <c r="N113" s="38" t="s">
        <v>140</v>
      </c>
      <c r="O113" s="40" t="str">
        <f t="shared" si="1"/>
        <v>Integración e InteroperabilidadInteroperabilidadMedio</v>
      </c>
      <c r="P113" s="29">
        <v>105.0</v>
      </c>
      <c r="Q113" s="42">
        <v>67.0</v>
      </c>
      <c r="R113" s="43" t="s">
        <v>426</v>
      </c>
      <c r="S113" s="38" t="s">
        <v>140</v>
      </c>
      <c r="T113" s="38" t="s">
        <v>427</v>
      </c>
      <c r="U113" s="29">
        <v>105.0</v>
      </c>
      <c r="V113" s="29" t="s">
        <v>141</v>
      </c>
      <c r="W113" s="29"/>
      <c r="X113" s="29"/>
    </row>
    <row r="114" ht="15.75" customHeight="1">
      <c r="A114" s="22" t="s">
        <v>127</v>
      </c>
      <c r="B114" s="22" t="s">
        <v>128</v>
      </c>
      <c r="C114" s="22" t="s">
        <v>29</v>
      </c>
      <c r="D114" s="38" t="s">
        <v>407</v>
      </c>
      <c r="E114" s="39" t="s">
        <v>408</v>
      </c>
      <c r="F114" s="20" t="s">
        <v>420</v>
      </c>
      <c r="G114" s="29"/>
      <c r="H114" s="40"/>
      <c r="J114" s="38" t="s">
        <v>60</v>
      </c>
      <c r="K114" s="41">
        <v>29.0</v>
      </c>
      <c r="L114" s="38" t="s">
        <v>421</v>
      </c>
      <c r="M114" s="38" t="s">
        <v>428</v>
      </c>
      <c r="N114" s="38" t="s">
        <v>143</v>
      </c>
      <c r="O114" s="40" t="str">
        <f t="shared" si="1"/>
        <v>Integración e InteroperabilidadInteroperabilidadAvanzado</v>
      </c>
      <c r="P114" s="29">
        <v>106.0</v>
      </c>
      <c r="Q114" s="42">
        <v>109.0</v>
      </c>
      <c r="R114" s="43" t="s">
        <v>429</v>
      </c>
      <c r="S114" s="38" t="s">
        <v>143</v>
      </c>
      <c r="T114" s="38" t="s">
        <v>430</v>
      </c>
      <c r="U114" s="29">
        <v>106.0</v>
      </c>
      <c r="V114" s="29" t="s">
        <v>141</v>
      </c>
      <c r="W114" s="29"/>
      <c r="X114" s="29"/>
    </row>
    <row r="115" ht="15.75" customHeight="1">
      <c r="A115" s="22" t="s">
        <v>127</v>
      </c>
      <c r="B115" s="22" t="s">
        <v>128</v>
      </c>
      <c r="C115" s="22" t="s">
        <v>29</v>
      </c>
      <c r="D115" s="38" t="s">
        <v>407</v>
      </c>
      <c r="E115" s="39" t="s">
        <v>408</v>
      </c>
      <c r="F115" s="20" t="s">
        <v>420</v>
      </c>
      <c r="G115" s="29"/>
      <c r="H115" s="40"/>
      <c r="J115" s="38" t="s">
        <v>60</v>
      </c>
      <c r="K115" s="41">
        <v>30.0</v>
      </c>
      <c r="L115" s="38" t="s">
        <v>431</v>
      </c>
      <c r="M115" s="38" t="s">
        <v>134</v>
      </c>
      <c r="N115" s="38" t="s">
        <v>135</v>
      </c>
      <c r="O115" s="40" t="str">
        <f t="shared" si="1"/>
        <v>Integración e InteroperabilidadInteroperabilidadInsuficiente</v>
      </c>
      <c r="P115" s="29">
        <v>107.0</v>
      </c>
      <c r="Q115" s="34"/>
      <c r="R115" s="34"/>
      <c r="S115" s="34"/>
      <c r="T115" s="34"/>
      <c r="U115" s="34"/>
      <c r="V115" s="29" t="s">
        <v>107</v>
      </c>
      <c r="W115" s="29"/>
      <c r="X115" s="29"/>
    </row>
    <row r="116" ht="15.75" customHeight="1">
      <c r="A116" s="22" t="s">
        <v>127</v>
      </c>
      <c r="B116" s="22" t="s">
        <v>128</v>
      </c>
      <c r="C116" s="22" t="s">
        <v>29</v>
      </c>
      <c r="D116" s="38" t="s">
        <v>407</v>
      </c>
      <c r="E116" s="39" t="s">
        <v>408</v>
      </c>
      <c r="F116" s="20" t="s">
        <v>420</v>
      </c>
      <c r="G116" s="29"/>
      <c r="H116" s="40"/>
      <c r="J116" s="38" t="s">
        <v>60</v>
      </c>
      <c r="K116" s="41">
        <v>30.0</v>
      </c>
      <c r="L116" s="38" t="s">
        <v>431</v>
      </c>
      <c r="M116" s="38" t="s">
        <v>432</v>
      </c>
      <c r="N116" s="38" t="s">
        <v>137</v>
      </c>
      <c r="O116" s="40" t="str">
        <f t="shared" si="1"/>
        <v>Integración e InteroperabilidadInteroperabilidadBásico</v>
      </c>
      <c r="P116" s="29">
        <v>108.0</v>
      </c>
      <c r="Q116" s="42">
        <v>26.0</v>
      </c>
      <c r="R116" s="43" t="s">
        <v>433</v>
      </c>
      <c r="S116" s="38" t="s">
        <v>137</v>
      </c>
      <c r="T116" s="38" t="s">
        <v>434</v>
      </c>
      <c r="U116" s="29">
        <v>114.0</v>
      </c>
      <c r="V116" s="29" t="s">
        <v>141</v>
      </c>
      <c r="W116" s="29"/>
      <c r="X116" s="29"/>
    </row>
    <row r="117" ht="15.75" customHeight="1">
      <c r="A117" s="22" t="s">
        <v>127</v>
      </c>
      <c r="B117" s="22" t="s">
        <v>128</v>
      </c>
      <c r="C117" s="22" t="s">
        <v>29</v>
      </c>
      <c r="D117" s="38" t="s">
        <v>407</v>
      </c>
      <c r="E117" s="39" t="s">
        <v>408</v>
      </c>
      <c r="F117" s="20" t="s">
        <v>420</v>
      </c>
      <c r="G117" s="29"/>
      <c r="H117" s="40"/>
      <c r="J117" s="38" t="s">
        <v>60</v>
      </c>
      <c r="K117" s="41">
        <v>30.0</v>
      </c>
      <c r="L117" s="38" t="s">
        <v>431</v>
      </c>
      <c r="M117" s="38" t="s">
        <v>435</v>
      </c>
      <c r="N117" s="38" t="s">
        <v>140</v>
      </c>
      <c r="O117" s="40" t="str">
        <f t="shared" si="1"/>
        <v>Integración e InteroperabilidadInteroperabilidadMedio</v>
      </c>
      <c r="P117" s="29">
        <v>109.0</v>
      </c>
      <c r="Q117" s="42">
        <v>68.0</v>
      </c>
      <c r="R117" s="43" t="s">
        <v>436</v>
      </c>
      <c r="S117" s="38" t="s">
        <v>140</v>
      </c>
      <c r="T117" s="38" t="s">
        <v>437</v>
      </c>
      <c r="U117" s="29">
        <v>115.0</v>
      </c>
      <c r="V117" s="29" t="s">
        <v>141</v>
      </c>
      <c r="W117" s="29"/>
      <c r="X117" s="29"/>
    </row>
    <row r="118" ht="15.75" customHeight="1">
      <c r="A118" s="22" t="s">
        <v>127</v>
      </c>
      <c r="B118" s="22" t="s">
        <v>128</v>
      </c>
      <c r="C118" s="22" t="s">
        <v>29</v>
      </c>
      <c r="D118" s="38" t="s">
        <v>407</v>
      </c>
      <c r="E118" s="39" t="s">
        <v>408</v>
      </c>
      <c r="F118" s="20" t="s">
        <v>420</v>
      </c>
      <c r="G118" s="29"/>
      <c r="H118" s="40"/>
      <c r="J118" s="38" t="s">
        <v>60</v>
      </c>
      <c r="K118" s="41">
        <v>30.0</v>
      </c>
      <c r="L118" s="38" t="s">
        <v>431</v>
      </c>
      <c r="M118" s="38" t="s">
        <v>438</v>
      </c>
      <c r="N118" s="38" t="s">
        <v>143</v>
      </c>
      <c r="O118" s="40" t="str">
        <f t="shared" si="1"/>
        <v>Integración e InteroperabilidadInteroperabilidadAvanzado</v>
      </c>
      <c r="P118" s="29">
        <v>110.0</v>
      </c>
      <c r="Q118" s="42">
        <v>110.0</v>
      </c>
      <c r="R118" s="43" t="s">
        <v>439</v>
      </c>
      <c r="S118" s="38" t="s">
        <v>143</v>
      </c>
      <c r="T118" s="38" t="s">
        <v>440</v>
      </c>
      <c r="U118" s="29">
        <v>116.0</v>
      </c>
      <c r="V118" s="29" t="s">
        <v>141</v>
      </c>
      <c r="W118" s="29"/>
      <c r="X118" s="29"/>
    </row>
    <row r="119" ht="15.75" customHeight="1">
      <c r="A119" s="22" t="s">
        <v>127</v>
      </c>
      <c r="B119" s="22" t="s">
        <v>128</v>
      </c>
      <c r="C119" s="22" t="s">
        <v>29</v>
      </c>
      <c r="D119" s="38" t="s">
        <v>407</v>
      </c>
      <c r="E119" s="39" t="s">
        <v>408</v>
      </c>
      <c r="F119" s="20" t="s">
        <v>420</v>
      </c>
      <c r="G119" s="29"/>
      <c r="H119" s="40"/>
      <c r="J119" s="38" t="s">
        <v>60</v>
      </c>
      <c r="K119" s="41">
        <v>31.0</v>
      </c>
      <c r="L119" s="38" t="s">
        <v>441</v>
      </c>
      <c r="M119" s="38" t="s">
        <v>134</v>
      </c>
      <c r="N119" s="38" t="s">
        <v>135</v>
      </c>
      <c r="O119" s="40" t="str">
        <f t="shared" si="1"/>
        <v>Integración e InteroperabilidadInteroperabilidadInsuficiente</v>
      </c>
      <c r="P119" s="29">
        <v>111.0</v>
      </c>
      <c r="Q119" s="34"/>
      <c r="R119" s="34"/>
      <c r="S119" s="34"/>
      <c r="T119" s="34"/>
      <c r="U119" s="34"/>
      <c r="V119" s="29" t="s">
        <v>107</v>
      </c>
      <c r="W119" s="29"/>
      <c r="X119" s="29"/>
    </row>
    <row r="120" ht="15.75" customHeight="1">
      <c r="A120" s="22" t="s">
        <v>127</v>
      </c>
      <c r="B120" s="22" t="s">
        <v>128</v>
      </c>
      <c r="C120" s="22" t="s">
        <v>29</v>
      </c>
      <c r="D120" s="38" t="s">
        <v>407</v>
      </c>
      <c r="E120" s="39" t="s">
        <v>408</v>
      </c>
      <c r="F120" s="20" t="s">
        <v>420</v>
      </c>
      <c r="G120" s="29"/>
      <c r="H120" s="40"/>
      <c r="J120" s="38" t="s">
        <v>60</v>
      </c>
      <c r="K120" s="41">
        <v>31.0</v>
      </c>
      <c r="L120" s="38" t="s">
        <v>441</v>
      </c>
      <c r="M120" s="38" t="s">
        <v>142</v>
      </c>
      <c r="N120" s="38" t="s">
        <v>143</v>
      </c>
      <c r="O120" s="40" t="str">
        <f t="shared" si="1"/>
        <v>Integración e InteroperabilidadInteroperabilidadAvanzado</v>
      </c>
      <c r="P120" s="29">
        <v>112.0</v>
      </c>
      <c r="Q120" s="34"/>
      <c r="R120" s="34"/>
      <c r="S120" s="34"/>
      <c r="T120" s="34"/>
      <c r="U120" s="34"/>
      <c r="V120" s="29" t="s">
        <v>141</v>
      </c>
      <c r="W120" s="29"/>
      <c r="X120" s="29"/>
    </row>
    <row r="121" ht="15.75" customHeight="1">
      <c r="A121" s="22" t="s">
        <v>127</v>
      </c>
      <c r="B121" s="22" t="s">
        <v>128</v>
      </c>
      <c r="C121" s="22" t="s">
        <v>31</v>
      </c>
      <c r="D121" s="38" t="s">
        <v>442</v>
      </c>
      <c r="E121" s="39" t="s">
        <v>443</v>
      </c>
      <c r="F121" s="20" t="s">
        <v>444</v>
      </c>
      <c r="G121" s="29"/>
      <c r="H121" s="40"/>
      <c r="J121" s="38" t="s">
        <v>445</v>
      </c>
      <c r="K121" s="41">
        <v>32.0</v>
      </c>
      <c r="L121" s="38" t="s">
        <v>446</v>
      </c>
      <c r="M121" s="38" t="s">
        <v>134</v>
      </c>
      <c r="N121" s="38" t="s">
        <v>135</v>
      </c>
      <c r="O121" s="40" t="str">
        <f t="shared" si="1"/>
        <v>Documentos y ContenidosDefinicionesInsuficiente</v>
      </c>
      <c r="P121" s="29">
        <v>113.0</v>
      </c>
      <c r="Q121" s="34"/>
      <c r="R121" s="34"/>
      <c r="S121" s="34"/>
      <c r="T121" s="34"/>
      <c r="U121" s="34"/>
      <c r="V121" s="29" t="s">
        <v>107</v>
      </c>
      <c r="W121" s="29"/>
      <c r="X121" s="29"/>
    </row>
    <row r="122" ht="15.75" customHeight="1">
      <c r="A122" s="22" t="s">
        <v>127</v>
      </c>
      <c r="B122" s="22" t="s">
        <v>128</v>
      </c>
      <c r="C122" s="22" t="s">
        <v>31</v>
      </c>
      <c r="D122" s="38" t="s">
        <v>442</v>
      </c>
      <c r="E122" s="39" t="s">
        <v>443</v>
      </c>
      <c r="F122" s="20" t="s">
        <v>444</v>
      </c>
      <c r="G122" s="29"/>
      <c r="H122" s="40"/>
      <c r="J122" s="38" t="s">
        <v>445</v>
      </c>
      <c r="K122" s="41">
        <v>32.0</v>
      </c>
      <c r="L122" s="38" t="s">
        <v>446</v>
      </c>
      <c r="M122" s="38" t="s">
        <v>447</v>
      </c>
      <c r="N122" s="38" t="s">
        <v>137</v>
      </c>
      <c r="O122" s="40" t="str">
        <f t="shared" si="1"/>
        <v>Documentos y ContenidosDefinicionesBásico</v>
      </c>
      <c r="P122" s="29">
        <v>114.0</v>
      </c>
      <c r="Q122" s="34"/>
      <c r="R122" s="34"/>
      <c r="S122" s="34"/>
      <c r="T122" s="34"/>
      <c r="U122" s="34"/>
      <c r="V122" s="29" t="s">
        <v>141</v>
      </c>
      <c r="W122" s="29"/>
      <c r="X122" s="29"/>
    </row>
    <row r="123" ht="15.75" customHeight="1">
      <c r="A123" s="22" t="s">
        <v>127</v>
      </c>
      <c r="B123" s="22" t="s">
        <v>128</v>
      </c>
      <c r="C123" s="22" t="s">
        <v>31</v>
      </c>
      <c r="D123" s="38" t="s">
        <v>442</v>
      </c>
      <c r="E123" s="39" t="s">
        <v>443</v>
      </c>
      <c r="F123" s="20" t="s">
        <v>444</v>
      </c>
      <c r="G123" s="29"/>
      <c r="H123" s="40"/>
      <c r="J123" s="38" t="s">
        <v>445</v>
      </c>
      <c r="K123" s="41">
        <v>32.0</v>
      </c>
      <c r="L123" s="38" t="s">
        <v>446</v>
      </c>
      <c r="M123" s="38" t="s">
        <v>448</v>
      </c>
      <c r="N123" s="38" t="s">
        <v>140</v>
      </c>
      <c r="O123" s="40" t="str">
        <f t="shared" si="1"/>
        <v>Documentos y ContenidosDefinicionesMedio</v>
      </c>
      <c r="P123" s="29">
        <v>115.0</v>
      </c>
      <c r="Q123" s="34"/>
      <c r="R123" s="34"/>
      <c r="S123" s="34"/>
      <c r="T123" s="34"/>
      <c r="U123" s="34"/>
      <c r="V123" s="29" t="s">
        <v>141</v>
      </c>
      <c r="W123" s="29"/>
      <c r="X123" s="29"/>
    </row>
    <row r="124" ht="15.75" customHeight="1">
      <c r="A124" s="22" t="s">
        <v>127</v>
      </c>
      <c r="B124" s="22" t="s">
        <v>128</v>
      </c>
      <c r="C124" s="22" t="s">
        <v>31</v>
      </c>
      <c r="D124" s="38" t="s">
        <v>442</v>
      </c>
      <c r="E124" s="39" t="s">
        <v>443</v>
      </c>
      <c r="F124" s="20" t="s">
        <v>444</v>
      </c>
      <c r="G124" s="29"/>
      <c r="H124" s="40"/>
      <c r="J124" s="38" t="s">
        <v>445</v>
      </c>
      <c r="K124" s="41">
        <v>32.0</v>
      </c>
      <c r="L124" s="38" t="s">
        <v>446</v>
      </c>
      <c r="M124" s="38" t="s">
        <v>449</v>
      </c>
      <c r="N124" s="38" t="s">
        <v>143</v>
      </c>
      <c r="O124" s="40" t="str">
        <f t="shared" si="1"/>
        <v>Documentos y ContenidosDefinicionesAvanzado</v>
      </c>
      <c r="P124" s="29">
        <v>116.0</v>
      </c>
      <c r="Q124" s="34"/>
      <c r="R124" s="34"/>
      <c r="S124" s="34"/>
      <c r="T124" s="34"/>
      <c r="U124" s="34"/>
      <c r="V124" s="29" t="s">
        <v>141</v>
      </c>
      <c r="W124" s="29"/>
      <c r="X124" s="29"/>
    </row>
    <row r="125" ht="15.75" customHeight="1">
      <c r="A125" s="22" t="s">
        <v>127</v>
      </c>
      <c r="B125" s="22" t="s">
        <v>128</v>
      </c>
      <c r="C125" s="22" t="s">
        <v>31</v>
      </c>
      <c r="D125" s="38" t="s">
        <v>442</v>
      </c>
      <c r="E125" s="39" t="s">
        <v>443</v>
      </c>
      <c r="F125" s="20" t="s">
        <v>450</v>
      </c>
      <c r="G125" s="29"/>
      <c r="H125" s="40"/>
      <c r="J125" s="38" t="s">
        <v>332</v>
      </c>
      <c r="K125" s="41">
        <v>33.0</v>
      </c>
      <c r="L125" s="38" t="s">
        <v>451</v>
      </c>
      <c r="M125" s="38" t="s">
        <v>134</v>
      </c>
      <c r="N125" s="38" t="s">
        <v>135</v>
      </c>
      <c r="O125" s="40" t="str">
        <f t="shared" si="1"/>
        <v>Documentos y ContenidosMetadatosInsuficiente</v>
      </c>
      <c r="P125" s="29">
        <v>117.0</v>
      </c>
      <c r="Q125" s="34"/>
      <c r="R125" s="34"/>
      <c r="S125" s="34"/>
      <c r="T125" s="34"/>
      <c r="U125" s="34"/>
      <c r="V125" s="29" t="s">
        <v>107</v>
      </c>
      <c r="W125" s="29"/>
      <c r="X125" s="29"/>
    </row>
    <row r="126" ht="15.75" customHeight="1">
      <c r="A126" s="22" t="s">
        <v>127</v>
      </c>
      <c r="B126" s="22" t="s">
        <v>128</v>
      </c>
      <c r="C126" s="22" t="s">
        <v>31</v>
      </c>
      <c r="D126" s="38" t="s">
        <v>442</v>
      </c>
      <c r="E126" s="39" t="s">
        <v>443</v>
      </c>
      <c r="F126" s="20" t="s">
        <v>450</v>
      </c>
      <c r="G126" s="29"/>
      <c r="H126" s="40"/>
      <c r="J126" s="38" t="s">
        <v>332</v>
      </c>
      <c r="K126" s="41">
        <v>33.0</v>
      </c>
      <c r="L126" s="38" t="s">
        <v>451</v>
      </c>
      <c r="M126" s="38" t="s">
        <v>142</v>
      </c>
      <c r="N126" s="38" t="s">
        <v>137</v>
      </c>
      <c r="O126" s="40" t="str">
        <f t="shared" si="1"/>
        <v>Documentos y ContenidosMetadatosBásico</v>
      </c>
      <c r="P126" s="29">
        <v>118.0</v>
      </c>
      <c r="Q126" s="42">
        <v>27.0</v>
      </c>
      <c r="R126" s="43" t="s">
        <v>452</v>
      </c>
      <c r="S126" s="38" t="s">
        <v>137</v>
      </c>
      <c r="T126" s="38" t="s">
        <v>453</v>
      </c>
      <c r="U126" s="29">
        <v>118.0</v>
      </c>
      <c r="V126" s="29" t="s">
        <v>141</v>
      </c>
      <c r="W126" s="29"/>
      <c r="X126" s="29"/>
    </row>
    <row r="127" ht="15.75" customHeight="1">
      <c r="A127" s="22" t="s">
        <v>127</v>
      </c>
      <c r="B127" s="22" t="s">
        <v>128</v>
      </c>
      <c r="C127" s="22" t="s">
        <v>31</v>
      </c>
      <c r="D127" s="38" t="s">
        <v>442</v>
      </c>
      <c r="E127" s="39" t="s">
        <v>443</v>
      </c>
      <c r="F127" s="20" t="s">
        <v>450</v>
      </c>
      <c r="G127" s="29"/>
      <c r="H127" s="40"/>
      <c r="J127" s="38" t="s">
        <v>332</v>
      </c>
      <c r="K127" s="41">
        <v>33.0</v>
      </c>
      <c r="L127" s="38" t="s">
        <v>451</v>
      </c>
      <c r="M127" s="38" t="s">
        <v>454</v>
      </c>
      <c r="N127" s="38" t="s">
        <v>140</v>
      </c>
      <c r="O127" s="40" t="str">
        <f t="shared" si="1"/>
        <v>Documentos y ContenidosMetadatosMedio</v>
      </c>
      <c r="P127" s="29">
        <v>119.0</v>
      </c>
      <c r="Q127" s="42">
        <v>69.0</v>
      </c>
      <c r="R127" s="43" t="s">
        <v>455</v>
      </c>
      <c r="S127" s="38" t="s">
        <v>140</v>
      </c>
      <c r="T127" s="38" t="s">
        <v>456</v>
      </c>
      <c r="U127" s="29">
        <v>119.0</v>
      </c>
      <c r="V127" s="29" t="s">
        <v>141</v>
      </c>
      <c r="W127" s="29"/>
      <c r="X127" s="29"/>
    </row>
    <row r="128" ht="15.75" customHeight="1">
      <c r="A128" s="22" t="s">
        <v>127</v>
      </c>
      <c r="B128" s="22" t="s">
        <v>128</v>
      </c>
      <c r="C128" s="22" t="s">
        <v>31</v>
      </c>
      <c r="D128" s="38" t="s">
        <v>442</v>
      </c>
      <c r="E128" s="39" t="s">
        <v>443</v>
      </c>
      <c r="F128" s="20" t="s">
        <v>450</v>
      </c>
      <c r="G128" s="29"/>
      <c r="H128" s="40"/>
      <c r="J128" s="38" t="s">
        <v>332</v>
      </c>
      <c r="K128" s="41">
        <v>33.0</v>
      </c>
      <c r="L128" s="38" t="s">
        <v>451</v>
      </c>
      <c r="M128" s="38" t="s">
        <v>457</v>
      </c>
      <c r="N128" s="38" t="s">
        <v>143</v>
      </c>
      <c r="O128" s="40" t="str">
        <f t="shared" si="1"/>
        <v>Documentos y ContenidosMetadatosAvanzado</v>
      </c>
      <c r="P128" s="29">
        <v>120.0</v>
      </c>
      <c r="Q128" s="42">
        <v>111.0</v>
      </c>
      <c r="R128" s="43" t="s">
        <v>458</v>
      </c>
      <c r="S128" s="38" t="s">
        <v>143</v>
      </c>
      <c r="T128" s="38" t="s">
        <v>459</v>
      </c>
      <c r="U128" s="29">
        <v>120.0</v>
      </c>
      <c r="V128" s="29" t="s">
        <v>141</v>
      </c>
      <c r="W128" s="29"/>
      <c r="X128" s="29"/>
    </row>
    <row r="129" ht="15.75" customHeight="1">
      <c r="A129" s="22" t="s">
        <v>127</v>
      </c>
      <c r="B129" s="22" t="s">
        <v>128</v>
      </c>
      <c r="C129" s="22" t="s">
        <v>31</v>
      </c>
      <c r="D129" s="38" t="s">
        <v>442</v>
      </c>
      <c r="E129" s="39" t="s">
        <v>443</v>
      </c>
      <c r="F129" s="20" t="s">
        <v>460</v>
      </c>
      <c r="G129" s="29"/>
      <c r="H129" s="40"/>
      <c r="J129" s="38" t="s">
        <v>461</v>
      </c>
      <c r="K129" s="41">
        <v>34.0</v>
      </c>
      <c r="L129" s="38" t="s">
        <v>462</v>
      </c>
      <c r="M129" s="38" t="s">
        <v>134</v>
      </c>
      <c r="N129" s="38" t="s">
        <v>135</v>
      </c>
      <c r="O129" s="40" t="str">
        <f t="shared" si="1"/>
        <v>Documentos y ContenidosExpediente ElectrónicoInsuficiente</v>
      </c>
      <c r="P129" s="29">
        <v>121.0</v>
      </c>
      <c r="Q129" s="34"/>
      <c r="R129" s="34"/>
      <c r="S129" s="34"/>
      <c r="T129" s="34"/>
      <c r="U129" s="34"/>
      <c r="V129" s="29" t="s">
        <v>107</v>
      </c>
      <c r="W129" s="29"/>
      <c r="X129" s="29"/>
    </row>
    <row r="130" ht="15.75" customHeight="1">
      <c r="A130" s="22" t="s">
        <v>127</v>
      </c>
      <c r="B130" s="22" t="s">
        <v>128</v>
      </c>
      <c r="C130" s="22" t="s">
        <v>31</v>
      </c>
      <c r="D130" s="38" t="s">
        <v>442</v>
      </c>
      <c r="E130" s="39" t="s">
        <v>443</v>
      </c>
      <c r="F130" s="20" t="s">
        <v>460</v>
      </c>
      <c r="G130" s="29"/>
      <c r="H130" s="40"/>
      <c r="J130" s="38" t="s">
        <v>461</v>
      </c>
      <c r="K130" s="41">
        <v>34.0</v>
      </c>
      <c r="L130" s="38" t="s">
        <v>462</v>
      </c>
      <c r="M130" s="38" t="s">
        <v>142</v>
      </c>
      <c r="N130" s="38" t="s">
        <v>137</v>
      </c>
      <c r="O130" s="40" t="str">
        <f t="shared" si="1"/>
        <v>Documentos y ContenidosExpediente ElectrónicoBásico</v>
      </c>
      <c r="P130" s="29">
        <v>122.0</v>
      </c>
      <c r="Q130" s="42">
        <v>28.0</v>
      </c>
      <c r="R130" s="43" t="s">
        <v>463</v>
      </c>
      <c r="S130" s="38" t="s">
        <v>137</v>
      </c>
      <c r="T130" s="38" t="s">
        <v>464</v>
      </c>
      <c r="U130" s="29">
        <v>122.0</v>
      </c>
      <c r="V130" s="29" t="s">
        <v>141</v>
      </c>
      <c r="W130" s="29"/>
      <c r="X130" s="29"/>
    </row>
    <row r="131" ht="15.75" customHeight="1">
      <c r="A131" s="22" t="s">
        <v>127</v>
      </c>
      <c r="B131" s="22" t="s">
        <v>128</v>
      </c>
      <c r="C131" s="22" t="s">
        <v>31</v>
      </c>
      <c r="D131" s="38" t="s">
        <v>442</v>
      </c>
      <c r="E131" s="39" t="s">
        <v>443</v>
      </c>
      <c r="F131" s="20" t="s">
        <v>460</v>
      </c>
      <c r="G131" s="29"/>
      <c r="H131" s="40"/>
      <c r="J131" s="38" t="s">
        <v>461</v>
      </c>
      <c r="K131" s="41">
        <v>34.0</v>
      </c>
      <c r="L131" s="38" t="s">
        <v>462</v>
      </c>
      <c r="M131" s="38" t="s">
        <v>465</v>
      </c>
      <c r="N131" s="38" t="s">
        <v>140</v>
      </c>
      <c r="O131" s="40" t="str">
        <f t="shared" si="1"/>
        <v>Documentos y ContenidosExpediente ElectrónicoMedio</v>
      </c>
      <c r="P131" s="29">
        <v>123.0</v>
      </c>
      <c r="Q131" s="42">
        <v>70.0</v>
      </c>
      <c r="R131" s="43" t="s">
        <v>466</v>
      </c>
      <c r="S131" s="38" t="s">
        <v>140</v>
      </c>
      <c r="T131" s="38" t="s">
        <v>467</v>
      </c>
      <c r="U131" s="29">
        <v>123.0</v>
      </c>
      <c r="V131" s="29" t="s">
        <v>141</v>
      </c>
      <c r="W131" s="29"/>
      <c r="X131" s="29"/>
    </row>
    <row r="132" ht="15.75" customHeight="1">
      <c r="A132" s="22" t="s">
        <v>127</v>
      </c>
      <c r="B132" s="22" t="s">
        <v>128</v>
      </c>
      <c r="C132" s="22" t="s">
        <v>31</v>
      </c>
      <c r="D132" s="38" t="s">
        <v>442</v>
      </c>
      <c r="E132" s="39" t="s">
        <v>443</v>
      </c>
      <c r="F132" s="20" t="s">
        <v>460</v>
      </c>
      <c r="G132" s="29"/>
      <c r="H132" s="40"/>
      <c r="J132" s="38" t="s">
        <v>461</v>
      </c>
      <c r="K132" s="41">
        <v>34.0</v>
      </c>
      <c r="L132" s="38" t="s">
        <v>462</v>
      </c>
      <c r="M132" s="38" t="s">
        <v>468</v>
      </c>
      <c r="N132" s="38" t="s">
        <v>143</v>
      </c>
      <c r="O132" s="40" t="str">
        <f t="shared" si="1"/>
        <v>Documentos y ContenidosExpediente ElectrónicoAvanzado</v>
      </c>
      <c r="P132" s="29">
        <v>124.0</v>
      </c>
      <c r="Q132" s="42">
        <v>112.0</v>
      </c>
      <c r="R132" s="43" t="s">
        <v>469</v>
      </c>
      <c r="S132" s="38" t="s">
        <v>143</v>
      </c>
      <c r="T132" s="38" t="s">
        <v>470</v>
      </c>
      <c r="U132" s="29">
        <v>124.0</v>
      </c>
      <c r="V132" s="29" t="s">
        <v>141</v>
      </c>
      <c r="W132" s="29"/>
      <c r="X132" s="29"/>
    </row>
    <row r="133" ht="15.75" customHeight="1">
      <c r="A133" s="22" t="s">
        <v>127</v>
      </c>
      <c r="B133" s="22" t="s">
        <v>128</v>
      </c>
      <c r="C133" s="22" t="s">
        <v>31</v>
      </c>
      <c r="D133" s="38" t="s">
        <v>442</v>
      </c>
      <c r="E133" s="39" t="s">
        <v>443</v>
      </c>
      <c r="F133" s="20" t="s">
        <v>471</v>
      </c>
      <c r="G133" s="29"/>
      <c r="H133" s="40"/>
      <c r="J133" s="38" t="s">
        <v>472</v>
      </c>
      <c r="K133" s="41">
        <v>35.0</v>
      </c>
      <c r="L133" s="38" t="s">
        <v>473</v>
      </c>
      <c r="M133" s="38" t="s">
        <v>134</v>
      </c>
      <c r="N133" s="38" t="s">
        <v>135</v>
      </c>
      <c r="O133" s="40" t="str">
        <f t="shared" si="1"/>
        <v>Documentos y ContenidosRepositorio DocumentalInsuficiente</v>
      </c>
      <c r="P133" s="29">
        <v>125.0</v>
      </c>
      <c r="Q133" s="34"/>
      <c r="R133" s="34"/>
      <c r="S133" s="34"/>
      <c r="T133" s="34"/>
      <c r="U133" s="34"/>
      <c r="V133" s="29" t="s">
        <v>107</v>
      </c>
      <c r="W133" s="29"/>
      <c r="X133" s="29"/>
    </row>
    <row r="134" ht="15.75" customHeight="1">
      <c r="A134" s="22" t="s">
        <v>127</v>
      </c>
      <c r="B134" s="22" t="s">
        <v>128</v>
      </c>
      <c r="C134" s="22" t="s">
        <v>31</v>
      </c>
      <c r="D134" s="38" t="s">
        <v>442</v>
      </c>
      <c r="E134" s="39" t="s">
        <v>443</v>
      </c>
      <c r="F134" s="20" t="s">
        <v>471</v>
      </c>
      <c r="G134" s="29"/>
      <c r="H134" s="40"/>
      <c r="J134" s="38" t="s">
        <v>472</v>
      </c>
      <c r="K134" s="41">
        <v>35.0</v>
      </c>
      <c r="L134" s="38" t="s">
        <v>473</v>
      </c>
      <c r="M134" s="38" t="s">
        <v>474</v>
      </c>
      <c r="N134" s="38" t="s">
        <v>137</v>
      </c>
      <c r="O134" s="40" t="str">
        <f t="shared" si="1"/>
        <v>Documentos y ContenidosRepositorio DocumentalBásico</v>
      </c>
      <c r="P134" s="29">
        <v>126.0</v>
      </c>
      <c r="Q134" s="42">
        <v>29.0</v>
      </c>
      <c r="R134" s="43" t="s">
        <v>475</v>
      </c>
      <c r="S134" s="38" t="s">
        <v>137</v>
      </c>
      <c r="T134" s="38" t="s">
        <v>476</v>
      </c>
      <c r="U134" s="29">
        <v>126.0</v>
      </c>
      <c r="V134" s="29" t="s">
        <v>141</v>
      </c>
      <c r="W134" s="29"/>
      <c r="X134" s="29"/>
    </row>
    <row r="135" ht="15.75" customHeight="1">
      <c r="A135" s="22" t="s">
        <v>127</v>
      </c>
      <c r="B135" s="22" t="s">
        <v>128</v>
      </c>
      <c r="C135" s="22" t="s">
        <v>31</v>
      </c>
      <c r="D135" s="38" t="s">
        <v>442</v>
      </c>
      <c r="E135" s="39" t="s">
        <v>443</v>
      </c>
      <c r="F135" s="20" t="s">
        <v>471</v>
      </c>
      <c r="G135" s="29"/>
      <c r="H135" s="40"/>
      <c r="J135" s="38" t="s">
        <v>472</v>
      </c>
      <c r="K135" s="41">
        <v>35.0</v>
      </c>
      <c r="L135" s="38" t="s">
        <v>473</v>
      </c>
      <c r="M135" s="38" t="s">
        <v>477</v>
      </c>
      <c r="N135" s="38" t="s">
        <v>140</v>
      </c>
      <c r="O135" s="40" t="str">
        <f t="shared" si="1"/>
        <v>Documentos y ContenidosRepositorio DocumentalMedio</v>
      </c>
      <c r="P135" s="29">
        <v>127.0</v>
      </c>
      <c r="Q135" s="42">
        <v>71.0</v>
      </c>
      <c r="R135" s="43" t="s">
        <v>478</v>
      </c>
      <c r="S135" s="38" t="s">
        <v>140</v>
      </c>
      <c r="T135" s="38" t="s">
        <v>479</v>
      </c>
      <c r="U135" s="29">
        <v>127.0</v>
      </c>
      <c r="V135" s="29" t="s">
        <v>141</v>
      </c>
      <c r="W135" s="29"/>
      <c r="X135" s="29"/>
    </row>
    <row r="136" ht="15.75" customHeight="1">
      <c r="A136" s="22" t="s">
        <v>127</v>
      </c>
      <c r="B136" s="22" t="s">
        <v>128</v>
      </c>
      <c r="C136" s="22" t="s">
        <v>31</v>
      </c>
      <c r="D136" s="38" t="s">
        <v>442</v>
      </c>
      <c r="E136" s="39" t="s">
        <v>443</v>
      </c>
      <c r="F136" s="20" t="s">
        <v>471</v>
      </c>
      <c r="G136" s="29"/>
      <c r="H136" s="40"/>
      <c r="J136" s="38" t="s">
        <v>472</v>
      </c>
      <c r="K136" s="41">
        <v>35.0</v>
      </c>
      <c r="L136" s="38" t="s">
        <v>473</v>
      </c>
      <c r="M136" s="38" t="s">
        <v>480</v>
      </c>
      <c r="N136" s="38" t="s">
        <v>143</v>
      </c>
      <c r="O136" s="40" t="str">
        <f t="shared" si="1"/>
        <v>Documentos y ContenidosRepositorio DocumentalAvanzado</v>
      </c>
      <c r="P136" s="29">
        <v>128.0</v>
      </c>
      <c r="Q136" s="42">
        <v>113.0</v>
      </c>
      <c r="R136" s="43" t="s">
        <v>481</v>
      </c>
      <c r="S136" s="38" t="s">
        <v>143</v>
      </c>
      <c r="T136" s="38" t="s">
        <v>482</v>
      </c>
      <c r="U136" s="29">
        <v>128.0</v>
      </c>
      <c r="V136" s="29" t="s">
        <v>141</v>
      </c>
      <c r="W136" s="29"/>
      <c r="X136" s="29"/>
    </row>
    <row r="137" ht="15.75" customHeight="1">
      <c r="A137" s="22" t="s">
        <v>127</v>
      </c>
      <c r="B137" s="22" t="s">
        <v>128</v>
      </c>
      <c r="C137" s="22" t="s">
        <v>33</v>
      </c>
      <c r="D137" s="38" t="s">
        <v>483</v>
      </c>
      <c r="E137" s="39" t="s">
        <v>484</v>
      </c>
      <c r="F137" s="20" t="s">
        <v>485</v>
      </c>
      <c r="G137" s="29"/>
      <c r="H137" s="40"/>
      <c r="J137" s="38" t="s">
        <v>486</v>
      </c>
      <c r="K137" s="41">
        <v>36.0</v>
      </c>
      <c r="L137" s="38" t="s">
        <v>487</v>
      </c>
      <c r="M137" s="38" t="s">
        <v>134</v>
      </c>
      <c r="N137" s="38" t="s">
        <v>135</v>
      </c>
      <c r="O137" s="40" t="str">
        <f t="shared" si="1"/>
        <v>Datos Maestros y de ReferenciaDatos referencialesInsuficiente</v>
      </c>
      <c r="P137" s="29">
        <v>129.0</v>
      </c>
      <c r="Q137" s="34"/>
      <c r="R137" s="34"/>
      <c r="S137" s="34"/>
      <c r="T137" s="34"/>
      <c r="U137" s="34"/>
      <c r="V137" s="29" t="s">
        <v>107</v>
      </c>
      <c r="W137" s="29"/>
      <c r="X137" s="29"/>
    </row>
    <row r="138" ht="15.75" customHeight="1">
      <c r="A138" s="22" t="s">
        <v>127</v>
      </c>
      <c r="B138" s="22" t="s">
        <v>128</v>
      </c>
      <c r="C138" s="22" t="s">
        <v>33</v>
      </c>
      <c r="D138" s="38" t="s">
        <v>483</v>
      </c>
      <c r="E138" s="39" t="s">
        <v>484</v>
      </c>
      <c r="F138" s="20" t="s">
        <v>485</v>
      </c>
      <c r="G138" s="29"/>
      <c r="H138" s="40"/>
      <c r="J138" s="38" t="s">
        <v>486</v>
      </c>
      <c r="K138" s="41">
        <v>36.0</v>
      </c>
      <c r="L138" s="38" t="s">
        <v>487</v>
      </c>
      <c r="M138" s="38" t="s">
        <v>488</v>
      </c>
      <c r="N138" s="38" t="s">
        <v>137</v>
      </c>
      <c r="O138" s="40" t="str">
        <f t="shared" si="1"/>
        <v>Datos Maestros y de ReferenciaDatos referencialesBásico</v>
      </c>
      <c r="P138" s="29">
        <v>130.0</v>
      </c>
      <c r="Q138" s="42">
        <v>30.0</v>
      </c>
      <c r="R138" s="43" t="s">
        <v>489</v>
      </c>
      <c r="S138" s="38" t="s">
        <v>137</v>
      </c>
      <c r="T138" s="38" t="s">
        <v>490</v>
      </c>
      <c r="U138" s="29">
        <v>130.0</v>
      </c>
      <c r="V138" s="29" t="s">
        <v>141</v>
      </c>
      <c r="W138" s="29"/>
      <c r="X138" s="29"/>
    </row>
    <row r="139" ht="15.75" customHeight="1">
      <c r="A139" s="22" t="s">
        <v>127</v>
      </c>
      <c r="B139" s="22" t="s">
        <v>128</v>
      </c>
      <c r="C139" s="22" t="s">
        <v>33</v>
      </c>
      <c r="D139" s="38" t="s">
        <v>483</v>
      </c>
      <c r="E139" s="39" t="s">
        <v>484</v>
      </c>
      <c r="F139" s="20" t="s">
        <v>485</v>
      </c>
      <c r="G139" s="29"/>
      <c r="H139" s="40"/>
      <c r="J139" s="38" t="s">
        <v>486</v>
      </c>
      <c r="K139" s="41">
        <v>36.0</v>
      </c>
      <c r="L139" s="38" t="s">
        <v>487</v>
      </c>
      <c r="M139" s="38" t="s">
        <v>491</v>
      </c>
      <c r="N139" s="38" t="s">
        <v>140</v>
      </c>
      <c r="O139" s="40" t="str">
        <f t="shared" si="1"/>
        <v>Datos Maestros y de ReferenciaDatos referencialesMedio</v>
      </c>
      <c r="P139" s="29">
        <v>131.0</v>
      </c>
      <c r="Q139" s="42">
        <v>72.0</v>
      </c>
      <c r="R139" s="43" t="s">
        <v>492</v>
      </c>
      <c r="S139" s="38" t="s">
        <v>140</v>
      </c>
      <c r="T139" s="38" t="s">
        <v>493</v>
      </c>
      <c r="U139" s="29">
        <v>131.0</v>
      </c>
      <c r="V139" s="29" t="s">
        <v>141</v>
      </c>
      <c r="W139" s="29"/>
      <c r="X139" s="29"/>
    </row>
    <row r="140" ht="15.75" customHeight="1">
      <c r="A140" s="22" t="s">
        <v>127</v>
      </c>
      <c r="B140" s="22" t="s">
        <v>128</v>
      </c>
      <c r="C140" s="22" t="s">
        <v>33</v>
      </c>
      <c r="D140" s="38" t="s">
        <v>483</v>
      </c>
      <c r="E140" s="39" t="s">
        <v>484</v>
      </c>
      <c r="F140" s="20" t="s">
        <v>485</v>
      </c>
      <c r="G140" s="29"/>
      <c r="H140" s="40"/>
      <c r="J140" s="38" t="s">
        <v>486</v>
      </c>
      <c r="K140" s="41">
        <v>36.0</v>
      </c>
      <c r="L140" s="38" t="s">
        <v>487</v>
      </c>
      <c r="M140" s="38" t="s">
        <v>494</v>
      </c>
      <c r="N140" s="38" t="s">
        <v>143</v>
      </c>
      <c r="O140" s="40" t="str">
        <f t="shared" si="1"/>
        <v>Datos Maestros y de ReferenciaDatos referencialesAvanzado</v>
      </c>
      <c r="P140" s="29">
        <v>132.0</v>
      </c>
      <c r="Q140" s="42">
        <v>114.0</v>
      </c>
      <c r="R140" s="43" t="s">
        <v>495</v>
      </c>
      <c r="S140" s="38" t="s">
        <v>143</v>
      </c>
      <c r="T140" s="38" t="s">
        <v>496</v>
      </c>
      <c r="U140" s="29">
        <v>132.0</v>
      </c>
      <c r="V140" s="29" t="s">
        <v>141</v>
      </c>
      <c r="W140" s="29"/>
      <c r="X140" s="29"/>
    </row>
    <row r="141" ht="15.75" customHeight="1">
      <c r="A141" s="22" t="s">
        <v>127</v>
      </c>
      <c r="B141" s="22" t="s">
        <v>128</v>
      </c>
      <c r="C141" s="22" t="s">
        <v>33</v>
      </c>
      <c r="D141" s="38" t="s">
        <v>483</v>
      </c>
      <c r="E141" s="39" t="s">
        <v>484</v>
      </c>
      <c r="F141" s="20" t="s">
        <v>497</v>
      </c>
      <c r="G141" s="29"/>
      <c r="H141" s="40"/>
      <c r="J141" s="38" t="s">
        <v>498</v>
      </c>
      <c r="K141" s="41">
        <v>37.0</v>
      </c>
      <c r="L141" s="38" t="s">
        <v>499</v>
      </c>
      <c r="M141" s="38" t="s">
        <v>134</v>
      </c>
      <c r="N141" s="38" t="s">
        <v>135</v>
      </c>
      <c r="O141" s="40" t="str">
        <f t="shared" si="1"/>
        <v>Datos Maestros y de ReferenciaDatos maestrosInsuficiente</v>
      </c>
      <c r="P141" s="29">
        <v>133.0</v>
      </c>
      <c r="Q141" s="34"/>
      <c r="R141" s="34"/>
      <c r="S141" s="34"/>
      <c r="T141" s="34"/>
      <c r="U141" s="34"/>
      <c r="V141" s="29" t="s">
        <v>107</v>
      </c>
      <c r="W141" s="29"/>
      <c r="X141" s="29"/>
    </row>
    <row r="142" ht="15.75" customHeight="1">
      <c r="A142" s="22" t="s">
        <v>127</v>
      </c>
      <c r="B142" s="22" t="s">
        <v>128</v>
      </c>
      <c r="C142" s="22" t="s">
        <v>33</v>
      </c>
      <c r="D142" s="38" t="s">
        <v>483</v>
      </c>
      <c r="E142" s="39" t="s">
        <v>484</v>
      </c>
      <c r="F142" s="20" t="s">
        <v>497</v>
      </c>
      <c r="G142" s="29"/>
      <c r="H142" s="40"/>
      <c r="J142" s="38" t="s">
        <v>498</v>
      </c>
      <c r="K142" s="41">
        <v>37.0</v>
      </c>
      <c r="L142" s="38" t="s">
        <v>499</v>
      </c>
      <c r="M142" s="38" t="s">
        <v>500</v>
      </c>
      <c r="N142" s="38" t="s">
        <v>137</v>
      </c>
      <c r="O142" s="40" t="str">
        <f t="shared" si="1"/>
        <v>Datos Maestros y de ReferenciaDatos maestrosBásico</v>
      </c>
      <c r="P142" s="29">
        <v>134.0</v>
      </c>
      <c r="Q142" s="42">
        <v>31.0</v>
      </c>
      <c r="R142" s="43" t="s">
        <v>501</v>
      </c>
      <c r="S142" s="38" t="s">
        <v>137</v>
      </c>
      <c r="T142" s="38" t="s">
        <v>502</v>
      </c>
      <c r="U142" s="29">
        <v>134.0</v>
      </c>
      <c r="V142" s="29" t="s">
        <v>141</v>
      </c>
      <c r="W142" s="29"/>
      <c r="X142" s="29"/>
    </row>
    <row r="143" ht="15.75" customHeight="1">
      <c r="A143" s="22" t="s">
        <v>127</v>
      </c>
      <c r="B143" s="22" t="s">
        <v>128</v>
      </c>
      <c r="C143" s="22" t="s">
        <v>33</v>
      </c>
      <c r="D143" s="38" t="s">
        <v>483</v>
      </c>
      <c r="E143" s="39" t="s">
        <v>484</v>
      </c>
      <c r="F143" s="20" t="s">
        <v>497</v>
      </c>
      <c r="G143" s="29"/>
      <c r="H143" s="40"/>
      <c r="J143" s="38" t="s">
        <v>498</v>
      </c>
      <c r="K143" s="41">
        <v>37.0</v>
      </c>
      <c r="L143" s="38" t="s">
        <v>499</v>
      </c>
      <c r="M143" s="38" t="s">
        <v>503</v>
      </c>
      <c r="N143" s="38" t="s">
        <v>140</v>
      </c>
      <c r="O143" s="40" t="str">
        <f t="shared" si="1"/>
        <v>Datos Maestros y de ReferenciaDatos maestrosMedio</v>
      </c>
      <c r="P143" s="29">
        <v>135.0</v>
      </c>
      <c r="Q143" s="42">
        <v>73.0</v>
      </c>
      <c r="R143" s="43" t="s">
        <v>504</v>
      </c>
      <c r="S143" s="38" t="s">
        <v>140</v>
      </c>
      <c r="T143" s="38" t="s">
        <v>505</v>
      </c>
      <c r="U143" s="29">
        <v>135.0</v>
      </c>
      <c r="V143" s="29" t="s">
        <v>141</v>
      </c>
      <c r="W143" s="29"/>
      <c r="X143" s="29"/>
    </row>
    <row r="144" ht="15.75" customHeight="1">
      <c r="A144" s="22" t="s">
        <v>127</v>
      </c>
      <c r="B144" s="22" t="s">
        <v>128</v>
      </c>
      <c r="C144" s="22" t="s">
        <v>33</v>
      </c>
      <c r="D144" s="38" t="s">
        <v>483</v>
      </c>
      <c r="E144" s="39" t="s">
        <v>484</v>
      </c>
      <c r="F144" s="20" t="s">
        <v>497</v>
      </c>
      <c r="G144" s="29"/>
      <c r="H144" s="40"/>
      <c r="J144" s="38" t="s">
        <v>498</v>
      </c>
      <c r="K144" s="41">
        <v>37.0</v>
      </c>
      <c r="L144" s="38" t="s">
        <v>499</v>
      </c>
      <c r="M144" s="38" t="s">
        <v>506</v>
      </c>
      <c r="N144" s="38" t="s">
        <v>143</v>
      </c>
      <c r="O144" s="40" t="str">
        <f t="shared" si="1"/>
        <v>Datos Maestros y de ReferenciaDatos maestrosAvanzado</v>
      </c>
      <c r="P144" s="29">
        <v>136.0</v>
      </c>
      <c r="Q144" s="42">
        <v>115.0</v>
      </c>
      <c r="R144" s="43" t="s">
        <v>507</v>
      </c>
      <c r="S144" s="38" t="s">
        <v>143</v>
      </c>
      <c r="T144" s="38" t="s">
        <v>508</v>
      </c>
      <c r="U144" s="29">
        <v>136.0</v>
      </c>
      <c r="V144" s="29" t="s">
        <v>141</v>
      </c>
      <c r="W144" s="29"/>
      <c r="X144" s="29"/>
    </row>
    <row r="145" ht="15.75" customHeight="1">
      <c r="A145" s="22" t="s">
        <v>127</v>
      </c>
      <c r="B145" s="22" t="s">
        <v>128</v>
      </c>
      <c r="C145" s="22" t="s">
        <v>33</v>
      </c>
      <c r="D145" s="38" t="s">
        <v>483</v>
      </c>
      <c r="E145" s="39" t="s">
        <v>484</v>
      </c>
      <c r="F145" s="20" t="s">
        <v>509</v>
      </c>
      <c r="G145" s="29"/>
      <c r="H145" s="40"/>
      <c r="J145" s="38" t="s">
        <v>248</v>
      </c>
      <c r="K145" s="41">
        <v>38.0</v>
      </c>
      <c r="L145" s="38" t="s">
        <v>510</v>
      </c>
      <c r="M145" s="38" t="s">
        <v>134</v>
      </c>
      <c r="N145" s="38" t="s">
        <v>135</v>
      </c>
      <c r="O145" s="40" t="str">
        <f t="shared" si="1"/>
        <v>Datos Maestros y de ReferenciaHerramientasInsuficiente</v>
      </c>
      <c r="P145" s="29">
        <v>137.0</v>
      </c>
      <c r="Q145" s="34"/>
      <c r="R145" s="34"/>
      <c r="S145" s="34"/>
      <c r="T145" s="34"/>
      <c r="U145" s="34"/>
      <c r="V145" s="29" t="s">
        <v>107</v>
      </c>
      <c r="W145" s="29"/>
      <c r="X145" s="29"/>
    </row>
    <row r="146" ht="15.75" customHeight="1">
      <c r="A146" s="22" t="s">
        <v>127</v>
      </c>
      <c r="B146" s="22" t="s">
        <v>128</v>
      </c>
      <c r="C146" s="22" t="s">
        <v>33</v>
      </c>
      <c r="D146" s="38" t="s">
        <v>483</v>
      </c>
      <c r="E146" s="39" t="s">
        <v>484</v>
      </c>
      <c r="F146" s="20" t="s">
        <v>509</v>
      </c>
      <c r="G146" s="29"/>
      <c r="H146" s="40"/>
      <c r="J146" s="38" t="s">
        <v>248</v>
      </c>
      <c r="K146" s="41">
        <v>38.0</v>
      </c>
      <c r="L146" s="38" t="s">
        <v>510</v>
      </c>
      <c r="M146" s="38" t="s">
        <v>511</v>
      </c>
      <c r="N146" s="38" t="s">
        <v>137</v>
      </c>
      <c r="O146" s="40" t="str">
        <f t="shared" si="1"/>
        <v>Datos Maestros y de ReferenciaHerramientasBásico</v>
      </c>
      <c r="P146" s="29">
        <v>138.0</v>
      </c>
      <c r="Q146" s="42">
        <v>32.0</v>
      </c>
      <c r="R146" s="43" t="s">
        <v>512</v>
      </c>
      <c r="S146" s="38" t="s">
        <v>137</v>
      </c>
      <c r="T146" s="38" t="s">
        <v>513</v>
      </c>
      <c r="U146" s="29">
        <v>138.0</v>
      </c>
      <c r="V146" s="29" t="s">
        <v>141</v>
      </c>
      <c r="W146" s="29"/>
      <c r="X146" s="29"/>
    </row>
    <row r="147" ht="15.75" customHeight="1">
      <c r="A147" s="22" t="s">
        <v>127</v>
      </c>
      <c r="B147" s="22" t="s">
        <v>128</v>
      </c>
      <c r="C147" s="22" t="s">
        <v>33</v>
      </c>
      <c r="D147" s="38" t="s">
        <v>483</v>
      </c>
      <c r="E147" s="39" t="s">
        <v>484</v>
      </c>
      <c r="F147" s="20" t="s">
        <v>509</v>
      </c>
      <c r="G147" s="29"/>
      <c r="H147" s="40"/>
      <c r="J147" s="38" t="s">
        <v>248</v>
      </c>
      <c r="K147" s="41">
        <v>38.0</v>
      </c>
      <c r="L147" s="38" t="s">
        <v>510</v>
      </c>
      <c r="M147" s="38" t="s">
        <v>514</v>
      </c>
      <c r="N147" s="38" t="s">
        <v>140</v>
      </c>
      <c r="O147" s="40" t="str">
        <f t="shared" si="1"/>
        <v>Datos Maestros y de ReferenciaHerramientasMedio</v>
      </c>
      <c r="P147" s="29">
        <v>139.0</v>
      </c>
      <c r="Q147" s="42">
        <v>74.0</v>
      </c>
      <c r="R147" s="43" t="s">
        <v>515</v>
      </c>
      <c r="S147" s="38" t="s">
        <v>140</v>
      </c>
      <c r="T147" s="38" t="s">
        <v>516</v>
      </c>
      <c r="U147" s="29">
        <v>139.0</v>
      </c>
      <c r="V147" s="29" t="s">
        <v>141</v>
      </c>
      <c r="W147" s="29"/>
      <c r="X147" s="29"/>
    </row>
    <row r="148" ht="15.75" customHeight="1">
      <c r="A148" s="22" t="s">
        <v>127</v>
      </c>
      <c r="B148" s="22" t="s">
        <v>128</v>
      </c>
      <c r="C148" s="22" t="s">
        <v>33</v>
      </c>
      <c r="D148" s="38" t="s">
        <v>483</v>
      </c>
      <c r="E148" s="39" t="s">
        <v>484</v>
      </c>
      <c r="F148" s="20" t="s">
        <v>509</v>
      </c>
      <c r="G148" s="29"/>
      <c r="H148" s="40"/>
      <c r="J148" s="38" t="s">
        <v>248</v>
      </c>
      <c r="K148" s="41">
        <v>38.0</v>
      </c>
      <c r="L148" s="38" t="s">
        <v>510</v>
      </c>
      <c r="M148" s="38" t="s">
        <v>517</v>
      </c>
      <c r="N148" s="38" t="s">
        <v>143</v>
      </c>
      <c r="O148" s="40" t="str">
        <f t="shared" si="1"/>
        <v>Datos Maestros y de ReferenciaHerramientasAvanzado</v>
      </c>
      <c r="P148" s="29">
        <v>140.0</v>
      </c>
      <c r="Q148" s="42">
        <v>116.0</v>
      </c>
      <c r="R148" s="43" t="s">
        <v>518</v>
      </c>
      <c r="S148" s="38" t="s">
        <v>143</v>
      </c>
      <c r="T148" s="38" t="s">
        <v>519</v>
      </c>
      <c r="U148" s="29">
        <v>140.0</v>
      </c>
      <c r="V148" s="29" t="s">
        <v>141</v>
      </c>
      <c r="W148" s="29"/>
      <c r="X148" s="29"/>
    </row>
    <row r="149" ht="15.75" customHeight="1">
      <c r="A149" s="22" t="s">
        <v>127</v>
      </c>
      <c r="B149" s="22" t="s">
        <v>128</v>
      </c>
      <c r="C149" s="22" t="s">
        <v>35</v>
      </c>
      <c r="D149" s="38" t="s">
        <v>520</v>
      </c>
      <c r="E149" s="39" t="s">
        <v>521</v>
      </c>
      <c r="F149" s="20" t="s">
        <v>522</v>
      </c>
      <c r="G149" s="29"/>
      <c r="H149" s="40"/>
      <c r="J149" s="38" t="s">
        <v>523</v>
      </c>
      <c r="K149" s="41">
        <v>39.0</v>
      </c>
      <c r="L149" s="38" t="s">
        <v>524</v>
      </c>
      <c r="M149" s="38" t="s">
        <v>134</v>
      </c>
      <c r="N149" s="38" t="s">
        <v>135</v>
      </c>
      <c r="O149" s="40" t="str">
        <f t="shared" si="1"/>
        <v>Analítica e Inteligencia de NegociosToma de decisiones basada en informaciónInsuficiente</v>
      </c>
      <c r="P149" s="29">
        <v>141.0</v>
      </c>
      <c r="Q149" s="34"/>
      <c r="R149" s="34"/>
      <c r="S149" s="34"/>
      <c r="T149" s="34"/>
      <c r="U149" s="34"/>
      <c r="V149" s="29" t="s">
        <v>107</v>
      </c>
      <c r="W149" s="29"/>
      <c r="X149" s="29"/>
    </row>
    <row r="150" ht="15.75" customHeight="1">
      <c r="A150" s="22" t="s">
        <v>127</v>
      </c>
      <c r="B150" s="22" t="s">
        <v>128</v>
      </c>
      <c r="C150" s="22" t="s">
        <v>35</v>
      </c>
      <c r="D150" s="38" t="s">
        <v>520</v>
      </c>
      <c r="E150" s="39" t="s">
        <v>521</v>
      </c>
      <c r="F150" s="20" t="s">
        <v>522</v>
      </c>
      <c r="G150" s="29"/>
      <c r="H150" s="40"/>
      <c r="J150" s="38" t="s">
        <v>523</v>
      </c>
      <c r="K150" s="41">
        <v>39.0</v>
      </c>
      <c r="L150" s="38" t="s">
        <v>524</v>
      </c>
      <c r="M150" s="38" t="s">
        <v>525</v>
      </c>
      <c r="N150" s="38" t="s">
        <v>137</v>
      </c>
      <c r="O150" s="40" t="str">
        <f t="shared" si="1"/>
        <v>Analítica e Inteligencia de NegociosToma de decisiones basada en informaciónBásico</v>
      </c>
      <c r="P150" s="29">
        <v>142.0</v>
      </c>
      <c r="Q150" s="42">
        <v>33.0</v>
      </c>
      <c r="R150" s="43" t="s">
        <v>526</v>
      </c>
      <c r="S150" s="38" t="s">
        <v>137</v>
      </c>
      <c r="T150" s="38" t="s">
        <v>527</v>
      </c>
      <c r="U150" s="29">
        <v>142.0</v>
      </c>
      <c r="V150" s="29" t="s">
        <v>141</v>
      </c>
      <c r="W150" s="29"/>
      <c r="X150" s="29"/>
    </row>
    <row r="151" ht="15.75" customHeight="1">
      <c r="A151" s="22" t="s">
        <v>127</v>
      </c>
      <c r="B151" s="22" t="s">
        <v>128</v>
      </c>
      <c r="C151" s="22" t="s">
        <v>35</v>
      </c>
      <c r="D151" s="38" t="s">
        <v>520</v>
      </c>
      <c r="E151" s="39" t="s">
        <v>521</v>
      </c>
      <c r="F151" s="20" t="s">
        <v>522</v>
      </c>
      <c r="G151" s="29"/>
      <c r="H151" s="40"/>
      <c r="J151" s="38" t="s">
        <v>523</v>
      </c>
      <c r="K151" s="41">
        <v>39.0</v>
      </c>
      <c r="L151" s="38" t="s">
        <v>524</v>
      </c>
      <c r="M151" s="38" t="s">
        <v>528</v>
      </c>
      <c r="N151" s="38" t="s">
        <v>140</v>
      </c>
      <c r="O151" s="40" t="str">
        <f t="shared" si="1"/>
        <v>Analítica e Inteligencia de NegociosToma de decisiones basada en informaciónMedio</v>
      </c>
      <c r="P151" s="29">
        <v>143.0</v>
      </c>
      <c r="Q151" s="42">
        <v>75.0</v>
      </c>
      <c r="R151" s="43" t="s">
        <v>529</v>
      </c>
      <c r="S151" s="38" t="s">
        <v>140</v>
      </c>
      <c r="T151" s="38" t="s">
        <v>530</v>
      </c>
      <c r="U151" s="29">
        <v>143.0</v>
      </c>
      <c r="V151" s="29" t="s">
        <v>141</v>
      </c>
      <c r="W151" s="29"/>
      <c r="X151" s="29"/>
    </row>
    <row r="152" ht="15.75" customHeight="1">
      <c r="A152" s="22" t="s">
        <v>127</v>
      </c>
      <c r="B152" s="22" t="s">
        <v>128</v>
      </c>
      <c r="C152" s="22" t="s">
        <v>35</v>
      </c>
      <c r="D152" s="38" t="s">
        <v>520</v>
      </c>
      <c r="E152" s="39" t="s">
        <v>521</v>
      </c>
      <c r="F152" s="20" t="s">
        <v>522</v>
      </c>
      <c r="G152" s="29"/>
      <c r="H152" s="40"/>
      <c r="J152" s="38" t="s">
        <v>523</v>
      </c>
      <c r="K152" s="41">
        <v>39.0</v>
      </c>
      <c r="L152" s="38" t="s">
        <v>524</v>
      </c>
      <c r="M152" s="38" t="s">
        <v>531</v>
      </c>
      <c r="N152" s="38" t="s">
        <v>143</v>
      </c>
      <c r="O152" s="40" t="str">
        <f t="shared" si="1"/>
        <v>Analítica e Inteligencia de NegociosToma de decisiones basada en informaciónAvanzado</v>
      </c>
      <c r="P152" s="29">
        <v>144.0</v>
      </c>
      <c r="Q152" s="42">
        <v>117.0</v>
      </c>
      <c r="R152" s="43" t="s">
        <v>532</v>
      </c>
      <c r="S152" s="38" t="s">
        <v>143</v>
      </c>
      <c r="T152" s="38" t="s">
        <v>533</v>
      </c>
      <c r="U152" s="29">
        <v>144.0</v>
      </c>
      <c r="V152" s="29" t="s">
        <v>141</v>
      </c>
      <c r="W152" s="29"/>
      <c r="X152" s="29"/>
    </row>
    <row r="153" ht="15.75" customHeight="1">
      <c r="A153" s="22" t="s">
        <v>127</v>
      </c>
      <c r="B153" s="22" t="s">
        <v>128</v>
      </c>
      <c r="C153" s="22" t="s">
        <v>35</v>
      </c>
      <c r="D153" s="38" t="s">
        <v>520</v>
      </c>
      <c r="E153" s="39" t="s">
        <v>521</v>
      </c>
      <c r="F153" s="20" t="s">
        <v>534</v>
      </c>
      <c r="G153" s="29"/>
      <c r="H153" s="40"/>
      <c r="J153" s="38" t="s">
        <v>535</v>
      </c>
      <c r="K153" s="41">
        <v>40.0</v>
      </c>
      <c r="L153" s="38" t="s">
        <v>536</v>
      </c>
      <c r="M153" s="38" t="s">
        <v>134</v>
      </c>
      <c r="N153" s="38" t="s">
        <v>135</v>
      </c>
      <c r="O153" s="40" t="str">
        <f t="shared" si="1"/>
        <v>Analítica e Inteligencia de NegociosInformación de gestiónInsuficiente</v>
      </c>
      <c r="P153" s="29">
        <v>145.0</v>
      </c>
      <c r="Q153" s="34"/>
      <c r="R153" s="34"/>
      <c r="S153" s="34"/>
      <c r="T153" s="34"/>
      <c r="U153" s="34"/>
      <c r="V153" s="29" t="s">
        <v>107</v>
      </c>
      <c r="W153" s="29"/>
      <c r="X153" s="29"/>
    </row>
    <row r="154" ht="15.75" customHeight="1">
      <c r="A154" s="22" t="s">
        <v>127</v>
      </c>
      <c r="B154" s="22" t="s">
        <v>128</v>
      </c>
      <c r="C154" s="22" t="s">
        <v>35</v>
      </c>
      <c r="D154" s="38" t="s">
        <v>520</v>
      </c>
      <c r="E154" s="39" t="s">
        <v>521</v>
      </c>
      <c r="F154" s="20" t="s">
        <v>534</v>
      </c>
      <c r="G154" s="29"/>
      <c r="H154" s="40"/>
      <c r="J154" s="38" t="s">
        <v>535</v>
      </c>
      <c r="K154" s="41">
        <v>40.0</v>
      </c>
      <c r="L154" s="38" t="s">
        <v>536</v>
      </c>
      <c r="M154" s="38" t="s">
        <v>537</v>
      </c>
      <c r="N154" s="38" t="s">
        <v>137</v>
      </c>
      <c r="O154" s="40" t="str">
        <f t="shared" si="1"/>
        <v>Analítica e Inteligencia de NegociosInformación de gestiónBásico</v>
      </c>
      <c r="P154" s="29">
        <v>146.0</v>
      </c>
      <c r="Q154" s="42">
        <v>34.0</v>
      </c>
      <c r="R154" s="43" t="s">
        <v>538</v>
      </c>
      <c r="S154" s="38" t="s">
        <v>137</v>
      </c>
      <c r="T154" s="38" t="s">
        <v>539</v>
      </c>
      <c r="U154" s="29">
        <v>146.0</v>
      </c>
      <c r="V154" s="29" t="s">
        <v>141</v>
      </c>
      <c r="W154" s="29"/>
      <c r="X154" s="29"/>
    </row>
    <row r="155" ht="15.75" customHeight="1">
      <c r="A155" s="22" t="s">
        <v>127</v>
      </c>
      <c r="B155" s="22" t="s">
        <v>128</v>
      </c>
      <c r="C155" s="22" t="s">
        <v>35</v>
      </c>
      <c r="D155" s="38" t="s">
        <v>520</v>
      </c>
      <c r="E155" s="39" t="s">
        <v>521</v>
      </c>
      <c r="F155" s="20" t="s">
        <v>534</v>
      </c>
      <c r="G155" s="29"/>
      <c r="H155" s="40"/>
      <c r="J155" s="38" t="s">
        <v>535</v>
      </c>
      <c r="K155" s="41">
        <v>40.0</v>
      </c>
      <c r="L155" s="38" t="s">
        <v>536</v>
      </c>
      <c r="M155" s="38" t="s">
        <v>540</v>
      </c>
      <c r="N155" s="38" t="s">
        <v>140</v>
      </c>
      <c r="O155" s="40" t="str">
        <f t="shared" si="1"/>
        <v>Analítica e Inteligencia de NegociosInformación de gestiónMedio</v>
      </c>
      <c r="P155" s="29">
        <v>147.0</v>
      </c>
      <c r="Q155" s="42">
        <v>76.0</v>
      </c>
      <c r="R155" s="43" t="s">
        <v>541</v>
      </c>
      <c r="S155" s="38" t="s">
        <v>140</v>
      </c>
      <c r="T155" s="38" t="s">
        <v>542</v>
      </c>
      <c r="U155" s="29">
        <v>147.0</v>
      </c>
      <c r="V155" s="29" t="s">
        <v>141</v>
      </c>
      <c r="W155" s="29"/>
      <c r="X155" s="29"/>
    </row>
    <row r="156" ht="15.75" customHeight="1">
      <c r="A156" s="22" t="s">
        <v>127</v>
      </c>
      <c r="B156" s="22" t="s">
        <v>128</v>
      </c>
      <c r="C156" s="22" t="s">
        <v>35</v>
      </c>
      <c r="D156" s="38" t="s">
        <v>520</v>
      </c>
      <c r="E156" s="39" t="s">
        <v>521</v>
      </c>
      <c r="F156" s="20" t="s">
        <v>534</v>
      </c>
      <c r="G156" s="29"/>
      <c r="H156" s="40"/>
      <c r="J156" s="38" t="s">
        <v>535</v>
      </c>
      <c r="K156" s="41">
        <v>40.0</v>
      </c>
      <c r="L156" s="38" t="s">
        <v>536</v>
      </c>
      <c r="M156" s="38" t="s">
        <v>543</v>
      </c>
      <c r="N156" s="38" t="s">
        <v>143</v>
      </c>
      <c r="O156" s="40" t="str">
        <f t="shared" si="1"/>
        <v>Analítica e Inteligencia de NegociosInformación de gestiónAvanzado</v>
      </c>
      <c r="P156" s="29">
        <v>148.0</v>
      </c>
      <c r="Q156" s="42">
        <v>118.0</v>
      </c>
      <c r="R156" s="43" t="s">
        <v>544</v>
      </c>
      <c r="S156" s="38" t="s">
        <v>143</v>
      </c>
      <c r="T156" s="38" t="s">
        <v>545</v>
      </c>
      <c r="U156" s="29">
        <v>148.0</v>
      </c>
      <c r="V156" s="29" t="s">
        <v>141</v>
      </c>
      <c r="W156" s="29"/>
      <c r="X156" s="29"/>
    </row>
    <row r="157" ht="15.75" customHeight="1">
      <c r="A157" s="22" t="s">
        <v>127</v>
      </c>
      <c r="B157" s="22" t="s">
        <v>128</v>
      </c>
      <c r="C157" s="22" t="s">
        <v>35</v>
      </c>
      <c r="D157" s="38" t="s">
        <v>520</v>
      </c>
      <c r="E157" s="39" t="s">
        <v>521</v>
      </c>
      <c r="F157" s="20" t="s">
        <v>546</v>
      </c>
      <c r="G157" s="29"/>
      <c r="H157" s="40"/>
      <c r="J157" s="38" t="s">
        <v>248</v>
      </c>
      <c r="K157" s="41">
        <v>41.0</v>
      </c>
      <c r="L157" s="38" t="s">
        <v>547</v>
      </c>
      <c r="M157" s="38" t="s">
        <v>134</v>
      </c>
      <c r="N157" s="38" t="s">
        <v>135</v>
      </c>
      <c r="O157" s="40" t="str">
        <f t="shared" si="1"/>
        <v>Analítica e Inteligencia de NegociosHerramientasInsuficiente</v>
      </c>
      <c r="P157" s="29">
        <v>149.0</v>
      </c>
      <c r="Q157" s="34"/>
      <c r="R157" s="34"/>
      <c r="S157" s="34"/>
      <c r="T157" s="34"/>
      <c r="U157" s="34"/>
      <c r="V157" s="29" t="s">
        <v>107</v>
      </c>
      <c r="W157" s="29"/>
      <c r="X157" s="29"/>
    </row>
    <row r="158" ht="15.75" customHeight="1">
      <c r="A158" s="22" t="s">
        <v>127</v>
      </c>
      <c r="B158" s="22" t="s">
        <v>128</v>
      </c>
      <c r="C158" s="22" t="s">
        <v>35</v>
      </c>
      <c r="D158" s="38" t="s">
        <v>520</v>
      </c>
      <c r="E158" s="39" t="s">
        <v>521</v>
      </c>
      <c r="F158" s="20" t="s">
        <v>546</v>
      </c>
      <c r="G158" s="29"/>
      <c r="H158" s="40"/>
      <c r="J158" s="38" t="s">
        <v>248</v>
      </c>
      <c r="K158" s="41">
        <v>41.0</v>
      </c>
      <c r="L158" s="38" t="s">
        <v>547</v>
      </c>
      <c r="M158" s="38" t="s">
        <v>548</v>
      </c>
      <c r="N158" s="38" t="s">
        <v>137</v>
      </c>
      <c r="O158" s="40" t="str">
        <f t="shared" si="1"/>
        <v>Analítica e Inteligencia de NegociosHerramientasBásico</v>
      </c>
      <c r="P158" s="29">
        <v>150.0</v>
      </c>
      <c r="Q158" s="42">
        <v>35.0</v>
      </c>
      <c r="R158" s="43" t="s">
        <v>549</v>
      </c>
      <c r="S158" s="38" t="s">
        <v>137</v>
      </c>
      <c r="T158" s="38" t="s">
        <v>550</v>
      </c>
      <c r="U158" s="29">
        <v>150.0</v>
      </c>
      <c r="V158" s="29" t="s">
        <v>141</v>
      </c>
      <c r="W158" s="29"/>
      <c r="X158" s="29"/>
    </row>
    <row r="159" ht="15.75" customHeight="1">
      <c r="A159" s="22" t="s">
        <v>127</v>
      </c>
      <c r="B159" s="22" t="s">
        <v>128</v>
      </c>
      <c r="C159" s="22" t="s">
        <v>35</v>
      </c>
      <c r="D159" s="38" t="s">
        <v>520</v>
      </c>
      <c r="E159" s="39" t="s">
        <v>521</v>
      </c>
      <c r="F159" s="20" t="s">
        <v>546</v>
      </c>
      <c r="G159" s="29"/>
      <c r="H159" s="40"/>
      <c r="J159" s="38" t="s">
        <v>248</v>
      </c>
      <c r="K159" s="41">
        <v>41.0</v>
      </c>
      <c r="L159" s="38" t="s">
        <v>547</v>
      </c>
      <c r="M159" s="38" t="s">
        <v>551</v>
      </c>
      <c r="N159" s="38" t="s">
        <v>140</v>
      </c>
      <c r="O159" s="40" t="str">
        <f t="shared" si="1"/>
        <v>Analítica e Inteligencia de NegociosHerramientasMedio</v>
      </c>
      <c r="P159" s="29">
        <v>151.0</v>
      </c>
      <c r="Q159" s="42">
        <v>77.0</v>
      </c>
      <c r="R159" s="43" t="s">
        <v>552</v>
      </c>
      <c r="S159" s="38" t="s">
        <v>140</v>
      </c>
      <c r="T159" s="38" t="s">
        <v>553</v>
      </c>
      <c r="U159" s="29">
        <v>151.0</v>
      </c>
      <c r="V159" s="29" t="s">
        <v>141</v>
      </c>
      <c r="W159" s="29"/>
      <c r="X159" s="29"/>
    </row>
    <row r="160" ht="15.75" customHeight="1">
      <c r="A160" s="22" t="s">
        <v>127</v>
      </c>
      <c r="B160" s="22" t="s">
        <v>128</v>
      </c>
      <c r="C160" s="22" t="s">
        <v>35</v>
      </c>
      <c r="D160" s="38" t="s">
        <v>520</v>
      </c>
      <c r="E160" s="39" t="s">
        <v>521</v>
      </c>
      <c r="F160" s="20" t="s">
        <v>546</v>
      </c>
      <c r="G160" s="29"/>
      <c r="H160" s="40"/>
      <c r="J160" s="38" t="s">
        <v>248</v>
      </c>
      <c r="K160" s="41">
        <v>41.0</v>
      </c>
      <c r="L160" s="38" t="s">
        <v>547</v>
      </c>
      <c r="M160" s="38" t="s">
        <v>554</v>
      </c>
      <c r="N160" s="38" t="s">
        <v>143</v>
      </c>
      <c r="O160" s="40" t="str">
        <f t="shared" si="1"/>
        <v>Analítica e Inteligencia de NegociosHerramientasAvanzado</v>
      </c>
      <c r="P160" s="29">
        <v>152.0</v>
      </c>
      <c r="Q160" s="42">
        <v>119.0</v>
      </c>
      <c r="R160" s="43" t="s">
        <v>555</v>
      </c>
      <c r="S160" s="38" t="s">
        <v>143</v>
      </c>
      <c r="T160" s="38" t="s">
        <v>556</v>
      </c>
      <c r="U160" s="29">
        <v>152.0</v>
      </c>
      <c r="V160" s="29" t="s">
        <v>141</v>
      </c>
      <c r="W160" s="29"/>
      <c r="X160" s="29"/>
    </row>
    <row r="161" ht="15.75" customHeight="1">
      <c r="A161" s="22" t="s">
        <v>127</v>
      </c>
      <c r="B161" s="22" t="s">
        <v>128</v>
      </c>
      <c r="C161" s="22" t="s">
        <v>37</v>
      </c>
      <c r="D161" s="38" t="s">
        <v>557</v>
      </c>
      <c r="E161" s="39" t="s">
        <v>558</v>
      </c>
      <c r="F161" s="20" t="s">
        <v>559</v>
      </c>
      <c r="G161" s="29"/>
      <c r="H161" s="40"/>
      <c r="J161" s="38" t="s">
        <v>560</v>
      </c>
      <c r="K161" s="41">
        <v>42.0</v>
      </c>
      <c r="L161" s="38" t="s">
        <v>561</v>
      </c>
      <c r="M161" s="38" t="s">
        <v>134</v>
      </c>
      <c r="N161" s="38" t="s">
        <v>135</v>
      </c>
      <c r="O161" s="40" t="str">
        <f t="shared" si="1"/>
        <v>Calidad de DatosDefiniciónInsuficiente</v>
      </c>
      <c r="P161" s="29">
        <v>153.0</v>
      </c>
      <c r="Q161" s="34"/>
      <c r="R161" s="34"/>
      <c r="S161" s="34"/>
      <c r="T161" s="34"/>
      <c r="U161" s="34"/>
      <c r="V161" s="29" t="s">
        <v>107</v>
      </c>
      <c r="W161" s="29"/>
      <c r="X161" s="29"/>
    </row>
    <row r="162" ht="15.75" customHeight="1">
      <c r="A162" s="22" t="s">
        <v>127</v>
      </c>
      <c r="B162" s="22" t="s">
        <v>128</v>
      </c>
      <c r="C162" s="22" t="s">
        <v>37</v>
      </c>
      <c r="D162" s="38" t="s">
        <v>557</v>
      </c>
      <c r="E162" s="39" t="s">
        <v>558</v>
      </c>
      <c r="F162" s="20" t="s">
        <v>559</v>
      </c>
      <c r="G162" s="29"/>
      <c r="H162" s="40"/>
      <c r="J162" s="38" t="s">
        <v>560</v>
      </c>
      <c r="K162" s="41">
        <v>42.0</v>
      </c>
      <c r="L162" s="38" t="s">
        <v>561</v>
      </c>
      <c r="M162" s="38" t="s">
        <v>562</v>
      </c>
      <c r="N162" s="38" t="s">
        <v>137</v>
      </c>
      <c r="O162" s="40" t="str">
        <f t="shared" si="1"/>
        <v>Calidad de DatosDefiniciónBásico</v>
      </c>
      <c r="P162" s="29">
        <v>154.0</v>
      </c>
      <c r="Q162" s="42">
        <v>36.0</v>
      </c>
      <c r="R162" s="43" t="s">
        <v>563</v>
      </c>
      <c r="S162" s="38" t="s">
        <v>137</v>
      </c>
      <c r="T162" s="38" t="s">
        <v>564</v>
      </c>
      <c r="U162" s="29">
        <v>154.0</v>
      </c>
      <c r="V162" s="29" t="s">
        <v>141</v>
      </c>
      <c r="W162" s="29"/>
      <c r="X162" s="29"/>
    </row>
    <row r="163" ht="15.75" customHeight="1">
      <c r="A163" s="22" t="s">
        <v>127</v>
      </c>
      <c r="B163" s="22" t="s">
        <v>128</v>
      </c>
      <c r="C163" s="22" t="s">
        <v>37</v>
      </c>
      <c r="D163" s="38" t="s">
        <v>557</v>
      </c>
      <c r="E163" s="39" t="s">
        <v>558</v>
      </c>
      <c r="F163" s="20" t="s">
        <v>559</v>
      </c>
      <c r="G163" s="29"/>
      <c r="H163" s="40"/>
      <c r="J163" s="38" t="s">
        <v>560</v>
      </c>
      <c r="K163" s="41">
        <v>42.0</v>
      </c>
      <c r="L163" s="38" t="s">
        <v>561</v>
      </c>
      <c r="M163" s="38" t="s">
        <v>565</v>
      </c>
      <c r="N163" s="38" t="s">
        <v>140</v>
      </c>
      <c r="O163" s="40" t="str">
        <f t="shared" si="1"/>
        <v>Calidad de DatosDefiniciónMedio</v>
      </c>
      <c r="P163" s="29">
        <v>155.0</v>
      </c>
      <c r="Q163" s="42">
        <v>78.0</v>
      </c>
      <c r="R163" s="43" t="s">
        <v>566</v>
      </c>
      <c r="S163" s="38" t="s">
        <v>140</v>
      </c>
      <c r="T163" s="38" t="s">
        <v>567</v>
      </c>
      <c r="U163" s="29">
        <v>155.0</v>
      </c>
      <c r="V163" s="29" t="s">
        <v>141</v>
      </c>
      <c r="W163" s="29"/>
      <c r="X163" s="29"/>
    </row>
    <row r="164" ht="15.75" customHeight="1">
      <c r="A164" s="22" t="s">
        <v>127</v>
      </c>
      <c r="B164" s="22" t="s">
        <v>128</v>
      </c>
      <c r="C164" s="22" t="s">
        <v>37</v>
      </c>
      <c r="D164" s="38" t="s">
        <v>557</v>
      </c>
      <c r="E164" s="39" t="s">
        <v>558</v>
      </c>
      <c r="F164" s="20" t="s">
        <v>559</v>
      </c>
      <c r="G164" s="29"/>
      <c r="H164" s="40"/>
      <c r="J164" s="38" t="s">
        <v>560</v>
      </c>
      <c r="K164" s="41">
        <v>42.0</v>
      </c>
      <c r="L164" s="38" t="s">
        <v>561</v>
      </c>
      <c r="M164" s="38" t="s">
        <v>568</v>
      </c>
      <c r="N164" s="38" t="s">
        <v>143</v>
      </c>
      <c r="O164" s="40" t="str">
        <f t="shared" si="1"/>
        <v>Calidad de DatosDefiniciónAvanzado</v>
      </c>
      <c r="P164" s="29">
        <v>156.0</v>
      </c>
      <c r="Q164" s="42">
        <v>120.0</v>
      </c>
      <c r="R164" s="43" t="s">
        <v>569</v>
      </c>
      <c r="S164" s="38" t="s">
        <v>143</v>
      </c>
      <c r="T164" s="38" t="s">
        <v>570</v>
      </c>
      <c r="U164" s="29">
        <v>156.0</v>
      </c>
      <c r="V164" s="29" t="s">
        <v>141</v>
      </c>
      <c r="W164" s="29"/>
      <c r="X164" s="29"/>
    </row>
    <row r="165" ht="15.75" customHeight="1">
      <c r="A165" s="22" t="s">
        <v>127</v>
      </c>
      <c r="B165" s="22" t="s">
        <v>128</v>
      </c>
      <c r="C165" s="22" t="s">
        <v>37</v>
      </c>
      <c r="D165" s="38" t="s">
        <v>557</v>
      </c>
      <c r="E165" s="39" t="s">
        <v>558</v>
      </c>
      <c r="F165" s="20" t="s">
        <v>571</v>
      </c>
      <c r="G165" s="29"/>
      <c r="H165" s="40"/>
      <c r="J165" s="38" t="s">
        <v>572</v>
      </c>
      <c r="K165" s="41">
        <v>43.0</v>
      </c>
      <c r="L165" s="38" t="s">
        <v>573</v>
      </c>
      <c r="M165" s="38" t="s">
        <v>134</v>
      </c>
      <c r="N165" s="38" t="s">
        <v>135</v>
      </c>
      <c r="O165" s="40" t="str">
        <f t="shared" si="1"/>
        <v>Calidad de DatosMetodología y HerramientasInsuficiente</v>
      </c>
      <c r="P165" s="29">
        <v>157.0</v>
      </c>
      <c r="Q165" s="34"/>
      <c r="R165" s="34"/>
      <c r="S165" s="34"/>
      <c r="T165" s="34"/>
      <c r="U165" s="34"/>
      <c r="V165" s="29" t="s">
        <v>107</v>
      </c>
      <c r="W165" s="29"/>
      <c r="X165" s="29"/>
    </row>
    <row r="166" ht="15.75" customHeight="1">
      <c r="A166" s="22" t="s">
        <v>127</v>
      </c>
      <c r="B166" s="22" t="s">
        <v>128</v>
      </c>
      <c r="C166" s="22" t="s">
        <v>37</v>
      </c>
      <c r="D166" s="38" t="s">
        <v>557</v>
      </c>
      <c r="E166" s="39" t="s">
        <v>558</v>
      </c>
      <c r="F166" s="20" t="s">
        <v>571</v>
      </c>
      <c r="G166" s="29"/>
      <c r="H166" s="40"/>
      <c r="J166" s="38" t="s">
        <v>572</v>
      </c>
      <c r="K166" s="41">
        <v>43.0</v>
      </c>
      <c r="L166" s="38" t="s">
        <v>573</v>
      </c>
      <c r="M166" s="38" t="s">
        <v>574</v>
      </c>
      <c r="N166" s="38" t="s">
        <v>137</v>
      </c>
      <c r="O166" s="40" t="str">
        <f t="shared" si="1"/>
        <v>Calidad de DatosMetodología y HerramientasBásico</v>
      </c>
      <c r="P166" s="29">
        <v>158.0</v>
      </c>
      <c r="Q166" s="42">
        <v>37.0</v>
      </c>
      <c r="R166" s="43" t="s">
        <v>575</v>
      </c>
      <c r="S166" s="38" t="s">
        <v>137</v>
      </c>
      <c r="T166" s="38" t="s">
        <v>576</v>
      </c>
      <c r="U166" s="29">
        <v>158.0</v>
      </c>
      <c r="V166" s="29" t="s">
        <v>141</v>
      </c>
      <c r="W166" s="29"/>
      <c r="X166" s="29"/>
    </row>
    <row r="167" ht="15.75" customHeight="1">
      <c r="A167" s="22" t="s">
        <v>127</v>
      </c>
      <c r="B167" s="22" t="s">
        <v>128</v>
      </c>
      <c r="C167" s="22" t="s">
        <v>37</v>
      </c>
      <c r="D167" s="38" t="s">
        <v>557</v>
      </c>
      <c r="E167" s="39" t="s">
        <v>558</v>
      </c>
      <c r="F167" s="20" t="s">
        <v>571</v>
      </c>
      <c r="G167" s="29"/>
      <c r="H167" s="40"/>
      <c r="J167" s="38" t="s">
        <v>572</v>
      </c>
      <c r="K167" s="41">
        <v>43.0</v>
      </c>
      <c r="L167" s="38" t="s">
        <v>573</v>
      </c>
      <c r="M167" s="38" t="s">
        <v>577</v>
      </c>
      <c r="N167" s="38" t="s">
        <v>140</v>
      </c>
      <c r="O167" s="40" t="str">
        <f t="shared" si="1"/>
        <v>Calidad de DatosMetodología y HerramientasMedio</v>
      </c>
      <c r="P167" s="29">
        <v>159.0</v>
      </c>
      <c r="Q167" s="42">
        <v>79.0</v>
      </c>
      <c r="R167" s="43" t="s">
        <v>578</v>
      </c>
      <c r="S167" s="38" t="s">
        <v>140</v>
      </c>
      <c r="T167" s="38" t="s">
        <v>579</v>
      </c>
      <c r="U167" s="29">
        <v>159.0</v>
      </c>
      <c r="V167" s="29" t="s">
        <v>141</v>
      </c>
      <c r="W167" s="29"/>
      <c r="X167" s="29"/>
    </row>
    <row r="168" ht="15.75" customHeight="1">
      <c r="A168" s="22" t="s">
        <v>127</v>
      </c>
      <c r="B168" s="22" t="s">
        <v>128</v>
      </c>
      <c r="C168" s="22" t="s">
        <v>37</v>
      </c>
      <c r="D168" s="38" t="s">
        <v>557</v>
      </c>
      <c r="E168" s="39" t="s">
        <v>558</v>
      </c>
      <c r="F168" s="20" t="s">
        <v>571</v>
      </c>
      <c r="G168" s="29"/>
      <c r="H168" s="40"/>
      <c r="J168" s="38" t="s">
        <v>572</v>
      </c>
      <c r="K168" s="41">
        <v>43.0</v>
      </c>
      <c r="L168" s="38" t="s">
        <v>573</v>
      </c>
      <c r="M168" s="38" t="s">
        <v>580</v>
      </c>
      <c r="N168" s="38" t="s">
        <v>143</v>
      </c>
      <c r="O168" s="40" t="str">
        <f t="shared" si="1"/>
        <v>Calidad de DatosMetodología y HerramientasAvanzado</v>
      </c>
      <c r="P168" s="29">
        <v>160.0</v>
      </c>
      <c r="Q168" s="42">
        <v>121.0</v>
      </c>
      <c r="R168" s="43" t="s">
        <v>581</v>
      </c>
      <c r="S168" s="38" t="s">
        <v>143</v>
      </c>
      <c r="T168" s="38" t="s">
        <v>582</v>
      </c>
      <c r="U168" s="29">
        <v>160.0</v>
      </c>
      <c r="V168" s="29" t="s">
        <v>141</v>
      </c>
      <c r="W168" s="29"/>
      <c r="X168" s="29"/>
    </row>
    <row r="169" ht="15.75" customHeight="1">
      <c r="A169" s="22" t="s">
        <v>127</v>
      </c>
      <c r="B169" s="22" t="s">
        <v>128</v>
      </c>
      <c r="C169" s="22" t="s">
        <v>39</v>
      </c>
      <c r="D169" s="38" t="s">
        <v>583</v>
      </c>
      <c r="E169" s="39" t="s">
        <v>584</v>
      </c>
      <c r="F169" s="20" t="s">
        <v>585</v>
      </c>
      <c r="G169" s="29"/>
      <c r="H169" s="40"/>
      <c r="J169" s="38" t="s">
        <v>445</v>
      </c>
      <c r="K169" s="41">
        <v>44.0</v>
      </c>
      <c r="L169" s="38" t="s">
        <v>586</v>
      </c>
      <c r="M169" s="38" t="s">
        <v>134</v>
      </c>
      <c r="N169" s="38" t="s">
        <v>135</v>
      </c>
      <c r="O169" s="40" t="str">
        <f t="shared" si="1"/>
        <v>Datos AbiertosDefinicionesInsuficiente</v>
      </c>
      <c r="P169" s="29">
        <v>161.0</v>
      </c>
      <c r="Q169" s="34"/>
      <c r="R169" s="34"/>
      <c r="S169" s="34"/>
      <c r="T169" s="34"/>
      <c r="U169" s="34"/>
      <c r="V169" s="29" t="s">
        <v>107</v>
      </c>
      <c r="W169" s="29"/>
      <c r="X169" s="29"/>
    </row>
    <row r="170" ht="15.75" customHeight="1">
      <c r="A170" s="22" t="s">
        <v>127</v>
      </c>
      <c r="B170" s="22" t="s">
        <v>128</v>
      </c>
      <c r="C170" s="22" t="s">
        <v>39</v>
      </c>
      <c r="D170" s="38" t="s">
        <v>583</v>
      </c>
      <c r="E170" s="39" t="s">
        <v>584</v>
      </c>
      <c r="F170" s="20" t="s">
        <v>585</v>
      </c>
      <c r="G170" s="29"/>
      <c r="H170" s="40"/>
      <c r="J170" s="38" t="s">
        <v>445</v>
      </c>
      <c r="K170" s="41">
        <v>44.0</v>
      </c>
      <c r="L170" s="38" t="s">
        <v>586</v>
      </c>
      <c r="M170" s="38" t="s">
        <v>142</v>
      </c>
      <c r="N170" s="38" t="s">
        <v>143</v>
      </c>
      <c r="O170" s="40" t="str">
        <f t="shared" si="1"/>
        <v>Datos AbiertosDefinicionesAvanzado</v>
      </c>
      <c r="P170" s="29">
        <v>162.0</v>
      </c>
      <c r="Q170" s="42">
        <v>122.0</v>
      </c>
      <c r="R170" s="43" t="s">
        <v>587</v>
      </c>
      <c r="S170" s="38" t="s">
        <v>143</v>
      </c>
      <c r="T170" s="38" t="s">
        <v>588</v>
      </c>
      <c r="U170" s="29">
        <v>162.0</v>
      </c>
      <c r="V170" s="29" t="s">
        <v>141</v>
      </c>
      <c r="W170" s="29"/>
      <c r="X170" s="29"/>
    </row>
    <row r="171" ht="15.75" customHeight="1">
      <c r="A171" s="22" t="s">
        <v>127</v>
      </c>
      <c r="B171" s="22" t="s">
        <v>128</v>
      </c>
      <c r="C171" s="22" t="s">
        <v>39</v>
      </c>
      <c r="D171" s="38" t="s">
        <v>583</v>
      </c>
      <c r="E171" s="39" t="s">
        <v>584</v>
      </c>
      <c r="F171" s="20" t="s">
        <v>585</v>
      </c>
      <c r="G171" s="29"/>
      <c r="H171" s="40"/>
      <c r="J171" s="38" t="s">
        <v>445</v>
      </c>
      <c r="K171" s="41">
        <v>45.0</v>
      </c>
      <c r="L171" s="38" t="s">
        <v>589</v>
      </c>
      <c r="M171" s="38" t="s">
        <v>134</v>
      </c>
      <c r="N171" s="38" t="s">
        <v>135</v>
      </c>
      <c r="O171" s="40" t="str">
        <f t="shared" si="1"/>
        <v>Datos AbiertosDefinicionesInsuficiente</v>
      </c>
      <c r="P171" s="29">
        <v>163.0</v>
      </c>
      <c r="Q171" s="42">
        <v>38.0</v>
      </c>
      <c r="R171" s="43" t="s">
        <v>590</v>
      </c>
      <c r="S171" s="38" t="s">
        <v>137</v>
      </c>
      <c r="T171" s="38" t="s">
        <v>588</v>
      </c>
      <c r="U171" s="29">
        <v>164.0</v>
      </c>
      <c r="V171" s="29" t="s">
        <v>107</v>
      </c>
      <c r="W171" s="29"/>
      <c r="X171" s="29"/>
    </row>
    <row r="172" ht="15.75" customHeight="1">
      <c r="A172" s="22" t="s">
        <v>127</v>
      </c>
      <c r="B172" s="22" t="s">
        <v>128</v>
      </c>
      <c r="C172" s="22" t="s">
        <v>39</v>
      </c>
      <c r="D172" s="38" t="s">
        <v>583</v>
      </c>
      <c r="E172" s="39" t="s">
        <v>584</v>
      </c>
      <c r="F172" s="20" t="s">
        <v>585</v>
      </c>
      <c r="G172" s="29"/>
      <c r="H172" s="40"/>
      <c r="J172" s="38" t="s">
        <v>445</v>
      </c>
      <c r="K172" s="41">
        <v>45.0</v>
      </c>
      <c r="L172" s="38" t="s">
        <v>589</v>
      </c>
      <c r="M172" s="38" t="s">
        <v>591</v>
      </c>
      <c r="N172" s="38" t="s">
        <v>137</v>
      </c>
      <c r="O172" s="40" t="str">
        <f t="shared" si="1"/>
        <v>Datos AbiertosDefinicionesBásico</v>
      </c>
      <c r="P172" s="29">
        <v>164.0</v>
      </c>
      <c r="Q172" s="42">
        <v>80.0</v>
      </c>
      <c r="R172" s="43" t="s">
        <v>592</v>
      </c>
      <c r="S172" s="38" t="s">
        <v>140</v>
      </c>
      <c r="T172" s="38" t="s">
        <v>588</v>
      </c>
      <c r="U172" s="29">
        <v>165.0</v>
      </c>
      <c r="V172" s="29" t="s">
        <v>141</v>
      </c>
      <c r="W172" s="29"/>
      <c r="X172" s="29"/>
    </row>
    <row r="173" ht="15.75" customHeight="1">
      <c r="A173" s="22" t="s">
        <v>127</v>
      </c>
      <c r="B173" s="22" t="s">
        <v>128</v>
      </c>
      <c r="C173" s="22" t="s">
        <v>39</v>
      </c>
      <c r="D173" s="38" t="s">
        <v>583</v>
      </c>
      <c r="E173" s="39" t="s">
        <v>584</v>
      </c>
      <c r="F173" s="20" t="s">
        <v>585</v>
      </c>
      <c r="G173" s="29"/>
      <c r="H173" s="40"/>
      <c r="J173" s="38" t="s">
        <v>445</v>
      </c>
      <c r="K173" s="41">
        <v>45.0</v>
      </c>
      <c r="L173" s="38" t="s">
        <v>589</v>
      </c>
      <c r="M173" s="38" t="s">
        <v>593</v>
      </c>
      <c r="N173" s="38" t="s">
        <v>140</v>
      </c>
      <c r="O173" s="40" t="str">
        <f t="shared" si="1"/>
        <v>Datos AbiertosDefinicionesMedio</v>
      </c>
      <c r="P173" s="29">
        <v>165.0</v>
      </c>
      <c r="Q173" s="34"/>
      <c r="R173" s="34"/>
      <c r="S173" s="34"/>
      <c r="T173" s="34"/>
      <c r="U173" s="34"/>
      <c r="V173" s="29" t="s">
        <v>141</v>
      </c>
      <c r="W173" s="29"/>
      <c r="X173" s="29"/>
    </row>
    <row r="174" ht="15.75" customHeight="1">
      <c r="A174" s="22" t="s">
        <v>127</v>
      </c>
      <c r="B174" s="22" t="s">
        <v>128</v>
      </c>
      <c r="C174" s="22" t="s">
        <v>39</v>
      </c>
      <c r="D174" s="38" t="s">
        <v>583</v>
      </c>
      <c r="E174" s="39" t="s">
        <v>584</v>
      </c>
      <c r="F174" s="20" t="s">
        <v>585</v>
      </c>
      <c r="G174" s="29"/>
      <c r="H174" s="40"/>
      <c r="J174" s="38" t="s">
        <v>445</v>
      </c>
      <c r="K174" s="41">
        <v>45.0</v>
      </c>
      <c r="L174" s="38" t="s">
        <v>589</v>
      </c>
      <c r="M174" s="38" t="s">
        <v>594</v>
      </c>
      <c r="N174" s="38" t="s">
        <v>143</v>
      </c>
      <c r="O174" s="40" t="str">
        <f t="shared" si="1"/>
        <v>Datos AbiertosDefinicionesAvanzado</v>
      </c>
      <c r="P174" s="29">
        <v>166.0</v>
      </c>
      <c r="Q174" s="34"/>
      <c r="R174" s="34"/>
      <c r="S174" s="34"/>
      <c r="T174" s="34"/>
      <c r="U174" s="34"/>
      <c r="V174" s="29" t="s">
        <v>141</v>
      </c>
      <c r="W174" s="29"/>
      <c r="X174" s="29"/>
    </row>
    <row r="175" ht="15.75" customHeight="1">
      <c r="A175" s="22" t="s">
        <v>127</v>
      </c>
      <c r="B175" s="22" t="s">
        <v>128</v>
      </c>
      <c r="C175" s="22" t="s">
        <v>39</v>
      </c>
      <c r="D175" s="38" t="s">
        <v>583</v>
      </c>
      <c r="E175" s="39" t="s">
        <v>584</v>
      </c>
      <c r="F175" s="20" t="s">
        <v>595</v>
      </c>
      <c r="G175" s="29"/>
      <c r="H175" s="40"/>
      <c r="J175" s="38" t="s">
        <v>596</v>
      </c>
      <c r="K175" s="41">
        <v>46.0</v>
      </c>
      <c r="L175" s="38" t="s">
        <v>597</v>
      </c>
      <c r="M175" s="38" t="s">
        <v>134</v>
      </c>
      <c r="N175" s="38" t="s">
        <v>135</v>
      </c>
      <c r="O175" s="40" t="str">
        <f t="shared" si="1"/>
        <v>Datos AbiertosPublicaciónInsuficiente</v>
      </c>
      <c r="P175" s="29">
        <v>167.0</v>
      </c>
      <c r="Q175" s="34"/>
      <c r="R175" s="34"/>
      <c r="S175" s="34"/>
      <c r="T175" s="34"/>
      <c r="U175" s="34"/>
      <c r="V175" s="29" t="s">
        <v>107</v>
      </c>
      <c r="W175" s="29"/>
      <c r="X175" s="29"/>
    </row>
    <row r="176" ht="15.75" customHeight="1">
      <c r="A176" s="22" t="s">
        <v>127</v>
      </c>
      <c r="B176" s="22" t="s">
        <v>128</v>
      </c>
      <c r="C176" s="22" t="s">
        <v>39</v>
      </c>
      <c r="D176" s="38" t="s">
        <v>583</v>
      </c>
      <c r="E176" s="39" t="s">
        <v>584</v>
      </c>
      <c r="F176" s="20" t="s">
        <v>595</v>
      </c>
      <c r="G176" s="29"/>
      <c r="H176" s="40"/>
      <c r="J176" s="38" t="s">
        <v>596</v>
      </c>
      <c r="K176" s="41">
        <v>46.0</v>
      </c>
      <c r="L176" s="38" t="s">
        <v>597</v>
      </c>
      <c r="M176" s="38" t="s">
        <v>598</v>
      </c>
      <c r="N176" s="38" t="s">
        <v>137</v>
      </c>
      <c r="O176" s="40" t="str">
        <f t="shared" si="1"/>
        <v>Datos AbiertosPublicaciónBásico</v>
      </c>
      <c r="P176" s="29">
        <v>168.0</v>
      </c>
      <c r="Q176" s="42">
        <v>39.0</v>
      </c>
      <c r="R176" s="43" t="s">
        <v>599</v>
      </c>
      <c r="S176" s="38" t="s">
        <v>137</v>
      </c>
      <c r="T176" s="38" t="s">
        <v>600</v>
      </c>
      <c r="U176" s="29">
        <v>168.0</v>
      </c>
      <c r="V176" s="29" t="s">
        <v>141</v>
      </c>
      <c r="W176" s="29"/>
      <c r="X176" s="29"/>
    </row>
    <row r="177" ht="15.75" customHeight="1">
      <c r="A177" s="22" t="s">
        <v>127</v>
      </c>
      <c r="B177" s="22" t="s">
        <v>128</v>
      </c>
      <c r="C177" s="22" t="s">
        <v>39</v>
      </c>
      <c r="D177" s="38" t="s">
        <v>583</v>
      </c>
      <c r="E177" s="39" t="s">
        <v>584</v>
      </c>
      <c r="F177" s="20" t="s">
        <v>595</v>
      </c>
      <c r="G177" s="29"/>
      <c r="H177" s="40"/>
      <c r="J177" s="38" t="s">
        <v>596</v>
      </c>
      <c r="K177" s="41">
        <v>46.0</v>
      </c>
      <c r="L177" s="38" t="s">
        <v>597</v>
      </c>
      <c r="M177" s="38" t="s">
        <v>601</v>
      </c>
      <c r="N177" s="38" t="s">
        <v>140</v>
      </c>
      <c r="O177" s="40" t="str">
        <f t="shared" si="1"/>
        <v>Datos AbiertosPublicaciónMedio</v>
      </c>
      <c r="P177" s="29">
        <v>169.0</v>
      </c>
      <c r="Q177" s="42">
        <v>81.0</v>
      </c>
      <c r="R177" s="43" t="s">
        <v>602</v>
      </c>
      <c r="S177" s="38" t="s">
        <v>140</v>
      </c>
      <c r="T177" s="38" t="s">
        <v>603</v>
      </c>
      <c r="U177" s="29">
        <v>169.0</v>
      </c>
      <c r="V177" s="29" t="s">
        <v>141</v>
      </c>
      <c r="W177" s="29"/>
      <c r="X177" s="29"/>
    </row>
    <row r="178" ht="15.75" customHeight="1">
      <c r="A178" s="22" t="s">
        <v>127</v>
      </c>
      <c r="B178" s="22" t="s">
        <v>128</v>
      </c>
      <c r="C178" s="22" t="s">
        <v>39</v>
      </c>
      <c r="D178" s="38" t="s">
        <v>583</v>
      </c>
      <c r="E178" s="39" t="s">
        <v>584</v>
      </c>
      <c r="F178" s="20" t="s">
        <v>595</v>
      </c>
      <c r="G178" s="29"/>
      <c r="H178" s="40"/>
      <c r="J178" s="38" t="s">
        <v>596</v>
      </c>
      <c r="K178" s="41">
        <v>46.0</v>
      </c>
      <c r="L178" s="38" t="s">
        <v>597</v>
      </c>
      <c r="M178" s="38" t="s">
        <v>604</v>
      </c>
      <c r="N178" s="38" t="s">
        <v>143</v>
      </c>
      <c r="O178" s="40" t="str">
        <f t="shared" si="1"/>
        <v>Datos AbiertosPublicaciónAvanzado</v>
      </c>
      <c r="P178" s="29">
        <v>170.0</v>
      </c>
      <c r="Q178" s="42">
        <v>123.0</v>
      </c>
      <c r="R178" s="43" t="s">
        <v>605</v>
      </c>
      <c r="S178" s="38" t="s">
        <v>143</v>
      </c>
      <c r="T178" s="38" t="s">
        <v>606</v>
      </c>
      <c r="U178" s="29">
        <v>170.0</v>
      </c>
      <c r="V178" s="29" t="s">
        <v>141</v>
      </c>
      <c r="W178" s="29"/>
      <c r="X178" s="29"/>
    </row>
    <row r="179" ht="15.75" customHeight="1">
      <c r="A179" s="22" t="s">
        <v>127</v>
      </c>
      <c r="B179" s="22" t="s">
        <v>128</v>
      </c>
      <c r="C179" s="22" t="s">
        <v>39</v>
      </c>
      <c r="D179" s="38" t="s">
        <v>583</v>
      </c>
      <c r="E179" s="39" t="s">
        <v>584</v>
      </c>
      <c r="F179" s="20" t="s">
        <v>595</v>
      </c>
      <c r="G179" s="29"/>
      <c r="H179" s="40"/>
      <c r="J179" s="38" t="s">
        <v>596</v>
      </c>
      <c r="K179" s="41">
        <v>47.0</v>
      </c>
      <c r="L179" s="38" t="s">
        <v>607</v>
      </c>
      <c r="M179" s="38" t="s">
        <v>608</v>
      </c>
      <c r="N179" s="38" t="s">
        <v>135</v>
      </c>
      <c r="O179" s="40" t="str">
        <f t="shared" si="1"/>
        <v>Datos AbiertosPublicaciónInsuficiente</v>
      </c>
      <c r="P179" s="29">
        <v>171.0</v>
      </c>
      <c r="Q179" s="34"/>
      <c r="R179" s="34"/>
      <c r="S179" s="34"/>
      <c r="T179" s="34"/>
      <c r="U179" s="34"/>
      <c r="V179" s="29" t="s">
        <v>107</v>
      </c>
      <c r="W179" s="29"/>
      <c r="X179" s="29"/>
    </row>
    <row r="180" ht="15.75" customHeight="1">
      <c r="A180" s="22" t="s">
        <v>127</v>
      </c>
      <c r="B180" s="22" t="s">
        <v>128</v>
      </c>
      <c r="C180" s="22" t="s">
        <v>39</v>
      </c>
      <c r="D180" s="38" t="s">
        <v>583</v>
      </c>
      <c r="E180" s="39" t="s">
        <v>584</v>
      </c>
      <c r="F180" s="20" t="s">
        <v>595</v>
      </c>
      <c r="G180" s="29"/>
      <c r="H180" s="40"/>
      <c r="J180" s="38" t="s">
        <v>596</v>
      </c>
      <c r="K180" s="41">
        <v>47.0</v>
      </c>
      <c r="L180" s="38" t="s">
        <v>607</v>
      </c>
      <c r="M180" s="38" t="s">
        <v>609</v>
      </c>
      <c r="N180" s="38" t="s">
        <v>137</v>
      </c>
      <c r="O180" s="40" t="str">
        <f t="shared" si="1"/>
        <v>Datos AbiertosPublicaciónBásico</v>
      </c>
      <c r="P180" s="29">
        <v>172.0</v>
      </c>
      <c r="Q180" s="42">
        <v>40.0</v>
      </c>
      <c r="R180" s="43" t="s">
        <v>610</v>
      </c>
      <c r="S180" s="38" t="s">
        <v>137</v>
      </c>
      <c r="T180" s="38" t="s">
        <v>611</v>
      </c>
      <c r="U180" s="29">
        <v>184.0</v>
      </c>
      <c r="V180" s="29" t="s">
        <v>141</v>
      </c>
      <c r="W180" s="29"/>
      <c r="X180" s="29"/>
    </row>
    <row r="181" ht="15.75" customHeight="1">
      <c r="A181" s="22" t="s">
        <v>127</v>
      </c>
      <c r="B181" s="22" t="s">
        <v>128</v>
      </c>
      <c r="C181" s="22" t="s">
        <v>39</v>
      </c>
      <c r="D181" s="38" t="s">
        <v>583</v>
      </c>
      <c r="E181" s="39" t="s">
        <v>584</v>
      </c>
      <c r="F181" s="20" t="s">
        <v>595</v>
      </c>
      <c r="G181" s="29"/>
      <c r="H181" s="40"/>
      <c r="J181" s="38" t="s">
        <v>596</v>
      </c>
      <c r="K181" s="41">
        <v>47.0</v>
      </c>
      <c r="L181" s="38" t="s">
        <v>607</v>
      </c>
      <c r="M181" s="38" t="s">
        <v>612</v>
      </c>
      <c r="N181" s="38" t="s">
        <v>140</v>
      </c>
      <c r="O181" s="40" t="str">
        <f t="shared" si="1"/>
        <v>Datos AbiertosPublicaciónMedio</v>
      </c>
      <c r="P181" s="29">
        <v>173.0</v>
      </c>
      <c r="Q181" s="42">
        <v>82.0</v>
      </c>
      <c r="R181" s="43" t="s">
        <v>613</v>
      </c>
      <c r="S181" s="38" t="s">
        <v>140</v>
      </c>
      <c r="T181" s="38" t="s">
        <v>614</v>
      </c>
      <c r="U181" s="29">
        <v>185.0</v>
      </c>
      <c r="V181" s="29" t="s">
        <v>141</v>
      </c>
      <c r="W181" s="29"/>
      <c r="X181" s="29"/>
    </row>
    <row r="182" ht="15.75" customHeight="1">
      <c r="A182" s="22" t="s">
        <v>127</v>
      </c>
      <c r="B182" s="22" t="s">
        <v>128</v>
      </c>
      <c r="C182" s="22" t="s">
        <v>39</v>
      </c>
      <c r="D182" s="38" t="s">
        <v>583</v>
      </c>
      <c r="E182" s="39" t="s">
        <v>584</v>
      </c>
      <c r="F182" s="20" t="s">
        <v>595</v>
      </c>
      <c r="G182" s="29"/>
      <c r="H182" s="40"/>
      <c r="J182" s="38" t="s">
        <v>596</v>
      </c>
      <c r="K182" s="41">
        <v>47.0</v>
      </c>
      <c r="L182" s="38" t="s">
        <v>607</v>
      </c>
      <c r="M182" s="38" t="s">
        <v>615</v>
      </c>
      <c r="N182" s="38" t="s">
        <v>143</v>
      </c>
      <c r="O182" s="40" t="str">
        <f t="shared" si="1"/>
        <v>Datos AbiertosPublicaciónAvanzado</v>
      </c>
      <c r="P182" s="29">
        <v>174.0</v>
      </c>
      <c r="Q182" s="42">
        <v>124.0</v>
      </c>
      <c r="R182" s="43" t="s">
        <v>616</v>
      </c>
      <c r="S182" s="38" t="s">
        <v>143</v>
      </c>
      <c r="T182" s="38" t="s">
        <v>617</v>
      </c>
      <c r="U182" s="29">
        <v>186.0</v>
      </c>
      <c r="V182" s="29" t="s">
        <v>141</v>
      </c>
      <c r="W182" s="29"/>
      <c r="X182" s="29"/>
    </row>
    <row r="183" ht="15.75" customHeight="1">
      <c r="A183" s="22" t="s">
        <v>127</v>
      </c>
      <c r="B183" s="22" t="s">
        <v>128</v>
      </c>
      <c r="C183" s="22" t="s">
        <v>39</v>
      </c>
      <c r="D183" s="38" t="s">
        <v>583</v>
      </c>
      <c r="E183" s="39" t="s">
        <v>584</v>
      </c>
      <c r="F183" s="20" t="s">
        <v>595</v>
      </c>
      <c r="G183" s="29"/>
      <c r="H183" s="40"/>
      <c r="J183" s="38" t="s">
        <v>596</v>
      </c>
      <c r="K183" s="41">
        <v>48.0</v>
      </c>
      <c r="L183" s="38" t="s">
        <v>618</v>
      </c>
      <c r="M183" s="38" t="s">
        <v>619</v>
      </c>
      <c r="N183" s="38" t="s">
        <v>135</v>
      </c>
      <c r="O183" s="40" t="str">
        <f t="shared" si="1"/>
        <v>Datos AbiertosPublicaciónInsuficiente</v>
      </c>
      <c r="P183" s="29">
        <v>175.0</v>
      </c>
      <c r="Q183" s="34"/>
      <c r="R183" s="34"/>
      <c r="S183" s="34"/>
      <c r="T183" s="34"/>
      <c r="U183" s="34"/>
      <c r="V183" s="29" t="s">
        <v>107</v>
      </c>
      <c r="W183" s="29"/>
      <c r="X183" s="29"/>
    </row>
    <row r="184" ht="15.75" customHeight="1">
      <c r="A184" s="22" t="s">
        <v>127</v>
      </c>
      <c r="B184" s="22" t="s">
        <v>128</v>
      </c>
      <c r="C184" s="22" t="s">
        <v>39</v>
      </c>
      <c r="D184" s="38" t="s">
        <v>583</v>
      </c>
      <c r="E184" s="39" t="s">
        <v>584</v>
      </c>
      <c r="F184" s="20" t="s">
        <v>595</v>
      </c>
      <c r="G184" s="29"/>
      <c r="H184" s="40"/>
      <c r="J184" s="38" t="s">
        <v>596</v>
      </c>
      <c r="K184" s="41">
        <v>48.0</v>
      </c>
      <c r="L184" s="38" t="s">
        <v>618</v>
      </c>
      <c r="M184" s="38" t="s">
        <v>620</v>
      </c>
      <c r="N184" s="38" t="s">
        <v>137</v>
      </c>
      <c r="O184" s="40" t="str">
        <f t="shared" si="1"/>
        <v>Datos AbiertosPublicaciónBásico</v>
      </c>
      <c r="P184" s="29">
        <v>176.0</v>
      </c>
      <c r="Q184" s="34"/>
      <c r="R184" s="34"/>
      <c r="S184" s="34"/>
      <c r="T184" s="34"/>
      <c r="U184" s="34"/>
      <c r="V184" s="29" t="s">
        <v>141</v>
      </c>
      <c r="W184" s="29"/>
      <c r="X184" s="29"/>
    </row>
    <row r="185" ht="15.75" customHeight="1">
      <c r="A185" s="22" t="s">
        <v>127</v>
      </c>
      <c r="B185" s="22" t="s">
        <v>128</v>
      </c>
      <c r="C185" s="22" t="s">
        <v>39</v>
      </c>
      <c r="D185" s="38" t="s">
        <v>583</v>
      </c>
      <c r="E185" s="39" t="s">
        <v>584</v>
      </c>
      <c r="F185" s="20" t="s">
        <v>595</v>
      </c>
      <c r="G185" s="29"/>
      <c r="H185" s="40"/>
      <c r="J185" s="38" t="s">
        <v>596</v>
      </c>
      <c r="K185" s="41">
        <v>48.0</v>
      </c>
      <c r="L185" s="38" t="s">
        <v>618</v>
      </c>
      <c r="M185" s="38" t="s">
        <v>621</v>
      </c>
      <c r="N185" s="38" t="s">
        <v>140</v>
      </c>
      <c r="O185" s="40" t="str">
        <f t="shared" si="1"/>
        <v>Datos AbiertosPublicaciónMedio</v>
      </c>
      <c r="P185" s="29">
        <v>177.0</v>
      </c>
      <c r="Q185" s="34"/>
      <c r="R185" s="34"/>
      <c r="S185" s="34"/>
      <c r="T185" s="34"/>
      <c r="U185" s="34"/>
      <c r="V185" s="29" t="s">
        <v>141</v>
      </c>
      <c r="W185" s="29"/>
      <c r="X185" s="29"/>
    </row>
    <row r="186" ht="15.75" customHeight="1">
      <c r="A186" s="22" t="s">
        <v>127</v>
      </c>
      <c r="B186" s="22" t="s">
        <v>128</v>
      </c>
      <c r="C186" s="22" t="s">
        <v>39</v>
      </c>
      <c r="D186" s="38" t="s">
        <v>583</v>
      </c>
      <c r="E186" s="39" t="s">
        <v>584</v>
      </c>
      <c r="F186" s="20" t="s">
        <v>595</v>
      </c>
      <c r="G186" s="29"/>
      <c r="H186" s="40"/>
      <c r="J186" s="38" t="s">
        <v>596</v>
      </c>
      <c r="K186" s="41">
        <v>48.0</v>
      </c>
      <c r="L186" s="38" t="s">
        <v>618</v>
      </c>
      <c r="M186" s="38" t="s">
        <v>622</v>
      </c>
      <c r="N186" s="38" t="s">
        <v>143</v>
      </c>
      <c r="O186" s="40" t="str">
        <f t="shared" si="1"/>
        <v>Datos AbiertosPublicaciónAvanzado</v>
      </c>
      <c r="P186" s="29">
        <v>178.0</v>
      </c>
      <c r="Q186" s="34"/>
      <c r="R186" s="34"/>
      <c r="S186" s="34"/>
      <c r="T186" s="34"/>
      <c r="U186" s="34"/>
      <c r="V186" s="29" t="s">
        <v>141</v>
      </c>
      <c r="W186" s="29"/>
      <c r="X186" s="29"/>
    </row>
    <row r="187" ht="15.75" customHeight="1">
      <c r="A187" s="22" t="s">
        <v>127</v>
      </c>
      <c r="B187" s="22" t="s">
        <v>128</v>
      </c>
      <c r="C187" s="22" t="s">
        <v>39</v>
      </c>
      <c r="D187" s="38" t="s">
        <v>583</v>
      </c>
      <c r="E187" s="39" t="s">
        <v>584</v>
      </c>
      <c r="F187" s="20" t="s">
        <v>595</v>
      </c>
      <c r="G187" s="29"/>
      <c r="H187" s="40"/>
      <c r="J187" s="38" t="s">
        <v>596</v>
      </c>
      <c r="K187" s="41">
        <v>49.0</v>
      </c>
      <c r="L187" s="38" t="s">
        <v>623</v>
      </c>
      <c r="M187" s="38" t="s">
        <v>134</v>
      </c>
      <c r="N187" s="38" t="s">
        <v>135</v>
      </c>
      <c r="O187" s="40" t="str">
        <f t="shared" si="1"/>
        <v>Datos AbiertosPublicaciónInsuficiente</v>
      </c>
      <c r="P187" s="29">
        <v>179.0</v>
      </c>
      <c r="Q187" s="34"/>
      <c r="R187" s="34"/>
      <c r="S187" s="34"/>
      <c r="T187" s="34"/>
      <c r="U187" s="34"/>
      <c r="V187" s="29" t="s">
        <v>107</v>
      </c>
      <c r="W187" s="29"/>
      <c r="X187" s="29"/>
    </row>
    <row r="188" ht="15.75" customHeight="1">
      <c r="A188" s="22" t="s">
        <v>127</v>
      </c>
      <c r="B188" s="22" t="s">
        <v>128</v>
      </c>
      <c r="C188" s="22" t="s">
        <v>39</v>
      </c>
      <c r="D188" s="38" t="s">
        <v>583</v>
      </c>
      <c r="E188" s="39" t="s">
        <v>584</v>
      </c>
      <c r="F188" s="20" t="s">
        <v>595</v>
      </c>
      <c r="G188" s="29"/>
      <c r="H188" s="40"/>
      <c r="J188" s="38" t="s">
        <v>596</v>
      </c>
      <c r="K188" s="41">
        <v>49.0</v>
      </c>
      <c r="L188" s="38" t="s">
        <v>623</v>
      </c>
      <c r="M188" s="38" t="s">
        <v>624</v>
      </c>
      <c r="N188" s="38" t="s">
        <v>137</v>
      </c>
      <c r="O188" s="40" t="str">
        <f t="shared" si="1"/>
        <v>Datos AbiertosPublicaciónBásico</v>
      </c>
      <c r="P188" s="29">
        <v>180.0</v>
      </c>
      <c r="Q188" s="34"/>
      <c r="R188" s="34"/>
      <c r="S188" s="34"/>
      <c r="T188" s="34"/>
      <c r="U188" s="34"/>
      <c r="V188" s="29" t="s">
        <v>141</v>
      </c>
      <c r="W188" s="29"/>
      <c r="X188" s="29"/>
    </row>
    <row r="189" ht="15.75" customHeight="1">
      <c r="A189" s="22" t="s">
        <v>127</v>
      </c>
      <c r="B189" s="22" t="s">
        <v>128</v>
      </c>
      <c r="C189" s="22" t="s">
        <v>39</v>
      </c>
      <c r="D189" s="38" t="s">
        <v>583</v>
      </c>
      <c r="E189" s="39" t="s">
        <v>584</v>
      </c>
      <c r="F189" s="20" t="s">
        <v>595</v>
      </c>
      <c r="G189" s="29"/>
      <c r="H189" s="40"/>
      <c r="J189" s="38" t="s">
        <v>596</v>
      </c>
      <c r="K189" s="41">
        <v>49.0</v>
      </c>
      <c r="L189" s="38" t="s">
        <v>623</v>
      </c>
      <c r="M189" s="38" t="s">
        <v>625</v>
      </c>
      <c r="N189" s="38" t="s">
        <v>140</v>
      </c>
      <c r="O189" s="40" t="str">
        <f t="shared" si="1"/>
        <v>Datos AbiertosPublicaciónMedio</v>
      </c>
      <c r="P189" s="29">
        <v>181.0</v>
      </c>
      <c r="Q189" s="45"/>
      <c r="R189" s="29"/>
      <c r="S189" s="29"/>
      <c r="T189" s="29"/>
      <c r="U189" s="29"/>
      <c r="V189" s="29" t="s">
        <v>141</v>
      </c>
      <c r="W189" s="29"/>
      <c r="X189" s="29"/>
    </row>
    <row r="190" ht="15.75" customHeight="1">
      <c r="A190" s="22" t="s">
        <v>127</v>
      </c>
      <c r="B190" s="22" t="s">
        <v>128</v>
      </c>
      <c r="C190" s="22" t="s">
        <v>39</v>
      </c>
      <c r="D190" s="38" t="s">
        <v>583</v>
      </c>
      <c r="E190" s="39" t="s">
        <v>584</v>
      </c>
      <c r="F190" s="20" t="s">
        <v>595</v>
      </c>
      <c r="G190" s="29"/>
      <c r="H190" s="40"/>
      <c r="J190" s="38" t="s">
        <v>596</v>
      </c>
      <c r="K190" s="41">
        <v>49.0</v>
      </c>
      <c r="L190" s="38" t="s">
        <v>623</v>
      </c>
      <c r="M190" s="38" t="s">
        <v>626</v>
      </c>
      <c r="N190" s="38" t="s">
        <v>143</v>
      </c>
      <c r="O190" s="40" t="str">
        <f t="shared" si="1"/>
        <v>Datos AbiertosPublicaciónAvanzado</v>
      </c>
      <c r="P190" s="29">
        <v>182.0</v>
      </c>
      <c r="Q190" s="45"/>
      <c r="R190" s="29"/>
      <c r="S190" s="29"/>
      <c r="T190" s="29"/>
      <c r="U190" s="29"/>
      <c r="V190" s="29" t="s">
        <v>141</v>
      </c>
      <c r="W190" s="29"/>
      <c r="X190" s="29"/>
    </row>
    <row r="191" ht="15.75" customHeight="1">
      <c r="A191" s="22" t="s">
        <v>127</v>
      </c>
      <c r="B191" s="22" t="s">
        <v>128</v>
      </c>
      <c r="C191" s="22" t="s">
        <v>39</v>
      </c>
      <c r="D191" s="38" t="s">
        <v>583</v>
      </c>
      <c r="E191" s="39" t="s">
        <v>584</v>
      </c>
      <c r="F191" s="20" t="s">
        <v>627</v>
      </c>
      <c r="G191" s="29"/>
      <c r="H191" s="40"/>
      <c r="J191" s="38" t="s">
        <v>628</v>
      </c>
      <c r="K191" s="41">
        <v>50.0</v>
      </c>
      <c r="L191" s="38" t="s">
        <v>629</v>
      </c>
      <c r="M191" s="38" t="s">
        <v>630</v>
      </c>
      <c r="N191" s="38" t="s">
        <v>135</v>
      </c>
      <c r="O191" s="40" t="str">
        <f t="shared" si="1"/>
        <v>Datos AbiertosMecanismos de acceso, formato, documentación y condiciones de usoInsuficiente</v>
      </c>
      <c r="P191" s="29">
        <v>183.0</v>
      </c>
      <c r="Q191" s="45"/>
      <c r="R191" s="29"/>
      <c r="S191" s="29"/>
      <c r="T191" s="29"/>
      <c r="U191" s="29"/>
      <c r="V191" s="29" t="s">
        <v>107</v>
      </c>
      <c r="W191" s="29"/>
      <c r="X191" s="29"/>
    </row>
    <row r="192" ht="15.75" customHeight="1">
      <c r="A192" s="22" t="s">
        <v>127</v>
      </c>
      <c r="B192" s="22" t="s">
        <v>128</v>
      </c>
      <c r="C192" s="22" t="s">
        <v>39</v>
      </c>
      <c r="D192" s="38" t="s">
        <v>583</v>
      </c>
      <c r="E192" s="39" t="s">
        <v>584</v>
      </c>
      <c r="F192" s="20" t="s">
        <v>627</v>
      </c>
      <c r="G192" s="29"/>
      <c r="H192" s="40"/>
      <c r="J192" s="38" t="s">
        <v>628</v>
      </c>
      <c r="K192" s="41">
        <v>50.0</v>
      </c>
      <c r="L192" s="38" t="s">
        <v>629</v>
      </c>
      <c r="M192" s="38" t="s">
        <v>631</v>
      </c>
      <c r="N192" s="38" t="s">
        <v>137</v>
      </c>
      <c r="O192" s="40" t="str">
        <f t="shared" si="1"/>
        <v>Datos AbiertosMecanismos de acceso, formato, documentación y condiciones de usoBásico</v>
      </c>
      <c r="P192" s="29">
        <v>184.0</v>
      </c>
      <c r="Q192" s="45"/>
      <c r="R192" s="29"/>
      <c r="S192" s="29"/>
      <c r="T192" s="29"/>
      <c r="U192" s="29"/>
      <c r="V192" s="29" t="s">
        <v>141</v>
      </c>
      <c r="W192" s="29"/>
      <c r="X192" s="29"/>
    </row>
    <row r="193" ht="15.75" customHeight="1">
      <c r="A193" s="22" t="s">
        <v>127</v>
      </c>
      <c r="B193" s="22" t="s">
        <v>128</v>
      </c>
      <c r="C193" s="22" t="s">
        <v>39</v>
      </c>
      <c r="D193" s="38" t="s">
        <v>583</v>
      </c>
      <c r="E193" s="39" t="s">
        <v>584</v>
      </c>
      <c r="F193" s="20" t="s">
        <v>627</v>
      </c>
      <c r="G193" s="29"/>
      <c r="H193" s="40"/>
      <c r="J193" s="38" t="s">
        <v>628</v>
      </c>
      <c r="K193" s="41">
        <v>50.0</v>
      </c>
      <c r="L193" s="38" t="s">
        <v>629</v>
      </c>
      <c r="M193" s="38" t="s">
        <v>632</v>
      </c>
      <c r="N193" s="38" t="s">
        <v>140</v>
      </c>
      <c r="O193" s="40" t="str">
        <f t="shared" si="1"/>
        <v>Datos AbiertosMecanismos de acceso, formato, documentación y condiciones de usoMedio</v>
      </c>
      <c r="P193" s="29">
        <v>185.0</v>
      </c>
      <c r="Q193" s="45"/>
      <c r="R193" s="29"/>
      <c r="S193" s="29"/>
      <c r="T193" s="29"/>
      <c r="U193" s="29"/>
      <c r="V193" s="29" t="s">
        <v>141</v>
      </c>
      <c r="W193" s="29"/>
      <c r="X193" s="29"/>
    </row>
    <row r="194" ht="15.75" customHeight="1">
      <c r="A194" s="22" t="s">
        <v>127</v>
      </c>
      <c r="B194" s="22" t="s">
        <v>128</v>
      </c>
      <c r="C194" s="22" t="s">
        <v>39</v>
      </c>
      <c r="D194" s="38" t="s">
        <v>583</v>
      </c>
      <c r="E194" s="39" t="s">
        <v>584</v>
      </c>
      <c r="F194" s="20" t="s">
        <v>627</v>
      </c>
      <c r="G194" s="29"/>
      <c r="H194" s="40"/>
      <c r="J194" s="38" t="s">
        <v>628</v>
      </c>
      <c r="K194" s="41">
        <v>50.0</v>
      </c>
      <c r="L194" s="38" t="s">
        <v>629</v>
      </c>
      <c r="M194" s="38" t="s">
        <v>633</v>
      </c>
      <c r="N194" s="38" t="s">
        <v>143</v>
      </c>
      <c r="O194" s="40" t="str">
        <f t="shared" si="1"/>
        <v>Datos AbiertosMecanismos de acceso, formato, documentación y condiciones de usoAvanzado</v>
      </c>
      <c r="P194" s="29">
        <v>186.0</v>
      </c>
      <c r="Q194" s="45"/>
      <c r="R194" s="29"/>
      <c r="S194" s="29"/>
      <c r="T194" s="29"/>
      <c r="U194" s="29"/>
      <c r="V194" s="29" t="s">
        <v>141</v>
      </c>
      <c r="W194" s="29"/>
      <c r="X194" s="29"/>
    </row>
    <row r="195" ht="15.75" customHeight="1">
      <c r="A195" s="22" t="s">
        <v>127</v>
      </c>
      <c r="B195" s="22" t="s">
        <v>128</v>
      </c>
      <c r="C195" s="22" t="s">
        <v>41</v>
      </c>
      <c r="D195" s="38" t="s">
        <v>634</v>
      </c>
      <c r="E195" s="39" t="s">
        <v>635</v>
      </c>
      <c r="F195" s="20" t="s">
        <v>636</v>
      </c>
      <c r="G195" s="29"/>
      <c r="H195" s="40"/>
      <c r="J195" s="38" t="s">
        <v>637</v>
      </c>
      <c r="K195" s="41">
        <v>51.0</v>
      </c>
      <c r="L195" s="38" t="s">
        <v>638</v>
      </c>
      <c r="M195" s="38" t="s">
        <v>134</v>
      </c>
      <c r="N195" s="38" t="s">
        <v>135</v>
      </c>
      <c r="O195" s="40" t="str">
        <f t="shared" si="1"/>
        <v>Aspectos Legales y NormativosParticipación del área jurídicaInsuficiente</v>
      </c>
      <c r="P195" s="29">
        <v>187.0</v>
      </c>
      <c r="Q195" s="45"/>
      <c r="R195" s="29"/>
      <c r="S195" s="29"/>
      <c r="T195" s="29"/>
      <c r="U195" s="29"/>
      <c r="V195" s="29" t="s">
        <v>107</v>
      </c>
      <c r="W195" s="29"/>
      <c r="X195" s="29"/>
    </row>
    <row r="196" ht="15.75" customHeight="1">
      <c r="A196" s="22" t="s">
        <v>127</v>
      </c>
      <c r="B196" s="22" t="s">
        <v>128</v>
      </c>
      <c r="C196" s="22" t="s">
        <v>41</v>
      </c>
      <c r="D196" s="38" t="s">
        <v>634</v>
      </c>
      <c r="E196" s="39" t="s">
        <v>635</v>
      </c>
      <c r="F196" s="20" t="s">
        <v>636</v>
      </c>
      <c r="G196" s="29"/>
      <c r="H196" s="40"/>
      <c r="J196" s="38" t="s">
        <v>637</v>
      </c>
      <c r="K196" s="41">
        <v>51.0</v>
      </c>
      <c r="L196" s="38" t="s">
        <v>638</v>
      </c>
      <c r="M196" s="38" t="s">
        <v>639</v>
      </c>
      <c r="N196" s="38" t="s">
        <v>137</v>
      </c>
      <c r="O196" s="40" t="str">
        <f t="shared" si="1"/>
        <v>Aspectos Legales y NormativosParticipación del área jurídicaBásico</v>
      </c>
      <c r="P196" s="29">
        <v>188.0</v>
      </c>
      <c r="Q196" s="42">
        <v>41.0</v>
      </c>
      <c r="R196" s="43" t="s">
        <v>640</v>
      </c>
      <c r="S196" s="38" t="s">
        <v>137</v>
      </c>
      <c r="T196" s="38" t="s">
        <v>641</v>
      </c>
      <c r="U196" s="29">
        <v>188.0</v>
      </c>
      <c r="V196" s="29" t="s">
        <v>141</v>
      </c>
      <c r="W196" s="29"/>
      <c r="X196" s="29"/>
    </row>
    <row r="197" ht="15.75" customHeight="1">
      <c r="A197" s="22" t="s">
        <v>127</v>
      </c>
      <c r="B197" s="22" t="s">
        <v>128</v>
      </c>
      <c r="C197" s="22" t="s">
        <v>41</v>
      </c>
      <c r="D197" s="38" t="s">
        <v>634</v>
      </c>
      <c r="E197" s="39" t="s">
        <v>635</v>
      </c>
      <c r="F197" s="20" t="s">
        <v>636</v>
      </c>
      <c r="G197" s="29"/>
      <c r="H197" s="40"/>
      <c r="J197" s="38" t="s">
        <v>637</v>
      </c>
      <c r="K197" s="41">
        <v>51.0</v>
      </c>
      <c r="L197" s="38" t="s">
        <v>638</v>
      </c>
      <c r="M197" s="38" t="s">
        <v>642</v>
      </c>
      <c r="N197" s="38" t="s">
        <v>140</v>
      </c>
      <c r="O197" s="40" t="str">
        <f t="shared" si="1"/>
        <v>Aspectos Legales y NormativosParticipación del área jurídicaMedio</v>
      </c>
      <c r="P197" s="29">
        <v>189.0</v>
      </c>
      <c r="Q197" s="42">
        <v>83.0</v>
      </c>
      <c r="R197" s="43" t="s">
        <v>643</v>
      </c>
      <c r="S197" s="38" t="s">
        <v>140</v>
      </c>
      <c r="T197" s="38" t="s">
        <v>644</v>
      </c>
      <c r="U197" s="29">
        <v>189.0</v>
      </c>
      <c r="V197" s="29" t="s">
        <v>141</v>
      </c>
      <c r="W197" s="29"/>
      <c r="X197" s="29"/>
    </row>
    <row r="198" ht="15.75" customHeight="1">
      <c r="A198" s="22" t="s">
        <v>127</v>
      </c>
      <c r="B198" s="22" t="s">
        <v>128</v>
      </c>
      <c r="C198" s="22" t="s">
        <v>41</v>
      </c>
      <c r="D198" s="38" t="s">
        <v>634</v>
      </c>
      <c r="E198" s="39" t="s">
        <v>635</v>
      </c>
      <c r="F198" s="20" t="s">
        <v>636</v>
      </c>
      <c r="G198" s="29"/>
      <c r="H198" s="40"/>
      <c r="J198" s="38" t="s">
        <v>637</v>
      </c>
      <c r="K198" s="41">
        <v>51.0</v>
      </c>
      <c r="L198" s="38" t="s">
        <v>638</v>
      </c>
      <c r="M198" s="38" t="s">
        <v>645</v>
      </c>
      <c r="N198" s="38" t="s">
        <v>143</v>
      </c>
      <c r="O198" s="40" t="str">
        <f t="shared" si="1"/>
        <v>Aspectos Legales y NormativosParticipación del área jurídicaAvanzado</v>
      </c>
      <c r="P198" s="29">
        <v>190.0</v>
      </c>
      <c r="Q198" s="42">
        <v>125.0</v>
      </c>
      <c r="R198" s="43" t="s">
        <v>646</v>
      </c>
      <c r="S198" s="38" t="s">
        <v>143</v>
      </c>
      <c r="T198" s="38" t="s">
        <v>647</v>
      </c>
      <c r="U198" s="29">
        <v>190.0</v>
      </c>
      <c r="V198" s="29" t="s">
        <v>141</v>
      </c>
      <c r="W198" s="29"/>
      <c r="X198" s="29"/>
    </row>
    <row r="199" ht="15.75" customHeight="1">
      <c r="A199" s="22" t="s">
        <v>127</v>
      </c>
      <c r="B199" s="22" t="s">
        <v>128</v>
      </c>
      <c r="C199" s="22" t="s">
        <v>41</v>
      </c>
      <c r="D199" s="38" t="s">
        <v>634</v>
      </c>
      <c r="E199" s="39" t="s">
        <v>635</v>
      </c>
      <c r="F199" s="20" t="s">
        <v>648</v>
      </c>
      <c r="G199" s="29"/>
      <c r="H199" s="40"/>
      <c r="J199" s="38" t="s">
        <v>649</v>
      </c>
      <c r="K199" s="41">
        <v>52.0</v>
      </c>
      <c r="L199" s="38" t="s">
        <v>650</v>
      </c>
      <c r="M199" s="38" t="s">
        <v>134</v>
      </c>
      <c r="N199" s="38" t="s">
        <v>135</v>
      </c>
      <c r="O199" s="40" t="str">
        <f t="shared" si="1"/>
        <v>Aspectos Legales y NormativosCumplimiento aspectos legales y normativosInsuficiente</v>
      </c>
      <c r="P199" s="29">
        <v>191.0</v>
      </c>
      <c r="Q199" s="34"/>
      <c r="R199" s="34"/>
      <c r="S199" s="34"/>
      <c r="T199" s="34"/>
      <c r="U199" s="34"/>
      <c r="V199" s="29" t="s">
        <v>107</v>
      </c>
      <c r="W199" s="29"/>
      <c r="X199" s="29"/>
    </row>
    <row r="200" ht="15.75" customHeight="1">
      <c r="A200" s="22" t="s">
        <v>127</v>
      </c>
      <c r="B200" s="22" t="s">
        <v>128</v>
      </c>
      <c r="C200" s="22" t="s">
        <v>41</v>
      </c>
      <c r="D200" s="38" t="s">
        <v>634</v>
      </c>
      <c r="E200" s="39" t="s">
        <v>635</v>
      </c>
      <c r="F200" s="20" t="s">
        <v>648</v>
      </c>
      <c r="G200" s="29"/>
      <c r="H200" s="40"/>
      <c r="J200" s="38" t="s">
        <v>649</v>
      </c>
      <c r="K200" s="41">
        <v>52.0</v>
      </c>
      <c r="L200" s="38" t="s">
        <v>650</v>
      </c>
      <c r="M200" s="38" t="s">
        <v>651</v>
      </c>
      <c r="N200" s="38" t="s">
        <v>137</v>
      </c>
      <c r="O200" s="40" t="str">
        <f t="shared" si="1"/>
        <v>Aspectos Legales y NormativosCumplimiento aspectos legales y normativosBásico</v>
      </c>
      <c r="P200" s="29">
        <v>192.0</v>
      </c>
      <c r="Q200" s="42">
        <v>42.0</v>
      </c>
      <c r="R200" s="43" t="s">
        <v>652</v>
      </c>
      <c r="S200" s="38" t="s">
        <v>137</v>
      </c>
      <c r="T200" s="38" t="s">
        <v>653</v>
      </c>
      <c r="U200" s="29">
        <v>192.0</v>
      </c>
      <c r="V200" s="29" t="s">
        <v>141</v>
      </c>
      <c r="W200" s="29"/>
      <c r="X200" s="29"/>
    </row>
    <row r="201" ht="15.75" customHeight="1">
      <c r="A201" s="22" t="s">
        <v>127</v>
      </c>
      <c r="B201" s="22" t="s">
        <v>128</v>
      </c>
      <c r="C201" s="22" t="s">
        <v>41</v>
      </c>
      <c r="D201" s="38" t="s">
        <v>634</v>
      </c>
      <c r="E201" s="39" t="s">
        <v>635</v>
      </c>
      <c r="F201" s="20" t="s">
        <v>648</v>
      </c>
      <c r="G201" s="29"/>
      <c r="H201" s="40"/>
      <c r="J201" s="38" t="s">
        <v>649</v>
      </c>
      <c r="K201" s="41">
        <v>52.0</v>
      </c>
      <c r="L201" s="38" t="s">
        <v>650</v>
      </c>
      <c r="M201" s="38" t="s">
        <v>654</v>
      </c>
      <c r="N201" s="38" t="s">
        <v>140</v>
      </c>
      <c r="O201" s="40" t="str">
        <f t="shared" si="1"/>
        <v>Aspectos Legales y NormativosCumplimiento aspectos legales y normativosMedio</v>
      </c>
      <c r="P201" s="29">
        <v>193.0</v>
      </c>
      <c r="Q201" s="42">
        <v>84.0</v>
      </c>
      <c r="R201" s="43" t="s">
        <v>655</v>
      </c>
      <c r="S201" s="38" t="s">
        <v>140</v>
      </c>
      <c r="T201" s="38" t="s">
        <v>656</v>
      </c>
      <c r="U201" s="29">
        <v>193.0</v>
      </c>
      <c r="V201" s="29" t="s">
        <v>141</v>
      </c>
      <c r="W201" s="29"/>
      <c r="X201" s="29"/>
    </row>
    <row r="202" ht="15.75" customHeight="1">
      <c r="A202" s="22" t="s">
        <v>127</v>
      </c>
      <c r="B202" s="22" t="s">
        <v>128</v>
      </c>
      <c r="C202" s="22" t="s">
        <v>41</v>
      </c>
      <c r="D202" s="38" t="s">
        <v>634</v>
      </c>
      <c r="E202" s="39" t="s">
        <v>635</v>
      </c>
      <c r="F202" s="20" t="s">
        <v>648</v>
      </c>
      <c r="G202" s="29"/>
      <c r="H202" s="40"/>
      <c r="J202" s="38" t="s">
        <v>649</v>
      </c>
      <c r="K202" s="41">
        <v>52.0</v>
      </c>
      <c r="L202" s="38" t="s">
        <v>650</v>
      </c>
      <c r="M202" s="38" t="s">
        <v>657</v>
      </c>
      <c r="N202" s="38" t="s">
        <v>143</v>
      </c>
      <c r="O202" s="40" t="str">
        <f t="shared" si="1"/>
        <v>Aspectos Legales y NormativosCumplimiento aspectos legales y normativosAvanzado</v>
      </c>
      <c r="P202" s="29">
        <v>194.0</v>
      </c>
      <c r="Q202" s="42">
        <v>126.0</v>
      </c>
      <c r="R202" s="43" t="s">
        <v>658</v>
      </c>
      <c r="S202" s="38" t="s">
        <v>143</v>
      </c>
      <c r="T202" s="38" t="s">
        <v>659</v>
      </c>
      <c r="U202" s="29">
        <v>194.0</v>
      </c>
      <c r="V202" s="29" t="s">
        <v>141</v>
      </c>
      <c r="W202" s="29"/>
      <c r="X202" s="29"/>
    </row>
    <row r="203" ht="15.75" customHeight="1">
      <c r="A203" s="27" t="s">
        <v>660</v>
      </c>
      <c r="B203" s="27" t="s">
        <v>661</v>
      </c>
      <c r="C203" s="46" t="s">
        <v>17</v>
      </c>
      <c r="D203" s="46" t="s">
        <v>18</v>
      </c>
      <c r="E203" s="47" t="s">
        <v>662</v>
      </c>
      <c r="F203" s="34" t="s">
        <v>663</v>
      </c>
      <c r="G203" s="34" t="s">
        <v>664</v>
      </c>
      <c r="H203" s="48" t="s">
        <v>665</v>
      </c>
      <c r="I203" s="48" t="s">
        <v>666</v>
      </c>
      <c r="J203" s="49" t="s">
        <v>667</v>
      </c>
      <c r="K203" s="32">
        <v>1.0</v>
      </c>
      <c r="L203" s="29" t="s">
        <v>668</v>
      </c>
      <c r="M203" s="22" t="s">
        <v>669</v>
      </c>
      <c r="N203" s="34"/>
      <c r="O203" s="40"/>
      <c r="P203" s="34"/>
      <c r="Q203" s="34"/>
      <c r="R203" s="34"/>
      <c r="S203" s="34"/>
      <c r="T203" s="34"/>
      <c r="U203" s="34">
        <v>8.0</v>
      </c>
      <c r="V203" s="27" t="s">
        <v>107</v>
      </c>
      <c r="W203" s="34"/>
      <c r="X203" s="29"/>
    </row>
    <row r="204" ht="15.75" customHeight="1">
      <c r="A204" s="27" t="s">
        <v>660</v>
      </c>
      <c r="B204" s="27" t="s">
        <v>661</v>
      </c>
      <c r="C204" s="46" t="s">
        <v>17</v>
      </c>
      <c r="D204" s="46" t="s">
        <v>18</v>
      </c>
      <c r="E204" s="47" t="s">
        <v>662</v>
      </c>
      <c r="F204" s="34" t="s">
        <v>663</v>
      </c>
      <c r="G204" s="34" t="s">
        <v>664</v>
      </c>
      <c r="H204" s="48" t="s">
        <v>670</v>
      </c>
      <c r="I204" s="48" t="s">
        <v>671</v>
      </c>
      <c r="J204" s="49" t="s">
        <v>672</v>
      </c>
      <c r="K204" s="50">
        <v>2.0</v>
      </c>
      <c r="L204" s="29" t="s">
        <v>673</v>
      </c>
      <c r="M204" s="22" t="s">
        <v>669</v>
      </c>
      <c r="N204" s="34"/>
      <c r="O204" s="40"/>
      <c r="P204" s="34"/>
      <c r="Q204" s="34"/>
      <c r="R204" s="34"/>
      <c r="S204" s="34"/>
      <c r="T204" s="34"/>
      <c r="U204" s="34">
        <v>9.0</v>
      </c>
      <c r="V204" s="27" t="s">
        <v>107</v>
      </c>
      <c r="W204" s="34"/>
      <c r="X204" s="29"/>
    </row>
    <row r="205" ht="15.75" customHeight="1">
      <c r="A205" s="27" t="s">
        <v>660</v>
      </c>
      <c r="B205" s="27" t="s">
        <v>661</v>
      </c>
      <c r="C205" s="46" t="s">
        <v>17</v>
      </c>
      <c r="D205" s="46" t="s">
        <v>18</v>
      </c>
      <c r="E205" s="47" t="s">
        <v>662</v>
      </c>
      <c r="F205" s="34" t="s">
        <v>663</v>
      </c>
      <c r="G205" s="34" t="s">
        <v>664</v>
      </c>
      <c r="H205" s="48" t="s">
        <v>670</v>
      </c>
      <c r="I205" s="48" t="s">
        <v>671</v>
      </c>
      <c r="J205" s="49" t="s">
        <v>672</v>
      </c>
      <c r="K205" s="50">
        <v>3.0</v>
      </c>
      <c r="L205" s="29" t="s">
        <v>674</v>
      </c>
      <c r="M205" s="22" t="s">
        <v>669</v>
      </c>
      <c r="N205" s="34"/>
      <c r="O205" s="40"/>
      <c r="P205" s="34"/>
      <c r="Q205" s="34"/>
      <c r="R205" s="34"/>
      <c r="S205" s="34"/>
      <c r="T205" s="34"/>
      <c r="U205" s="34">
        <v>10.0</v>
      </c>
      <c r="V205" s="27" t="s">
        <v>107</v>
      </c>
      <c r="W205" s="34"/>
      <c r="X205" s="29"/>
    </row>
    <row r="206" ht="15.75" customHeight="1">
      <c r="A206" s="27" t="s">
        <v>660</v>
      </c>
      <c r="B206" s="27" t="s">
        <v>661</v>
      </c>
      <c r="C206" s="46" t="s">
        <v>17</v>
      </c>
      <c r="D206" s="46" t="s">
        <v>18</v>
      </c>
      <c r="E206" s="47" t="s">
        <v>662</v>
      </c>
      <c r="F206" s="34" t="s">
        <v>663</v>
      </c>
      <c r="G206" s="34" t="s">
        <v>664</v>
      </c>
      <c r="H206" s="48" t="s">
        <v>670</v>
      </c>
      <c r="I206" s="48" t="s">
        <v>671</v>
      </c>
      <c r="J206" s="49" t="s">
        <v>672</v>
      </c>
      <c r="K206" s="50">
        <v>4.0</v>
      </c>
      <c r="L206" s="29" t="s">
        <v>675</v>
      </c>
      <c r="M206" s="22" t="s">
        <v>669</v>
      </c>
      <c r="N206" s="34"/>
      <c r="O206" s="40"/>
      <c r="P206" s="34"/>
      <c r="Q206" s="34"/>
      <c r="R206" s="34"/>
      <c r="S206" s="34"/>
      <c r="T206" s="34"/>
      <c r="U206" s="34">
        <v>11.0</v>
      </c>
      <c r="V206" s="27" t="s">
        <v>107</v>
      </c>
      <c r="W206" s="34"/>
      <c r="X206" s="29"/>
    </row>
    <row r="207" ht="15.75" customHeight="1">
      <c r="A207" s="27" t="s">
        <v>660</v>
      </c>
      <c r="B207" s="27" t="s">
        <v>661</v>
      </c>
      <c r="C207" s="46" t="s">
        <v>17</v>
      </c>
      <c r="D207" s="46" t="s">
        <v>18</v>
      </c>
      <c r="E207" s="47" t="s">
        <v>662</v>
      </c>
      <c r="F207" s="34" t="s">
        <v>663</v>
      </c>
      <c r="G207" s="34" t="s">
        <v>664</v>
      </c>
      <c r="H207" s="48" t="s">
        <v>670</v>
      </c>
      <c r="I207" s="48" t="s">
        <v>671</v>
      </c>
      <c r="J207" s="49" t="s">
        <v>672</v>
      </c>
      <c r="K207" s="50">
        <v>5.0</v>
      </c>
      <c r="L207" s="29" t="s">
        <v>676</v>
      </c>
      <c r="M207" s="22" t="s">
        <v>669</v>
      </c>
      <c r="N207" s="34"/>
      <c r="O207" s="40"/>
      <c r="P207" s="34"/>
      <c r="Q207" s="34"/>
      <c r="R207" s="34"/>
      <c r="S207" s="34"/>
      <c r="T207" s="34"/>
      <c r="U207" s="34">
        <v>12.0</v>
      </c>
      <c r="V207" s="27" t="s">
        <v>107</v>
      </c>
      <c r="W207" s="34"/>
      <c r="X207" s="29"/>
    </row>
    <row r="208" ht="15.75" customHeight="1">
      <c r="A208" s="27" t="s">
        <v>660</v>
      </c>
      <c r="B208" s="27" t="s">
        <v>661</v>
      </c>
      <c r="C208" s="46" t="s">
        <v>17</v>
      </c>
      <c r="D208" s="46" t="s">
        <v>18</v>
      </c>
      <c r="E208" s="47" t="s">
        <v>662</v>
      </c>
      <c r="F208" s="34" t="s">
        <v>663</v>
      </c>
      <c r="G208" s="34" t="s">
        <v>664</v>
      </c>
      <c r="H208" s="48" t="s">
        <v>677</v>
      </c>
      <c r="I208" s="48" t="s">
        <v>678</v>
      </c>
      <c r="J208" s="49" t="s">
        <v>679</v>
      </c>
      <c r="K208" s="50">
        <v>6.0</v>
      </c>
      <c r="L208" s="29" t="s">
        <v>680</v>
      </c>
      <c r="M208" s="22" t="s">
        <v>669</v>
      </c>
      <c r="N208" s="34"/>
      <c r="O208" s="40"/>
      <c r="P208" s="34"/>
      <c r="Q208" s="34"/>
      <c r="R208" s="34"/>
      <c r="S208" s="34"/>
      <c r="T208" s="34"/>
      <c r="U208" s="34">
        <v>13.0</v>
      </c>
      <c r="V208" s="34" t="s">
        <v>107</v>
      </c>
      <c r="W208" s="34"/>
      <c r="X208" s="29"/>
    </row>
    <row r="209" ht="15.75" customHeight="1">
      <c r="A209" s="27" t="s">
        <v>660</v>
      </c>
      <c r="B209" s="27" t="s">
        <v>661</v>
      </c>
      <c r="C209" s="46" t="s">
        <v>17</v>
      </c>
      <c r="D209" s="46" t="s">
        <v>18</v>
      </c>
      <c r="E209" s="47" t="s">
        <v>662</v>
      </c>
      <c r="F209" s="34" t="s">
        <v>663</v>
      </c>
      <c r="G209" s="34" t="s">
        <v>664</v>
      </c>
      <c r="H209" s="48" t="s">
        <v>677</v>
      </c>
      <c r="I209" s="48" t="s">
        <v>678</v>
      </c>
      <c r="J209" s="49" t="s">
        <v>679</v>
      </c>
      <c r="K209" s="50">
        <v>7.0</v>
      </c>
      <c r="L209" s="29" t="s">
        <v>681</v>
      </c>
      <c r="M209" s="22" t="s">
        <v>669</v>
      </c>
      <c r="N209" s="34"/>
      <c r="O209" s="40"/>
      <c r="P209" s="34"/>
      <c r="Q209" s="34"/>
      <c r="R209" s="34"/>
      <c r="S209" s="34"/>
      <c r="T209" s="34"/>
      <c r="U209" s="34">
        <v>14.0</v>
      </c>
      <c r="V209" s="34" t="s">
        <v>107</v>
      </c>
      <c r="W209" s="34"/>
      <c r="X209" s="29"/>
    </row>
    <row r="210" ht="15.75" customHeight="1">
      <c r="A210" s="27" t="s">
        <v>660</v>
      </c>
      <c r="B210" s="27" t="s">
        <v>661</v>
      </c>
      <c r="C210" s="46" t="s">
        <v>17</v>
      </c>
      <c r="D210" s="46" t="s">
        <v>18</v>
      </c>
      <c r="E210" s="47" t="s">
        <v>662</v>
      </c>
      <c r="F210" s="34" t="s">
        <v>663</v>
      </c>
      <c r="G210" s="34" t="s">
        <v>664</v>
      </c>
      <c r="H210" s="48" t="s">
        <v>677</v>
      </c>
      <c r="I210" s="48" t="s">
        <v>678</v>
      </c>
      <c r="J210" s="49" t="s">
        <v>679</v>
      </c>
      <c r="K210" s="50">
        <v>8.0</v>
      </c>
      <c r="L210" s="29" t="s">
        <v>682</v>
      </c>
      <c r="M210" s="22" t="s">
        <v>669</v>
      </c>
      <c r="N210" s="34"/>
      <c r="O210" s="40"/>
      <c r="P210" s="34"/>
      <c r="Q210" s="34"/>
      <c r="R210" s="34"/>
      <c r="S210" s="34"/>
      <c r="T210" s="34"/>
      <c r="U210" s="34">
        <v>15.0</v>
      </c>
      <c r="V210" s="34" t="s">
        <v>107</v>
      </c>
      <c r="W210" s="34"/>
      <c r="X210" s="29"/>
    </row>
    <row r="211" ht="15.75" customHeight="1">
      <c r="A211" s="27" t="s">
        <v>660</v>
      </c>
      <c r="B211" s="27" t="s">
        <v>661</v>
      </c>
      <c r="C211" s="46" t="s">
        <v>17</v>
      </c>
      <c r="D211" s="46" t="s">
        <v>18</v>
      </c>
      <c r="E211" s="47" t="s">
        <v>662</v>
      </c>
      <c r="F211" s="34" t="s">
        <v>663</v>
      </c>
      <c r="G211" s="34" t="s">
        <v>664</v>
      </c>
      <c r="H211" s="48" t="s">
        <v>677</v>
      </c>
      <c r="I211" s="48" t="s">
        <v>678</v>
      </c>
      <c r="J211" s="49" t="s">
        <v>679</v>
      </c>
      <c r="K211" s="50">
        <v>9.0</v>
      </c>
      <c r="L211" s="29" t="s">
        <v>683</v>
      </c>
      <c r="M211" s="22" t="s">
        <v>669</v>
      </c>
      <c r="N211" s="34"/>
      <c r="O211" s="40"/>
      <c r="P211" s="34"/>
      <c r="Q211" s="34"/>
      <c r="R211" s="34"/>
      <c r="S211" s="34"/>
      <c r="T211" s="34"/>
      <c r="U211" s="34">
        <v>16.0</v>
      </c>
      <c r="V211" s="34" t="s">
        <v>107</v>
      </c>
      <c r="W211" s="34"/>
      <c r="X211" s="29"/>
    </row>
    <row r="212" ht="15.75" customHeight="1">
      <c r="A212" s="27" t="s">
        <v>660</v>
      </c>
      <c r="B212" s="27" t="s">
        <v>661</v>
      </c>
      <c r="C212" s="46" t="s">
        <v>17</v>
      </c>
      <c r="D212" s="46" t="s">
        <v>18</v>
      </c>
      <c r="E212" s="47" t="s">
        <v>662</v>
      </c>
      <c r="F212" s="34" t="s">
        <v>663</v>
      </c>
      <c r="G212" s="34" t="s">
        <v>664</v>
      </c>
      <c r="H212" s="48" t="s">
        <v>677</v>
      </c>
      <c r="I212" s="48" t="s">
        <v>678</v>
      </c>
      <c r="J212" s="49" t="s">
        <v>679</v>
      </c>
      <c r="K212" s="50">
        <v>10.0</v>
      </c>
      <c r="L212" s="29" t="s">
        <v>684</v>
      </c>
      <c r="M212" s="22" t="s">
        <v>669</v>
      </c>
      <c r="N212" s="34"/>
      <c r="O212" s="40"/>
      <c r="P212" s="34"/>
      <c r="Q212" s="34"/>
      <c r="R212" s="34"/>
      <c r="S212" s="34"/>
      <c r="T212" s="34"/>
      <c r="U212" s="34">
        <v>17.0</v>
      </c>
      <c r="V212" s="34" t="s">
        <v>107</v>
      </c>
      <c r="W212" s="34"/>
      <c r="X212" s="29"/>
    </row>
    <row r="213" ht="15.75" customHeight="1">
      <c r="A213" s="27" t="s">
        <v>660</v>
      </c>
      <c r="B213" s="27" t="s">
        <v>661</v>
      </c>
      <c r="C213" s="46" t="s">
        <v>17</v>
      </c>
      <c r="D213" s="46" t="s">
        <v>18</v>
      </c>
      <c r="E213" s="47" t="s">
        <v>662</v>
      </c>
      <c r="F213" s="34" t="s">
        <v>663</v>
      </c>
      <c r="G213" s="34" t="s">
        <v>664</v>
      </c>
      <c r="H213" s="48" t="s">
        <v>677</v>
      </c>
      <c r="I213" s="48" t="s">
        <v>678</v>
      </c>
      <c r="J213" s="49" t="s">
        <v>679</v>
      </c>
      <c r="K213" s="50">
        <v>11.0</v>
      </c>
      <c r="L213" s="29" t="s">
        <v>685</v>
      </c>
      <c r="M213" s="22" t="s">
        <v>669</v>
      </c>
      <c r="N213" s="34"/>
      <c r="O213" s="40"/>
      <c r="P213" s="34"/>
      <c r="Q213" s="34"/>
      <c r="R213" s="34"/>
      <c r="S213" s="34"/>
      <c r="T213" s="34"/>
      <c r="U213" s="34">
        <v>18.0</v>
      </c>
      <c r="V213" s="34" t="s">
        <v>107</v>
      </c>
      <c r="W213" s="34"/>
      <c r="X213" s="29"/>
    </row>
    <row r="214" ht="15.75" customHeight="1">
      <c r="A214" s="27" t="s">
        <v>660</v>
      </c>
      <c r="B214" s="27" t="s">
        <v>661</v>
      </c>
      <c r="C214" s="46" t="s">
        <v>17</v>
      </c>
      <c r="D214" s="46" t="s">
        <v>18</v>
      </c>
      <c r="E214" s="47" t="s">
        <v>662</v>
      </c>
      <c r="F214" s="34" t="s">
        <v>663</v>
      </c>
      <c r="G214" s="34" t="s">
        <v>664</v>
      </c>
      <c r="H214" s="48" t="s">
        <v>686</v>
      </c>
      <c r="I214" s="48" t="s">
        <v>687</v>
      </c>
      <c r="J214" s="49" t="s">
        <v>688</v>
      </c>
      <c r="K214" s="50">
        <v>12.0</v>
      </c>
      <c r="L214" s="29" t="s">
        <v>689</v>
      </c>
      <c r="M214" s="22" t="s">
        <v>669</v>
      </c>
      <c r="N214" s="34"/>
      <c r="O214" s="40"/>
      <c r="P214" s="34"/>
      <c r="Q214" s="34"/>
      <c r="R214" s="34"/>
      <c r="S214" s="34"/>
      <c r="T214" s="34"/>
      <c r="U214" s="34">
        <v>19.0</v>
      </c>
      <c r="V214" s="34" t="s">
        <v>107</v>
      </c>
      <c r="W214" s="34"/>
      <c r="X214" s="29"/>
    </row>
    <row r="215" ht="15.75" customHeight="1">
      <c r="A215" s="27" t="s">
        <v>660</v>
      </c>
      <c r="B215" s="27" t="s">
        <v>661</v>
      </c>
      <c r="C215" s="46" t="s">
        <v>17</v>
      </c>
      <c r="D215" s="46" t="s">
        <v>18</v>
      </c>
      <c r="E215" s="47" t="s">
        <v>662</v>
      </c>
      <c r="F215" s="34" t="s">
        <v>663</v>
      </c>
      <c r="G215" s="34" t="s">
        <v>664</v>
      </c>
      <c r="H215" s="48" t="s">
        <v>690</v>
      </c>
      <c r="I215" s="48" t="s">
        <v>691</v>
      </c>
      <c r="J215" s="49" t="s">
        <v>692</v>
      </c>
      <c r="K215" s="50">
        <v>13.0</v>
      </c>
      <c r="L215" s="29" t="s">
        <v>693</v>
      </c>
      <c r="M215" s="22" t="s">
        <v>669</v>
      </c>
      <c r="N215" s="34"/>
      <c r="O215" s="40"/>
      <c r="P215" s="34"/>
      <c r="Q215" s="34"/>
      <c r="R215" s="34"/>
      <c r="S215" s="34"/>
      <c r="T215" s="34"/>
      <c r="U215" s="34">
        <v>20.0</v>
      </c>
      <c r="V215" s="34" t="s">
        <v>107</v>
      </c>
      <c r="W215" s="34"/>
      <c r="X215" s="29"/>
    </row>
    <row r="216" ht="15.75" customHeight="1">
      <c r="A216" s="27" t="s">
        <v>660</v>
      </c>
      <c r="B216" s="27" t="s">
        <v>661</v>
      </c>
      <c r="C216" s="46" t="s">
        <v>17</v>
      </c>
      <c r="D216" s="46" t="s">
        <v>18</v>
      </c>
      <c r="E216" s="47" t="s">
        <v>662</v>
      </c>
      <c r="F216" s="34" t="s">
        <v>663</v>
      </c>
      <c r="G216" s="34" t="s">
        <v>664</v>
      </c>
      <c r="H216" s="48" t="s">
        <v>690</v>
      </c>
      <c r="I216" s="48" t="s">
        <v>691</v>
      </c>
      <c r="J216" s="49" t="s">
        <v>692</v>
      </c>
      <c r="K216" s="50">
        <v>14.0</v>
      </c>
      <c r="L216" s="29" t="s">
        <v>694</v>
      </c>
      <c r="M216" s="22" t="s">
        <v>669</v>
      </c>
      <c r="N216" s="34"/>
      <c r="O216" s="40"/>
      <c r="P216" s="34"/>
      <c r="Q216" s="34"/>
      <c r="R216" s="34"/>
      <c r="S216" s="34"/>
      <c r="T216" s="34"/>
      <c r="U216" s="34">
        <v>21.0</v>
      </c>
      <c r="V216" s="34" t="s">
        <v>107</v>
      </c>
      <c r="W216" s="34"/>
      <c r="X216" s="29"/>
    </row>
    <row r="217" ht="15.75" customHeight="1">
      <c r="A217" s="27" t="s">
        <v>660</v>
      </c>
      <c r="B217" s="27" t="s">
        <v>661</v>
      </c>
      <c r="C217" s="46" t="s">
        <v>17</v>
      </c>
      <c r="D217" s="46" t="s">
        <v>18</v>
      </c>
      <c r="E217" s="47" t="s">
        <v>662</v>
      </c>
      <c r="F217" s="34" t="s">
        <v>663</v>
      </c>
      <c r="G217" s="34" t="s">
        <v>664</v>
      </c>
      <c r="H217" s="48" t="s">
        <v>690</v>
      </c>
      <c r="I217" s="48" t="s">
        <v>691</v>
      </c>
      <c r="J217" s="49" t="s">
        <v>692</v>
      </c>
      <c r="K217" s="50">
        <v>15.0</v>
      </c>
      <c r="L217" s="29" t="s">
        <v>695</v>
      </c>
      <c r="M217" s="22" t="s">
        <v>669</v>
      </c>
      <c r="N217" s="34"/>
      <c r="O217" s="40"/>
      <c r="P217" s="34"/>
      <c r="Q217" s="34"/>
      <c r="R217" s="34"/>
      <c r="S217" s="34"/>
      <c r="T217" s="34"/>
      <c r="U217" s="34">
        <v>22.0</v>
      </c>
      <c r="V217" s="34" t="s">
        <v>107</v>
      </c>
      <c r="W217" s="34"/>
      <c r="X217" s="29"/>
    </row>
    <row r="218" ht="15.75" customHeight="1">
      <c r="A218" s="27" t="s">
        <v>660</v>
      </c>
      <c r="B218" s="27" t="s">
        <v>661</v>
      </c>
      <c r="C218" s="46" t="s">
        <v>17</v>
      </c>
      <c r="D218" s="46" t="s">
        <v>18</v>
      </c>
      <c r="E218" s="47" t="s">
        <v>662</v>
      </c>
      <c r="F218" s="34" t="s">
        <v>663</v>
      </c>
      <c r="G218" s="34" t="s">
        <v>664</v>
      </c>
      <c r="H218" s="48" t="s">
        <v>696</v>
      </c>
      <c r="I218" s="48" t="s">
        <v>697</v>
      </c>
      <c r="J218" s="49" t="s">
        <v>698</v>
      </c>
      <c r="K218" s="50">
        <v>16.0</v>
      </c>
      <c r="L218" s="29" t="s">
        <v>699</v>
      </c>
      <c r="M218" s="22" t="s">
        <v>669</v>
      </c>
      <c r="N218" s="34"/>
      <c r="O218" s="40"/>
      <c r="P218" s="34"/>
      <c r="Q218" s="34"/>
      <c r="R218" s="34"/>
      <c r="S218" s="34"/>
      <c r="T218" s="34"/>
      <c r="U218" s="34">
        <v>23.0</v>
      </c>
      <c r="V218" s="34" t="s">
        <v>107</v>
      </c>
      <c r="W218" s="34"/>
      <c r="X218" s="29"/>
    </row>
    <row r="219" ht="15.75" customHeight="1">
      <c r="A219" s="27" t="s">
        <v>660</v>
      </c>
      <c r="B219" s="27" t="s">
        <v>661</v>
      </c>
      <c r="C219" s="46" t="s">
        <v>17</v>
      </c>
      <c r="D219" s="46" t="s">
        <v>18</v>
      </c>
      <c r="E219" s="47" t="s">
        <v>662</v>
      </c>
      <c r="F219" s="34" t="s">
        <v>663</v>
      </c>
      <c r="G219" s="34" t="s">
        <v>664</v>
      </c>
      <c r="H219" s="48" t="s">
        <v>696</v>
      </c>
      <c r="I219" s="48" t="s">
        <v>697</v>
      </c>
      <c r="J219" s="49" t="s">
        <v>698</v>
      </c>
      <c r="K219" s="50">
        <v>17.0</v>
      </c>
      <c r="L219" s="29" t="s">
        <v>700</v>
      </c>
      <c r="M219" s="22" t="s">
        <v>669</v>
      </c>
      <c r="N219" s="34"/>
      <c r="O219" s="40"/>
      <c r="P219" s="34"/>
      <c r="Q219" s="34"/>
      <c r="R219" s="34"/>
      <c r="S219" s="34"/>
      <c r="T219" s="34"/>
      <c r="U219" s="34">
        <v>24.0</v>
      </c>
      <c r="V219" s="34" t="s">
        <v>107</v>
      </c>
      <c r="W219" s="34"/>
      <c r="X219" s="29"/>
    </row>
    <row r="220" ht="15.75" customHeight="1">
      <c r="A220" s="27" t="s">
        <v>660</v>
      </c>
      <c r="B220" s="27" t="s">
        <v>661</v>
      </c>
      <c r="C220" s="46" t="s">
        <v>17</v>
      </c>
      <c r="D220" s="46" t="s">
        <v>18</v>
      </c>
      <c r="E220" s="47" t="s">
        <v>662</v>
      </c>
      <c r="F220" s="34" t="s">
        <v>663</v>
      </c>
      <c r="G220" s="34" t="s">
        <v>664</v>
      </c>
      <c r="H220" s="48" t="s">
        <v>701</v>
      </c>
      <c r="I220" s="48" t="s">
        <v>702</v>
      </c>
      <c r="J220" s="49" t="s">
        <v>703</v>
      </c>
      <c r="K220" s="50">
        <v>18.0</v>
      </c>
      <c r="L220" s="29" t="s">
        <v>704</v>
      </c>
      <c r="M220" s="22" t="s">
        <v>669</v>
      </c>
      <c r="N220" s="34"/>
      <c r="O220" s="40"/>
      <c r="P220" s="34"/>
      <c r="Q220" s="34"/>
      <c r="R220" s="34"/>
      <c r="S220" s="34"/>
      <c r="T220" s="34"/>
      <c r="U220" s="34">
        <v>25.0</v>
      </c>
      <c r="V220" s="34" t="s">
        <v>107</v>
      </c>
      <c r="W220" s="34"/>
      <c r="X220" s="29"/>
    </row>
    <row r="221" ht="15.75" customHeight="1">
      <c r="A221" s="27" t="s">
        <v>660</v>
      </c>
      <c r="B221" s="27" t="s">
        <v>661</v>
      </c>
      <c r="C221" s="46" t="s">
        <v>17</v>
      </c>
      <c r="D221" s="46" t="s">
        <v>18</v>
      </c>
      <c r="E221" s="47" t="s">
        <v>662</v>
      </c>
      <c r="F221" s="34" t="s">
        <v>663</v>
      </c>
      <c r="G221" s="34" t="s">
        <v>664</v>
      </c>
      <c r="H221" s="48" t="s">
        <v>701</v>
      </c>
      <c r="I221" s="48" t="s">
        <v>702</v>
      </c>
      <c r="J221" s="49" t="s">
        <v>703</v>
      </c>
      <c r="K221" s="50">
        <v>19.0</v>
      </c>
      <c r="L221" s="29" t="s">
        <v>705</v>
      </c>
      <c r="M221" s="22" t="s">
        <v>669</v>
      </c>
      <c r="N221" s="34"/>
      <c r="O221" s="40"/>
      <c r="P221" s="34"/>
      <c r="Q221" s="34"/>
      <c r="R221" s="34"/>
      <c r="S221" s="34"/>
      <c r="T221" s="34"/>
      <c r="U221" s="34">
        <v>26.0</v>
      </c>
      <c r="V221" s="34" t="s">
        <v>107</v>
      </c>
      <c r="W221" s="34"/>
      <c r="X221" s="29"/>
    </row>
    <row r="222" ht="15.75" customHeight="1">
      <c r="A222" s="27" t="s">
        <v>660</v>
      </c>
      <c r="B222" s="27" t="s">
        <v>661</v>
      </c>
      <c r="C222" s="46" t="s">
        <v>17</v>
      </c>
      <c r="D222" s="46" t="s">
        <v>18</v>
      </c>
      <c r="E222" s="47" t="s">
        <v>662</v>
      </c>
      <c r="F222" s="34" t="s">
        <v>663</v>
      </c>
      <c r="G222" s="34" t="s">
        <v>664</v>
      </c>
      <c r="H222" s="48" t="s">
        <v>701</v>
      </c>
      <c r="I222" s="48" t="s">
        <v>702</v>
      </c>
      <c r="J222" s="49" t="s">
        <v>703</v>
      </c>
      <c r="K222" s="50">
        <v>20.0</v>
      </c>
      <c r="L222" s="29" t="s">
        <v>706</v>
      </c>
      <c r="M222" s="22" t="s">
        <v>669</v>
      </c>
      <c r="N222" s="34"/>
      <c r="O222" s="40"/>
      <c r="P222" s="34"/>
      <c r="Q222" s="34"/>
      <c r="R222" s="34"/>
      <c r="S222" s="34"/>
      <c r="T222" s="34"/>
      <c r="U222" s="34">
        <v>27.0</v>
      </c>
      <c r="V222" s="34" t="s">
        <v>107</v>
      </c>
      <c r="W222" s="34"/>
      <c r="X222" s="29"/>
    </row>
    <row r="223" ht="15.75" customHeight="1">
      <c r="A223" s="27" t="s">
        <v>660</v>
      </c>
      <c r="B223" s="27" t="s">
        <v>661</v>
      </c>
      <c r="C223" s="46" t="s">
        <v>17</v>
      </c>
      <c r="D223" s="46" t="s">
        <v>18</v>
      </c>
      <c r="E223" s="47" t="s">
        <v>662</v>
      </c>
      <c r="F223" s="34" t="s">
        <v>663</v>
      </c>
      <c r="G223" s="34" t="s">
        <v>664</v>
      </c>
      <c r="H223" s="48" t="s">
        <v>707</v>
      </c>
      <c r="I223" s="48" t="s">
        <v>708</v>
      </c>
      <c r="J223" s="49" t="s">
        <v>709</v>
      </c>
      <c r="K223" s="50">
        <v>21.0</v>
      </c>
      <c r="L223" s="29" t="s">
        <v>710</v>
      </c>
      <c r="M223" s="22" t="s">
        <v>669</v>
      </c>
      <c r="N223" s="34"/>
      <c r="O223" s="40"/>
      <c r="P223" s="34"/>
      <c r="Q223" s="34"/>
      <c r="R223" s="34"/>
      <c r="S223" s="34"/>
      <c r="T223" s="34"/>
      <c r="U223" s="34">
        <v>28.0</v>
      </c>
      <c r="V223" s="34" t="s">
        <v>107</v>
      </c>
      <c r="W223" s="34"/>
      <c r="X223" s="29"/>
    </row>
    <row r="224" ht="15.75" customHeight="1">
      <c r="A224" s="27" t="s">
        <v>660</v>
      </c>
      <c r="B224" s="27" t="s">
        <v>661</v>
      </c>
      <c r="C224" s="46" t="s">
        <v>17</v>
      </c>
      <c r="D224" s="46" t="s">
        <v>18</v>
      </c>
      <c r="E224" s="47" t="s">
        <v>662</v>
      </c>
      <c r="F224" s="34" t="s">
        <v>663</v>
      </c>
      <c r="G224" s="34" t="s">
        <v>664</v>
      </c>
      <c r="H224" s="48" t="s">
        <v>707</v>
      </c>
      <c r="I224" s="48" t="s">
        <v>708</v>
      </c>
      <c r="J224" s="49" t="s">
        <v>709</v>
      </c>
      <c r="K224" s="50">
        <v>22.0</v>
      </c>
      <c r="L224" s="29" t="s">
        <v>711</v>
      </c>
      <c r="M224" s="22" t="s">
        <v>669</v>
      </c>
      <c r="N224" s="34"/>
      <c r="O224" s="40"/>
      <c r="P224" s="34"/>
      <c r="Q224" s="34"/>
      <c r="R224" s="34"/>
      <c r="S224" s="34"/>
      <c r="T224" s="34"/>
      <c r="U224" s="34">
        <v>29.0</v>
      </c>
      <c r="V224" s="34" t="s">
        <v>107</v>
      </c>
      <c r="W224" s="34"/>
      <c r="X224" s="29"/>
    </row>
    <row r="225" ht="15.75" customHeight="1">
      <c r="A225" s="27" t="s">
        <v>660</v>
      </c>
      <c r="B225" s="27" t="s">
        <v>661</v>
      </c>
      <c r="C225" s="46" t="s">
        <v>17</v>
      </c>
      <c r="D225" s="46" t="s">
        <v>18</v>
      </c>
      <c r="E225" s="47" t="s">
        <v>662</v>
      </c>
      <c r="F225" s="34" t="s">
        <v>663</v>
      </c>
      <c r="G225" s="34" t="s">
        <v>664</v>
      </c>
      <c r="H225" s="48" t="s">
        <v>707</v>
      </c>
      <c r="I225" s="48" t="s">
        <v>708</v>
      </c>
      <c r="J225" s="49" t="s">
        <v>709</v>
      </c>
      <c r="K225" s="50">
        <v>23.0</v>
      </c>
      <c r="L225" s="29" t="s">
        <v>712</v>
      </c>
      <c r="M225" s="22" t="s">
        <v>669</v>
      </c>
      <c r="N225" s="34"/>
      <c r="O225" s="40"/>
      <c r="P225" s="34"/>
      <c r="Q225" s="34"/>
      <c r="R225" s="34"/>
      <c r="S225" s="34"/>
      <c r="T225" s="34"/>
      <c r="U225" s="34">
        <v>30.0</v>
      </c>
      <c r="V225" s="34" t="s">
        <v>107</v>
      </c>
      <c r="W225" s="34"/>
      <c r="X225" s="29"/>
    </row>
    <row r="226" ht="15.75" customHeight="1">
      <c r="A226" s="27" t="s">
        <v>660</v>
      </c>
      <c r="B226" s="27" t="s">
        <v>661</v>
      </c>
      <c r="C226" s="46" t="s">
        <v>17</v>
      </c>
      <c r="D226" s="46" t="s">
        <v>18</v>
      </c>
      <c r="E226" s="47" t="s">
        <v>662</v>
      </c>
      <c r="F226" s="51" t="s">
        <v>713</v>
      </c>
      <c r="G226" s="34" t="s">
        <v>714</v>
      </c>
      <c r="H226" s="48" t="s">
        <v>715</v>
      </c>
      <c r="I226" s="48" t="s">
        <v>716</v>
      </c>
      <c r="J226" s="49" t="s">
        <v>717</v>
      </c>
      <c r="K226" s="50">
        <v>24.0</v>
      </c>
      <c r="L226" s="29" t="s">
        <v>718</v>
      </c>
      <c r="M226" s="22" t="s">
        <v>669</v>
      </c>
      <c r="N226" s="34"/>
      <c r="O226" s="40"/>
      <c r="P226" s="34"/>
      <c r="Q226" s="34"/>
      <c r="R226" s="34"/>
      <c r="S226" s="34"/>
      <c r="T226" s="34"/>
      <c r="U226" s="34">
        <v>32.0</v>
      </c>
      <c r="V226" s="34" t="s">
        <v>107</v>
      </c>
      <c r="W226" s="34"/>
      <c r="X226" s="29"/>
    </row>
    <row r="227" ht="15.75" customHeight="1">
      <c r="A227" s="27" t="s">
        <v>660</v>
      </c>
      <c r="B227" s="27" t="s">
        <v>661</v>
      </c>
      <c r="C227" s="46" t="s">
        <v>17</v>
      </c>
      <c r="D227" s="46" t="s">
        <v>18</v>
      </c>
      <c r="E227" s="47" t="s">
        <v>662</v>
      </c>
      <c r="F227" s="51" t="s">
        <v>713</v>
      </c>
      <c r="G227" s="34" t="s">
        <v>714</v>
      </c>
      <c r="H227" s="48" t="s">
        <v>715</v>
      </c>
      <c r="I227" s="48" t="s">
        <v>716</v>
      </c>
      <c r="J227" s="49" t="s">
        <v>717</v>
      </c>
      <c r="K227" s="50">
        <v>25.0</v>
      </c>
      <c r="L227" s="29" t="s">
        <v>719</v>
      </c>
      <c r="M227" s="22" t="s">
        <v>669</v>
      </c>
      <c r="N227" s="34"/>
      <c r="O227" s="40"/>
      <c r="P227" s="34"/>
      <c r="Q227" s="34"/>
      <c r="R227" s="34"/>
      <c r="S227" s="34"/>
      <c r="T227" s="34"/>
      <c r="U227" s="34">
        <v>33.0</v>
      </c>
      <c r="V227" s="34" t="s">
        <v>107</v>
      </c>
      <c r="W227" s="34"/>
      <c r="X227" s="29"/>
    </row>
    <row r="228" ht="15.75" customHeight="1">
      <c r="A228" s="27" t="s">
        <v>660</v>
      </c>
      <c r="B228" s="27" t="s">
        <v>661</v>
      </c>
      <c r="C228" s="46" t="s">
        <v>17</v>
      </c>
      <c r="D228" s="46" t="s">
        <v>18</v>
      </c>
      <c r="E228" s="47" t="s">
        <v>662</v>
      </c>
      <c r="F228" s="51" t="s">
        <v>713</v>
      </c>
      <c r="G228" s="34" t="s">
        <v>714</v>
      </c>
      <c r="H228" s="48" t="s">
        <v>715</v>
      </c>
      <c r="I228" s="48" t="s">
        <v>716</v>
      </c>
      <c r="J228" s="49" t="s">
        <v>717</v>
      </c>
      <c r="K228" s="50">
        <v>26.0</v>
      </c>
      <c r="L228" s="29" t="s">
        <v>720</v>
      </c>
      <c r="M228" s="22" t="s">
        <v>669</v>
      </c>
      <c r="N228" s="34"/>
      <c r="O228" s="40"/>
      <c r="P228" s="34"/>
      <c r="Q228" s="34"/>
      <c r="R228" s="34"/>
      <c r="S228" s="34"/>
      <c r="T228" s="34"/>
      <c r="U228" s="34">
        <v>34.0</v>
      </c>
      <c r="V228" s="34" t="s">
        <v>107</v>
      </c>
      <c r="W228" s="34"/>
      <c r="X228" s="29"/>
    </row>
    <row r="229" ht="15.75" customHeight="1">
      <c r="A229" s="27" t="s">
        <v>660</v>
      </c>
      <c r="B229" s="27" t="s">
        <v>661</v>
      </c>
      <c r="C229" s="46" t="s">
        <v>17</v>
      </c>
      <c r="D229" s="46" t="s">
        <v>18</v>
      </c>
      <c r="E229" s="47" t="s">
        <v>662</v>
      </c>
      <c r="F229" s="51" t="s">
        <v>713</v>
      </c>
      <c r="G229" s="34" t="s">
        <v>714</v>
      </c>
      <c r="H229" s="48" t="s">
        <v>715</v>
      </c>
      <c r="I229" s="48" t="s">
        <v>716</v>
      </c>
      <c r="J229" s="49" t="s">
        <v>717</v>
      </c>
      <c r="K229" s="50">
        <v>27.0</v>
      </c>
      <c r="L229" s="29" t="s">
        <v>721</v>
      </c>
      <c r="M229" s="22" t="s">
        <v>669</v>
      </c>
      <c r="N229" s="34"/>
      <c r="O229" s="40"/>
      <c r="P229" s="34"/>
      <c r="Q229" s="34"/>
      <c r="R229" s="34"/>
      <c r="S229" s="34"/>
      <c r="T229" s="34"/>
      <c r="U229" s="34">
        <v>35.0</v>
      </c>
      <c r="V229" s="34" t="s">
        <v>107</v>
      </c>
      <c r="W229" s="34"/>
      <c r="X229" s="29"/>
    </row>
    <row r="230" ht="15.75" customHeight="1">
      <c r="A230" s="27" t="s">
        <v>660</v>
      </c>
      <c r="B230" s="27" t="s">
        <v>661</v>
      </c>
      <c r="C230" s="46" t="s">
        <v>17</v>
      </c>
      <c r="D230" s="46" t="s">
        <v>18</v>
      </c>
      <c r="E230" s="47" t="s">
        <v>662</v>
      </c>
      <c r="F230" s="51" t="s">
        <v>713</v>
      </c>
      <c r="G230" s="34" t="s">
        <v>714</v>
      </c>
      <c r="H230" s="48" t="s">
        <v>715</v>
      </c>
      <c r="I230" s="48" t="s">
        <v>716</v>
      </c>
      <c r="J230" s="49" t="s">
        <v>717</v>
      </c>
      <c r="K230" s="50">
        <v>28.0</v>
      </c>
      <c r="L230" s="29" t="s">
        <v>722</v>
      </c>
      <c r="M230" s="22" t="s">
        <v>669</v>
      </c>
      <c r="N230" s="34"/>
      <c r="O230" s="40"/>
      <c r="P230" s="34"/>
      <c r="Q230" s="34"/>
      <c r="R230" s="34"/>
      <c r="S230" s="34"/>
      <c r="T230" s="34"/>
      <c r="U230" s="34">
        <v>36.0</v>
      </c>
      <c r="V230" s="34" t="s">
        <v>107</v>
      </c>
      <c r="W230" s="34"/>
      <c r="X230" s="29"/>
    </row>
    <row r="231" ht="15.75" customHeight="1">
      <c r="A231" s="27" t="s">
        <v>660</v>
      </c>
      <c r="B231" s="27" t="s">
        <v>661</v>
      </c>
      <c r="C231" s="46" t="s">
        <v>17</v>
      </c>
      <c r="D231" s="46" t="s">
        <v>18</v>
      </c>
      <c r="E231" s="47" t="s">
        <v>662</v>
      </c>
      <c r="F231" s="51" t="s">
        <v>713</v>
      </c>
      <c r="G231" s="34" t="s">
        <v>714</v>
      </c>
      <c r="H231" s="48" t="s">
        <v>723</v>
      </c>
      <c r="I231" s="48" t="s">
        <v>724</v>
      </c>
      <c r="J231" s="49" t="s">
        <v>725</v>
      </c>
      <c r="K231" s="50">
        <v>29.0</v>
      </c>
      <c r="L231" s="29" t="s">
        <v>726</v>
      </c>
      <c r="M231" s="22" t="s">
        <v>669</v>
      </c>
      <c r="N231" s="34"/>
      <c r="O231" s="40"/>
      <c r="P231" s="34"/>
      <c r="Q231" s="34"/>
      <c r="R231" s="34"/>
      <c r="S231" s="34"/>
      <c r="T231" s="34"/>
      <c r="U231" s="34">
        <v>37.0</v>
      </c>
      <c r="V231" s="34" t="s">
        <v>107</v>
      </c>
      <c r="W231" s="34"/>
      <c r="X231" s="29"/>
    </row>
    <row r="232" ht="15.75" customHeight="1">
      <c r="A232" s="27" t="s">
        <v>660</v>
      </c>
      <c r="B232" s="27" t="s">
        <v>661</v>
      </c>
      <c r="C232" s="46" t="s">
        <v>17</v>
      </c>
      <c r="D232" s="46" t="s">
        <v>18</v>
      </c>
      <c r="E232" s="47" t="s">
        <v>662</v>
      </c>
      <c r="F232" s="51" t="s">
        <v>713</v>
      </c>
      <c r="G232" s="34" t="s">
        <v>714</v>
      </c>
      <c r="H232" s="48" t="s">
        <v>723</v>
      </c>
      <c r="I232" s="48" t="s">
        <v>724</v>
      </c>
      <c r="J232" s="49" t="s">
        <v>725</v>
      </c>
      <c r="K232" s="50">
        <v>30.0</v>
      </c>
      <c r="L232" s="29" t="s">
        <v>727</v>
      </c>
      <c r="M232" s="22" t="s">
        <v>669</v>
      </c>
      <c r="N232" s="34"/>
      <c r="O232" s="40"/>
      <c r="P232" s="34"/>
      <c r="Q232" s="34"/>
      <c r="R232" s="34"/>
      <c r="S232" s="34"/>
      <c r="T232" s="34"/>
      <c r="U232" s="34">
        <v>38.0</v>
      </c>
      <c r="V232" s="34" t="s">
        <v>107</v>
      </c>
      <c r="W232" s="34"/>
      <c r="X232" s="29"/>
    </row>
    <row r="233" ht="15.75" customHeight="1">
      <c r="A233" s="27" t="s">
        <v>660</v>
      </c>
      <c r="B233" s="27" t="s">
        <v>661</v>
      </c>
      <c r="C233" s="46" t="s">
        <v>17</v>
      </c>
      <c r="D233" s="46" t="s">
        <v>18</v>
      </c>
      <c r="E233" s="47" t="s">
        <v>662</v>
      </c>
      <c r="F233" s="51" t="s">
        <v>713</v>
      </c>
      <c r="G233" s="34" t="s">
        <v>714</v>
      </c>
      <c r="H233" s="48" t="s">
        <v>723</v>
      </c>
      <c r="I233" s="48" t="s">
        <v>724</v>
      </c>
      <c r="J233" s="49" t="s">
        <v>725</v>
      </c>
      <c r="K233" s="50">
        <v>31.0</v>
      </c>
      <c r="L233" s="29" t="s">
        <v>728</v>
      </c>
      <c r="M233" s="22" t="s">
        <v>669</v>
      </c>
      <c r="N233" s="34"/>
      <c r="O233" s="40"/>
      <c r="P233" s="34"/>
      <c r="Q233" s="34"/>
      <c r="R233" s="34"/>
      <c r="S233" s="34"/>
      <c r="T233" s="34"/>
      <c r="U233" s="34">
        <v>39.0</v>
      </c>
      <c r="V233" s="34" t="s">
        <v>107</v>
      </c>
      <c r="W233" s="34"/>
      <c r="X233" s="29"/>
    </row>
    <row r="234" ht="15.75" customHeight="1">
      <c r="A234" s="27" t="s">
        <v>660</v>
      </c>
      <c r="B234" s="27" t="s">
        <v>661</v>
      </c>
      <c r="C234" s="46" t="s">
        <v>17</v>
      </c>
      <c r="D234" s="46" t="s">
        <v>18</v>
      </c>
      <c r="E234" s="47" t="s">
        <v>662</v>
      </c>
      <c r="F234" s="51" t="s">
        <v>713</v>
      </c>
      <c r="G234" s="34" t="s">
        <v>714</v>
      </c>
      <c r="H234" s="48" t="s">
        <v>723</v>
      </c>
      <c r="I234" s="48" t="s">
        <v>724</v>
      </c>
      <c r="J234" s="49" t="s">
        <v>725</v>
      </c>
      <c r="K234" s="50">
        <v>32.0</v>
      </c>
      <c r="L234" s="29" t="s">
        <v>729</v>
      </c>
      <c r="M234" s="22" t="s">
        <v>669</v>
      </c>
      <c r="N234" s="34"/>
      <c r="O234" s="40"/>
      <c r="P234" s="34"/>
      <c r="Q234" s="34"/>
      <c r="R234" s="34"/>
      <c r="S234" s="34"/>
      <c r="T234" s="34"/>
      <c r="U234" s="34">
        <v>40.0</v>
      </c>
      <c r="V234" s="34" t="s">
        <v>107</v>
      </c>
      <c r="W234" s="34"/>
      <c r="X234" s="29"/>
    </row>
    <row r="235" ht="15.75" customHeight="1">
      <c r="A235" s="27" t="s">
        <v>660</v>
      </c>
      <c r="B235" s="27" t="s">
        <v>661</v>
      </c>
      <c r="C235" s="46" t="s">
        <v>17</v>
      </c>
      <c r="D235" s="46" t="s">
        <v>18</v>
      </c>
      <c r="E235" s="47" t="s">
        <v>662</v>
      </c>
      <c r="F235" s="51" t="s">
        <v>713</v>
      </c>
      <c r="G235" s="34" t="s">
        <v>714</v>
      </c>
      <c r="H235" s="48" t="s">
        <v>723</v>
      </c>
      <c r="I235" s="48" t="s">
        <v>724</v>
      </c>
      <c r="J235" s="49" t="s">
        <v>725</v>
      </c>
      <c r="K235" s="50">
        <v>33.0</v>
      </c>
      <c r="L235" s="29" t="s">
        <v>730</v>
      </c>
      <c r="M235" s="22" t="s">
        <v>669</v>
      </c>
      <c r="N235" s="34"/>
      <c r="O235" s="40"/>
      <c r="P235" s="34"/>
      <c r="Q235" s="34"/>
      <c r="R235" s="34"/>
      <c r="S235" s="34"/>
      <c r="T235" s="34"/>
      <c r="U235" s="34">
        <v>41.0</v>
      </c>
      <c r="V235" s="34" t="s">
        <v>107</v>
      </c>
      <c r="W235" s="34"/>
      <c r="X235" s="29"/>
    </row>
    <row r="236" ht="15.75" customHeight="1">
      <c r="A236" s="27" t="s">
        <v>660</v>
      </c>
      <c r="B236" s="27" t="s">
        <v>661</v>
      </c>
      <c r="C236" s="46" t="s">
        <v>17</v>
      </c>
      <c r="D236" s="46" t="s">
        <v>18</v>
      </c>
      <c r="E236" s="47" t="s">
        <v>662</v>
      </c>
      <c r="F236" s="51" t="s">
        <v>713</v>
      </c>
      <c r="G236" s="34" t="s">
        <v>714</v>
      </c>
      <c r="H236" s="48" t="s">
        <v>731</v>
      </c>
      <c r="I236" s="48" t="s">
        <v>732</v>
      </c>
      <c r="J236" s="49" t="s">
        <v>733</v>
      </c>
      <c r="K236" s="50">
        <v>34.0</v>
      </c>
      <c r="L236" s="29" t="s">
        <v>734</v>
      </c>
      <c r="M236" s="22" t="s">
        <v>669</v>
      </c>
      <c r="N236" s="34"/>
      <c r="O236" s="40"/>
      <c r="P236" s="34"/>
      <c r="Q236" s="34"/>
      <c r="R236" s="34"/>
      <c r="S236" s="34"/>
      <c r="T236" s="34"/>
      <c r="U236" s="34">
        <v>42.0</v>
      </c>
      <c r="V236" s="34" t="s">
        <v>107</v>
      </c>
      <c r="W236" s="34"/>
      <c r="X236" s="29"/>
    </row>
    <row r="237" ht="15.75" customHeight="1">
      <c r="A237" s="27" t="s">
        <v>660</v>
      </c>
      <c r="B237" s="27" t="s">
        <v>661</v>
      </c>
      <c r="C237" s="46" t="s">
        <v>17</v>
      </c>
      <c r="D237" s="46" t="s">
        <v>18</v>
      </c>
      <c r="E237" s="47" t="s">
        <v>662</v>
      </c>
      <c r="F237" s="51" t="s">
        <v>713</v>
      </c>
      <c r="G237" s="34" t="s">
        <v>714</v>
      </c>
      <c r="H237" s="48" t="s">
        <v>731</v>
      </c>
      <c r="I237" s="48" t="s">
        <v>732</v>
      </c>
      <c r="J237" s="49" t="s">
        <v>733</v>
      </c>
      <c r="K237" s="50">
        <v>35.0</v>
      </c>
      <c r="L237" s="29" t="s">
        <v>735</v>
      </c>
      <c r="M237" s="22" t="s">
        <v>669</v>
      </c>
      <c r="N237" s="34"/>
      <c r="O237" s="40"/>
      <c r="P237" s="34"/>
      <c r="Q237" s="34"/>
      <c r="R237" s="34"/>
      <c r="S237" s="34"/>
      <c r="T237" s="34"/>
      <c r="U237" s="34">
        <v>43.0</v>
      </c>
      <c r="V237" s="34" t="s">
        <v>107</v>
      </c>
      <c r="W237" s="34"/>
      <c r="X237" s="29"/>
    </row>
    <row r="238" ht="15.75" customHeight="1">
      <c r="A238" s="27" t="s">
        <v>660</v>
      </c>
      <c r="B238" s="27" t="s">
        <v>661</v>
      </c>
      <c r="C238" s="46" t="s">
        <v>17</v>
      </c>
      <c r="D238" s="46" t="s">
        <v>18</v>
      </c>
      <c r="E238" s="47" t="s">
        <v>662</v>
      </c>
      <c r="F238" s="51" t="s">
        <v>713</v>
      </c>
      <c r="G238" s="34" t="s">
        <v>714</v>
      </c>
      <c r="H238" s="48" t="s">
        <v>731</v>
      </c>
      <c r="I238" s="48" t="s">
        <v>732</v>
      </c>
      <c r="J238" s="49" t="s">
        <v>733</v>
      </c>
      <c r="K238" s="50">
        <v>36.0</v>
      </c>
      <c r="L238" s="29" t="s">
        <v>736</v>
      </c>
      <c r="M238" s="22" t="s">
        <v>669</v>
      </c>
      <c r="N238" s="34"/>
      <c r="O238" s="40"/>
      <c r="P238" s="34"/>
      <c r="Q238" s="34"/>
      <c r="R238" s="34"/>
      <c r="S238" s="34"/>
      <c r="T238" s="34"/>
      <c r="U238" s="34">
        <v>44.0</v>
      </c>
      <c r="V238" s="34" t="s">
        <v>107</v>
      </c>
      <c r="W238" s="34"/>
      <c r="X238" s="29"/>
    </row>
    <row r="239" ht="15.75" customHeight="1">
      <c r="A239" s="27" t="s">
        <v>660</v>
      </c>
      <c r="B239" s="27" t="s">
        <v>661</v>
      </c>
      <c r="C239" s="46" t="s">
        <v>17</v>
      </c>
      <c r="D239" s="46" t="s">
        <v>18</v>
      </c>
      <c r="E239" s="47" t="s">
        <v>662</v>
      </c>
      <c r="F239" s="51" t="s">
        <v>713</v>
      </c>
      <c r="G239" s="34" t="s">
        <v>714</v>
      </c>
      <c r="H239" s="48" t="s">
        <v>737</v>
      </c>
      <c r="I239" s="48" t="s">
        <v>738</v>
      </c>
      <c r="J239" s="49" t="s">
        <v>739</v>
      </c>
      <c r="K239" s="50">
        <v>37.0</v>
      </c>
      <c r="L239" s="29" t="s">
        <v>740</v>
      </c>
      <c r="M239" s="22" t="s">
        <v>669</v>
      </c>
      <c r="N239" s="34"/>
      <c r="O239" s="40"/>
      <c r="P239" s="34"/>
      <c r="Q239" s="34"/>
      <c r="R239" s="34"/>
      <c r="S239" s="34"/>
      <c r="T239" s="34"/>
      <c r="U239" s="34">
        <v>45.0</v>
      </c>
      <c r="V239" s="34" t="s">
        <v>107</v>
      </c>
      <c r="W239" s="34"/>
      <c r="X239" s="29"/>
    </row>
    <row r="240" ht="15.75" customHeight="1">
      <c r="A240" s="27" t="s">
        <v>660</v>
      </c>
      <c r="B240" s="27" t="s">
        <v>661</v>
      </c>
      <c r="C240" s="46" t="s">
        <v>17</v>
      </c>
      <c r="D240" s="46" t="s">
        <v>18</v>
      </c>
      <c r="E240" s="47" t="s">
        <v>662</v>
      </c>
      <c r="F240" s="51" t="s">
        <v>713</v>
      </c>
      <c r="G240" s="34" t="s">
        <v>714</v>
      </c>
      <c r="H240" s="48" t="s">
        <v>737</v>
      </c>
      <c r="I240" s="48" t="s">
        <v>738</v>
      </c>
      <c r="J240" s="49" t="s">
        <v>739</v>
      </c>
      <c r="K240" s="50">
        <v>38.0</v>
      </c>
      <c r="L240" s="29" t="s">
        <v>741</v>
      </c>
      <c r="M240" s="22" t="s">
        <v>669</v>
      </c>
      <c r="N240" s="34"/>
      <c r="O240" s="40"/>
      <c r="P240" s="34"/>
      <c r="Q240" s="34"/>
      <c r="R240" s="34"/>
      <c r="S240" s="34"/>
      <c r="T240" s="34"/>
      <c r="U240" s="34">
        <v>46.0</v>
      </c>
      <c r="V240" s="34" t="s">
        <v>107</v>
      </c>
      <c r="W240" s="34"/>
      <c r="X240" s="29"/>
    </row>
    <row r="241" ht="15.75" customHeight="1">
      <c r="A241" s="27" t="s">
        <v>660</v>
      </c>
      <c r="B241" s="27" t="s">
        <v>661</v>
      </c>
      <c r="C241" s="46" t="s">
        <v>17</v>
      </c>
      <c r="D241" s="46" t="s">
        <v>18</v>
      </c>
      <c r="E241" s="47" t="s">
        <v>662</v>
      </c>
      <c r="F241" s="51" t="s">
        <v>713</v>
      </c>
      <c r="G241" s="34" t="s">
        <v>714</v>
      </c>
      <c r="H241" s="48" t="s">
        <v>737</v>
      </c>
      <c r="I241" s="48" t="s">
        <v>738</v>
      </c>
      <c r="J241" s="49" t="s">
        <v>739</v>
      </c>
      <c r="K241" s="50">
        <v>39.0</v>
      </c>
      <c r="L241" s="29" t="s">
        <v>742</v>
      </c>
      <c r="M241" s="22" t="s">
        <v>669</v>
      </c>
      <c r="N241" s="34"/>
      <c r="O241" s="40"/>
      <c r="P241" s="34"/>
      <c r="Q241" s="34"/>
      <c r="R241" s="34"/>
      <c r="S241" s="34"/>
      <c r="T241" s="34"/>
      <c r="U241" s="34">
        <v>47.0</v>
      </c>
      <c r="V241" s="34" t="s">
        <v>107</v>
      </c>
      <c r="W241" s="34"/>
      <c r="X241" s="29"/>
    </row>
    <row r="242" ht="15.75" customHeight="1">
      <c r="A242" s="27" t="s">
        <v>660</v>
      </c>
      <c r="B242" s="27" t="s">
        <v>661</v>
      </c>
      <c r="C242" s="46" t="s">
        <v>17</v>
      </c>
      <c r="D242" s="46" t="s">
        <v>18</v>
      </c>
      <c r="E242" s="47" t="s">
        <v>662</v>
      </c>
      <c r="F242" s="51" t="s">
        <v>713</v>
      </c>
      <c r="G242" s="34" t="s">
        <v>714</v>
      </c>
      <c r="H242" s="48" t="s">
        <v>737</v>
      </c>
      <c r="I242" s="48" t="s">
        <v>738</v>
      </c>
      <c r="J242" s="49" t="s">
        <v>739</v>
      </c>
      <c r="K242" s="50">
        <v>40.0</v>
      </c>
      <c r="L242" s="29" t="s">
        <v>743</v>
      </c>
      <c r="M242" s="22" t="s">
        <v>669</v>
      </c>
      <c r="N242" s="34"/>
      <c r="O242" s="40"/>
      <c r="P242" s="34"/>
      <c r="Q242" s="34"/>
      <c r="R242" s="34"/>
      <c r="S242" s="34"/>
      <c r="T242" s="34"/>
      <c r="U242" s="34">
        <v>48.0</v>
      </c>
      <c r="V242" s="34" t="s">
        <v>107</v>
      </c>
      <c r="W242" s="34"/>
      <c r="X242" s="29"/>
    </row>
    <row r="243" ht="15.75" customHeight="1">
      <c r="A243" s="27" t="s">
        <v>660</v>
      </c>
      <c r="B243" s="27" t="s">
        <v>661</v>
      </c>
      <c r="C243" s="46" t="s">
        <v>17</v>
      </c>
      <c r="D243" s="46" t="s">
        <v>18</v>
      </c>
      <c r="E243" s="47" t="s">
        <v>662</v>
      </c>
      <c r="F243" s="51" t="s">
        <v>713</v>
      </c>
      <c r="G243" s="34" t="s">
        <v>714</v>
      </c>
      <c r="H243" s="48" t="s">
        <v>737</v>
      </c>
      <c r="I243" s="48" t="s">
        <v>738</v>
      </c>
      <c r="J243" s="49" t="s">
        <v>739</v>
      </c>
      <c r="K243" s="50">
        <v>41.0</v>
      </c>
      <c r="L243" s="29" t="s">
        <v>744</v>
      </c>
      <c r="M243" s="22" t="s">
        <v>669</v>
      </c>
      <c r="N243" s="34"/>
      <c r="O243" s="40"/>
      <c r="P243" s="34"/>
      <c r="Q243" s="34"/>
      <c r="R243" s="34"/>
      <c r="S243" s="34"/>
      <c r="T243" s="34"/>
      <c r="U243" s="34">
        <v>49.0</v>
      </c>
      <c r="V243" s="34" t="s">
        <v>107</v>
      </c>
      <c r="W243" s="34"/>
      <c r="X243" s="29"/>
    </row>
    <row r="244" ht="15.75" customHeight="1">
      <c r="A244" s="27" t="s">
        <v>660</v>
      </c>
      <c r="B244" s="27" t="s">
        <v>661</v>
      </c>
      <c r="C244" s="46" t="s">
        <v>17</v>
      </c>
      <c r="D244" s="46" t="s">
        <v>18</v>
      </c>
      <c r="E244" s="47" t="s">
        <v>662</v>
      </c>
      <c r="F244" s="51" t="s">
        <v>713</v>
      </c>
      <c r="G244" s="34" t="s">
        <v>714</v>
      </c>
      <c r="H244" s="48" t="s">
        <v>737</v>
      </c>
      <c r="I244" s="48" t="s">
        <v>738</v>
      </c>
      <c r="J244" s="49" t="s">
        <v>739</v>
      </c>
      <c r="K244" s="50">
        <v>42.0</v>
      </c>
      <c r="L244" s="29" t="s">
        <v>745</v>
      </c>
      <c r="M244" s="22" t="s">
        <v>669</v>
      </c>
      <c r="N244" s="34"/>
      <c r="O244" s="40"/>
      <c r="P244" s="34"/>
      <c r="Q244" s="34"/>
      <c r="R244" s="34"/>
      <c r="S244" s="34"/>
      <c r="T244" s="34"/>
      <c r="U244" s="34">
        <v>50.0</v>
      </c>
      <c r="V244" s="34" t="s">
        <v>107</v>
      </c>
      <c r="W244" s="34"/>
      <c r="X244" s="29"/>
    </row>
    <row r="245" ht="15.75" customHeight="1">
      <c r="A245" s="27" t="s">
        <v>660</v>
      </c>
      <c r="B245" s="27" t="s">
        <v>661</v>
      </c>
      <c r="C245" s="46" t="s">
        <v>17</v>
      </c>
      <c r="D245" s="46" t="s">
        <v>18</v>
      </c>
      <c r="E245" s="47" t="s">
        <v>662</v>
      </c>
      <c r="F245" s="51" t="s">
        <v>713</v>
      </c>
      <c r="G245" s="34" t="s">
        <v>714</v>
      </c>
      <c r="H245" s="48" t="s">
        <v>737</v>
      </c>
      <c r="I245" s="48" t="s">
        <v>738</v>
      </c>
      <c r="J245" s="49" t="s">
        <v>739</v>
      </c>
      <c r="K245" s="50">
        <v>43.0</v>
      </c>
      <c r="L245" s="29" t="s">
        <v>746</v>
      </c>
      <c r="M245" s="22" t="s">
        <v>669</v>
      </c>
      <c r="N245" s="34"/>
      <c r="O245" s="40"/>
      <c r="P245" s="34"/>
      <c r="Q245" s="34"/>
      <c r="R245" s="34"/>
      <c r="S245" s="34"/>
      <c r="T245" s="34"/>
      <c r="U245" s="34">
        <v>51.0</v>
      </c>
      <c r="V245" s="34" t="s">
        <v>107</v>
      </c>
      <c r="W245" s="34"/>
      <c r="X245" s="29"/>
    </row>
    <row r="246" ht="15.75" customHeight="1">
      <c r="A246" s="27" t="s">
        <v>660</v>
      </c>
      <c r="B246" s="27" t="s">
        <v>661</v>
      </c>
      <c r="C246" s="46" t="s">
        <v>17</v>
      </c>
      <c r="D246" s="46" t="s">
        <v>18</v>
      </c>
      <c r="E246" s="47" t="s">
        <v>662</v>
      </c>
      <c r="F246" s="51" t="s">
        <v>713</v>
      </c>
      <c r="G246" s="34" t="s">
        <v>714</v>
      </c>
      <c r="H246" s="48" t="s">
        <v>737</v>
      </c>
      <c r="I246" s="48" t="s">
        <v>738</v>
      </c>
      <c r="J246" s="49" t="s">
        <v>739</v>
      </c>
      <c r="K246" s="50">
        <v>44.0</v>
      </c>
      <c r="L246" s="29" t="s">
        <v>747</v>
      </c>
      <c r="M246" s="22" t="s">
        <v>669</v>
      </c>
      <c r="N246" s="34"/>
      <c r="O246" s="40"/>
      <c r="P246" s="34"/>
      <c r="Q246" s="34"/>
      <c r="R246" s="34"/>
      <c r="S246" s="34"/>
      <c r="T246" s="34"/>
      <c r="U246" s="34">
        <v>52.0</v>
      </c>
      <c r="V246" s="34" t="s">
        <v>107</v>
      </c>
      <c r="W246" s="34"/>
      <c r="X246" s="29"/>
    </row>
    <row r="247" ht="15.75" customHeight="1">
      <c r="A247" s="27" t="s">
        <v>660</v>
      </c>
      <c r="B247" s="27" t="s">
        <v>661</v>
      </c>
      <c r="C247" s="46" t="s">
        <v>17</v>
      </c>
      <c r="D247" s="46" t="s">
        <v>18</v>
      </c>
      <c r="E247" s="47" t="s">
        <v>662</v>
      </c>
      <c r="F247" s="51" t="s">
        <v>748</v>
      </c>
      <c r="G247" s="34" t="s">
        <v>749</v>
      </c>
      <c r="H247" s="48" t="s">
        <v>750</v>
      </c>
      <c r="I247" s="48" t="s">
        <v>751</v>
      </c>
      <c r="J247" s="49" t="s">
        <v>752</v>
      </c>
      <c r="K247" s="50">
        <v>45.0</v>
      </c>
      <c r="L247" s="29" t="s">
        <v>753</v>
      </c>
      <c r="M247" s="22" t="s">
        <v>669</v>
      </c>
      <c r="N247" s="34"/>
      <c r="O247" s="40"/>
      <c r="P247" s="34"/>
      <c r="Q247" s="34"/>
      <c r="R247" s="34"/>
      <c r="S247" s="34"/>
      <c r="T247" s="34"/>
      <c r="U247" s="34">
        <v>54.0</v>
      </c>
      <c r="V247" s="34" t="s">
        <v>107</v>
      </c>
      <c r="W247" s="34"/>
      <c r="X247" s="29"/>
    </row>
    <row r="248" ht="15.75" customHeight="1">
      <c r="A248" s="27" t="s">
        <v>660</v>
      </c>
      <c r="B248" s="27" t="s">
        <v>661</v>
      </c>
      <c r="C248" s="46" t="s">
        <v>17</v>
      </c>
      <c r="D248" s="46" t="s">
        <v>18</v>
      </c>
      <c r="E248" s="47" t="s">
        <v>662</v>
      </c>
      <c r="F248" s="51" t="s">
        <v>748</v>
      </c>
      <c r="G248" s="34" t="s">
        <v>749</v>
      </c>
      <c r="H248" s="48" t="s">
        <v>754</v>
      </c>
      <c r="I248" s="48" t="s">
        <v>755</v>
      </c>
      <c r="J248" s="49" t="s">
        <v>756</v>
      </c>
      <c r="K248" s="50">
        <v>46.0</v>
      </c>
      <c r="L248" s="29" t="s">
        <v>757</v>
      </c>
      <c r="M248" s="22" t="s">
        <v>669</v>
      </c>
      <c r="N248" s="34"/>
      <c r="O248" s="40"/>
      <c r="P248" s="34"/>
      <c r="Q248" s="34"/>
      <c r="R248" s="34"/>
      <c r="S248" s="34"/>
      <c r="T248" s="34"/>
      <c r="U248" s="34">
        <v>55.0</v>
      </c>
      <c r="V248" s="34" t="s">
        <v>107</v>
      </c>
      <c r="W248" s="34"/>
      <c r="X248" s="29"/>
    </row>
    <row r="249" ht="15.75" customHeight="1">
      <c r="A249" s="27" t="s">
        <v>660</v>
      </c>
      <c r="B249" s="27" t="s">
        <v>661</v>
      </c>
      <c r="C249" s="46" t="s">
        <v>17</v>
      </c>
      <c r="D249" s="46" t="s">
        <v>18</v>
      </c>
      <c r="E249" s="47" t="s">
        <v>662</v>
      </c>
      <c r="F249" s="51" t="s">
        <v>748</v>
      </c>
      <c r="G249" s="34" t="s">
        <v>749</v>
      </c>
      <c r="H249" s="48" t="s">
        <v>754</v>
      </c>
      <c r="I249" s="48" t="s">
        <v>755</v>
      </c>
      <c r="J249" s="49" t="s">
        <v>756</v>
      </c>
      <c r="K249" s="50">
        <v>47.0</v>
      </c>
      <c r="L249" s="29" t="s">
        <v>758</v>
      </c>
      <c r="M249" s="22" t="s">
        <v>669</v>
      </c>
      <c r="N249" s="34"/>
      <c r="O249" s="40"/>
      <c r="P249" s="34"/>
      <c r="Q249" s="34"/>
      <c r="R249" s="34"/>
      <c r="S249" s="34"/>
      <c r="T249" s="34"/>
      <c r="U249" s="34">
        <v>56.0</v>
      </c>
      <c r="V249" s="34" t="s">
        <v>107</v>
      </c>
      <c r="W249" s="34"/>
      <c r="X249" s="29"/>
    </row>
    <row r="250" ht="15.75" customHeight="1">
      <c r="A250" s="27" t="s">
        <v>660</v>
      </c>
      <c r="B250" s="27" t="s">
        <v>661</v>
      </c>
      <c r="C250" s="46" t="s">
        <v>17</v>
      </c>
      <c r="D250" s="46" t="s">
        <v>18</v>
      </c>
      <c r="E250" s="47" t="s">
        <v>662</v>
      </c>
      <c r="F250" s="51" t="s">
        <v>748</v>
      </c>
      <c r="G250" s="34" t="s">
        <v>749</v>
      </c>
      <c r="H250" s="48" t="s">
        <v>759</v>
      </c>
      <c r="I250" s="48" t="s">
        <v>760</v>
      </c>
      <c r="J250" s="49" t="s">
        <v>761</v>
      </c>
      <c r="K250" s="50">
        <v>48.0</v>
      </c>
      <c r="L250" s="29" t="s">
        <v>762</v>
      </c>
      <c r="M250" s="22" t="s">
        <v>669</v>
      </c>
      <c r="N250" s="34"/>
      <c r="O250" s="40"/>
      <c r="P250" s="34"/>
      <c r="Q250" s="34"/>
      <c r="R250" s="34"/>
      <c r="S250" s="34"/>
      <c r="T250" s="34"/>
      <c r="U250" s="34">
        <v>57.0</v>
      </c>
      <c r="V250" s="34" t="s">
        <v>107</v>
      </c>
      <c r="W250" s="34"/>
      <c r="X250" s="29"/>
    </row>
    <row r="251" ht="15.75" customHeight="1">
      <c r="A251" s="27" t="s">
        <v>660</v>
      </c>
      <c r="B251" s="27" t="s">
        <v>661</v>
      </c>
      <c r="C251" s="46" t="s">
        <v>20</v>
      </c>
      <c r="D251" s="46" t="s">
        <v>21</v>
      </c>
      <c r="E251" s="47" t="s">
        <v>763</v>
      </c>
      <c r="F251" s="34" t="s">
        <v>764</v>
      </c>
      <c r="G251" s="34" t="s">
        <v>664</v>
      </c>
      <c r="H251" s="48" t="s">
        <v>765</v>
      </c>
      <c r="I251" s="48" t="s">
        <v>766</v>
      </c>
      <c r="J251" s="49" t="s">
        <v>767</v>
      </c>
      <c r="K251" s="50">
        <v>49.0</v>
      </c>
      <c r="L251" s="29" t="s">
        <v>768</v>
      </c>
      <c r="M251" s="22" t="s">
        <v>669</v>
      </c>
      <c r="N251" s="34"/>
      <c r="O251" s="40"/>
      <c r="P251" s="34"/>
      <c r="Q251" s="34"/>
      <c r="R251" s="34"/>
      <c r="S251" s="34"/>
      <c r="T251" s="34"/>
      <c r="U251" s="34">
        <v>64.0</v>
      </c>
      <c r="V251" s="34" t="s">
        <v>107</v>
      </c>
      <c r="W251" s="34"/>
      <c r="X251" s="29"/>
    </row>
    <row r="252" ht="15.75" customHeight="1">
      <c r="A252" s="27" t="s">
        <v>660</v>
      </c>
      <c r="B252" s="27" t="s">
        <v>661</v>
      </c>
      <c r="C252" s="46" t="s">
        <v>20</v>
      </c>
      <c r="D252" s="46" t="s">
        <v>21</v>
      </c>
      <c r="E252" s="47" t="s">
        <v>763</v>
      </c>
      <c r="F252" s="34" t="s">
        <v>764</v>
      </c>
      <c r="G252" s="34" t="s">
        <v>664</v>
      </c>
      <c r="H252" s="48" t="s">
        <v>765</v>
      </c>
      <c r="I252" s="48" t="s">
        <v>766</v>
      </c>
      <c r="J252" s="49" t="s">
        <v>767</v>
      </c>
      <c r="K252" s="50">
        <v>50.0</v>
      </c>
      <c r="L252" s="29" t="s">
        <v>769</v>
      </c>
      <c r="M252" s="22" t="s">
        <v>669</v>
      </c>
      <c r="N252" s="34"/>
      <c r="O252" s="40"/>
      <c r="P252" s="34"/>
      <c r="Q252" s="34"/>
      <c r="R252" s="34"/>
      <c r="S252" s="34"/>
      <c r="T252" s="34"/>
      <c r="U252" s="34">
        <v>65.0</v>
      </c>
      <c r="V252" s="34" t="s">
        <v>107</v>
      </c>
      <c r="W252" s="34"/>
      <c r="X252" s="29"/>
    </row>
    <row r="253" ht="15.75" customHeight="1">
      <c r="A253" s="27" t="s">
        <v>660</v>
      </c>
      <c r="B253" s="27" t="s">
        <v>661</v>
      </c>
      <c r="C253" s="46" t="s">
        <v>20</v>
      </c>
      <c r="D253" s="46" t="s">
        <v>21</v>
      </c>
      <c r="E253" s="47" t="s">
        <v>763</v>
      </c>
      <c r="F253" s="34" t="s">
        <v>764</v>
      </c>
      <c r="G253" s="34" t="s">
        <v>664</v>
      </c>
      <c r="H253" s="48" t="s">
        <v>765</v>
      </c>
      <c r="I253" s="48" t="s">
        <v>766</v>
      </c>
      <c r="J253" s="49" t="s">
        <v>767</v>
      </c>
      <c r="K253" s="50">
        <v>51.0</v>
      </c>
      <c r="L253" s="29" t="s">
        <v>770</v>
      </c>
      <c r="M253" s="22" t="s">
        <v>669</v>
      </c>
      <c r="N253" s="34"/>
      <c r="O253" s="40"/>
      <c r="P253" s="34"/>
      <c r="Q253" s="34"/>
      <c r="R253" s="34"/>
      <c r="S253" s="34"/>
      <c r="T253" s="34"/>
      <c r="U253" s="34">
        <v>66.0</v>
      </c>
      <c r="V253" s="34" t="s">
        <v>107</v>
      </c>
      <c r="W253" s="34"/>
      <c r="X253" s="29"/>
    </row>
    <row r="254" ht="15.75" customHeight="1">
      <c r="A254" s="27" t="s">
        <v>660</v>
      </c>
      <c r="B254" s="27" t="s">
        <v>661</v>
      </c>
      <c r="C254" s="46" t="s">
        <v>20</v>
      </c>
      <c r="D254" s="46" t="s">
        <v>21</v>
      </c>
      <c r="E254" s="47" t="s">
        <v>763</v>
      </c>
      <c r="F254" s="34" t="s">
        <v>764</v>
      </c>
      <c r="G254" s="34" t="s">
        <v>664</v>
      </c>
      <c r="H254" s="48" t="s">
        <v>771</v>
      </c>
      <c r="I254" s="48" t="s">
        <v>772</v>
      </c>
      <c r="J254" s="49" t="s">
        <v>773</v>
      </c>
      <c r="K254" s="50">
        <v>52.0</v>
      </c>
      <c r="L254" s="29" t="s">
        <v>774</v>
      </c>
      <c r="M254" s="22" t="s">
        <v>669</v>
      </c>
      <c r="N254" s="34"/>
      <c r="O254" s="40"/>
      <c r="P254" s="34"/>
      <c r="Q254" s="34"/>
      <c r="R254" s="34"/>
      <c r="S254" s="34"/>
      <c r="T254" s="34"/>
      <c r="U254" s="34">
        <v>67.0</v>
      </c>
      <c r="V254" s="34" t="s">
        <v>107</v>
      </c>
      <c r="W254" s="34"/>
      <c r="X254" s="29"/>
    </row>
    <row r="255" ht="15.75" customHeight="1">
      <c r="A255" s="27" t="s">
        <v>660</v>
      </c>
      <c r="B255" s="27" t="s">
        <v>661</v>
      </c>
      <c r="C255" s="46" t="s">
        <v>20</v>
      </c>
      <c r="D255" s="46" t="s">
        <v>21</v>
      </c>
      <c r="E255" s="47" t="s">
        <v>763</v>
      </c>
      <c r="F255" s="34" t="s">
        <v>764</v>
      </c>
      <c r="G255" s="34" t="s">
        <v>664</v>
      </c>
      <c r="H255" s="48" t="s">
        <v>775</v>
      </c>
      <c r="I255" s="48" t="s">
        <v>776</v>
      </c>
      <c r="J255" s="49" t="s">
        <v>777</v>
      </c>
      <c r="K255" s="50">
        <v>53.0</v>
      </c>
      <c r="L255" s="29" t="s">
        <v>778</v>
      </c>
      <c r="M255" s="22" t="s">
        <v>669</v>
      </c>
      <c r="N255" s="34"/>
      <c r="O255" s="40"/>
      <c r="P255" s="34"/>
      <c r="Q255" s="34"/>
      <c r="R255" s="34"/>
      <c r="S255" s="34"/>
      <c r="T255" s="34"/>
      <c r="U255" s="34">
        <v>68.0</v>
      </c>
      <c r="V255" s="34" t="s">
        <v>107</v>
      </c>
      <c r="W255" s="34"/>
      <c r="X255" s="29"/>
    </row>
    <row r="256" ht="15.75" customHeight="1">
      <c r="A256" s="27" t="s">
        <v>660</v>
      </c>
      <c r="B256" s="27" t="s">
        <v>661</v>
      </c>
      <c r="C256" s="46" t="s">
        <v>20</v>
      </c>
      <c r="D256" s="46" t="s">
        <v>21</v>
      </c>
      <c r="E256" s="47" t="s">
        <v>763</v>
      </c>
      <c r="F256" s="34" t="s">
        <v>764</v>
      </c>
      <c r="G256" s="34" t="s">
        <v>664</v>
      </c>
      <c r="H256" s="48" t="s">
        <v>775</v>
      </c>
      <c r="I256" s="48" t="s">
        <v>776</v>
      </c>
      <c r="J256" s="49" t="s">
        <v>777</v>
      </c>
      <c r="K256" s="50">
        <v>54.0</v>
      </c>
      <c r="L256" s="29" t="s">
        <v>779</v>
      </c>
      <c r="M256" s="22" t="s">
        <v>669</v>
      </c>
      <c r="N256" s="34"/>
      <c r="O256" s="40"/>
      <c r="P256" s="34"/>
      <c r="Q256" s="34"/>
      <c r="R256" s="34"/>
      <c r="S256" s="34"/>
      <c r="T256" s="34"/>
      <c r="U256" s="34">
        <v>69.0</v>
      </c>
      <c r="V256" s="34" t="s">
        <v>107</v>
      </c>
      <c r="W256" s="34"/>
      <c r="X256" s="29"/>
    </row>
    <row r="257" ht="15.75" customHeight="1">
      <c r="A257" s="27" t="s">
        <v>660</v>
      </c>
      <c r="B257" s="27" t="s">
        <v>661</v>
      </c>
      <c r="C257" s="46" t="s">
        <v>20</v>
      </c>
      <c r="D257" s="46" t="s">
        <v>21</v>
      </c>
      <c r="E257" s="47" t="s">
        <v>763</v>
      </c>
      <c r="F257" s="34" t="s">
        <v>764</v>
      </c>
      <c r="G257" s="34" t="s">
        <v>664</v>
      </c>
      <c r="H257" s="48" t="s">
        <v>780</v>
      </c>
      <c r="I257" s="48" t="s">
        <v>781</v>
      </c>
      <c r="J257" s="49" t="s">
        <v>782</v>
      </c>
      <c r="K257" s="50">
        <v>55.0</v>
      </c>
      <c r="L257" s="29" t="s">
        <v>783</v>
      </c>
      <c r="M257" s="22" t="s">
        <v>669</v>
      </c>
      <c r="N257" s="34"/>
      <c r="O257" s="40"/>
      <c r="P257" s="34"/>
      <c r="Q257" s="34"/>
      <c r="R257" s="34"/>
      <c r="S257" s="34"/>
      <c r="T257" s="34"/>
      <c r="U257" s="34">
        <v>70.0</v>
      </c>
      <c r="V257" s="34" t="s">
        <v>107</v>
      </c>
      <c r="W257" s="34"/>
      <c r="X257" s="29"/>
    </row>
    <row r="258" ht="15.75" customHeight="1">
      <c r="A258" s="27" t="s">
        <v>660</v>
      </c>
      <c r="B258" s="27" t="s">
        <v>661</v>
      </c>
      <c r="C258" s="46" t="s">
        <v>20</v>
      </c>
      <c r="D258" s="46" t="s">
        <v>21</v>
      </c>
      <c r="E258" s="47" t="s">
        <v>763</v>
      </c>
      <c r="F258" s="34" t="s">
        <v>764</v>
      </c>
      <c r="G258" s="34" t="s">
        <v>664</v>
      </c>
      <c r="H258" s="48" t="s">
        <v>780</v>
      </c>
      <c r="I258" s="48" t="s">
        <v>781</v>
      </c>
      <c r="J258" s="49" t="s">
        <v>782</v>
      </c>
      <c r="K258" s="50">
        <v>56.0</v>
      </c>
      <c r="L258" s="29" t="s">
        <v>784</v>
      </c>
      <c r="M258" s="22" t="s">
        <v>669</v>
      </c>
      <c r="N258" s="34"/>
      <c r="O258" s="40"/>
      <c r="P258" s="34"/>
      <c r="Q258" s="34"/>
      <c r="R258" s="34"/>
      <c r="S258" s="34"/>
      <c r="T258" s="34"/>
      <c r="U258" s="34">
        <v>71.0</v>
      </c>
      <c r="V258" s="34" t="s">
        <v>107</v>
      </c>
      <c r="W258" s="34"/>
      <c r="X258" s="29"/>
    </row>
    <row r="259" ht="15.75" customHeight="1">
      <c r="A259" s="27" t="s">
        <v>660</v>
      </c>
      <c r="B259" s="27" t="s">
        <v>661</v>
      </c>
      <c r="C259" s="46" t="s">
        <v>20</v>
      </c>
      <c r="D259" s="46" t="s">
        <v>21</v>
      </c>
      <c r="E259" s="47" t="s">
        <v>763</v>
      </c>
      <c r="F259" s="34" t="s">
        <v>764</v>
      </c>
      <c r="G259" s="34" t="s">
        <v>664</v>
      </c>
      <c r="H259" s="48" t="s">
        <v>785</v>
      </c>
      <c r="I259" s="48" t="s">
        <v>786</v>
      </c>
      <c r="J259" s="49" t="s">
        <v>787</v>
      </c>
      <c r="K259" s="50">
        <v>57.0</v>
      </c>
      <c r="L259" s="29" t="s">
        <v>788</v>
      </c>
      <c r="M259" s="22" t="s">
        <v>669</v>
      </c>
      <c r="N259" s="34"/>
      <c r="O259" s="40"/>
      <c r="P259" s="34"/>
      <c r="Q259" s="34"/>
      <c r="R259" s="34"/>
      <c r="S259" s="34"/>
      <c r="T259" s="34"/>
      <c r="U259" s="34">
        <v>72.0</v>
      </c>
      <c r="V259" s="34" t="s">
        <v>107</v>
      </c>
      <c r="W259" s="34"/>
      <c r="X259" s="29"/>
    </row>
    <row r="260" ht="15.75" customHeight="1">
      <c r="A260" s="27" t="s">
        <v>660</v>
      </c>
      <c r="B260" s="27" t="s">
        <v>661</v>
      </c>
      <c r="C260" s="46" t="s">
        <v>20</v>
      </c>
      <c r="D260" s="46" t="s">
        <v>21</v>
      </c>
      <c r="E260" s="47" t="s">
        <v>763</v>
      </c>
      <c r="F260" s="34" t="s">
        <v>764</v>
      </c>
      <c r="G260" s="34" t="s">
        <v>664</v>
      </c>
      <c r="H260" s="48" t="s">
        <v>785</v>
      </c>
      <c r="I260" s="48" t="s">
        <v>786</v>
      </c>
      <c r="J260" s="49" t="s">
        <v>787</v>
      </c>
      <c r="K260" s="50">
        <v>58.0</v>
      </c>
      <c r="L260" s="29" t="s">
        <v>789</v>
      </c>
      <c r="M260" s="22" t="s">
        <v>669</v>
      </c>
      <c r="N260" s="34"/>
      <c r="O260" s="40"/>
      <c r="P260" s="34"/>
      <c r="Q260" s="34"/>
      <c r="R260" s="34"/>
      <c r="S260" s="34"/>
      <c r="T260" s="34"/>
      <c r="U260" s="34">
        <v>73.0</v>
      </c>
      <c r="V260" s="34" t="s">
        <v>107</v>
      </c>
      <c r="W260" s="34"/>
      <c r="X260" s="29"/>
    </row>
    <row r="261" ht="15.75" customHeight="1">
      <c r="A261" s="27" t="s">
        <v>660</v>
      </c>
      <c r="B261" s="27" t="s">
        <v>661</v>
      </c>
      <c r="C261" s="46" t="s">
        <v>20</v>
      </c>
      <c r="D261" s="46" t="s">
        <v>21</v>
      </c>
      <c r="E261" s="47" t="s">
        <v>763</v>
      </c>
      <c r="F261" s="34" t="s">
        <v>790</v>
      </c>
      <c r="G261" s="34" t="s">
        <v>714</v>
      </c>
      <c r="H261" s="48" t="s">
        <v>791</v>
      </c>
      <c r="I261" s="48" t="s">
        <v>792</v>
      </c>
      <c r="J261" s="49" t="s">
        <v>793</v>
      </c>
      <c r="K261" s="50">
        <v>59.0</v>
      </c>
      <c r="L261" s="29" t="s">
        <v>794</v>
      </c>
      <c r="M261" s="22" t="s">
        <v>669</v>
      </c>
      <c r="N261" s="34"/>
      <c r="O261" s="40"/>
      <c r="P261" s="34"/>
      <c r="Q261" s="34"/>
      <c r="R261" s="34"/>
      <c r="S261" s="34"/>
      <c r="T261" s="34"/>
      <c r="U261" s="34">
        <v>75.0</v>
      </c>
      <c r="V261" s="34" t="s">
        <v>107</v>
      </c>
      <c r="W261" s="34"/>
      <c r="X261" s="29"/>
    </row>
    <row r="262" ht="15.75" customHeight="1">
      <c r="A262" s="27" t="s">
        <v>660</v>
      </c>
      <c r="B262" s="27" t="s">
        <v>661</v>
      </c>
      <c r="C262" s="46" t="s">
        <v>20</v>
      </c>
      <c r="D262" s="46" t="s">
        <v>21</v>
      </c>
      <c r="E262" s="47" t="s">
        <v>763</v>
      </c>
      <c r="F262" s="34" t="s">
        <v>790</v>
      </c>
      <c r="G262" s="34" t="s">
        <v>714</v>
      </c>
      <c r="H262" s="48" t="s">
        <v>795</v>
      </c>
      <c r="I262" s="48" t="s">
        <v>796</v>
      </c>
      <c r="J262" s="49" t="s">
        <v>797</v>
      </c>
      <c r="K262" s="50">
        <v>60.0</v>
      </c>
      <c r="L262" s="29" t="s">
        <v>798</v>
      </c>
      <c r="M262" s="22" t="s">
        <v>669</v>
      </c>
      <c r="N262" s="34"/>
      <c r="O262" s="40"/>
      <c r="P262" s="34"/>
      <c r="Q262" s="34"/>
      <c r="R262" s="34"/>
      <c r="S262" s="34"/>
      <c r="T262" s="34"/>
      <c r="U262" s="34">
        <v>76.0</v>
      </c>
      <c r="V262" s="34" t="s">
        <v>107</v>
      </c>
      <c r="W262" s="34"/>
      <c r="X262" s="29"/>
    </row>
    <row r="263" ht="15.75" customHeight="1">
      <c r="A263" s="27" t="s">
        <v>660</v>
      </c>
      <c r="B263" s="27" t="s">
        <v>661</v>
      </c>
      <c r="C263" s="46" t="s">
        <v>20</v>
      </c>
      <c r="D263" s="46" t="s">
        <v>21</v>
      </c>
      <c r="E263" s="47" t="s">
        <v>763</v>
      </c>
      <c r="F263" s="34" t="s">
        <v>790</v>
      </c>
      <c r="G263" s="34" t="s">
        <v>714</v>
      </c>
      <c r="H263" s="48" t="s">
        <v>795</v>
      </c>
      <c r="I263" s="48" t="s">
        <v>796</v>
      </c>
      <c r="J263" s="49" t="s">
        <v>797</v>
      </c>
      <c r="K263" s="50">
        <v>61.0</v>
      </c>
      <c r="L263" s="29" t="s">
        <v>799</v>
      </c>
      <c r="M263" s="22" t="s">
        <v>669</v>
      </c>
      <c r="N263" s="34"/>
      <c r="O263" s="40"/>
      <c r="P263" s="34"/>
      <c r="Q263" s="34"/>
      <c r="R263" s="34"/>
      <c r="S263" s="34"/>
      <c r="T263" s="34"/>
      <c r="U263" s="34">
        <v>77.0</v>
      </c>
      <c r="V263" s="34" t="s">
        <v>107</v>
      </c>
      <c r="W263" s="34"/>
      <c r="X263" s="29"/>
    </row>
    <row r="264" ht="15.75" customHeight="1">
      <c r="A264" s="27" t="s">
        <v>660</v>
      </c>
      <c r="B264" s="27" t="s">
        <v>661</v>
      </c>
      <c r="C264" s="46" t="s">
        <v>20</v>
      </c>
      <c r="D264" s="46" t="s">
        <v>21</v>
      </c>
      <c r="E264" s="47" t="s">
        <v>763</v>
      </c>
      <c r="F264" s="34" t="s">
        <v>790</v>
      </c>
      <c r="G264" s="34" t="s">
        <v>714</v>
      </c>
      <c r="H264" s="48" t="s">
        <v>795</v>
      </c>
      <c r="I264" s="48" t="s">
        <v>796</v>
      </c>
      <c r="J264" s="49" t="s">
        <v>797</v>
      </c>
      <c r="K264" s="50">
        <v>62.0</v>
      </c>
      <c r="L264" s="29" t="s">
        <v>800</v>
      </c>
      <c r="M264" s="22" t="s">
        <v>669</v>
      </c>
      <c r="N264" s="34"/>
      <c r="O264" s="40"/>
      <c r="P264" s="34"/>
      <c r="Q264" s="34"/>
      <c r="R264" s="34"/>
      <c r="S264" s="34"/>
      <c r="T264" s="34"/>
      <c r="U264" s="34">
        <v>78.0</v>
      </c>
      <c r="V264" s="34" t="s">
        <v>107</v>
      </c>
      <c r="W264" s="34"/>
      <c r="X264" s="29"/>
    </row>
    <row r="265" ht="15.75" customHeight="1">
      <c r="A265" s="27" t="s">
        <v>660</v>
      </c>
      <c r="B265" s="27" t="s">
        <v>661</v>
      </c>
      <c r="C265" s="46" t="s">
        <v>20</v>
      </c>
      <c r="D265" s="46" t="s">
        <v>21</v>
      </c>
      <c r="E265" s="47" t="s">
        <v>763</v>
      </c>
      <c r="F265" s="34" t="s">
        <v>801</v>
      </c>
      <c r="G265" s="34" t="s">
        <v>749</v>
      </c>
      <c r="H265" s="48" t="s">
        <v>802</v>
      </c>
      <c r="I265" s="48" t="s">
        <v>803</v>
      </c>
      <c r="J265" s="49" t="s">
        <v>804</v>
      </c>
      <c r="K265" s="50">
        <v>63.0</v>
      </c>
      <c r="L265" s="29" t="s">
        <v>805</v>
      </c>
      <c r="M265" s="22" t="s">
        <v>669</v>
      </c>
      <c r="N265" s="34"/>
      <c r="O265" s="40"/>
      <c r="P265" s="34"/>
      <c r="Q265" s="34"/>
      <c r="R265" s="34"/>
      <c r="S265" s="34"/>
      <c r="T265" s="34"/>
      <c r="U265" s="34">
        <v>80.0</v>
      </c>
      <c r="V265" s="34" t="s">
        <v>107</v>
      </c>
      <c r="W265" s="34"/>
      <c r="X265" s="29"/>
    </row>
    <row r="266" ht="15.75" customHeight="1">
      <c r="A266" s="27" t="s">
        <v>660</v>
      </c>
      <c r="B266" s="27" t="s">
        <v>661</v>
      </c>
      <c r="C266" s="46" t="s">
        <v>20</v>
      </c>
      <c r="D266" s="46" t="s">
        <v>21</v>
      </c>
      <c r="E266" s="47" t="s">
        <v>763</v>
      </c>
      <c r="F266" s="34" t="s">
        <v>801</v>
      </c>
      <c r="G266" s="34" t="s">
        <v>749</v>
      </c>
      <c r="H266" s="48" t="s">
        <v>802</v>
      </c>
      <c r="I266" s="48" t="s">
        <v>803</v>
      </c>
      <c r="J266" s="49" t="s">
        <v>804</v>
      </c>
      <c r="K266" s="50">
        <v>64.0</v>
      </c>
      <c r="L266" s="29" t="s">
        <v>806</v>
      </c>
      <c r="M266" s="22" t="s">
        <v>669</v>
      </c>
      <c r="N266" s="34"/>
      <c r="O266" s="40"/>
      <c r="P266" s="34"/>
      <c r="Q266" s="34"/>
      <c r="R266" s="34"/>
      <c r="S266" s="34"/>
      <c r="T266" s="34"/>
      <c r="U266" s="34">
        <v>81.0</v>
      </c>
      <c r="V266" s="34" t="s">
        <v>107</v>
      </c>
      <c r="W266" s="34"/>
      <c r="X266" s="29"/>
    </row>
    <row r="267" ht="15.75" customHeight="1">
      <c r="A267" s="27" t="s">
        <v>660</v>
      </c>
      <c r="B267" s="27" t="s">
        <v>661</v>
      </c>
      <c r="C267" s="46" t="s">
        <v>20</v>
      </c>
      <c r="D267" s="46" t="s">
        <v>21</v>
      </c>
      <c r="E267" s="47" t="s">
        <v>763</v>
      </c>
      <c r="F267" s="34" t="s">
        <v>801</v>
      </c>
      <c r="G267" s="34" t="s">
        <v>749</v>
      </c>
      <c r="H267" s="48" t="s">
        <v>807</v>
      </c>
      <c r="I267" s="48" t="s">
        <v>808</v>
      </c>
      <c r="J267" s="49" t="s">
        <v>809</v>
      </c>
      <c r="K267" s="50">
        <v>65.0</v>
      </c>
      <c r="L267" s="29" t="s">
        <v>810</v>
      </c>
      <c r="M267" s="22" t="s">
        <v>669</v>
      </c>
      <c r="N267" s="34"/>
      <c r="O267" s="40"/>
      <c r="P267" s="34"/>
      <c r="Q267" s="34"/>
      <c r="R267" s="34"/>
      <c r="S267" s="34"/>
      <c r="T267" s="34"/>
      <c r="U267" s="34">
        <v>82.0</v>
      </c>
      <c r="V267" s="34" t="s">
        <v>107</v>
      </c>
      <c r="W267" s="34"/>
      <c r="X267" s="49"/>
    </row>
    <row r="268" ht="15.75" customHeight="1">
      <c r="A268" s="27" t="s">
        <v>660</v>
      </c>
      <c r="B268" s="27" t="s">
        <v>661</v>
      </c>
      <c r="C268" s="46" t="s">
        <v>23</v>
      </c>
      <c r="D268" s="46" t="s">
        <v>24</v>
      </c>
      <c r="E268" s="47" t="s">
        <v>811</v>
      </c>
      <c r="F268" s="52">
        <v>45294.0</v>
      </c>
      <c r="G268" s="34" t="s">
        <v>664</v>
      </c>
      <c r="H268" s="48" t="s">
        <v>812</v>
      </c>
      <c r="I268" s="48" t="s">
        <v>813</v>
      </c>
      <c r="J268" s="49" t="s">
        <v>814</v>
      </c>
      <c r="K268" s="50">
        <v>66.0</v>
      </c>
      <c r="L268" s="29" t="s">
        <v>815</v>
      </c>
      <c r="M268" s="22" t="s">
        <v>669</v>
      </c>
      <c r="N268" s="34"/>
      <c r="O268" s="40"/>
      <c r="P268" s="34"/>
      <c r="Q268" s="34"/>
      <c r="R268" s="34"/>
      <c r="S268" s="34"/>
      <c r="T268" s="34"/>
      <c r="U268" s="34">
        <v>90.0</v>
      </c>
      <c r="V268" s="34" t="s">
        <v>107</v>
      </c>
      <c r="W268" s="34"/>
      <c r="X268" s="29"/>
    </row>
    <row r="269" ht="15.75" customHeight="1">
      <c r="A269" s="27" t="s">
        <v>660</v>
      </c>
      <c r="B269" s="27" t="s">
        <v>661</v>
      </c>
      <c r="C269" s="46" t="s">
        <v>23</v>
      </c>
      <c r="D269" s="46" t="s">
        <v>24</v>
      </c>
      <c r="E269" s="47" t="s">
        <v>811</v>
      </c>
      <c r="F269" s="52">
        <v>45294.0</v>
      </c>
      <c r="G269" s="34" t="s">
        <v>664</v>
      </c>
      <c r="H269" s="48" t="s">
        <v>812</v>
      </c>
      <c r="I269" s="48" t="s">
        <v>813</v>
      </c>
      <c r="J269" s="49" t="s">
        <v>814</v>
      </c>
      <c r="K269" s="50">
        <v>67.0</v>
      </c>
      <c r="L269" s="29" t="s">
        <v>816</v>
      </c>
      <c r="M269" s="22" t="s">
        <v>669</v>
      </c>
      <c r="N269" s="34"/>
      <c r="O269" s="40"/>
      <c r="P269" s="34"/>
      <c r="Q269" s="34"/>
      <c r="R269" s="34"/>
      <c r="S269" s="34"/>
      <c r="T269" s="34"/>
      <c r="U269" s="34">
        <v>91.0</v>
      </c>
      <c r="V269" s="34" t="s">
        <v>107</v>
      </c>
      <c r="W269" s="34"/>
      <c r="X269" s="29"/>
    </row>
    <row r="270" ht="15.75" customHeight="1">
      <c r="A270" s="27" t="s">
        <v>660</v>
      </c>
      <c r="B270" s="27" t="s">
        <v>661</v>
      </c>
      <c r="C270" s="46" t="s">
        <v>23</v>
      </c>
      <c r="D270" s="46" t="s">
        <v>24</v>
      </c>
      <c r="E270" s="47" t="s">
        <v>811</v>
      </c>
      <c r="F270" s="52">
        <v>45294.0</v>
      </c>
      <c r="G270" s="34" t="s">
        <v>664</v>
      </c>
      <c r="H270" s="48" t="s">
        <v>817</v>
      </c>
      <c r="I270" s="48" t="s">
        <v>818</v>
      </c>
      <c r="J270" s="49" t="s">
        <v>819</v>
      </c>
      <c r="K270" s="50">
        <v>68.0</v>
      </c>
      <c r="L270" s="29" t="s">
        <v>820</v>
      </c>
      <c r="M270" s="22" t="s">
        <v>669</v>
      </c>
      <c r="N270" s="34"/>
      <c r="O270" s="40"/>
      <c r="P270" s="34"/>
      <c r="Q270" s="34"/>
      <c r="R270" s="34"/>
      <c r="S270" s="34"/>
      <c r="T270" s="34"/>
      <c r="U270" s="34">
        <v>92.0</v>
      </c>
      <c r="V270" s="34" t="s">
        <v>107</v>
      </c>
      <c r="W270" s="34"/>
      <c r="X270" s="29"/>
    </row>
    <row r="271" ht="15.75" customHeight="1">
      <c r="A271" s="27" t="s">
        <v>660</v>
      </c>
      <c r="B271" s="27" t="s">
        <v>661</v>
      </c>
      <c r="C271" s="46" t="s">
        <v>23</v>
      </c>
      <c r="D271" s="46" t="s">
        <v>24</v>
      </c>
      <c r="E271" s="47" t="s">
        <v>811</v>
      </c>
      <c r="F271" s="52">
        <v>45294.0</v>
      </c>
      <c r="G271" s="34" t="s">
        <v>664</v>
      </c>
      <c r="H271" s="48" t="s">
        <v>821</v>
      </c>
      <c r="I271" s="48" t="s">
        <v>822</v>
      </c>
      <c r="J271" s="49" t="s">
        <v>823</v>
      </c>
      <c r="K271" s="50">
        <v>69.0</v>
      </c>
      <c r="L271" s="29" t="s">
        <v>824</v>
      </c>
      <c r="M271" s="22" t="s">
        <v>669</v>
      </c>
      <c r="N271" s="34"/>
      <c r="O271" s="40"/>
      <c r="P271" s="34"/>
      <c r="Q271" s="34"/>
      <c r="R271" s="34"/>
      <c r="S271" s="34"/>
      <c r="T271" s="34"/>
      <c r="U271" s="34">
        <v>93.0</v>
      </c>
      <c r="V271" s="34" t="s">
        <v>107</v>
      </c>
      <c r="W271" s="34"/>
      <c r="X271" s="29"/>
    </row>
    <row r="272" ht="15.75" customHeight="1">
      <c r="A272" s="27" t="s">
        <v>660</v>
      </c>
      <c r="B272" s="27" t="s">
        <v>661</v>
      </c>
      <c r="C272" s="46" t="s">
        <v>23</v>
      </c>
      <c r="D272" s="46" t="s">
        <v>24</v>
      </c>
      <c r="E272" s="47" t="s">
        <v>811</v>
      </c>
      <c r="F272" s="52">
        <v>45294.0</v>
      </c>
      <c r="G272" s="34" t="s">
        <v>664</v>
      </c>
      <c r="H272" s="48" t="s">
        <v>821</v>
      </c>
      <c r="I272" s="48" t="s">
        <v>822</v>
      </c>
      <c r="J272" s="49" t="s">
        <v>823</v>
      </c>
      <c r="K272" s="50">
        <v>70.0</v>
      </c>
      <c r="L272" s="29" t="s">
        <v>825</v>
      </c>
      <c r="M272" s="22" t="s">
        <v>669</v>
      </c>
      <c r="N272" s="34"/>
      <c r="O272" s="40"/>
      <c r="P272" s="34"/>
      <c r="Q272" s="34"/>
      <c r="R272" s="34"/>
      <c r="S272" s="34"/>
      <c r="T272" s="34"/>
      <c r="U272" s="34">
        <v>94.0</v>
      </c>
      <c r="V272" s="34" t="s">
        <v>107</v>
      </c>
      <c r="W272" s="34"/>
      <c r="X272" s="29"/>
    </row>
    <row r="273" ht="15.75" customHeight="1">
      <c r="A273" s="27" t="s">
        <v>660</v>
      </c>
      <c r="B273" s="27" t="s">
        <v>661</v>
      </c>
      <c r="C273" s="46" t="s">
        <v>23</v>
      </c>
      <c r="D273" s="46" t="s">
        <v>24</v>
      </c>
      <c r="E273" s="47" t="s">
        <v>811</v>
      </c>
      <c r="F273" s="52">
        <v>45294.0</v>
      </c>
      <c r="G273" s="34" t="s">
        <v>664</v>
      </c>
      <c r="H273" s="48" t="s">
        <v>821</v>
      </c>
      <c r="I273" s="48" t="s">
        <v>822</v>
      </c>
      <c r="J273" s="49" t="s">
        <v>823</v>
      </c>
      <c r="K273" s="50">
        <v>71.0</v>
      </c>
      <c r="L273" s="29" t="s">
        <v>826</v>
      </c>
      <c r="M273" s="22" t="s">
        <v>669</v>
      </c>
      <c r="N273" s="34"/>
      <c r="O273" s="40"/>
      <c r="P273" s="34"/>
      <c r="Q273" s="34"/>
      <c r="R273" s="34"/>
      <c r="S273" s="34"/>
      <c r="T273" s="34"/>
      <c r="U273" s="34">
        <v>95.0</v>
      </c>
      <c r="V273" s="34" t="s">
        <v>107</v>
      </c>
      <c r="W273" s="34"/>
      <c r="X273" s="29"/>
    </row>
    <row r="274" ht="15.75" customHeight="1">
      <c r="A274" s="27" t="s">
        <v>660</v>
      </c>
      <c r="B274" s="27" t="s">
        <v>661</v>
      </c>
      <c r="C274" s="46" t="s">
        <v>23</v>
      </c>
      <c r="D274" s="46" t="s">
        <v>24</v>
      </c>
      <c r="E274" s="47" t="s">
        <v>811</v>
      </c>
      <c r="F274" s="52">
        <v>45294.0</v>
      </c>
      <c r="G274" s="34" t="s">
        <v>664</v>
      </c>
      <c r="H274" s="48" t="s">
        <v>827</v>
      </c>
      <c r="I274" s="48" t="s">
        <v>828</v>
      </c>
      <c r="J274" s="49" t="s">
        <v>829</v>
      </c>
      <c r="K274" s="50">
        <v>72.0</v>
      </c>
      <c r="L274" s="29" t="s">
        <v>830</v>
      </c>
      <c r="M274" s="22" t="s">
        <v>669</v>
      </c>
      <c r="N274" s="34"/>
      <c r="O274" s="40"/>
      <c r="P274" s="34"/>
      <c r="Q274" s="34"/>
      <c r="R274" s="34"/>
      <c r="S274" s="34"/>
      <c r="T274" s="34"/>
      <c r="U274" s="34">
        <v>96.0</v>
      </c>
      <c r="V274" s="34" t="s">
        <v>107</v>
      </c>
      <c r="W274" s="34"/>
      <c r="X274" s="29"/>
    </row>
    <row r="275" ht="15.75" customHeight="1">
      <c r="A275" s="27" t="s">
        <v>660</v>
      </c>
      <c r="B275" s="27" t="s">
        <v>661</v>
      </c>
      <c r="C275" s="46" t="s">
        <v>23</v>
      </c>
      <c r="D275" s="46" t="s">
        <v>24</v>
      </c>
      <c r="E275" s="47" t="s">
        <v>811</v>
      </c>
      <c r="F275" s="52">
        <v>45294.0</v>
      </c>
      <c r="G275" s="34" t="s">
        <v>664</v>
      </c>
      <c r="H275" s="48" t="s">
        <v>827</v>
      </c>
      <c r="I275" s="48" t="s">
        <v>828</v>
      </c>
      <c r="J275" s="49" t="s">
        <v>829</v>
      </c>
      <c r="K275" s="50">
        <v>73.0</v>
      </c>
      <c r="L275" s="29" t="s">
        <v>831</v>
      </c>
      <c r="M275" s="22" t="s">
        <v>669</v>
      </c>
      <c r="N275" s="34"/>
      <c r="O275" s="40"/>
      <c r="P275" s="34"/>
      <c r="Q275" s="34"/>
      <c r="R275" s="34"/>
      <c r="S275" s="34"/>
      <c r="T275" s="34"/>
      <c r="U275" s="34">
        <v>97.0</v>
      </c>
      <c r="V275" s="34" t="s">
        <v>107</v>
      </c>
      <c r="W275" s="34"/>
      <c r="X275" s="29"/>
    </row>
    <row r="276" ht="15.75" customHeight="1">
      <c r="A276" s="27" t="s">
        <v>660</v>
      </c>
      <c r="B276" s="27" t="s">
        <v>661</v>
      </c>
      <c r="C276" s="46" t="s">
        <v>23</v>
      </c>
      <c r="D276" s="46" t="s">
        <v>24</v>
      </c>
      <c r="E276" s="47" t="s">
        <v>811</v>
      </c>
      <c r="F276" s="52">
        <v>45294.0</v>
      </c>
      <c r="G276" s="34" t="s">
        <v>664</v>
      </c>
      <c r="H276" s="48" t="s">
        <v>832</v>
      </c>
      <c r="I276" s="48" t="s">
        <v>833</v>
      </c>
      <c r="J276" s="49" t="s">
        <v>834</v>
      </c>
      <c r="K276" s="50">
        <v>74.0</v>
      </c>
      <c r="L276" s="29" t="s">
        <v>835</v>
      </c>
      <c r="M276" s="22" t="s">
        <v>669</v>
      </c>
      <c r="N276" s="34"/>
      <c r="O276" s="40"/>
      <c r="P276" s="34"/>
      <c r="Q276" s="34"/>
      <c r="R276" s="34"/>
      <c r="S276" s="34"/>
      <c r="T276" s="34"/>
      <c r="U276" s="34">
        <v>98.0</v>
      </c>
      <c r="V276" s="34" t="s">
        <v>107</v>
      </c>
      <c r="W276" s="34"/>
      <c r="X276" s="29"/>
    </row>
    <row r="277" ht="15.75" customHeight="1">
      <c r="A277" s="27" t="s">
        <v>660</v>
      </c>
      <c r="B277" s="27" t="s">
        <v>661</v>
      </c>
      <c r="C277" s="46" t="s">
        <v>23</v>
      </c>
      <c r="D277" s="46" t="s">
        <v>24</v>
      </c>
      <c r="E277" s="47" t="s">
        <v>811</v>
      </c>
      <c r="F277" s="52">
        <v>45294.0</v>
      </c>
      <c r="G277" s="34" t="s">
        <v>664</v>
      </c>
      <c r="H277" s="48" t="s">
        <v>832</v>
      </c>
      <c r="I277" s="48" t="s">
        <v>833</v>
      </c>
      <c r="J277" s="49" t="s">
        <v>834</v>
      </c>
      <c r="K277" s="50">
        <v>75.0</v>
      </c>
      <c r="L277" s="29" t="s">
        <v>836</v>
      </c>
      <c r="M277" s="22" t="s">
        <v>669</v>
      </c>
      <c r="N277" s="34"/>
      <c r="O277" s="40"/>
      <c r="P277" s="34"/>
      <c r="Q277" s="34"/>
      <c r="R277" s="34"/>
      <c r="S277" s="34"/>
      <c r="T277" s="34"/>
      <c r="U277" s="34">
        <v>99.0</v>
      </c>
      <c r="V277" s="34" t="s">
        <v>107</v>
      </c>
      <c r="W277" s="34"/>
      <c r="X277" s="29"/>
    </row>
    <row r="278" ht="15.75" customHeight="1">
      <c r="A278" s="27" t="s">
        <v>660</v>
      </c>
      <c r="B278" s="27" t="s">
        <v>661</v>
      </c>
      <c r="C278" s="46" t="s">
        <v>23</v>
      </c>
      <c r="D278" s="46" t="s">
        <v>24</v>
      </c>
      <c r="E278" s="47" t="s">
        <v>811</v>
      </c>
      <c r="F278" s="52">
        <v>45294.0</v>
      </c>
      <c r="G278" s="34" t="s">
        <v>664</v>
      </c>
      <c r="H278" s="48" t="s">
        <v>837</v>
      </c>
      <c r="I278" s="48" t="s">
        <v>838</v>
      </c>
      <c r="J278" s="49" t="s">
        <v>839</v>
      </c>
      <c r="K278" s="50">
        <v>76.0</v>
      </c>
      <c r="L278" s="29" t="s">
        <v>840</v>
      </c>
      <c r="M278" s="22" t="s">
        <v>669</v>
      </c>
      <c r="N278" s="34"/>
      <c r="O278" s="40"/>
      <c r="P278" s="34"/>
      <c r="Q278" s="34"/>
      <c r="R278" s="34"/>
      <c r="S278" s="34"/>
      <c r="T278" s="34"/>
      <c r="U278" s="34">
        <v>100.0</v>
      </c>
      <c r="V278" s="34" t="s">
        <v>107</v>
      </c>
      <c r="W278" s="34"/>
      <c r="X278" s="29"/>
    </row>
    <row r="279" ht="15.75" customHeight="1">
      <c r="A279" s="27" t="s">
        <v>660</v>
      </c>
      <c r="B279" s="27" t="s">
        <v>661</v>
      </c>
      <c r="C279" s="46" t="s">
        <v>23</v>
      </c>
      <c r="D279" s="46" t="s">
        <v>24</v>
      </c>
      <c r="E279" s="47" t="s">
        <v>811</v>
      </c>
      <c r="F279" s="52">
        <v>45294.0</v>
      </c>
      <c r="G279" s="34" t="s">
        <v>664</v>
      </c>
      <c r="H279" s="48" t="s">
        <v>841</v>
      </c>
      <c r="I279" s="48" t="s">
        <v>842</v>
      </c>
      <c r="J279" s="49" t="s">
        <v>843</v>
      </c>
      <c r="K279" s="50">
        <v>77.0</v>
      </c>
      <c r="L279" s="29" t="s">
        <v>844</v>
      </c>
      <c r="M279" s="22" t="s">
        <v>669</v>
      </c>
      <c r="N279" s="34"/>
      <c r="O279" s="40"/>
      <c r="P279" s="34"/>
      <c r="Q279" s="34"/>
      <c r="R279" s="34"/>
      <c r="S279" s="34"/>
      <c r="T279" s="34"/>
      <c r="U279" s="34">
        <v>101.0</v>
      </c>
      <c r="V279" s="34" t="s">
        <v>107</v>
      </c>
      <c r="W279" s="34"/>
      <c r="X279" s="29"/>
    </row>
    <row r="280" ht="15.75" customHeight="1">
      <c r="A280" s="27" t="s">
        <v>660</v>
      </c>
      <c r="B280" s="27" t="s">
        <v>661</v>
      </c>
      <c r="C280" s="46" t="s">
        <v>23</v>
      </c>
      <c r="D280" s="46" t="s">
        <v>24</v>
      </c>
      <c r="E280" s="47" t="s">
        <v>811</v>
      </c>
      <c r="F280" s="52">
        <v>45294.0</v>
      </c>
      <c r="G280" s="34" t="s">
        <v>664</v>
      </c>
      <c r="H280" s="48" t="s">
        <v>845</v>
      </c>
      <c r="I280" s="48" t="s">
        <v>846</v>
      </c>
      <c r="J280" s="49" t="s">
        <v>847</v>
      </c>
      <c r="K280" s="50">
        <v>78.0</v>
      </c>
      <c r="L280" s="29" t="s">
        <v>848</v>
      </c>
      <c r="M280" s="22" t="s">
        <v>669</v>
      </c>
      <c r="N280" s="34"/>
      <c r="O280" s="40"/>
      <c r="P280" s="34"/>
      <c r="Q280" s="34"/>
      <c r="R280" s="34"/>
      <c r="S280" s="34"/>
      <c r="T280" s="34"/>
      <c r="U280" s="34">
        <v>102.0</v>
      </c>
      <c r="V280" s="34" t="s">
        <v>107</v>
      </c>
      <c r="W280" s="34"/>
      <c r="X280" s="29"/>
    </row>
    <row r="281" ht="15.75" customHeight="1">
      <c r="A281" s="27" t="s">
        <v>660</v>
      </c>
      <c r="B281" s="27" t="s">
        <v>661</v>
      </c>
      <c r="C281" s="46" t="s">
        <v>23</v>
      </c>
      <c r="D281" s="46" t="s">
        <v>24</v>
      </c>
      <c r="E281" s="47" t="s">
        <v>811</v>
      </c>
      <c r="F281" s="52">
        <v>45294.0</v>
      </c>
      <c r="G281" s="34" t="s">
        <v>664</v>
      </c>
      <c r="H281" s="48" t="s">
        <v>849</v>
      </c>
      <c r="I281" s="48" t="s">
        <v>850</v>
      </c>
      <c r="J281" s="49" t="s">
        <v>851</v>
      </c>
      <c r="K281" s="50">
        <v>79.0</v>
      </c>
      <c r="L281" s="29" t="s">
        <v>852</v>
      </c>
      <c r="M281" s="22" t="s">
        <v>669</v>
      </c>
      <c r="N281" s="34"/>
      <c r="O281" s="40"/>
      <c r="P281" s="34"/>
      <c r="Q281" s="34"/>
      <c r="R281" s="34"/>
      <c r="S281" s="34"/>
      <c r="T281" s="34"/>
      <c r="U281" s="34">
        <v>103.0</v>
      </c>
      <c r="V281" s="34" t="s">
        <v>107</v>
      </c>
      <c r="W281" s="34"/>
      <c r="X281" s="29"/>
    </row>
    <row r="282" ht="15.75" customHeight="1">
      <c r="A282" s="27" t="s">
        <v>660</v>
      </c>
      <c r="B282" s="27" t="s">
        <v>661</v>
      </c>
      <c r="C282" s="46" t="s">
        <v>23</v>
      </c>
      <c r="D282" s="46" t="s">
        <v>24</v>
      </c>
      <c r="E282" s="47" t="s">
        <v>811</v>
      </c>
      <c r="F282" s="52">
        <v>45294.0</v>
      </c>
      <c r="G282" s="34" t="s">
        <v>664</v>
      </c>
      <c r="H282" s="48" t="s">
        <v>853</v>
      </c>
      <c r="I282" s="48" t="s">
        <v>854</v>
      </c>
      <c r="J282" s="49" t="s">
        <v>855</v>
      </c>
      <c r="K282" s="50">
        <v>80.0</v>
      </c>
      <c r="L282" s="29" t="s">
        <v>856</v>
      </c>
      <c r="M282" s="22" t="s">
        <v>669</v>
      </c>
      <c r="N282" s="34"/>
      <c r="O282" s="40"/>
      <c r="P282" s="34"/>
      <c r="Q282" s="34"/>
      <c r="R282" s="34"/>
      <c r="S282" s="34"/>
      <c r="T282" s="34"/>
      <c r="U282" s="34">
        <v>104.0</v>
      </c>
      <c r="V282" s="34" t="s">
        <v>107</v>
      </c>
      <c r="W282" s="34"/>
      <c r="X282" s="29"/>
    </row>
    <row r="283" ht="15.75" customHeight="1">
      <c r="A283" s="27" t="s">
        <v>660</v>
      </c>
      <c r="B283" s="27" t="s">
        <v>661</v>
      </c>
      <c r="C283" s="46" t="s">
        <v>23</v>
      </c>
      <c r="D283" s="46" t="s">
        <v>24</v>
      </c>
      <c r="E283" s="47" t="s">
        <v>811</v>
      </c>
      <c r="F283" s="34" t="s">
        <v>857</v>
      </c>
      <c r="G283" s="34" t="s">
        <v>714</v>
      </c>
      <c r="H283" s="48" t="s">
        <v>858</v>
      </c>
      <c r="I283" s="48" t="s">
        <v>859</v>
      </c>
      <c r="J283" s="49" t="s">
        <v>860</v>
      </c>
      <c r="K283" s="50">
        <v>81.0</v>
      </c>
      <c r="L283" s="29" t="s">
        <v>861</v>
      </c>
      <c r="M283" s="22" t="s">
        <v>669</v>
      </c>
      <c r="N283" s="34"/>
      <c r="O283" s="40"/>
      <c r="P283" s="34"/>
      <c r="Q283" s="34"/>
      <c r="R283" s="34"/>
      <c r="S283" s="34"/>
      <c r="T283" s="34"/>
      <c r="U283" s="34">
        <v>106.0</v>
      </c>
      <c r="V283" s="34" t="s">
        <v>107</v>
      </c>
      <c r="W283" s="34"/>
      <c r="X283" s="29"/>
    </row>
    <row r="284" ht="15.75" customHeight="1">
      <c r="A284" s="27" t="s">
        <v>660</v>
      </c>
      <c r="B284" s="27" t="s">
        <v>661</v>
      </c>
      <c r="C284" s="46" t="s">
        <v>23</v>
      </c>
      <c r="D284" s="46" t="s">
        <v>24</v>
      </c>
      <c r="E284" s="47" t="s">
        <v>811</v>
      </c>
      <c r="F284" s="34" t="s">
        <v>857</v>
      </c>
      <c r="G284" s="34" t="s">
        <v>714</v>
      </c>
      <c r="H284" s="48" t="s">
        <v>862</v>
      </c>
      <c r="I284" s="48" t="s">
        <v>863</v>
      </c>
      <c r="J284" s="49" t="s">
        <v>864</v>
      </c>
      <c r="K284" s="50">
        <v>82.0</v>
      </c>
      <c r="L284" s="29" t="s">
        <v>865</v>
      </c>
      <c r="M284" s="22" t="s">
        <v>669</v>
      </c>
      <c r="N284" s="34"/>
      <c r="O284" s="40"/>
      <c r="P284" s="34"/>
      <c r="Q284" s="34"/>
      <c r="R284" s="34"/>
      <c r="S284" s="34"/>
      <c r="T284" s="34"/>
      <c r="U284" s="34">
        <v>107.0</v>
      </c>
      <c r="V284" s="34" t="s">
        <v>107</v>
      </c>
      <c r="W284" s="34"/>
      <c r="X284" s="29"/>
    </row>
    <row r="285" ht="15.75" customHeight="1">
      <c r="A285" s="27" t="s">
        <v>660</v>
      </c>
      <c r="B285" s="27" t="s">
        <v>661</v>
      </c>
      <c r="C285" s="46" t="s">
        <v>23</v>
      </c>
      <c r="D285" s="46" t="s">
        <v>24</v>
      </c>
      <c r="E285" s="47" t="s">
        <v>811</v>
      </c>
      <c r="F285" s="34" t="s">
        <v>857</v>
      </c>
      <c r="G285" s="34" t="s">
        <v>714</v>
      </c>
      <c r="H285" s="48" t="s">
        <v>866</v>
      </c>
      <c r="I285" s="48" t="s">
        <v>867</v>
      </c>
      <c r="J285" s="49" t="s">
        <v>868</v>
      </c>
      <c r="K285" s="50">
        <v>83.0</v>
      </c>
      <c r="L285" s="29" t="s">
        <v>869</v>
      </c>
      <c r="M285" s="22" t="s">
        <v>669</v>
      </c>
      <c r="N285" s="34"/>
      <c r="O285" s="40"/>
      <c r="P285" s="34"/>
      <c r="Q285" s="34"/>
      <c r="R285" s="34"/>
      <c r="S285" s="34"/>
      <c r="T285" s="34"/>
      <c r="U285" s="34">
        <v>108.0</v>
      </c>
      <c r="V285" s="34" t="s">
        <v>107</v>
      </c>
      <c r="W285" s="34"/>
      <c r="X285" s="29"/>
    </row>
    <row r="286" ht="15.75" customHeight="1">
      <c r="A286" s="27" t="s">
        <v>660</v>
      </c>
      <c r="B286" s="27" t="s">
        <v>661</v>
      </c>
      <c r="C286" s="46" t="s">
        <v>23</v>
      </c>
      <c r="D286" s="46" t="s">
        <v>24</v>
      </c>
      <c r="E286" s="47" t="s">
        <v>811</v>
      </c>
      <c r="F286" s="34" t="s">
        <v>857</v>
      </c>
      <c r="G286" s="34" t="s">
        <v>714</v>
      </c>
      <c r="H286" s="48" t="s">
        <v>870</v>
      </c>
      <c r="I286" s="48" t="s">
        <v>871</v>
      </c>
      <c r="J286" s="49" t="s">
        <v>872</v>
      </c>
      <c r="K286" s="50">
        <v>84.0</v>
      </c>
      <c r="L286" s="29" t="s">
        <v>873</v>
      </c>
      <c r="M286" s="22" t="s">
        <v>669</v>
      </c>
      <c r="N286" s="34"/>
      <c r="O286" s="40"/>
      <c r="P286" s="34"/>
      <c r="Q286" s="34"/>
      <c r="R286" s="34"/>
      <c r="S286" s="34"/>
      <c r="T286" s="34"/>
      <c r="U286" s="34">
        <v>109.0</v>
      </c>
      <c r="V286" s="34" t="s">
        <v>107</v>
      </c>
      <c r="W286" s="34"/>
      <c r="X286" s="29"/>
    </row>
    <row r="287" ht="15.75" customHeight="1">
      <c r="A287" s="27" t="s">
        <v>660</v>
      </c>
      <c r="B287" s="27" t="s">
        <v>661</v>
      </c>
      <c r="C287" s="46" t="s">
        <v>23</v>
      </c>
      <c r="D287" s="46" t="s">
        <v>24</v>
      </c>
      <c r="E287" s="47" t="s">
        <v>811</v>
      </c>
      <c r="F287" s="34" t="s">
        <v>857</v>
      </c>
      <c r="G287" s="34" t="s">
        <v>714</v>
      </c>
      <c r="H287" s="48" t="s">
        <v>874</v>
      </c>
      <c r="I287" s="48" t="s">
        <v>875</v>
      </c>
      <c r="J287" s="49" t="s">
        <v>876</v>
      </c>
      <c r="K287" s="50">
        <v>85.0</v>
      </c>
      <c r="L287" s="29" t="s">
        <v>877</v>
      </c>
      <c r="M287" s="22" t="s">
        <v>669</v>
      </c>
      <c r="N287" s="34"/>
      <c r="O287" s="40"/>
      <c r="P287" s="34"/>
      <c r="Q287" s="34"/>
      <c r="R287" s="34"/>
      <c r="S287" s="34"/>
      <c r="T287" s="34"/>
      <c r="U287" s="34">
        <v>110.0</v>
      </c>
      <c r="V287" s="34" t="s">
        <v>107</v>
      </c>
      <c r="W287" s="34"/>
      <c r="X287" s="29"/>
    </row>
    <row r="288" ht="15.75" customHeight="1">
      <c r="A288" s="27" t="s">
        <v>660</v>
      </c>
      <c r="B288" s="27" t="s">
        <v>661</v>
      </c>
      <c r="C288" s="46" t="s">
        <v>23</v>
      </c>
      <c r="D288" s="46" t="s">
        <v>24</v>
      </c>
      <c r="E288" s="47" t="s">
        <v>811</v>
      </c>
      <c r="F288" s="34" t="s">
        <v>878</v>
      </c>
      <c r="G288" s="34" t="s">
        <v>749</v>
      </c>
      <c r="H288" s="48" t="s">
        <v>879</v>
      </c>
      <c r="I288" s="48" t="s">
        <v>880</v>
      </c>
      <c r="J288" s="49" t="s">
        <v>881</v>
      </c>
      <c r="K288" s="50">
        <v>86.0</v>
      </c>
      <c r="L288" s="29" t="s">
        <v>882</v>
      </c>
      <c r="M288" s="22" t="s">
        <v>669</v>
      </c>
      <c r="N288" s="34"/>
      <c r="O288" s="40"/>
      <c r="P288" s="34"/>
      <c r="Q288" s="34"/>
      <c r="R288" s="34"/>
      <c r="S288" s="34"/>
      <c r="T288" s="34"/>
      <c r="U288" s="34">
        <v>112.0</v>
      </c>
      <c r="V288" s="34" t="s">
        <v>107</v>
      </c>
      <c r="W288" s="34"/>
      <c r="X288" s="29"/>
    </row>
    <row r="289" ht="15.75" customHeight="1">
      <c r="A289" s="27" t="s">
        <v>660</v>
      </c>
      <c r="B289" s="27" t="s">
        <v>661</v>
      </c>
      <c r="C289" s="46" t="s">
        <v>23</v>
      </c>
      <c r="D289" s="46" t="s">
        <v>24</v>
      </c>
      <c r="E289" s="47" t="s">
        <v>811</v>
      </c>
      <c r="F289" s="34" t="s">
        <v>878</v>
      </c>
      <c r="G289" s="34" t="s">
        <v>749</v>
      </c>
      <c r="H289" s="48" t="s">
        <v>883</v>
      </c>
      <c r="I289" s="48" t="s">
        <v>884</v>
      </c>
      <c r="J289" s="49" t="s">
        <v>885</v>
      </c>
      <c r="K289" s="50">
        <v>87.0</v>
      </c>
      <c r="L289" s="29" t="s">
        <v>886</v>
      </c>
      <c r="M289" s="22" t="s">
        <v>669</v>
      </c>
      <c r="N289" s="34"/>
      <c r="O289" s="40"/>
      <c r="P289" s="34"/>
      <c r="Q289" s="34"/>
      <c r="R289" s="34"/>
      <c r="S289" s="34"/>
      <c r="T289" s="34"/>
      <c r="U289" s="34">
        <v>113.0</v>
      </c>
      <c r="V289" s="34" t="s">
        <v>107</v>
      </c>
      <c r="W289" s="34"/>
      <c r="X289" s="29"/>
    </row>
    <row r="290" ht="15.75" customHeight="1">
      <c r="A290" s="27" t="s">
        <v>660</v>
      </c>
      <c r="B290" s="27" t="s">
        <v>661</v>
      </c>
      <c r="C290" s="46" t="s">
        <v>23</v>
      </c>
      <c r="D290" s="46" t="s">
        <v>24</v>
      </c>
      <c r="E290" s="47" t="s">
        <v>811</v>
      </c>
      <c r="F290" s="34" t="s">
        <v>878</v>
      </c>
      <c r="G290" s="34" t="s">
        <v>749</v>
      </c>
      <c r="H290" s="48" t="s">
        <v>887</v>
      </c>
      <c r="I290" s="48" t="s">
        <v>888</v>
      </c>
      <c r="J290" s="49" t="s">
        <v>889</v>
      </c>
      <c r="K290" s="50">
        <v>88.0</v>
      </c>
      <c r="L290" s="29" t="s">
        <v>890</v>
      </c>
      <c r="M290" s="22" t="s">
        <v>669</v>
      </c>
      <c r="N290" s="34"/>
      <c r="O290" s="40"/>
      <c r="P290" s="34"/>
      <c r="Q290" s="34"/>
      <c r="R290" s="34"/>
      <c r="S290" s="34"/>
      <c r="T290" s="34"/>
      <c r="U290" s="34">
        <v>114.0</v>
      </c>
      <c r="V290" s="34" t="s">
        <v>107</v>
      </c>
      <c r="W290" s="34"/>
      <c r="X290" s="29"/>
    </row>
    <row r="291" ht="15.75" customHeight="1">
      <c r="A291" s="27" t="s">
        <v>660</v>
      </c>
      <c r="B291" s="27" t="s">
        <v>661</v>
      </c>
      <c r="C291" s="46" t="s">
        <v>23</v>
      </c>
      <c r="D291" s="46" t="s">
        <v>24</v>
      </c>
      <c r="E291" s="47" t="s">
        <v>811</v>
      </c>
      <c r="F291" s="34" t="s">
        <v>878</v>
      </c>
      <c r="G291" s="34" t="s">
        <v>749</v>
      </c>
      <c r="H291" s="48" t="s">
        <v>891</v>
      </c>
      <c r="I291" s="48" t="s">
        <v>892</v>
      </c>
      <c r="J291" s="49" t="s">
        <v>893</v>
      </c>
      <c r="K291" s="50">
        <v>89.0</v>
      </c>
      <c r="L291" s="29" t="s">
        <v>894</v>
      </c>
      <c r="M291" s="22" t="s">
        <v>669</v>
      </c>
      <c r="N291" s="34"/>
      <c r="O291" s="40"/>
      <c r="P291" s="34"/>
      <c r="Q291" s="34"/>
      <c r="R291" s="34"/>
      <c r="S291" s="34"/>
      <c r="T291" s="34"/>
      <c r="U291" s="34">
        <v>115.0</v>
      </c>
      <c r="V291" s="34" t="s">
        <v>107</v>
      </c>
      <c r="W291" s="34"/>
      <c r="X291" s="29"/>
    </row>
    <row r="292" ht="15.75" customHeight="1">
      <c r="A292" s="27" t="s">
        <v>660</v>
      </c>
      <c r="B292" s="27" t="s">
        <v>661</v>
      </c>
      <c r="C292" s="46" t="s">
        <v>23</v>
      </c>
      <c r="D292" s="46" t="s">
        <v>24</v>
      </c>
      <c r="E292" s="47" t="s">
        <v>811</v>
      </c>
      <c r="F292" s="34" t="s">
        <v>878</v>
      </c>
      <c r="G292" s="34" t="s">
        <v>749</v>
      </c>
      <c r="H292" s="48" t="s">
        <v>895</v>
      </c>
      <c r="I292" s="48" t="s">
        <v>896</v>
      </c>
      <c r="J292" s="49" t="s">
        <v>897</v>
      </c>
      <c r="K292" s="50">
        <v>90.0</v>
      </c>
      <c r="L292" s="29" t="s">
        <v>898</v>
      </c>
      <c r="M292" s="22" t="s">
        <v>669</v>
      </c>
      <c r="N292" s="34"/>
      <c r="O292" s="40"/>
      <c r="P292" s="34"/>
      <c r="Q292" s="34"/>
      <c r="R292" s="34"/>
      <c r="S292" s="34"/>
      <c r="T292" s="34"/>
      <c r="U292" s="34">
        <v>116.0</v>
      </c>
      <c r="V292" s="34" t="s">
        <v>107</v>
      </c>
      <c r="W292" s="34"/>
      <c r="X292" s="29"/>
    </row>
    <row r="293" ht="15.75" customHeight="1">
      <c r="A293" s="27" t="s">
        <v>660</v>
      </c>
      <c r="B293" s="22" t="s">
        <v>661</v>
      </c>
      <c r="C293" s="53" t="s">
        <v>25</v>
      </c>
      <c r="D293" s="53" t="s">
        <v>26</v>
      </c>
      <c r="E293" s="47" t="s">
        <v>899</v>
      </c>
      <c r="F293" s="29" t="s">
        <v>900</v>
      </c>
      <c r="G293" s="29" t="s">
        <v>664</v>
      </c>
      <c r="H293" s="48" t="s">
        <v>901</v>
      </c>
      <c r="I293" s="48" t="s">
        <v>902</v>
      </c>
      <c r="J293" s="49" t="s">
        <v>903</v>
      </c>
      <c r="K293" s="50">
        <v>91.0</v>
      </c>
      <c r="L293" s="29" t="s">
        <v>904</v>
      </c>
      <c r="M293" s="22" t="s">
        <v>669</v>
      </c>
      <c r="N293" s="34"/>
      <c r="O293" s="40"/>
      <c r="P293" s="34"/>
      <c r="Q293" s="34"/>
      <c r="R293" s="34"/>
      <c r="S293" s="34"/>
      <c r="T293" s="34"/>
      <c r="U293" s="34">
        <v>123.0</v>
      </c>
      <c r="V293" s="29" t="s">
        <v>107</v>
      </c>
      <c r="W293" s="34"/>
      <c r="X293" s="29"/>
    </row>
    <row r="294" ht="15.75" customHeight="1">
      <c r="A294" s="27" t="s">
        <v>660</v>
      </c>
      <c r="B294" s="22" t="s">
        <v>661</v>
      </c>
      <c r="C294" s="53" t="s">
        <v>25</v>
      </c>
      <c r="D294" s="53" t="s">
        <v>26</v>
      </c>
      <c r="E294" s="47" t="s">
        <v>899</v>
      </c>
      <c r="F294" s="29" t="s">
        <v>900</v>
      </c>
      <c r="G294" s="29" t="s">
        <v>664</v>
      </c>
      <c r="H294" s="48" t="s">
        <v>905</v>
      </c>
      <c r="I294" s="48" t="s">
        <v>906</v>
      </c>
      <c r="J294" s="49" t="s">
        <v>907</v>
      </c>
      <c r="K294" s="50">
        <v>92.0</v>
      </c>
      <c r="L294" s="29" t="s">
        <v>908</v>
      </c>
      <c r="M294" s="22" t="s">
        <v>669</v>
      </c>
      <c r="N294" s="34"/>
      <c r="O294" s="40"/>
      <c r="P294" s="34"/>
      <c r="Q294" s="34"/>
      <c r="R294" s="34"/>
      <c r="S294" s="34"/>
      <c r="T294" s="34"/>
      <c r="U294" s="34">
        <v>124.0</v>
      </c>
      <c r="V294" s="29" t="s">
        <v>107</v>
      </c>
      <c r="W294" s="34"/>
      <c r="X294" s="29"/>
    </row>
    <row r="295" ht="15.75" customHeight="1">
      <c r="A295" s="27" t="s">
        <v>660</v>
      </c>
      <c r="B295" s="22" t="s">
        <v>661</v>
      </c>
      <c r="C295" s="53" t="s">
        <v>25</v>
      </c>
      <c r="D295" s="53" t="s">
        <v>26</v>
      </c>
      <c r="E295" s="47" t="s">
        <v>899</v>
      </c>
      <c r="F295" s="29" t="s">
        <v>900</v>
      </c>
      <c r="G295" s="29" t="s">
        <v>664</v>
      </c>
      <c r="H295" s="48" t="s">
        <v>905</v>
      </c>
      <c r="I295" s="48" t="s">
        <v>906</v>
      </c>
      <c r="J295" s="49" t="s">
        <v>907</v>
      </c>
      <c r="K295" s="50">
        <v>93.0</v>
      </c>
      <c r="L295" s="29" t="s">
        <v>909</v>
      </c>
      <c r="M295" s="22" t="s">
        <v>669</v>
      </c>
      <c r="N295" s="34"/>
      <c r="O295" s="40"/>
      <c r="P295" s="34"/>
      <c r="Q295" s="34"/>
      <c r="R295" s="34"/>
      <c r="S295" s="34"/>
      <c r="T295" s="34"/>
      <c r="U295" s="34">
        <v>125.0</v>
      </c>
      <c r="V295" s="29" t="s">
        <v>107</v>
      </c>
      <c r="W295" s="34"/>
      <c r="X295" s="29"/>
    </row>
    <row r="296" ht="15.75" customHeight="1">
      <c r="A296" s="27" t="s">
        <v>660</v>
      </c>
      <c r="B296" s="22" t="s">
        <v>661</v>
      </c>
      <c r="C296" s="53" t="s">
        <v>25</v>
      </c>
      <c r="D296" s="53" t="s">
        <v>26</v>
      </c>
      <c r="E296" s="47" t="s">
        <v>899</v>
      </c>
      <c r="F296" s="29" t="s">
        <v>900</v>
      </c>
      <c r="G296" s="29" t="s">
        <v>664</v>
      </c>
      <c r="H296" s="48" t="s">
        <v>905</v>
      </c>
      <c r="I296" s="48" t="s">
        <v>906</v>
      </c>
      <c r="J296" s="49" t="s">
        <v>907</v>
      </c>
      <c r="K296" s="50">
        <v>94.0</v>
      </c>
      <c r="L296" s="29" t="s">
        <v>910</v>
      </c>
      <c r="M296" s="22" t="s">
        <v>669</v>
      </c>
      <c r="N296" s="34"/>
      <c r="O296" s="40"/>
      <c r="P296" s="34"/>
      <c r="Q296" s="34"/>
      <c r="R296" s="34"/>
      <c r="S296" s="34"/>
      <c r="T296" s="34"/>
      <c r="U296" s="34">
        <v>126.0</v>
      </c>
      <c r="V296" s="29" t="s">
        <v>107</v>
      </c>
      <c r="W296" s="34"/>
      <c r="X296" s="29"/>
    </row>
    <row r="297" ht="15.75" customHeight="1">
      <c r="A297" s="27" t="s">
        <v>660</v>
      </c>
      <c r="B297" s="22" t="s">
        <v>661</v>
      </c>
      <c r="C297" s="53" t="s">
        <v>25</v>
      </c>
      <c r="D297" s="53" t="s">
        <v>26</v>
      </c>
      <c r="E297" s="47" t="s">
        <v>899</v>
      </c>
      <c r="F297" s="29" t="s">
        <v>900</v>
      </c>
      <c r="G297" s="29" t="s">
        <v>664</v>
      </c>
      <c r="H297" s="48" t="s">
        <v>905</v>
      </c>
      <c r="I297" s="48" t="s">
        <v>906</v>
      </c>
      <c r="J297" s="49" t="s">
        <v>907</v>
      </c>
      <c r="K297" s="50">
        <v>95.0</v>
      </c>
      <c r="L297" s="29" t="s">
        <v>911</v>
      </c>
      <c r="M297" s="22" t="s">
        <v>669</v>
      </c>
      <c r="N297" s="34"/>
      <c r="O297" s="40"/>
      <c r="P297" s="34"/>
      <c r="Q297" s="34"/>
      <c r="R297" s="34"/>
      <c r="S297" s="34"/>
      <c r="T297" s="34"/>
      <c r="U297" s="34">
        <v>127.0</v>
      </c>
      <c r="V297" s="29" t="s">
        <v>107</v>
      </c>
      <c r="W297" s="34"/>
      <c r="X297" s="29"/>
    </row>
    <row r="298" ht="15.75" customHeight="1">
      <c r="A298" s="27" t="s">
        <v>660</v>
      </c>
      <c r="B298" s="22" t="s">
        <v>661</v>
      </c>
      <c r="C298" s="53" t="s">
        <v>25</v>
      </c>
      <c r="D298" s="53" t="s">
        <v>26</v>
      </c>
      <c r="E298" s="47" t="s">
        <v>899</v>
      </c>
      <c r="F298" s="29" t="s">
        <v>900</v>
      </c>
      <c r="G298" s="29" t="s">
        <v>664</v>
      </c>
      <c r="H298" s="48" t="s">
        <v>912</v>
      </c>
      <c r="I298" s="48" t="s">
        <v>913</v>
      </c>
      <c r="J298" s="49" t="s">
        <v>914</v>
      </c>
      <c r="K298" s="50">
        <v>96.0</v>
      </c>
      <c r="L298" s="29" t="s">
        <v>915</v>
      </c>
      <c r="M298" s="22" t="s">
        <v>669</v>
      </c>
      <c r="N298" s="34"/>
      <c r="O298" s="40"/>
      <c r="P298" s="34"/>
      <c r="Q298" s="34"/>
      <c r="R298" s="34"/>
      <c r="S298" s="34"/>
      <c r="T298" s="34"/>
      <c r="U298" s="34">
        <v>128.0</v>
      </c>
      <c r="V298" s="29" t="s">
        <v>107</v>
      </c>
      <c r="W298" s="34"/>
      <c r="X298" s="29"/>
    </row>
    <row r="299" ht="15.75" customHeight="1">
      <c r="A299" s="27" t="s">
        <v>660</v>
      </c>
      <c r="B299" s="22" t="s">
        <v>661</v>
      </c>
      <c r="C299" s="53" t="s">
        <v>25</v>
      </c>
      <c r="D299" s="53" t="s">
        <v>26</v>
      </c>
      <c r="E299" s="47" t="s">
        <v>899</v>
      </c>
      <c r="F299" s="29" t="s">
        <v>900</v>
      </c>
      <c r="G299" s="29" t="s">
        <v>664</v>
      </c>
      <c r="H299" s="48" t="s">
        <v>916</v>
      </c>
      <c r="I299" s="48" t="s">
        <v>917</v>
      </c>
      <c r="J299" s="49" t="s">
        <v>918</v>
      </c>
      <c r="K299" s="50">
        <v>97.0</v>
      </c>
      <c r="L299" s="29" t="s">
        <v>919</v>
      </c>
      <c r="M299" s="22" t="s">
        <v>669</v>
      </c>
      <c r="N299" s="34"/>
      <c r="O299" s="40"/>
      <c r="P299" s="34"/>
      <c r="Q299" s="34"/>
      <c r="R299" s="34"/>
      <c r="S299" s="34"/>
      <c r="T299" s="34"/>
      <c r="U299" s="34">
        <v>129.0</v>
      </c>
      <c r="V299" s="29" t="s">
        <v>107</v>
      </c>
      <c r="W299" s="34"/>
      <c r="X299" s="29"/>
    </row>
    <row r="300" ht="15.75" customHeight="1">
      <c r="A300" s="27" t="s">
        <v>660</v>
      </c>
      <c r="B300" s="22" t="s">
        <v>661</v>
      </c>
      <c r="C300" s="53" t="s">
        <v>25</v>
      </c>
      <c r="D300" s="53" t="s">
        <v>26</v>
      </c>
      <c r="E300" s="47" t="s">
        <v>899</v>
      </c>
      <c r="F300" s="29" t="s">
        <v>900</v>
      </c>
      <c r="G300" s="29" t="s">
        <v>664</v>
      </c>
      <c r="H300" s="48" t="s">
        <v>920</v>
      </c>
      <c r="I300" s="48" t="s">
        <v>921</v>
      </c>
      <c r="J300" s="49" t="s">
        <v>922</v>
      </c>
      <c r="K300" s="50">
        <v>98.0</v>
      </c>
      <c r="L300" s="29" t="s">
        <v>923</v>
      </c>
      <c r="M300" s="22" t="s">
        <v>669</v>
      </c>
      <c r="N300" s="34"/>
      <c r="O300" s="40"/>
      <c r="P300" s="34"/>
      <c r="Q300" s="34"/>
      <c r="R300" s="34"/>
      <c r="S300" s="34"/>
      <c r="T300" s="34"/>
      <c r="U300" s="34">
        <v>130.0</v>
      </c>
      <c r="V300" s="29" t="s">
        <v>107</v>
      </c>
      <c r="W300" s="34"/>
      <c r="X300" s="29"/>
    </row>
    <row r="301" ht="15.75" customHeight="1">
      <c r="A301" s="27" t="s">
        <v>660</v>
      </c>
      <c r="B301" s="22" t="s">
        <v>661</v>
      </c>
      <c r="C301" s="53" t="s">
        <v>25</v>
      </c>
      <c r="D301" s="53" t="s">
        <v>26</v>
      </c>
      <c r="E301" s="47" t="s">
        <v>899</v>
      </c>
      <c r="F301" s="29" t="s">
        <v>900</v>
      </c>
      <c r="G301" s="29" t="s">
        <v>664</v>
      </c>
      <c r="H301" s="48" t="s">
        <v>920</v>
      </c>
      <c r="I301" s="48" t="s">
        <v>921</v>
      </c>
      <c r="J301" s="49" t="s">
        <v>922</v>
      </c>
      <c r="K301" s="50">
        <v>99.0</v>
      </c>
      <c r="L301" s="29" t="s">
        <v>924</v>
      </c>
      <c r="M301" s="22" t="s">
        <v>669</v>
      </c>
      <c r="N301" s="34"/>
      <c r="O301" s="40"/>
      <c r="P301" s="34"/>
      <c r="Q301" s="34"/>
      <c r="R301" s="34"/>
      <c r="S301" s="34"/>
      <c r="T301" s="34"/>
      <c r="U301" s="34">
        <v>131.0</v>
      </c>
      <c r="V301" s="29" t="s">
        <v>107</v>
      </c>
      <c r="W301" s="34"/>
      <c r="X301" s="29"/>
    </row>
    <row r="302" ht="15.75" customHeight="1">
      <c r="A302" s="27" t="s">
        <v>660</v>
      </c>
      <c r="B302" s="22" t="s">
        <v>661</v>
      </c>
      <c r="C302" s="53" t="s">
        <v>25</v>
      </c>
      <c r="D302" s="53" t="s">
        <v>26</v>
      </c>
      <c r="E302" s="47" t="s">
        <v>899</v>
      </c>
      <c r="F302" s="29" t="s">
        <v>900</v>
      </c>
      <c r="G302" s="29" t="s">
        <v>664</v>
      </c>
      <c r="H302" s="48" t="s">
        <v>920</v>
      </c>
      <c r="I302" s="48" t="s">
        <v>921</v>
      </c>
      <c r="J302" s="49" t="s">
        <v>922</v>
      </c>
      <c r="K302" s="50">
        <v>100.0</v>
      </c>
      <c r="L302" s="29" t="s">
        <v>925</v>
      </c>
      <c r="M302" s="22" t="s">
        <v>669</v>
      </c>
      <c r="N302" s="34"/>
      <c r="O302" s="40"/>
      <c r="P302" s="34"/>
      <c r="Q302" s="34"/>
      <c r="R302" s="34"/>
      <c r="S302" s="34"/>
      <c r="T302" s="34"/>
      <c r="U302" s="34">
        <v>132.0</v>
      </c>
      <c r="V302" s="29" t="s">
        <v>107</v>
      </c>
      <c r="W302" s="34"/>
      <c r="X302" s="29"/>
    </row>
    <row r="303" ht="15.75" customHeight="1">
      <c r="A303" s="27" t="s">
        <v>660</v>
      </c>
      <c r="B303" s="22" t="s">
        <v>661</v>
      </c>
      <c r="C303" s="53" t="s">
        <v>25</v>
      </c>
      <c r="D303" s="53" t="s">
        <v>26</v>
      </c>
      <c r="E303" s="47" t="s">
        <v>899</v>
      </c>
      <c r="F303" s="29" t="s">
        <v>900</v>
      </c>
      <c r="G303" s="29" t="s">
        <v>664</v>
      </c>
      <c r="H303" s="48" t="s">
        <v>920</v>
      </c>
      <c r="I303" s="48" t="s">
        <v>921</v>
      </c>
      <c r="J303" s="49" t="s">
        <v>922</v>
      </c>
      <c r="K303" s="50">
        <v>101.0</v>
      </c>
      <c r="L303" s="29" t="s">
        <v>926</v>
      </c>
      <c r="M303" s="22" t="s">
        <v>669</v>
      </c>
      <c r="N303" s="34"/>
      <c r="O303" s="40"/>
      <c r="P303" s="34"/>
      <c r="Q303" s="34"/>
      <c r="R303" s="34"/>
      <c r="S303" s="34"/>
      <c r="T303" s="34"/>
      <c r="U303" s="34">
        <v>133.0</v>
      </c>
      <c r="V303" s="29" t="s">
        <v>107</v>
      </c>
      <c r="W303" s="34"/>
      <c r="X303" s="29"/>
    </row>
    <row r="304" ht="15.75" customHeight="1">
      <c r="A304" s="27" t="s">
        <v>660</v>
      </c>
      <c r="B304" s="22" t="s">
        <v>661</v>
      </c>
      <c r="C304" s="53" t="s">
        <v>25</v>
      </c>
      <c r="D304" s="53" t="s">
        <v>26</v>
      </c>
      <c r="E304" s="47" t="s">
        <v>899</v>
      </c>
      <c r="F304" s="29" t="s">
        <v>900</v>
      </c>
      <c r="G304" s="29" t="s">
        <v>664</v>
      </c>
      <c r="H304" s="48" t="s">
        <v>927</v>
      </c>
      <c r="I304" s="48" t="s">
        <v>928</v>
      </c>
      <c r="J304" s="49" t="s">
        <v>929</v>
      </c>
      <c r="K304" s="50">
        <v>102.0</v>
      </c>
      <c r="L304" s="29" t="s">
        <v>930</v>
      </c>
      <c r="M304" s="22" t="s">
        <v>669</v>
      </c>
      <c r="N304" s="34"/>
      <c r="O304" s="40"/>
      <c r="P304" s="34"/>
      <c r="Q304" s="34"/>
      <c r="R304" s="34"/>
      <c r="S304" s="34"/>
      <c r="T304" s="34"/>
      <c r="U304" s="34">
        <v>134.0</v>
      </c>
      <c r="V304" s="29" t="s">
        <v>107</v>
      </c>
      <c r="W304" s="34"/>
      <c r="X304" s="29"/>
    </row>
    <row r="305" ht="15.75" customHeight="1">
      <c r="A305" s="27" t="s">
        <v>660</v>
      </c>
      <c r="B305" s="22" t="s">
        <v>661</v>
      </c>
      <c r="C305" s="53" t="s">
        <v>25</v>
      </c>
      <c r="D305" s="53" t="s">
        <v>26</v>
      </c>
      <c r="E305" s="47" t="s">
        <v>899</v>
      </c>
      <c r="F305" s="29" t="s">
        <v>900</v>
      </c>
      <c r="G305" s="29" t="s">
        <v>664</v>
      </c>
      <c r="H305" s="48" t="s">
        <v>927</v>
      </c>
      <c r="I305" s="48" t="s">
        <v>928</v>
      </c>
      <c r="J305" s="49" t="s">
        <v>929</v>
      </c>
      <c r="K305" s="50">
        <v>103.0</v>
      </c>
      <c r="L305" s="29" t="s">
        <v>931</v>
      </c>
      <c r="M305" s="22" t="s">
        <v>669</v>
      </c>
      <c r="N305" s="34"/>
      <c r="O305" s="40"/>
      <c r="P305" s="34"/>
      <c r="Q305" s="34"/>
      <c r="R305" s="34"/>
      <c r="S305" s="34"/>
      <c r="T305" s="34"/>
      <c r="U305" s="34">
        <v>135.0</v>
      </c>
      <c r="V305" s="29" t="s">
        <v>107</v>
      </c>
      <c r="W305" s="34"/>
      <c r="X305" s="29"/>
    </row>
    <row r="306" ht="15.75" customHeight="1">
      <c r="A306" s="27" t="s">
        <v>660</v>
      </c>
      <c r="B306" s="22" t="s">
        <v>661</v>
      </c>
      <c r="C306" s="53" t="s">
        <v>25</v>
      </c>
      <c r="D306" s="53" t="s">
        <v>26</v>
      </c>
      <c r="E306" s="47" t="s">
        <v>899</v>
      </c>
      <c r="F306" s="29" t="s">
        <v>900</v>
      </c>
      <c r="G306" s="29" t="s">
        <v>664</v>
      </c>
      <c r="H306" s="48" t="s">
        <v>927</v>
      </c>
      <c r="I306" s="48" t="s">
        <v>928</v>
      </c>
      <c r="J306" s="49" t="s">
        <v>929</v>
      </c>
      <c r="K306" s="50">
        <v>104.0</v>
      </c>
      <c r="L306" s="29" t="s">
        <v>932</v>
      </c>
      <c r="M306" s="22" t="s">
        <v>669</v>
      </c>
      <c r="N306" s="34"/>
      <c r="O306" s="40"/>
      <c r="P306" s="34"/>
      <c r="Q306" s="34"/>
      <c r="R306" s="34"/>
      <c r="S306" s="34"/>
      <c r="T306" s="34"/>
      <c r="U306" s="34">
        <v>136.0</v>
      </c>
      <c r="V306" s="29" t="s">
        <v>107</v>
      </c>
      <c r="W306" s="34"/>
      <c r="X306" s="29"/>
    </row>
    <row r="307" ht="15.75" customHeight="1">
      <c r="A307" s="27" t="s">
        <v>660</v>
      </c>
      <c r="B307" s="22" t="s">
        <v>661</v>
      </c>
      <c r="C307" s="53" t="s">
        <v>25</v>
      </c>
      <c r="D307" s="53" t="s">
        <v>26</v>
      </c>
      <c r="E307" s="47" t="s">
        <v>899</v>
      </c>
      <c r="F307" s="29" t="s">
        <v>900</v>
      </c>
      <c r="G307" s="29" t="s">
        <v>664</v>
      </c>
      <c r="H307" s="48" t="s">
        <v>927</v>
      </c>
      <c r="I307" s="48" t="s">
        <v>928</v>
      </c>
      <c r="J307" s="49" t="s">
        <v>929</v>
      </c>
      <c r="K307" s="50">
        <v>105.0</v>
      </c>
      <c r="L307" s="29" t="s">
        <v>933</v>
      </c>
      <c r="M307" s="22" t="s">
        <v>669</v>
      </c>
      <c r="N307" s="34"/>
      <c r="O307" s="40"/>
      <c r="P307" s="34"/>
      <c r="Q307" s="34"/>
      <c r="R307" s="34"/>
      <c r="S307" s="34"/>
      <c r="T307" s="34"/>
      <c r="U307" s="34">
        <v>137.0</v>
      </c>
      <c r="V307" s="29" t="s">
        <v>107</v>
      </c>
      <c r="W307" s="34"/>
      <c r="X307" s="29"/>
    </row>
    <row r="308" ht="15.75" customHeight="1">
      <c r="A308" s="27" t="s">
        <v>660</v>
      </c>
      <c r="B308" s="22" t="s">
        <v>661</v>
      </c>
      <c r="C308" s="53" t="s">
        <v>25</v>
      </c>
      <c r="D308" s="53" t="s">
        <v>26</v>
      </c>
      <c r="E308" s="47" t="s">
        <v>899</v>
      </c>
      <c r="F308" s="29" t="s">
        <v>900</v>
      </c>
      <c r="G308" s="29" t="s">
        <v>664</v>
      </c>
      <c r="H308" s="48" t="s">
        <v>927</v>
      </c>
      <c r="I308" s="48" t="s">
        <v>928</v>
      </c>
      <c r="J308" s="49" t="s">
        <v>929</v>
      </c>
      <c r="K308" s="50">
        <v>106.0</v>
      </c>
      <c r="L308" s="29" t="s">
        <v>934</v>
      </c>
      <c r="M308" s="22" t="s">
        <v>669</v>
      </c>
      <c r="N308" s="34"/>
      <c r="O308" s="40"/>
      <c r="P308" s="34"/>
      <c r="Q308" s="34"/>
      <c r="R308" s="34"/>
      <c r="S308" s="34"/>
      <c r="T308" s="34"/>
      <c r="U308" s="34">
        <v>138.0</v>
      </c>
      <c r="V308" s="29" t="s">
        <v>107</v>
      </c>
      <c r="W308" s="34"/>
      <c r="X308" s="29"/>
    </row>
    <row r="309" ht="15.75" customHeight="1">
      <c r="A309" s="27" t="s">
        <v>660</v>
      </c>
      <c r="B309" s="22" t="s">
        <v>661</v>
      </c>
      <c r="C309" s="53" t="s">
        <v>25</v>
      </c>
      <c r="D309" s="53" t="s">
        <v>26</v>
      </c>
      <c r="E309" s="47" t="s">
        <v>899</v>
      </c>
      <c r="F309" s="29" t="s">
        <v>935</v>
      </c>
      <c r="G309" s="29" t="s">
        <v>714</v>
      </c>
      <c r="H309" s="48" t="s">
        <v>936</v>
      </c>
      <c r="I309" s="48" t="s">
        <v>937</v>
      </c>
      <c r="J309" s="49" t="s">
        <v>938</v>
      </c>
      <c r="K309" s="50">
        <v>107.0</v>
      </c>
      <c r="L309" s="29" t="s">
        <v>939</v>
      </c>
      <c r="M309" s="22" t="s">
        <v>669</v>
      </c>
      <c r="N309" s="34"/>
      <c r="O309" s="40"/>
      <c r="P309" s="34"/>
      <c r="Q309" s="34"/>
      <c r="R309" s="34"/>
      <c r="S309" s="34"/>
      <c r="T309" s="34"/>
      <c r="U309" s="34">
        <v>140.0</v>
      </c>
      <c r="V309" s="29" t="s">
        <v>107</v>
      </c>
      <c r="W309" s="34"/>
      <c r="X309" s="29"/>
    </row>
    <row r="310" ht="15.75" customHeight="1">
      <c r="A310" s="27" t="s">
        <v>660</v>
      </c>
      <c r="B310" s="22" t="s">
        <v>661</v>
      </c>
      <c r="C310" s="53" t="s">
        <v>25</v>
      </c>
      <c r="D310" s="53" t="s">
        <v>26</v>
      </c>
      <c r="E310" s="47" t="s">
        <v>899</v>
      </c>
      <c r="F310" s="29" t="s">
        <v>935</v>
      </c>
      <c r="G310" s="29" t="s">
        <v>714</v>
      </c>
      <c r="H310" s="48" t="s">
        <v>940</v>
      </c>
      <c r="I310" s="48" t="s">
        <v>941</v>
      </c>
      <c r="J310" s="49" t="s">
        <v>942</v>
      </c>
      <c r="K310" s="50">
        <v>108.0</v>
      </c>
      <c r="L310" s="29" t="s">
        <v>943</v>
      </c>
      <c r="M310" s="22" t="s">
        <v>669</v>
      </c>
      <c r="N310" s="34"/>
      <c r="O310" s="40"/>
      <c r="P310" s="34"/>
      <c r="Q310" s="34"/>
      <c r="R310" s="34"/>
      <c r="S310" s="34"/>
      <c r="T310" s="34"/>
      <c r="U310" s="34">
        <v>141.0</v>
      </c>
      <c r="V310" s="29" t="s">
        <v>107</v>
      </c>
      <c r="W310" s="34"/>
      <c r="X310" s="29"/>
    </row>
    <row r="311" ht="15.75" customHeight="1">
      <c r="A311" s="27" t="s">
        <v>660</v>
      </c>
      <c r="B311" s="22" t="s">
        <v>661</v>
      </c>
      <c r="C311" s="53" t="s">
        <v>25</v>
      </c>
      <c r="D311" s="53" t="s">
        <v>26</v>
      </c>
      <c r="E311" s="47" t="s">
        <v>899</v>
      </c>
      <c r="F311" s="29" t="s">
        <v>935</v>
      </c>
      <c r="G311" s="29" t="s">
        <v>714</v>
      </c>
      <c r="H311" s="48" t="s">
        <v>944</v>
      </c>
      <c r="I311" s="48" t="s">
        <v>945</v>
      </c>
      <c r="J311" s="49" t="s">
        <v>946</v>
      </c>
      <c r="K311" s="50">
        <v>109.0</v>
      </c>
      <c r="L311" s="29" t="s">
        <v>947</v>
      </c>
      <c r="M311" s="22" t="s">
        <v>669</v>
      </c>
      <c r="N311" s="34"/>
      <c r="O311" s="40"/>
      <c r="P311" s="34"/>
      <c r="Q311" s="34"/>
      <c r="R311" s="34"/>
      <c r="S311" s="34"/>
      <c r="T311" s="34"/>
      <c r="U311" s="34">
        <v>142.0</v>
      </c>
      <c r="V311" s="29" t="s">
        <v>107</v>
      </c>
      <c r="W311" s="34"/>
      <c r="X311" s="29"/>
    </row>
    <row r="312" ht="15.75" customHeight="1">
      <c r="A312" s="27" t="s">
        <v>660</v>
      </c>
      <c r="B312" s="22" t="s">
        <v>661</v>
      </c>
      <c r="C312" s="53" t="s">
        <v>25</v>
      </c>
      <c r="D312" s="53" t="s">
        <v>26</v>
      </c>
      <c r="E312" s="47" t="s">
        <v>899</v>
      </c>
      <c r="F312" s="29" t="s">
        <v>935</v>
      </c>
      <c r="G312" s="29" t="s">
        <v>714</v>
      </c>
      <c r="H312" s="48" t="s">
        <v>944</v>
      </c>
      <c r="I312" s="48" t="s">
        <v>945</v>
      </c>
      <c r="J312" s="49" t="s">
        <v>946</v>
      </c>
      <c r="K312" s="50">
        <v>110.0</v>
      </c>
      <c r="L312" s="29" t="s">
        <v>948</v>
      </c>
      <c r="M312" s="22" t="s">
        <v>669</v>
      </c>
      <c r="N312" s="34"/>
      <c r="O312" s="40"/>
      <c r="P312" s="34"/>
      <c r="Q312" s="34"/>
      <c r="R312" s="34"/>
      <c r="S312" s="34"/>
      <c r="T312" s="34"/>
      <c r="U312" s="34">
        <v>143.0</v>
      </c>
      <c r="V312" s="29" t="s">
        <v>107</v>
      </c>
      <c r="W312" s="34"/>
      <c r="X312" s="29"/>
    </row>
    <row r="313" ht="15.75" customHeight="1">
      <c r="A313" s="27" t="s">
        <v>660</v>
      </c>
      <c r="B313" s="22" t="s">
        <v>661</v>
      </c>
      <c r="C313" s="53" t="s">
        <v>25</v>
      </c>
      <c r="D313" s="53" t="s">
        <v>26</v>
      </c>
      <c r="E313" s="47" t="s">
        <v>899</v>
      </c>
      <c r="F313" s="29" t="s">
        <v>935</v>
      </c>
      <c r="G313" s="29" t="s">
        <v>714</v>
      </c>
      <c r="H313" s="48" t="s">
        <v>944</v>
      </c>
      <c r="I313" s="48" t="s">
        <v>945</v>
      </c>
      <c r="J313" s="49" t="s">
        <v>946</v>
      </c>
      <c r="K313" s="50">
        <v>111.0</v>
      </c>
      <c r="L313" s="29" t="s">
        <v>949</v>
      </c>
      <c r="M313" s="22" t="s">
        <v>669</v>
      </c>
      <c r="N313" s="34"/>
      <c r="O313" s="40"/>
      <c r="P313" s="34"/>
      <c r="Q313" s="34"/>
      <c r="R313" s="34"/>
      <c r="S313" s="34"/>
      <c r="T313" s="34"/>
      <c r="U313" s="34">
        <v>144.0</v>
      </c>
      <c r="V313" s="29" t="s">
        <v>107</v>
      </c>
      <c r="W313" s="34"/>
      <c r="X313" s="29"/>
    </row>
    <row r="314" ht="15.75" customHeight="1">
      <c r="A314" s="27" t="s">
        <v>660</v>
      </c>
      <c r="B314" s="22" t="s">
        <v>661</v>
      </c>
      <c r="C314" s="53" t="s">
        <v>25</v>
      </c>
      <c r="D314" s="53" t="s">
        <v>26</v>
      </c>
      <c r="E314" s="47" t="s">
        <v>899</v>
      </c>
      <c r="F314" s="29" t="s">
        <v>935</v>
      </c>
      <c r="G314" s="29" t="s">
        <v>714</v>
      </c>
      <c r="H314" s="48" t="s">
        <v>950</v>
      </c>
      <c r="I314" s="48" t="s">
        <v>951</v>
      </c>
      <c r="J314" s="49" t="s">
        <v>952</v>
      </c>
      <c r="K314" s="50">
        <v>112.0</v>
      </c>
      <c r="L314" s="29" t="s">
        <v>953</v>
      </c>
      <c r="M314" s="22" t="s">
        <v>669</v>
      </c>
      <c r="N314" s="34"/>
      <c r="O314" s="40"/>
      <c r="P314" s="34"/>
      <c r="Q314" s="34"/>
      <c r="R314" s="34"/>
      <c r="S314" s="34"/>
      <c r="T314" s="34"/>
      <c r="U314" s="34">
        <v>145.0</v>
      </c>
      <c r="V314" s="29" t="s">
        <v>107</v>
      </c>
      <c r="W314" s="34"/>
      <c r="X314" s="29"/>
    </row>
    <row r="315" ht="15.75" customHeight="1">
      <c r="A315" s="27" t="s">
        <v>660</v>
      </c>
      <c r="B315" s="22" t="s">
        <v>661</v>
      </c>
      <c r="C315" s="53" t="s">
        <v>25</v>
      </c>
      <c r="D315" s="53" t="s">
        <v>26</v>
      </c>
      <c r="E315" s="47" t="s">
        <v>899</v>
      </c>
      <c r="F315" s="29" t="s">
        <v>935</v>
      </c>
      <c r="G315" s="29" t="s">
        <v>714</v>
      </c>
      <c r="H315" s="48" t="s">
        <v>950</v>
      </c>
      <c r="I315" s="48" t="s">
        <v>951</v>
      </c>
      <c r="J315" s="49" t="s">
        <v>952</v>
      </c>
      <c r="K315" s="50">
        <v>113.0</v>
      </c>
      <c r="L315" s="29" t="s">
        <v>954</v>
      </c>
      <c r="M315" s="22" t="s">
        <v>669</v>
      </c>
      <c r="N315" s="34"/>
      <c r="O315" s="40"/>
      <c r="P315" s="34"/>
      <c r="Q315" s="34"/>
      <c r="R315" s="34"/>
      <c r="S315" s="34"/>
      <c r="T315" s="34"/>
      <c r="U315" s="34">
        <v>146.0</v>
      </c>
      <c r="V315" s="29" t="s">
        <v>107</v>
      </c>
      <c r="W315" s="34"/>
      <c r="X315" s="29"/>
    </row>
    <row r="316" ht="15.75" customHeight="1">
      <c r="A316" s="27" t="s">
        <v>660</v>
      </c>
      <c r="B316" s="22" t="s">
        <v>661</v>
      </c>
      <c r="C316" s="53" t="s">
        <v>25</v>
      </c>
      <c r="D316" s="53" t="s">
        <v>26</v>
      </c>
      <c r="E316" s="47" t="s">
        <v>899</v>
      </c>
      <c r="F316" s="29" t="s">
        <v>935</v>
      </c>
      <c r="G316" s="29" t="s">
        <v>714</v>
      </c>
      <c r="H316" s="48" t="s">
        <v>955</v>
      </c>
      <c r="I316" s="48" t="s">
        <v>956</v>
      </c>
      <c r="J316" s="49" t="s">
        <v>957</v>
      </c>
      <c r="K316" s="50">
        <v>114.0</v>
      </c>
      <c r="L316" s="29" t="s">
        <v>958</v>
      </c>
      <c r="M316" s="22" t="s">
        <v>669</v>
      </c>
      <c r="N316" s="34"/>
      <c r="O316" s="40"/>
      <c r="P316" s="34"/>
      <c r="Q316" s="34"/>
      <c r="R316" s="34"/>
      <c r="S316" s="34"/>
      <c r="T316" s="34"/>
      <c r="U316" s="34">
        <v>147.0</v>
      </c>
      <c r="V316" s="29" t="s">
        <v>107</v>
      </c>
      <c r="W316" s="34"/>
      <c r="X316" s="29"/>
    </row>
    <row r="317" ht="15.75" customHeight="1">
      <c r="A317" s="27" t="s">
        <v>660</v>
      </c>
      <c r="B317" s="22" t="s">
        <v>661</v>
      </c>
      <c r="C317" s="53" t="s">
        <v>25</v>
      </c>
      <c r="D317" s="53" t="s">
        <v>26</v>
      </c>
      <c r="E317" s="47" t="s">
        <v>899</v>
      </c>
      <c r="F317" s="29" t="s">
        <v>935</v>
      </c>
      <c r="G317" s="29" t="s">
        <v>714</v>
      </c>
      <c r="H317" s="48" t="s">
        <v>955</v>
      </c>
      <c r="I317" s="48" t="s">
        <v>956</v>
      </c>
      <c r="J317" s="49" t="s">
        <v>957</v>
      </c>
      <c r="K317" s="50">
        <v>115.0</v>
      </c>
      <c r="L317" s="29" t="s">
        <v>959</v>
      </c>
      <c r="M317" s="22" t="s">
        <v>669</v>
      </c>
      <c r="N317" s="34"/>
      <c r="O317" s="40"/>
      <c r="P317" s="34"/>
      <c r="Q317" s="34"/>
      <c r="R317" s="34"/>
      <c r="S317" s="34"/>
      <c r="T317" s="34"/>
      <c r="U317" s="34">
        <v>148.0</v>
      </c>
      <c r="V317" s="29" t="s">
        <v>107</v>
      </c>
      <c r="W317" s="34"/>
      <c r="X317" s="29"/>
    </row>
    <row r="318" ht="15.75" customHeight="1">
      <c r="A318" s="27" t="s">
        <v>660</v>
      </c>
      <c r="B318" s="22" t="s">
        <v>661</v>
      </c>
      <c r="C318" s="53" t="s">
        <v>25</v>
      </c>
      <c r="D318" s="53" t="s">
        <v>26</v>
      </c>
      <c r="E318" s="47" t="s">
        <v>899</v>
      </c>
      <c r="F318" s="29" t="s">
        <v>935</v>
      </c>
      <c r="G318" s="29" t="s">
        <v>714</v>
      </c>
      <c r="H318" s="48" t="s">
        <v>960</v>
      </c>
      <c r="I318" s="48" t="s">
        <v>961</v>
      </c>
      <c r="J318" s="49" t="s">
        <v>962</v>
      </c>
      <c r="K318" s="50">
        <v>116.0</v>
      </c>
      <c r="L318" s="29" t="s">
        <v>963</v>
      </c>
      <c r="M318" s="22" t="s">
        <v>669</v>
      </c>
      <c r="N318" s="34"/>
      <c r="O318" s="40"/>
      <c r="P318" s="34"/>
      <c r="Q318" s="34"/>
      <c r="R318" s="34"/>
      <c r="S318" s="34"/>
      <c r="T318" s="34"/>
      <c r="U318" s="34">
        <v>149.0</v>
      </c>
      <c r="V318" s="29" t="s">
        <v>107</v>
      </c>
      <c r="W318" s="34"/>
      <c r="X318" s="29"/>
    </row>
    <row r="319" ht="15.75" customHeight="1">
      <c r="A319" s="27" t="s">
        <v>660</v>
      </c>
      <c r="B319" s="22" t="s">
        <v>661</v>
      </c>
      <c r="C319" s="53" t="s">
        <v>25</v>
      </c>
      <c r="D319" s="53" t="s">
        <v>26</v>
      </c>
      <c r="E319" s="47" t="s">
        <v>899</v>
      </c>
      <c r="F319" s="29" t="s">
        <v>935</v>
      </c>
      <c r="G319" s="29" t="s">
        <v>714</v>
      </c>
      <c r="H319" s="48" t="s">
        <v>960</v>
      </c>
      <c r="I319" s="48" t="s">
        <v>961</v>
      </c>
      <c r="J319" s="49" t="s">
        <v>962</v>
      </c>
      <c r="K319" s="50">
        <v>117.0</v>
      </c>
      <c r="L319" s="29" t="s">
        <v>964</v>
      </c>
      <c r="M319" s="22" t="s">
        <v>669</v>
      </c>
      <c r="N319" s="34"/>
      <c r="O319" s="40"/>
      <c r="P319" s="34"/>
      <c r="Q319" s="34"/>
      <c r="R319" s="34"/>
      <c r="S319" s="34"/>
      <c r="T319" s="34"/>
      <c r="U319" s="34">
        <v>150.0</v>
      </c>
      <c r="V319" s="29" t="s">
        <v>107</v>
      </c>
      <c r="W319" s="34"/>
      <c r="X319" s="29"/>
    </row>
    <row r="320" ht="15.75" customHeight="1">
      <c r="A320" s="27" t="s">
        <v>660</v>
      </c>
      <c r="B320" s="22" t="s">
        <v>661</v>
      </c>
      <c r="C320" s="53" t="s">
        <v>25</v>
      </c>
      <c r="D320" s="53" t="s">
        <v>26</v>
      </c>
      <c r="E320" s="47" t="s">
        <v>899</v>
      </c>
      <c r="F320" s="29" t="s">
        <v>935</v>
      </c>
      <c r="G320" s="29" t="s">
        <v>714</v>
      </c>
      <c r="H320" s="48" t="s">
        <v>960</v>
      </c>
      <c r="I320" s="48" t="s">
        <v>961</v>
      </c>
      <c r="J320" s="49" t="s">
        <v>962</v>
      </c>
      <c r="K320" s="50">
        <v>118.0</v>
      </c>
      <c r="L320" s="29" t="s">
        <v>965</v>
      </c>
      <c r="M320" s="22" t="s">
        <v>669</v>
      </c>
      <c r="N320" s="34"/>
      <c r="O320" s="40"/>
      <c r="P320" s="34"/>
      <c r="Q320" s="34"/>
      <c r="R320" s="34"/>
      <c r="S320" s="34"/>
      <c r="T320" s="34"/>
      <c r="U320" s="34">
        <v>151.0</v>
      </c>
      <c r="V320" s="29" t="s">
        <v>107</v>
      </c>
      <c r="W320" s="34"/>
      <c r="X320" s="29"/>
    </row>
    <row r="321" ht="15.75" customHeight="1">
      <c r="A321" s="27" t="s">
        <v>660</v>
      </c>
      <c r="B321" s="22" t="s">
        <v>661</v>
      </c>
      <c r="C321" s="53" t="s">
        <v>25</v>
      </c>
      <c r="D321" s="53" t="s">
        <v>26</v>
      </c>
      <c r="E321" s="47" t="s">
        <v>899</v>
      </c>
      <c r="F321" s="29" t="s">
        <v>966</v>
      </c>
      <c r="G321" s="29" t="s">
        <v>749</v>
      </c>
      <c r="H321" s="48" t="s">
        <v>967</v>
      </c>
      <c r="I321" s="48" t="s">
        <v>968</v>
      </c>
      <c r="J321" s="49" t="s">
        <v>969</v>
      </c>
      <c r="K321" s="50">
        <v>119.0</v>
      </c>
      <c r="L321" s="29" t="s">
        <v>970</v>
      </c>
      <c r="M321" s="22" t="s">
        <v>669</v>
      </c>
      <c r="N321" s="34"/>
      <c r="O321" s="40"/>
      <c r="P321" s="34"/>
      <c r="Q321" s="34"/>
      <c r="R321" s="34"/>
      <c r="S321" s="34"/>
      <c r="T321" s="34"/>
      <c r="U321" s="34">
        <v>153.0</v>
      </c>
      <c r="V321" s="29" t="s">
        <v>107</v>
      </c>
      <c r="W321" s="34"/>
      <c r="X321" s="29"/>
    </row>
    <row r="322" ht="15.75" customHeight="1">
      <c r="A322" s="27" t="s">
        <v>660</v>
      </c>
      <c r="B322" s="22" t="s">
        <v>661</v>
      </c>
      <c r="C322" s="53" t="s">
        <v>27</v>
      </c>
      <c r="D322" s="53" t="s">
        <v>28</v>
      </c>
      <c r="E322" s="47" t="s">
        <v>971</v>
      </c>
      <c r="F322" s="29" t="s">
        <v>972</v>
      </c>
      <c r="G322" s="29" t="s">
        <v>664</v>
      </c>
      <c r="H322" s="48" t="s">
        <v>973</v>
      </c>
      <c r="I322" s="48" t="s">
        <v>974</v>
      </c>
      <c r="J322" s="49" t="s">
        <v>975</v>
      </c>
      <c r="K322" s="50">
        <v>120.0</v>
      </c>
      <c r="L322" s="29" t="s">
        <v>976</v>
      </c>
      <c r="M322" s="22" t="s">
        <v>669</v>
      </c>
      <c r="N322" s="34"/>
      <c r="O322" s="40"/>
      <c r="P322" s="34"/>
      <c r="Q322" s="34"/>
      <c r="R322" s="34"/>
      <c r="S322" s="34"/>
      <c r="T322" s="34"/>
      <c r="U322" s="34">
        <v>160.0</v>
      </c>
      <c r="V322" s="29" t="s">
        <v>107</v>
      </c>
      <c r="W322" s="34"/>
      <c r="X322" s="29"/>
    </row>
    <row r="323" ht="15.75" customHeight="1">
      <c r="A323" s="27" t="s">
        <v>660</v>
      </c>
      <c r="B323" s="22" t="s">
        <v>661</v>
      </c>
      <c r="C323" s="53" t="s">
        <v>27</v>
      </c>
      <c r="D323" s="53" t="s">
        <v>28</v>
      </c>
      <c r="E323" s="47" t="s">
        <v>971</v>
      </c>
      <c r="F323" s="29" t="s">
        <v>972</v>
      </c>
      <c r="G323" s="29" t="s">
        <v>664</v>
      </c>
      <c r="H323" s="48" t="s">
        <v>973</v>
      </c>
      <c r="I323" s="48" t="s">
        <v>974</v>
      </c>
      <c r="J323" s="49" t="s">
        <v>975</v>
      </c>
      <c r="K323" s="50">
        <v>121.0</v>
      </c>
      <c r="L323" s="29" t="s">
        <v>977</v>
      </c>
      <c r="M323" s="22" t="s">
        <v>669</v>
      </c>
      <c r="N323" s="34"/>
      <c r="O323" s="40"/>
      <c r="P323" s="34"/>
      <c r="Q323" s="34"/>
      <c r="R323" s="34"/>
      <c r="S323" s="34"/>
      <c r="T323" s="34"/>
      <c r="U323" s="34">
        <v>161.0</v>
      </c>
      <c r="V323" s="29" t="s">
        <v>107</v>
      </c>
      <c r="W323" s="34"/>
      <c r="X323" s="29"/>
    </row>
    <row r="324" ht="15.75" customHeight="1">
      <c r="A324" s="27" t="s">
        <v>660</v>
      </c>
      <c r="B324" s="22" t="s">
        <v>661</v>
      </c>
      <c r="C324" s="53" t="s">
        <v>27</v>
      </c>
      <c r="D324" s="53" t="s">
        <v>28</v>
      </c>
      <c r="E324" s="47" t="s">
        <v>971</v>
      </c>
      <c r="F324" s="29" t="s">
        <v>972</v>
      </c>
      <c r="G324" s="29" t="s">
        <v>664</v>
      </c>
      <c r="H324" s="48" t="s">
        <v>973</v>
      </c>
      <c r="I324" s="48" t="s">
        <v>974</v>
      </c>
      <c r="J324" s="49" t="s">
        <v>975</v>
      </c>
      <c r="K324" s="50">
        <v>122.0</v>
      </c>
      <c r="L324" s="29" t="s">
        <v>978</v>
      </c>
      <c r="M324" s="22" t="s">
        <v>669</v>
      </c>
      <c r="N324" s="34"/>
      <c r="O324" s="40"/>
      <c r="P324" s="34"/>
      <c r="Q324" s="34"/>
      <c r="R324" s="34"/>
      <c r="S324" s="34"/>
      <c r="T324" s="34"/>
      <c r="U324" s="34">
        <v>162.0</v>
      </c>
      <c r="V324" s="29" t="s">
        <v>107</v>
      </c>
      <c r="W324" s="34"/>
      <c r="X324" s="29"/>
    </row>
    <row r="325" ht="15.75" customHeight="1">
      <c r="A325" s="27" t="s">
        <v>660</v>
      </c>
      <c r="B325" s="22" t="s">
        <v>661</v>
      </c>
      <c r="C325" s="53" t="s">
        <v>27</v>
      </c>
      <c r="D325" s="53" t="s">
        <v>28</v>
      </c>
      <c r="E325" s="47" t="s">
        <v>971</v>
      </c>
      <c r="F325" s="29" t="s">
        <v>972</v>
      </c>
      <c r="G325" s="29" t="s">
        <v>664</v>
      </c>
      <c r="H325" s="48" t="s">
        <v>973</v>
      </c>
      <c r="I325" s="48" t="s">
        <v>974</v>
      </c>
      <c r="J325" s="49" t="s">
        <v>975</v>
      </c>
      <c r="K325" s="50">
        <v>123.0</v>
      </c>
      <c r="L325" s="29" t="s">
        <v>979</v>
      </c>
      <c r="M325" s="22" t="s">
        <v>669</v>
      </c>
      <c r="N325" s="34"/>
      <c r="O325" s="40"/>
      <c r="P325" s="34"/>
      <c r="Q325" s="34"/>
      <c r="R325" s="34"/>
      <c r="S325" s="34"/>
      <c r="T325" s="34"/>
      <c r="U325" s="34">
        <v>163.0</v>
      </c>
      <c r="V325" s="29" t="s">
        <v>107</v>
      </c>
      <c r="W325" s="34"/>
      <c r="X325" s="29"/>
    </row>
    <row r="326" ht="15.75" customHeight="1">
      <c r="A326" s="27" t="s">
        <v>660</v>
      </c>
      <c r="B326" s="22" t="s">
        <v>661</v>
      </c>
      <c r="C326" s="53" t="s">
        <v>27</v>
      </c>
      <c r="D326" s="53" t="s">
        <v>28</v>
      </c>
      <c r="E326" s="47" t="s">
        <v>971</v>
      </c>
      <c r="F326" s="29" t="s">
        <v>972</v>
      </c>
      <c r="G326" s="29" t="s">
        <v>664</v>
      </c>
      <c r="H326" s="48" t="s">
        <v>973</v>
      </c>
      <c r="I326" s="48" t="s">
        <v>974</v>
      </c>
      <c r="J326" s="49" t="s">
        <v>975</v>
      </c>
      <c r="K326" s="50">
        <v>124.0</v>
      </c>
      <c r="L326" s="29" t="s">
        <v>980</v>
      </c>
      <c r="M326" s="22" t="s">
        <v>669</v>
      </c>
      <c r="N326" s="34"/>
      <c r="O326" s="40"/>
      <c r="P326" s="34"/>
      <c r="Q326" s="34"/>
      <c r="R326" s="34"/>
      <c r="S326" s="34"/>
      <c r="T326" s="34"/>
      <c r="U326" s="34">
        <v>164.0</v>
      </c>
      <c r="V326" s="29" t="s">
        <v>107</v>
      </c>
      <c r="W326" s="34"/>
      <c r="X326" s="29"/>
    </row>
    <row r="327" ht="15.75" customHeight="1">
      <c r="A327" s="27" t="s">
        <v>660</v>
      </c>
      <c r="B327" s="22" t="s">
        <v>661</v>
      </c>
      <c r="C327" s="53" t="s">
        <v>27</v>
      </c>
      <c r="D327" s="53" t="s">
        <v>28</v>
      </c>
      <c r="E327" s="47" t="s">
        <v>971</v>
      </c>
      <c r="F327" s="49" t="s">
        <v>981</v>
      </c>
      <c r="G327" s="29" t="s">
        <v>714</v>
      </c>
      <c r="H327" s="48" t="s">
        <v>982</v>
      </c>
      <c r="I327" s="48" t="s">
        <v>983</v>
      </c>
      <c r="J327" s="49" t="s">
        <v>984</v>
      </c>
      <c r="K327" s="50">
        <v>125.0</v>
      </c>
      <c r="L327" s="29" t="s">
        <v>985</v>
      </c>
      <c r="M327" s="22" t="s">
        <v>669</v>
      </c>
      <c r="N327" s="34"/>
      <c r="O327" s="40"/>
      <c r="P327" s="34"/>
      <c r="Q327" s="34"/>
      <c r="R327" s="34"/>
      <c r="S327" s="34"/>
      <c r="T327" s="34"/>
      <c r="U327" s="34">
        <v>166.0</v>
      </c>
      <c r="V327" s="29" t="s">
        <v>107</v>
      </c>
      <c r="W327" s="34"/>
      <c r="X327" s="29"/>
    </row>
    <row r="328" ht="15.75" customHeight="1">
      <c r="A328" s="27" t="s">
        <v>660</v>
      </c>
      <c r="B328" s="22" t="s">
        <v>661</v>
      </c>
      <c r="C328" s="53" t="s">
        <v>27</v>
      </c>
      <c r="D328" s="53" t="s">
        <v>28</v>
      </c>
      <c r="E328" s="47" t="s">
        <v>971</v>
      </c>
      <c r="F328" s="49" t="s">
        <v>981</v>
      </c>
      <c r="G328" s="29" t="s">
        <v>714</v>
      </c>
      <c r="H328" s="48" t="s">
        <v>986</v>
      </c>
      <c r="I328" s="48" t="s">
        <v>987</v>
      </c>
      <c r="J328" s="49" t="s">
        <v>988</v>
      </c>
      <c r="K328" s="50">
        <v>126.0</v>
      </c>
      <c r="L328" s="29" t="s">
        <v>989</v>
      </c>
      <c r="M328" s="22" t="s">
        <v>669</v>
      </c>
      <c r="N328" s="34"/>
      <c r="O328" s="40"/>
      <c r="P328" s="34"/>
      <c r="Q328" s="34"/>
      <c r="R328" s="34"/>
      <c r="S328" s="34"/>
      <c r="T328" s="34"/>
      <c r="U328" s="34">
        <v>167.0</v>
      </c>
      <c r="V328" s="29" t="s">
        <v>107</v>
      </c>
      <c r="W328" s="34"/>
      <c r="X328" s="29"/>
    </row>
    <row r="329" ht="15.75" customHeight="1">
      <c r="A329" s="27" t="s">
        <v>660</v>
      </c>
      <c r="B329" s="22" t="s">
        <v>661</v>
      </c>
      <c r="C329" s="53" t="s">
        <v>27</v>
      </c>
      <c r="D329" s="53" t="s">
        <v>28</v>
      </c>
      <c r="E329" s="47" t="s">
        <v>971</v>
      </c>
      <c r="F329" s="49" t="s">
        <v>981</v>
      </c>
      <c r="G329" s="29" t="s">
        <v>714</v>
      </c>
      <c r="H329" s="48" t="s">
        <v>986</v>
      </c>
      <c r="I329" s="48" t="s">
        <v>987</v>
      </c>
      <c r="J329" s="49" t="s">
        <v>988</v>
      </c>
      <c r="K329" s="50">
        <v>127.0</v>
      </c>
      <c r="L329" s="29" t="s">
        <v>990</v>
      </c>
      <c r="M329" s="22" t="s">
        <v>669</v>
      </c>
      <c r="N329" s="34"/>
      <c r="O329" s="40"/>
      <c r="P329" s="34"/>
      <c r="Q329" s="34"/>
      <c r="R329" s="34"/>
      <c r="S329" s="34"/>
      <c r="T329" s="34"/>
      <c r="U329" s="34">
        <v>168.0</v>
      </c>
      <c r="V329" s="29" t="s">
        <v>107</v>
      </c>
      <c r="W329" s="34"/>
      <c r="X329" s="29"/>
    </row>
    <row r="330" ht="15.75" customHeight="1">
      <c r="A330" s="27" t="s">
        <v>660</v>
      </c>
      <c r="B330" s="22" t="s">
        <v>661</v>
      </c>
      <c r="C330" s="53" t="s">
        <v>27</v>
      </c>
      <c r="D330" s="53" t="s">
        <v>28</v>
      </c>
      <c r="E330" s="47" t="s">
        <v>971</v>
      </c>
      <c r="F330" s="49" t="s">
        <v>981</v>
      </c>
      <c r="G330" s="29" t="s">
        <v>714</v>
      </c>
      <c r="H330" s="48" t="s">
        <v>986</v>
      </c>
      <c r="I330" s="48" t="s">
        <v>987</v>
      </c>
      <c r="J330" s="49" t="s">
        <v>988</v>
      </c>
      <c r="K330" s="50">
        <v>128.0</v>
      </c>
      <c r="L330" s="29" t="s">
        <v>991</v>
      </c>
      <c r="M330" s="22" t="s">
        <v>669</v>
      </c>
      <c r="N330" s="34"/>
      <c r="O330" s="40"/>
      <c r="P330" s="34"/>
      <c r="Q330" s="34"/>
      <c r="R330" s="34"/>
      <c r="S330" s="34"/>
      <c r="T330" s="34"/>
      <c r="U330" s="34">
        <v>169.0</v>
      </c>
      <c r="V330" s="29" t="s">
        <v>107</v>
      </c>
      <c r="W330" s="34"/>
      <c r="X330" s="29"/>
    </row>
    <row r="331" ht="15.75" customHeight="1">
      <c r="A331" s="27" t="s">
        <v>660</v>
      </c>
      <c r="B331" s="22" t="s">
        <v>661</v>
      </c>
      <c r="C331" s="53" t="s">
        <v>27</v>
      </c>
      <c r="D331" s="53" t="s">
        <v>28</v>
      </c>
      <c r="E331" s="47" t="s">
        <v>971</v>
      </c>
      <c r="F331" s="49" t="s">
        <v>992</v>
      </c>
      <c r="G331" s="29" t="s">
        <v>749</v>
      </c>
      <c r="H331" s="48" t="s">
        <v>993</v>
      </c>
      <c r="I331" s="48" t="s">
        <v>994</v>
      </c>
      <c r="J331" s="49" t="s">
        <v>995</v>
      </c>
      <c r="K331" s="50">
        <v>129.0</v>
      </c>
      <c r="L331" s="29" t="s">
        <v>996</v>
      </c>
      <c r="M331" s="22" t="s">
        <v>669</v>
      </c>
      <c r="N331" s="34"/>
      <c r="O331" s="40"/>
      <c r="P331" s="34"/>
      <c r="Q331" s="34"/>
      <c r="R331" s="34"/>
      <c r="S331" s="34"/>
      <c r="T331" s="34"/>
      <c r="U331" s="34">
        <v>171.0</v>
      </c>
      <c r="V331" s="29" t="s">
        <v>107</v>
      </c>
      <c r="W331" s="34"/>
      <c r="X331" s="29"/>
    </row>
    <row r="332" ht="15.75" customHeight="1">
      <c r="A332" s="27" t="s">
        <v>660</v>
      </c>
      <c r="B332" s="22" t="s">
        <v>661</v>
      </c>
      <c r="C332" s="53" t="s">
        <v>27</v>
      </c>
      <c r="D332" s="53" t="s">
        <v>28</v>
      </c>
      <c r="E332" s="47" t="s">
        <v>971</v>
      </c>
      <c r="F332" s="49" t="s">
        <v>992</v>
      </c>
      <c r="G332" s="29" t="s">
        <v>749</v>
      </c>
      <c r="H332" s="48" t="s">
        <v>997</v>
      </c>
      <c r="I332" s="48" t="s">
        <v>998</v>
      </c>
      <c r="J332" s="49" t="s">
        <v>999</v>
      </c>
      <c r="K332" s="50">
        <v>130.0</v>
      </c>
      <c r="L332" s="29" t="s">
        <v>1000</v>
      </c>
      <c r="M332" s="22" t="s">
        <v>669</v>
      </c>
      <c r="N332" s="34"/>
      <c r="O332" s="40"/>
      <c r="P332" s="34"/>
      <c r="Q332" s="34"/>
      <c r="R332" s="34"/>
      <c r="S332" s="34"/>
      <c r="T332" s="34"/>
      <c r="U332" s="34">
        <v>172.0</v>
      </c>
      <c r="V332" s="29" t="s">
        <v>107</v>
      </c>
      <c r="W332" s="34"/>
      <c r="X332" s="29"/>
    </row>
    <row r="333" ht="15.75" customHeight="1">
      <c r="A333" s="27" t="s">
        <v>660</v>
      </c>
      <c r="B333" s="22" t="s">
        <v>661</v>
      </c>
      <c r="C333" s="53" t="s">
        <v>27</v>
      </c>
      <c r="D333" s="53" t="s">
        <v>28</v>
      </c>
      <c r="E333" s="47" t="s">
        <v>971</v>
      </c>
      <c r="F333" s="49" t="s">
        <v>992</v>
      </c>
      <c r="G333" s="29" t="s">
        <v>749</v>
      </c>
      <c r="H333" s="48" t="s">
        <v>997</v>
      </c>
      <c r="I333" s="48" t="s">
        <v>998</v>
      </c>
      <c r="J333" s="49" t="s">
        <v>999</v>
      </c>
      <c r="K333" s="50">
        <v>131.0</v>
      </c>
      <c r="L333" s="29" t="s">
        <v>1001</v>
      </c>
      <c r="M333" s="22" t="s">
        <v>669</v>
      </c>
      <c r="N333" s="34"/>
      <c r="O333" s="40"/>
      <c r="P333" s="34"/>
      <c r="Q333" s="34"/>
      <c r="R333" s="34"/>
      <c r="S333" s="34"/>
      <c r="T333" s="34"/>
      <c r="U333" s="34">
        <v>173.0</v>
      </c>
      <c r="V333" s="29" t="s">
        <v>107</v>
      </c>
      <c r="W333" s="34"/>
      <c r="X333" s="29"/>
    </row>
    <row r="334" ht="15.75" customHeight="1">
      <c r="A334" s="27" t="s">
        <v>660</v>
      </c>
      <c r="B334" s="22" t="s">
        <v>661</v>
      </c>
      <c r="C334" s="53" t="s">
        <v>27</v>
      </c>
      <c r="D334" s="53" t="s">
        <v>28</v>
      </c>
      <c r="E334" s="47" t="s">
        <v>971</v>
      </c>
      <c r="F334" s="49" t="s">
        <v>992</v>
      </c>
      <c r="G334" s="29" t="s">
        <v>749</v>
      </c>
      <c r="H334" s="48" t="s">
        <v>1002</v>
      </c>
      <c r="I334" s="48" t="s">
        <v>1003</v>
      </c>
      <c r="J334" s="49" t="s">
        <v>1004</v>
      </c>
      <c r="K334" s="50">
        <v>132.0</v>
      </c>
      <c r="L334" s="29" t="s">
        <v>1005</v>
      </c>
      <c r="M334" s="22" t="s">
        <v>669</v>
      </c>
      <c r="N334" s="34"/>
      <c r="O334" s="40"/>
      <c r="P334" s="34"/>
      <c r="Q334" s="34"/>
      <c r="R334" s="34"/>
      <c r="S334" s="34"/>
      <c r="T334" s="34"/>
      <c r="U334" s="34">
        <v>174.0</v>
      </c>
      <c r="V334" s="29" t="s">
        <v>107</v>
      </c>
      <c r="W334" s="34"/>
      <c r="X334" s="29"/>
    </row>
    <row r="335" ht="15.75" customHeight="1">
      <c r="A335" s="27" t="s">
        <v>660</v>
      </c>
      <c r="B335" s="22" t="s">
        <v>661</v>
      </c>
      <c r="C335" s="53" t="s">
        <v>27</v>
      </c>
      <c r="D335" s="53" t="s">
        <v>28</v>
      </c>
      <c r="E335" s="47" t="s">
        <v>971</v>
      </c>
      <c r="F335" s="49" t="s">
        <v>992</v>
      </c>
      <c r="G335" s="29" t="s">
        <v>749</v>
      </c>
      <c r="H335" s="48" t="s">
        <v>1006</v>
      </c>
      <c r="I335" s="48" t="s">
        <v>1007</v>
      </c>
      <c r="J335" s="49" t="s">
        <v>1008</v>
      </c>
      <c r="K335" s="50">
        <v>133.0</v>
      </c>
      <c r="L335" s="29" t="s">
        <v>1009</v>
      </c>
      <c r="M335" s="22" t="s">
        <v>669</v>
      </c>
      <c r="N335" s="34"/>
      <c r="O335" s="40"/>
      <c r="P335" s="34"/>
      <c r="Q335" s="34"/>
      <c r="R335" s="34"/>
      <c r="S335" s="34"/>
      <c r="T335" s="34"/>
      <c r="U335" s="34">
        <v>175.0</v>
      </c>
      <c r="V335" s="29" t="s">
        <v>107</v>
      </c>
      <c r="W335" s="34"/>
      <c r="X335" s="29"/>
    </row>
    <row r="336" ht="15.75" customHeight="1">
      <c r="A336" s="27" t="s">
        <v>660</v>
      </c>
      <c r="B336" s="22" t="s">
        <v>661</v>
      </c>
      <c r="C336" s="53" t="s">
        <v>29</v>
      </c>
      <c r="D336" s="53" t="s">
        <v>30</v>
      </c>
      <c r="E336" s="47" t="s">
        <v>1010</v>
      </c>
      <c r="F336" s="49" t="s">
        <v>1011</v>
      </c>
      <c r="G336" s="29" t="s">
        <v>664</v>
      </c>
      <c r="H336" s="48" t="s">
        <v>1012</v>
      </c>
      <c r="I336" s="48" t="s">
        <v>1013</v>
      </c>
      <c r="J336" s="49" t="s">
        <v>1014</v>
      </c>
      <c r="K336" s="50">
        <v>134.0</v>
      </c>
      <c r="L336" s="29" t="s">
        <v>1015</v>
      </c>
      <c r="M336" s="22" t="s">
        <v>669</v>
      </c>
      <c r="N336" s="34"/>
      <c r="O336" s="40"/>
      <c r="P336" s="34"/>
      <c r="Q336" s="34"/>
      <c r="R336" s="34"/>
      <c r="S336" s="34"/>
      <c r="T336" s="34"/>
      <c r="U336" s="34">
        <v>182.0</v>
      </c>
      <c r="V336" s="29" t="s">
        <v>107</v>
      </c>
      <c r="W336" s="34"/>
      <c r="X336" s="29"/>
    </row>
    <row r="337" ht="15.75" customHeight="1">
      <c r="A337" s="27" t="s">
        <v>660</v>
      </c>
      <c r="B337" s="22" t="s">
        <v>661</v>
      </c>
      <c r="C337" s="53" t="s">
        <v>29</v>
      </c>
      <c r="D337" s="53" t="s">
        <v>30</v>
      </c>
      <c r="E337" s="47" t="s">
        <v>1010</v>
      </c>
      <c r="F337" s="49" t="s">
        <v>1011</v>
      </c>
      <c r="G337" s="29" t="s">
        <v>664</v>
      </c>
      <c r="H337" s="48" t="s">
        <v>1012</v>
      </c>
      <c r="I337" s="48" t="s">
        <v>1013</v>
      </c>
      <c r="J337" s="49" t="s">
        <v>1014</v>
      </c>
      <c r="K337" s="50">
        <v>135.0</v>
      </c>
      <c r="L337" s="29" t="s">
        <v>1016</v>
      </c>
      <c r="M337" s="22" t="s">
        <v>669</v>
      </c>
      <c r="N337" s="34"/>
      <c r="O337" s="40"/>
      <c r="P337" s="34"/>
      <c r="Q337" s="34"/>
      <c r="R337" s="34"/>
      <c r="S337" s="34"/>
      <c r="T337" s="34"/>
      <c r="U337" s="34">
        <v>183.0</v>
      </c>
      <c r="V337" s="29" t="s">
        <v>107</v>
      </c>
      <c r="W337" s="34"/>
      <c r="X337" s="29"/>
    </row>
    <row r="338" ht="15.75" customHeight="1">
      <c r="A338" s="27" t="s">
        <v>660</v>
      </c>
      <c r="B338" s="22" t="s">
        <v>661</v>
      </c>
      <c r="C338" s="53" t="s">
        <v>29</v>
      </c>
      <c r="D338" s="53" t="s">
        <v>30</v>
      </c>
      <c r="E338" s="47" t="s">
        <v>1010</v>
      </c>
      <c r="F338" s="49" t="s">
        <v>1011</v>
      </c>
      <c r="G338" s="29" t="s">
        <v>664</v>
      </c>
      <c r="H338" s="48" t="s">
        <v>1012</v>
      </c>
      <c r="I338" s="48" t="s">
        <v>1013</v>
      </c>
      <c r="J338" s="49" t="s">
        <v>1014</v>
      </c>
      <c r="K338" s="50">
        <v>136.0</v>
      </c>
      <c r="L338" s="29" t="s">
        <v>1017</v>
      </c>
      <c r="M338" s="22" t="s">
        <v>669</v>
      </c>
      <c r="N338" s="34"/>
      <c r="O338" s="40"/>
      <c r="P338" s="34"/>
      <c r="Q338" s="34"/>
      <c r="R338" s="34"/>
      <c r="S338" s="34"/>
      <c r="T338" s="34"/>
      <c r="U338" s="34">
        <v>184.0</v>
      </c>
      <c r="V338" s="29" t="s">
        <v>107</v>
      </c>
      <c r="W338" s="34"/>
      <c r="X338" s="29"/>
    </row>
    <row r="339" ht="15.75" customHeight="1">
      <c r="A339" s="27" t="s">
        <v>660</v>
      </c>
      <c r="B339" s="22" t="s">
        <v>661</v>
      </c>
      <c r="C339" s="53" t="s">
        <v>29</v>
      </c>
      <c r="D339" s="53" t="s">
        <v>30</v>
      </c>
      <c r="E339" s="47" t="s">
        <v>1010</v>
      </c>
      <c r="F339" s="49" t="s">
        <v>1011</v>
      </c>
      <c r="G339" s="29" t="s">
        <v>664</v>
      </c>
      <c r="H339" s="48" t="s">
        <v>1012</v>
      </c>
      <c r="I339" s="48" t="s">
        <v>1013</v>
      </c>
      <c r="J339" s="49" t="s">
        <v>1014</v>
      </c>
      <c r="K339" s="50">
        <v>137.0</v>
      </c>
      <c r="L339" s="29" t="s">
        <v>1018</v>
      </c>
      <c r="M339" s="22" t="s">
        <v>669</v>
      </c>
      <c r="N339" s="34"/>
      <c r="O339" s="40"/>
      <c r="P339" s="34"/>
      <c r="Q339" s="34"/>
      <c r="R339" s="34"/>
      <c r="S339" s="34"/>
      <c r="T339" s="34"/>
      <c r="U339" s="34">
        <v>185.0</v>
      </c>
      <c r="V339" s="29" t="s">
        <v>107</v>
      </c>
      <c r="W339" s="34"/>
      <c r="X339" s="29"/>
    </row>
    <row r="340" ht="15.75" customHeight="1">
      <c r="A340" s="27" t="s">
        <v>660</v>
      </c>
      <c r="B340" s="22" t="s">
        <v>661</v>
      </c>
      <c r="C340" s="53" t="s">
        <v>29</v>
      </c>
      <c r="D340" s="53" t="s">
        <v>30</v>
      </c>
      <c r="E340" s="47" t="s">
        <v>1010</v>
      </c>
      <c r="F340" s="49" t="s">
        <v>1011</v>
      </c>
      <c r="G340" s="29" t="s">
        <v>664</v>
      </c>
      <c r="H340" s="48" t="s">
        <v>1012</v>
      </c>
      <c r="I340" s="48" t="s">
        <v>1013</v>
      </c>
      <c r="J340" s="49" t="s">
        <v>1014</v>
      </c>
      <c r="K340" s="50">
        <v>138.0</v>
      </c>
      <c r="L340" s="29" t="s">
        <v>1019</v>
      </c>
      <c r="M340" s="22" t="s">
        <v>669</v>
      </c>
      <c r="N340" s="34"/>
      <c r="O340" s="40"/>
      <c r="P340" s="34"/>
      <c r="Q340" s="34"/>
      <c r="R340" s="34"/>
      <c r="S340" s="34"/>
      <c r="T340" s="34"/>
      <c r="U340" s="34">
        <v>186.0</v>
      </c>
      <c r="V340" s="29" t="s">
        <v>107</v>
      </c>
      <c r="W340" s="34"/>
      <c r="X340" s="29"/>
    </row>
    <row r="341" ht="15.75" customHeight="1">
      <c r="A341" s="27" t="s">
        <v>660</v>
      </c>
      <c r="B341" s="22" t="s">
        <v>661</v>
      </c>
      <c r="C341" s="53" t="s">
        <v>29</v>
      </c>
      <c r="D341" s="53" t="s">
        <v>30</v>
      </c>
      <c r="E341" s="47" t="s">
        <v>1010</v>
      </c>
      <c r="F341" s="49" t="s">
        <v>1011</v>
      </c>
      <c r="G341" s="29" t="s">
        <v>664</v>
      </c>
      <c r="H341" s="48" t="s">
        <v>1012</v>
      </c>
      <c r="I341" s="48" t="s">
        <v>1013</v>
      </c>
      <c r="J341" s="49" t="s">
        <v>1014</v>
      </c>
      <c r="K341" s="50">
        <v>139.0</v>
      </c>
      <c r="L341" s="29" t="s">
        <v>1020</v>
      </c>
      <c r="M341" s="22" t="s">
        <v>669</v>
      </c>
      <c r="N341" s="34"/>
      <c r="O341" s="40"/>
      <c r="P341" s="34"/>
      <c r="Q341" s="34"/>
      <c r="R341" s="34"/>
      <c r="S341" s="34"/>
      <c r="T341" s="34"/>
      <c r="U341" s="34">
        <v>187.0</v>
      </c>
      <c r="V341" s="29" t="s">
        <v>107</v>
      </c>
      <c r="W341" s="34"/>
      <c r="X341" s="29"/>
    </row>
    <row r="342" ht="15.75" customHeight="1">
      <c r="A342" s="27" t="s">
        <v>660</v>
      </c>
      <c r="B342" s="22" t="s">
        <v>661</v>
      </c>
      <c r="C342" s="53" t="s">
        <v>29</v>
      </c>
      <c r="D342" s="53" t="s">
        <v>30</v>
      </c>
      <c r="E342" s="47" t="s">
        <v>1010</v>
      </c>
      <c r="F342" s="49" t="s">
        <v>1021</v>
      </c>
      <c r="G342" s="29" t="s">
        <v>714</v>
      </c>
      <c r="H342" s="48" t="s">
        <v>1022</v>
      </c>
      <c r="I342" s="48" t="s">
        <v>1023</v>
      </c>
      <c r="J342" s="49" t="s">
        <v>1024</v>
      </c>
      <c r="K342" s="50">
        <v>140.0</v>
      </c>
      <c r="L342" s="29" t="s">
        <v>1025</v>
      </c>
      <c r="M342" s="22" t="s">
        <v>669</v>
      </c>
      <c r="N342" s="34"/>
      <c r="O342" s="40"/>
      <c r="P342" s="34"/>
      <c r="Q342" s="34"/>
      <c r="R342" s="34"/>
      <c r="S342" s="34"/>
      <c r="T342" s="34"/>
      <c r="U342" s="34">
        <v>189.0</v>
      </c>
      <c r="V342" s="29" t="s">
        <v>107</v>
      </c>
      <c r="W342" s="34"/>
      <c r="X342" s="29"/>
    </row>
    <row r="343" ht="15.75" customHeight="1">
      <c r="A343" s="27" t="s">
        <v>660</v>
      </c>
      <c r="B343" s="22" t="s">
        <v>661</v>
      </c>
      <c r="C343" s="53" t="s">
        <v>29</v>
      </c>
      <c r="D343" s="53" t="s">
        <v>30</v>
      </c>
      <c r="E343" s="47" t="s">
        <v>1010</v>
      </c>
      <c r="F343" s="49" t="s">
        <v>1021</v>
      </c>
      <c r="G343" s="29" t="s">
        <v>714</v>
      </c>
      <c r="H343" s="48" t="s">
        <v>1022</v>
      </c>
      <c r="I343" s="48" t="s">
        <v>1023</v>
      </c>
      <c r="J343" s="49" t="s">
        <v>1024</v>
      </c>
      <c r="K343" s="50">
        <v>141.0</v>
      </c>
      <c r="L343" s="29" t="s">
        <v>1026</v>
      </c>
      <c r="M343" s="22" t="s">
        <v>669</v>
      </c>
      <c r="N343" s="34"/>
      <c r="O343" s="40"/>
      <c r="P343" s="34"/>
      <c r="Q343" s="34"/>
      <c r="R343" s="34"/>
      <c r="S343" s="34"/>
      <c r="T343" s="34"/>
      <c r="U343" s="34">
        <v>190.0</v>
      </c>
      <c r="V343" s="29" t="s">
        <v>107</v>
      </c>
      <c r="W343" s="34"/>
      <c r="X343" s="29"/>
    </row>
    <row r="344" ht="15.75" customHeight="1">
      <c r="A344" s="27" t="s">
        <v>660</v>
      </c>
      <c r="B344" s="22" t="s">
        <v>661</v>
      </c>
      <c r="C344" s="53" t="s">
        <v>31</v>
      </c>
      <c r="D344" s="53" t="s">
        <v>32</v>
      </c>
      <c r="E344" s="47" t="s">
        <v>1027</v>
      </c>
      <c r="F344" s="29" t="s">
        <v>1028</v>
      </c>
      <c r="G344" s="29" t="s">
        <v>664</v>
      </c>
      <c r="H344" s="48" t="s">
        <v>1029</v>
      </c>
      <c r="I344" s="48" t="s">
        <v>1030</v>
      </c>
      <c r="J344" s="49" t="s">
        <v>1031</v>
      </c>
      <c r="K344" s="50">
        <v>142.0</v>
      </c>
      <c r="L344" s="29" t="s">
        <v>1032</v>
      </c>
      <c r="M344" s="22" t="s">
        <v>669</v>
      </c>
      <c r="N344" s="34"/>
      <c r="O344" s="40"/>
      <c r="P344" s="34"/>
      <c r="Q344" s="34"/>
      <c r="R344" s="34"/>
      <c r="S344" s="34"/>
      <c r="T344" s="34"/>
      <c r="U344" s="34">
        <v>197.0</v>
      </c>
      <c r="V344" s="29" t="s">
        <v>107</v>
      </c>
      <c r="W344" s="34"/>
      <c r="X344" s="29"/>
    </row>
    <row r="345" ht="15.75" customHeight="1">
      <c r="A345" s="27" t="s">
        <v>660</v>
      </c>
      <c r="B345" s="22" t="s">
        <v>661</v>
      </c>
      <c r="C345" s="53" t="s">
        <v>31</v>
      </c>
      <c r="D345" s="53" t="s">
        <v>32</v>
      </c>
      <c r="E345" s="47" t="s">
        <v>1027</v>
      </c>
      <c r="F345" s="29" t="s">
        <v>1028</v>
      </c>
      <c r="G345" s="29" t="s">
        <v>664</v>
      </c>
      <c r="H345" s="48" t="s">
        <v>1029</v>
      </c>
      <c r="I345" s="48" t="s">
        <v>1030</v>
      </c>
      <c r="J345" s="49" t="s">
        <v>1031</v>
      </c>
      <c r="K345" s="50">
        <v>143.0</v>
      </c>
      <c r="L345" s="29" t="s">
        <v>1033</v>
      </c>
      <c r="M345" s="22" t="s">
        <v>669</v>
      </c>
      <c r="N345" s="34"/>
      <c r="O345" s="40"/>
      <c r="P345" s="34"/>
      <c r="Q345" s="34"/>
      <c r="R345" s="34"/>
      <c r="S345" s="34"/>
      <c r="T345" s="34"/>
      <c r="U345" s="34">
        <v>198.0</v>
      </c>
      <c r="V345" s="29" t="s">
        <v>107</v>
      </c>
      <c r="W345" s="34"/>
      <c r="X345" s="29"/>
    </row>
    <row r="346" ht="15.75" customHeight="1">
      <c r="A346" s="27" t="s">
        <v>660</v>
      </c>
      <c r="B346" s="22" t="s">
        <v>661</v>
      </c>
      <c r="C346" s="53" t="s">
        <v>31</v>
      </c>
      <c r="D346" s="53" t="s">
        <v>32</v>
      </c>
      <c r="E346" s="47" t="s">
        <v>1027</v>
      </c>
      <c r="F346" s="29" t="s">
        <v>1028</v>
      </c>
      <c r="G346" s="29" t="s">
        <v>664</v>
      </c>
      <c r="H346" s="48" t="s">
        <v>1029</v>
      </c>
      <c r="I346" s="48" t="s">
        <v>1030</v>
      </c>
      <c r="J346" s="49" t="s">
        <v>1031</v>
      </c>
      <c r="K346" s="50">
        <v>144.0</v>
      </c>
      <c r="L346" s="29" t="s">
        <v>1034</v>
      </c>
      <c r="M346" s="22" t="s">
        <v>669</v>
      </c>
      <c r="N346" s="34"/>
      <c r="O346" s="40"/>
      <c r="P346" s="34"/>
      <c r="Q346" s="34"/>
      <c r="R346" s="34"/>
      <c r="S346" s="34"/>
      <c r="T346" s="34"/>
      <c r="U346" s="34">
        <v>199.0</v>
      </c>
      <c r="V346" s="29" t="s">
        <v>107</v>
      </c>
      <c r="W346" s="34"/>
      <c r="X346" s="29"/>
    </row>
    <row r="347" ht="15.75" customHeight="1">
      <c r="A347" s="27" t="s">
        <v>660</v>
      </c>
      <c r="B347" s="22" t="s">
        <v>661</v>
      </c>
      <c r="C347" s="53" t="s">
        <v>31</v>
      </c>
      <c r="D347" s="53" t="s">
        <v>32</v>
      </c>
      <c r="E347" s="47" t="s">
        <v>1027</v>
      </c>
      <c r="F347" s="29" t="s">
        <v>1028</v>
      </c>
      <c r="G347" s="29" t="s">
        <v>664</v>
      </c>
      <c r="H347" s="48" t="s">
        <v>1035</v>
      </c>
      <c r="I347" s="48" t="s">
        <v>1036</v>
      </c>
      <c r="J347" s="49" t="s">
        <v>1037</v>
      </c>
      <c r="K347" s="50">
        <v>145.0</v>
      </c>
      <c r="L347" s="29" t="s">
        <v>1038</v>
      </c>
      <c r="M347" s="22" t="s">
        <v>669</v>
      </c>
      <c r="N347" s="34"/>
      <c r="O347" s="40"/>
      <c r="P347" s="34"/>
      <c r="Q347" s="34"/>
      <c r="R347" s="34"/>
      <c r="S347" s="34"/>
      <c r="T347" s="34"/>
      <c r="U347" s="34">
        <v>200.0</v>
      </c>
      <c r="V347" s="29" t="s">
        <v>107</v>
      </c>
      <c r="W347" s="34"/>
      <c r="X347" s="29"/>
    </row>
    <row r="348" ht="15.75" customHeight="1">
      <c r="A348" s="27" t="s">
        <v>660</v>
      </c>
      <c r="B348" s="22" t="s">
        <v>661</v>
      </c>
      <c r="C348" s="53" t="s">
        <v>31</v>
      </c>
      <c r="D348" s="53" t="s">
        <v>32</v>
      </c>
      <c r="E348" s="47" t="s">
        <v>1027</v>
      </c>
      <c r="F348" s="29" t="s">
        <v>1028</v>
      </c>
      <c r="G348" s="29" t="s">
        <v>664</v>
      </c>
      <c r="H348" s="48" t="s">
        <v>1039</v>
      </c>
      <c r="I348" s="48" t="s">
        <v>1040</v>
      </c>
      <c r="J348" s="49" t="s">
        <v>1041</v>
      </c>
      <c r="K348" s="50">
        <v>146.0</v>
      </c>
      <c r="L348" s="29" t="s">
        <v>1042</v>
      </c>
      <c r="M348" s="22" t="s">
        <v>669</v>
      </c>
      <c r="N348" s="34"/>
      <c r="O348" s="40"/>
      <c r="P348" s="34"/>
      <c r="Q348" s="34"/>
      <c r="R348" s="34"/>
      <c r="S348" s="34"/>
      <c r="T348" s="34"/>
      <c r="U348" s="34">
        <v>201.0</v>
      </c>
      <c r="V348" s="29" t="s">
        <v>107</v>
      </c>
      <c r="W348" s="34"/>
      <c r="X348" s="29"/>
    </row>
    <row r="349" ht="15.75" customHeight="1">
      <c r="A349" s="27" t="s">
        <v>660</v>
      </c>
      <c r="B349" s="22" t="s">
        <v>661</v>
      </c>
      <c r="C349" s="53" t="s">
        <v>31</v>
      </c>
      <c r="D349" s="53" t="s">
        <v>32</v>
      </c>
      <c r="E349" s="47" t="s">
        <v>1027</v>
      </c>
      <c r="F349" s="29" t="s">
        <v>1043</v>
      </c>
      <c r="G349" s="29" t="s">
        <v>714</v>
      </c>
      <c r="H349" s="48" t="s">
        <v>1044</v>
      </c>
      <c r="I349" s="48" t="s">
        <v>1045</v>
      </c>
      <c r="J349" s="49" t="s">
        <v>1046</v>
      </c>
      <c r="K349" s="50">
        <v>147.0</v>
      </c>
      <c r="L349" s="29" t="s">
        <v>1047</v>
      </c>
      <c r="M349" s="22" t="s">
        <v>669</v>
      </c>
      <c r="N349" s="34"/>
      <c r="O349" s="40"/>
      <c r="P349" s="34"/>
      <c r="Q349" s="34"/>
      <c r="R349" s="34"/>
      <c r="S349" s="34"/>
      <c r="T349" s="34"/>
      <c r="U349" s="34">
        <v>203.0</v>
      </c>
      <c r="V349" s="29" t="s">
        <v>107</v>
      </c>
      <c r="W349" s="34"/>
      <c r="X349" s="29"/>
    </row>
    <row r="350" ht="15.75" customHeight="1">
      <c r="A350" s="27" t="s">
        <v>660</v>
      </c>
      <c r="B350" s="22" t="s">
        <v>661</v>
      </c>
      <c r="C350" s="53" t="s">
        <v>31</v>
      </c>
      <c r="D350" s="53" t="s">
        <v>32</v>
      </c>
      <c r="E350" s="47" t="s">
        <v>1027</v>
      </c>
      <c r="F350" s="29" t="s">
        <v>1043</v>
      </c>
      <c r="G350" s="29" t="s">
        <v>714</v>
      </c>
      <c r="H350" s="48" t="s">
        <v>1044</v>
      </c>
      <c r="I350" s="48" t="s">
        <v>1045</v>
      </c>
      <c r="J350" s="49" t="s">
        <v>1046</v>
      </c>
      <c r="K350" s="50">
        <v>148.0</v>
      </c>
      <c r="L350" s="29" t="s">
        <v>1048</v>
      </c>
      <c r="M350" s="22" t="s">
        <v>669</v>
      </c>
      <c r="N350" s="34"/>
      <c r="O350" s="40"/>
      <c r="P350" s="34"/>
      <c r="Q350" s="34"/>
      <c r="R350" s="34"/>
      <c r="S350" s="34"/>
      <c r="T350" s="34"/>
      <c r="U350" s="34">
        <v>204.0</v>
      </c>
      <c r="V350" s="29" t="s">
        <v>107</v>
      </c>
      <c r="W350" s="34"/>
      <c r="X350" s="29"/>
    </row>
    <row r="351" ht="15.75" customHeight="1">
      <c r="A351" s="27" t="s">
        <v>660</v>
      </c>
      <c r="B351" s="22" t="s">
        <v>661</v>
      </c>
      <c r="C351" s="53" t="s">
        <v>31</v>
      </c>
      <c r="D351" s="53" t="s">
        <v>32</v>
      </c>
      <c r="E351" s="47" t="s">
        <v>1027</v>
      </c>
      <c r="F351" s="29" t="s">
        <v>1043</v>
      </c>
      <c r="G351" s="29" t="s">
        <v>714</v>
      </c>
      <c r="H351" s="48" t="s">
        <v>1044</v>
      </c>
      <c r="I351" s="48" t="s">
        <v>1045</v>
      </c>
      <c r="J351" s="49" t="s">
        <v>1046</v>
      </c>
      <c r="K351" s="50">
        <v>149.0</v>
      </c>
      <c r="L351" s="29" t="s">
        <v>1049</v>
      </c>
      <c r="M351" s="22" t="s">
        <v>669</v>
      </c>
      <c r="N351" s="34"/>
      <c r="O351" s="40"/>
      <c r="P351" s="34"/>
      <c r="Q351" s="34"/>
      <c r="R351" s="34"/>
      <c r="S351" s="34"/>
      <c r="T351" s="34"/>
      <c r="U351" s="34">
        <v>205.0</v>
      </c>
      <c r="V351" s="29" t="s">
        <v>107</v>
      </c>
      <c r="W351" s="34"/>
      <c r="X351" s="29"/>
    </row>
    <row r="352" ht="15.75" customHeight="1">
      <c r="A352" s="27" t="s">
        <v>660</v>
      </c>
      <c r="B352" s="22" t="s">
        <v>661</v>
      </c>
      <c r="C352" s="53" t="s">
        <v>31</v>
      </c>
      <c r="D352" s="53" t="s">
        <v>32</v>
      </c>
      <c r="E352" s="47" t="s">
        <v>1027</v>
      </c>
      <c r="F352" s="29" t="s">
        <v>1043</v>
      </c>
      <c r="G352" s="29" t="s">
        <v>714</v>
      </c>
      <c r="H352" s="48" t="s">
        <v>1044</v>
      </c>
      <c r="I352" s="48" t="s">
        <v>1045</v>
      </c>
      <c r="J352" s="49" t="s">
        <v>1046</v>
      </c>
      <c r="K352" s="50">
        <v>150.0</v>
      </c>
      <c r="L352" s="29" t="s">
        <v>1050</v>
      </c>
      <c r="M352" s="22" t="s">
        <v>669</v>
      </c>
      <c r="N352" s="34"/>
      <c r="O352" s="40"/>
      <c r="P352" s="34"/>
      <c r="Q352" s="34"/>
      <c r="R352" s="34"/>
      <c r="S352" s="34"/>
      <c r="T352" s="34"/>
      <c r="U352" s="34">
        <v>206.0</v>
      </c>
      <c r="V352" s="29" t="s">
        <v>107</v>
      </c>
      <c r="W352" s="34"/>
      <c r="X352" s="29"/>
    </row>
    <row r="353" ht="15.75" customHeight="1">
      <c r="A353" s="27" t="s">
        <v>660</v>
      </c>
      <c r="B353" s="22" t="s">
        <v>661</v>
      </c>
      <c r="C353" s="53" t="s">
        <v>31</v>
      </c>
      <c r="D353" s="53" t="s">
        <v>32</v>
      </c>
      <c r="E353" s="47" t="s">
        <v>1027</v>
      </c>
      <c r="F353" s="29" t="s">
        <v>1043</v>
      </c>
      <c r="G353" s="29" t="s">
        <v>714</v>
      </c>
      <c r="H353" s="48" t="s">
        <v>1051</v>
      </c>
      <c r="I353" s="48" t="s">
        <v>1052</v>
      </c>
      <c r="J353" s="49" t="s">
        <v>1053</v>
      </c>
      <c r="K353" s="50">
        <v>151.0</v>
      </c>
      <c r="L353" s="29" t="s">
        <v>1054</v>
      </c>
      <c r="M353" s="22" t="s">
        <v>669</v>
      </c>
      <c r="N353" s="34"/>
      <c r="O353" s="40"/>
      <c r="P353" s="34"/>
      <c r="Q353" s="34"/>
      <c r="R353" s="34"/>
      <c r="S353" s="34"/>
      <c r="T353" s="34"/>
      <c r="U353" s="34">
        <v>207.0</v>
      </c>
      <c r="V353" s="29" t="s">
        <v>107</v>
      </c>
      <c r="W353" s="34"/>
      <c r="X353" s="29"/>
    </row>
    <row r="354" ht="15.75" customHeight="1">
      <c r="A354" s="27" t="s">
        <v>660</v>
      </c>
      <c r="B354" s="22" t="s">
        <v>661</v>
      </c>
      <c r="C354" s="53" t="s">
        <v>31</v>
      </c>
      <c r="D354" s="53" t="s">
        <v>32</v>
      </c>
      <c r="E354" s="47" t="s">
        <v>1027</v>
      </c>
      <c r="F354" s="29" t="s">
        <v>1043</v>
      </c>
      <c r="G354" s="29" t="s">
        <v>714</v>
      </c>
      <c r="H354" s="48" t="s">
        <v>1051</v>
      </c>
      <c r="I354" s="48" t="s">
        <v>1052</v>
      </c>
      <c r="J354" s="49" t="s">
        <v>1053</v>
      </c>
      <c r="K354" s="50">
        <v>152.0</v>
      </c>
      <c r="L354" s="29" t="s">
        <v>1055</v>
      </c>
      <c r="M354" s="22" t="s">
        <v>669</v>
      </c>
      <c r="N354" s="34"/>
      <c r="O354" s="40"/>
      <c r="P354" s="34"/>
      <c r="Q354" s="34"/>
      <c r="R354" s="34"/>
      <c r="S354" s="34"/>
      <c r="T354" s="34"/>
      <c r="U354" s="34">
        <v>208.0</v>
      </c>
      <c r="V354" s="29" t="s">
        <v>107</v>
      </c>
      <c r="W354" s="34"/>
      <c r="X354" s="29"/>
    </row>
    <row r="355" ht="15.75" customHeight="1">
      <c r="A355" s="27" t="s">
        <v>660</v>
      </c>
      <c r="B355" s="22" t="s">
        <v>661</v>
      </c>
      <c r="C355" s="53" t="s">
        <v>31</v>
      </c>
      <c r="D355" s="53" t="s">
        <v>32</v>
      </c>
      <c r="E355" s="47" t="s">
        <v>1027</v>
      </c>
      <c r="F355" s="29" t="s">
        <v>1043</v>
      </c>
      <c r="G355" s="29" t="s">
        <v>714</v>
      </c>
      <c r="H355" s="48" t="s">
        <v>1056</v>
      </c>
      <c r="I355" s="48" t="s">
        <v>1057</v>
      </c>
      <c r="J355" s="49" t="s">
        <v>1058</v>
      </c>
      <c r="K355" s="50">
        <v>153.0</v>
      </c>
      <c r="L355" s="29" t="s">
        <v>1059</v>
      </c>
      <c r="M355" s="22" t="s">
        <v>669</v>
      </c>
      <c r="N355" s="34"/>
      <c r="O355" s="40"/>
      <c r="P355" s="34"/>
      <c r="Q355" s="34"/>
      <c r="R355" s="34"/>
      <c r="S355" s="34"/>
      <c r="T355" s="34"/>
      <c r="U355" s="34">
        <v>209.0</v>
      </c>
      <c r="V355" s="29" t="s">
        <v>107</v>
      </c>
      <c r="W355" s="34"/>
      <c r="X355" s="29"/>
    </row>
    <row r="356" ht="15.75" customHeight="1">
      <c r="A356" s="27" t="s">
        <v>660</v>
      </c>
      <c r="B356" s="22" t="s">
        <v>661</v>
      </c>
      <c r="C356" s="53" t="s">
        <v>31</v>
      </c>
      <c r="D356" s="53" t="s">
        <v>32</v>
      </c>
      <c r="E356" s="47" t="s">
        <v>1027</v>
      </c>
      <c r="F356" s="29" t="s">
        <v>1043</v>
      </c>
      <c r="G356" s="29" t="s">
        <v>714</v>
      </c>
      <c r="H356" s="48" t="s">
        <v>1056</v>
      </c>
      <c r="I356" s="48" t="s">
        <v>1057</v>
      </c>
      <c r="J356" s="49" t="s">
        <v>1058</v>
      </c>
      <c r="K356" s="50">
        <v>154.0</v>
      </c>
      <c r="L356" s="29" t="s">
        <v>1060</v>
      </c>
      <c r="M356" s="22" t="s">
        <v>669</v>
      </c>
      <c r="N356" s="34"/>
      <c r="O356" s="40"/>
      <c r="P356" s="34"/>
      <c r="Q356" s="34"/>
      <c r="R356" s="34"/>
      <c r="S356" s="34"/>
      <c r="T356" s="34"/>
      <c r="U356" s="34">
        <v>210.0</v>
      </c>
      <c r="V356" s="29" t="s">
        <v>107</v>
      </c>
      <c r="W356" s="34"/>
      <c r="X356" s="29"/>
    </row>
    <row r="357" ht="15.75" customHeight="1">
      <c r="A357" s="27" t="s">
        <v>660</v>
      </c>
      <c r="B357" s="22" t="s">
        <v>661</v>
      </c>
      <c r="C357" s="53" t="s">
        <v>31</v>
      </c>
      <c r="D357" s="53" t="s">
        <v>32</v>
      </c>
      <c r="E357" s="47" t="s">
        <v>1027</v>
      </c>
      <c r="F357" s="29" t="s">
        <v>1043</v>
      </c>
      <c r="G357" s="29" t="s">
        <v>714</v>
      </c>
      <c r="H357" s="48" t="s">
        <v>1056</v>
      </c>
      <c r="I357" s="48" t="s">
        <v>1057</v>
      </c>
      <c r="J357" s="49" t="s">
        <v>1058</v>
      </c>
      <c r="K357" s="50">
        <v>155.0</v>
      </c>
      <c r="L357" s="29" t="s">
        <v>1061</v>
      </c>
      <c r="M357" s="22" t="s">
        <v>669</v>
      </c>
      <c r="N357" s="34"/>
      <c r="O357" s="40"/>
      <c r="P357" s="34"/>
      <c r="Q357" s="34"/>
      <c r="R357" s="34"/>
      <c r="S357" s="34"/>
      <c r="T357" s="34"/>
      <c r="U357" s="34">
        <v>211.0</v>
      </c>
      <c r="V357" s="29" t="s">
        <v>107</v>
      </c>
      <c r="W357" s="34"/>
      <c r="X357" s="29"/>
    </row>
    <row r="358" ht="15.75" customHeight="1">
      <c r="A358" s="27" t="s">
        <v>660</v>
      </c>
      <c r="B358" s="22" t="s">
        <v>661</v>
      </c>
      <c r="C358" s="53" t="s">
        <v>31</v>
      </c>
      <c r="D358" s="53" t="s">
        <v>32</v>
      </c>
      <c r="E358" s="47" t="s">
        <v>1027</v>
      </c>
      <c r="F358" s="29" t="s">
        <v>1043</v>
      </c>
      <c r="G358" s="29" t="s">
        <v>714</v>
      </c>
      <c r="H358" s="48" t="s">
        <v>1056</v>
      </c>
      <c r="I358" s="48" t="s">
        <v>1057</v>
      </c>
      <c r="J358" s="49" t="s">
        <v>1058</v>
      </c>
      <c r="K358" s="50">
        <v>156.0</v>
      </c>
      <c r="L358" s="29" t="s">
        <v>1062</v>
      </c>
      <c r="M358" s="22" t="s">
        <v>669</v>
      </c>
      <c r="N358" s="34"/>
      <c r="O358" s="40"/>
      <c r="P358" s="34"/>
      <c r="Q358" s="34"/>
      <c r="R358" s="34"/>
      <c r="S358" s="34"/>
      <c r="T358" s="34"/>
      <c r="U358" s="34">
        <v>212.0</v>
      </c>
      <c r="V358" s="29" t="s">
        <v>107</v>
      </c>
      <c r="W358" s="34"/>
      <c r="X358" s="29"/>
    </row>
    <row r="359" ht="15.75" customHeight="1">
      <c r="A359" s="27" t="s">
        <v>660</v>
      </c>
      <c r="B359" s="22" t="s">
        <v>661</v>
      </c>
      <c r="C359" s="53" t="s">
        <v>31</v>
      </c>
      <c r="D359" s="53" t="s">
        <v>32</v>
      </c>
      <c r="E359" s="47" t="s">
        <v>1027</v>
      </c>
      <c r="F359" s="29" t="s">
        <v>1043</v>
      </c>
      <c r="G359" s="29" t="s">
        <v>714</v>
      </c>
      <c r="H359" s="48" t="s">
        <v>1056</v>
      </c>
      <c r="I359" s="48" t="s">
        <v>1057</v>
      </c>
      <c r="J359" s="49" t="s">
        <v>1058</v>
      </c>
      <c r="K359" s="50">
        <v>157.0</v>
      </c>
      <c r="L359" s="29" t="s">
        <v>1063</v>
      </c>
      <c r="M359" s="22" t="s">
        <v>669</v>
      </c>
      <c r="N359" s="34"/>
      <c r="O359" s="40"/>
      <c r="P359" s="34"/>
      <c r="Q359" s="34"/>
      <c r="R359" s="34"/>
      <c r="S359" s="34"/>
      <c r="T359" s="34"/>
      <c r="U359" s="34">
        <v>213.0</v>
      </c>
      <c r="V359" s="29" t="s">
        <v>107</v>
      </c>
      <c r="W359" s="34"/>
      <c r="X359" s="29"/>
    </row>
    <row r="360" ht="15.75" customHeight="1">
      <c r="A360" s="27" t="s">
        <v>660</v>
      </c>
      <c r="B360" s="22" t="s">
        <v>661</v>
      </c>
      <c r="C360" s="53" t="s">
        <v>31</v>
      </c>
      <c r="D360" s="53" t="s">
        <v>32</v>
      </c>
      <c r="E360" s="47" t="s">
        <v>1027</v>
      </c>
      <c r="F360" s="29" t="s">
        <v>1043</v>
      </c>
      <c r="G360" s="29" t="s">
        <v>714</v>
      </c>
      <c r="H360" s="48" t="s">
        <v>1056</v>
      </c>
      <c r="I360" s="48" t="s">
        <v>1057</v>
      </c>
      <c r="J360" s="49" t="s">
        <v>1058</v>
      </c>
      <c r="K360" s="50">
        <v>158.0</v>
      </c>
      <c r="L360" s="29" t="s">
        <v>1064</v>
      </c>
      <c r="M360" s="22" t="s">
        <v>669</v>
      </c>
      <c r="N360" s="34"/>
      <c r="O360" s="40"/>
      <c r="P360" s="34"/>
      <c r="Q360" s="34"/>
      <c r="R360" s="34"/>
      <c r="S360" s="34"/>
      <c r="T360" s="34"/>
      <c r="U360" s="34">
        <v>214.0</v>
      </c>
      <c r="V360" s="29" t="s">
        <v>107</v>
      </c>
      <c r="W360" s="34"/>
      <c r="X360" s="29"/>
    </row>
    <row r="361" ht="15.75" customHeight="1">
      <c r="A361" s="27" t="s">
        <v>660</v>
      </c>
      <c r="B361" s="22" t="s">
        <v>661</v>
      </c>
      <c r="C361" s="53" t="s">
        <v>31</v>
      </c>
      <c r="D361" s="53" t="s">
        <v>32</v>
      </c>
      <c r="E361" s="47" t="s">
        <v>1027</v>
      </c>
      <c r="F361" s="29" t="s">
        <v>1043</v>
      </c>
      <c r="G361" s="29" t="s">
        <v>714</v>
      </c>
      <c r="H361" s="48" t="s">
        <v>1065</v>
      </c>
      <c r="I361" s="48" t="s">
        <v>1066</v>
      </c>
      <c r="J361" s="49" t="s">
        <v>1067</v>
      </c>
      <c r="K361" s="50">
        <v>159.0</v>
      </c>
      <c r="L361" s="29" t="s">
        <v>1068</v>
      </c>
      <c r="M361" s="22" t="s">
        <v>669</v>
      </c>
      <c r="N361" s="34"/>
      <c r="O361" s="40"/>
      <c r="P361" s="34"/>
      <c r="Q361" s="34"/>
      <c r="R361" s="34"/>
      <c r="S361" s="34"/>
      <c r="T361" s="34"/>
      <c r="U361" s="34">
        <v>215.0</v>
      </c>
      <c r="V361" s="29" t="s">
        <v>107</v>
      </c>
      <c r="W361" s="34"/>
      <c r="X361" s="29"/>
    </row>
    <row r="362" ht="15.75" customHeight="1">
      <c r="A362" s="27" t="s">
        <v>660</v>
      </c>
      <c r="B362" s="22" t="s">
        <v>661</v>
      </c>
      <c r="C362" s="53" t="s">
        <v>31</v>
      </c>
      <c r="D362" s="53" t="s">
        <v>32</v>
      </c>
      <c r="E362" s="47" t="s">
        <v>1027</v>
      </c>
      <c r="F362" s="29" t="s">
        <v>1043</v>
      </c>
      <c r="G362" s="29" t="s">
        <v>714</v>
      </c>
      <c r="H362" s="48" t="s">
        <v>1065</v>
      </c>
      <c r="I362" s="48" t="s">
        <v>1066</v>
      </c>
      <c r="J362" s="49" t="s">
        <v>1067</v>
      </c>
      <c r="K362" s="50">
        <v>160.0</v>
      </c>
      <c r="L362" s="29" t="s">
        <v>1069</v>
      </c>
      <c r="M362" s="22" t="s">
        <v>669</v>
      </c>
      <c r="N362" s="34"/>
      <c r="O362" s="40"/>
      <c r="P362" s="34"/>
      <c r="Q362" s="34"/>
      <c r="R362" s="34"/>
      <c r="S362" s="34"/>
      <c r="T362" s="34"/>
      <c r="U362" s="34">
        <v>216.0</v>
      </c>
      <c r="V362" s="29" t="s">
        <v>107</v>
      </c>
      <c r="W362" s="34"/>
      <c r="X362" s="29"/>
    </row>
    <row r="363" ht="15.75" customHeight="1">
      <c r="A363" s="27" t="s">
        <v>660</v>
      </c>
      <c r="B363" s="22" t="s">
        <v>661</v>
      </c>
      <c r="C363" s="53" t="s">
        <v>31</v>
      </c>
      <c r="D363" s="53" t="s">
        <v>32</v>
      </c>
      <c r="E363" s="47" t="s">
        <v>1027</v>
      </c>
      <c r="F363" s="29" t="s">
        <v>1043</v>
      </c>
      <c r="G363" s="29" t="s">
        <v>714</v>
      </c>
      <c r="H363" s="48" t="s">
        <v>1070</v>
      </c>
      <c r="I363" s="48" t="s">
        <v>1071</v>
      </c>
      <c r="J363" s="49" t="s">
        <v>1072</v>
      </c>
      <c r="K363" s="50">
        <v>161.0</v>
      </c>
      <c r="L363" s="29" t="s">
        <v>1073</v>
      </c>
      <c r="M363" s="22" t="s">
        <v>669</v>
      </c>
      <c r="N363" s="34"/>
      <c r="O363" s="40"/>
      <c r="P363" s="34"/>
      <c r="Q363" s="34"/>
      <c r="R363" s="34"/>
      <c r="S363" s="34"/>
      <c r="T363" s="34"/>
      <c r="U363" s="34">
        <v>217.0</v>
      </c>
      <c r="V363" s="29" t="s">
        <v>107</v>
      </c>
      <c r="W363" s="34"/>
      <c r="X363" s="29"/>
    </row>
    <row r="364" ht="15.75" customHeight="1">
      <c r="A364" s="27" t="s">
        <v>660</v>
      </c>
      <c r="B364" s="22" t="s">
        <v>661</v>
      </c>
      <c r="C364" s="53" t="s">
        <v>31</v>
      </c>
      <c r="D364" s="53" t="s">
        <v>32</v>
      </c>
      <c r="E364" s="47" t="s">
        <v>1027</v>
      </c>
      <c r="F364" s="29" t="s">
        <v>1043</v>
      </c>
      <c r="G364" s="29" t="s">
        <v>714</v>
      </c>
      <c r="H364" s="48" t="s">
        <v>1074</v>
      </c>
      <c r="I364" s="48" t="s">
        <v>1075</v>
      </c>
      <c r="J364" s="49" t="s">
        <v>1076</v>
      </c>
      <c r="K364" s="50">
        <v>162.0</v>
      </c>
      <c r="L364" s="29" t="s">
        <v>1077</v>
      </c>
      <c r="M364" s="22" t="s">
        <v>669</v>
      </c>
      <c r="N364" s="34"/>
      <c r="O364" s="40"/>
      <c r="P364" s="34"/>
      <c r="Q364" s="34"/>
      <c r="R364" s="34"/>
      <c r="S364" s="34"/>
      <c r="T364" s="34"/>
      <c r="U364" s="34">
        <v>218.0</v>
      </c>
      <c r="V364" s="29" t="s">
        <v>107</v>
      </c>
      <c r="W364" s="34"/>
      <c r="X364" s="29"/>
    </row>
    <row r="365" ht="15.75" customHeight="1">
      <c r="A365" s="27" t="s">
        <v>660</v>
      </c>
      <c r="B365" s="22" t="s">
        <v>661</v>
      </c>
      <c r="C365" s="53" t="s">
        <v>31</v>
      </c>
      <c r="D365" s="53" t="s">
        <v>32</v>
      </c>
      <c r="E365" s="47" t="s">
        <v>1027</v>
      </c>
      <c r="F365" s="29" t="s">
        <v>1078</v>
      </c>
      <c r="G365" s="29" t="s">
        <v>749</v>
      </c>
      <c r="H365" s="48" t="s">
        <v>1079</v>
      </c>
      <c r="I365" s="48" t="s">
        <v>1080</v>
      </c>
      <c r="J365" s="49" t="s">
        <v>1081</v>
      </c>
      <c r="K365" s="50">
        <v>163.0</v>
      </c>
      <c r="L365" s="29" t="s">
        <v>1082</v>
      </c>
      <c r="M365" s="22" t="s">
        <v>669</v>
      </c>
      <c r="N365" s="34"/>
      <c r="O365" s="40"/>
      <c r="P365" s="34"/>
      <c r="Q365" s="34"/>
      <c r="R365" s="34"/>
      <c r="S365" s="34"/>
      <c r="T365" s="34"/>
      <c r="U365" s="34">
        <v>220.0</v>
      </c>
      <c r="V365" s="29" t="s">
        <v>107</v>
      </c>
      <c r="W365" s="34"/>
      <c r="X365" s="29"/>
    </row>
    <row r="366" ht="15.75" customHeight="1">
      <c r="A366" s="27" t="s">
        <v>660</v>
      </c>
      <c r="B366" s="22" t="s">
        <v>661</v>
      </c>
      <c r="C366" s="53" t="s">
        <v>33</v>
      </c>
      <c r="D366" s="53" t="s">
        <v>34</v>
      </c>
      <c r="E366" s="47" t="s">
        <v>1083</v>
      </c>
      <c r="F366" s="49" t="s">
        <v>1084</v>
      </c>
      <c r="G366" s="29" t="s">
        <v>664</v>
      </c>
      <c r="H366" s="48" t="s">
        <v>1085</v>
      </c>
      <c r="I366" s="48" t="s">
        <v>1086</v>
      </c>
      <c r="J366" s="49" t="s">
        <v>1087</v>
      </c>
      <c r="K366" s="50">
        <v>164.0</v>
      </c>
      <c r="L366" s="29" t="s">
        <v>1088</v>
      </c>
      <c r="M366" s="22" t="s">
        <v>669</v>
      </c>
      <c r="N366" s="34"/>
      <c r="O366" s="40"/>
      <c r="P366" s="34"/>
      <c r="Q366" s="34"/>
      <c r="R366" s="34"/>
      <c r="S366" s="34"/>
      <c r="T366" s="34"/>
      <c r="U366" s="34">
        <v>227.0</v>
      </c>
      <c r="V366" s="29" t="s">
        <v>107</v>
      </c>
      <c r="W366" s="34"/>
      <c r="X366" s="29"/>
    </row>
    <row r="367" ht="15.75" customHeight="1">
      <c r="A367" s="27" t="s">
        <v>660</v>
      </c>
      <c r="B367" s="22" t="s">
        <v>661</v>
      </c>
      <c r="C367" s="53" t="s">
        <v>33</v>
      </c>
      <c r="D367" s="53" t="s">
        <v>34</v>
      </c>
      <c r="E367" s="47" t="s">
        <v>1083</v>
      </c>
      <c r="F367" s="49" t="s">
        <v>1084</v>
      </c>
      <c r="G367" s="29" t="s">
        <v>664</v>
      </c>
      <c r="H367" s="48" t="s">
        <v>1085</v>
      </c>
      <c r="I367" s="48" t="s">
        <v>1086</v>
      </c>
      <c r="J367" s="49" t="s">
        <v>1087</v>
      </c>
      <c r="K367" s="50">
        <v>165.0</v>
      </c>
      <c r="L367" s="29" t="s">
        <v>1089</v>
      </c>
      <c r="M367" s="22" t="s">
        <v>669</v>
      </c>
      <c r="N367" s="34"/>
      <c r="O367" s="40"/>
      <c r="P367" s="34"/>
      <c r="Q367" s="34"/>
      <c r="R367" s="34"/>
      <c r="S367" s="34"/>
      <c r="T367" s="34"/>
      <c r="U367" s="34">
        <v>228.0</v>
      </c>
      <c r="V367" s="29" t="s">
        <v>107</v>
      </c>
      <c r="W367" s="34"/>
      <c r="X367" s="29"/>
    </row>
    <row r="368" ht="15.75" customHeight="1">
      <c r="A368" s="27" t="s">
        <v>660</v>
      </c>
      <c r="B368" s="22" t="s">
        <v>661</v>
      </c>
      <c r="C368" s="53" t="s">
        <v>33</v>
      </c>
      <c r="D368" s="53" t="s">
        <v>34</v>
      </c>
      <c r="E368" s="47" t="s">
        <v>1083</v>
      </c>
      <c r="F368" s="49" t="s">
        <v>1084</v>
      </c>
      <c r="G368" s="29" t="s">
        <v>664</v>
      </c>
      <c r="H368" s="48" t="s">
        <v>1090</v>
      </c>
      <c r="I368" s="48" t="s">
        <v>1091</v>
      </c>
      <c r="J368" s="49" t="s">
        <v>1092</v>
      </c>
      <c r="K368" s="50">
        <v>166.0</v>
      </c>
      <c r="L368" s="29" t="s">
        <v>1093</v>
      </c>
      <c r="M368" s="22" t="s">
        <v>669</v>
      </c>
      <c r="N368" s="34"/>
      <c r="O368" s="40"/>
      <c r="P368" s="34"/>
      <c r="Q368" s="34"/>
      <c r="R368" s="34"/>
      <c r="S368" s="34"/>
      <c r="T368" s="34"/>
      <c r="U368" s="34">
        <v>229.0</v>
      </c>
      <c r="V368" s="29" t="s">
        <v>107</v>
      </c>
      <c r="W368" s="34"/>
      <c r="X368" s="29"/>
    </row>
    <row r="369" ht="15.75" customHeight="1">
      <c r="A369" s="27" t="s">
        <v>660</v>
      </c>
      <c r="B369" s="22" t="s">
        <v>661</v>
      </c>
      <c r="C369" s="53" t="s">
        <v>33</v>
      </c>
      <c r="D369" s="53" t="s">
        <v>34</v>
      </c>
      <c r="E369" s="47" t="s">
        <v>1083</v>
      </c>
      <c r="F369" s="49" t="s">
        <v>1084</v>
      </c>
      <c r="G369" s="29" t="s">
        <v>664</v>
      </c>
      <c r="H369" s="48" t="s">
        <v>1094</v>
      </c>
      <c r="I369" s="48" t="s">
        <v>1095</v>
      </c>
      <c r="J369" s="49" t="s">
        <v>1096</v>
      </c>
      <c r="K369" s="50">
        <v>167.0</v>
      </c>
      <c r="L369" s="29" t="s">
        <v>1097</v>
      </c>
      <c r="M369" s="22" t="s">
        <v>669</v>
      </c>
      <c r="N369" s="34"/>
      <c r="O369" s="40"/>
      <c r="P369" s="34"/>
      <c r="Q369" s="34"/>
      <c r="R369" s="34"/>
      <c r="S369" s="34"/>
      <c r="T369" s="34"/>
      <c r="U369" s="34">
        <v>230.0</v>
      </c>
      <c r="V369" s="29" t="s">
        <v>107</v>
      </c>
      <c r="W369" s="34"/>
      <c r="X369" s="29"/>
    </row>
    <row r="370" ht="15.75" customHeight="1">
      <c r="A370" s="27" t="s">
        <v>660</v>
      </c>
      <c r="B370" s="22" t="s">
        <v>661</v>
      </c>
      <c r="C370" s="53" t="s">
        <v>33</v>
      </c>
      <c r="D370" s="53" t="s">
        <v>34</v>
      </c>
      <c r="E370" s="47" t="s">
        <v>1083</v>
      </c>
      <c r="F370" s="49" t="s">
        <v>1084</v>
      </c>
      <c r="G370" s="29" t="s">
        <v>664</v>
      </c>
      <c r="H370" s="48" t="s">
        <v>1098</v>
      </c>
      <c r="I370" s="48" t="s">
        <v>1099</v>
      </c>
      <c r="J370" s="49" t="s">
        <v>1100</v>
      </c>
      <c r="K370" s="50">
        <v>168.0</v>
      </c>
      <c r="L370" s="29" t="s">
        <v>1101</v>
      </c>
      <c r="M370" s="22" t="s">
        <v>669</v>
      </c>
      <c r="N370" s="34"/>
      <c r="O370" s="40"/>
      <c r="P370" s="34"/>
      <c r="Q370" s="34"/>
      <c r="R370" s="34"/>
      <c r="S370" s="34"/>
      <c r="T370" s="34"/>
      <c r="U370" s="34">
        <v>231.0</v>
      </c>
      <c r="V370" s="29" t="s">
        <v>107</v>
      </c>
      <c r="W370" s="34"/>
      <c r="X370" s="29"/>
    </row>
    <row r="371" ht="15.75" customHeight="1">
      <c r="A371" s="27" t="s">
        <v>660</v>
      </c>
      <c r="B371" s="22" t="s">
        <v>661</v>
      </c>
      <c r="C371" s="53" t="s">
        <v>33</v>
      </c>
      <c r="D371" s="53" t="s">
        <v>34</v>
      </c>
      <c r="E371" s="47" t="s">
        <v>1083</v>
      </c>
      <c r="F371" s="49" t="s">
        <v>1102</v>
      </c>
      <c r="G371" s="29" t="s">
        <v>714</v>
      </c>
      <c r="H371" s="48" t="s">
        <v>1103</v>
      </c>
      <c r="I371" s="48" t="s">
        <v>1104</v>
      </c>
      <c r="J371" s="49" t="s">
        <v>1105</v>
      </c>
      <c r="K371" s="50">
        <v>169.0</v>
      </c>
      <c r="L371" s="29" t="s">
        <v>1106</v>
      </c>
      <c r="M371" s="22" t="s">
        <v>669</v>
      </c>
      <c r="N371" s="34"/>
      <c r="O371" s="40"/>
      <c r="P371" s="34"/>
      <c r="Q371" s="34"/>
      <c r="R371" s="34"/>
      <c r="S371" s="34"/>
      <c r="T371" s="34"/>
      <c r="U371" s="34">
        <v>233.0</v>
      </c>
      <c r="V371" s="29" t="s">
        <v>107</v>
      </c>
      <c r="W371" s="34"/>
      <c r="X371" s="29"/>
    </row>
    <row r="372" ht="15.75" customHeight="1">
      <c r="A372" s="27" t="s">
        <v>660</v>
      </c>
      <c r="B372" s="22" t="s">
        <v>661</v>
      </c>
      <c r="C372" s="53" t="s">
        <v>33</v>
      </c>
      <c r="D372" s="53" t="s">
        <v>34</v>
      </c>
      <c r="E372" s="47" t="s">
        <v>1083</v>
      </c>
      <c r="F372" s="49" t="s">
        <v>1102</v>
      </c>
      <c r="G372" s="29" t="s">
        <v>714</v>
      </c>
      <c r="H372" s="48" t="s">
        <v>1103</v>
      </c>
      <c r="I372" s="48" t="s">
        <v>1104</v>
      </c>
      <c r="J372" s="49" t="s">
        <v>1105</v>
      </c>
      <c r="K372" s="50">
        <v>170.0</v>
      </c>
      <c r="L372" s="29" t="s">
        <v>1107</v>
      </c>
      <c r="M372" s="22" t="s">
        <v>669</v>
      </c>
      <c r="N372" s="34"/>
      <c r="O372" s="40"/>
      <c r="P372" s="34"/>
      <c r="Q372" s="34"/>
      <c r="R372" s="34"/>
      <c r="S372" s="34"/>
      <c r="T372" s="34"/>
      <c r="U372" s="34">
        <v>234.0</v>
      </c>
      <c r="V372" s="29" t="s">
        <v>107</v>
      </c>
      <c r="W372" s="34"/>
      <c r="X372" s="29"/>
    </row>
    <row r="373" ht="15.75" customHeight="1">
      <c r="A373" s="27" t="s">
        <v>660</v>
      </c>
      <c r="B373" s="22" t="s">
        <v>661</v>
      </c>
      <c r="C373" s="53" t="s">
        <v>33</v>
      </c>
      <c r="D373" s="53" t="s">
        <v>34</v>
      </c>
      <c r="E373" s="47" t="s">
        <v>1083</v>
      </c>
      <c r="F373" s="49" t="s">
        <v>1108</v>
      </c>
      <c r="G373" s="29" t="s">
        <v>749</v>
      </c>
      <c r="H373" s="48" t="s">
        <v>1109</v>
      </c>
      <c r="I373" s="48" t="s">
        <v>1110</v>
      </c>
      <c r="J373" s="49" t="s">
        <v>1111</v>
      </c>
      <c r="K373" s="50">
        <v>171.0</v>
      </c>
      <c r="L373" s="29" t="s">
        <v>1112</v>
      </c>
      <c r="M373" s="22" t="s">
        <v>669</v>
      </c>
      <c r="N373" s="34"/>
      <c r="O373" s="40"/>
      <c r="P373" s="34"/>
      <c r="Q373" s="34"/>
      <c r="R373" s="34"/>
      <c r="S373" s="34"/>
      <c r="T373" s="34"/>
      <c r="U373" s="34">
        <v>236.0</v>
      </c>
      <c r="V373" s="29" t="s">
        <v>107</v>
      </c>
      <c r="W373" s="34"/>
      <c r="X373" s="29"/>
    </row>
    <row r="374" ht="15.75" customHeight="1">
      <c r="A374" s="27" t="s">
        <v>660</v>
      </c>
      <c r="B374" s="22" t="s">
        <v>661</v>
      </c>
      <c r="C374" s="53" t="s">
        <v>33</v>
      </c>
      <c r="D374" s="53" t="s">
        <v>34</v>
      </c>
      <c r="E374" s="47" t="s">
        <v>1083</v>
      </c>
      <c r="F374" s="49" t="s">
        <v>1108</v>
      </c>
      <c r="G374" s="29" t="s">
        <v>749</v>
      </c>
      <c r="H374" s="48" t="s">
        <v>1113</v>
      </c>
      <c r="I374" s="48" t="s">
        <v>1114</v>
      </c>
      <c r="J374" s="49" t="s">
        <v>1115</v>
      </c>
      <c r="K374" s="50">
        <v>172.0</v>
      </c>
      <c r="L374" s="29" t="s">
        <v>1116</v>
      </c>
      <c r="M374" s="22" t="s">
        <v>669</v>
      </c>
      <c r="N374" s="34"/>
      <c r="O374" s="40"/>
      <c r="P374" s="34"/>
      <c r="Q374" s="34"/>
      <c r="R374" s="34"/>
      <c r="S374" s="34"/>
      <c r="T374" s="34"/>
      <c r="U374" s="34">
        <v>237.0</v>
      </c>
      <c r="V374" s="29" t="s">
        <v>107</v>
      </c>
      <c r="W374" s="34"/>
      <c r="X374" s="29"/>
    </row>
    <row r="375" ht="15.75" customHeight="1">
      <c r="A375" s="27" t="s">
        <v>660</v>
      </c>
      <c r="B375" s="22" t="s">
        <v>661</v>
      </c>
      <c r="C375" s="53" t="s">
        <v>33</v>
      </c>
      <c r="D375" s="53" t="s">
        <v>34</v>
      </c>
      <c r="E375" s="47" t="s">
        <v>1083</v>
      </c>
      <c r="F375" s="49" t="s">
        <v>1108</v>
      </c>
      <c r="G375" s="29" t="s">
        <v>749</v>
      </c>
      <c r="H375" s="48" t="s">
        <v>1117</v>
      </c>
      <c r="I375" s="48" t="s">
        <v>1118</v>
      </c>
      <c r="J375" s="49" t="s">
        <v>1119</v>
      </c>
      <c r="K375" s="50">
        <v>173.0</v>
      </c>
      <c r="L375" s="29" t="s">
        <v>1120</v>
      </c>
      <c r="M375" s="22" t="s">
        <v>669</v>
      </c>
      <c r="N375" s="34"/>
      <c r="O375" s="40"/>
      <c r="P375" s="34"/>
      <c r="Q375" s="34"/>
      <c r="R375" s="34"/>
      <c r="S375" s="34"/>
      <c r="T375" s="34"/>
      <c r="U375" s="34">
        <v>238.0</v>
      </c>
      <c r="V375" s="29" t="s">
        <v>107</v>
      </c>
      <c r="W375" s="34"/>
      <c r="X375" s="29"/>
    </row>
    <row r="376" ht="15.75" customHeight="1">
      <c r="A376" s="27" t="s">
        <v>660</v>
      </c>
      <c r="B376" s="22" t="s">
        <v>661</v>
      </c>
      <c r="C376" s="53" t="s">
        <v>35</v>
      </c>
      <c r="D376" s="53" t="s">
        <v>36</v>
      </c>
      <c r="E376" s="47" t="s">
        <v>1121</v>
      </c>
      <c r="F376" s="49" t="s">
        <v>1122</v>
      </c>
      <c r="G376" s="29" t="s">
        <v>664</v>
      </c>
      <c r="H376" s="48" t="s">
        <v>1123</v>
      </c>
      <c r="I376" s="48" t="s">
        <v>1124</v>
      </c>
      <c r="J376" s="49" t="s">
        <v>1125</v>
      </c>
      <c r="K376" s="50">
        <v>174.0</v>
      </c>
      <c r="L376" s="29" t="s">
        <v>1126</v>
      </c>
      <c r="M376" s="22" t="s">
        <v>669</v>
      </c>
      <c r="N376" s="34"/>
      <c r="O376" s="40"/>
      <c r="P376" s="34"/>
      <c r="Q376" s="34"/>
      <c r="R376" s="34"/>
      <c r="S376" s="34"/>
      <c r="T376" s="34"/>
      <c r="U376" s="34">
        <v>245.0</v>
      </c>
      <c r="V376" s="29" t="s">
        <v>107</v>
      </c>
      <c r="W376" s="34"/>
      <c r="X376" s="29"/>
    </row>
    <row r="377" ht="15.75" customHeight="1">
      <c r="A377" s="27" t="s">
        <v>660</v>
      </c>
      <c r="B377" s="22" t="s">
        <v>661</v>
      </c>
      <c r="C377" s="53" t="s">
        <v>35</v>
      </c>
      <c r="D377" s="53" t="s">
        <v>36</v>
      </c>
      <c r="E377" s="47" t="s">
        <v>1121</v>
      </c>
      <c r="F377" s="49" t="s">
        <v>1122</v>
      </c>
      <c r="G377" s="29" t="s">
        <v>664</v>
      </c>
      <c r="H377" s="48" t="s">
        <v>1123</v>
      </c>
      <c r="I377" s="48" t="s">
        <v>1124</v>
      </c>
      <c r="J377" s="49" t="s">
        <v>1125</v>
      </c>
      <c r="K377" s="50">
        <v>175.0</v>
      </c>
      <c r="L377" s="29" t="s">
        <v>1127</v>
      </c>
      <c r="M377" s="22" t="s">
        <v>669</v>
      </c>
      <c r="N377" s="34"/>
      <c r="O377" s="40"/>
      <c r="P377" s="34"/>
      <c r="Q377" s="34"/>
      <c r="R377" s="34"/>
      <c r="S377" s="34"/>
      <c r="T377" s="34"/>
      <c r="U377" s="34">
        <v>246.0</v>
      </c>
      <c r="V377" s="29" t="s">
        <v>107</v>
      </c>
      <c r="W377" s="34"/>
      <c r="X377" s="29"/>
    </row>
    <row r="378" ht="15.75" customHeight="1">
      <c r="A378" s="27" t="s">
        <v>660</v>
      </c>
      <c r="B378" s="22" t="s">
        <v>661</v>
      </c>
      <c r="C378" s="53" t="s">
        <v>35</v>
      </c>
      <c r="D378" s="53" t="s">
        <v>36</v>
      </c>
      <c r="E378" s="47" t="s">
        <v>1121</v>
      </c>
      <c r="F378" s="49" t="s">
        <v>1122</v>
      </c>
      <c r="G378" s="29" t="s">
        <v>664</v>
      </c>
      <c r="H378" s="48" t="s">
        <v>1123</v>
      </c>
      <c r="I378" s="48" t="s">
        <v>1124</v>
      </c>
      <c r="J378" s="49" t="s">
        <v>1125</v>
      </c>
      <c r="K378" s="50">
        <v>176.0</v>
      </c>
      <c r="L378" s="29" t="s">
        <v>1128</v>
      </c>
      <c r="M378" s="22" t="s">
        <v>669</v>
      </c>
      <c r="N378" s="34"/>
      <c r="O378" s="40"/>
      <c r="P378" s="34"/>
      <c r="Q378" s="34"/>
      <c r="R378" s="34"/>
      <c r="S378" s="34"/>
      <c r="T378" s="34"/>
      <c r="U378" s="34">
        <v>247.0</v>
      </c>
      <c r="V378" s="29" t="s">
        <v>107</v>
      </c>
      <c r="W378" s="34"/>
      <c r="X378" s="49"/>
    </row>
    <row r="379" ht="15.75" customHeight="1">
      <c r="A379" s="27" t="s">
        <v>660</v>
      </c>
      <c r="B379" s="22" t="s">
        <v>661</v>
      </c>
      <c r="C379" s="53" t="s">
        <v>35</v>
      </c>
      <c r="D379" s="53" t="s">
        <v>36</v>
      </c>
      <c r="E379" s="47" t="s">
        <v>1121</v>
      </c>
      <c r="F379" s="49" t="s">
        <v>1122</v>
      </c>
      <c r="G379" s="29" t="s">
        <v>664</v>
      </c>
      <c r="H379" s="48" t="s">
        <v>1129</v>
      </c>
      <c r="I379" s="48" t="s">
        <v>1130</v>
      </c>
      <c r="J379" s="49" t="s">
        <v>1131</v>
      </c>
      <c r="K379" s="50">
        <v>177.0</v>
      </c>
      <c r="L379" s="29" t="s">
        <v>1132</v>
      </c>
      <c r="M379" s="22" t="s">
        <v>669</v>
      </c>
      <c r="N379" s="34"/>
      <c r="O379" s="40"/>
      <c r="P379" s="34"/>
      <c r="Q379" s="34"/>
      <c r="R379" s="34"/>
      <c r="S379" s="34"/>
      <c r="T379" s="34"/>
      <c r="U379" s="34">
        <v>248.0</v>
      </c>
      <c r="V379" s="29" t="s">
        <v>107</v>
      </c>
      <c r="W379" s="34"/>
      <c r="X379" s="29"/>
    </row>
    <row r="380" ht="15.75" customHeight="1">
      <c r="A380" s="27" t="s">
        <v>660</v>
      </c>
      <c r="B380" s="22" t="s">
        <v>661</v>
      </c>
      <c r="C380" s="53" t="s">
        <v>35</v>
      </c>
      <c r="D380" s="53" t="s">
        <v>36</v>
      </c>
      <c r="E380" s="47" t="s">
        <v>1121</v>
      </c>
      <c r="F380" s="49" t="s">
        <v>1122</v>
      </c>
      <c r="G380" s="29" t="s">
        <v>664</v>
      </c>
      <c r="H380" s="48" t="s">
        <v>1133</v>
      </c>
      <c r="I380" s="48" t="s">
        <v>1134</v>
      </c>
      <c r="J380" s="49" t="s">
        <v>1135</v>
      </c>
      <c r="K380" s="50">
        <v>178.0</v>
      </c>
      <c r="L380" s="29" t="s">
        <v>1136</v>
      </c>
      <c r="M380" s="22" t="s">
        <v>669</v>
      </c>
      <c r="N380" s="34"/>
      <c r="O380" s="40"/>
      <c r="P380" s="34"/>
      <c r="Q380" s="34"/>
      <c r="R380" s="34"/>
      <c r="S380" s="34"/>
      <c r="T380" s="34"/>
      <c r="U380" s="34">
        <v>249.0</v>
      </c>
      <c r="V380" s="29" t="s">
        <v>107</v>
      </c>
      <c r="W380" s="34"/>
      <c r="X380" s="29"/>
    </row>
    <row r="381" ht="15.75" customHeight="1">
      <c r="A381" s="27" t="s">
        <v>660</v>
      </c>
      <c r="B381" s="22" t="s">
        <v>661</v>
      </c>
      <c r="C381" s="53" t="s">
        <v>35</v>
      </c>
      <c r="D381" s="53" t="s">
        <v>36</v>
      </c>
      <c r="E381" s="47" t="s">
        <v>1121</v>
      </c>
      <c r="F381" s="49" t="s">
        <v>1122</v>
      </c>
      <c r="G381" s="29" t="s">
        <v>664</v>
      </c>
      <c r="H381" s="48" t="s">
        <v>1137</v>
      </c>
      <c r="I381" s="48" t="s">
        <v>1138</v>
      </c>
      <c r="J381" s="49" t="s">
        <v>1139</v>
      </c>
      <c r="K381" s="50">
        <v>179.0</v>
      </c>
      <c r="L381" s="29" t="s">
        <v>1140</v>
      </c>
      <c r="M381" s="22" t="s">
        <v>669</v>
      </c>
      <c r="N381" s="34"/>
      <c r="O381" s="40"/>
      <c r="P381" s="34"/>
      <c r="Q381" s="34"/>
      <c r="R381" s="34"/>
      <c r="S381" s="34"/>
      <c r="T381" s="34"/>
      <c r="U381" s="34">
        <v>250.0</v>
      </c>
      <c r="V381" s="29" t="s">
        <v>107</v>
      </c>
      <c r="W381" s="34"/>
      <c r="X381" s="29"/>
    </row>
    <row r="382" ht="15.75" customHeight="1">
      <c r="A382" s="27" t="s">
        <v>660</v>
      </c>
      <c r="B382" s="22" t="s">
        <v>661</v>
      </c>
      <c r="C382" s="53" t="s">
        <v>35</v>
      </c>
      <c r="D382" s="53" t="s">
        <v>36</v>
      </c>
      <c r="E382" s="47" t="s">
        <v>1121</v>
      </c>
      <c r="F382" s="49" t="s">
        <v>1122</v>
      </c>
      <c r="G382" s="29" t="s">
        <v>664</v>
      </c>
      <c r="H382" s="48" t="s">
        <v>1141</v>
      </c>
      <c r="I382" s="48" t="s">
        <v>1142</v>
      </c>
      <c r="J382" s="49" t="s">
        <v>1143</v>
      </c>
      <c r="K382" s="50">
        <v>180.0</v>
      </c>
      <c r="L382" s="29" t="s">
        <v>1144</v>
      </c>
      <c r="M382" s="22" t="s">
        <v>669</v>
      </c>
      <c r="N382" s="34"/>
      <c r="O382" s="40"/>
      <c r="P382" s="34"/>
      <c r="Q382" s="34"/>
      <c r="R382" s="34"/>
      <c r="S382" s="34"/>
      <c r="T382" s="34"/>
      <c r="U382" s="34">
        <v>251.0</v>
      </c>
      <c r="V382" s="29" t="s">
        <v>107</v>
      </c>
      <c r="W382" s="34"/>
      <c r="X382" s="29"/>
    </row>
    <row r="383" ht="15.75" customHeight="1">
      <c r="A383" s="27" t="s">
        <v>660</v>
      </c>
      <c r="B383" s="22" t="s">
        <v>661</v>
      </c>
      <c r="C383" s="53" t="s">
        <v>35</v>
      </c>
      <c r="D383" s="53" t="s">
        <v>36</v>
      </c>
      <c r="E383" s="47" t="s">
        <v>1121</v>
      </c>
      <c r="F383" s="49" t="s">
        <v>1122</v>
      </c>
      <c r="G383" s="29" t="s">
        <v>664</v>
      </c>
      <c r="H383" s="48" t="s">
        <v>1145</v>
      </c>
      <c r="I383" s="48" t="s">
        <v>1146</v>
      </c>
      <c r="J383" s="49" t="s">
        <v>1147</v>
      </c>
      <c r="K383" s="50">
        <v>181.0</v>
      </c>
      <c r="L383" s="29" t="s">
        <v>1148</v>
      </c>
      <c r="M383" s="22" t="s">
        <v>669</v>
      </c>
      <c r="N383" s="34"/>
      <c r="O383" s="40"/>
      <c r="P383" s="34"/>
      <c r="Q383" s="34"/>
      <c r="R383" s="34"/>
      <c r="S383" s="34"/>
      <c r="T383" s="34"/>
      <c r="U383" s="34">
        <v>252.0</v>
      </c>
      <c r="V383" s="29" t="s">
        <v>107</v>
      </c>
      <c r="W383" s="34"/>
      <c r="X383" s="29"/>
    </row>
    <row r="384" ht="15.75" customHeight="1">
      <c r="A384" s="27" t="s">
        <v>660</v>
      </c>
      <c r="B384" s="22" t="s">
        <v>661</v>
      </c>
      <c r="C384" s="53" t="s">
        <v>35</v>
      </c>
      <c r="D384" s="53" t="s">
        <v>36</v>
      </c>
      <c r="E384" s="47" t="s">
        <v>1121</v>
      </c>
      <c r="F384" s="49" t="s">
        <v>1122</v>
      </c>
      <c r="G384" s="29" t="s">
        <v>664</v>
      </c>
      <c r="H384" s="48" t="s">
        <v>1149</v>
      </c>
      <c r="I384" s="48" t="s">
        <v>1150</v>
      </c>
      <c r="J384" s="49" t="s">
        <v>1151</v>
      </c>
      <c r="K384" s="50">
        <v>182.0</v>
      </c>
      <c r="L384" s="29" t="s">
        <v>1152</v>
      </c>
      <c r="M384" s="22" t="s">
        <v>669</v>
      </c>
      <c r="N384" s="34"/>
      <c r="O384" s="40"/>
      <c r="P384" s="34"/>
      <c r="Q384" s="34"/>
      <c r="R384" s="34"/>
      <c r="S384" s="34"/>
      <c r="T384" s="34"/>
      <c r="U384" s="34">
        <v>253.0</v>
      </c>
      <c r="V384" s="29" t="s">
        <v>107</v>
      </c>
      <c r="W384" s="34"/>
      <c r="X384" s="29"/>
    </row>
    <row r="385" ht="15.75" customHeight="1">
      <c r="A385" s="27" t="s">
        <v>660</v>
      </c>
      <c r="B385" s="22" t="s">
        <v>661</v>
      </c>
      <c r="C385" s="53" t="s">
        <v>35</v>
      </c>
      <c r="D385" s="53" t="s">
        <v>36</v>
      </c>
      <c r="E385" s="47" t="s">
        <v>1121</v>
      </c>
      <c r="F385" s="49" t="s">
        <v>1122</v>
      </c>
      <c r="G385" s="29" t="s">
        <v>664</v>
      </c>
      <c r="H385" s="48" t="s">
        <v>1149</v>
      </c>
      <c r="I385" s="48" t="s">
        <v>1150</v>
      </c>
      <c r="J385" s="49" t="s">
        <v>1151</v>
      </c>
      <c r="K385" s="50">
        <v>183.0</v>
      </c>
      <c r="L385" s="29" t="s">
        <v>1153</v>
      </c>
      <c r="M385" s="22" t="s">
        <v>669</v>
      </c>
      <c r="N385" s="34"/>
      <c r="O385" s="40"/>
      <c r="P385" s="34"/>
      <c r="Q385" s="34"/>
      <c r="R385" s="34"/>
      <c r="S385" s="34"/>
      <c r="T385" s="34"/>
      <c r="U385" s="34">
        <v>254.0</v>
      </c>
      <c r="V385" s="29" t="s">
        <v>107</v>
      </c>
      <c r="W385" s="34"/>
      <c r="X385" s="29"/>
    </row>
    <row r="386" ht="15.75" customHeight="1">
      <c r="A386" s="27" t="s">
        <v>660</v>
      </c>
      <c r="B386" s="22" t="s">
        <v>661</v>
      </c>
      <c r="C386" s="53" t="s">
        <v>35</v>
      </c>
      <c r="D386" s="53" t="s">
        <v>36</v>
      </c>
      <c r="E386" s="47" t="s">
        <v>1121</v>
      </c>
      <c r="F386" s="49" t="s">
        <v>1154</v>
      </c>
      <c r="G386" s="29" t="s">
        <v>714</v>
      </c>
      <c r="H386" s="48" t="s">
        <v>1155</v>
      </c>
      <c r="I386" s="48" t="s">
        <v>1156</v>
      </c>
      <c r="J386" s="49" t="s">
        <v>1157</v>
      </c>
      <c r="K386" s="50">
        <v>184.0</v>
      </c>
      <c r="L386" s="29" t="s">
        <v>1158</v>
      </c>
      <c r="M386" s="22" t="s">
        <v>669</v>
      </c>
      <c r="N386" s="34"/>
      <c r="O386" s="40"/>
      <c r="P386" s="34"/>
      <c r="Q386" s="34"/>
      <c r="R386" s="34"/>
      <c r="S386" s="34"/>
      <c r="T386" s="34"/>
      <c r="U386" s="34">
        <v>256.0</v>
      </c>
      <c r="V386" s="29" t="s">
        <v>107</v>
      </c>
      <c r="W386" s="34"/>
      <c r="X386" s="29"/>
    </row>
    <row r="387" ht="15.75" customHeight="1">
      <c r="A387" s="27" t="s">
        <v>660</v>
      </c>
      <c r="B387" s="22" t="s">
        <v>661</v>
      </c>
      <c r="C387" s="53" t="s">
        <v>35</v>
      </c>
      <c r="D387" s="53" t="s">
        <v>36</v>
      </c>
      <c r="E387" s="47" t="s">
        <v>1121</v>
      </c>
      <c r="F387" s="49" t="s">
        <v>1154</v>
      </c>
      <c r="G387" s="29" t="s">
        <v>714</v>
      </c>
      <c r="H387" s="48" t="s">
        <v>1159</v>
      </c>
      <c r="I387" s="48" t="s">
        <v>1160</v>
      </c>
      <c r="J387" s="49" t="s">
        <v>1161</v>
      </c>
      <c r="K387" s="50">
        <v>185.0</v>
      </c>
      <c r="L387" s="29" t="s">
        <v>1162</v>
      </c>
      <c r="M387" s="22" t="s">
        <v>669</v>
      </c>
      <c r="N387" s="34"/>
      <c r="O387" s="40"/>
      <c r="P387" s="34"/>
      <c r="Q387" s="34"/>
      <c r="R387" s="34"/>
      <c r="S387" s="34"/>
      <c r="T387" s="34"/>
      <c r="U387" s="34">
        <v>257.0</v>
      </c>
      <c r="V387" s="29" t="s">
        <v>107</v>
      </c>
      <c r="W387" s="34"/>
      <c r="X387" s="29"/>
    </row>
    <row r="388" ht="15.75" customHeight="1">
      <c r="A388" s="27" t="s">
        <v>660</v>
      </c>
      <c r="B388" s="22" t="s">
        <v>661</v>
      </c>
      <c r="C388" s="53" t="s">
        <v>35</v>
      </c>
      <c r="D388" s="53" t="s">
        <v>36</v>
      </c>
      <c r="E388" s="47" t="s">
        <v>1121</v>
      </c>
      <c r="F388" s="49" t="s">
        <v>1154</v>
      </c>
      <c r="G388" s="29" t="s">
        <v>714</v>
      </c>
      <c r="H388" s="48" t="s">
        <v>1163</v>
      </c>
      <c r="I388" s="48" t="s">
        <v>1164</v>
      </c>
      <c r="J388" s="49" t="s">
        <v>1165</v>
      </c>
      <c r="K388" s="50">
        <v>186.0</v>
      </c>
      <c r="L388" s="29" t="s">
        <v>1166</v>
      </c>
      <c r="M388" s="22" t="s">
        <v>669</v>
      </c>
      <c r="N388" s="34"/>
      <c r="O388" s="40"/>
      <c r="P388" s="34"/>
      <c r="Q388" s="34"/>
      <c r="R388" s="34"/>
      <c r="S388" s="34"/>
      <c r="T388" s="34"/>
      <c r="U388" s="34">
        <v>258.0</v>
      </c>
      <c r="V388" s="29" t="s">
        <v>107</v>
      </c>
      <c r="W388" s="34"/>
      <c r="X388" s="29"/>
    </row>
    <row r="389" ht="15.75" customHeight="1">
      <c r="A389" s="27" t="s">
        <v>660</v>
      </c>
      <c r="B389" s="22" t="s">
        <v>661</v>
      </c>
      <c r="C389" s="53" t="s">
        <v>35</v>
      </c>
      <c r="D389" s="53" t="s">
        <v>36</v>
      </c>
      <c r="E389" s="47" t="s">
        <v>1121</v>
      </c>
      <c r="F389" s="49" t="s">
        <v>1154</v>
      </c>
      <c r="G389" s="29" t="s">
        <v>714</v>
      </c>
      <c r="H389" s="48" t="s">
        <v>1167</v>
      </c>
      <c r="I389" s="48" t="s">
        <v>1168</v>
      </c>
      <c r="J389" s="49" t="s">
        <v>1169</v>
      </c>
      <c r="K389" s="50">
        <v>187.0</v>
      </c>
      <c r="L389" s="29" t="s">
        <v>1170</v>
      </c>
      <c r="M389" s="22" t="s">
        <v>669</v>
      </c>
      <c r="N389" s="34"/>
      <c r="O389" s="40"/>
      <c r="P389" s="34"/>
      <c r="Q389" s="34"/>
      <c r="R389" s="34"/>
      <c r="S389" s="34"/>
      <c r="T389" s="34"/>
      <c r="U389" s="34">
        <v>259.0</v>
      </c>
      <c r="V389" s="29" t="s">
        <v>107</v>
      </c>
      <c r="W389" s="34"/>
      <c r="X389" s="29"/>
    </row>
    <row r="390" ht="15.75" customHeight="1">
      <c r="A390" s="27" t="s">
        <v>660</v>
      </c>
      <c r="B390" s="22" t="s">
        <v>661</v>
      </c>
      <c r="C390" s="53" t="s">
        <v>35</v>
      </c>
      <c r="D390" s="53" t="s">
        <v>36</v>
      </c>
      <c r="E390" s="47" t="s">
        <v>1121</v>
      </c>
      <c r="F390" s="49" t="s">
        <v>1154</v>
      </c>
      <c r="G390" s="29" t="s">
        <v>714</v>
      </c>
      <c r="H390" s="48" t="s">
        <v>1167</v>
      </c>
      <c r="I390" s="48" t="s">
        <v>1168</v>
      </c>
      <c r="J390" s="49" t="s">
        <v>1169</v>
      </c>
      <c r="K390" s="50">
        <v>188.0</v>
      </c>
      <c r="L390" s="29" t="s">
        <v>1171</v>
      </c>
      <c r="M390" s="22" t="s">
        <v>669</v>
      </c>
      <c r="N390" s="34"/>
      <c r="O390" s="40"/>
      <c r="P390" s="34"/>
      <c r="Q390" s="34"/>
      <c r="R390" s="34"/>
      <c r="S390" s="34"/>
      <c r="T390" s="34"/>
      <c r="U390" s="34">
        <v>260.0</v>
      </c>
      <c r="V390" s="29" t="s">
        <v>107</v>
      </c>
      <c r="W390" s="34"/>
      <c r="X390" s="29"/>
    </row>
    <row r="391" ht="15.75" customHeight="1">
      <c r="A391" s="27" t="s">
        <v>660</v>
      </c>
      <c r="B391" s="22" t="s">
        <v>661</v>
      </c>
      <c r="C391" s="53" t="s">
        <v>35</v>
      </c>
      <c r="D391" s="53" t="s">
        <v>36</v>
      </c>
      <c r="E391" s="47" t="s">
        <v>1121</v>
      </c>
      <c r="F391" s="49" t="s">
        <v>1154</v>
      </c>
      <c r="G391" s="29" t="s">
        <v>714</v>
      </c>
      <c r="H391" s="48" t="s">
        <v>1172</v>
      </c>
      <c r="I391" s="48" t="s">
        <v>1173</v>
      </c>
      <c r="J391" s="49" t="s">
        <v>1174</v>
      </c>
      <c r="K391" s="50">
        <v>189.0</v>
      </c>
      <c r="L391" s="29" t="s">
        <v>1175</v>
      </c>
      <c r="M391" s="22" t="s">
        <v>669</v>
      </c>
      <c r="N391" s="34"/>
      <c r="O391" s="40"/>
      <c r="P391" s="34"/>
      <c r="Q391" s="34"/>
      <c r="R391" s="34"/>
      <c r="S391" s="34"/>
      <c r="T391" s="34"/>
      <c r="U391" s="34">
        <v>261.0</v>
      </c>
      <c r="V391" s="29" t="s">
        <v>107</v>
      </c>
      <c r="W391" s="34"/>
      <c r="X391" s="29"/>
    </row>
    <row r="392" ht="15.75" customHeight="1">
      <c r="A392" s="27" t="s">
        <v>660</v>
      </c>
      <c r="B392" s="22" t="s">
        <v>661</v>
      </c>
      <c r="C392" s="53" t="s">
        <v>35</v>
      </c>
      <c r="D392" s="53" t="s">
        <v>36</v>
      </c>
      <c r="E392" s="47" t="s">
        <v>1121</v>
      </c>
      <c r="F392" s="49" t="s">
        <v>1154</v>
      </c>
      <c r="G392" s="29" t="s">
        <v>714</v>
      </c>
      <c r="H392" s="48" t="s">
        <v>1172</v>
      </c>
      <c r="I392" s="48" t="s">
        <v>1173</v>
      </c>
      <c r="J392" s="49" t="s">
        <v>1174</v>
      </c>
      <c r="K392" s="50">
        <v>190.0</v>
      </c>
      <c r="L392" s="29" t="s">
        <v>1176</v>
      </c>
      <c r="M392" s="22" t="s">
        <v>669</v>
      </c>
      <c r="N392" s="34"/>
      <c r="O392" s="40"/>
      <c r="P392" s="34"/>
      <c r="Q392" s="34"/>
      <c r="R392" s="34"/>
      <c r="S392" s="34"/>
      <c r="T392" s="34"/>
      <c r="U392" s="34">
        <v>262.0</v>
      </c>
      <c r="V392" s="29" t="s">
        <v>107</v>
      </c>
      <c r="W392" s="34"/>
      <c r="X392" s="29"/>
    </row>
    <row r="393" ht="15.75" customHeight="1">
      <c r="A393" s="27" t="s">
        <v>660</v>
      </c>
      <c r="B393" s="22" t="s">
        <v>661</v>
      </c>
      <c r="C393" s="53" t="s">
        <v>35</v>
      </c>
      <c r="D393" s="53" t="s">
        <v>36</v>
      </c>
      <c r="E393" s="47" t="s">
        <v>1121</v>
      </c>
      <c r="F393" s="49" t="s">
        <v>1177</v>
      </c>
      <c r="G393" s="29" t="s">
        <v>749</v>
      </c>
      <c r="H393" s="48" t="s">
        <v>1178</v>
      </c>
      <c r="I393" s="48" t="s">
        <v>1179</v>
      </c>
      <c r="J393" s="49" t="s">
        <v>1180</v>
      </c>
      <c r="K393" s="50">
        <v>191.0</v>
      </c>
      <c r="L393" s="29" t="s">
        <v>1181</v>
      </c>
      <c r="M393" s="22" t="s">
        <v>669</v>
      </c>
      <c r="N393" s="34"/>
      <c r="O393" s="40"/>
      <c r="P393" s="34"/>
      <c r="Q393" s="34"/>
      <c r="R393" s="34"/>
      <c r="S393" s="34"/>
      <c r="T393" s="34"/>
      <c r="U393" s="34">
        <v>264.0</v>
      </c>
      <c r="V393" s="29" t="s">
        <v>107</v>
      </c>
      <c r="W393" s="34"/>
      <c r="X393" s="29"/>
    </row>
    <row r="394" ht="15.75" customHeight="1">
      <c r="A394" s="27" t="s">
        <v>660</v>
      </c>
      <c r="B394" s="22" t="s">
        <v>661</v>
      </c>
      <c r="C394" s="53" t="s">
        <v>37</v>
      </c>
      <c r="D394" s="53" t="s">
        <v>1182</v>
      </c>
      <c r="E394" s="47" t="s">
        <v>1183</v>
      </c>
      <c r="F394" s="49" t="s">
        <v>1184</v>
      </c>
      <c r="G394" s="29" t="s">
        <v>664</v>
      </c>
      <c r="H394" s="48" t="s">
        <v>1185</v>
      </c>
      <c r="I394" s="48" t="s">
        <v>1186</v>
      </c>
      <c r="J394" s="49" t="s">
        <v>1187</v>
      </c>
      <c r="K394" s="50">
        <v>192.0</v>
      </c>
      <c r="L394" s="29" t="s">
        <v>1188</v>
      </c>
      <c r="M394" s="22" t="s">
        <v>669</v>
      </c>
      <c r="N394" s="34"/>
      <c r="O394" s="40"/>
      <c r="P394" s="34"/>
      <c r="Q394" s="34"/>
      <c r="R394" s="34"/>
      <c r="S394" s="34"/>
      <c r="T394" s="34"/>
      <c r="U394" s="34">
        <v>271.0</v>
      </c>
      <c r="V394" s="29" t="s">
        <v>107</v>
      </c>
      <c r="W394" s="34"/>
      <c r="X394" s="29"/>
    </row>
    <row r="395" ht="15.75" customHeight="1">
      <c r="A395" s="27" t="s">
        <v>660</v>
      </c>
      <c r="B395" s="22" t="s">
        <v>661</v>
      </c>
      <c r="C395" s="53" t="s">
        <v>37</v>
      </c>
      <c r="D395" s="53" t="s">
        <v>1182</v>
      </c>
      <c r="E395" s="47" t="s">
        <v>1183</v>
      </c>
      <c r="F395" s="49" t="s">
        <v>1184</v>
      </c>
      <c r="G395" s="29" t="s">
        <v>664</v>
      </c>
      <c r="H395" s="48" t="s">
        <v>1185</v>
      </c>
      <c r="I395" s="48" t="s">
        <v>1186</v>
      </c>
      <c r="J395" s="49" t="s">
        <v>1187</v>
      </c>
      <c r="K395" s="50">
        <v>193.0</v>
      </c>
      <c r="L395" s="29" t="s">
        <v>1189</v>
      </c>
      <c r="M395" s="22" t="s">
        <v>669</v>
      </c>
      <c r="N395" s="34"/>
      <c r="O395" s="40"/>
      <c r="P395" s="34"/>
      <c r="Q395" s="34"/>
      <c r="R395" s="34"/>
      <c r="S395" s="34"/>
      <c r="T395" s="34"/>
      <c r="U395" s="34">
        <v>272.0</v>
      </c>
      <c r="V395" s="29" t="s">
        <v>107</v>
      </c>
      <c r="W395" s="34"/>
      <c r="X395" s="29"/>
    </row>
    <row r="396" ht="15.75" customHeight="1">
      <c r="A396" s="27" t="s">
        <v>660</v>
      </c>
      <c r="B396" s="22" t="s">
        <v>661</v>
      </c>
      <c r="C396" s="53" t="s">
        <v>37</v>
      </c>
      <c r="D396" s="53" t="s">
        <v>1182</v>
      </c>
      <c r="E396" s="47" t="s">
        <v>1183</v>
      </c>
      <c r="F396" s="49" t="s">
        <v>1184</v>
      </c>
      <c r="G396" s="29" t="s">
        <v>664</v>
      </c>
      <c r="H396" s="48" t="s">
        <v>1190</v>
      </c>
      <c r="I396" s="48" t="s">
        <v>1191</v>
      </c>
      <c r="J396" s="49" t="s">
        <v>1192</v>
      </c>
      <c r="K396" s="50">
        <v>194.0</v>
      </c>
      <c r="L396" s="29" t="s">
        <v>1193</v>
      </c>
      <c r="M396" s="22" t="s">
        <v>669</v>
      </c>
      <c r="N396" s="34"/>
      <c r="O396" s="40"/>
      <c r="P396" s="34"/>
      <c r="Q396" s="34"/>
      <c r="R396" s="34"/>
      <c r="S396" s="34"/>
      <c r="T396" s="34"/>
      <c r="U396" s="34">
        <v>273.0</v>
      </c>
      <c r="V396" s="29" t="s">
        <v>107</v>
      </c>
      <c r="W396" s="34"/>
      <c r="X396" s="29"/>
    </row>
    <row r="397" ht="15.75" customHeight="1">
      <c r="A397" s="27" t="s">
        <v>660</v>
      </c>
      <c r="B397" s="22" t="s">
        <v>661</v>
      </c>
      <c r="C397" s="53" t="s">
        <v>37</v>
      </c>
      <c r="D397" s="53" t="s">
        <v>1182</v>
      </c>
      <c r="E397" s="47" t="s">
        <v>1183</v>
      </c>
      <c r="F397" s="49" t="s">
        <v>1194</v>
      </c>
      <c r="G397" s="29" t="s">
        <v>714</v>
      </c>
      <c r="H397" s="48" t="s">
        <v>1195</v>
      </c>
      <c r="I397" s="48" t="s">
        <v>1196</v>
      </c>
      <c r="J397" s="49" t="s">
        <v>1197</v>
      </c>
      <c r="K397" s="50">
        <v>195.0</v>
      </c>
      <c r="L397" s="29" t="s">
        <v>1198</v>
      </c>
      <c r="M397" s="22" t="s">
        <v>669</v>
      </c>
      <c r="N397" s="34"/>
      <c r="O397" s="40"/>
      <c r="P397" s="34"/>
      <c r="Q397" s="34"/>
      <c r="R397" s="34"/>
      <c r="S397" s="34"/>
      <c r="T397" s="34"/>
      <c r="U397" s="34">
        <v>275.0</v>
      </c>
      <c r="V397" s="29" t="s">
        <v>107</v>
      </c>
      <c r="W397" s="34"/>
      <c r="X397" s="29"/>
    </row>
    <row r="398" ht="15.75" customHeight="1">
      <c r="A398" s="27" t="s">
        <v>660</v>
      </c>
      <c r="B398" s="22" t="s">
        <v>661</v>
      </c>
      <c r="C398" s="53" t="s">
        <v>37</v>
      </c>
      <c r="D398" s="53" t="s">
        <v>1182</v>
      </c>
      <c r="E398" s="47" t="s">
        <v>1183</v>
      </c>
      <c r="F398" s="49" t="s">
        <v>1194</v>
      </c>
      <c r="G398" s="29" t="s">
        <v>714</v>
      </c>
      <c r="H398" s="48" t="s">
        <v>1195</v>
      </c>
      <c r="I398" s="48" t="s">
        <v>1196</v>
      </c>
      <c r="J398" s="49" t="s">
        <v>1197</v>
      </c>
      <c r="K398" s="50">
        <v>196.0</v>
      </c>
      <c r="L398" s="29" t="s">
        <v>1199</v>
      </c>
      <c r="M398" s="22" t="s">
        <v>669</v>
      </c>
      <c r="N398" s="34"/>
      <c r="O398" s="40"/>
      <c r="P398" s="34"/>
      <c r="Q398" s="34"/>
      <c r="R398" s="34"/>
      <c r="S398" s="34"/>
      <c r="T398" s="34"/>
      <c r="U398" s="34">
        <v>276.0</v>
      </c>
      <c r="V398" s="29" t="s">
        <v>107</v>
      </c>
      <c r="W398" s="34"/>
      <c r="X398" s="29"/>
    </row>
    <row r="399" ht="15.75" customHeight="1">
      <c r="A399" s="27" t="s">
        <v>660</v>
      </c>
      <c r="B399" s="22" t="s">
        <v>661</v>
      </c>
      <c r="C399" s="53" t="s">
        <v>37</v>
      </c>
      <c r="D399" s="53" t="s">
        <v>1182</v>
      </c>
      <c r="E399" s="47" t="s">
        <v>1183</v>
      </c>
      <c r="F399" s="49" t="s">
        <v>1194</v>
      </c>
      <c r="G399" s="29" t="s">
        <v>714</v>
      </c>
      <c r="H399" s="48" t="s">
        <v>1200</v>
      </c>
      <c r="I399" s="48" t="s">
        <v>1201</v>
      </c>
      <c r="J399" s="49" t="s">
        <v>1202</v>
      </c>
      <c r="K399" s="50">
        <v>197.0</v>
      </c>
      <c r="L399" s="29" t="s">
        <v>1203</v>
      </c>
      <c r="M399" s="22" t="s">
        <v>669</v>
      </c>
      <c r="N399" s="34"/>
      <c r="O399" s="40"/>
      <c r="P399" s="34"/>
      <c r="Q399" s="34"/>
      <c r="R399" s="34"/>
      <c r="S399" s="34"/>
      <c r="T399" s="34"/>
      <c r="U399" s="34">
        <v>277.0</v>
      </c>
      <c r="V399" s="29" t="s">
        <v>107</v>
      </c>
      <c r="W399" s="34"/>
      <c r="X399" s="29"/>
    </row>
    <row r="400" ht="15.75" customHeight="1">
      <c r="A400" s="27" t="s">
        <v>660</v>
      </c>
      <c r="B400" s="22" t="s">
        <v>661</v>
      </c>
      <c r="C400" s="53" t="s">
        <v>37</v>
      </c>
      <c r="D400" s="53" t="s">
        <v>1182</v>
      </c>
      <c r="E400" s="47" t="s">
        <v>1183</v>
      </c>
      <c r="F400" s="49" t="s">
        <v>1194</v>
      </c>
      <c r="G400" s="29" t="s">
        <v>714</v>
      </c>
      <c r="H400" s="48" t="s">
        <v>1200</v>
      </c>
      <c r="I400" s="48" t="s">
        <v>1201</v>
      </c>
      <c r="J400" s="49" t="s">
        <v>1202</v>
      </c>
      <c r="K400" s="50">
        <v>198.0</v>
      </c>
      <c r="L400" s="29" t="s">
        <v>1204</v>
      </c>
      <c r="M400" s="22" t="s">
        <v>669</v>
      </c>
      <c r="N400" s="34"/>
      <c r="O400" s="40"/>
      <c r="P400" s="34"/>
      <c r="Q400" s="34"/>
      <c r="R400" s="34"/>
      <c r="S400" s="34"/>
      <c r="T400" s="34"/>
      <c r="U400" s="34">
        <v>278.0</v>
      </c>
      <c r="V400" s="29" t="s">
        <v>107</v>
      </c>
      <c r="W400" s="34"/>
      <c r="X400" s="29"/>
    </row>
    <row r="401" ht="15.75" customHeight="1">
      <c r="A401" s="27" t="s">
        <v>660</v>
      </c>
      <c r="B401" s="22" t="s">
        <v>661</v>
      </c>
      <c r="C401" s="53" t="s">
        <v>37</v>
      </c>
      <c r="D401" s="53" t="s">
        <v>1182</v>
      </c>
      <c r="E401" s="47" t="s">
        <v>1183</v>
      </c>
      <c r="F401" s="49" t="s">
        <v>1194</v>
      </c>
      <c r="G401" s="29" t="s">
        <v>714</v>
      </c>
      <c r="H401" s="48" t="s">
        <v>1205</v>
      </c>
      <c r="I401" s="48" t="s">
        <v>1206</v>
      </c>
      <c r="J401" s="49" t="s">
        <v>1207</v>
      </c>
      <c r="K401" s="50">
        <v>199.0</v>
      </c>
      <c r="L401" s="29" t="s">
        <v>1208</v>
      </c>
      <c r="M401" s="22" t="s">
        <v>669</v>
      </c>
      <c r="N401" s="34"/>
      <c r="O401" s="40"/>
      <c r="P401" s="34"/>
      <c r="Q401" s="34"/>
      <c r="R401" s="34"/>
      <c r="S401" s="34"/>
      <c r="T401" s="34"/>
      <c r="U401" s="34">
        <v>279.0</v>
      </c>
      <c r="V401" s="29" t="s">
        <v>107</v>
      </c>
      <c r="W401" s="34"/>
      <c r="X401" s="29"/>
    </row>
    <row r="402" ht="15.75" customHeight="1">
      <c r="A402" s="27" t="s">
        <v>660</v>
      </c>
      <c r="B402" s="22" t="s">
        <v>661</v>
      </c>
      <c r="C402" s="53" t="s">
        <v>37</v>
      </c>
      <c r="D402" s="53" t="s">
        <v>1182</v>
      </c>
      <c r="E402" s="47" t="s">
        <v>1183</v>
      </c>
      <c r="F402" s="49" t="s">
        <v>1194</v>
      </c>
      <c r="G402" s="29" t="s">
        <v>714</v>
      </c>
      <c r="H402" s="48" t="s">
        <v>1205</v>
      </c>
      <c r="I402" s="48" t="s">
        <v>1206</v>
      </c>
      <c r="J402" s="49" t="s">
        <v>1207</v>
      </c>
      <c r="K402" s="50">
        <v>200.0</v>
      </c>
      <c r="L402" s="29" t="s">
        <v>1209</v>
      </c>
      <c r="M402" s="22" t="s">
        <v>669</v>
      </c>
      <c r="N402" s="34"/>
      <c r="O402" s="40"/>
      <c r="P402" s="34"/>
      <c r="Q402" s="34"/>
      <c r="R402" s="34"/>
      <c r="S402" s="34"/>
      <c r="T402" s="34"/>
      <c r="U402" s="34">
        <v>280.0</v>
      </c>
      <c r="V402" s="29" t="s">
        <v>107</v>
      </c>
      <c r="W402" s="34"/>
      <c r="X402" s="29"/>
    </row>
    <row r="403" ht="15.75" customHeight="1">
      <c r="A403" s="27" t="s">
        <v>660</v>
      </c>
      <c r="B403" s="22" t="s">
        <v>661</v>
      </c>
      <c r="C403" s="53" t="s">
        <v>37</v>
      </c>
      <c r="D403" s="53" t="s">
        <v>1182</v>
      </c>
      <c r="E403" s="47" t="s">
        <v>1183</v>
      </c>
      <c r="F403" s="49" t="s">
        <v>1194</v>
      </c>
      <c r="G403" s="29" t="s">
        <v>714</v>
      </c>
      <c r="H403" s="48" t="s">
        <v>1205</v>
      </c>
      <c r="I403" s="48" t="s">
        <v>1206</v>
      </c>
      <c r="J403" s="49" t="s">
        <v>1207</v>
      </c>
      <c r="K403" s="50">
        <v>201.0</v>
      </c>
      <c r="L403" s="29" t="s">
        <v>1210</v>
      </c>
      <c r="M403" s="22" t="s">
        <v>669</v>
      </c>
      <c r="N403" s="34"/>
      <c r="O403" s="40"/>
      <c r="P403" s="34"/>
      <c r="Q403" s="34"/>
      <c r="R403" s="34"/>
      <c r="S403" s="34"/>
      <c r="T403" s="34"/>
      <c r="U403" s="34">
        <v>281.0</v>
      </c>
      <c r="V403" s="29" t="s">
        <v>107</v>
      </c>
      <c r="W403" s="34"/>
      <c r="X403" s="29"/>
    </row>
    <row r="404" ht="15.75" customHeight="1">
      <c r="A404" s="27" t="s">
        <v>660</v>
      </c>
      <c r="B404" s="22" t="s">
        <v>661</v>
      </c>
      <c r="C404" s="53" t="s">
        <v>37</v>
      </c>
      <c r="D404" s="53" t="s">
        <v>1182</v>
      </c>
      <c r="E404" s="47" t="s">
        <v>1183</v>
      </c>
      <c r="F404" s="49" t="s">
        <v>1194</v>
      </c>
      <c r="G404" s="29" t="s">
        <v>714</v>
      </c>
      <c r="H404" s="48" t="s">
        <v>1205</v>
      </c>
      <c r="I404" s="48" t="s">
        <v>1206</v>
      </c>
      <c r="J404" s="49" t="s">
        <v>1207</v>
      </c>
      <c r="K404" s="50">
        <v>202.0</v>
      </c>
      <c r="L404" s="29" t="s">
        <v>1211</v>
      </c>
      <c r="M404" s="22" t="s">
        <v>669</v>
      </c>
      <c r="N404" s="34"/>
      <c r="O404" s="40"/>
      <c r="P404" s="34"/>
      <c r="Q404" s="34"/>
      <c r="R404" s="34"/>
      <c r="S404" s="34"/>
      <c r="T404" s="34"/>
      <c r="U404" s="34">
        <v>282.0</v>
      </c>
      <c r="V404" s="29" t="s">
        <v>107</v>
      </c>
      <c r="W404" s="34"/>
      <c r="X404" s="29"/>
    </row>
    <row r="405" ht="15.75" customHeight="1">
      <c r="A405" s="27" t="s">
        <v>660</v>
      </c>
      <c r="B405" s="22" t="s">
        <v>661</v>
      </c>
      <c r="C405" s="53" t="s">
        <v>37</v>
      </c>
      <c r="D405" s="53" t="s">
        <v>1182</v>
      </c>
      <c r="E405" s="47" t="s">
        <v>1183</v>
      </c>
      <c r="F405" s="49" t="s">
        <v>1212</v>
      </c>
      <c r="G405" s="29" t="s">
        <v>749</v>
      </c>
      <c r="H405" s="48" t="s">
        <v>1213</v>
      </c>
      <c r="I405" s="48" t="s">
        <v>1214</v>
      </c>
      <c r="J405" s="49" t="s">
        <v>1215</v>
      </c>
      <c r="K405" s="50">
        <v>203.0</v>
      </c>
      <c r="L405" s="29" t="s">
        <v>1216</v>
      </c>
      <c r="M405" s="22" t="s">
        <v>669</v>
      </c>
      <c r="N405" s="34"/>
      <c r="O405" s="40"/>
      <c r="P405" s="34"/>
      <c r="Q405" s="34"/>
      <c r="R405" s="34"/>
      <c r="S405" s="34"/>
      <c r="T405" s="34"/>
      <c r="U405" s="34">
        <v>284.0</v>
      </c>
      <c r="V405" s="29" t="s">
        <v>107</v>
      </c>
      <c r="W405" s="34"/>
      <c r="X405" s="29"/>
    </row>
    <row r="406" ht="15.75" customHeight="1">
      <c r="A406" s="27" t="s">
        <v>660</v>
      </c>
      <c r="B406" s="22" t="s">
        <v>661</v>
      </c>
      <c r="C406" s="53" t="s">
        <v>39</v>
      </c>
      <c r="D406" s="53" t="s">
        <v>40</v>
      </c>
      <c r="E406" s="47" t="s">
        <v>1217</v>
      </c>
      <c r="F406" s="29" t="s">
        <v>1218</v>
      </c>
      <c r="G406" s="29" t="s">
        <v>664</v>
      </c>
      <c r="H406" s="48" t="s">
        <v>1219</v>
      </c>
      <c r="I406" s="48" t="s">
        <v>1220</v>
      </c>
      <c r="J406" s="49" t="s">
        <v>1221</v>
      </c>
      <c r="K406" s="50">
        <v>204.0</v>
      </c>
      <c r="L406" s="29" t="s">
        <v>1222</v>
      </c>
      <c r="M406" s="22" t="s">
        <v>669</v>
      </c>
      <c r="N406" s="34"/>
      <c r="O406" s="40"/>
      <c r="P406" s="34"/>
      <c r="Q406" s="34"/>
      <c r="R406" s="34"/>
      <c r="S406" s="34"/>
      <c r="T406" s="34"/>
      <c r="U406" s="34">
        <v>291.0</v>
      </c>
      <c r="V406" s="29" t="s">
        <v>107</v>
      </c>
      <c r="W406" s="34"/>
      <c r="X406" s="29"/>
    </row>
    <row r="407" ht="15.75" customHeight="1">
      <c r="A407" s="27" t="s">
        <v>660</v>
      </c>
      <c r="B407" s="22" t="s">
        <v>661</v>
      </c>
      <c r="C407" s="53" t="s">
        <v>39</v>
      </c>
      <c r="D407" s="53" t="s">
        <v>40</v>
      </c>
      <c r="E407" s="47" t="s">
        <v>1217</v>
      </c>
      <c r="F407" s="29" t="s">
        <v>1218</v>
      </c>
      <c r="G407" s="29" t="s">
        <v>664</v>
      </c>
      <c r="H407" s="48" t="s">
        <v>1219</v>
      </c>
      <c r="I407" s="48" t="s">
        <v>1220</v>
      </c>
      <c r="J407" s="49" t="s">
        <v>1221</v>
      </c>
      <c r="K407" s="50">
        <v>205.0</v>
      </c>
      <c r="L407" s="29" t="s">
        <v>1223</v>
      </c>
      <c r="M407" s="22" t="s">
        <v>669</v>
      </c>
      <c r="N407" s="34"/>
      <c r="O407" s="40"/>
      <c r="P407" s="34"/>
      <c r="Q407" s="34"/>
      <c r="R407" s="34"/>
      <c r="S407" s="34"/>
      <c r="T407" s="34"/>
      <c r="U407" s="34">
        <v>292.0</v>
      </c>
      <c r="V407" s="29" t="s">
        <v>107</v>
      </c>
      <c r="W407" s="34"/>
      <c r="X407" s="29"/>
    </row>
    <row r="408" ht="15.75" customHeight="1">
      <c r="A408" s="27" t="s">
        <v>660</v>
      </c>
      <c r="B408" s="22" t="s">
        <v>661</v>
      </c>
      <c r="C408" s="53" t="s">
        <v>39</v>
      </c>
      <c r="D408" s="53" t="s">
        <v>40</v>
      </c>
      <c r="E408" s="47" t="s">
        <v>1217</v>
      </c>
      <c r="F408" s="29" t="s">
        <v>1224</v>
      </c>
      <c r="G408" s="29" t="s">
        <v>714</v>
      </c>
      <c r="H408" s="48" t="s">
        <v>1225</v>
      </c>
      <c r="I408" s="48" t="s">
        <v>1226</v>
      </c>
      <c r="J408" s="49" t="s">
        <v>1227</v>
      </c>
      <c r="K408" s="50">
        <v>206.0</v>
      </c>
      <c r="L408" s="29" t="s">
        <v>1228</v>
      </c>
      <c r="M408" s="22" t="s">
        <v>669</v>
      </c>
      <c r="N408" s="34"/>
      <c r="O408" s="40"/>
      <c r="P408" s="34"/>
      <c r="Q408" s="34"/>
      <c r="R408" s="34"/>
      <c r="S408" s="34"/>
      <c r="T408" s="34"/>
      <c r="U408" s="34">
        <v>294.0</v>
      </c>
      <c r="V408" s="29" t="s">
        <v>107</v>
      </c>
      <c r="W408" s="34"/>
      <c r="X408" s="29"/>
    </row>
    <row r="409" ht="15.75" customHeight="1">
      <c r="A409" s="27" t="s">
        <v>660</v>
      </c>
      <c r="B409" s="22" t="s">
        <v>661</v>
      </c>
      <c r="C409" s="53" t="s">
        <v>39</v>
      </c>
      <c r="D409" s="53" t="s">
        <v>40</v>
      </c>
      <c r="E409" s="47" t="s">
        <v>1217</v>
      </c>
      <c r="F409" s="29" t="s">
        <v>1224</v>
      </c>
      <c r="G409" s="29" t="s">
        <v>714</v>
      </c>
      <c r="H409" s="48" t="s">
        <v>1229</v>
      </c>
      <c r="I409" s="48" t="s">
        <v>1230</v>
      </c>
      <c r="J409" s="49" t="s">
        <v>1231</v>
      </c>
      <c r="K409" s="50">
        <v>207.0</v>
      </c>
      <c r="L409" s="29" t="s">
        <v>1232</v>
      </c>
      <c r="M409" s="22" t="s">
        <v>669</v>
      </c>
      <c r="N409" s="34"/>
      <c r="O409" s="40"/>
      <c r="P409" s="34"/>
      <c r="Q409" s="34"/>
      <c r="R409" s="34"/>
      <c r="S409" s="34"/>
      <c r="T409" s="34"/>
      <c r="U409" s="34">
        <v>295.0</v>
      </c>
      <c r="V409" s="29" t="s">
        <v>107</v>
      </c>
      <c r="W409" s="34"/>
      <c r="X409" s="29"/>
    </row>
    <row r="410" ht="15.75" customHeight="1">
      <c r="A410" s="27" t="s">
        <v>660</v>
      </c>
      <c r="B410" s="22" t="s">
        <v>661</v>
      </c>
      <c r="C410" s="53" t="s">
        <v>39</v>
      </c>
      <c r="D410" s="53" t="s">
        <v>40</v>
      </c>
      <c r="E410" s="47" t="s">
        <v>1217</v>
      </c>
      <c r="F410" s="29" t="s">
        <v>1224</v>
      </c>
      <c r="G410" s="29" t="s">
        <v>714</v>
      </c>
      <c r="H410" s="48" t="s">
        <v>1229</v>
      </c>
      <c r="I410" s="48" t="s">
        <v>1230</v>
      </c>
      <c r="J410" s="49" t="s">
        <v>1231</v>
      </c>
      <c r="K410" s="50">
        <v>208.0</v>
      </c>
      <c r="L410" s="29" t="s">
        <v>1233</v>
      </c>
      <c r="M410" s="22" t="s">
        <v>669</v>
      </c>
      <c r="N410" s="34"/>
      <c r="O410" s="40"/>
      <c r="P410" s="34"/>
      <c r="Q410" s="34"/>
      <c r="R410" s="34"/>
      <c r="S410" s="34"/>
      <c r="T410" s="34"/>
      <c r="U410" s="34">
        <v>296.0</v>
      </c>
      <c r="V410" s="29" t="s">
        <v>107</v>
      </c>
      <c r="W410" s="34"/>
      <c r="X410" s="29"/>
    </row>
    <row r="411" ht="15.75" customHeight="1">
      <c r="A411" s="27" t="s">
        <v>660</v>
      </c>
      <c r="B411" s="22" t="s">
        <v>661</v>
      </c>
      <c r="C411" s="53" t="s">
        <v>39</v>
      </c>
      <c r="D411" s="53" t="s">
        <v>40</v>
      </c>
      <c r="E411" s="47" t="s">
        <v>1217</v>
      </c>
      <c r="F411" s="29" t="s">
        <v>1224</v>
      </c>
      <c r="G411" s="29" t="s">
        <v>714</v>
      </c>
      <c r="H411" s="48" t="s">
        <v>1234</v>
      </c>
      <c r="I411" s="48" t="s">
        <v>1235</v>
      </c>
      <c r="J411" s="49" t="s">
        <v>1236</v>
      </c>
      <c r="K411" s="50">
        <v>209.0</v>
      </c>
      <c r="L411" s="29" t="s">
        <v>1237</v>
      </c>
      <c r="M411" s="22" t="s">
        <v>669</v>
      </c>
      <c r="N411" s="34"/>
      <c r="O411" s="40"/>
      <c r="P411" s="34"/>
      <c r="Q411" s="34"/>
      <c r="R411" s="34"/>
      <c r="S411" s="34"/>
      <c r="T411" s="34"/>
      <c r="U411" s="34">
        <v>297.0</v>
      </c>
      <c r="V411" s="29" t="s">
        <v>107</v>
      </c>
      <c r="W411" s="34"/>
      <c r="X411" s="29"/>
    </row>
    <row r="412" ht="15.75" customHeight="1">
      <c r="A412" s="27" t="s">
        <v>660</v>
      </c>
      <c r="B412" s="22" t="s">
        <v>661</v>
      </c>
      <c r="C412" s="53" t="s">
        <v>39</v>
      </c>
      <c r="D412" s="53" t="s">
        <v>40</v>
      </c>
      <c r="E412" s="47" t="s">
        <v>1217</v>
      </c>
      <c r="F412" s="29" t="s">
        <v>1224</v>
      </c>
      <c r="G412" s="29" t="s">
        <v>714</v>
      </c>
      <c r="H412" s="48" t="s">
        <v>1234</v>
      </c>
      <c r="I412" s="48" t="s">
        <v>1235</v>
      </c>
      <c r="J412" s="49" t="s">
        <v>1236</v>
      </c>
      <c r="K412" s="50">
        <v>210.0</v>
      </c>
      <c r="L412" s="29" t="s">
        <v>1238</v>
      </c>
      <c r="M412" s="22" t="s">
        <v>669</v>
      </c>
      <c r="N412" s="34"/>
      <c r="O412" s="40"/>
      <c r="P412" s="34"/>
      <c r="Q412" s="34"/>
      <c r="R412" s="34"/>
      <c r="S412" s="34"/>
      <c r="T412" s="34"/>
      <c r="U412" s="34">
        <v>298.0</v>
      </c>
      <c r="V412" s="29" t="s">
        <v>107</v>
      </c>
      <c r="W412" s="34"/>
      <c r="X412" s="29"/>
    </row>
    <row r="413" ht="15.75" customHeight="1">
      <c r="A413" s="27" t="s">
        <v>660</v>
      </c>
      <c r="B413" s="22" t="s">
        <v>661</v>
      </c>
      <c r="C413" s="53" t="s">
        <v>39</v>
      </c>
      <c r="D413" s="53" t="s">
        <v>40</v>
      </c>
      <c r="E413" s="47" t="s">
        <v>1217</v>
      </c>
      <c r="F413" s="29" t="s">
        <v>1224</v>
      </c>
      <c r="G413" s="29" t="s">
        <v>714</v>
      </c>
      <c r="H413" s="48" t="s">
        <v>1234</v>
      </c>
      <c r="I413" s="48" t="s">
        <v>1235</v>
      </c>
      <c r="J413" s="49" t="s">
        <v>1236</v>
      </c>
      <c r="K413" s="50">
        <v>211.0</v>
      </c>
      <c r="L413" s="29" t="s">
        <v>1239</v>
      </c>
      <c r="M413" s="22" t="s">
        <v>669</v>
      </c>
      <c r="N413" s="34"/>
      <c r="O413" s="40"/>
      <c r="P413" s="34"/>
      <c r="Q413" s="34"/>
      <c r="R413" s="34"/>
      <c r="S413" s="34"/>
      <c r="T413" s="34"/>
      <c r="U413" s="34">
        <v>299.0</v>
      </c>
      <c r="V413" s="29" t="s">
        <v>107</v>
      </c>
      <c r="W413" s="34"/>
      <c r="X413" s="29"/>
    </row>
    <row r="414" ht="15.75" customHeight="1">
      <c r="A414" s="27" t="s">
        <v>660</v>
      </c>
      <c r="B414" s="22" t="s">
        <v>661</v>
      </c>
      <c r="C414" s="53" t="s">
        <v>39</v>
      </c>
      <c r="D414" s="53" t="s">
        <v>40</v>
      </c>
      <c r="E414" s="47" t="s">
        <v>1217</v>
      </c>
      <c r="F414" s="29" t="s">
        <v>1224</v>
      </c>
      <c r="G414" s="29" t="s">
        <v>714</v>
      </c>
      <c r="H414" s="48" t="s">
        <v>1240</v>
      </c>
      <c r="I414" s="48" t="s">
        <v>1241</v>
      </c>
      <c r="J414" s="49" t="s">
        <v>1242</v>
      </c>
      <c r="K414" s="50">
        <v>212.0</v>
      </c>
      <c r="L414" s="29" t="s">
        <v>1243</v>
      </c>
      <c r="M414" s="22" t="s">
        <v>669</v>
      </c>
      <c r="N414" s="34"/>
      <c r="O414" s="40"/>
      <c r="P414" s="34"/>
      <c r="Q414" s="34"/>
      <c r="R414" s="34"/>
      <c r="S414" s="34"/>
      <c r="T414" s="34"/>
      <c r="U414" s="34">
        <v>300.0</v>
      </c>
      <c r="V414" s="29" t="s">
        <v>107</v>
      </c>
      <c r="W414" s="34"/>
      <c r="X414" s="29"/>
    </row>
    <row r="415" ht="15.75" customHeight="1">
      <c r="A415" s="27" t="s">
        <v>660</v>
      </c>
      <c r="B415" s="22" t="s">
        <v>661</v>
      </c>
      <c r="C415" s="53" t="s">
        <v>39</v>
      </c>
      <c r="D415" s="53" t="s">
        <v>40</v>
      </c>
      <c r="E415" s="47" t="s">
        <v>1217</v>
      </c>
      <c r="F415" s="29" t="s">
        <v>1224</v>
      </c>
      <c r="G415" s="29" t="s">
        <v>714</v>
      </c>
      <c r="H415" s="48" t="s">
        <v>1240</v>
      </c>
      <c r="I415" s="48" t="s">
        <v>1241</v>
      </c>
      <c r="J415" s="49" t="s">
        <v>1242</v>
      </c>
      <c r="K415" s="50">
        <v>213.0</v>
      </c>
      <c r="L415" s="29" t="s">
        <v>1244</v>
      </c>
      <c r="M415" s="22" t="s">
        <v>669</v>
      </c>
      <c r="N415" s="34"/>
      <c r="O415" s="40"/>
      <c r="P415" s="34"/>
      <c r="Q415" s="34"/>
      <c r="R415" s="34"/>
      <c r="S415" s="34"/>
      <c r="T415" s="34"/>
      <c r="U415" s="34">
        <v>301.0</v>
      </c>
      <c r="V415" s="29" t="s">
        <v>107</v>
      </c>
      <c r="W415" s="34"/>
      <c r="X415" s="29"/>
    </row>
    <row r="416" ht="15.75" customHeight="1">
      <c r="A416" s="27" t="s">
        <v>660</v>
      </c>
      <c r="B416" s="22" t="s">
        <v>661</v>
      </c>
      <c r="C416" s="53" t="s">
        <v>41</v>
      </c>
      <c r="D416" s="53" t="s">
        <v>42</v>
      </c>
      <c r="E416" s="47" t="s">
        <v>1245</v>
      </c>
      <c r="F416" s="49" t="s">
        <v>1246</v>
      </c>
      <c r="G416" s="29" t="s">
        <v>664</v>
      </c>
      <c r="H416" s="48" t="s">
        <v>1247</v>
      </c>
      <c r="I416" s="48" t="s">
        <v>1248</v>
      </c>
      <c r="J416" s="49" t="s">
        <v>1249</v>
      </c>
      <c r="K416" s="50">
        <v>214.0</v>
      </c>
      <c r="L416" s="29" t="s">
        <v>1250</v>
      </c>
      <c r="M416" s="22" t="s">
        <v>669</v>
      </c>
      <c r="N416" s="34"/>
      <c r="O416" s="40"/>
      <c r="P416" s="34"/>
      <c r="Q416" s="34"/>
      <c r="R416" s="34"/>
      <c r="S416" s="34"/>
      <c r="T416" s="34"/>
      <c r="U416" s="34">
        <v>308.0</v>
      </c>
      <c r="V416" s="29" t="s">
        <v>107</v>
      </c>
      <c r="W416" s="34"/>
      <c r="X416" s="29"/>
    </row>
    <row r="417" ht="15.75" customHeight="1">
      <c r="A417" s="27" t="s">
        <v>660</v>
      </c>
      <c r="B417" s="22" t="s">
        <v>661</v>
      </c>
      <c r="C417" s="53" t="s">
        <v>41</v>
      </c>
      <c r="D417" s="53" t="s">
        <v>42</v>
      </c>
      <c r="E417" s="47" t="s">
        <v>1245</v>
      </c>
      <c r="F417" s="49" t="s">
        <v>1246</v>
      </c>
      <c r="G417" s="29" t="s">
        <v>664</v>
      </c>
      <c r="H417" s="48" t="s">
        <v>1247</v>
      </c>
      <c r="I417" s="48" t="s">
        <v>1248</v>
      </c>
      <c r="J417" s="49" t="s">
        <v>1249</v>
      </c>
      <c r="K417" s="50">
        <v>215.0</v>
      </c>
      <c r="L417" s="29" t="s">
        <v>1251</v>
      </c>
      <c r="M417" s="22" t="s">
        <v>669</v>
      </c>
      <c r="N417" s="34"/>
      <c r="O417" s="40"/>
      <c r="P417" s="34"/>
      <c r="Q417" s="34"/>
      <c r="R417" s="34"/>
      <c r="S417" s="34"/>
      <c r="T417" s="34"/>
      <c r="U417" s="34">
        <v>309.0</v>
      </c>
      <c r="V417" s="29" t="s">
        <v>107</v>
      </c>
      <c r="W417" s="34"/>
      <c r="X417" s="29"/>
    </row>
    <row r="418" ht="15.75" customHeight="1">
      <c r="A418" s="27" t="s">
        <v>660</v>
      </c>
      <c r="B418" s="22" t="s">
        <v>661</v>
      </c>
      <c r="C418" s="53" t="s">
        <v>41</v>
      </c>
      <c r="D418" s="53" t="s">
        <v>42</v>
      </c>
      <c r="E418" s="47" t="s">
        <v>1245</v>
      </c>
      <c r="F418" s="49" t="s">
        <v>1252</v>
      </c>
      <c r="G418" s="29" t="s">
        <v>714</v>
      </c>
      <c r="H418" s="48" t="s">
        <v>1253</v>
      </c>
      <c r="I418" s="48" t="s">
        <v>1254</v>
      </c>
      <c r="J418" s="49" t="s">
        <v>1255</v>
      </c>
      <c r="K418" s="50">
        <v>216.0</v>
      </c>
      <c r="L418" s="29" t="s">
        <v>1256</v>
      </c>
      <c r="M418" s="22" t="s">
        <v>669</v>
      </c>
      <c r="N418" s="34"/>
      <c r="O418" s="40"/>
      <c r="P418" s="34"/>
      <c r="Q418" s="34"/>
      <c r="R418" s="34"/>
      <c r="S418" s="34"/>
      <c r="T418" s="34"/>
      <c r="U418" s="34">
        <v>311.0</v>
      </c>
      <c r="V418" s="29" t="s">
        <v>107</v>
      </c>
      <c r="W418" s="34"/>
      <c r="X418" s="29"/>
    </row>
    <row r="419" ht="15.75" customHeight="1">
      <c r="A419" s="27" t="s">
        <v>660</v>
      </c>
      <c r="B419" s="22" t="s">
        <v>661</v>
      </c>
      <c r="C419" s="53" t="s">
        <v>41</v>
      </c>
      <c r="D419" s="53" t="s">
        <v>42</v>
      </c>
      <c r="E419" s="47" t="s">
        <v>1245</v>
      </c>
      <c r="F419" s="49" t="s">
        <v>1252</v>
      </c>
      <c r="G419" s="29" t="s">
        <v>714</v>
      </c>
      <c r="H419" s="48" t="s">
        <v>1253</v>
      </c>
      <c r="I419" s="48" t="s">
        <v>1254</v>
      </c>
      <c r="J419" s="49" t="s">
        <v>1255</v>
      </c>
      <c r="K419" s="50">
        <v>217.0</v>
      </c>
      <c r="L419" s="29" t="s">
        <v>1257</v>
      </c>
      <c r="M419" s="22" t="s">
        <v>669</v>
      </c>
      <c r="N419" s="34"/>
      <c r="O419" s="40"/>
      <c r="P419" s="34"/>
      <c r="Q419" s="34"/>
      <c r="R419" s="34"/>
      <c r="S419" s="34"/>
      <c r="T419" s="34"/>
      <c r="U419" s="34">
        <v>312.0</v>
      </c>
      <c r="V419" s="29" t="s">
        <v>107</v>
      </c>
      <c r="W419" s="34"/>
      <c r="X419" s="29"/>
    </row>
    <row r="420" ht="15.75" customHeight="1">
      <c r="A420" s="27" t="s">
        <v>660</v>
      </c>
      <c r="B420" s="22" t="s">
        <v>661</v>
      </c>
      <c r="C420" s="53" t="s">
        <v>41</v>
      </c>
      <c r="D420" s="53" t="s">
        <v>42</v>
      </c>
      <c r="E420" s="47" t="s">
        <v>1245</v>
      </c>
      <c r="F420" s="49" t="s">
        <v>1252</v>
      </c>
      <c r="G420" s="29" t="s">
        <v>714</v>
      </c>
      <c r="H420" s="48" t="s">
        <v>1258</v>
      </c>
      <c r="I420" s="48" t="s">
        <v>1259</v>
      </c>
      <c r="J420" s="49" t="s">
        <v>1260</v>
      </c>
      <c r="K420" s="50">
        <v>218.0</v>
      </c>
      <c r="L420" s="29" t="s">
        <v>1261</v>
      </c>
      <c r="M420" s="22" t="s">
        <v>669</v>
      </c>
      <c r="N420" s="34"/>
      <c r="O420" s="40"/>
      <c r="P420" s="34"/>
      <c r="Q420" s="34"/>
      <c r="R420" s="34"/>
      <c r="S420" s="34"/>
      <c r="T420" s="34"/>
      <c r="U420" s="34">
        <v>313.0</v>
      </c>
      <c r="V420" s="29" t="s">
        <v>107</v>
      </c>
      <c r="W420" s="34"/>
      <c r="X420" s="29"/>
    </row>
    <row r="421" ht="15.75" customHeight="1">
      <c r="A421" s="27" t="s">
        <v>660</v>
      </c>
      <c r="B421" s="22" t="s">
        <v>661</v>
      </c>
      <c r="C421" s="53" t="s">
        <v>41</v>
      </c>
      <c r="D421" s="53" t="s">
        <v>42</v>
      </c>
      <c r="E421" s="47" t="s">
        <v>1245</v>
      </c>
      <c r="F421" s="49" t="s">
        <v>1262</v>
      </c>
      <c r="G421" s="29" t="s">
        <v>749</v>
      </c>
      <c r="H421" s="48" t="s">
        <v>1263</v>
      </c>
      <c r="I421" s="48" t="s">
        <v>1264</v>
      </c>
      <c r="J421" s="49" t="s">
        <v>1265</v>
      </c>
      <c r="K421" s="50">
        <v>219.0</v>
      </c>
      <c r="L421" s="29" t="s">
        <v>1266</v>
      </c>
      <c r="M421" s="22" t="s">
        <v>669</v>
      </c>
      <c r="N421" s="34"/>
      <c r="O421" s="40"/>
      <c r="P421" s="34"/>
      <c r="Q421" s="34"/>
      <c r="R421" s="34"/>
      <c r="S421" s="34"/>
      <c r="T421" s="34"/>
      <c r="U421" s="34">
        <v>315.0</v>
      </c>
      <c r="V421" s="29" t="s">
        <v>107</v>
      </c>
      <c r="W421" s="34"/>
      <c r="X421" s="29"/>
    </row>
    <row r="422" ht="15.75" customHeight="1">
      <c r="A422" s="27" t="s">
        <v>660</v>
      </c>
      <c r="B422" s="22" t="s">
        <v>661</v>
      </c>
      <c r="C422" s="53" t="s">
        <v>41</v>
      </c>
      <c r="D422" s="53" t="s">
        <v>42</v>
      </c>
      <c r="E422" s="47" t="s">
        <v>1245</v>
      </c>
      <c r="F422" s="49" t="s">
        <v>1262</v>
      </c>
      <c r="G422" s="29" t="s">
        <v>749</v>
      </c>
      <c r="H422" s="48" t="s">
        <v>1267</v>
      </c>
      <c r="I422" s="48" t="s">
        <v>1268</v>
      </c>
      <c r="J422" s="49" t="s">
        <v>1269</v>
      </c>
      <c r="K422" s="50">
        <v>220.0</v>
      </c>
      <c r="L422" s="29" t="s">
        <v>1270</v>
      </c>
      <c r="M422" s="22" t="s">
        <v>669</v>
      </c>
      <c r="N422" s="34"/>
      <c r="O422" s="40"/>
      <c r="P422" s="34"/>
      <c r="Q422" s="34"/>
      <c r="R422" s="34"/>
      <c r="S422" s="34"/>
      <c r="T422" s="34"/>
      <c r="U422" s="34">
        <v>316.0</v>
      </c>
      <c r="V422" s="29" t="s">
        <v>107</v>
      </c>
      <c r="W422" s="34"/>
      <c r="X422" s="29"/>
    </row>
    <row r="423" ht="15.75" customHeight="1">
      <c r="A423" s="27" t="s">
        <v>660</v>
      </c>
      <c r="B423" s="22" t="s">
        <v>661</v>
      </c>
      <c r="C423" s="53" t="s">
        <v>41</v>
      </c>
      <c r="D423" s="53" t="s">
        <v>42</v>
      </c>
      <c r="E423" s="47" t="s">
        <v>1245</v>
      </c>
      <c r="F423" s="49" t="s">
        <v>1271</v>
      </c>
      <c r="G423" s="29" t="s">
        <v>714</v>
      </c>
      <c r="H423" s="48" t="s">
        <v>1272</v>
      </c>
      <c r="I423" s="48" t="s">
        <v>1273</v>
      </c>
      <c r="J423" s="49" t="s">
        <v>1274</v>
      </c>
      <c r="K423" s="50">
        <v>221.0</v>
      </c>
      <c r="L423" s="29" t="s">
        <v>1275</v>
      </c>
      <c r="M423" s="22" t="s">
        <v>669</v>
      </c>
      <c r="N423" s="34"/>
      <c r="O423" s="40"/>
      <c r="P423" s="34"/>
      <c r="Q423" s="34"/>
      <c r="R423" s="34"/>
      <c r="S423" s="34"/>
      <c r="T423" s="34"/>
      <c r="U423" s="34">
        <v>323.0</v>
      </c>
      <c r="V423" s="29" t="s">
        <v>107</v>
      </c>
      <c r="W423" s="34"/>
      <c r="X423" s="29"/>
    </row>
    <row r="424" ht="15.75" customHeight="1">
      <c r="A424" s="27" t="s">
        <v>660</v>
      </c>
      <c r="B424" s="22" t="s">
        <v>661</v>
      </c>
      <c r="C424" s="53" t="s">
        <v>41</v>
      </c>
      <c r="D424" s="53" t="s">
        <v>42</v>
      </c>
      <c r="E424" s="47" t="s">
        <v>1245</v>
      </c>
      <c r="F424" s="49" t="s">
        <v>1276</v>
      </c>
      <c r="G424" s="29" t="s">
        <v>749</v>
      </c>
      <c r="H424" s="48" t="s">
        <v>1277</v>
      </c>
      <c r="I424" s="48" t="s">
        <v>1278</v>
      </c>
      <c r="J424" s="49" t="s">
        <v>1279</v>
      </c>
      <c r="K424" s="50">
        <v>222.0</v>
      </c>
      <c r="L424" s="29" t="s">
        <v>1280</v>
      </c>
      <c r="M424" s="22" t="s">
        <v>669</v>
      </c>
      <c r="N424" s="34"/>
      <c r="O424" s="40"/>
      <c r="P424" s="34"/>
      <c r="Q424" s="34"/>
      <c r="R424" s="34"/>
      <c r="S424" s="34"/>
      <c r="T424" s="34"/>
      <c r="U424" s="34">
        <v>325.0</v>
      </c>
      <c r="V424" s="29" t="s">
        <v>107</v>
      </c>
      <c r="W424" s="34"/>
      <c r="X424" s="29"/>
    </row>
    <row r="425" ht="15.75" customHeight="1">
      <c r="A425" s="27" t="s">
        <v>660</v>
      </c>
      <c r="B425" s="22" t="s">
        <v>661</v>
      </c>
      <c r="C425" s="53" t="s">
        <v>41</v>
      </c>
      <c r="D425" s="53" t="s">
        <v>42</v>
      </c>
      <c r="E425" s="47" t="s">
        <v>1245</v>
      </c>
      <c r="F425" s="49" t="s">
        <v>1276</v>
      </c>
      <c r="G425" s="29" t="s">
        <v>749</v>
      </c>
      <c r="H425" s="48" t="s">
        <v>1277</v>
      </c>
      <c r="I425" s="48" t="s">
        <v>1278</v>
      </c>
      <c r="J425" s="49" t="s">
        <v>1279</v>
      </c>
      <c r="K425" s="50">
        <v>223.0</v>
      </c>
      <c r="L425" s="29" t="s">
        <v>1281</v>
      </c>
      <c r="M425" s="22" t="s">
        <v>669</v>
      </c>
      <c r="N425" s="34"/>
      <c r="O425" s="40"/>
      <c r="P425" s="34"/>
      <c r="Q425" s="34"/>
      <c r="R425" s="34"/>
      <c r="S425" s="34"/>
      <c r="T425" s="34"/>
      <c r="U425" s="34">
        <v>326.0</v>
      </c>
      <c r="V425" s="29" t="s">
        <v>107</v>
      </c>
      <c r="W425" s="34"/>
      <c r="X425" s="29"/>
    </row>
    <row r="426" ht="15.75" customHeight="1">
      <c r="A426" s="27" t="s">
        <v>660</v>
      </c>
      <c r="B426" s="22" t="s">
        <v>661</v>
      </c>
      <c r="C426" s="53" t="s">
        <v>41</v>
      </c>
      <c r="D426" s="53" t="s">
        <v>42</v>
      </c>
      <c r="E426" s="47" t="s">
        <v>1245</v>
      </c>
      <c r="F426" s="49" t="s">
        <v>1276</v>
      </c>
      <c r="G426" s="29" t="s">
        <v>749</v>
      </c>
      <c r="H426" s="48" t="s">
        <v>1282</v>
      </c>
      <c r="I426" s="48" t="s">
        <v>1283</v>
      </c>
      <c r="J426" s="49" t="s">
        <v>1284</v>
      </c>
      <c r="K426" s="50">
        <v>224.0</v>
      </c>
      <c r="L426" s="29" t="s">
        <v>1285</v>
      </c>
      <c r="M426" s="22" t="s">
        <v>669</v>
      </c>
      <c r="N426" s="34"/>
      <c r="O426" s="40"/>
      <c r="P426" s="34"/>
      <c r="Q426" s="34"/>
      <c r="R426" s="34"/>
      <c r="S426" s="34"/>
      <c r="T426" s="34"/>
      <c r="U426" s="34">
        <v>327.0</v>
      </c>
      <c r="V426" s="29" t="s">
        <v>107</v>
      </c>
      <c r="W426" s="34"/>
      <c r="X426" s="29"/>
    </row>
    <row r="427" ht="15.75" customHeight="1">
      <c r="A427" s="27" t="s">
        <v>660</v>
      </c>
      <c r="B427" s="22" t="s">
        <v>661</v>
      </c>
      <c r="C427" s="53" t="s">
        <v>45</v>
      </c>
      <c r="D427" s="53" t="s">
        <v>46</v>
      </c>
      <c r="E427" s="47" t="s">
        <v>1286</v>
      </c>
      <c r="F427" s="49" t="s">
        <v>1287</v>
      </c>
      <c r="G427" s="29" t="s">
        <v>664</v>
      </c>
      <c r="H427" s="48" t="s">
        <v>1288</v>
      </c>
      <c r="I427" s="48" t="s">
        <v>1289</v>
      </c>
      <c r="J427" s="49" t="s">
        <v>1290</v>
      </c>
      <c r="K427" s="50">
        <v>225.0</v>
      </c>
      <c r="L427" s="29" t="s">
        <v>1291</v>
      </c>
      <c r="M427" s="22" t="s">
        <v>669</v>
      </c>
      <c r="N427" s="34"/>
      <c r="O427" s="40"/>
      <c r="P427" s="34"/>
      <c r="Q427" s="34"/>
      <c r="R427" s="34"/>
      <c r="S427" s="34"/>
      <c r="T427" s="34"/>
      <c r="U427" s="34">
        <v>334.0</v>
      </c>
      <c r="V427" s="29" t="s">
        <v>107</v>
      </c>
      <c r="W427" s="34"/>
      <c r="X427" s="29"/>
    </row>
    <row r="428" ht="15.75" customHeight="1">
      <c r="A428" s="27" t="s">
        <v>660</v>
      </c>
      <c r="B428" s="22" t="s">
        <v>661</v>
      </c>
      <c r="C428" s="53" t="s">
        <v>45</v>
      </c>
      <c r="D428" s="53" t="s">
        <v>46</v>
      </c>
      <c r="E428" s="47" t="s">
        <v>1286</v>
      </c>
      <c r="F428" s="49" t="s">
        <v>1292</v>
      </c>
      <c r="G428" s="29" t="s">
        <v>714</v>
      </c>
      <c r="H428" s="48" t="s">
        <v>1293</v>
      </c>
      <c r="I428" s="48" t="s">
        <v>1294</v>
      </c>
      <c r="J428" s="49" t="s">
        <v>1295</v>
      </c>
      <c r="K428" s="50">
        <v>226.0</v>
      </c>
      <c r="L428" s="29" t="s">
        <v>1296</v>
      </c>
      <c r="M428" s="22" t="s">
        <v>669</v>
      </c>
      <c r="N428" s="34"/>
      <c r="O428" s="40"/>
      <c r="P428" s="34"/>
      <c r="Q428" s="34"/>
      <c r="R428" s="34"/>
      <c r="S428" s="34"/>
      <c r="T428" s="34"/>
      <c r="U428" s="34">
        <v>336.0</v>
      </c>
      <c r="V428" s="29" t="s">
        <v>107</v>
      </c>
      <c r="W428" s="34"/>
      <c r="X428" s="29"/>
    </row>
    <row r="429" ht="15.75" customHeight="1">
      <c r="A429" s="27" t="s">
        <v>660</v>
      </c>
      <c r="B429" s="22" t="s">
        <v>661</v>
      </c>
      <c r="C429" s="53" t="s">
        <v>45</v>
      </c>
      <c r="D429" s="53" t="s">
        <v>46</v>
      </c>
      <c r="E429" s="47" t="s">
        <v>1286</v>
      </c>
      <c r="F429" s="49" t="s">
        <v>1297</v>
      </c>
      <c r="G429" s="29" t="s">
        <v>749</v>
      </c>
      <c r="H429" s="48" t="s">
        <v>1298</v>
      </c>
      <c r="I429" s="48" t="s">
        <v>1299</v>
      </c>
      <c r="J429" s="49" t="s">
        <v>1300</v>
      </c>
      <c r="K429" s="50">
        <v>227.0</v>
      </c>
      <c r="L429" s="29" t="s">
        <v>1301</v>
      </c>
      <c r="M429" s="22" t="s">
        <v>669</v>
      </c>
      <c r="N429" s="34"/>
      <c r="O429" s="40"/>
      <c r="P429" s="34"/>
      <c r="Q429" s="34"/>
      <c r="R429" s="34"/>
      <c r="S429" s="34"/>
      <c r="T429" s="34"/>
      <c r="U429" s="34">
        <v>338.0</v>
      </c>
      <c r="V429" s="29" t="s">
        <v>107</v>
      </c>
      <c r="W429" s="34"/>
      <c r="X429" s="29"/>
    </row>
    <row r="430" ht="15.75" customHeight="1">
      <c r="A430" s="27" t="s">
        <v>660</v>
      </c>
      <c r="B430" s="22" t="s">
        <v>661</v>
      </c>
      <c r="C430" s="53" t="s">
        <v>45</v>
      </c>
      <c r="D430" s="53" t="s">
        <v>46</v>
      </c>
      <c r="E430" s="47" t="s">
        <v>1286</v>
      </c>
      <c r="F430" s="49" t="s">
        <v>1297</v>
      </c>
      <c r="G430" s="29" t="s">
        <v>749</v>
      </c>
      <c r="H430" s="48" t="s">
        <v>1302</v>
      </c>
      <c r="I430" s="48" t="s">
        <v>1303</v>
      </c>
      <c r="J430" s="49" t="s">
        <v>1304</v>
      </c>
      <c r="K430" s="50">
        <v>228.0</v>
      </c>
      <c r="L430" s="29" t="s">
        <v>1305</v>
      </c>
      <c r="M430" s="22" t="s">
        <v>669</v>
      </c>
      <c r="N430" s="34"/>
      <c r="O430" s="40"/>
      <c r="P430" s="34"/>
      <c r="Q430" s="34"/>
      <c r="R430" s="34"/>
      <c r="S430" s="34"/>
      <c r="T430" s="34"/>
      <c r="U430" s="34">
        <v>339.0</v>
      </c>
      <c r="V430" s="29" t="s">
        <v>107</v>
      </c>
      <c r="W430" s="34"/>
      <c r="X430" s="29"/>
    </row>
    <row r="431" ht="15.75" customHeight="1">
      <c r="A431" s="27" t="s">
        <v>660</v>
      </c>
      <c r="B431" s="22" t="s">
        <v>661</v>
      </c>
      <c r="C431" s="53" t="s">
        <v>45</v>
      </c>
      <c r="D431" s="53" t="s">
        <v>46</v>
      </c>
      <c r="E431" s="47" t="s">
        <v>1286</v>
      </c>
      <c r="F431" s="49" t="s">
        <v>1297</v>
      </c>
      <c r="G431" s="29" t="s">
        <v>749</v>
      </c>
      <c r="H431" s="48" t="s">
        <v>1306</v>
      </c>
      <c r="I431" s="48" t="s">
        <v>1307</v>
      </c>
      <c r="J431" s="49" t="s">
        <v>1308</v>
      </c>
      <c r="K431" s="50">
        <v>229.0</v>
      </c>
      <c r="L431" s="29" t="s">
        <v>1309</v>
      </c>
      <c r="M431" s="22" t="s">
        <v>669</v>
      </c>
      <c r="N431" s="34"/>
      <c r="O431" s="40"/>
      <c r="P431" s="34"/>
      <c r="Q431" s="34"/>
      <c r="R431" s="34"/>
      <c r="S431" s="34"/>
      <c r="T431" s="34"/>
      <c r="U431" s="34">
        <v>340.0</v>
      </c>
      <c r="V431" s="29" t="s">
        <v>107</v>
      </c>
      <c r="W431" s="34"/>
      <c r="X431" s="29"/>
    </row>
    <row r="432" ht="15.75" customHeight="1">
      <c r="A432" s="27" t="s">
        <v>660</v>
      </c>
      <c r="B432" s="22" t="s">
        <v>661</v>
      </c>
      <c r="C432" s="53" t="s">
        <v>45</v>
      </c>
      <c r="D432" s="53" t="s">
        <v>46</v>
      </c>
      <c r="E432" s="47" t="s">
        <v>1286</v>
      </c>
      <c r="F432" s="49" t="s">
        <v>1297</v>
      </c>
      <c r="G432" s="29" t="s">
        <v>749</v>
      </c>
      <c r="H432" s="48" t="s">
        <v>1310</v>
      </c>
      <c r="I432" s="48" t="s">
        <v>1311</v>
      </c>
      <c r="J432" s="49" t="s">
        <v>1312</v>
      </c>
      <c r="K432" s="50">
        <v>230.0</v>
      </c>
      <c r="L432" s="29" t="s">
        <v>1313</v>
      </c>
      <c r="M432" s="22" t="s">
        <v>669</v>
      </c>
      <c r="N432" s="34"/>
      <c r="O432" s="40"/>
      <c r="P432" s="34"/>
      <c r="Q432" s="34"/>
      <c r="R432" s="34"/>
      <c r="S432" s="34"/>
      <c r="T432" s="34"/>
      <c r="U432" s="34">
        <v>341.0</v>
      </c>
      <c r="V432" s="29" t="s">
        <v>107</v>
      </c>
      <c r="W432" s="34"/>
      <c r="X432" s="29"/>
    </row>
    <row r="433" ht="15.75" customHeight="1">
      <c r="A433" s="27" t="s">
        <v>660</v>
      </c>
      <c r="B433" s="22" t="s">
        <v>661</v>
      </c>
      <c r="C433" s="53" t="s">
        <v>47</v>
      </c>
      <c r="D433" s="53" t="s">
        <v>48</v>
      </c>
      <c r="E433" s="47" t="s">
        <v>1314</v>
      </c>
      <c r="F433" s="49" t="s">
        <v>1315</v>
      </c>
      <c r="G433" s="29" t="s">
        <v>664</v>
      </c>
      <c r="H433" s="48" t="s">
        <v>1316</v>
      </c>
      <c r="I433" s="48" t="s">
        <v>1317</v>
      </c>
      <c r="J433" s="49" t="s">
        <v>1318</v>
      </c>
      <c r="K433" s="50">
        <v>231.0</v>
      </c>
      <c r="L433" s="29" t="s">
        <v>1319</v>
      </c>
      <c r="M433" s="22" t="s">
        <v>669</v>
      </c>
      <c r="N433" s="34"/>
      <c r="O433" s="40"/>
      <c r="P433" s="34"/>
      <c r="Q433" s="34"/>
      <c r="R433" s="34"/>
      <c r="S433" s="34"/>
      <c r="T433" s="34"/>
      <c r="U433" s="34">
        <v>348.0</v>
      </c>
      <c r="V433" s="29" t="s">
        <v>107</v>
      </c>
      <c r="W433" s="34"/>
      <c r="X433" s="29"/>
    </row>
    <row r="434" ht="15.75" customHeight="1">
      <c r="A434" s="27" t="s">
        <v>660</v>
      </c>
      <c r="B434" s="22" t="s">
        <v>661</v>
      </c>
      <c r="C434" s="53" t="s">
        <v>47</v>
      </c>
      <c r="D434" s="53" t="s">
        <v>48</v>
      </c>
      <c r="E434" s="47" t="s">
        <v>1314</v>
      </c>
      <c r="F434" s="49" t="s">
        <v>1315</v>
      </c>
      <c r="G434" s="29" t="s">
        <v>664</v>
      </c>
      <c r="H434" s="48" t="s">
        <v>1316</v>
      </c>
      <c r="I434" s="48" t="s">
        <v>1317</v>
      </c>
      <c r="J434" s="49" t="s">
        <v>1318</v>
      </c>
      <c r="K434" s="50">
        <v>232.0</v>
      </c>
      <c r="L434" s="29" t="s">
        <v>1320</v>
      </c>
      <c r="M434" s="22" t="s">
        <v>669</v>
      </c>
      <c r="N434" s="34"/>
      <c r="O434" s="40"/>
      <c r="P434" s="34"/>
      <c r="Q434" s="34"/>
      <c r="R434" s="34"/>
      <c r="S434" s="34"/>
      <c r="T434" s="34"/>
      <c r="U434" s="34">
        <v>349.0</v>
      </c>
      <c r="V434" s="29" t="s">
        <v>107</v>
      </c>
      <c r="W434" s="34"/>
      <c r="X434" s="29"/>
    </row>
    <row r="435" ht="15.75" customHeight="1">
      <c r="A435" s="27" t="s">
        <v>660</v>
      </c>
      <c r="B435" s="22" t="s">
        <v>661</v>
      </c>
      <c r="C435" s="53" t="s">
        <v>47</v>
      </c>
      <c r="D435" s="53" t="s">
        <v>48</v>
      </c>
      <c r="E435" s="47" t="s">
        <v>1314</v>
      </c>
      <c r="F435" s="49" t="s">
        <v>1315</v>
      </c>
      <c r="G435" s="29" t="s">
        <v>664</v>
      </c>
      <c r="H435" s="48" t="s">
        <v>1321</v>
      </c>
      <c r="I435" s="48" t="s">
        <v>1322</v>
      </c>
      <c r="J435" s="49" t="s">
        <v>1323</v>
      </c>
      <c r="K435" s="50">
        <v>233.0</v>
      </c>
      <c r="L435" s="29" t="s">
        <v>1324</v>
      </c>
      <c r="M435" s="22" t="s">
        <v>669</v>
      </c>
      <c r="N435" s="34"/>
      <c r="O435" s="40"/>
      <c r="P435" s="34"/>
      <c r="Q435" s="34"/>
      <c r="R435" s="34"/>
      <c r="S435" s="34"/>
      <c r="T435" s="34"/>
      <c r="U435" s="34">
        <v>350.0</v>
      </c>
      <c r="V435" s="29" t="s">
        <v>107</v>
      </c>
      <c r="W435" s="34"/>
      <c r="X435" s="29"/>
    </row>
    <row r="436" ht="15.75" customHeight="1">
      <c r="A436" s="27" t="s">
        <v>660</v>
      </c>
      <c r="B436" s="22" t="s">
        <v>661</v>
      </c>
      <c r="C436" s="53" t="s">
        <v>47</v>
      </c>
      <c r="D436" s="53" t="s">
        <v>48</v>
      </c>
      <c r="E436" s="47" t="s">
        <v>1314</v>
      </c>
      <c r="F436" s="49" t="s">
        <v>1315</v>
      </c>
      <c r="G436" s="29" t="s">
        <v>664</v>
      </c>
      <c r="H436" s="48" t="s">
        <v>1321</v>
      </c>
      <c r="I436" s="48" t="s">
        <v>1322</v>
      </c>
      <c r="J436" s="49" t="s">
        <v>1323</v>
      </c>
      <c r="K436" s="50">
        <v>234.0</v>
      </c>
      <c r="L436" s="29" t="s">
        <v>1325</v>
      </c>
      <c r="M436" s="22" t="s">
        <v>669</v>
      </c>
      <c r="N436" s="34"/>
      <c r="O436" s="40"/>
      <c r="P436" s="34"/>
      <c r="Q436" s="34"/>
      <c r="R436" s="34"/>
      <c r="S436" s="34"/>
      <c r="T436" s="34"/>
      <c r="U436" s="34">
        <v>351.0</v>
      </c>
      <c r="V436" s="29" t="s">
        <v>107</v>
      </c>
      <c r="W436" s="34"/>
      <c r="X436" s="29"/>
    </row>
    <row r="437" ht="15.75" customHeight="1">
      <c r="A437" s="27" t="s">
        <v>660</v>
      </c>
      <c r="B437" s="22" t="s">
        <v>661</v>
      </c>
      <c r="C437" s="53" t="s">
        <v>47</v>
      </c>
      <c r="D437" s="53" t="s">
        <v>48</v>
      </c>
      <c r="E437" s="47" t="s">
        <v>1314</v>
      </c>
      <c r="F437" s="49" t="s">
        <v>1315</v>
      </c>
      <c r="G437" s="29" t="s">
        <v>664</v>
      </c>
      <c r="H437" s="48" t="s">
        <v>1326</v>
      </c>
      <c r="I437" s="48" t="s">
        <v>1327</v>
      </c>
      <c r="J437" s="49" t="s">
        <v>1328</v>
      </c>
      <c r="K437" s="50">
        <v>235.0</v>
      </c>
      <c r="L437" s="29" t="s">
        <v>1329</v>
      </c>
      <c r="M437" s="22" t="s">
        <v>669</v>
      </c>
      <c r="N437" s="34"/>
      <c r="O437" s="40"/>
      <c r="P437" s="34"/>
      <c r="Q437" s="34"/>
      <c r="R437" s="34"/>
      <c r="S437" s="34"/>
      <c r="T437" s="34"/>
      <c r="U437" s="34">
        <v>352.0</v>
      </c>
      <c r="V437" s="29" t="s">
        <v>107</v>
      </c>
      <c r="W437" s="34"/>
      <c r="X437" s="29"/>
    </row>
    <row r="438" ht="15.75" customHeight="1">
      <c r="A438" s="27" t="s">
        <v>660</v>
      </c>
      <c r="B438" s="22" t="s">
        <v>661</v>
      </c>
      <c r="C438" s="53" t="s">
        <v>47</v>
      </c>
      <c r="D438" s="53" t="s">
        <v>48</v>
      </c>
      <c r="E438" s="47" t="s">
        <v>1314</v>
      </c>
      <c r="F438" s="49" t="s">
        <v>1315</v>
      </c>
      <c r="G438" s="29" t="s">
        <v>664</v>
      </c>
      <c r="H438" s="48" t="s">
        <v>1326</v>
      </c>
      <c r="I438" s="48" t="s">
        <v>1327</v>
      </c>
      <c r="J438" s="49" t="s">
        <v>1328</v>
      </c>
      <c r="K438" s="50">
        <v>236.0</v>
      </c>
      <c r="L438" s="29" t="s">
        <v>1330</v>
      </c>
      <c r="M438" s="22" t="s">
        <v>669</v>
      </c>
      <c r="N438" s="34"/>
      <c r="O438" s="40"/>
      <c r="P438" s="34"/>
      <c r="Q438" s="34"/>
      <c r="R438" s="34"/>
      <c r="S438" s="34"/>
      <c r="T438" s="34"/>
      <c r="U438" s="34">
        <v>353.0</v>
      </c>
      <c r="V438" s="29" t="s">
        <v>107</v>
      </c>
      <c r="W438" s="34"/>
      <c r="X438" s="29"/>
    </row>
    <row r="439" ht="15.75" customHeight="1">
      <c r="A439" s="27" t="s">
        <v>660</v>
      </c>
      <c r="B439" s="22" t="s">
        <v>661</v>
      </c>
      <c r="C439" s="53" t="s">
        <v>47</v>
      </c>
      <c r="D439" s="53" t="s">
        <v>48</v>
      </c>
      <c r="E439" s="47" t="s">
        <v>1314</v>
      </c>
      <c r="F439" s="49" t="s">
        <v>1315</v>
      </c>
      <c r="G439" s="29" t="s">
        <v>664</v>
      </c>
      <c r="H439" s="48" t="s">
        <v>1326</v>
      </c>
      <c r="I439" s="48" t="s">
        <v>1327</v>
      </c>
      <c r="J439" s="49" t="s">
        <v>1328</v>
      </c>
      <c r="K439" s="50">
        <v>237.0</v>
      </c>
      <c r="L439" s="29" t="s">
        <v>1331</v>
      </c>
      <c r="M439" s="22" t="s">
        <v>669</v>
      </c>
      <c r="N439" s="34"/>
      <c r="O439" s="40"/>
      <c r="P439" s="34"/>
      <c r="Q439" s="34"/>
      <c r="R439" s="34"/>
      <c r="S439" s="34"/>
      <c r="T439" s="34"/>
      <c r="U439" s="34">
        <v>354.0</v>
      </c>
      <c r="V439" s="29" t="s">
        <v>107</v>
      </c>
      <c r="W439" s="34"/>
      <c r="X439" s="29"/>
    </row>
    <row r="440" ht="15.75" customHeight="1">
      <c r="A440" s="27" t="s">
        <v>660</v>
      </c>
      <c r="B440" s="22" t="s">
        <v>661</v>
      </c>
      <c r="C440" s="53" t="s">
        <v>47</v>
      </c>
      <c r="D440" s="53" t="s">
        <v>48</v>
      </c>
      <c r="E440" s="47" t="s">
        <v>1314</v>
      </c>
      <c r="F440" s="49" t="s">
        <v>1315</v>
      </c>
      <c r="G440" s="29" t="s">
        <v>664</v>
      </c>
      <c r="H440" s="48" t="s">
        <v>1332</v>
      </c>
      <c r="I440" s="48" t="s">
        <v>1333</v>
      </c>
      <c r="J440" s="49" t="s">
        <v>1334</v>
      </c>
      <c r="K440" s="50">
        <v>238.0</v>
      </c>
      <c r="L440" s="29" t="s">
        <v>1335</v>
      </c>
      <c r="M440" s="22" t="s">
        <v>669</v>
      </c>
      <c r="N440" s="34"/>
      <c r="O440" s="40"/>
      <c r="P440" s="34"/>
      <c r="Q440" s="34"/>
      <c r="R440" s="34"/>
      <c r="S440" s="34"/>
      <c r="T440" s="34"/>
      <c r="U440" s="34">
        <v>355.0</v>
      </c>
      <c r="V440" s="29" t="s">
        <v>107</v>
      </c>
      <c r="W440" s="34"/>
      <c r="X440" s="29"/>
    </row>
    <row r="441" ht="15.75" customHeight="1">
      <c r="A441" s="27" t="s">
        <v>660</v>
      </c>
      <c r="B441" s="22" t="s">
        <v>661</v>
      </c>
      <c r="C441" s="53" t="s">
        <v>47</v>
      </c>
      <c r="D441" s="53" t="s">
        <v>48</v>
      </c>
      <c r="E441" s="47" t="s">
        <v>1314</v>
      </c>
      <c r="F441" s="49" t="s">
        <v>1315</v>
      </c>
      <c r="G441" s="29" t="s">
        <v>664</v>
      </c>
      <c r="H441" s="48" t="s">
        <v>1332</v>
      </c>
      <c r="I441" s="48" t="s">
        <v>1333</v>
      </c>
      <c r="J441" s="49" t="s">
        <v>1334</v>
      </c>
      <c r="K441" s="50">
        <v>239.0</v>
      </c>
      <c r="L441" s="29" t="s">
        <v>1336</v>
      </c>
      <c r="M441" s="22" t="s">
        <v>669</v>
      </c>
      <c r="N441" s="34"/>
      <c r="O441" s="40"/>
      <c r="P441" s="34"/>
      <c r="Q441" s="34"/>
      <c r="R441" s="34"/>
      <c r="S441" s="34"/>
      <c r="T441" s="34"/>
      <c r="U441" s="34">
        <v>356.0</v>
      </c>
      <c r="V441" s="29" t="s">
        <v>107</v>
      </c>
      <c r="W441" s="34"/>
      <c r="X441" s="29"/>
    </row>
    <row r="442" ht="15.75" customHeight="1">
      <c r="A442" s="27" t="s">
        <v>660</v>
      </c>
      <c r="B442" s="22" t="s">
        <v>661</v>
      </c>
      <c r="C442" s="53" t="s">
        <v>47</v>
      </c>
      <c r="D442" s="53" t="s">
        <v>48</v>
      </c>
      <c r="E442" s="47" t="s">
        <v>1314</v>
      </c>
      <c r="F442" s="49" t="s">
        <v>1315</v>
      </c>
      <c r="G442" s="29" t="s">
        <v>664</v>
      </c>
      <c r="H442" s="48" t="s">
        <v>1337</v>
      </c>
      <c r="I442" s="48" t="s">
        <v>1338</v>
      </c>
      <c r="J442" s="49" t="s">
        <v>1339</v>
      </c>
      <c r="K442" s="50">
        <v>240.0</v>
      </c>
      <c r="L442" s="29" t="s">
        <v>1340</v>
      </c>
      <c r="M442" s="22" t="s">
        <v>669</v>
      </c>
      <c r="N442" s="34"/>
      <c r="O442" s="40"/>
      <c r="P442" s="34"/>
      <c r="Q442" s="34"/>
      <c r="R442" s="34"/>
      <c r="S442" s="34"/>
      <c r="T442" s="34"/>
      <c r="U442" s="34">
        <v>357.0</v>
      </c>
      <c r="V442" s="29" t="s">
        <v>107</v>
      </c>
      <c r="W442" s="34"/>
      <c r="X442" s="29"/>
    </row>
    <row r="443" ht="15.75" customHeight="1">
      <c r="A443" s="27" t="s">
        <v>660</v>
      </c>
      <c r="B443" s="22" t="s">
        <v>661</v>
      </c>
      <c r="C443" s="53" t="s">
        <v>47</v>
      </c>
      <c r="D443" s="53" t="s">
        <v>48</v>
      </c>
      <c r="E443" s="47" t="s">
        <v>1314</v>
      </c>
      <c r="F443" s="49" t="s">
        <v>1315</v>
      </c>
      <c r="G443" s="29" t="s">
        <v>664</v>
      </c>
      <c r="H443" s="48" t="s">
        <v>1337</v>
      </c>
      <c r="I443" s="48" t="s">
        <v>1338</v>
      </c>
      <c r="J443" s="49" t="s">
        <v>1339</v>
      </c>
      <c r="K443" s="50">
        <v>241.0</v>
      </c>
      <c r="L443" s="29" t="s">
        <v>1341</v>
      </c>
      <c r="M443" s="22" t="s">
        <v>669</v>
      </c>
      <c r="N443" s="34"/>
      <c r="O443" s="40"/>
      <c r="P443" s="34"/>
      <c r="Q443" s="34"/>
      <c r="R443" s="34"/>
      <c r="S443" s="34"/>
      <c r="T443" s="34"/>
      <c r="U443" s="34">
        <v>358.0</v>
      </c>
      <c r="V443" s="29" t="s">
        <v>107</v>
      </c>
      <c r="W443" s="34"/>
      <c r="X443" s="29"/>
    </row>
    <row r="444" ht="15.75" customHeight="1">
      <c r="A444" s="27" t="s">
        <v>660</v>
      </c>
      <c r="B444" s="22" t="s">
        <v>661</v>
      </c>
      <c r="C444" s="53" t="s">
        <v>47</v>
      </c>
      <c r="D444" s="53" t="s">
        <v>48</v>
      </c>
      <c r="E444" s="47" t="s">
        <v>1314</v>
      </c>
      <c r="F444" s="49" t="s">
        <v>1315</v>
      </c>
      <c r="G444" s="29" t="s">
        <v>664</v>
      </c>
      <c r="H444" s="48" t="s">
        <v>1337</v>
      </c>
      <c r="I444" s="48" t="s">
        <v>1338</v>
      </c>
      <c r="J444" s="49" t="s">
        <v>1339</v>
      </c>
      <c r="K444" s="50">
        <v>242.0</v>
      </c>
      <c r="L444" s="29" t="s">
        <v>1342</v>
      </c>
      <c r="M444" s="22" t="s">
        <v>669</v>
      </c>
      <c r="N444" s="34"/>
      <c r="O444" s="40"/>
      <c r="P444" s="34"/>
      <c r="Q444" s="34"/>
      <c r="R444" s="34"/>
      <c r="S444" s="34"/>
      <c r="T444" s="34"/>
      <c r="U444" s="34">
        <v>359.0</v>
      </c>
      <c r="V444" s="29" t="s">
        <v>107</v>
      </c>
      <c r="W444" s="34"/>
      <c r="X444" s="29"/>
    </row>
    <row r="445" ht="15.75" customHeight="1">
      <c r="A445" s="27" t="s">
        <v>660</v>
      </c>
      <c r="B445" s="22" t="s">
        <v>661</v>
      </c>
      <c r="C445" s="53" t="s">
        <v>47</v>
      </c>
      <c r="D445" s="53" t="s">
        <v>48</v>
      </c>
      <c r="E445" s="47" t="s">
        <v>1314</v>
      </c>
      <c r="F445" s="49" t="s">
        <v>1315</v>
      </c>
      <c r="G445" s="29" t="s">
        <v>664</v>
      </c>
      <c r="H445" s="48" t="s">
        <v>1343</v>
      </c>
      <c r="I445" s="48" t="s">
        <v>1344</v>
      </c>
      <c r="J445" s="49" t="s">
        <v>1345</v>
      </c>
      <c r="K445" s="50">
        <v>243.0</v>
      </c>
      <c r="L445" s="29" t="s">
        <v>1346</v>
      </c>
      <c r="M445" s="22" t="s">
        <v>669</v>
      </c>
      <c r="N445" s="34"/>
      <c r="O445" s="40"/>
      <c r="P445" s="34"/>
      <c r="Q445" s="34"/>
      <c r="R445" s="34"/>
      <c r="S445" s="34"/>
      <c r="T445" s="34"/>
      <c r="U445" s="34">
        <v>360.0</v>
      </c>
      <c r="V445" s="29" t="s">
        <v>107</v>
      </c>
      <c r="W445" s="34"/>
      <c r="X445" s="29"/>
    </row>
    <row r="446" ht="15.75" customHeight="1">
      <c r="A446" s="27" t="s">
        <v>660</v>
      </c>
      <c r="B446" s="22" t="s">
        <v>661</v>
      </c>
      <c r="C446" s="53" t="s">
        <v>47</v>
      </c>
      <c r="D446" s="53" t="s">
        <v>48</v>
      </c>
      <c r="E446" s="47" t="s">
        <v>1314</v>
      </c>
      <c r="F446" s="49" t="s">
        <v>1315</v>
      </c>
      <c r="G446" s="29" t="s">
        <v>664</v>
      </c>
      <c r="H446" s="48" t="s">
        <v>1347</v>
      </c>
      <c r="I446" s="48" t="s">
        <v>1348</v>
      </c>
      <c r="J446" s="49" t="s">
        <v>1349</v>
      </c>
      <c r="K446" s="50">
        <v>244.0</v>
      </c>
      <c r="L446" s="29" t="s">
        <v>1350</v>
      </c>
      <c r="M446" s="22" t="s">
        <v>669</v>
      </c>
      <c r="N446" s="34"/>
      <c r="O446" s="40"/>
      <c r="P446" s="34"/>
      <c r="Q446" s="34"/>
      <c r="R446" s="34"/>
      <c r="S446" s="34"/>
      <c r="T446" s="34"/>
      <c r="U446" s="34">
        <v>361.0</v>
      </c>
      <c r="V446" s="29" t="s">
        <v>107</v>
      </c>
      <c r="W446" s="34"/>
      <c r="X446" s="29"/>
    </row>
    <row r="447" ht="15.75" customHeight="1">
      <c r="A447" s="27" t="s">
        <v>660</v>
      </c>
      <c r="B447" s="22" t="s">
        <v>661</v>
      </c>
      <c r="C447" s="53" t="s">
        <v>47</v>
      </c>
      <c r="D447" s="53" t="s">
        <v>48</v>
      </c>
      <c r="E447" s="47" t="s">
        <v>1314</v>
      </c>
      <c r="F447" s="49" t="s">
        <v>1315</v>
      </c>
      <c r="G447" s="29" t="s">
        <v>664</v>
      </c>
      <c r="H447" s="48" t="s">
        <v>1347</v>
      </c>
      <c r="I447" s="48" t="s">
        <v>1348</v>
      </c>
      <c r="J447" s="49" t="s">
        <v>1349</v>
      </c>
      <c r="K447" s="50">
        <v>245.0</v>
      </c>
      <c r="L447" s="29" t="s">
        <v>1351</v>
      </c>
      <c r="M447" s="22" t="s">
        <v>669</v>
      </c>
      <c r="N447" s="34"/>
      <c r="O447" s="40"/>
      <c r="P447" s="34"/>
      <c r="Q447" s="34"/>
      <c r="R447" s="34"/>
      <c r="S447" s="34"/>
      <c r="T447" s="34"/>
      <c r="U447" s="34">
        <v>362.0</v>
      </c>
      <c r="V447" s="29" t="s">
        <v>107</v>
      </c>
      <c r="W447" s="34"/>
      <c r="X447" s="29"/>
    </row>
    <row r="448" ht="15.75" customHeight="1">
      <c r="A448" s="27" t="s">
        <v>660</v>
      </c>
      <c r="B448" s="22" t="s">
        <v>661</v>
      </c>
      <c r="C448" s="53" t="s">
        <v>47</v>
      </c>
      <c r="D448" s="53" t="s">
        <v>48</v>
      </c>
      <c r="E448" s="47" t="s">
        <v>1314</v>
      </c>
      <c r="F448" s="49" t="s">
        <v>1352</v>
      </c>
      <c r="G448" s="29" t="s">
        <v>714</v>
      </c>
      <c r="H448" s="48" t="s">
        <v>1353</v>
      </c>
      <c r="I448" s="48" t="s">
        <v>1354</v>
      </c>
      <c r="J448" s="49" t="s">
        <v>1355</v>
      </c>
      <c r="K448" s="50">
        <v>246.0</v>
      </c>
      <c r="L448" s="29" t="s">
        <v>1356</v>
      </c>
      <c r="M448" s="22" t="s">
        <v>669</v>
      </c>
      <c r="N448" s="34"/>
      <c r="O448" s="40"/>
      <c r="P448" s="34"/>
      <c r="Q448" s="34"/>
      <c r="R448" s="34"/>
      <c r="S448" s="34"/>
      <c r="T448" s="34"/>
      <c r="U448" s="34">
        <v>364.0</v>
      </c>
      <c r="V448" s="29" t="s">
        <v>107</v>
      </c>
      <c r="W448" s="34"/>
      <c r="X448" s="29"/>
    </row>
    <row r="449" ht="15.75" customHeight="1">
      <c r="A449" s="27" t="s">
        <v>660</v>
      </c>
      <c r="B449" s="22" t="s">
        <v>661</v>
      </c>
      <c r="C449" s="53" t="s">
        <v>47</v>
      </c>
      <c r="D449" s="53" t="s">
        <v>48</v>
      </c>
      <c r="E449" s="47" t="s">
        <v>1314</v>
      </c>
      <c r="F449" s="49" t="s">
        <v>1352</v>
      </c>
      <c r="G449" s="29" t="s">
        <v>714</v>
      </c>
      <c r="H449" s="48" t="s">
        <v>1353</v>
      </c>
      <c r="I449" s="48" t="s">
        <v>1354</v>
      </c>
      <c r="J449" s="49" t="s">
        <v>1355</v>
      </c>
      <c r="K449" s="50">
        <v>247.0</v>
      </c>
      <c r="L449" s="29" t="s">
        <v>1357</v>
      </c>
      <c r="M449" s="22" t="s">
        <v>669</v>
      </c>
      <c r="N449" s="34"/>
      <c r="O449" s="40"/>
      <c r="P449" s="34"/>
      <c r="Q449" s="34"/>
      <c r="R449" s="34"/>
      <c r="S449" s="34"/>
      <c r="T449" s="34"/>
      <c r="U449" s="34">
        <v>365.0</v>
      </c>
      <c r="V449" s="29" t="s">
        <v>107</v>
      </c>
      <c r="W449" s="34"/>
      <c r="X449" s="29"/>
    </row>
    <row r="450" ht="15.75" customHeight="1">
      <c r="A450" s="27" t="s">
        <v>660</v>
      </c>
      <c r="B450" s="22" t="s">
        <v>661</v>
      </c>
      <c r="C450" s="53" t="s">
        <v>47</v>
      </c>
      <c r="D450" s="53" t="s">
        <v>48</v>
      </c>
      <c r="E450" s="47" t="s">
        <v>1314</v>
      </c>
      <c r="F450" s="49" t="s">
        <v>1352</v>
      </c>
      <c r="G450" s="29" t="s">
        <v>714</v>
      </c>
      <c r="H450" s="48" t="s">
        <v>1358</v>
      </c>
      <c r="I450" s="48" t="s">
        <v>1359</v>
      </c>
      <c r="J450" s="49" t="s">
        <v>1360</v>
      </c>
      <c r="K450" s="50">
        <v>248.0</v>
      </c>
      <c r="L450" s="29" t="s">
        <v>1361</v>
      </c>
      <c r="M450" s="22" t="s">
        <v>669</v>
      </c>
      <c r="N450" s="34"/>
      <c r="O450" s="40"/>
      <c r="P450" s="34"/>
      <c r="Q450" s="34"/>
      <c r="R450" s="34"/>
      <c r="S450" s="34"/>
      <c r="T450" s="34"/>
      <c r="U450" s="34">
        <v>366.0</v>
      </c>
      <c r="V450" s="29" t="s">
        <v>107</v>
      </c>
      <c r="W450" s="34"/>
      <c r="X450" s="29"/>
    </row>
    <row r="451" ht="15.75" customHeight="1">
      <c r="A451" s="27" t="s">
        <v>660</v>
      </c>
      <c r="B451" s="22" t="s">
        <v>661</v>
      </c>
      <c r="C451" s="53" t="s">
        <v>47</v>
      </c>
      <c r="D451" s="53" t="s">
        <v>48</v>
      </c>
      <c r="E451" s="47" t="s">
        <v>1314</v>
      </c>
      <c r="F451" s="49" t="s">
        <v>1352</v>
      </c>
      <c r="G451" s="29" t="s">
        <v>714</v>
      </c>
      <c r="H451" s="48" t="s">
        <v>1358</v>
      </c>
      <c r="I451" s="48" t="s">
        <v>1359</v>
      </c>
      <c r="J451" s="49" t="s">
        <v>1360</v>
      </c>
      <c r="K451" s="50">
        <v>249.0</v>
      </c>
      <c r="L451" s="29" t="s">
        <v>1362</v>
      </c>
      <c r="M451" s="22" t="s">
        <v>669</v>
      </c>
      <c r="N451" s="34"/>
      <c r="O451" s="40"/>
      <c r="P451" s="34"/>
      <c r="Q451" s="34"/>
      <c r="R451" s="34"/>
      <c r="S451" s="34"/>
      <c r="T451" s="34"/>
      <c r="U451" s="34">
        <v>367.0</v>
      </c>
      <c r="V451" s="29" t="s">
        <v>107</v>
      </c>
      <c r="W451" s="34"/>
      <c r="X451" s="29"/>
    </row>
    <row r="452" ht="15.75" customHeight="1">
      <c r="A452" s="27" t="s">
        <v>660</v>
      </c>
      <c r="B452" s="22" t="s">
        <v>661</v>
      </c>
      <c r="C452" s="53" t="s">
        <v>47</v>
      </c>
      <c r="D452" s="53" t="s">
        <v>48</v>
      </c>
      <c r="E452" s="47" t="s">
        <v>1314</v>
      </c>
      <c r="F452" s="49" t="s">
        <v>1352</v>
      </c>
      <c r="G452" s="29" t="s">
        <v>714</v>
      </c>
      <c r="H452" s="48" t="s">
        <v>1358</v>
      </c>
      <c r="I452" s="48" t="s">
        <v>1359</v>
      </c>
      <c r="J452" s="49" t="s">
        <v>1360</v>
      </c>
      <c r="K452" s="50">
        <v>250.0</v>
      </c>
      <c r="L452" s="29" t="s">
        <v>1363</v>
      </c>
      <c r="M452" s="22" t="s">
        <v>669</v>
      </c>
      <c r="N452" s="34"/>
      <c r="O452" s="40"/>
      <c r="P452" s="34"/>
      <c r="Q452" s="34"/>
      <c r="R452" s="34"/>
      <c r="S452" s="34"/>
      <c r="T452" s="34"/>
      <c r="U452" s="34">
        <v>368.0</v>
      </c>
      <c r="V452" s="29" t="s">
        <v>107</v>
      </c>
      <c r="W452" s="34"/>
      <c r="X452" s="29"/>
    </row>
    <row r="453" ht="15.75" customHeight="1">
      <c r="A453" s="27" t="s">
        <v>660</v>
      </c>
      <c r="B453" s="22" t="s">
        <v>661</v>
      </c>
      <c r="C453" s="53" t="s">
        <v>47</v>
      </c>
      <c r="D453" s="53" t="s">
        <v>48</v>
      </c>
      <c r="E453" s="47" t="s">
        <v>1314</v>
      </c>
      <c r="F453" s="49" t="s">
        <v>1352</v>
      </c>
      <c r="G453" s="29" t="s">
        <v>714</v>
      </c>
      <c r="H453" s="48" t="s">
        <v>1364</v>
      </c>
      <c r="I453" s="48" t="s">
        <v>1365</v>
      </c>
      <c r="J453" s="49" t="s">
        <v>1366</v>
      </c>
      <c r="K453" s="50">
        <v>251.0</v>
      </c>
      <c r="L453" s="49" t="s">
        <v>1367</v>
      </c>
      <c r="M453" s="22" t="s">
        <v>669</v>
      </c>
      <c r="N453" s="34"/>
      <c r="O453" s="40"/>
      <c r="P453" s="34"/>
      <c r="Q453" s="34"/>
      <c r="R453" s="34"/>
      <c r="S453" s="34"/>
      <c r="T453" s="34"/>
      <c r="U453" s="34">
        <v>369.0</v>
      </c>
      <c r="V453" s="49" t="s">
        <v>107</v>
      </c>
      <c r="W453" s="34"/>
      <c r="X453" s="29"/>
    </row>
    <row r="454" ht="15.75" customHeight="1">
      <c r="A454" s="27" t="s">
        <v>660</v>
      </c>
      <c r="B454" s="22" t="s">
        <v>661</v>
      </c>
      <c r="C454" s="53" t="s">
        <v>47</v>
      </c>
      <c r="D454" s="53" t="s">
        <v>48</v>
      </c>
      <c r="E454" s="47" t="s">
        <v>1314</v>
      </c>
      <c r="F454" s="49" t="s">
        <v>1352</v>
      </c>
      <c r="G454" s="29" t="s">
        <v>714</v>
      </c>
      <c r="H454" s="48" t="s">
        <v>1364</v>
      </c>
      <c r="I454" s="48" t="s">
        <v>1365</v>
      </c>
      <c r="J454" s="49" t="s">
        <v>1366</v>
      </c>
      <c r="K454" s="50">
        <v>252.0</v>
      </c>
      <c r="L454" s="29" t="s">
        <v>1368</v>
      </c>
      <c r="M454" s="22" t="s">
        <v>669</v>
      </c>
      <c r="N454" s="34"/>
      <c r="O454" s="40"/>
      <c r="P454" s="34"/>
      <c r="Q454" s="34"/>
      <c r="R454" s="34"/>
      <c r="S454" s="34"/>
      <c r="T454" s="34"/>
      <c r="U454" s="34">
        <v>370.0</v>
      </c>
      <c r="V454" s="29" t="s">
        <v>107</v>
      </c>
      <c r="W454" s="34"/>
      <c r="X454" s="29"/>
    </row>
    <row r="455" ht="15.75" customHeight="1">
      <c r="A455" s="27" t="s">
        <v>660</v>
      </c>
      <c r="B455" s="22" t="s">
        <v>661</v>
      </c>
      <c r="C455" s="53" t="s">
        <v>47</v>
      </c>
      <c r="D455" s="53" t="s">
        <v>48</v>
      </c>
      <c r="E455" s="47" t="s">
        <v>1314</v>
      </c>
      <c r="F455" s="49" t="s">
        <v>1352</v>
      </c>
      <c r="G455" s="29" t="s">
        <v>714</v>
      </c>
      <c r="H455" s="48" t="s">
        <v>1364</v>
      </c>
      <c r="I455" s="48" t="s">
        <v>1365</v>
      </c>
      <c r="J455" s="49" t="s">
        <v>1366</v>
      </c>
      <c r="K455" s="50">
        <v>253.0</v>
      </c>
      <c r="L455" s="29" t="s">
        <v>1369</v>
      </c>
      <c r="M455" s="22" t="s">
        <v>669</v>
      </c>
      <c r="N455" s="34"/>
      <c r="O455" s="40"/>
      <c r="P455" s="34"/>
      <c r="Q455" s="34"/>
      <c r="R455" s="34"/>
      <c r="S455" s="34"/>
      <c r="T455" s="34"/>
      <c r="U455" s="34">
        <v>371.0</v>
      </c>
      <c r="V455" s="29" t="s">
        <v>107</v>
      </c>
      <c r="W455" s="34"/>
      <c r="X455" s="29"/>
    </row>
    <row r="456" ht="15.75" customHeight="1">
      <c r="A456" s="27" t="s">
        <v>660</v>
      </c>
      <c r="B456" s="22" t="s">
        <v>661</v>
      </c>
      <c r="C456" s="53" t="s">
        <v>47</v>
      </c>
      <c r="D456" s="53" t="s">
        <v>48</v>
      </c>
      <c r="E456" s="47" t="s">
        <v>1314</v>
      </c>
      <c r="F456" s="49" t="s">
        <v>1352</v>
      </c>
      <c r="G456" s="29" t="s">
        <v>714</v>
      </c>
      <c r="H456" s="48" t="s">
        <v>1370</v>
      </c>
      <c r="I456" s="48" t="s">
        <v>1371</v>
      </c>
      <c r="J456" s="49" t="s">
        <v>1372</v>
      </c>
      <c r="K456" s="50">
        <v>254.0</v>
      </c>
      <c r="L456" s="29" t="s">
        <v>1373</v>
      </c>
      <c r="M456" s="22" t="s">
        <v>669</v>
      </c>
      <c r="N456" s="34"/>
      <c r="O456" s="40"/>
      <c r="P456" s="34"/>
      <c r="Q456" s="34"/>
      <c r="R456" s="34"/>
      <c r="S456" s="34"/>
      <c r="T456" s="34"/>
      <c r="U456" s="34">
        <v>372.0</v>
      </c>
      <c r="V456" s="29" t="s">
        <v>107</v>
      </c>
      <c r="W456" s="34"/>
      <c r="X456" s="29"/>
    </row>
    <row r="457" ht="15.75" customHeight="1">
      <c r="A457" s="27" t="s">
        <v>660</v>
      </c>
      <c r="B457" s="22" t="s">
        <v>661</v>
      </c>
      <c r="C457" s="53" t="s">
        <v>47</v>
      </c>
      <c r="D457" s="53" t="s">
        <v>48</v>
      </c>
      <c r="E457" s="47" t="s">
        <v>1314</v>
      </c>
      <c r="F457" s="49" t="s">
        <v>1374</v>
      </c>
      <c r="G457" s="29" t="s">
        <v>749</v>
      </c>
      <c r="H457" s="48" t="s">
        <v>1375</v>
      </c>
      <c r="I457" s="48" t="s">
        <v>1376</v>
      </c>
      <c r="J457" s="49" t="s">
        <v>1377</v>
      </c>
      <c r="K457" s="50">
        <v>255.0</v>
      </c>
      <c r="L457" s="29" t="s">
        <v>1378</v>
      </c>
      <c r="M457" s="22" t="s">
        <v>669</v>
      </c>
      <c r="N457" s="34"/>
      <c r="O457" s="40"/>
      <c r="P457" s="34"/>
      <c r="Q457" s="34"/>
      <c r="R457" s="34"/>
      <c r="S457" s="34"/>
      <c r="T457" s="34"/>
      <c r="U457" s="34">
        <v>374.0</v>
      </c>
      <c r="V457" s="29" t="s">
        <v>107</v>
      </c>
      <c r="W457" s="34"/>
      <c r="X457" s="29"/>
    </row>
    <row r="458" ht="15.75" customHeight="1">
      <c r="A458" s="27" t="s">
        <v>660</v>
      </c>
      <c r="B458" s="22" t="s">
        <v>661</v>
      </c>
      <c r="C458" s="53" t="s">
        <v>47</v>
      </c>
      <c r="D458" s="53" t="s">
        <v>48</v>
      </c>
      <c r="E458" s="47" t="s">
        <v>1314</v>
      </c>
      <c r="F458" s="49" t="s">
        <v>1374</v>
      </c>
      <c r="G458" s="29" t="s">
        <v>749</v>
      </c>
      <c r="H458" s="48" t="s">
        <v>1379</v>
      </c>
      <c r="I458" s="48" t="s">
        <v>1380</v>
      </c>
      <c r="J458" s="49" t="s">
        <v>1381</v>
      </c>
      <c r="K458" s="50">
        <v>256.0</v>
      </c>
      <c r="L458" s="29" t="s">
        <v>1382</v>
      </c>
      <c r="M458" s="22" t="s">
        <v>669</v>
      </c>
      <c r="N458" s="34"/>
      <c r="O458" s="40"/>
      <c r="P458" s="34"/>
      <c r="Q458" s="34"/>
      <c r="R458" s="34"/>
      <c r="S458" s="34"/>
      <c r="T458" s="34"/>
      <c r="U458" s="34">
        <v>375.0</v>
      </c>
      <c r="V458" s="29" t="s">
        <v>107</v>
      </c>
      <c r="W458" s="34"/>
      <c r="X458" s="29"/>
    </row>
    <row r="459" ht="15.75" customHeight="1">
      <c r="A459" s="27" t="s">
        <v>660</v>
      </c>
      <c r="B459" s="22" t="s">
        <v>661</v>
      </c>
      <c r="C459" s="53" t="s">
        <v>49</v>
      </c>
      <c r="D459" s="53" t="s">
        <v>50</v>
      </c>
      <c r="E459" s="47" t="s">
        <v>1383</v>
      </c>
      <c r="F459" s="49" t="s">
        <v>1384</v>
      </c>
      <c r="G459" s="29" t="s">
        <v>664</v>
      </c>
      <c r="H459" s="48" t="s">
        <v>1385</v>
      </c>
      <c r="I459" s="48" t="s">
        <v>1386</v>
      </c>
      <c r="J459" s="49" t="s">
        <v>1387</v>
      </c>
      <c r="K459" s="50">
        <v>257.0</v>
      </c>
      <c r="L459" s="29" t="s">
        <v>1388</v>
      </c>
      <c r="M459" s="22" t="s">
        <v>669</v>
      </c>
      <c r="N459" s="34"/>
      <c r="O459" s="40"/>
      <c r="P459" s="34"/>
      <c r="Q459" s="34"/>
      <c r="R459" s="34"/>
      <c r="S459" s="34"/>
      <c r="T459" s="34"/>
      <c r="U459" s="34">
        <v>382.0</v>
      </c>
      <c r="V459" s="29" t="s">
        <v>107</v>
      </c>
      <c r="W459" s="34"/>
      <c r="X459" s="29"/>
    </row>
    <row r="460" ht="15.75" customHeight="1">
      <c r="A460" s="27" t="s">
        <v>660</v>
      </c>
      <c r="B460" s="22" t="s">
        <v>661</v>
      </c>
      <c r="C460" s="53" t="s">
        <v>49</v>
      </c>
      <c r="D460" s="53" t="s">
        <v>50</v>
      </c>
      <c r="E460" s="47" t="s">
        <v>1383</v>
      </c>
      <c r="F460" s="49" t="s">
        <v>1384</v>
      </c>
      <c r="G460" s="29" t="s">
        <v>664</v>
      </c>
      <c r="H460" s="48" t="s">
        <v>1385</v>
      </c>
      <c r="I460" s="48" t="s">
        <v>1386</v>
      </c>
      <c r="J460" s="49" t="s">
        <v>1387</v>
      </c>
      <c r="K460" s="50">
        <v>258.0</v>
      </c>
      <c r="L460" s="29" t="s">
        <v>1389</v>
      </c>
      <c r="M460" s="22" t="s">
        <v>669</v>
      </c>
      <c r="N460" s="34"/>
      <c r="O460" s="40"/>
      <c r="P460" s="34"/>
      <c r="Q460" s="34"/>
      <c r="R460" s="34"/>
      <c r="S460" s="34"/>
      <c r="T460" s="34"/>
      <c r="U460" s="34">
        <v>383.0</v>
      </c>
      <c r="V460" s="29" t="s">
        <v>107</v>
      </c>
      <c r="W460" s="34"/>
      <c r="X460" s="29"/>
    </row>
    <row r="461" ht="15.75" customHeight="1">
      <c r="A461" s="27" t="s">
        <v>660</v>
      </c>
      <c r="B461" s="22" t="s">
        <v>661</v>
      </c>
      <c r="C461" s="53" t="s">
        <v>49</v>
      </c>
      <c r="D461" s="53" t="s">
        <v>50</v>
      </c>
      <c r="E461" s="47" t="s">
        <v>1383</v>
      </c>
      <c r="F461" s="49" t="s">
        <v>1384</v>
      </c>
      <c r="G461" s="29" t="s">
        <v>664</v>
      </c>
      <c r="H461" s="48" t="s">
        <v>1385</v>
      </c>
      <c r="I461" s="48" t="s">
        <v>1386</v>
      </c>
      <c r="J461" s="49" t="s">
        <v>1387</v>
      </c>
      <c r="K461" s="50">
        <v>259.0</v>
      </c>
      <c r="L461" s="29" t="s">
        <v>1390</v>
      </c>
      <c r="M461" s="22" t="s">
        <v>669</v>
      </c>
      <c r="N461" s="34"/>
      <c r="O461" s="40"/>
      <c r="P461" s="34"/>
      <c r="Q461" s="34"/>
      <c r="R461" s="34"/>
      <c r="S461" s="34"/>
      <c r="T461" s="34"/>
      <c r="U461" s="34">
        <v>384.0</v>
      </c>
      <c r="V461" s="29" t="s">
        <v>107</v>
      </c>
      <c r="W461" s="34"/>
      <c r="X461" s="29"/>
    </row>
    <row r="462" ht="15.75" customHeight="1">
      <c r="A462" s="27" t="s">
        <v>660</v>
      </c>
      <c r="B462" s="22" t="s">
        <v>661</v>
      </c>
      <c r="C462" s="53" t="s">
        <v>49</v>
      </c>
      <c r="D462" s="53" t="s">
        <v>50</v>
      </c>
      <c r="E462" s="47" t="s">
        <v>1383</v>
      </c>
      <c r="F462" s="49" t="s">
        <v>1384</v>
      </c>
      <c r="G462" s="29" t="s">
        <v>664</v>
      </c>
      <c r="H462" s="48" t="s">
        <v>1385</v>
      </c>
      <c r="I462" s="48" t="s">
        <v>1386</v>
      </c>
      <c r="J462" s="49" t="s">
        <v>1387</v>
      </c>
      <c r="K462" s="50">
        <v>260.0</v>
      </c>
      <c r="L462" s="29" t="s">
        <v>1391</v>
      </c>
      <c r="M462" s="22" t="s">
        <v>669</v>
      </c>
      <c r="N462" s="34"/>
      <c r="O462" s="40"/>
      <c r="P462" s="34"/>
      <c r="Q462" s="34"/>
      <c r="R462" s="34"/>
      <c r="S462" s="34"/>
      <c r="T462" s="34"/>
      <c r="U462" s="34">
        <v>385.0</v>
      </c>
      <c r="V462" s="29" t="s">
        <v>107</v>
      </c>
      <c r="W462" s="34"/>
      <c r="X462" s="29"/>
    </row>
    <row r="463" ht="15.75" customHeight="1">
      <c r="A463" s="27" t="s">
        <v>660</v>
      </c>
      <c r="B463" s="22" t="s">
        <v>661</v>
      </c>
      <c r="C463" s="53" t="s">
        <v>49</v>
      </c>
      <c r="D463" s="53" t="s">
        <v>50</v>
      </c>
      <c r="E463" s="47" t="s">
        <v>1383</v>
      </c>
      <c r="F463" s="49" t="s">
        <v>1384</v>
      </c>
      <c r="G463" s="29" t="s">
        <v>664</v>
      </c>
      <c r="H463" s="48" t="s">
        <v>1385</v>
      </c>
      <c r="I463" s="48" t="s">
        <v>1386</v>
      </c>
      <c r="J463" s="49" t="s">
        <v>1387</v>
      </c>
      <c r="K463" s="50">
        <v>261.0</v>
      </c>
      <c r="L463" s="29" t="s">
        <v>1392</v>
      </c>
      <c r="M463" s="22" t="s">
        <v>669</v>
      </c>
      <c r="N463" s="34"/>
      <c r="O463" s="40"/>
      <c r="P463" s="34"/>
      <c r="Q463" s="34"/>
      <c r="R463" s="34"/>
      <c r="S463" s="34"/>
      <c r="T463" s="34"/>
      <c r="U463" s="34">
        <v>386.0</v>
      </c>
      <c r="V463" s="29" t="s">
        <v>107</v>
      </c>
      <c r="W463" s="34"/>
      <c r="X463" s="29"/>
    </row>
    <row r="464" ht="15.75" customHeight="1">
      <c r="A464" s="27" t="s">
        <v>660</v>
      </c>
      <c r="B464" s="22" t="s">
        <v>661</v>
      </c>
      <c r="C464" s="53" t="s">
        <v>49</v>
      </c>
      <c r="D464" s="53" t="s">
        <v>50</v>
      </c>
      <c r="E464" s="47" t="s">
        <v>1383</v>
      </c>
      <c r="F464" s="49" t="s">
        <v>1384</v>
      </c>
      <c r="G464" s="29" t="s">
        <v>664</v>
      </c>
      <c r="H464" s="48" t="s">
        <v>1385</v>
      </c>
      <c r="I464" s="48" t="s">
        <v>1386</v>
      </c>
      <c r="J464" s="49" t="s">
        <v>1387</v>
      </c>
      <c r="K464" s="50">
        <v>262.0</v>
      </c>
      <c r="L464" s="29" t="s">
        <v>1393</v>
      </c>
      <c r="M464" s="22" t="s">
        <v>669</v>
      </c>
      <c r="N464" s="34"/>
      <c r="O464" s="40"/>
      <c r="P464" s="34"/>
      <c r="Q464" s="34"/>
      <c r="R464" s="34"/>
      <c r="S464" s="34"/>
      <c r="T464" s="34"/>
      <c r="U464" s="34">
        <v>387.0</v>
      </c>
      <c r="V464" s="29" t="s">
        <v>107</v>
      </c>
      <c r="W464" s="34"/>
      <c r="X464" s="29"/>
    </row>
    <row r="465" ht="15.75" customHeight="1">
      <c r="A465" s="27" t="s">
        <v>660</v>
      </c>
      <c r="B465" s="22" t="s">
        <v>661</v>
      </c>
      <c r="C465" s="53" t="s">
        <v>49</v>
      </c>
      <c r="D465" s="53" t="s">
        <v>50</v>
      </c>
      <c r="E465" s="47" t="s">
        <v>1383</v>
      </c>
      <c r="F465" s="49" t="s">
        <v>1384</v>
      </c>
      <c r="G465" s="29" t="s">
        <v>664</v>
      </c>
      <c r="H465" s="48" t="s">
        <v>1385</v>
      </c>
      <c r="I465" s="48" t="s">
        <v>1386</v>
      </c>
      <c r="J465" s="49" t="s">
        <v>1387</v>
      </c>
      <c r="K465" s="50">
        <v>263.0</v>
      </c>
      <c r="L465" s="29" t="s">
        <v>1394</v>
      </c>
      <c r="M465" s="22" t="s">
        <v>669</v>
      </c>
      <c r="N465" s="34"/>
      <c r="O465" s="40"/>
      <c r="P465" s="34"/>
      <c r="Q465" s="34"/>
      <c r="R465" s="34"/>
      <c r="S465" s="34"/>
      <c r="T465" s="34"/>
      <c r="U465" s="34">
        <v>388.0</v>
      </c>
      <c r="V465" s="29" t="s">
        <v>107</v>
      </c>
      <c r="W465" s="34"/>
      <c r="X465" s="29"/>
    </row>
    <row r="466" ht="15.75" customHeight="1">
      <c r="A466" s="27" t="s">
        <v>660</v>
      </c>
      <c r="B466" s="22" t="s">
        <v>661</v>
      </c>
      <c r="C466" s="53" t="s">
        <v>49</v>
      </c>
      <c r="D466" s="53" t="s">
        <v>50</v>
      </c>
      <c r="E466" s="47" t="s">
        <v>1383</v>
      </c>
      <c r="F466" s="49" t="s">
        <v>1384</v>
      </c>
      <c r="G466" s="29" t="s">
        <v>664</v>
      </c>
      <c r="H466" s="48" t="s">
        <v>1385</v>
      </c>
      <c r="I466" s="48" t="s">
        <v>1386</v>
      </c>
      <c r="J466" s="49" t="s">
        <v>1387</v>
      </c>
      <c r="K466" s="50">
        <v>264.0</v>
      </c>
      <c r="L466" s="29" t="s">
        <v>1395</v>
      </c>
      <c r="M466" s="22" t="s">
        <v>669</v>
      </c>
      <c r="N466" s="34"/>
      <c r="O466" s="40"/>
      <c r="P466" s="34"/>
      <c r="Q466" s="34"/>
      <c r="R466" s="34"/>
      <c r="S466" s="34"/>
      <c r="T466" s="34"/>
      <c r="U466" s="34">
        <v>389.0</v>
      </c>
      <c r="V466" s="29" t="s">
        <v>107</v>
      </c>
      <c r="W466" s="34"/>
      <c r="X466" s="29"/>
    </row>
    <row r="467" ht="15.75" customHeight="1">
      <c r="A467" s="27" t="s">
        <v>660</v>
      </c>
      <c r="B467" s="22" t="s">
        <v>661</v>
      </c>
      <c r="C467" s="53" t="s">
        <v>49</v>
      </c>
      <c r="D467" s="53" t="s">
        <v>50</v>
      </c>
      <c r="E467" s="47" t="s">
        <v>1383</v>
      </c>
      <c r="F467" s="49" t="s">
        <v>1384</v>
      </c>
      <c r="G467" s="29" t="s">
        <v>664</v>
      </c>
      <c r="H467" s="48" t="s">
        <v>1385</v>
      </c>
      <c r="I467" s="48" t="s">
        <v>1386</v>
      </c>
      <c r="J467" s="49" t="s">
        <v>1387</v>
      </c>
      <c r="K467" s="50">
        <v>265.0</v>
      </c>
      <c r="L467" s="29" t="s">
        <v>1396</v>
      </c>
      <c r="M467" s="22" t="s">
        <v>669</v>
      </c>
      <c r="N467" s="34"/>
      <c r="O467" s="40"/>
      <c r="P467" s="34"/>
      <c r="Q467" s="34"/>
      <c r="R467" s="34"/>
      <c r="S467" s="34"/>
      <c r="T467" s="34"/>
      <c r="U467" s="34">
        <v>390.0</v>
      </c>
      <c r="V467" s="29" t="s">
        <v>107</v>
      </c>
      <c r="W467" s="34"/>
      <c r="X467" s="29"/>
    </row>
    <row r="468" ht="15.75" customHeight="1">
      <c r="A468" s="27" t="s">
        <v>660</v>
      </c>
      <c r="B468" s="22" t="s">
        <v>661</v>
      </c>
      <c r="C468" s="53" t="s">
        <v>49</v>
      </c>
      <c r="D468" s="53" t="s">
        <v>50</v>
      </c>
      <c r="E468" s="47" t="s">
        <v>1383</v>
      </c>
      <c r="F468" s="49" t="s">
        <v>1384</v>
      </c>
      <c r="G468" s="29" t="s">
        <v>664</v>
      </c>
      <c r="H468" s="48" t="s">
        <v>1385</v>
      </c>
      <c r="I468" s="48" t="s">
        <v>1386</v>
      </c>
      <c r="J468" s="49" t="s">
        <v>1387</v>
      </c>
      <c r="K468" s="50">
        <v>266.0</v>
      </c>
      <c r="L468" s="29" t="s">
        <v>1397</v>
      </c>
      <c r="M468" s="22" t="s">
        <v>669</v>
      </c>
      <c r="N468" s="34"/>
      <c r="O468" s="40"/>
      <c r="P468" s="34"/>
      <c r="Q468" s="34"/>
      <c r="R468" s="34"/>
      <c r="S468" s="34"/>
      <c r="T468" s="34"/>
      <c r="U468" s="34">
        <v>391.0</v>
      </c>
      <c r="V468" s="29" t="s">
        <v>107</v>
      </c>
      <c r="W468" s="34"/>
      <c r="X468" s="29"/>
    </row>
    <row r="469" ht="15.75" customHeight="1">
      <c r="A469" s="27" t="s">
        <v>660</v>
      </c>
      <c r="B469" s="22" t="s">
        <v>661</v>
      </c>
      <c r="C469" s="53" t="s">
        <v>49</v>
      </c>
      <c r="D469" s="53" t="s">
        <v>50</v>
      </c>
      <c r="E469" s="47" t="s">
        <v>1383</v>
      </c>
      <c r="F469" s="49" t="s">
        <v>1384</v>
      </c>
      <c r="G469" s="29" t="s">
        <v>664</v>
      </c>
      <c r="H469" s="48" t="s">
        <v>1385</v>
      </c>
      <c r="I469" s="48" t="s">
        <v>1386</v>
      </c>
      <c r="J469" s="49" t="s">
        <v>1387</v>
      </c>
      <c r="K469" s="50">
        <v>267.0</v>
      </c>
      <c r="L469" s="29" t="s">
        <v>1398</v>
      </c>
      <c r="M469" s="22" t="s">
        <v>669</v>
      </c>
      <c r="N469" s="34"/>
      <c r="O469" s="40"/>
      <c r="P469" s="34"/>
      <c r="Q469" s="34"/>
      <c r="R469" s="34"/>
      <c r="S469" s="34"/>
      <c r="T469" s="34"/>
      <c r="U469" s="34">
        <v>392.0</v>
      </c>
      <c r="V469" s="29" t="s">
        <v>107</v>
      </c>
      <c r="W469" s="34"/>
      <c r="X469" s="29"/>
    </row>
    <row r="470" ht="15.75" customHeight="1">
      <c r="A470" s="27" t="s">
        <v>660</v>
      </c>
      <c r="B470" s="22" t="s">
        <v>661</v>
      </c>
      <c r="C470" s="53" t="s">
        <v>49</v>
      </c>
      <c r="D470" s="53" t="s">
        <v>50</v>
      </c>
      <c r="E470" s="47" t="s">
        <v>1383</v>
      </c>
      <c r="F470" s="49" t="s">
        <v>1384</v>
      </c>
      <c r="G470" s="29" t="s">
        <v>664</v>
      </c>
      <c r="H470" s="48" t="s">
        <v>1385</v>
      </c>
      <c r="I470" s="48" t="s">
        <v>1386</v>
      </c>
      <c r="J470" s="49" t="s">
        <v>1387</v>
      </c>
      <c r="K470" s="50">
        <v>268.0</v>
      </c>
      <c r="L470" s="29" t="s">
        <v>1399</v>
      </c>
      <c r="M470" s="22" t="s">
        <v>669</v>
      </c>
      <c r="N470" s="34"/>
      <c r="O470" s="40"/>
      <c r="P470" s="34"/>
      <c r="Q470" s="34"/>
      <c r="R470" s="34"/>
      <c r="S470" s="34"/>
      <c r="T470" s="34"/>
      <c r="U470" s="34">
        <v>393.0</v>
      </c>
      <c r="V470" s="29" t="s">
        <v>107</v>
      </c>
      <c r="W470" s="34"/>
      <c r="X470" s="29"/>
    </row>
    <row r="471" ht="15.75" customHeight="1">
      <c r="A471" s="27" t="s">
        <v>660</v>
      </c>
      <c r="B471" s="22" t="s">
        <v>661</v>
      </c>
      <c r="C471" s="53" t="s">
        <v>49</v>
      </c>
      <c r="D471" s="53" t="s">
        <v>50</v>
      </c>
      <c r="E471" s="47" t="s">
        <v>1383</v>
      </c>
      <c r="F471" s="49" t="s">
        <v>1384</v>
      </c>
      <c r="G471" s="29" t="s">
        <v>664</v>
      </c>
      <c r="H471" s="48" t="s">
        <v>1385</v>
      </c>
      <c r="I471" s="48" t="s">
        <v>1386</v>
      </c>
      <c r="J471" s="49" t="s">
        <v>1387</v>
      </c>
      <c r="K471" s="50">
        <v>269.0</v>
      </c>
      <c r="L471" s="29" t="s">
        <v>1400</v>
      </c>
      <c r="M471" s="22" t="s">
        <v>669</v>
      </c>
      <c r="N471" s="34"/>
      <c r="O471" s="40"/>
      <c r="P471" s="34"/>
      <c r="Q471" s="34"/>
      <c r="R471" s="34"/>
      <c r="S471" s="34"/>
      <c r="T471" s="34"/>
      <c r="U471" s="34">
        <v>394.0</v>
      </c>
      <c r="V471" s="29" t="s">
        <v>107</v>
      </c>
      <c r="W471" s="34"/>
      <c r="X471" s="29"/>
    </row>
    <row r="472" ht="15.75" customHeight="1">
      <c r="A472" s="27" t="s">
        <v>660</v>
      </c>
      <c r="B472" s="22" t="s">
        <v>661</v>
      </c>
      <c r="C472" s="53" t="s">
        <v>49</v>
      </c>
      <c r="D472" s="53" t="s">
        <v>50</v>
      </c>
      <c r="E472" s="47" t="s">
        <v>1383</v>
      </c>
      <c r="F472" s="49" t="s">
        <v>1384</v>
      </c>
      <c r="G472" s="29" t="s">
        <v>664</v>
      </c>
      <c r="H472" s="48" t="s">
        <v>1385</v>
      </c>
      <c r="I472" s="48" t="s">
        <v>1386</v>
      </c>
      <c r="J472" s="49" t="s">
        <v>1387</v>
      </c>
      <c r="K472" s="50">
        <v>270.0</v>
      </c>
      <c r="L472" s="29" t="s">
        <v>1401</v>
      </c>
      <c r="M472" s="22" t="s">
        <v>669</v>
      </c>
      <c r="N472" s="34"/>
      <c r="O472" s="40"/>
      <c r="P472" s="34"/>
      <c r="Q472" s="34"/>
      <c r="R472" s="34"/>
      <c r="S472" s="34"/>
      <c r="T472" s="34"/>
      <c r="U472" s="34">
        <v>395.0</v>
      </c>
      <c r="V472" s="29" t="s">
        <v>107</v>
      </c>
      <c r="W472" s="34"/>
      <c r="X472" s="29"/>
    </row>
    <row r="473" ht="15.75" customHeight="1">
      <c r="A473" s="27" t="s">
        <v>660</v>
      </c>
      <c r="B473" s="22" t="s">
        <v>661</v>
      </c>
      <c r="C473" s="53" t="s">
        <v>49</v>
      </c>
      <c r="D473" s="53" t="s">
        <v>50</v>
      </c>
      <c r="E473" s="47" t="s">
        <v>1383</v>
      </c>
      <c r="F473" s="49" t="s">
        <v>1384</v>
      </c>
      <c r="G473" s="29" t="s">
        <v>664</v>
      </c>
      <c r="H473" s="48" t="s">
        <v>1385</v>
      </c>
      <c r="I473" s="48" t="s">
        <v>1386</v>
      </c>
      <c r="J473" s="49" t="s">
        <v>1387</v>
      </c>
      <c r="K473" s="50">
        <v>271.0</v>
      </c>
      <c r="L473" s="29" t="s">
        <v>1402</v>
      </c>
      <c r="M473" s="22" t="s">
        <v>669</v>
      </c>
      <c r="N473" s="34"/>
      <c r="O473" s="40"/>
      <c r="P473" s="34"/>
      <c r="Q473" s="34"/>
      <c r="R473" s="34"/>
      <c r="S473" s="34"/>
      <c r="T473" s="34"/>
      <c r="U473" s="34">
        <v>396.0</v>
      </c>
      <c r="V473" s="29" t="s">
        <v>107</v>
      </c>
      <c r="W473" s="34"/>
      <c r="X473" s="29"/>
    </row>
    <row r="474" ht="15.75" customHeight="1">
      <c r="A474" s="27" t="s">
        <v>660</v>
      </c>
      <c r="B474" s="22" t="s">
        <v>661</v>
      </c>
      <c r="C474" s="53" t="s">
        <v>49</v>
      </c>
      <c r="D474" s="53" t="s">
        <v>50</v>
      </c>
      <c r="E474" s="47" t="s">
        <v>1383</v>
      </c>
      <c r="F474" s="49" t="s">
        <v>1384</v>
      </c>
      <c r="G474" s="29" t="s">
        <v>664</v>
      </c>
      <c r="H474" s="48" t="s">
        <v>1403</v>
      </c>
      <c r="I474" s="48" t="s">
        <v>1404</v>
      </c>
      <c r="J474" s="49" t="s">
        <v>1405</v>
      </c>
      <c r="K474" s="50">
        <v>272.0</v>
      </c>
      <c r="L474" s="29" t="s">
        <v>1406</v>
      </c>
      <c r="M474" s="22" t="s">
        <v>669</v>
      </c>
      <c r="N474" s="34"/>
      <c r="O474" s="40"/>
      <c r="P474" s="34"/>
      <c r="Q474" s="34"/>
      <c r="R474" s="34"/>
      <c r="S474" s="34"/>
      <c r="T474" s="34"/>
      <c r="U474" s="34">
        <v>397.0</v>
      </c>
      <c r="V474" s="29" t="s">
        <v>107</v>
      </c>
      <c r="W474" s="34"/>
      <c r="X474" s="29"/>
    </row>
    <row r="475" ht="15.75" customHeight="1">
      <c r="A475" s="27" t="s">
        <v>660</v>
      </c>
      <c r="B475" s="22" t="s">
        <v>661</v>
      </c>
      <c r="C475" s="53" t="s">
        <v>49</v>
      </c>
      <c r="D475" s="53" t="s">
        <v>50</v>
      </c>
      <c r="E475" s="47" t="s">
        <v>1383</v>
      </c>
      <c r="F475" s="49" t="s">
        <v>1384</v>
      </c>
      <c r="G475" s="29" t="s">
        <v>664</v>
      </c>
      <c r="H475" s="48" t="s">
        <v>1407</v>
      </c>
      <c r="I475" s="48" t="s">
        <v>1408</v>
      </c>
      <c r="J475" s="49" t="s">
        <v>1409</v>
      </c>
      <c r="K475" s="50">
        <v>273.0</v>
      </c>
      <c r="L475" s="29" t="s">
        <v>1410</v>
      </c>
      <c r="M475" s="22" t="s">
        <v>669</v>
      </c>
      <c r="N475" s="34"/>
      <c r="O475" s="40"/>
      <c r="P475" s="34"/>
      <c r="Q475" s="34"/>
      <c r="R475" s="34"/>
      <c r="S475" s="34"/>
      <c r="T475" s="34"/>
      <c r="U475" s="34">
        <v>398.0</v>
      </c>
      <c r="V475" s="29" t="s">
        <v>107</v>
      </c>
      <c r="W475" s="34"/>
      <c r="X475" s="29"/>
    </row>
    <row r="476" ht="15.75" customHeight="1">
      <c r="A476" s="27" t="s">
        <v>660</v>
      </c>
      <c r="B476" s="22" t="s">
        <v>661</v>
      </c>
      <c r="C476" s="53" t="s">
        <v>49</v>
      </c>
      <c r="D476" s="53" t="s">
        <v>50</v>
      </c>
      <c r="E476" s="47" t="s">
        <v>1383</v>
      </c>
      <c r="F476" s="49" t="s">
        <v>1384</v>
      </c>
      <c r="G476" s="29" t="s">
        <v>664</v>
      </c>
      <c r="H476" s="48" t="s">
        <v>1407</v>
      </c>
      <c r="I476" s="48" t="s">
        <v>1408</v>
      </c>
      <c r="J476" s="49" t="s">
        <v>1409</v>
      </c>
      <c r="K476" s="50">
        <v>274.0</v>
      </c>
      <c r="L476" s="29" t="s">
        <v>1411</v>
      </c>
      <c r="M476" s="22" t="s">
        <v>669</v>
      </c>
      <c r="N476" s="34"/>
      <c r="O476" s="40"/>
      <c r="P476" s="34"/>
      <c r="Q476" s="34"/>
      <c r="R476" s="34"/>
      <c r="S476" s="34"/>
      <c r="T476" s="34"/>
      <c r="U476" s="34">
        <v>399.0</v>
      </c>
      <c r="V476" s="29" t="s">
        <v>107</v>
      </c>
      <c r="W476" s="34"/>
      <c r="X476" s="29"/>
    </row>
    <row r="477" ht="15.75" customHeight="1">
      <c r="A477" s="27" t="s">
        <v>660</v>
      </c>
      <c r="B477" s="22" t="s">
        <v>661</v>
      </c>
      <c r="C477" s="53" t="s">
        <v>49</v>
      </c>
      <c r="D477" s="53" t="s">
        <v>50</v>
      </c>
      <c r="E477" s="47" t="s">
        <v>1383</v>
      </c>
      <c r="F477" s="49" t="s">
        <v>1384</v>
      </c>
      <c r="G477" s="29" t="s">
        <v>664</v>
      </c>
      <c r="H477" s="48" t="s">
        <v>1412</v>
      </c>
      <c r="I477" s="48" t="s">
        <v>1413</v>
      </c>
      <c r="J477" s="49" t="s">
        <v>1414</v>
      </c>
      <c r="K477" s="50">
        <v>275.0</v>
      </c>
      <c r="L477" s="29" t="s">
        <v>1415</v>
      </c>
      <c r="M477" s="22" t="s">
        <v>669</v>
      </c>
      <c r="N477" s="34"/>
      <c r="O477" s="40"/>
      <c r="P477" s="34"/>
      <c r="Q477" s="34"/>
      <c r="R477" s="34"/>
      <c r="S477" s="34"/>
      <c r="T477" s="34"/>
      <c r="U477" s="34">
        <v>400.0</v>
      </c>
      <c r="V477" s="29" t="s">
        <v>107</v>
      </c>
      <c r="W477" s="34"/>
      <c r="X477" s="29"/>
    </row>
    <row r="478" ht="15.75" customHeight="1">
      <c r="A478" s="27" t="s">
        <v>660</v>
      </c>
      <c r="B478" s="22" t="s">
        <v>661</v>
      </c>
      <c r="C478" s="53" t="s">
        <v>49</v>
      </c>
      <c r="D478" s="53" t="s">
        <v>50</v>
      </c>
      <c r="E478" s="47" t="s">
        <v>1383</v>
      </c>
      <c r="F478" s="49" t="s">
        <v>1384</v>
      </c>
      <c r="G478" s="29" t="s">
        <v>664</v>
      </c>
      <c r="H478" s="48" t="s">
        <v>1412</v>
      </c>
      <c r="I478" s="48" t="s">
        <v>1413</v>
      </c>
      <c r="J478" s="49" t="s">
        <v>1414</v>
      </c>
      <c r="K478" s="50">
        <v>276.0</v>
      </c>
      <c r="L478" s="29" t="s">
        <v>1416</v>
      </c>
      <c r="M478" s="22" t="s">
        <v>669</v>
      </c>
      <c r="N478" s="34"/>
      <c r="O478" s="40"/>
      <c r="P478" s="34"/>
      <c r="Q478" s="34"/>
      <c r="R478" s="34"/>
      <c r="S478" s="34"/>
      <c r="T478" s="34"/>
      <c r="U478" s="34">
        <v>401.0</v>
      </c>
      <c r="V478" s="29" t="s">
        <v>107</v>
      </c>
      <c r="W478" s="34"/>
      <c r="X478" s="29"/>
    </row>
    <row r="479" ht="15.75" customHeight="1">
      <c r="A479" s="27" t="s">
        <v>660</v>
      </c>
      <c r="B479" s="22" t="s">
        <v>661</v>
      </c>
      <c r="C479" s="53" t="s">
        <v>49</v>
      </c>
      <c r="D479" s="53" t="s">
        <v>50</v>
      </c>
      <c r="E479" s="47" t="s">
        <v>1383</v>
      </c>
      <c r="F479" s="49" t="s">
        <v>1384</v>
      </c>
      <c r="G479" s="29" t="s">
        <v>664</v>
      </c>
      <c r="H479" s="48" t="s">
        <v>1412</v>
      </c>
      <c r="I479" s="48" t="s">
        <v>1413</v>
      </c>
      <c r="J479" s="49" t="s">
        <v>1414</v>
      </c>
      <c r="K479" s="50">
        <v>277.0</v>
      </c>
      <c r="L479" s="29" t="s">
        <v>1417</v>
      </c>
      <c r="M479" s="22" t="s">
        <v>669</v>
      </c>
      <c r="N479" s="34"/>
      <c r="O479" s="40"/>
      <c r="P479" s="34"/>
      <c r="Q479" s="34"/>
      <c r="R479" s="34"/>
      <c r="S479" s="34"/>
      <c r="T479" s="34"/>
      <c r="U479" s="34">
        <v>402.0</v>
      </c>
      <c r="V479" s="29" t="s">
        <v>107</v>
      </c>
      <c r="W479" s="34"/>
      <c r="X479" s="29"/>
    </row>
    <row r="480" ht="15.75" customHeight="1">
      <c r="A480" s="27" t="s">
        <v>660</v>
      </c>
      <c r="B480" s="22" t="s">
        <v>661</v>
      </c>
      <c r="C480" s="53" t="s">
        <v>49</v>
      </c>
      <c r="D480" s="53" t="s">
        <v>50</v>
      </c>
      <c r="E480" s="47" t="s">
        <v>1383</v>
      </c>
      <c r="F480" s="49" t="s">
        <v>1384</v>
      </c>
      <c r="G480" s="29" t="s">
        <v>664</v>
      </c>
      <c r="H480" s="48" t="s">
        <v>1418</v>
      </c>
      <c r="I480" s="48" t="s">
        <v>1419</v>
      </c>
      <c r="J480" s="49" t="s">
        <v>1420</v>
      </c>
      <c r="K480" s="50">
        <v>278.0</v>
      </c>
      <c r="L480" s="29" t="s">
        <v>1421</v>
      </c>
      <c r="M480" s="22" t="s">
        <v>669</v>
      </c>
      <c r="N480" s="34"/>
      <c r="O480" s="40"/>
      <c r="P480" s="34"/>
      <c r="Q480" s="34"/>
      <c r="R480" s="34"/>
      <c r="S480" s="34"/>
      <c r="T480" s="34"/>
      <c r="U480" s="34">
        <v>403.0</v>
      </c>
      <c r="V480" s="29" t="s">
        <v>107</v>
      </c>
      <c r="W480" s="34"/>
      <c r="X480" s="29"/>
    </row>
    <row r="481" ht="15.75" customHeight="1">
      <c r="A481" s="27" t="s">
        <v>660</v>
      </c>
      <c r="B481" s="22" t="s">
        <v>661</v>
      </c>
      <c r="C481" s="53" t="s">
        <v>49</v>
      </c>
      <c r="D481" s="53" t="s">
        <v>50</v>
      </c>
      <c r="E481" s="47" t="s">
        <v>1383</v>
      </c>
      <c r="F481" s="49" t="s">
        <v>1422</v>
      </c>
      <c r="G481" s="29" t="s">
        <v>714</v>
      </c>
      <c r="H481" s="48" t="s">
        <v>1423</v>
      </c>
      <c r="I481" s="48" t="s">
        <v>1424</v>
      </c>
      <c r="J481" s="49" t="s">
        <v>1425</v>
      </c>
      <c r="K481" s="50">
        <v>279.0</v>
      </c>
      <c r="L481" s="29" t="s">
        <v>1426</v>
      </c>
      <c r="M481" s="22" t="s">
        <v>669</v>
      </c>
      <c r="N481" s="34"/>
      <c r="O481" s="40"/>
      <c r="P481" s="34"/>
      <c r="Q481" s="34"/>
      <c r="R481" s="34"/>
      <c r="S481" s="34"/>
      <c r="T481" s="34"/>
      <c r="U481" s="34">
        <v>405.0</v>
      </c>
      <c r="V481" s="29" t="s">
        <v>107</v>
      </c>
      <c r="W481" s="34"/>
      <c r="X481" s="29"/>
    </row>
    <row r="482" ht="15.75" customHeight="1">
      <c r="A482" s="27" t="s">
        <v>660</v>
      </c>
      <c r="B482" s="22" t="s">
        <v>661</v>
      </c>
      <c r="C482" s="53" t="s">
        <v>49</v>
      </c>
      <c r="D482" s="53" t="s">
        <v>50</v>
      </c>
      <c r="E482" s="47" t="s">
        <v>1383</v>
      </c>
      <c r="F482" s="49" t="s">
        <v>1422</v>
      </c>
      <c r="G482" s="29" t="s">
        <v>714</v>
      </c>
      <c r="H482" s="48" t="s">
        <v>1423</v>
      </c>
      <c r="I482" s="48" t="s">
        <v>1424</v>
      </c>
      <c r="J482" s="49" t="s">
        <v>1425</v>
      </c>
      <c r="K482" s="50">
        <v>280.0</v>
      </c>
      <c r="L482" s="29" t="s">
        <v>1427</v>
      </c>
      <c r="M482" s="22" t="s">
        <v>669</v>
      </c>
      <c r="N482" s="34"/>
      <c r="O482" s="40"/>
      <c r="P482" s="34"/>
      <c r="Q482" s="34"/>
      <c r="R482" s="34"/>
      <c r="S482" s="34"/>
      <c r="T482" s="34"/>
      <c r="U482" s="34">
        <v>406.0</v>
      </c>
      <c r="V482" s="29" t="s">
        <v>107</v>
      </c>
      <c r="W482" s="34"/>
      <c r="X482" s="29"/>
    </row>
    <row r="483" ht="15.75" customHeight="1">
      <c r="A483" s="27" t="s">
        <v>660</v>
      </c>
      <c r="B483" s="22" t="s">
        <v>661</v>
      </c>
      <c r="C483" s="53" t="s">
        <v>49</v>
      </c>
      <c r="D483" s="53" t="s">
        <v>50</v>
      </c>
      <c r="E483" s="47" t="s">
        <v>1383</v>
      </c>
      <c r="F483" s="49" t="s">
        <v>1422</v>
      </c>
      <c r="G483" s="29" t="s">
        <v>714</v>
      </c>
      <c r="H483" s="48" t="s">
        <v>1423</v>
      </c>
      <c r="I483" s="48" t="s">
        <v>1424</v>
      </c>
      <c r="J483" s="49" t="s">
        <v>1425</v>
      </c>
      <c r="K483" s="50">
        <v>281.0</v>
      </c>
      <c r="L483" s="29" t="s">
        <v>1428</v>
      </c>
      <c r="M483" s="22" t="s">
        <v>669</v>
      </c>
      <c r="N483" s="34"/>
      <c r="O483" s="40"/>
      <c r="P483" s="34"/>
      <c r="Q483" s="34"/>
      <c r="R483" s="34"/>
      <c r="S483" s="34"/>
      <c r="T483" s="34"/>
      <c r="U483" s="34">
        <v>407.0</v>
      </c>
      <c r="V483" s="29" t="s">
        <v>107</v>
      </c>
      <c r="W483" s="34"/>
      <c r="X483" s="29"/>
    </row>
    <row r="484" ht="15.75" customHeight="1">
      <c r="A484" s="27" t="s">
        <v>660</v>
      </c>
      <c r="B484" s="22" t="s">
        <v>661</v>
      </c>
      <c r="C484" s="53" t="s">
        <v>49</v>
      </c>
      <c r="D484" s="53" t="s">
        <v>50</v>
      </c>
      <c r="E484" s="47" t="s">
        <v>1383</v>
      </c>
      <c r="F484" s="49" t="s">
        <v>1422</v>
      </c>
      <c r="G484" s="29" t="s">
        <v>714</v>
      </c>
      <c r="H484" s="48" t="s">
        <v>1423</v>
      </c>
      <c r="I484" s="48" t="s">
        <v>1424</v>
      </c>
      <c r="J484" s="49" t="s">
        <v>1425</v>
      </c>
      <c r="K484" s="50">
        <v>282.0</v>
      </c>
      <c r="L484" s="29" t="s">
        <v>1429</v>
      </c>
      <c r="M484" s="22" t="s">
        <v>669</v>
      </c>
      <c r="N484" s="34"/>
      <c r="O484" s="40"/>
      <c r="P484" s="34"/>
      <c r="Q484" s="34"/>
      <c r="R484" s="34"/>
      <c r="S484" s="34"/>
      <c r="T484" s="34"/>
      <c r="U484" s="34">
        <v>408.0</v>
      </c>
      <c r="V484" s="29" t="s">
        <v>107</v>
      </c>
      <c r="W484" s="34"/>
      <c r="X484" s="29"/>
    </row>
    <row r="485" ht="15.75" customHeight="1">
      <c r="A485" s="27" t="s">
        <v>660</v>
      </c>
      <c r="B485" s="22" t="s">
        <v>661</v>
      </c>
      <c r="C485" s="53" t="s">
        <v>49</v>
      </c>
      <c r="D485" s="53" t="s">
        <v>50</v>
      </c>
      <c r="E485" s="47" t="s">
        <v>1383</v>
      </c>
      <c r="F485" s="49" t="s">
        <v>1422</v>
      </c>
      <c r="G485" s="29" t="s">
        <v>714</v>
      </c>
      <c r="H485" s="48" t="s">
        <v>1423</v>
      </c>
      <c r="I485" s="48" t="s">
        <v>1424</v>
      </c>
      <c r="J485" s="49" t="s">
        <v>1425</v>
      </c>
      <c r="K485" s="50">
        <v>283.0</v>
      </c>
      <c r="L485" s="29" t="s">
        <v>1430</v>
      </c>
      <c r="M485" s="22" t="s">
        <v>669</v>
      </c>
      <c r="N485" s="34"/>
      <c r="O485" s="40"/>
      <c r="P485" s="34"/>
      <c r="Q485" s="34"/>
      <c r="R485" s="34"/>
      <c r="S485" s="34"/>
      <c r="T485" s="34"/>
      <c r="U485" s="34">
        <v>409.0</v>
      </c>
      <c r="V485" s="29" t="s">
        <v>107</v>
      </c>
      <c r="W485" s="34"/>
      <c r="X485" s="29"/>
    </row>
    <row r="486" ht="15.75" customHeight="1">
      <c r="A486" s="27" t="s">
        <v>660</v>
      </c>
      <c r="B486" s="22" t="s">
        <v>661</v>
      </c>
      <c r="C486" s="53" t="s">
        <v>49</v>
      </c>
      <c r="D486" s="53" t="s">
        <v>50</v>
      </c>
      <c r="E486" s="47" t="s">
        <v>1383</v>
      </c>
      <c r="F486" s="49" t="s">
        <v>1422</v>
      </c>
      <c r="G486" s="29" t="s">
        <v>714</v>
      </c>
      <c r="H486" s="48" t="s">
        <v>1423</v>
      </c>
      <c r="I486" s="48" t="s">
        <v>1424</v>
      </c>
      <c r="J486" s="49" t="s">
        <v>1425</v>
      </c>
      <c r="K486" s="50">
        <v>284.0</v>
      </c>
      <c r="L486" s="29" t="s">
        <v>1431</v>
      </c>
      <c r="M486" s="22" t="s">
        <v>669</v>
      </c>
      <c r="N486" s="34"/>
      <c r="O486" s="40"/>
      <c r="P486" s="34"/>
      <c r="Q486" s="34"/>
      <c r="R486" s="34"/>
      <c r="S486" s="34"/>
      <c r="T486" s="34"/>
      <c r="U486" s="34">
        <v>410.0</v>
      </c>
      <c r="V486" s="29" t="s">
        <v>107</v>
      </c>
      <c r="W486" s="34"/>
      <c r="X486" s="29"/>
    </row>
    <row r="487" ht="15.75" customHeight="1">
      <c r="A487" s="27" t="s">
        <v>660</v>
      </c>
      <c r="B487" s="22" t="s">
        <v>661</v>
      </c>
      <c r="C487" s="53" t="s">
        <v>49</v>
      </c>
      <c r="D487" s="53" t="s">
        <v>50</v>
      </c>
      <c r="E487" s="47" t="s">
        <v>1383</v>
      </c>
      <c r="F487" s="49" t="s">
        <v>1422</v>
      </c>
      <c r="G487" s="29" t="s">
        <v>714</v>
      </c>
      <c r="H487" s="48" t="s">
        <v>1423</v>
      </c>
      <c r="I487" s="48" t="s">
        <v>1424</v>
      </c>
      <c r="J487" s="49" t="s">
        <v>1425</v>
      </c>
      <c r="K487" s="50">
        <v>285.0</v>
      </c>
      <c r="L487" s="29" t="s">
        <v>1432</v>
      </c>
      <c r="M487" s="22" t="s">
        <v>669</v>
      </c>
      <c r="N487" s="34"/>
      <c r="O487" s="40"/>
      <c r="P487" s="34"/>
      <c r="Q487" s="34"/>
      <c r="R487" s="34"/>
      <c r="S487" s="34"/>
      <c r="T487" s="34"/>
      <c r="U487" s="34">
        <v>411.0</v>
      </c>
      <c r="V487" s="29" t="s">
        <v>107</v>
      </c>
      <c r="W487" s="34"/>
      <c r="X487" s="29"/>
    </row>
    <row r="488" ht="15.75" customHeight="1">
      <c r="A488" s="27" t="s">
        <v>660</v>
      </c>
      <c r="B488" s="22" t="s">
        <v>661</v>
      </c>
      <c r="C488" s="53" t="s">
        <v>49</v>
      </c>
      <c r="D488" s="53" t="s">
        <v>50</v>
      </c>
      <c r="E488" s="47" t="s">
        <v>1383</v>
      </c>
      <c r="F488" s="49" t="s">
        <v>1422</v>
      </c>
      <c r="G488" s="29" t="s">
        <v>714</v>
      </c>
      <c r="H488" s="48" t="s">
        <v>1433</v>
      </c>
      <c r="I488" s="48" t="s">
        <v>1434</v>
      </c>
      <c r="J488" s="49" t="s">
        <v>1435</v>
      </c>
      <c r="K488" s="50">
        <v>286.0</v>
      </c>
      <c r="L488" s="29" t="s">
        <v>1436</v>
      </c>
      <c r="M488" s="22" t="s">
        <v>669</v>
      </c>
      <c r="N488" s="34"/>
      <c r="O488" s="40"/>
      <c r="P488" s="34"/>
      <c r="Q488" s="34"/>
      <c r="R488" s="34"/>
      <c r="S488" s="34"/>
      <c r="T488" s="34"/>
      <c r="U488" s="34">
        <v>412.0</v>
      </c>
      <c r="V488" s="29" t="s">
        <v>107</v>
      </c>
      <c r="W488" s="34"/>
      <c r="X488" s="29"/>
    </row>
    <row r="489" ht="15.75" customHeight="1">
      <c r="A489" s="27" t="s">
        <v>660</v>
      </c>
      <c r="B489" s="22" t="s">
        <v>661</v>
      </c>
      <c r="C489" s="53" t="s">
        <v>49</v>
      </c>
      <c r="D489" s="53" t="s">
        <v>50</v>
      </c>
      <c r="E489" s="47" t="s">
        <v>1383</v>
      </c>
      <c r="F489" s="49" t="s">
        <v>1422</v>
      </c>
      <c r="G489" s="29" t="s">
        <v>714</v>
      </c>
      <c r="H489" s="48" t="s">
        <v>1433</v>
      </c>
      <c r="I489" s="48" t="s">
        <v>1434</v>
      </c>
      <c r="J489" s="49" t="s">
        <v>1435</v>
      </c>
      <c r="K489" s="50">
        <v>287.0</v>
      </c>
      <c r="L489" s="29" t="s">
        <v>1437</v>
      </c>
      <c r="M489" s="22" t="s">
        <v>669</v>
      </c>
      <c r="N489" s="34"/>
      <c r="O489" s="40"/>
      <c r="P489" s="34"/>
      <c r="Q489" s="34"/>
      <c r="R489" s="34"/>
      <c r="S489" s="34"/>
      <c r="T489" s="34"/>
      <c r="U489" s="34">
        <v>413.0</v>
      </c>
      <c r="V489" s="29" t="s">
        <v>107</v>
      </c>
      <c r="W489" s="34"/>
      <c r="X489" s="29"/>
    </row>
    <row r="490" ht="15.75" customHeight="1">
      <c r="A490" s="27" t="s">
        <v>660</v>
      </c>
      <c r="B490" s="22" t="s">
        <v>661</v>
      </c>
      <c r="C490" s="53" t="s">
        <v>49</v>
      </c>
      <c r="D490" s="53" t="s">
        <v>50</v>
      </c>
      <c r="E490" s="47" t="s">
        <v>1383</v>
      </c>
      <c r="F490" s="49" t="s">
        <v>1422</v>
      </c>
      <c r="G490" s="29" t="s">
        <v>714</v>
      </c>
      <c r="H490" s="48" t="s">
        <v>1433</v>
      </c>
      <c r="I490" s="48" t="s">
        <v>1434</v>
      </c>
      <c r="J490" s="49" t="s">
        <v>1435</v>
      </c>
      <c r="K490" s="50">
        <v>288.0</v>
      </c>
      <c r="L490" s="29" t="s">
        <v>1438</v>
      </c>
      <c r="M490" s="22" t="s">
        <v>669</v>
      </c>
      <c r="N490" s="34"/>
      <c r="O490" s="40"/>
      <c r="P490" s="34"/>
      <c r="Q490" s="34"/>
      <c r="R490" s="34"/>
      <c r="S490" s="34"/>
      <c r="T490" s="34"/>
      <c r="U490" s="34">
        <v>414.0</v>
      </c>
      <c r="V490" s="29" t="s">
        <v>107</v>
      </c>
      <c r="W490" s="34"/>
      <c r="X490" s="29"/>
    </row>
    <row r="491" ht="15.75" customHeight="1">
      <c r="A491" s="27" t="s">
        <v>660</v>
      </c>
      <c r="B491" s="22" t="s">
        <v>661</v>
      </c>
      <c r="C491" s="53" t="s">
        <v>49</v>
      </c>
      <c r="D491" s="53" t="s">
        <v>50</v>
      </c>
      <c r="E491" s="47" t="s">
        <v>1383</v>
      </c>
      <c r="F491" s="49" t="s">
        <v>1422</v>
      </c>
      <c r="G491" s="29" t="s">
        <v>714</v>
      </c>
      <c r="H491" s="48" t="s">
        <v>1433</v>
      </c>
      <c r="I491" s="48" t="s">
        <v>1434</v>
      </c>
      <c r="J491" s="49" t="s">
        <v>1435</v>
      </c>
      <c r="K491" s="50">
        <v>289.0</v>
      </c>
      <c r="L491" s="29" t="s">
        <v>1439</v>
      </c>
      <c r="M491" s="22" t="s">
        <v>669</v>
      </c>
      <c r="N491" s="34"/>
      <c r="O491" s="40"/>
      <c r="P491" s="34"/>
      <c r="Q491" s="34"/>
      <c r="R491" s="34"/>
      <c r="S491" s="34"/>
      <c r="T491" s="34"/>
      <c r="U491" s="34">
        <v>415.0</v>
      </c>
      <c r="V491" s="29" t="s">
        <v>107</v>
      </c>
      <c r="W491" s="34"/>
      <c r="X491" s="29"/>
    </row>
    <row r="492" ht="15.75" customHeight="1">
      <c r="A492" s="27" t="s">
        <v>660</v>
      </c>
      <c r="B492" s="22" t="s">
        <v>661</v>
      </c>
      <c r="C492" s="53" t="s">
        <v>49</v>
      </c>
      <c r="D492" s="53" t="s">
        <v>50</v>
      </c>
      <c r="E492" s="47" t="s">
        <v>1383</v>
      </c>
      <c r="F492" s="49" t="s">
        <v>1422</v>
      </c>
      <c r="G492" s="29" t="s">
        <v>714</v>
      </c>
      <c r="H492" s="48" t="s">
        <v>1433</v>
      </c>
      <c r="I492" s="48" t="s">
        <v>1434</v>
      </c>
      <c r="J492" s="49" t="s">
        <v>1435</v>
      </c>
      <c r="K492" s="50">
        <v>290.0</v>
      </c>
      <c r="L492" s="29" t="s">
        <v>1440</v>
      </c>
      <c r="M492" s="22" t="s">
        <v>669</v>
      </c>
      <c r="N492" s="34"/>
      <c r="O492" s="40"/>
      <c r="P492" s="34"/>
      <c r="Q492" s="34"/>
      <c r="R492" s="34"/>
      <c r="S492" s="34"/>
      <c r="T492" s="34"/>
      <c r="U492" s="34">
        <v>416.0</v>
      </c>
      <c r="V492" s="29" t="s">
        <v>107</v>
      </c>
      <c r="W492" s="34"/>
      <c r="X492" s="29"/>
    </row>
    <row r="493" ht="15.75" customHeight="1">
      <c r="A493" s="27" t="s">
        <v>660</v>
      </c>
      <c r="B493" s="22" t="s">
        <v>661</v>
      </c>
      <c r="C493" s="53" t="s">
        <v>49</v>
      </c>
      <c r="D493" s="53" t="s">
        <v>50</v>
      </c>
      <c r="E493" s="47" t="s">
        <v>1383</v>
      </c>
      <c r="F493" s="49" t="s">
        <v>1422</v>
      </c>
      <c r="G493" s="29" t="s">
        <v>714</v>
      </c>
      <c r="H493" s="48" t="s">
        <v>1433</v>
      </c>
      <c r="I493" s="48" t="s">
        <v>1434</v>
      </c>
      <c r="J493" s="49" t="s">
        <v>1435</v>
      </c>
      <c r="K493" s="50">
        <v>291.0</v>
      </c>
      <c r="L493" s="29" t="s">
        <v>1441</v>
      </c>
      <c r="M493" s="22" t="s">
        <v>669</v>
      </c>
      <c r="N493" s="34"/>
      <c r="O493" s="40"/>
      <c r="P493" s="34"/>
      <c r="Q493" s="34"/>
      <c r="R493" s="34"/>
      <c r="S493" s="34"/>
      <c r="T493" s="34"/>
      <c r="U493" s="34">
        <v>417.0</v>
      </c>
      <c r="V493" s="29" t="s">
        <v>107</v>
      </c>
      <c r="W493" s="34"/>
      <c r="X493" s="29"/>
    </row>
    <row r="494" ht="15.75" customHeight="1">
      <c r="A494" s="27" t="s">
        <v>660</v>
      </c>
      <c r="B494" s="22" t="s">
        <v>661</v>
      </c>
      <c r="C494" s="53" t="s">
        <v>49</v>
      </c>
      <c r="D494" s="53" t="s">
        <v>50</v>
      </c>
      <c r="E494" s="47" t="s">
        <v>1383</v>
      </c>
      <c r="F494" s="49" t="s">
        <v>1442</v>
      </c>
      <c r="G494" s="29" t="s">
        <v>749</v>
      </c>
      <c r="H494" s="48" t="s">
        <v>1443</v>
      </c>
      <c r="I494" s="48" t="s">
        <v>1444</v>
      </c>
      <c r="J494" s="49" t="s">
        <v>1445</v>
      </c>
      <c r="K494" s="50">
        <v>292.0</v>
      </c>
      <c r="L494" s="29" t="s">
        <v>1446</v>
      </c>
      <c r="M494" s="22" t="s">
        <v>669</v>
      </c>
      <c r="N494" s="34"/>
      <c r="O494" s="40"/>
      <c r="P494" s="34"/>
      <c r="Q494" s="34"/>
      <c r="R494" s="34"/>
      <c r="S494" s="34"/>
      <c r="T494" s="34"/>
      <c r="U494" s="34">
        <v>419.0</v>
      </c>
      <c r="V494" s="29" t="s">
        <v>107</v>
      </c>
      <c r="W494" s="34"/>
      <c r="X494" s="29"/>
    </row>
    <row r="495" ht="15.75" customHeight="1">
      <c r="A495" s="27" t="s">
        <v>660</v>
      </c>
      <c r="B495" s="22" t="s">
        <v>661</v>
      </c>
      <c r="C495" s="53" t="s">
        <v>49</v>
      </c>
      <c r="D495" s="53" t="s">
        <v>50</v>
      </c>
      <c r="E495" s="47" t="s">
        <v>1383</v>
      </c>
      <c r="F495" s="49" t="s">
        <v>1442</v>
      </c>
      <c r="G495" s="29" t="s">
        <v>749</v>
      </c>
      <c r="H495" s="48" t="s">
        <v>1447</v>
      </c>
      <c r="I495" s="48" t="s">
        <v>1448</v>
      </c>
      <c r="J495" s="49" t="s">
        <v>1449</v>
      </c>
      <c r="K495" s="50">
        <v>293.0</v>
      </c>
      <c r="L495" s="29" t="s">
        <v>1450</v>
      </c>
      <c r="M495" s="22" t="s">
        <v>669</v>
      </c>
      <c r="N495" s="34"/>
      <c r="O495" s="40"/>
      <c r="P495" s="34"/>
      <c r="Q495" s="34"/>
      <c r="R495" s="34"/>
      <c r="S495" s="34"/>
      <c r="T495" s="34"/>
      <c r="U495" s="34">
        <v>420.0</v>
      </c>
      <c r="V495" s="29" t="s">
        <v>107</v>
      </c>
      <c r="W495" s="34"/>
      <c r="X495" s="29"/>
    </row>
    <row r="496" ht="15.75" customHeight="1">
      <c r="A496" s="27" t="s">
        <v>660</v>
      </c>
      <c r="B496" s="22" t="s">
        <v>661</v>
      </c>
      <c r="C496" s="53" t="s">
        <v>49</v>
      </c>
      <c r="D496" s="53" t="s">
        <v>50</v>
      </c>
      <c r="E496" s="47" t="s">
        <v>1383</v>
      </c>
      <c r="F496" s="49" t="s">
        <v>1442</v>
      </c>
      <c r="G496" s="29" t="s">
        <v>749</v>
      </c>
      <c r="H496" s="48" t="s">
        <v>1451</v>
      </c>
      <c r="I496" s="48" t="s">
        <v>1452</v>
      </c>
      <c r="J496" s="49" t="s">
        <v>1453</v>
      </c>
      <c r="K496" s="50">
        <v>294.0</v>
      </c>
      <c r="L496" s="29" t="s">
        <v>1454</v>
      </c>
      <c r="M496" s="22" t="s">
        <v>669</v>
      </c>
      <c r="N496" s="34"/>
      <c r="O496" s="40"/>
      <c r="P496" s="34"/>
      <c r="Q496" s="34"/>
      <c r="R496" s="34"/>
      <c r="S496" s="34"/>
      <c r="T496" s="34"/>
      <c r="U496" s="34">
        <v>421.0</v>
      </c>
      <c r="V496" s="29" t="s">
        <v>107</v>
      </c>
      <c r="W496" s="34"/>
      <c r="X496" s="29"/>
    </row>
    <row r="497" ht="15.75" customHeight="1">
      <c r="A497" s="27" t="s">
        <v>660</v>
      </c>
      <c r="B497" s="22" t="s">
        <v>661</v>
      </c>
      <c r="C497" s="53" t="s">
        <v>51</v>
      </c>
      <c r="D497" s="53" t="s">
        <v>52</v>
      </c>
      <c r="E497" s="47" t="s">
        <v>1455</v>
      </c>
      <c r="F497" s="49" t="s">
        <v>1456</v>
      </c>
      <c r="G497" s="29" t="s">
        <v>664</v>
      </c>
      <c r="H497" s="48" t="s">
        <v>1457</v>
      </c>
      <c r="I497" s="48" t="s">
        <v>1458</v>
      </c>
      <c r="J497" s="49" t="s">
        <v>1459</v>
      </c>
      <c r="K497" s="50">
        <v>295.0</v>
      </c>
      <c r="L497" s="29" t="s">
        <v>1460</v>
      </c>
      <c r="M497" s="22" t="s">
        <v>669</v>
      </c>
      <c r="N497" s="34"/>
      <c r="O497" s="40"/>
      <c r="P497" s="34"/>
      <c r="Q497" s="34"/>
      <c r="R497" s="34"/>
      <c r="S497" s="34"/>
      <c r="T497" s="34"/>
      <c r="U497" s="34">
        <v>428.0</v>
      </c>
      <c r="V497" s="29" t="s">
        <v>107</v>
      </c>
      <c r="W497" s="34"/>
      <c r="X497" s="29"/>
    </row>
    <row r="498" ht="15.75" customHeight="1">
      <c r="A498" s="27" t="s">
        <v>660</v>
      </c>
      <c r="B498" s="22" t="s">
        <v>661</v>
      </c>
      <c r="C498" s="53" t="s">
        <v>51</v>
      </c>
      <c r="D498" s="53" t="s">
        <v>52</v>
      </c>
      <c r="E498" s="47" t="s">
        <v>1455</v>
      </c>
      <c r="F498" s="49" t="s">
        <v>1456</v>
      </c>
      <c r="G498" s="29" t="s">
        <v>664</v>
      </c>
      <c r="H498" s="48" t="s">
        <v>1461</v>
      </c>
      <c r="I498" s="48" t="s">
        <v>1462</v>
      </c>
      <c r="J498" s="49" t="s">
        <v>1463</v>
      </c>
      <c r="K498" s="50">
        <v>296.0</v>
      </c>
      <c r="L498" s="29" t="s">
        <v>1464</v>
      </c>
      <c r="M498" s="22" t="s">
        <v>669</v>
      </c>
      <c r="N498" s="34"/>
      <c r="O498" s="40"/>
      <c r="P498" s="34"/>
      <c r="Q498" s="34"/>
      <c r="R498" s="34"/>
      <c r="S498" s="34"/>
      <c r="T498" s="34"/>
      <c r="U498" s="34">
        <v>429.0</v>
      </c>
      <c r="V498" s="29" t="s">
        <v>107</v>
      </c>
      <c r="W498" s="34"/>
      <c r="X498" s="29"/>
    </row>
    <row r="499" ht="15.75" customHeight="1">
      <c r="A499" s="27" t="s">
        <v>660</v>
      </c>
      <c r="B499" s="22" t="s">
        <v>661</v>
      </c>
      <c r="C499" s="53" t="s">
        <v>51</v>
      </c>
      <c r="D499" s="53" t="s">
        <v>52</v>
      </c>
      <c r="E499" s="47" t="s">
        <v>1455</v>
      </c>
      <c r="F499" s="49" t="s">
        <v>1456</v>
      </c>
      <c r="G499" s="29" t="s">
        <v>664</v>
      </c>
      <c r="H499" s="48" t="s">
        <v>1461</v>
      </c>
      <c r="I499" s="48" t="s">
        <v>1462</v>
      </c>
      <c r="J499" s="49" t="s">
        <v>1463</v>
      </c>
      <c r="K499" s="50">
        <v>297.0</v>
      </c>
      <c r="L499" s="29" t="s">
        <v>1465</v>
      </c>
      <c r="M499" s="22" t="s">
        <v>669</v>
      </c>
      <c r="N499" s="34"/>
      <c r="O499" s="40"/>
      <c r="P499" s="34"/>
      <c r="Q499" s="34"/>
      <c r="R499" s="34"/>
      <c r="S499" s="34"/>
      <c r="T499" s="34"/>
      <c r="U499" s="34">
        <v>430.0</v>
      </c>
      <c r="V499" s="29" t="s">
        <v>107</v>
      </c>
      <c r="W499" s="34"/>
      <c r="X499" s="29"/>
    </row>
    <row r="500" ht="15.75" customHeight="1">
      <c r="A500" s="27" t="s">
        <v>660</v>
      </c>
      <c r="B500" s="22" t="s">
        <v>661</v>
      </c>
      <c r="C500" s="53" t="s">
        <v>51</v>
      </c>
      <c r="D500" s="53" t="s">
        <v>52</v>
      </c>
      <c r="E500" s="47" t="s">
        <v>1455</v>
      </c>
      <c r="F500" s="49" t="s">
        <v>1456</v>
      </c>
      <c r="G500" s="29" t="s">
        <v>664</v>
      </c>
      <c r="H500" s="48" t="s">
        <v>1461</v>
      </c>
      <c r="I500" s="48" t="s">
        <v>1462</v>
      </c>
      <c r="J500" s="49" t="s">
        <v>1463</v>
      </c>
      <c r="K500" s="50">
        <v>298.0</v>
      </c>
      <c r="L500" s="29" t="s">
        <v>1466</v>
      </c>
      <c r="M500" s="22" t="s">
        <v>669</v>
      </c>
      <c r="N500" s="34"/>
      <c r="O500" s="40"/>
      <c r="P500" s="34"/>
      <c r="Q500" s="34"/>
      <c r="R500" s="34"/>
      <c r="S500" s="34"/>
      <c r="T500" s="34"/>
      <c r="U500" s="34">
        <v>431.0</v>
      </c>
      <c r="V500" s="29" t="s">
        <v>107</v>
      </c>
      <c r="W500" s="34"/>
      <c r="X500" s="29"/>
    </row>
    <row r="501" ht="15.75" customHeight="1">
      <c r="A501" s="27" t="s">
        <v>660</v>
      </c>
      <c r="B501" s="22" t="s">
        <v>661</v>
      </c>
      <c r="C501" s="53" t="s">
        <v>51</v>
      </c>
      <c r="D501" s="53" t="s">
        <v>52</v>
      </c>
      <c r="E501" s="47" t="s">
        <v>1455</v>
      </c>
      <c r="F501" s="49" t="s">
        <v>1456</v>
      </c>
      <c r="G501" s="29" t="s">
        <v>664</v>
      </c>
      <c r="H501" s="48" t="s">
        <v>1461</v>
      </c>
      <c r="I501" s="48" t="s">
        <v>1462</v>
      </c>
      <c r="J501" s="49" t="s">
        <v>1463</v>
      </c>
      <c r="K501" s="50">
        <v>299.0</v>
      </c>
      <c r="L501" s="29" t="s">
        <v>1467</v>
      </c>
      <c r="M501" s="22" t="s">
        <v>669</v>
      </c>
      <c r="N501" s="34"/>
      <c r="O501" s="40"/>
      <c r="P501" s="34"/>
      <c r="Q501" s="34"/>
      <c r="R501" s="34"/>
      <c r="S501" s="34"/>
      <c r="T501" s="34"/>
      <c r="U501" s="34">
        <v>432.0</v>
      </c>
      <c r="V501" s="29" t="s">
        <v>107</v>
      </c>
      <c r="W501" s="34"/>
      <c r="X501" s="29"/>
    </row>
    <row r="502" ht="15.75" customHeight="1">
      <c r="A502" s="27" t="s">
        <v>660</v>
      </c>
      <c r="B502" s="22" t="s">
        <v>661</v>
      </c>
      <c r="C502" s="53" t="s">
        <v>51</v>
      </c>
      <c r="D502" s="53" t="s">
        <v>52</v>
      </c>
      <c r="E502" s="47" t="s">
        <v>1455</v>
      </c>
      <c r="F502" s="49" t="s">
        <v>1456</v>
      </c>
      <c r="G502" s="29" t="s">
        <v>664</v>
      </c>
      <c r="H502" s="48" t="s">
        <v>1461</v>
      </c>
      <c r="I502" s="48" t="s">
        <v>1462</v>
      </c>
      <c r="J502" s="49" t="s">
        <v>1463</v>
      </c>
      <c r="K502" s="50">
        <v>300.0</v>
      </c>
      <c r="L502" s="29" t="s">
        <v>1468</v>
      </c>
      <c r="M502" s="22" t="s">
        <v>669</v>
      </c>
      <c r="N502" s="34"/>
      <c r="O502" s="40"/>
      <c r="P502" s="34"/>
      <c r="Q502" s="34"/>
      <c r="R502" s="34"/>
      <c r="S502" s="34"/>
      <c r="T502" s="34"/>
      <c r="U502" s="34">
        <v>433.0</v>
      </c>
      <c r="V502" s="29" t="s">
        <v>107</v>
      </c>
      <c r="W502" s="34"/>
      <c r="X502" s="29"/>
    </row>
    <row r="503" ht="15.75" customHeight="1">
      <c r="A503" s="27" t="s">
        <v>660</v>
      </c>
      <c r="B503" s="22" t="s">
        <v>661</v>
      </c>
      <c r="C503" s="53" t="s">
        <v>51</v>
      </c>
      <c r="D503" s="53" t="s">
        <v>52</v>
      </c>
      <c r="E503" s="47" t="s">
        <v>1455</v>
      </c>
      <c r="F503" s="49" t="s">
        <v>1456</v>
      </c>
      <c r="G503" s="29" t="s">
        <v>664</v>
      </c>
      <c r="H503" s="48" t="s">
        <v>1461</v>
      </c>
      <c r="I503" s="48" t="s">
        <v>1462</v>
      </c>
      <c r="J503" s="49" t="s">
        <v>1463</v>
      </c>
      <c r="K503" s="50">
        <v>301.0</v>
      </c>
      <c r="L503" s="29" t="s">
        <v>1469</v>
      </c>
      <c r="M503" s="22" t="s">
        <v>669</v>
      </c>
      <c r="N503" s="34"/>
      <c r="O503" s="40"/>
      <c r="P503" s="34"/>
      <c r="Q503" s="34"/>
      <c r="R503" s="34"/>
      <c r="S503" s="34"/>
      <c r="T503" s="34"/>
      <c r="U503" s="34">
        <v>434.0</v>
      </c>
      <c r="V503" s="29" t="s">
        <v>107</v>
      </c>
      <c r="W503" s="34"/>
      <c r="X503" s="29"/>
    </row>
    <row r="504" ht="15.75" customHeight="1">
      <c r="A504" s="27" t="s">
        <v>660</v>
      </c>
      <c r="B504" s="22" t="s">
        <v>661</v>
      </c>
      <c r="C504" s="53" t="s">
        <v>51</v>
      </c>
      <c r="D504" s="53" t="s">
        <v>52</v>
      </c>
      <c r="E504" s="47" t="s">
        <v>1455</v>
      </c>
      <c r="F504" s="49" t="s">
        <v>1456</v>
      </c>
      <c r="G504" s="29" t="s">
        <v>664</v>
      </c>
      <c r="H504" s="48" t="s">
        <v>1461</v>
      </c>
      <c r="I504" s="48" t="s">
        <v>1462</v>
      </c>
      <c r="J504" s="49" t="s">
        <v>1463</v>
      </c>
      <c r="K504" s="50">
        <v>302.0</v>
      </c>
      <c r="L504" s="29" t="s">
        <v>1470</v>
      </c>
      <c r="M504" s="22" t="s">
        <v>669</v>
      </c>
      <c r="N504" s="34"/>
      <c r="O504" s="40"/>
      <c r="P504" s="34"/>
      <c r="Q504" s="34"/>
      <c r="R504" s="34"/>
      <c r="S504" s="34"/>
      <c r="T504" s="34"/>
      <c r="U504" s="34">
        <v>435.0</v>
      </c>
      <c r="V504" s="29" t="s">
        <v>107</v>
      </c>
      <c r="W504" s="34"/>
      <c r="X504" s="29"/>
    </row>
    <row r="505" ht="15.75" customHeight="1">
      <c r="A505" s="27" t="s">
        <v>660</v>
      </c>
      <c r="B505" s="22" t="s">
        <v>661</v>
      </c>
      <c r="C505" s="53" t="s">
        <v>51</v>
      </c>
      <c r="D505" s="53" t="s">
        <v>52</v>
      </c>
      <c r="E505" s="47" t="s">
        <v>1455</v>
      </c>
      <c r="F505" s="49" t="s">
        <v>1456</v>
      </c>
      <c r="G505" s="29" t="s">
        <v>664</v>
      </c>
      <c r="H505" s="48" t="s">
        <v>1461</v>
      </c>
      <c r="I505" s="48" t="s">
        <v>1462</v>
      </c>
      <c r="J505" s="49" t="s">
        <v>1463</v>
      </c>
      <c r="K505" s="50">
        <v>303.0</v>
      </c>
      <c r="L505" s="29" t="s">
        <v>1471</v>
      </c>
      <c r="M505" s="22" t="s">
        <v>669</v>
      </c>
      <c r="N505" s="34"/>
      <c r="O505" s="40"/>
      <c r="P505" s="34"/>
      <c r="Q505" s="34"/>
      <c r="R505" s="34"/>
      <c r="S505" s="34"/>
      <c r="T505" s="34"/>
      <c r="U505" s="34">
        <v>436.0</v>
      </c>
      <c r="V505" s="29" t="s">
        <v>107</v>
      </c>
      <c r="W505" s="34"/>
      <c r="X505" s="29"/>
    </row>
    <row r="506" ht="15.75" customHeight="1">
      <c r="A506" s="27" t="s">
        <v>660</v>
      </c>
      <c r="B506" s="22" t="s">
        <v>661</v>
      </c>
      <c r="C506" s="53" t="s">
        <v>51</v>
      </c>
      <c r="D506" s="53" t="s">
        <v>52</v>
      </c>
      <c r="E506" s="47" t="s">
        <v>1455</v>
      </c>
      <c r="F506" s="49" t="s">
        <v>1456</v>
      </c>
      <c r="G506" s="29" t="s">
        <v>664</v>
      </c>
      <c r="H506" s="48" t="s">
        <v>1461</v>
      </c>
      <c r="I506" s="48" t="s">
        <v>1462</v>
      </c>
      <c r="J506" s="49" t="s">
        <v>1463</v>
      </c>
      <c r="K506" s="50">
        <v>304.0</v>
      </c>
      <c r="L506" s="29" t="s">
        <v>1472</v>
      </c>
      <c r="M506" s="22" t="s">
        <v>669</v>
      </c>
      <c r="N506" s="34"/>
      <c r="O506" s="40"/>
      <c r="P506" s="34"/>
      <c r="Q506" s="34"/>
      <c r="R506" s="34"/>
      <c r="S506" s="34"/>
      <c r="T506" s="34"/>
      <c r="U506" s="34">
        <v>437.0</v>
      </c>
      <c r="V506" s="29" t="s">
        <v>107</v>
      </c>
      <c r="W506" s="34"/>
      <c r="X506" s="29"/>
    </row>
    <row r="507" ht="15.75" customHeight="1">
      <c r="A507" s="27" t="s">
        <v>660</v>
      </c>
      <c r="B507" s="22" t="s">
        <v>661</v>
      </c>
      <c r="C507" s="53" t="s">
        <v>51</v>
      </c>
      <c r="D507" s="53" t="s">
        <v>52</v>
      </c>
      <c r="E507" s="47" t="s">
        <v>1455</v>
      </c>
      <c r="F507" s="49" t="s">
        <v>1473</v>
      </c>
      <c r="G507" s="29" t="s">
        <v>714</v>
      </c>
      <c r="H507" s="48" t="s">
        <v>1474</v>
      </c>
      <c r="I507" s="48" t="s">
        <v>52</v>
      </c>
      <c r="J507" s="49" t="s">
        <v>1475</v>
      </c>
      <c r="K507" s="50">
        <v>305.0</v>
      </c>
      <c r="L507" s="29" t="s">
        <v>1476</v>
      </c>
      <c r="M507" s="22" t="s">
        <v>669</v>
      </c>
      <c r="N507" s="34"/>
      <c r="O507" s="40"/>
      <c r="P507" s="34"/>
      <c r="Q507" s="34"/>
      <c r="R507" s="34"/>
      <c r="S507" s="34"/>
      <c r="T507" s="34"/>
      <c r="U507" s="34">
        <v>439.0</v>
      </c>
      <c r="V507" s="29" t="s">
        <v>107</v>
      </c>
      <c r="W507" s="34"/>
      <c r="X507" s="29"/>
    </row>
    <row r="508" ht="15.75" customHeight="1">
      <c r="A508" s="27" t="s">
        <v>660</v>
      </c>
      <c r="B508" s="22" t="s">
        <v>661</v>
      </c>
      <c r="C508" s="53" t="s">
        <v>51</v>
      </c>
      <c r="D508" s="53" t="s">
        <v>52</v>
      </c>
      <c r="E508" s="47" t="s">
        <v>1455</v>
      </c>
      <c r="F508" s="49" t="s">
        <v>1473</v>
      </c>
      <c r="G508" s="29" t="s">
        <v>714</v>
      </c>
      <c r="H508" s="48" t="s">
        <v>1474</v>
      </c>
      <c r="I508" s="48" t="s">
        <v>52</v>
      </c>
      <c r="J508" s="49" t="s">
        <v>1475</v>
      </c>
      <c r="K508" s="50">
        <v>306.0</v>
      </c>
      <c r="L508" s="29" t="s">
        <v>1477</v>
      </c>
      <c r="M508" s="22" t="s">
        <v>669</v>
      </c>
      <c r="N508" s="34"/>
      <c r="O508" s="40"/>
      <c r="P508" s="34"/>
      <c r="Q508" s="34"/>
      <c r="R508" s="34"/>
      <c r="S508" s="34"/>
      <c r="T508" s="34"/>
      <c r="U508" s="34">
        <v>440.0</v>
      </c>
      <c r="V508" s="29" t="s">
        <v>107</v>
      </c>
      <c r="W508" s="34"/>
      <c r="X508" s="29"/>
    </row>
    <row r="509" ht="15.75" customHeight="1">
      <c r="A509" s="27" t="s">
        <v>660</v>
      </c>
      <c r="B509" s="22" t="s">
        <v>661</v>
      </c>
      <c r="C509" s="53" t="s">
        <v>1478</v>
      </c>
      <c r="D509" s="53" t="s">
        <v>54</v>
      </c>
      <c r="E509" s="47" t="s">
        <v>1479</v>
      </c>
      <c r="F509" s="49" t="s">
        <v>1480</v>
      </c>
      <c r="G509" s="29" t="s">
        <v>664</v>
      </c>
      <c r="H509" s="48" t="s">
        <v>1481</v>
      </c>
      <c r="I509" s="48" t="s">
        <v>1482</v>
      </c>
      <c r="J509" s="49" t="s">
        <v>1483</v>
      </c>
      <c r="K509" s="50">
        <v>307.0</v>
      </c>
      <c r="L509" s="29" t="s">
        <v>1484</v>
      </c>
      <c r="M509" s="22" t="s">
        <v>669</v>
      </c>
      <c r="N509" s="34"/>
      <c r="O509" s="40"/>
      <c r="P509" s="34"/>
      <c r="Q509" s="34"/>
      <c r="R509" s="34"/>
      <c r="S509" s="34"/>
      <c r="T509" s="34"/>
      <c r="U509" s="34">
        <v>447.0</v>
      </c>
      <c r="V509" s="29" t="s">
        <v>107</v>
      </c>
      <c r="W509" s="34"/>
      <c r="X509" s="29"/>
    </row>
    <row r="510" ht="15.75" customHeight="1">
      <c r="A510" s="27" t="s">
        <v>660</v>
      </c>
      <c r="B510" s="22" t="s">
        <v>661</v>
      </c>
      <c r="C510" s="53" t="s">
        <v>1478</v>
      </c>
      <c r="D510" s="53" t="s">
        <v>54</v>
      </c>
      <c r="E510" s="47" t="s">
        <v>1479</v>
      </c>
      <c r="F510" s="49" t="s">
        <v>1480</v>
      </c>
      <c r="G510" s="29" t="s">
        <v>664</v>
      </c>
      <c r="H510" s="48" t="s">
        <v>1485</v>
      </c>
      <c r="I510" s="48" t="s">
        <v>1486</v>
      </c>
      <c r="J510" s="49" t="s">
        <v>1487</v>
      </c>
      <c r="K510" s="50">
        <v>308.0</v>
      </c>
      <c r="L510" s="29" t="s">
        <v>1488</v>
      </c>
      <c r="M510" s="22" t="s">
        <v>669</v>
      </c>
      <c r="N510" s="34"/>
      <c r="O510" s="40"/>
      <c r="P510" s="34"/>
      <c r="Q510" s="34"/>
      <c r="R510" s="34"/>
      <c r="S510" s="34"/>
      <c r="T510" s="34"/>
      <c r="U510" s="34">
        <v>448.0</v>
      </c>
      <c r="V510" s="29" t="s">
        <v>107</v>
      </c>
      <c r="W510" s="34"/>
      <c r="X510" s="29"/>
    </row>
    <row r="511" ht="15.75" customHeight="1">
      <c r="A511" s="27" t="s">
        <v>660</v>
      </c>
      <c r="B511" s="22" t="s">
        <v>661</v>
      </c>
      <c r="C511" s="53" t="s">
        <v>1478</v>
      </c>
      <c r="D511" s="53" t="s">
        <v>54</v>
      </c>
      <c r="E511" s="47" t="s">
        <v>1479</v>
      </c>
      <c r="F511" s="49" t="s">
        <v>1480</v>
      </c>
      <c r="G511" s="29" t="s">
        <v>664</v>
      </c>
      <c r="H511" s="48" t="s">
        <v>1489</v>
      </c>
      <c r="I511" s="48" t="s">
        <v>1490</v>
      </c>
      <c r="J511" s="49" t="s">
        <v>1491</v>
      </c>
      <c r="K511" s="50">
        <v>309.0</v>
      </c>
      <c r="L511" s="29" t="s">
        <v>1492</v>
      </c>
      <c r="M511" s="22" t="s">
        <v>669</v>
      </c>
      <c r="N511" s="34"/>
      <c r="O511" s="40"/>
      <c r="P511" s="34"/>
      <c r="Q511" s="34"/>
      <c r="R511" s="34"/>
      <c r="S511" s="34"/>
      <c r="T511" s="34"/>
      <c r="U511" s="34">
        <v>449.0</v>
      </c>
      <c r="V511" s="29" t="s">
        <v>107</v>
      </c>
      <c r="W511" s="34"/>
      <c r="X511" s="29"/>
    </row>
    <row r="512" ht="15.75" customHeight="1">
      <c r="A512" s="27" t="s">
        <v>660</v>
      </c>
      <c r="B512" s="22" t="s">
        <v>661</v>
      </c>
      <c r="C512" s="53" t="s">
        <v>1478</v>
      </c>
      <c r="D512" s="53" t="s">
        <v>54</v>
      </c>
      <c r="E512" s="47" t="s">
        <v>1479</v>
      </c>
      <c r="F512" s="49" t="s">
        <v>1480</v>
      </c>
      <c r="G512" s="29" t="s">
        <v>664</v>
      </c>
      <c r="H512" s="48" t="s">
        <v>1493</v>
      </c>
      <c r="I512" s="48" t="s">
        <v>1494</v>
      </c>
      <c r="J512" s="49" t="s">
        <v>1495</v>
      </c>
      <c r="K512" s="50">
        <v>310.0</v>
      </c>
      <c r="L512" s="29" t="s">
        <v>1496</v>
      </c>
      <c r="M512" s="22" t="s">
        <v>669</v>
      </c>
      <c r="N512" s="34"/>
      <c r="O512" s="40"/>
      <c r="P512" s="34"/>
      <c r="Q512" s="34"/>
      <c r="R512" s="34"/>
      <c r="S512" s="34"/>
      <c r="T512" s="34"/>
      <c r="U512" s="34">
        <v>450.0</v>
      </c>
      <c r="V512" s="29" t="s">
        <v>107</v>
      </c>
      <c r="W512" s="34"/>
      <c r="X512" s="29"/>
    </row>
    <row r="513" ht="15.75" customHeight="1">
      <c r="A513" s="27" t="s">
        <v>660</v>
      </c>
      <c r="B513" s="22" t="s">
        <v>661</v>
      </c>
      <c r="C513" s="53" t="s">
        <v>1478</v>
      </c>
      <c r="D513" s="53" t="s">
        <v>54</v>
      </c>
      <c r="E513" s="47" t="s">
        <v>1479</v>
      </c>
      <c r="F513" s="49" t="s">
        <v>1480</v>
      </c>
      <c r="G513" s="29" t="s">
        <v>664</v>
      </c>
      <c r="H513" s="48" t="s">
        <v>1493</v>
      </c>
      <c r="I513" s="48" t="s">
        <v>1494</v>
      </c>
      <c r="J513" s="49" t="s">
        <v>1495</v>
      </c>
      <c r="K513" s="50">
        <v>311.0</v>
      </c>
      <c r="L513" s="29" t="s">
        <v>1497</v>
      </c>
      <c r="M513" s="22" t="s">
        <v>669</v>
      </c>
      <c r="N513" s="34"/>
      <c r="O513" s="40"/>
      <c r="P513" s="34"/>
      <c r="Q513" s="34"/>
      <c r="R513" s="34"/>
      <c r="S513" s="34"/>
      <c r="T513" s="34"/>
      <c r="U513" s="34">
        <v>451.0</v>
      </c>
      <c r="V513" s="29" t="s">
        <v>107</v>
      </c>
      <c r="W513" s="34"/>
      <c r="X513" s="29"/>
    </row>
    <row r="514" ht="15.75" customHeight="1">
      <c r="A514" s="27" t="s">
        <v>660</v>
      </c>
      <c r="B514" s="22" t="s">
        <v>661</v>
      </c>
      <c r="C514" s="53" t="s">
        <v>1478</v>
      </c>
      <c r="D514" s="53" t="s">
        <v>54</v>
      </c>
      <c r="E514" s="47" t="s">
        <v>1479</v>
      </c>
      <c r="F514" s="49" t="s">
        <v>1480</v>
      </c>
      <c r="G514" s="29" t="s">
        <v>664</v>
      </c>
      <c r="H514" s="48" t="s">
        <v>1498</v>
      </c>
      <c r="I514" s="48" t="s">
        <v>1499</v>
      </c>
      <c r="J514" s="49" t="s">
        <v>1500</v>
      </c>
      <c r="K514" s="50">
        <v>312.0</v>
      </c>
      <c r="L514" s="29" t="s">
        <v>1501</v>
      </c>
      <c r="M514" s="22" t="s">
        <v>669</v>
      </c>
      <c r="N514" s="34"/>
      <c r="O514" s="40"/>
      <c r="P514" s="34"/>
      <c r="Q514" s="34"/>
      <c r="R514" s="34"/>
      <c r="S514" s="34"/>
      <c r="T514" s="34"/>
      <c r="U514" s="34">
        <v>452.0</v>
      </c>
      <c r="V514" s="29" t="s">
        <v>107</v>
      </c>
      <c r="W514" s="34"/>
      <c r="X514" s="29"/>
    </row>
    <row r="515" ht="15.75" customHeight="1">
      <c r="A515" s="27" t="s">
        <v>660</v>
      </c>
      <c r="B515" s="22" t="s">
        <v>661</v>
      </c>
      <c r="C515" s="53" t="s">
        <v>1502</v>
      </c>
      <c r="D515" s="53" t="s">
        <v>56</v>
      </c>
      <c r="E515" s="47" t="s">
        <v>1503</v>
      </c>
      <c r="F515" s="49" t="s">
        <v>1504</v>
      </c>
      <c r="G515" s="29" t="s">
        <v>664</v>
      </c>
      <c r="H515" s="48" t="s">
        <v>1505</v>
      </c>
      <c r="I515" s="48" t="s">
        <v>1506</v>
      </c>
      <c r="J515" s="49" t="s">
        <v>1507</v>
      </c>
      <c r="K515" s="50">
        <v>313.0</v>
      </c>
      <c r="L515" s="29" t="s">
        <v>1508</v>
      </c>
      <c r="M515" s="22" t="s">
        <v>669</v>
      </c>
      <c r="N515" s="34"/>
      <c r="O515" s="40"/>
      <c r="P515" s="34"/>
      <c r="Q515" s="34"/>
      <c r="R515" s="34"/>
      <c r="S515" s="34"/>
      <c r="T515" s="34"/>
      <c r="U515" s="34">
        <v>459.0</v>
      </c>
      <c r="V515" s="29" t="s">
        <v>107</v>
      </c>
      <c r="W515" s="34"/>
      <c r="X515" s="29"/>
    </row>
    <row r="516" ht="15.75" customHeight="1">
      <c r="A516" s="27" t="s">
        <v>660</v>
      </c>
      <c r="B516" s="22" t="s">
        <v>661</v>
      </c>
      <c r="C516" s="53" t="s">
        <v>1502</v>
      </c>
      <c r="D516" s="53" t="s">
        <v>56</v>
      </c>
      <c r="E516" s="47" t="s">
        <v>1503</v>
      </c>
      <c r="F516" s="49" t="s">
        <v>1504</v>
      </c>
      <c r="G516" s="29" t="s">
        <v>664</v>
      </c>
      <c r="H516" s="48" t="s">
        <v>1505</v>
      </c>
      <c r="I516" s="48" t="s">
        <v>1506</v>
      </c>
      <c r="J516" s="49" t="s">
        <v>1507</v>
      </c>
      <c r="K516" s="50">
        <v>314.0</v>
      </c>
      <c r="L516" s="29" t="s">
        <v>1509</v>
      </c>
      <c r="M516" s="22" t="s">
        <v>669</v>
      </c>
      <c r="N516" s="34"/>
      <c r="O516" s="40"/>
      <c r="P516" s="34"/>
      <c r="Q516" s="34"/>
      <c r="R516" s="34"/>
      <c r="S516" s="34"/>
      <c r="T516" s="34"/>
      <c r="U516" s="34">
        <v>460.0</v>
      </c>
      <c r="V516" s="29" t="s">
        <v>107</v>
      </c>
      <c r="W516" s="34"/>
      <c r="X516" s="29"/>
    </row>
    <row r="517" ht="15.75" customHeight="1">
      <c r="A517" s="27" t="s">
        <v>660</v>
      </c>
      <c r="B517" s="22" t="s">
        <v>661</v>
      </c>
      <c r="C517" s="53" t="s">
        <v>1502</v>
      </c>
      <c r="D517" s="53" t="s">
        <v>56</v>
      </c>
      <c r="E517" s="47" t="s">
        <v>1503</v>
      </c>
      <c r="F517" s="49" t="s">
        <v>1504</v>
      </c>
      <c r="G517" s="29" t="s">
        <v>664</v>
      </c>
      <c r="H517" s="48" t="s">
        <v>1505</v>
      </c>
      <c r="I517" s="48" t="s">
        <v>1506</v>
      </c>
      <c r="J517" s="49" t="s">
        <v>1507</v>
      </c>
      <c r="K517" s="50">
        <v>315.0</v>
      </c>
      <c r="L517" s="29" t="s">
        <v>1510</v>
      </c>
      <c r="M517" s="22" t="s">
        <v>669</v>
      </c>
      <c r="N517" s="34"/>
      <c r="O517" s="40"/>
      <c r="P517" s="34"/>
      <c r="Q517" s="34"/>
      <c r="R517" s="34"/>
      <c r="S517" s="34"/>
      <c r="T517" s="34"/>
      <c r="U517" s="34">
        <v>461.0</v>
      </c>
      <c r="V517" s="29" t="s">
        <v>107</v>
      </c>
      <c r="W517" s="34"/>
      <c r="X517" s="29"/>
    </row>
    <row r="518" ht="15.75" customHeight="1">
      <c r="A518" s="27" t="s">
        <v>660</v>
      </c>
      <c r="B518" s="22" t="s">
        <v>661</v>
      </c>
      <c r="C518" s="53" t="s">
        <v>1502</v>
      </c>
      <c r="D518" s="53" t="s">
        <v>56</v>
      </c>
      <c r="E518" s="47" t="s">
        <v>1503</v>
      </c>
      <c r="F518" s="49" t="s">
        <v>1504</v>
      </c>
      <c r="G518" s="29" t="s">
        <v>664</v>
      </c>
      <c r="H518" s="48" t="s">
        <v>1505</v>
      </c>
      <c r="I518" s="48" t="s">
        <v>1506</v>
      </c>
      <c r="J518" s="49" t="s">
        <v>1507</v>
      </c>
      <c r="K518" s="50">
        <v>316.0</v>
      </c>
      <c r="L518" s="29" t="s">
        <v>1511</v>
      </c>
      <c r="M518" s="22" t="s">
        <v>669</v>
      </c>
      <c r="N518" s="34"/>
      <c r="O518" s="40"/>
      <c r="P518" s="34"/>
      <c r="Q518" s="34"/>
      <c r="R518" s="34"/>
      <c r="S518" s="34"/>
      <c r="T518" s="34"/>
      <c r="U518" s="34">
        <v>462.0</v>
      </c>
      <c r="V518" s="29" t="s">
        <v>107</v>
      </c>
      <c r="W518" s="34"/>
      <c r="X518" s="29"/>
    </row>
    <row r="519" ht="15.75" customHeight="1">
      <c r="A519" s="27" t="s">
        <v>660</v>
      </c>
      <c r="B519" s="22" t="s">
        <v>661</v>
      </c>
      <c r="C519" s="53" t="s">
        <v>1502</v>
      </c>
      <c r="D519" s="53" t="s">
        <v>56</v>
      </c>
      <c r="E519" s="47" t="s">
        <v>1503</v>
      </c>
      <c r="F519" s="49" t="s">
        <v>1504</v>
      </c>
      <c r="G519" s="29" t="s">
        <v>664</v>
      </c>
      <c r="H519" s="48" t="s">
        <v>1512</v>
      </c>
      <c r="I519" s="48" t="s">
        <v>1513</v>
      </c>
      <c r="J519" s="49" t="s">
        <v>1514</v>
      </c>
      <c r="K519" s="50">
        <v>317.0</v>
      </c>
      <c r="L519" s="29" t="s">
        <v>1515</v>
      </c>
      <c r="M519" s="22" t="s">
        <v>669</v>
      </c>
      <c r="N519" s="34"/>
      <c r="O519" s="40"/>
      <c r="P519" s="34"/>
      <c r="Q519" s="34"/>
      <c r="R519" s="34"/>
      <c r="S519" s="34"/>
      <c r="T519" s="34"/>
      <c r="U519" s="34">
        <v>463.0</v>
      </c>
      <c r="V519" s="29" t="s">
        <v>107</v>
      </c>
      <c r="W519" s="34"/>
      <c r="X519" s="29"/>
    </row>
    <row r="520" ht="15.75" customHeight="1">
      <c r="A520" s="27" t="s">
        <v>660</v>
      </c>
      <c r="B520" s="22" t="s">
        <v>661</v>
      </c>
      <c r="C520" s="53" t="s">
        <v>1502</v>
      </c>
      <c r="D520" s="53" t="s">
        <v>56</v>
      </c>
      <c r="E520" s="47" t="s">
        <v>1503</v>
      </c>
      <c r="F520" s="49" t="s">
        <v>1516</v>
      </c>
      <c r="G520" s="29" t="s">
        <v>749</v>
      </c>
      <c r="H520" s="48" t="s">
        <v>1517</v>
      </c>
      <c r="I520" s="48" t="s">
        <v>1518</v>
      </c>
      <c r="J520" s="49" t="s">
        <v>1519</v>
      </c>
      <c r="K520" s="50">
        <v>318.0</v>
      </c>
      <c r="L520" s="29" t="s">
        <v>1520</v>
      </c>
      <c r="M520" s="22" t="s">
        <v>669</v>
      </c>
      <c r="N520" s="34"/>
      <c r="O520" s="40"/>
      <c r="P520" s="34"/>
      <c r="Q520" s="34"/>
      <c r="R520" s="34"/>
      <c r="S520" s="34"/>
      <c r="T520" s="34"/>
      <c r="U520" s="34">
        <v>465.0</v>
      </c>
      <c r="V520" s="29" t="s">
        <v>107</v>
      </c>
      <c r="W520" s="34"/>
      <c r="X520" s="29"/>
    </row>
    <row r="521" ht="15.75" customHeight="1">
      <c r="A521" s="27" t="s">
        <v>660</v>
      </c>
      <c r="B521" s="22" t="s">
        <v>661</v>
      </c>
      <c r="C521" s="53" t="s">
        <v>1502</v>
      </c>
      <c r="D521" s="53" t="s">
        <v>56</v>
      </c>
      <c r="E521" s="47" t="s">
        <v>1503</v>
      </c>
      <c r="F521" s="49" t="s">
        <v>1516</v>
      </c>
      <c r="G521" s="29" t="s">
        <v>749</v>
      </c>
      <c r="H521" s="48" t="s">
        <v>1521</v>
      </c>
      <c r="I521" s="48" t="s">
        <v>1522</v>
      </c>
      <c r="J521" s="49" t="s">
        <v>1523</v>
      </c>
      <c r="K521" s="50">
        <v>319.0</v>
      </c>
      <c r="L521" s="29" t="s">
        <v>1524</v>
      </c>
      <c r="M521" s="22" t="s">
        <v>669</v>
      </c>
      <c r="N521" s="34"/>
      <c r="O521" s="40"/>
      <c r="P521" s="34"/>
      <c r="Q521" s="34"/>
      <c r="R521" s="34"/>
      <c r="S521" s="34"/>
      <c r="T521" s="34"/>
      <c r="U521" s="34">
        <v>466.0</v>
      </c>
      <c r="V521" s="29" t="s">
        <v>107</v>
      </c>
      <c r="W521" s="34"/>
      <c r="X521" s="29"/>
    </row>
    <row r="522" ht="15.75" customHeight="1">
      <c r="A522" s="27" t="s">
        <v>660</v>
      </c>
      <c r="B522" s="22" t="s">
        <v>661</v>
      </c>
      <c r="C522" s="53" t="s">
        <v>1502</v>
      </c>
      <c r="D522" s="53" t="s">
        <v>56</v>
      </c>
      <c r="E522" s="47" t="s">
        <v>1503</v>
      </c>
      <c r="F522" s="49" t="s">
        <v>1516</v>
      </c>
      <c r="G522" s="29" t="s">
        <v>749</v>
      </c>
      <c r="H522" s="48" t="s">
        <v>1525</v>
      </c>
      <c r="I522" s="48" t="s">
        <v>1526</v>
      </c>
      <c r="J522" s="49" t="s">
        <v>1527</v>
      </c>
      <c r="K522" s="50">
        <v>320.0</v>
      </c>
      <c r="L522" s="29" t="s">
        <v>1528</v>
      </c>
      <c r="M522" s="22" t="s">
        <v>669</v>
      </c>
      <c r="N522" s="34"/>
      <c r="O522" s="40"/>
      <c r="P522" s="34"/>
      <c r="Q522" s="34"/>
      <c r="R522" s="34"/>
      <c r="S522" s="34"/>
      <c r="T522" s="34"/>
      <c r="U522" s="34">
        <v>467.0</v>
      </c>
      <c r="V522" s="29" t="s">
        <v>107</v>
      </c>
      <c r="W522" s="34"/>
      <c r="X522" s="29"/>
    </row>
    <row r="523" ht="15.75" customHeight="1">
      <c r="A523" s="27" t="s">
        <v>660</v>
      </c>
      <c r="B523" s="22" t="s">
        <v>661</v>
      </c>
      <c r="C523" s="53" t="s">
        <v>1502</v>
      </c>
      <c r="D523" s="53" t="s">
        <v>56</v>
      </c>
      <c r="E523" s="47" t="s">
        <v>1503</v>
      </c>
      <c r="F523" s="49" t="s">
        <v>1516</v>
      </c>
      <c r="G523" s="29" t="s">
        <v>749</v>
      </c>
      <c r="H523" s="48" t="s">
        <v>1525</v>
      </c>
      <c r="I523" s="48" t="s">
        <v>1526</v>
      </c>
      <c r="J523" s="49" t="s">
        <v>1527</v>
      </c>
      <c r="K523" s="50">
        <v>321.0</v>
      </c>
      <c r="L523" s="29" t="s">
        <v>1529</v>
      </c>
      <c r="M523" s="22" t="s">
        <v>669</v>
      </c>
      <c r="N523" s="34"/>
      <c r="O523" s="40"/>
      <c r="P523" s="34"/>
      <c r="Q523" s="34"/>
      <c r="R523" s="34"/>
      <c r="S523" s="34"/>
      <c r="T523" s="34"/>
      <c r="U523" s="34">
        <v>468.0</v>
      </c>
      <c r="V523" s="29" t="s">
        <v>107</v>
      </c>
      <c r="W523" s="34"/>
      <c r="X523" s="29"/>
    </row>
    <row r="524" ht="15.75" customHeight="1">
      <c r="A524" s="27" t="s">
        <v>660</v>
      </c>
      <c r="B524" s="22" t="s">
        <v>661</v>
      </c>
      <c r="C524" s="53" t="s">
        <v>1530</v>
      </c>
      <c r="D524" s="53" t="s">
        <v>58</v>
      </c>
      <c r="E524" s="47" t="s">
        <v>1531</v>
      </c>
      <c r="F524" s="49" t="s">
        <v>1532</v>
      </c>
      <c r="G524" s="29" t="s">
        <v>664</v>
      </c>
      <c r="H524" s="48" t="s">
        <v>1533</v>
      </c>
      <c r="I524" s="48" t="s">
        <v>1534</v>
      </c>
      <c r="J524" s="49" t="s">
        <v>1535</v>
      </c>
      <c r="K524" s="50">
        <v>322.0</v>
      </c>
      <c r="L524" s="29" t="s">
        <v>1536</v>
      </c>
      <c r="M524" s="22" t="s">
        <v>669</v>
      </c>
      <c r="N524" s="34"/>
      <c r="O524" s="40"/>
      <c r="P524" s="34"/>
      <c r="Q524" s="34"/>
      <c r="R524" s="34"/>
      <c r="S524" s="34"/>
      <c r="T524" s="34"/>
      <c r="U524" s="34">
        <v>475.0</v>
      </c>
      <c r="V524" s="29" t="s">
        <v>107</v>
      </c>
      <c r="W524" s="34"/>
      <c r="X524" s="29"/>
    </row>
    <row r="525" ht="15.75" customHeight="1">
      <c r="A525" s="27" t="s">
        <v>660</v>
      </c>
      <c r="B525" s="22" t="s">
        <v>661</v>
      </c>
      <c r="C525" s="53" t="s">
        <v>1530</v>
      </c>
      <c r="D525" s="53" t="s">
        <v>58</v>
      </c>
      <c r="E525" s="47" t="s">
        <v>1531</v>
      </c>
      <c r="F525" s="49" t="s">
        <v>1532</v>
      </c>
      <c r="G525" s="29" t="s">
        <v>664</v>
      </c>
      <c r="H525" s="48" t="s">
        <v>1533</v>
      </c>
      <c r="I525" s="48" t="s">
        <v>1534</v>
      </c>
      <c r="J525" s="49" t="s">
        <v>1535</v>
      </c>
      <c r="K525" s="50">
        <v>323.0</v>
      </c>
      <c r="L525" s="29" t="s">
        <v>1537</v>
      </c>
      <c r="M525" s="22" t="s">
        <v>669</v>
      </c>
      <c r="N525" s="34"/>
      <c r="O525" s="40"/>
      <c r="P525" s="34"/>
      <c r="Q525" s="34"/>
      <c r="R525" s="34"/>
      <c r="S525" s="34"/>
      <c r="T525" s="34"/>
      <c r="U525" s="34">
        <v>476.0</v>
      </c>
      <c r="V525" s="29" t="s">
        <v>107</v>
      </c>
      <c r="W525" s="34"/>
      <c r="X525" s="29"/>
    </row>
    <row r="526" ht="15.75" customHeight="1">
      <c r="A526" s="27" t="s">
        <v>660</v>
      </c>
      <c r="B526" s="22" t="s">
        <v>661</v>
      </c>
      <c r="C526" s="53" t="s">
        <v>1530</v>
      </c>
      <c r="D526" s="53" t="s">
        <v>58</v>
      </c>
      <c r="E526" s="47" t="s">
        <v>1531</v>
      </c>
      <c r="F526" s="49" t="s">
        <v>1532</v>
      </c>
      <c r="G526" s="29" t="s">
        <v>664</v>
      </c>
      <c r="H526" s="48" t="s">
        <v>1533</v>
      </c>
      <c r="I526" s="48" t="s">
        <v>1534</v>
      </c>
      <c r="J526" s="49" t="s">
        <v>1535</v>
      </c>
      <c r="K526" s="50">
        <v>324.0</v>
      </c>
      <c r="L526" s="29" t="s">
        <v>1538</v>
      </c>
      <c r="M526" s="22" t="s">
        <v>669</v>
      </c>
      <c r="N526" s="34"/>
      <c r="O526" s="40"/>
      <c r="P526" s="34"/>
      <c r="Q526" s="34"/>
      <c r="R526" s="34"/>
      <c r="S526" s="34"/>
      <c r="T526" s="34"/>
      <c r="U526" s="34">
        <v>477.0</v>
      </c>
      <c r="V526" s="29" t="s">
        <v>107</v>
      </c>
      <c r="W526" s="34"/>
      <c r="X526" s="29"/>
    </row>
    <row r="527" ht="15.75" customHeight="1">
      <c r="A527" s="27" t="s">
        <v>660</v>
      </c>
      <c r="B527" s="22" t="s">
        <v>661</v>
      </c>
      <c r="C527" s="53" t="s">
        <v>1530</v>
      </c>
      <c r="D527" s="53" t="s">
        <v>58</v>
      </c>
      <c r="E527" s="47" t="s">
        <v>1531</v>
      </c>
      <c r="F527" s="49" t="s">
        <v>1532</v>
      </c>
      <c r="G527" s="29" t="s">
        <v>664</v>
      </c>
      <c r="H527" s="48" t="s">
        <v>1533</v>
      </c>
      <c r="I527" s="48" t="s">
        <v>1534</v>
      </c>
      <c r="J527" s="49" t="s">
        <v>1535</v>
      </c>
      <c r="K527" s="50">
        <v>325.0</v>
      </c>
      <c r="L527" s="29" t="s">
        <v>1539</v>
      </c>
      <c r="M527" s="22" t="s">
        <v>669</v>
      </c>
      <c r="N527" s="34"/>
      <c r="O527" s="40"/>
      <c r="P527" s="34"/>
      <c r="Q527" s="34"/>
      <c r="R527" s="34"/>
      <c r="S527" s="34"/>
      <c r="T527" s="34"/>
      <c r="U527" s="34">
        <v>478.0</v>
      </c>
      <c r="V527" s="29" t="s">
        <v>107</v>
      </c>
      <c r="W527" s="34"/>
      <c r="X527" s="29"/>
    </row>
    <row r="528" ht="15.75" customHeight="1">
      <c r="A528" s="27" t="s">
        <v>660</v>
      </c>
      <c r="B528" s="22" t="s">
        <v>1540</v>
      </c>
      <c r="C528" s="53" t="s">
        <v>17</v>
      </c>
      <c r="D528" s="53" t="s">
        <v>21</v>
      </c>
      <c r="E528" s="47" t="s">
        <v>763</v>
      </c>
      <c r="F528" s="49" t="s">
        <v>663</v>
      </c>
      <c r="G528" s="29" t="s">
        <v>664</v>
      </c>
      <c r="H528" s="48" t="s">
        <v>665</v>
      </c>
      <c r="I528" s="48" t="s">
        <v>766</v>
      </c>
      <c r="J528" s="49" t="s">
        <v>767</v>
      </c>
      <c r="K528" s="32">
        <v>1.0</v>
      </c>
      <c r="L528" s="29" t="s">
        <v>1541</v>
      </c>
      <c r="M528" s="22" t="s">
        <v>669</v>
      </c>
      <c r="N528" s="34"/>
      <c r="O528" s="39"/>
      <c r="P528" s="27"/>
      <c r="Q528" s="27"/>
      <c r="R528" s="34"/>
      <c r="S528" s="34"/>
      <c r="T528" s="34"/>
      <c r="U528" s="34">
        <v>487.0</v>
      </c>
      <c r="V528" s="29" t="s">
        <v>107</v>
      </c>
      <c r="W528" s="34"/>
      <c r="X528" s="29"/>
    </row>
    <row r="529" ht="15.75" customHeight="1">
      <c r="A529" s="27" t="s">
        <v>660</v>
      </c>
      <c r="B529" s="22" t="s">
        <v>1540</v>
      </c>
      <c r="C529" s="53" t="s">
        <v>17</v>
      </c>
      <c r="D529" s="53" t="s">
        <v>21</v>
      </c>
      <c r="E529" s="47" t="s">
        <v>763</v>
      </c>
      <c r="F529" s="49" t="s">
        <v>663</v>
      </c>
      <c r="G529" s="29" t="s">
        <v>664</v>
      </c>
      <c r="H529" s="48" t="s">
        <v>665</v>
      </c>
      <c r="I529" s="48" t="s">
        <v>766</v>
      </c>
      <c r="J529" s="49" t="s">
        <v>767</v>
      </c>
      <c r="K529" s="50">
        <v>2.0</v>
      </c>
      <c r="L529" s="29" t="s">
        <v>769</v>
      </c>
      <c r="M529" s="22" t="s">
        <v>669</v>
      </c>
      <c r="N529" s="34"/>
      <c r="O529" s="48"/>
      <c r="P529" s="51"/>
      <c r="Q529" s="51"/>
      <c r="R529" s="34"/>
      <c r="S529" s="34"/>
      <c r="T529" s="34"/>
      <c r="U529" s="34">
        <v>489.0</v>
      </c>
      <c r="V529" s="29" t="s">
        <v>107</v>
      </c>
      <c r="W529" s="34"/>
      <c r="X529" s="29"/>
    </row>
    <row r="530" ht="15.75" customHeight="1">
      <c r="A530" s="27" t="s">
        <v>660</v>
      </c>
      <c r="B530" s="22" t="s">
        <v>1540</v>
      </c>
      <c r="C530" s="53" t="s">
        <v>17</v>
      </c>
      <c r="D530" s="53" t="s">
        <v>21</v>
      </c>
      <c r="E530" s="47" t="s">
        <v>763</v>
      </c>
      <c r="F530" s="49" t="s">
        <v>663</v>
      </c>
      <c r="G530" s="29" t="s">
        <v>664</v>
      </c>
      <c r="H530" s="48" t="s">
        <v>665</v>
      </c>
      <c r="I530" s="48" t="s">
        <v>766</v>
      </c>
      <c r="J530" s="49" t="s">
        <v>767</v>
      </c>
      <c r="K530" s="50">
        <v>3.0</v>
      </c>
      <c r="L530" s="29" t="s">
        <v>1542</v>
      </c>
      <c r="M530" s="22" t="s">
        <v>669</v>
      </c>
      <c r="N530" s="34"/>
      <c r="O530" s="48"/>
      <c r="P530" s="51"/>
      <c r="Q530" s="51"/>
      <c r="R530" s="34"/>
      <c r="S530" s="34"/>
      <c r="T530" s="34"/>
      <c r="U530" s="34">
        <v>490.0</v>
      </c>
      <c r="V530" s="29" t="s">
        <v>107</v>
      </c>
      <c r="W530" s="34"/>
      <c r="X530" s="29"/>
    </row>
    <row r="531" ht="15.75" customHeight="1">
      <c r="A531" s="27" t="s">
        <v>660</v>
      </c>
      <c r="B531" s="22" t="s">
        <v>1540</v>
      </c>
      <c r="C531" s="53" t="s">
        <v>17</v>
      </c>
      <c r="D531" s="53" t="s">
        <v>21</v>
      </c>
      <c r="E531" s="47" t="s">
        <v>763</v>
      </c>
      <c r="F531" s="49" t="s">
        <v>663</v>
      </c>
      <c r="G531" s="29" t="s">
        <v>664</v>
      </c>
      <c r="H531" s="48" t="s">
        <v>670</v>
      </c>
      <c r="I531" s="48" t="s">
        <v>772</v>
      </c>
      <c r="J531" s="49" t="s">
        <v>773</v>
      </c>
      <c r="K531" s="50">
        <v>4.0</v>
      </c>
      <c r="L531" s="29" t="s">
        <v>774</v>
      </c>
      <c r="M531" s="22" t="s">
        <v>669</v>
      </c>
      <c r="N531" s="34"/>
      <c r="O531" s="48"/>
      <c r="P531" s="51"/>
      <c r="Q531" s="51"/>
      <c r="R531" s="34"/>
      <c r="S531" s="34"/>
      <c r="T531" s="34"/>
      <c r="U531" s="34">
        <v>491.0</v>
      </c>
      <c r="V531" s="29" t="s">
        <v>107</v>
      </c>
      <c r="W531" s="34"/>
      <c r="X531" s="29"/>
    </row>
    <row r="532" ht="15.75" customHeight="1">
      <c r="A532" s="27" t="s">
        <v>660</v>
      </c>
      <c r="B532" s="22" t="s">
        <v>1540</v>
      </c>
      <c r="C532" s="53" t="s">
        <v>17</v>
      </c>
      <c r="D532" s="53" t="s">
        <v>21</v>
      </c>
      <c r="E532" s="47" t="s">
        <v>763</v>
      </c>
      <c r="F532" s="49" t="s">
        <v>663</v>
      </c>
      <c r="G532" s="29" t="s">
        <v>664</v>
      </c>
      <c r="H532" s="48" t="s">
        <v>677</v>
      </c>
      <c r="I532" s="48" t="s">
        <v>776</v>
      </c>
      <c r="J532" s="49" t="s">
        <v>1543</v>
      </c>
      <c r="K532" s="50">
        <v>5.0</v>
      </c>
      <c r="L532" s="29" t="s">
        <v>778</v>
      </c>
      <c r="M532" s="22" t="s">
        <v>669</v>
      </c>
      <c r="N532" s="34"/>
      <c r="O532" s="48"/>
      <c r="P532" s="51"/>
      <c r="Q532" s="51"/>
      <c r="R532" s="34"/>
      <c r="S532" s="34"/>
      <c r="T532" s="34"/>
      <c r="U532" s="34">
        <v>492.0</v>
      </c>
      <c r="V532" s="29" t="s">
        <v>107</v>
      </c>
      <c r="W532" s="34"/>
      <c r="X532" s="29"/>
    </row>
    <row r="533" ht="15.75" customHeight="1">
      <c r="A533" s="27" t="s">
        <v>660</v>
      </c>
      <c r="B533" s="22" t="s">
        <v>1540</v>
      </c>
      <c r="C533" s="53" t="s">
        <v>17</v>
      </c>
      <c r="D533" s="53" t="s">
        <v>21</v>
      </c>
      <c r="E533" s="47" t="s">
        <v>763</v>
      </c>
      <c r="F533" s="49" t="s">
        <v>663</v>
      </c>
      <c r="G533" s="29" t="s">
        <v>664</v>
      </c>
      <c r="H533" s="48" t="s">
        <v>677</v>
      </c>
      <c r="I533" s="48" t="s">
        <v>776</v>
      </c>
      <c r="J533" s="49" t="s">
        <v>1543</v>
      </c>
      <c r="K533" s="50">
        <v>6.0</v>
      </c>
      <c r="L533" s="29" t="s">
        <v>1544</v>
      </c>
      <c r="M533" s="22" t="s">
        <v>669</v>
      </c>
      <c r="N533" s="34"/>
      <c r="O533" s="48"/>
      <c r="P533" s="51"/>
      <c r="Q533" s="51"/>
      <c r="R533" s="34"/>
      <c r="S533" s="34"/>
      <c r="T533" s="34"/>
      <c r="U533" s="34">
        <v>493.0</v>
      </c>
      <c r="V533" s="29" t="s">
        <v>107</v>
      </c>
      <c r="W533" s="34"/>
      <c r="X533" s="29"/>
    </row>
    <row r="534" ht="15.75" customHeight="1">
      <c r="A534" s="27" t="s">
        <v>660</v>
      </c>
      <c r="B534" s="22" t="s">
        <v>1540</v>
      </c>
      <c r="C534" s="53" t="s">
        <v>17</v>
      </c>
      <c r="D534" s="53" t="s">
        <v>21</v>
      </c>
      <c r="E534" s="47" t="s">
        <v>763</v>
      </c>
      <c r="F534" s="49" t="s">
        <v>663</v>
      </c>
      <c r="G534" s="29" t="s">
        <v>664</v>
      </c>
      <c r="H534" s="48" t="s">
        <v>686</v>
      </c>
      <c r="I534" s="48" t="s">
        <v>781</v>
      </c>
      <c r="J534" s="49" t="s">
        <v>1545</v>
      </c>
      <c r="K534" s="50">
        <v>7.0</v>
      </c>
      <c r="L534" s="29" t="s">
        <v>783</v>
      </c>
      <c r="M534" s="22" t="s">
        <v>669</v>
      </c>
      <c r="N534" s="34"/>
      <c r="O534" s="48"/>
      <c r="P534" s="51"/>
      <c r="Q534" s="51"/>
      <c r="R534" s="34"/>
      <c r="S534" s="34"/>
      <c r="T534" s="34"/>
      <c r="U534" s="34">
        <v>494.0</v>
      </c>
      <c r="V534" s="29" t="s">
        <v>107</v>
      </c>
      <c r="W534" s="34"/>
      <c r="X534" s="29"/>
    </row>
    <row r="535" ht="15.75" customHeight="1">
      <c r="A535" s="27" t="s">
        <v>660</v>
      </c>
      <c r="B535" s="22" t="s">
        <v>1540</v>
      </c>
      <c r="C535" s="53" t="s">
        <v>17</v>
      </c>
      <c r="D535" s="53" t="s">
        <v>21</v>
      </c>
      <c r="E535" s="47" t="s">
        <v>763</v>
      </c>
      <c r="F535" s="49" t="s">
        <v>663</v>
      </c>
      <c r="G535" s="29" t="s">
        <v>664</v>
      </c>
      <c r="H535" s="48" t="s">
        <v>686</v>
      </c>
      <c r="I535" s="48" t="s">
        <v>781</v>
      </c>
      <c r="J535" s="49" t="s">
        <v>1545</v>
      </c>
      <c r="K535" s="50">
        <v>8.0</v>
      </c>
      <c r="L535" s="29" t="s">
        <v>784</v>
      </c>
      <c r="M535" s="22" t="s">
        <v>669</v>
      </c>
      <c r="N535" s="34"/>
      <c r="O535" s="48"/>
      <c r="P535" s="51"/>
      <c r="Q535" s="51"/>
      <c r="R535" s="34"/>
      <c r="S535" s="34"/>
      <c r="T535" s="34"/>
      <c r="U535" s="34">
        <v>495.0</v>
      </c>
      <c r="V535" s="29" t="s">
        <v>107</v>
      </c>
      <c r="W535" s="34"/>
      <c r="X535" s="29"/>
    </row>
    <row r="536" ht="15.75" customHeight="1">
      <c r="A536" s="27" t="s">
        <v>660</v>
      </c>
      <c r="B536" s="22" t="s">
        <v>1540</v>
      </c>
      <c r="C536" s="53" t="s">
        <v>17</v>
      </c>
      <c r="D536" s="53" t="s">
        <v>21</v>
      </c>
      <c r="E536" s="47" t="s">
        <v>763</v>
      </c>
      <c r="F536" s="49" t="s">
        <v>663</v>
      </c>
      <c r="G536" s="29" t="s">
        <v>664</v>
      </c>
      <c r="H536" s="48" t="s">
        <v>690</v>
      </c>
      <c r="I536" s="48" t="s">
        <v>786</v>
      </c>
      <c r="J536" s="49" t="s">
        <v>787</v>
      </c>
      <c r="K536" s="50">
        <v>9.0</v>
      </c>
      <c r="L536" s="29" t="s">
        <v>788</v>
      </c>
      <c r="M536" s="22" t="s">
        <v>669</v>
      </c>
      <c r="N536" s="34"/>
      <c r="O536" s="48"/>
      <c r="P536" s="51"/>
      <c r="Q536" s="51"/>
      <c r="R536" s="34"/>
      <c r="S536" s="34"/>
      <c r="T536" s="34"/>
      <c r="U536" s="34">
        <v>496.0</v>
      </c>
      <c r="V536" s="29" t="s">
        <v>107</v>
      </c>
      <c r="W536" s="34"/>
      <c r="X536" s="29"/>
    </row>
    <row r="537" ht="15.75" customHeight="1">
      <c r="A537" s="27" t="s">
        <v>660</v>
      </c>
      <c r="B537" s="22" t="s">
        <v>1540</v>
      </c>
      <c r="C537" s="53" t="s">
        <v>17</v>
      </c>
      <c r="D537" s="53" t="s">
        <v>21</v>
      </c>
      <c r="E537" s="47" t="s">
        <v>763</v>
      </c>
      <c r="F537" s="49" t="s">
        <v>713</v>
      </c>
      <c r="G537" s="29" t="s">
        <v>714</v>
      </c>
      <c r="H537" s="48" t="s">
        <v>690</v>
      </c>
      <c r="I537" s="48" t="s">
        <v>786</v>
      </c>
      <c r="J537" s="49" t="s">
        <v>787</v>
      </c>
      <c r="K537" s="50">
        <v>10.0</v>
      </c>
      <c r="L537" s="29" t="s">
        <v>1546</v>
      </c>
      <c r="M537" s="22" t="s">
        <v>669</v>
      </c>
      <c r="N537" s="34"/>
      <c r="O537" s="48"/>
      <c r="P537" s="51"/>
      <c r="Q537" s="51"/>
      <c r="R537" s="34"/>
      <c r="S537" s="34"/>
      <c r="T537" s="34"/>
      <c r="U537" s="34">
        <v>498.0</v>
      </c>
      <c r="V537" s="29" t="s">
        <v>107</v>
      </c>
      <c r="W537" s="34"/>
      <c r="X537" s="29"/>
    </row>
    <row r="538" ht="15.75" customHeight="1">
      <c r="A538" s="27" t="s">
        <v>660</v>
      </c>
      <c r="B538" s="22" t="s">
        <v>1540</v>
      </c>
      <c r="C538" s="53" t="s">
        <v>17</v>
      </c>
      <c r="D538" s="53" t="s">
        <v>21</v>
      </c>
      <c r="E538" s="47" t="s">
        <v>763</v>
      </c>
      <c r="F538" s="49" t="s">
        <v>713</v>
      </c>
      <c r="G538" s="29" t="s">
        <v>714</v>
      </c>
      <c r="H538" s="48" t="s">
        <v>715</v>
      </c>
      <c r="I538" s="48" t="s">
        <v>792</v>
      </c>
      <c r="J538" s="49" t="s">
        <v>1547</v>
      </c>
      <c r="K538" s="50">
        <v>11.0</v>
      </c>
      <c r="L538" s="29" t="s">
        <v>1548</v>
      </c>
      <c r="M538" s="22" t="s">
        <v>669</v>
      </c>
      <c r="N538" s="34"/>
      <c r="O538" s="48"/>
      <c r="P538" s="51"/>
      <c r="Q538" s="51"/>
      <c r="R538" s="34"/>
      <c r="S538" s="34"/>
      <c r="T538" s="34"/>
      <c r="U538" s="34">
        <v>499.0</v>
      </c>
      <c r="V538" s="29" t="s">
        <v>107</v>
      </c>
      <c r="W538" s="34"/>
      <c r="X538" s="29"/>
    </row>
    <row r="539" ht="15.75" customHeight="1">
      <c r="A539" s="27" t="s">
        <v>660</v>
      </c>
      <c r="B539" s="22" t="s">
        <v>1540</v>
      </c>
      <c r="C539" s="53" t="s">
        <v>17</v>
      </c>
      <c r="D539" s="53" t="s">
        <v>21</v>
      </c>
      <c r="E539" s="47" t="s">
        <v>763</v>
      </c>
      <c r="F539" s="49" t="s">
        <v>713</v>
      </c>
      <c r="G539" s="29" t="s">
        <v>714</v>
      </c>
      <c r="H539" s="48" t="s">
        <v>723</v>
      </c>
      <c r="I539" s="48" t="s">
        <v>796</v>
      </c>
      <c r="J539" s="49" t="s">
        <v>797</v>
      </c>
      <c r="K539" s="50">
        <v>12.0</v>
      </c>
      <c r="L539" s="29" t="s">
        <v>1549</v>
      </c>
      <c r="M539" s="22" t="s">
        <v>669</v>
      </c>
      <c r="N539" s="34"/>
      <c r="O539" s="48"/>
      <c r="P539" s="51"/>
      <c r="Q539" s="51"/>
      <c r="R539" s="34"/>
      <c r="S539" s="34"/>
      <c r="T539" s="34"/>
      <c r="U539" s="34">
        <v>500.0</v>
      </c>
      <c r="V539" s="29" t="s">
        <v>107</v>
      </c>
      <c r="W539" s="34"/>
      <c r="X539" s="29"/>
    </row>
    <row r="540" ht="15.75" customHeight="1">
      <c r="A540" s="27" t="s">
        <v>660</v>
      </c>
      <c r="B540" s="22" t="s">
        <v>1540</v>
      </c>
      <c r="C540" s="53" t="s">
        <v>17</v>
      </c>
      <c r="D540" s="53" t="s">
        <v>21</v>
      </c>
      <c r="E540" s="47" t="s">
        <v>763</v>
      </c>
      <c r="F540" s="49" t="s">
        <v>748</v>
      </c>
      <c r="G540" s="29" t="s">
        <v>749</v>
      </c>
      <c r="H540" s="48" t="s">
        <v>723</v>
      </c>
      <c r="I540" s="48" t="s">
        <v>796</v>
      </c>
      <c r="J540" s="49" t="s">
        <v>797</v>
      </c>
      <c r="K540" s="50">
        <v>13.0</v>
      </c>
      <c r="L540" s="29" t="s">
        <v>1550</v>
      </c>
      <c r="M540" s="22" t="s">
        <v>669</v>
      </c>
      <c r="N540" s="34"/>
      <c r="O540" s="48"/>
      <c r="P540" s="51"/>
      <c r="Q540" s="51"/>
      <c r="R540" s="34"/>
      <c r="S540" s="34"/>
      <c r="T540" s="34"/>
      <c r="U540" s="34">
        <v>502.0</v>
      </c>
      <c r="V540" s="29" t="s">
        <v>107</v>
      </c>
      <c r="W540" s="34"/>
      <c r="X540" s="29"/>
    </row>
    <row r="541" ht="15.75" customHeight="1">
      <c r="A541" s="27" t="s">
        <v>660</v>
      </c>
      <c r="B541" s="22" t="s">
        <v>1540</v>
      </c>
      <c r="C541" s="53" t="s">
        <v>17</v>
      </c>
      <c r="D541" s="53" t="s">
        <v>21</v>
      </c>
      <c r="E541" s="47" t="s">
        <v>763</v>
      </c>
      <c r="F541" s="49" t="s">
        <v>748</v>
      </c>
      <c r="G541" s="29" t="s">
        <v>749</v>
      </c>
      <c r="H541" s="48" t="s">
        <v>750</v>
      </c>
      <c r="I541" s="48" t="s">
        <v>803</v>
      </c>
      <c r="J541" s="49" t="s">
        <v>1551</v>
      </c>
      <c r="K541" s="50">
        <v>14.0</v>
      </c>
      <c r="L541" s="29" t="s">
        <v>805</v>
      </c>
      <c r="M541" s="22" t="s">
        <v>669</v>
      </c>
      <c r="N541" s="34"/>
      <c r="O541" s="48"/>
      <c r="P541" s="51"/>
      <c r="Q541" s="51"/>
      <c r="R541" s="34"/>
      <c r="S541" s="34"/>
      <c r="T541" s="34"/>
      <c r="U541" s="34">
        <v>503.0</v>
      </c>
      <c r="V541" s="29" t="s">
        <v>107</v>
      </c>
      <c r="W541" s="34"/>
      <c r="X541" s="29"/>
    </row>
    <row r="542" ht="15.75" customHeight="1">
      <c r="A542" s="27" t="s">
        <v>660</v>
      </c>
      <c r="B542" s="22" t="s">
        <v>1540</v>
      </c>
      <c r="C542" s="53" t="s">
        <v>17</v>
      </c>
      <c r="D542" s="53" t="s">
        <v>21</v>
      </c>
      <c r="E542" s="47" t="s">
        <v>763</v>
      </c>
      <c r="F542" s="49" t="s">
        <v>748</v>
      </c>
      <c r="G542" s="29" t="s">
        <v>749</v>
      </c>
      <c r="H542" s="48" t="s">
        <v>750</v>
      </c>
      <c r="I542" s="48" t="s">
        <v>803</v>
      </c>
      <c r="J542" s="49" t="s">
        <v>1551</v>
      </c>
      <c r="K542" s="50">
        <v>15.0</v>
      </c>
      <c r="L542" s="29" t="s">
        <v>1552</v>
      </c>
      <c r="M542" s="22" t="s">
        <v>669</v>
      </c>
      <c r="N542" s="34"/>
      <c r="O542" s="48"/>
      <c r="P542" s="51"/>
      <c r="Q542" s="51"/>
      <c r="R542" s="34"/>
      <c r="S542" s="34"/>
      <c r="T542" s="34"/>
      <c r="U542" s="34">
        <v>504.0</v>
      </c>
      <c r="V542" s="29" t="s">
        <v>107</v>
      </c>
      <c r="W542" s="34"/>
      <c r="X542" s="29"/>
    </row>
    <row r="543" ht="15.75" customHeight="1">
      <c r="A543" s="27" t="s">
        <v>660</v>
      </c>
      <c r="B543" s="22" t="s">
        <v>1540</v>
      </c>
      <c r="C543" s="53" t="s">
        <v>17</v>
      </c>
      <c r="D543" s="53" t="s">
        <v>21</v>
      </c>
      <c r="E543" s="47" t="s">
        <v>763</v>
      </c>
      <c r="F543" s="49" t="s">
        <v>748</v>
      </c>
      <c r="G543" s="29" t="s">
        <v>749</v>
      </c>
      <c r="H543" s="48" t="s">
        <v>754</v>
      </c>
      <c r="I543" s="48" t="s">
        <v>808</v>
      </c>
      <c r="J543" s="49" t="s">
        <v>1553</v>
      </c>
      <c r="K543" s="50">
        <v>16.0</v>
      </c>
      <c r="L543" s="29" t="s">
        <v>810</v>
      </c>
      <c r="M543" s="22" t="s">
        <v>669</v>
      </c>
      <c r="N543" s="34"/>
      <c r="O543" s="48"/>
      <c r="P543" s="51"/>
      <c r="Q543" s="51"/>
      <c r="R543" s="34"/>
      <c r="S543" s="34"/>
      <c r="T543" s="34"/>
      <c r="U543" s="34">
        <v>505.0</v>
      </c>
      <c r="V543" s="29" t="s">
        <v>107</v>
      </c>
      <c r="W543" s="34"/>
      <c r="X543" s="29"/>
    </row>
    <row r="544" ht="15.75" customHeight="1">
      <c r="A544" s="27" t="s">
        <v>660</v>
      </c>
      <c r="B544" s="22" t="s">
        <v>1540</v>
      </c>
      <c r="C544" s="53" t="s">
        <v>20</v>
      </c>
      <c r="D544" s="53" t="s">
        <v>21</v>
      </c>
      <c r="E544" s="47" t="s">
        <v>763</v>
      </c>
      <c r="F544" s="49" t="s">
        <v>764</v>
      </c>
      <c r="G544" s="29" t="s">
        <v>664</v>
      </c>
      <c r="H544" s="48" t="s">
        <v>754</v>
      </c>
      <c r="I544" s="48" t="s">
        <v>808</v>
      </c>
      <c r="J544" s="49" t="s">
        <v>1553</v>
      </c>
      <c r="K544" s="50">
        <v>17.0</v>
      </c>
      <c r="L544" s="29" t="s">
        <v>1554</v>
      </c>
      <c r="M544" s="22" t="s">
        <v>669</v>
      </c>
      <c r="N544" s="34"/>
      <c r="O544" s="48"/>
      <c r="P544" s="51"/>
      <c r="Q544" s="51"/>
      <c r="R544" s="34"/>
      <c r="S544" s="34"/>
      <c r="T544" s="34"/>
      <c r="U544" s="34">
        <v>512.0</v>
      </c>
      <c r="V544" s="29" t="s">
        <v>107</v>
      </c>
      <c r="W544" s="34"/>
      <c r="X544" s="29"/>
    </row>
    <row r="545" ht="15.75" customHeight="1">
      <c r="A545" s="27" t="s">
        <v>660</v>
      </c>
      <c r="B545" s="22" t="s">
        <v>1540</v>
      </c>
      <c r="C545" s="53" t="s">
        <v>20</v>
      </c>
      <c r="D545" s="53" t="s">
        <v>52</v>
      </c>
      <c r="E545" s="47" t="s">
        <v>1455</v>
      </c>
      <c r="F545" s="49" t="s">
        <v>764</v>
      </c>
      <c r="G545" s="29" t="s">
        <v>664</v>
      </c>
      <c r="H545" s="48" t="s">
        <v>765</v>
      </c>
      <c r="I545" s="48" t="s">
        <v>1458</v>
      </c>
      <c r="J545" s="49" t="s">
        <v>1459</v>
      </c>
      <c r="K545" s="50">
        <v>18.0</v>
      </c>
      <c r="L545" s="29" t="s">
        <v>1555</v>
      </c>
      <c r="M545" s="22" t="s">
        <v>669</v>
      </c>
      <c r="N545" s="34"/>
      <c r="O545" s="48"/>
      <c r="P545" s="51"/>
      <c r="Q545" s="51"/>
      <c r="R545" s="34"/>
      <c r="S545" s="34"/>
      <c r="T545" s="34"/>
      <c r="U545" s="34">
        <v>513.0</v>
      </c>
      <c r="V545" s="29" t="s">
        <v>107</v>
      </c>
      <c r="W545" s="34"/>
      <c r="X545" s="29"/>
    </row>
    <row r="546" ht="15.75" customHeight="1">
      <c r="A546" s="27" t="s">
        <v>660</v>
      </c>
      <c r="B546" s="22" t="s">
        <v>1540</v>
      </c>
      <c r="C546" s="53" t="s">
        <v>20</v>
      </c>
      <c r="D546" s="53" t="s">
        <v>52</v>
      </c>
      <c r="E546" s="47" t="s">
        <v>1455</v>
      </c>
      <c r="F546" s="49" t="s">
        <v>764</v>
      </c>
      <c r="G546" s="29" t="s">
        <v>664</v>
      </c>
      <c r="H546" s="48" t="s">
        <v>771</v>
      </c>
      <c r="I546" s="48" t="s">
        <v>1462</v>
      </c>
      <c r="J546" s="49" t="s">
        <v>1556</v>
      </c>
      <c r="K546" s="50">
        <v>19.0</v>
      </c>
      <c r="L546" s="29" t="s">
        <v>1557</v>
      </c>
      <c r="M546" s="22" t="s">
        <v>669</v>
      </c>
      <c r="N546" s="34"/>
      <c r="O546" s="48"/>
      <c r="P546" s="51"/>
      <c r="Q546" s="51"/>
      <c r="R546" s="34"/>
      <c r="S546" s="34"/>
      <c r="T546" s="34"/>
      <c r="U546" s="34">
        <v>514.0</v>
      </c>
      <c r="V546" s="29" t="s">
        <v>107</v>
      </c>
      <c r="W546" s="34"/>
      <c r="X546" s="29"/>
    </row>
    <row r="547" ht="15.75" customHeight="1">
      <c r="A547" s="27" t="s">
        <v>660</v>
      </c>
      <c r="B547" s="22" t="s">
        <v>1540</v>
      </c>
      <c r="C547" s="53" t="s">
        <v>20</v>
      </c>
      <c r="D547" s="53" t="s">
        <v>52</v>
      </c>
      <c r="E547" s="47" t="s">
        <v>1455</v>
      </c>
      <c r="F547" s="49" t="s">
        <v>764</v>
      </c>
      <c r="G547" s="29" t="s">
        <v>664</v>
      </c>
      <c r="H547" s="48" t="s">
        <v>771</v>
      </c>
      <c r="I547" s="48" t="s">
        <v>1462</v>
      </c>
      <c r="J547" s="49" t="s">
        <v>1556</v>
      </c>
      <c r="K547" s="50">
        <v>20.0</v>
      </c>
      <c r="L547" s="29" t="s">
        <v>1558</v>
      </c>
      <c r="M547" s="22" t="s">
        <v>669</v>
      </c>
      <c r="N547" s="34"/>
      <c r="O547" s="48"/>
      <c r="P547" s="51"/>
      <c r="Q547" s="51"/>
      <c r="R547" s="34"/>
      <c r="S547" s="34"/>
      <c r="T547" s="34"/>
      <c r="U547" s="34">
        <v>515.0</v>
      </c>
      <c r="V547" s="29" t="s">
        <v>107</v>
      </c>
      <c r="W547" s="34"/>
      <c r="X547" s="29"/>
    </row>
    <row r="548" ht="15.75" customHeight="1">
      <c r="A548" s="27" t="s">
        <v>660</v>
      </c>
      <c r="B548" s="22" t="s">
        <v>1540</v>
      </c>
      <c r="C548" s="53" t="s">
        <v>20</v>
      </c>
      <c r="D548" s="53" t="s">
        <v>52</v>
      </c>
      <c r="E548" s="47" t="s">
        <v>1455</v>
      </c>
      <c r="F548" s="49" t="s">
        <v>764</v>
      </c>
      <c r="G548" s="29" t="s">
        <v>664</v>
      </c>
      <c r="H548" s="48" t="s">
        <v>771</v>
      </c>
      <c r="I548" s="48" t="s">
        <v>1462</v>
      </c>
      <c r="J548" s="49" t="s">
        <v>1556</v>
      </c>
      <c r="K548" s="50">
        <v>21.0</v>
      </c>
      <c r="L548" s="29" t="s">
        <v>1559</v>
      </c>
      <c r="M548" s="22" t="s">
        <v>669</v>
      </c>
      <c r="N548" s="34"/>
      <c r="O548" s="48"/>
      <c r="P548" s="51"/>
      <c r="Q548" s="51"/>
      <c r="R548" s="34"/>
      <c r="S548" s="34"/>
      <c r="T548" s="34"/>
      <c r="U548" s="34">
        <v>516.0</v>
      </c>
      <c r="V548" s="29" t="s">
        <v>107</v>
      </c>
      <c r="W548" s="34"/>
      <c r="X548" s="29"/>
    </row>
    <row r="549" ht="15.75" customHeight="1">
      <c r="A549" s="27" t="s">
        <v>660</v>
      </c>
      <c r="B549" s="22" t="s">
        <v>1540</v>
      </c>
      <c r="C549" s="53" t="s">
        <v>20</v>
      </c>
      <c r="D549" s="53" t="s">
        <v>52</v>
      </c>
      <c r="E549" s="47" t="s">
        <v>1455</v>
      </c>
      <c r="F549" s="49" t="s">
        <v>764</v>
      </c>
      <c r="G549" s="29" t="s">
        <v>664</v>
      </c>
      <c r="H549" s="48" t="s">
        <v>771</v>
      </c>
      <c r="I549" s="48" t="s">
        <v>1462</v>
      </c>
      <c r="J549" s="49" t="s">
        <v>1556</v>
      </c>
      <c r="K549" s="50">
        <v>22.0</v>
      </c>
      <c r="L549" s="29" t="s">
        <v>1560</v>
      </c>
      <c r="M549" s="22" t="s">
        <v>669</v>
      </c>
      <c r="N549" s="34"/>
      <c r="O549" s="48"/>
      <c r="P549" s="51"/>
      <c r="Q549" s="51"/>
      <c r="R549" s="34"/>
      <c r="S549" s="34"/>
      <c r="T549" s="34"/>
      <c r="U549" s="34">
        <v>517.0</v>
      </c>
      <c r="V549" s="29" t="s">
        <v>107</v>
      </c>
      <c r="W549" s="34"/>
      <c r="X549" s="29"/>
    </row>
    <row r="550" ht="15.75" customHeight="1">
      <c r="A550" s="27" t="s">
        <v>660</v>
      </c>
      <c r="B550" s="22" t="s">
        <v>1540</v>
      </c>
      <c r="C550" s="53" t="s">
        <v>20</v>
      </c>
      <c r="D550" s="53" t="s">
        <v>52</v>
      </c>
      <c r="E550" s="47" t="s">
        <v>1455</v>
      </c>
      <c r="F550" s="49" t="s">
        <v>764</v>
      </c>
      <c r="G550" s="29" t="s">
        <v>664</v>
      </c>
      <c r="H550" s="48" t="s">
        <v>771</v>
      </c>
      <c r="I550" s="48" t="s">
        <v>1462</v>
      </c>
      <c r="J550" s="49" t="s">
        <v>1556</v>
      </c>
      <c r="K550" s="50">
        <v>23.0</v>
      </c>
      <c r="L550" s="29" t="s">
        <v>1561</v>
      </c>
      <c r="M550" s="22" t="s">
        <v>669</v>
      </c>
      <c r="N550" s="34"/>
      <c r="O550" s="48"/>
      <c r="P550" s="51"/>
      <c r="Q550" s="51"/>
      <c r="R550" s="34"/>
      <c r="S550" s="34"/>
      <c r="T550" s="34"/>
      <c r="U550" s="34">
        <v>518.0</v>
      </c>
      <c r="V550" s="29" t="s">
        <v>107</v>
      </c>
      <c r="W550" s="34"/>
      <c r="X550" s="29"/>
    </row>
    <row r="551" ht="15.75" customHeight="1">
      <c r="A551" s="27" t="s">
        <v>660</v>
      </c>
      <c r="B551" s="22" t="s">
        <v>1540</v>
      </c>
      <c r="C551" s="53" t="s">
        <v>20</v>
      </c>
      <c r="D551" s="53" t="s">
        <v>52</v>
      </c>
      <c r="E551" s="47" t="s">
        <v>1455</v>
      </c>
      <c r="F551" s="49" t="s">
        <v>764</v>
      </c>
      <c r="G551" s="29" t="s">
        <v>664</v>
      </c>
      <c r="H551" s="48" t="s">
        <v>771</v>
      </c>
      <c r="I551" s="48" t="s">
        <v>1462</v>
      </c>
      <c r="J551" s="49" t="s">
        <v>1556</v>
      </c>
      <c r="K551" s="50">
        <v>24.0</v>
      </c>
      <c r="L551" s="29" t="s">
        <v>1469</v>
      </c>
      <c r="M551" s="22" t="s">
        <v>669</v>
      </c>
      <c r="N551" s="34"/>
      <c r="O551" s="48"/>
      <c r="P551" s="51"/>
      <c r="Q551" s="51"/>
      <c r="R551" s="34"/>
      <c r="S551" s="34"/>
      <c r="T551" s="34"/>
      <c r="U551" s="34">
        <v>519.0</v>
      </c>
      <c r="V551" s="29" t="s">
        <v>107</v>
      </c>
      <c r="W551" s="34"/>
      <c r="X551" s="29"/>
    </row>
    <row r="552" ht="15.75" customHeight="1">
      <c r="A552" s="27" t="s">
        <v>660</v>
      </c>
      <c r="B552" s="22" t="s">
        <v>1540</v>
      </c>
      <c r="C552" s="53" t="s">
        <v>20</v>
      </c>
      <c r="D552" s="53" t="s">
        <v>52</v>
      </c>
      <c r="E552" s="47" t="s">
        <v>1455</v>
      </c>
      <c r="F552" s="49" t="s">
        <v>764</v>
      </c>
      <c r="G552" s="29" t="s">
        <v>664</v>
      </c>
      <c r="H552" s="48" t="s">
        <v>771</v>
      </c>
      <c r="I552" s="48" t="s">
        <v>1462</v>
      </c>
      <c r="J552" s="49" t="s">
        <v>1556</v>
      </c>
      <c r="K552" s="50">
        <v>25.0</v>
      </c>
      <c r="L552" s="29" t="s">
        <v>1562</v>
      </c>
      <c r="M552" s="22" t="s">
        <v>669</v>
      </c>
      <c r="N552" s="34"/>
      <c r="O552" s="48"/>
      <c r="P552" s="51"/>
      <c r="Q552" s="51"/>
      <c r="R552" s="34"/>
      <c r="S552" s="34"/>
      <c r="T552" s="34"/>
      <c r="U552" s="34">
        <v>520.0</v>
      </c>
      <c r="V552" s="29" t="s">
        <v>107</v>
      </c>
      <c r="W552" s="34"/>
      <c r="X552" s="29"/>
    </row>
    <row r="553" ht="15.75" customHeight="1">
      <c r="A553" s="27" t="s">
        <v>660</v>
      </c>
      <c r="B553" s="22" t="s">
        <v>1540</v>
      </c>
      <c r="C553" s="53" t="s">
        <v>20</v>
      </c>
      <c r="D553" s="53" t="s">
        <v>52</v>
      </c>
      <c r="E553" s="47" t="s">
        <v>1455</v>
      </c>
      <c r="F553" s="49" t="s">
        <v>764</v>
      </c>
      <c r="G553" s="29" t="s">
        <v>664</v>
      </c>
      <c r="H553" s="48" t="s">
        <v>771</v>
      </c>
      <c r="I553" s="48" t="s">
        <v>1462</v>
      </c>
      <c r="J553" s="49" t="s">
        <v>1556</v>
      </c>
      <c r="K553" s="50">
        <v>26.0</v>
      </c>
      <c r="L553" s="29" t="s">
        <v>1563</v>
      </c>
      <c r="M553" s="22" t="s">
        <v>669</v>
      </c>
      <c r="N553" s="34"/>
      <c r="O553" s="48"/>
      <c r="P553" s="51"/>
      <c r="Q553" s="51"/>
      <c r="R553" s="34"/>
      <c r="S553" s="34"/>
      <c r="T553" s="34"/>
      <c r="U553" s="34">
        <v>521.0</v>
      </c>
      <c r="V553" s="29" t="s">
        <v>107</v>
      </c>
      <c r="W553" s="34"/>
      <c r="X553" s="29"/>
    </row>
    <row r="554" ht="15.75" customHeight="1">
      <c r="A554" s="27" t="s">
        <v>660</v>
      </c>
      <c r="B554" s="22" t="s">
        <v>1540</v>
      </c>
      <c r="C554" s="53" t="s">
        <v>20</v>
      </c>
      <c r="D554" s="53" t="s">
        <v>52</v>
      </c>
      <c r="E554" s="47" t="s">
        <v>1455</v>
      </c>
      <c r="F554" s="49" t="s">
        <v>790</v>
      </c>
      <c r="G554" s="29" t="s">
        <v>714</v>
      </c>
      <c r="H554" s="48" t="s">
        <v>771</v>
      </c>
      <c r="I554" s="48" t="s">
        <v>1462</v>
      </c>
      <c r="J554" s="49" t="s">
        <v>1556</v>
      </c>
      <c r="K554" s="50">
        <v>27.0</v>
      </c>
      <c r="L554" s="29" t="s">
        <v>1564</v>
      </c>
      <c r="M554" s="22" t="s">
        <v>669</v>
      </c>
      <c r="N554" s="34"/>
      <c r="O554" s="48"/>
      <c r="P554" s="51"/>
      <c r="Q554" s="51"/>
      <c r="R554" s="34"/>
      <c r="S554" s="34"/>
      <c r="T554" s="34"/>
      <c r="U554" s="34">
        <v>523.0</v>
      </c>
      <c r="V554" s="29" t="s">
        <v>107</v>
      </c>
      <c r="W554" s="34"/>
      <c r="X554" s="29"/>
    </row>
    <row r="555" ht="15.75" customHeight="1">
      <c r="A555" s="27" t="s">
        <v>660</v>
      </c>
      <c r="B555" s="22" t="s">
        <v>1540</v>
      </c>
      <c r="C555" s="53" t="s">
        <v>20</v>
      </c>
      <c r="D555" s="53" t="s">
        <v>52</v>
      </c>
      <c r="E555" s="47" t="s">
        <v>1455</v>
      </c>
      <c r="F555" s="49" t="s">
        <v>790</v>
      </c>
      <c r="G555" s="29" t="s">
        <v>714</v>
      </c>
      <c r="H555" s="48" t="s">
        <v>791</v>
      </c>
      <c r="I555" s="48" t="s">
        <v>52</v>
      </c>
      <c r="J555" s="49" t="s">
        <v>1475</v>
      </c>
      <c r="K555" s="50">
        <v>28.0</v>
      </c>
      <c r="L555" s="29" t="s">
        <v>1476</v>
      </c>
      <c r="M555" s="22" t="s">
        <v>669</v>
      </c>
      <c r="N555" s="34"/>
      <c r="O555" s="48"/>
      <c r="P555" s="51"/>
      <c r="Q555" s="51"/>
      <c r="R555" s="34"/>
      <c r="S555" s="34"/>
      <c r="T555" s="34"/>
      <c r="U555" s="34">
        <v>524.0</v>
      </c>
      <c r="V555" s="29" t="s">
        <v>107</v>
      </c>
      <c r="W555" s="34"/>
      <c r="X555" s="29"/>
    </row>
    <row r="556" ht="15.75" customHeight="1">
      <c r="A556" s="27" t="s">
        <v>660</v>
      </c>
      <c r="B556" s="22" t="s">
        <v>1540</v>
      </c>
      <c r="C556" s="53" t="s">
        <v>20</v>
      </c>
      <c r="D556" s="53" t="s">
        <v>52</v>
      </c>
      <c r="E556" s="47" t="s">
        <v>1455</v>
      </c>
      <c r="F556" s="49" t="s">
        <v>790</v>
      </c>
      <c r="G556" s="29" t="s">
        <v>714</v>
      </c>
      <c r="H556" s="48" t="s">
        <v>791</v>
      </c>
      <c r="I556" s="48" t="s">
        <v>52</v>
      </c>
      <c r="J556" s="49" t="s">
        <v>1475</v>
      </c>
      <c r="K556" s="50">
        <v>29.0</v>
      </c>
      <c r="L556" s="29" t="s">
        <v>1565</v>
      </c>
      <c r="M556" s="22" t="s">
        <v>669</v>
      </c>
      <c r="N556" s="34"/>
      <c r="O556" s="48"/>
      <c r="P556" s="51"/>
      <c r="Q556" s="51"/>
      <c r="R556" s="34"/>
      <c r="S556" s="34"/>
      <c r="T556" s="34"/>
      <c r="U556" s="34">
        <v>525.0</v>
      </c>
      <c r="V556" s="29" t="s">
        <v>107</v>
      </c>
      <c r="W556" s="34"/>
      <c r="X556" s="29"/>
    </row>
    <row r="557" ht="15.75" customHeight="1">
      <c r="A557" s="27" t="s">
        <v>660</v>
      </c>
      <c r="B557" s="22" t="s">
        <v>1540</v>
      </c>
      <c r="C557" s="53" t="s">
        <v>23</v>
      </c>
      <c r="D557" s="53" t="s">
        <v>52</v>
      </c>
      <c r="E557" s="47" t="s">
        <v>1455</v>
      </c>
      <c r="F557" s="54">
        <v>45294.0</v>
      </c>
      <c r="G557" s="29" t="s">
        <v>664</v>
      </c>
      <c r="H557" s="48" t="s">
        <v>791</v>
      </c>
      <c r="I557" s="48" t="s">
        <v>52</v>
      </c>
      <c r="J557" s="49" t="s">
        <v>1475</v>
      </c>
      <c r="K557" s="50">
        <v>30.0</v>
      </c>
      <c r="L557" s="29" t="s">
        <v>1566</v>
      </c>
      <c r="M557" s="22" t="s">
        <v>669</v>
      </c>
      <c r="N557" s="34"/>
      <c r="O557" s="48"/>
      <c r="P557" s="51"/>
      <c r="Q557" s="51"/>
      <c r="R557" s="34"/>
      <c r="S557" s="34"/>
      <c r="T557" s="34"/>
      <c r="U557" s="34">
        <v>532.0</v>
      </c>
      <c r="V557" s="29" t="s">
        <v>107</v>
      </c>
      <c r="W557" s="34"/>
      <c r="X557" s="29"/>
    </row>
    <row r="558" ht="15.75" customHeight="1">
      <c r="A558" s="27" t="s">
        <v>660</v>
      </c>
      <c r="B558" s="22" t="s">
        <v>1540</v>
      </c>
      <c r="C558" s="53" t="s">
        <v>23</v>
      </c>
      <c r="D558" s="53" t="s">
        <v>24</v>
      </c>
      <c r="E558" s="47" t="s">
        <v>811</v>
      </c>
      <c r="F558" s="54">
        <v>45294.0</v>
      </c>
      <c r="G558" s="29" t="s">
        <v>664</v>
      </c>
      <c r="H558" s="48" t="s">
        <v>812</v>
      </c>
      <c r="I558" s="48" t="s">
        <v>822</v>
      </c>
      <c r="J558" s="49" t="s">
        <v>823</v>
      </c>
      <c r="K558" s="50">
        <v>31.0</v>
      </c>
      <c r="L558" s="29" t="s">
        <v>1567</v>
      </c>
      <c r="M558" s="22" t="s">
        <v>669</v>
      </c>
      <c r="N558" s="34"/>
      <c r="O558" s="48"/>
      <c r="P558" s="51"/>
      <c r="Q558" s="51"/>
      <c r="R558" s="34"/>
      <c r="S558" s="34"/>
      <c r="T558" s="34"/>
      <c r="U558" s="34">
        <v>533.0</v>
      </c>
      <c r="V558" s="29" t="s">
        <v>107</v>
      </c>
      <c r="W558" s="34"/>
      <c r="X558" s="29"/>
    </row>
    <row r="559" ht="15.75" customHeight="1">
      <c r="A559" s="27" t="s">
        <v>660</v>
      </c>
      <c r="B559" s="22" t="s">
        <v>1540</v>
      </c>
      <c r="C559" s="53" t="s">
        <v>23</v>
      </c>
      <c r="D559" s="53" t="s">
        <v>24</v>
      </c>
      <c r="E559" s="47" t="s">
        <v>811</v>
      </c>
      <c r="F559" s="54">
        <v>45294.0</v>
      </c>
      <c r="G559" s="29" t="s">
        <v>664</v>
      </c>
      <c r="H559" s="48" t="s">
        <v>812</v>
      </c>
      <c r="I559" s="48" t="s">
        <v>822</v>
      </c>
      <c r="J559" s="49" t="s">
        <v>823</v>
      </c>
      <c r="K559" s="50">
        <v>32.0</v>
      </c>
      <c r="L559" s="29" t="s">
        <v>825</v>
      </c>
      <c r="M559" s="22" t="s">
        <v>669</v>
      </c>
      <c r="N559" s="34"/>
      <c r="O559" s="48"/>
      <c r="P559" s="51"/>
      <c r="Q559" s="51"/>
      <c r="R559" s="34"/>
      <c r="S559" s="34"/>
      <c r="T559" s="34"/>
      <c r="U559" s="34">
        <v>534.0</v>
      </c>
      <c r="V559" s="29" t="s">
        <v>107</v>
      </c>
      <c r="W559" s="34"/>
      <c r="X559" s="29"/>
    </row>
    <row r="560" ht="15.75" customHeight="1">
      <c r="A560" s="27" t="s">
        <v>660</v>
      </c>
      <c r="B560" s="22" t="s">
        <v>1540</v>
      </c>
      <c r="C560" s="53" t="s">
        <v>23</v>
      </c>
      <c r="D560" s="53" t="s">
        <v>24</v>
      </c>
      <c r="E560" s="47" t="s">
        <v>811</v>
      </c>
      <c r="F560" s="54">
        <v>45294.0</v>
      </c>
      <c r="G560" s="29" t="s">
        <v>664</v>
      </c>
      <c r="H560" s="48" t="s">
        <v>812</v>
      </c>
      <c r="I560" s="48" t="s">
        <v>822</v>
      </c>
      <c r="J560" s="49" t="s">
        <v>823</v>
      </c>
      <c r="K560" s="50">
        <v>33.0</v>
      </c>
      <c r="L560" s="29" t="s">
        <v>1568</v>
      </c>
      <c r="M560" s="22" t="s">
        <v>669</v>
      </c>
      <c r="N560" s="34"/>
      <c r="O560" s="48"/>
      <c r="P560" s="51"/>
      <c r="Q560" s="51"/>
      <c r="R560" s="34"/>
      <c r="S560" s="34"/>
      <c r="T560" s="34"/>
      <c r="U560" s="34">
        <v>535.0</v>
      </c>
      <c r="V560" s="29" t="s">
        <v>107</v>
      </c>
      <c r="W560" s="34"/>
      <c r="X560" s="29"/>
    </row>
    <row r="561" ht="15.75" customHeight="1">
      <c r="A561" s="27" t="s">
        <v>660</v>
      </c>
      <c r="B561" s="22" t="s">
        <v>1540</v>
      </c>
      <c r="C561" s="53" t="s">
        <v>23</v>
      </c>
      <c r="D561" s="53" t="s">
        <v>24</v>
      </c>
      <c r="E561" s="47" t="s">
        <v>811</v>
      </c>
      <c r="F561" s="54">
        <v>45294.0</v>
      </c>
      <c r="G561" s="29" t="s">
        <v>664</v>
      </c>
      <c r="H561" s="48" t="s">
        <v>817</v>
      </c>
      <c r="I561" s="48" t="s">
        <v>1569</v>
      </c>
      <c r="J561" s="49" t="s">
        <v>1570</v>
      </c>
      <c r="K561" s="50">
        <v>34.0</v>
      </c>
      <c r="L561" s="29" t="s">
        <v>1571</v>
      </c>
      <c r="M561" s="22" t="s">
        <v>669</v>
      </c>
      <c r="N561" s="34"/>
      <c r="O561" s="48"/>
      <c r="P561" s="51"/>
      <c r="Q561" s="51"/>
      <c r="R561" s="34"/>
      <c r="S561" s="34"/>
      <c r="T561" s="34"/>
      <c r="U561" s="34">
        <v>536.0</v>
      </c>
      <c r="V561" s="29" t="s">
        <v>107</v>
      </c>
      <c r="W561" s="34"/>
      <c r="X561" s="29"/>
    </row>
    <row r="562" ht="15.75" customHeight="1">
      <c r="A562" s="27" t="s">
        <v>660</v>
      </c>
      <c r="B562" s="22" t="s">
        <v>1540</v>
      </c>
      <c r="C562" s="53" t="s">
        <v>23</v>
      </c>
      <c r="D562" s="53" t="s">
        <v>24</v>
      </c>
      <c r="E562" s="47" t="s">
        <v>811</v>
      </c>
      <c r="F562" s="54">
        <v>45294.0</v>
      </c>
      <c r="G562" s="29" t="s">
        <v>664</v>
      </c>
      <c r="H562" s="48" t="s">
        <v>821</v>
      </c>
      <c r="I562" s="48" t="s">
        <v>828</v>
      </c>
      <c r="J562" s="49" t="s">
        <v>1572</v>
      </c>
      <c r="K562" s="50">
        <v>35.0</v>
      </c>
      <c r="L562" s="29" t="s">
        <v>830</v>
      </c>
      <c r="M562" s="22" t="s">
        <v>669</v>
      </c>
      <c r="N562" s="34"/>
      <c r="O562" s="48"/>
      <c r="P562" s="51"/>
      <c r="Q562" s="51"/>
      <c r="R562" s="34"/>
      <c r="S562" s="34"/>
      <c r="T562" s="34"/>
      <c r="U562" s="34">
        <v>537.0</v>
      </c>
      <c r="V562" s="29" t="s">
        <v>107</v>
      </c>
      <c r="W562" s="34"/>
      <c r="X562" s="29"/>
    </row>
    <row r="563" ht="15.75" customHeight="1">
      <c r="A563" s="27" t="s">
        <v>660</v>
      </c>
      <c r="B563" s="22" t="s">
        <v>1540</v>
      </c>
      <c r="C563" s="53" t="s">
        <v>23</v>
      </c>
      <c r="D563" s="53" t="s">
        <v>24</v>
      </c>
      <c r="E563" s="47" t="s">
        <v>811</v>
      </c>
      <c r="F563" s="54">
        <v>45294.0</v>
      </c>
      <c r="G563" s="29" t="s">
        <v>664</v>
      </c>
      <c r="H563" s="48" t="s">
        <v>821</v>
      </c>
      <c r="I563" s="48" t="s">
        <v>828</v>
      </c>
      <c r="J563" s="49" t="s">
        <v>1572</v>
      </c>
      <c r="K563" s="50">
        <v>36.0</v>
      </c>
      <c r="L563" s="29" t="s">
        <v>831</v>
      </c>
      <c r="M563" s="22" t="s">
        <v>669</v>
      </c>
      <c r="N563" s="34"/>
      <c r="O563" s="48"/>
      <c r="P563" s="51"/>
      <c r="Q563" s="51"/>
      <c r="R563" s="34"/>
      <c r="S563" s="34"/>
      <c r="T563" s="34"/>
      <c r="U563" s="34">
        <v>538.0</v>
      </c>
      <c r="V563" s="29" t="s">
        <v>107</v>
      </c>
      <c r="W563" s="34"/>
      <c r="X563" s="29"/>
    </row>
    <row r="564" ht="15.75" customHeight="1">
      <c r="A564" s="27" t="s">
        <v>660</v>
      </c>
      <c r="B564" s="22" t="s">
        <v>1540</v>
      </c>
      <c r="C564" s="53" t="s">
        <v>23</v>
      </c>
      <c r="D564" s="53" t="s">
        <v>24</v>
      </c>
      <c r="E564" s="47" t="s">
        <v>811</v>
      </c>
      <c r="F564" s="54">
        <v>45294.0</v>
      </c>
      <c r="G564" s="29" t="s">
        <v>664</v>
      </c>
      <c r="H564" s="48" t="s">
        <v>827</v>
      </c>
      <c r="I564" s="48" t="s">
        <v>1573</v>
      </c>
      <c r="J564" s="49" t="s">
        <v>1574</v>
      </c>
      <c r="K564" s="50">
        <v>37.0</v>
      </c>
      <c r="L564" s="29" t="s">
        <v>1575</v>
      </c>
      <c r="M564" s="22" t="s">
        <v>669</v>
      </c>
      <c r="N564" s="34"/>
      <c r="O564" s="48"/>
      <c r="P564" s="51"/>
      <c r="Q564" s="51"/>
      <c r="R564" s="34"/>
      <c r="S564" s="34"/>
      <c r="T564" s="34"/>
      <c r="U564" s="34">
        <v>539.0</v>
      </c>
      <c r="V564" s="29" t="s">
        <v>107</v>
      </c>
      <c r="W564" s="34"/>
      <c r="X564" s="29"/>
    </row>
    <row r="565" ht="15.75" customHeight="1">
      <c r="A565" s="27" t="s">
        <v>660</v>
      </c>
      <c r="B565" s="22" t="s">
        <v>1540</v>
      </c>
      <c r="C565" s="53" t="s">
        <v>23</v>
      </c>
      <c r="D565" s="53" t="s">
        <v>24</v>
      </c>
      <c r="E565" s="47" t="s">
        <v>811</v>
      </c>
      <c r="F565" s="54">
        <v>45294.0</v>
      </c>
      <c r="G565" s="29" t="s">
        <v>664</v>
      </c>
      <c r="H565" s="48" t="s">
        <v>832</v>
      </c>
      <c r="I565" s="48" t="s">
        <v>842</v>
      </c>
      <c r="J565" s="49" t="s">
        <v>843</v>
      </c>
      <c r="K565" s="50">
        <v>38.0</v>
      </c>
      <c r="L565" s="29" t="s">
        <v>844</v>
      </c>
      <c r="M565" s="22" t="s">
        <v>669</v>
      </c>
      <c r="N565" s="34"/>
      <c r="O565" s="48"/>
      <c r="P565" s="51"/>
      <c r="Q565" s="51"/>
      <c r="R565" s="34"/>
      <c r="S565" s="34"/>
      <c r="T565" s="34"/>
      <c r="U565" s="34">
        <v>540.0</v>
      </c>
      <c r="V565" s="29" t="s">
        <v>107</v>
      </c>
      <c r="W565" s="34"/>
      <c r="X565" s="29"/>
    </row>
    <row r="566" ht="15.75" customHeight="1">
      <c r="A566" s="27" t="s">
        <v>660</v>
      </c>
      <c r="B566" s="22" t="s">
        <v>1540</v>
      </c>
      <c r="C566" s="53" t="s">
        <v>23</v>
      </c>
      <c r="D566" s="53" t="s">
        <v>24</v>
      </c>
      <c r="E566" s="47" t="s">
        <v>811</v>
      </c>
      <c r="F566" s="54">
        <v>45294.0</v>
      </c>
      <c r="G566" s="29" t="s">
        <v>664</v>
      </c>
      <c r="H566" s="48" t="s">
        <v>837</v>
      </c>
      <c r="I566" s="48" t="s">
        <v>850</v>
      </c>
      <c r="J566" s="49" t="s">
        <v>1576</v>
      </c>
      <c r="K566" s="50">
        <v>39.0</v>
      </c>
      <c r="L566" s="29" t="s">
        <v>1577</v>
      </c>
      <c r="M566" s="22" t="s">
        <v>669</v>
      </c>
      <c r="N566" s="34"/>
      <c r="O566" s="48"/>
      <c r="P566" s="51"/>
      <c r="Q566" s="51"/>
      <c r="R566" s="34"/>
      <c r="S566" s="34"/>
      <c r="T566" s="34"/>
      <c r="U566" s="34">
        <v>541.0</v>
      </c>
      <c r="V566" s="29" t="s">
        <v>107</v>
      </c>
      <c r="W566" s="34"/>
      <c r="X566" s="29"/>
    </row>
    <row r="567" ht="15.75" customHeight="1">
      <c r="A567" s="27" t="s">
        <v>660</v>
      </c>
      <c r="B567" s="22" t="s">
        <v>1540</v>
      </c>
      <c r="C567" s="53" t="s">
        <v>23</v>
      </c>
      <c r="D567" s="53" t="s">
        <v>24</v>
      </c>
      <c r="E567" s="47" t="s">
        <v>811</v>
      </c>
      <c r="F567" s="29" t="s">
        <v>857</v>
      </c>
      <c r="G567" s="29" t="s">
        <v>714</v>
      </c>
      <c r="H567" s="48" t="s">
        <v>841</v>
      </c>
      <c r="I567" s="48" t="s">
        <v>854</v>
      </c>
      <c r="J567" s="49" t="s">
        <v>1578</v>
      </c>
      <c r="K567" s="50">
        <v>40.0</v>
      </c>
      <c r="L567" s="29" t="s">
        <v>856</v>
      </c>
      <c r="M567" s="22" t="s">
        <v>669</v>
      </c>
      <c r="N567" s="34"/>
      <c r="O567" s="48"/>
      <c r="P567" s="51"/>
      <c r="Q567" s="51"/>
      <c r="R567" s="34"/>
      <c r="S567" s="34"/>
      <c r="T567" s="34"/>
      <c r="U567" s="34">
        <v>543.0</v>
      </c>
      <c r="V567" s="29" t="s">
        <v>107</v>
      </c>
      <c r="W567" s="34"/>
      <c r="X567" s="29"/>
    </row>
    <row r="568" ht="15.75" customHeight="1">
      <c r="A568" s="27" t="s">
        <v>660</v>
      </c>
      <c r="B568" s="22" t="s">
        <v>1540</v>
      </c>
      <c r="C568" s="53" t="s">
        <v>23</v>
      </c>
      <c r="D568" s="53" t="s">
        <v>24</v>
      </c>
      <c r="E568" s="47" t="s">
        <v>811</v>
      </c>
      <c r="F568" s="29" t="s">
        <v>857</v>
      </c>
      <c r="G568" s="29" t="s">
        <v>714</v>
      </c>
      <c r="H568" s="48" t="s">
        <v>858</v>
      </c>
      <c r="I568" s="48" t="s">
        <v>863</v>
      </c>
      <c r="J568" s="49" t="s">
        <v>864</v>
      </c>
      <c r="K568" s="50">
        <v>41.0</v>
      </c>
      <c r="L568" s="29" t="s">
        <v>1579</v>
      </c>
      <c r="M568" s="22" t="s">
        <v>669</v>
      </c>
      <c r="N568" s="34"/>
      <c r="O568" s="48"/>
      <c r="P568" s="51"/>
      <c r="Q568" s="51"/>
      <c r="R568" s="34"/>
      <c r="S568" s="34"/>
      <c r="T568" s="34"/>
      <c r="U568" s="34">
        <v>544.0</v>
      </c>
      <c r="V568" s="29" t="s">
        <v>107</v>
      </c>
      <c r="W568" s="34"/>
      <c r="X568" s="29"/>
    </row>
    <row r="569" ht="15.75" customHeight="1">
      <c r="A569" s="27" t="s">
        <v>660</v>
      </c>
      <c r="B569" s="22" t="s">
        <v>1540</v>
      </c>
      <c r="C569" s="53" t="s">
        <v>23</v>
      </c>
      <c r="D569" s="53" t="s">
        <v>24</v>
      </c>
      <c r="E569" s="47" t="s">
        <v>811</v>
      </c>
      <c r="F569" s="29" t="s">
        <v>857</v>
      </c>
      <c r="G569" s="29" t="s">
        <v>714</v>
      </c>
      <c r="H569" s="48" t="s">
        <v>862</v>
      </c>
      <c r="I569" s="48" t="s">
        <v>867</v>
      </c>
      <c r="J569" s="49" t="s">
        <v>868</v>
      </c>
      <c r="K569" s="50">
        <v>42.0</v>
      </c>
      <c r="L569" s="29" t="s">
        <v>869</v>
      </c>
      <c r="M569" s="22" t="s">
        <v>669</v>
      </c>
      <c r="N569" s="34"/>
      <c r="O569" s="48"/>
      <c r="P569" s="51"/>
      <c r="Q569" s="51"/>
      <c r="R569" s="34"/>
      <c r="S569" s="34"/>
      <c r="T569" s="34"/>
      <c r="U569" s="34">
        <v>545.0</v>
      </c>
      <c r="V569" s="29" t="s">
        <v>107</v>
      </c>
      <c r="W569" s="34"/>
      <c r="X569" s="29"/>
    </row>
    <row r="570" ht="15.75" customHeight="1">
      <c r="A570" s="27" t="s">
        <v>660</v>
      </c>
      <c r="B570" s="22" t="s">
        <v>1540</v>
      </c>
      <c r="C570" s="53" t="s">
        <v>23</v>
      </c>
      <c r="D570" s="53" t="s">
        <v>24</v>
      </c>
      <c r="E570" s="47" t="s">
        <v>811</v>
      </c>
      <c r="F570" s="29" t="s">
        <v>857</v>
      </c>
      <c r="G570" s="29" t="s">
        <v>714</v>
      </c>
      <c r="H570" s="48" t="s">
        <v>866</v>
      </c>
      <c r="I570" s="48" t="s">
        <v>871</v>
      </c>
      <c r="J570" s="49" t="s">
        <v>872</v>
      </c>
      <c r="K570" s="50">
        <v>43.0</v>
      </c>
      <c r="L570" s="29" t="s">
        <v>873</v>
      </c>
      <c r="M570" s="22" t="s">
        <v>669</v>
      </c>
      <c r="N570" s="34"/>
      <c r="O570" s="48"/>
      <c r="P570" s="51"/>
      <c r="Q570" s="51"/>
      <c r="R570" s="34"/>
      <c r="S570" s="34"/>
      <c r="T570" s="34"/>
      <c r="U570" s="34">
        <v>546.0</v>
      </c>
      <c r="V570" s="29" t="s">
        <v>107</v>
      </c>
      <c r="W570" s="34"/>
      <c r="X570" s="29"/>
    </row>
    <row r="571" ht="15.75" customHeight="1">
      <c r="A571" s="27" t="s">
        <v>660</v>
      </c>
      <c r="B571" s="22" t="s">
        <v>1540</v>
      </c>
      <c r="C571" s="53" t="s">
        <v>23</v>
      </c>
      <c r="D571" s="53" t="s">
        <v>24</v>
      </c>
      <c r="E571" s="47" t="s">
        <v>811</v>
      </c>
      <c r="F571" s="29" t="s">
        <v>857</v>
      </c>
      <c r="G571" s="29" t="s">
        <v>714</v>
      </c>
      <c r="H571" s="48" t="s">
        <v>870</v>
      </c>
      <c r="I571" s="48" t="s">
        <v>1580</v>
      </c>
      <c r="J571" s="49" t="s">
        <v>1581</v>
      </c>
      <c r="K571" s="50">
        <v>44.0</v>
      </c>
      <c r="L571" s="29" t="s">
        <v>1582</v>
      </c>
      <c r="M571" s="22" t="s">
        <v>669</v>
      </c>
      <c r="N571" s="34"/>
      <c r="O571" s="48"/>
      <c r="P571" s="51"/>
      <c r="Q571" s="51"/>
      <c r="R571" s="34"/>
      <c r="S571" s="34"/>
      <c r="T571" s="34"/>
      <c r="U571" s="34">
        <v>547.0</v>
      </c>
      <c r="V571" s="29" t="s">
        <v>107</v>
      </c>
      <c r="W571" s="34"/>
      <c r="X571" s="29"/>
    </row>
    <row r="572" ht="15.75" customHeight="1">
      <c r="A572" s="27" t="s">
        <v>660</v>
      </c>
      <c r="B572" s="22" t="s">
        <v>1540</v>
      </c>
      <c r="C572" s="53" t="s">
        <v>23</v>
      </c>
      <c r="D572" s="53" t="s">
        <v>24</v>
      </c>
      <c r="E572" s="47" t="s">
        <v>811</v>
      </c>
      <c r="F572" s="29" t="s">
        <v>878</v>
      </c>
      <c r="G572" s="29" t="s">
        <v>749</v>
      </c>
      <c r="H572" s="48" t="s">
        <v>874</v>
      </c>
      <c r="I572" s="48" t="s">
        <v>875</v>
      </c>
      <c r="J572" s="49" t="s">
        <v>876</v>
      </c>
      <c r="K572" s="50">
        <v>45.0</v>
      </c>
      <c r="L572" s="29" t="s">
        <v>1583</v>
      </c>
      <c r="M572" s="22" t="s">
        <v>669</v>
      </c>
      <c r="N572" s="34"/>
      <c r="O572" s="48"/>
      <c r="P572" s="51"/>
      <c r="Q572" s="51"/>
      <c r="R572" s="34"/>
      <c r="S572" s="34"/>
      <c r="T572" s="34"/>
      <c r="U572" s="34">
        <v>549.0</v>
      </c>
      <c r="V572" s="29" t="s">
        <v>107</v>
      </c>
      <c r="W572" s="34"/>
      <c r="X572" s="29"/>
    </row>
    <row r="573" ht="15.75" customHeight="1">
      <c r="A573" s="27" t="s">
        <v>660</v>
      </c>
      <c r="B573" s="22" t="s">
        <v>1540</v>
      </c>
      <c r="C573" s="53" t="s">
        <v>25</v>
      </c>
      <c r="D573" s="53" t="s">
        <v>24</v>
      </c>
      <c r="E573" s="47" t="s">
        <v>811</v>
      </c>
      <c r="F573" s="49" t="s">
        <v>900</v>
      </c>
      <c r="G573" s="29" t="s">
        <v>664</v>
      </c>
      <c r="H573" s="48" t="s">
        <v>879</v>
      </c>
      <c r="I573" s="48" t="s">
        <v>892</v>
      </c>
      <c r="J573" s="49" t="s">
        <v>893</v>
      </c>
      <c r="K573" s="50">
        <v>46.0</v>
      </c>
      <c r="L573" s="29" t="s">
        <v>1584</v>
      </c>
      <c r="M573" s="22" t="s">
        <v>669</v>
      </c>
      <c r="N573" s="34"/>
      <c r="O573" s="48"/>
      <c r="P573" s="51"/>
      <c r="Q573" s="51"/>
      <c r="R573" s="34"/>
      <c r="S573" s="34"/>
      <c r="T573" s="34"/>
      <c r="U573" s="34">
        <v>556.0</v>
      </c>
      <c r="V573" s="29" t="s">
        <v>107</v>
      </c>
      <c r="W573" s="34"/>
      <c r="X573" s="29"/>
    </row>
    <row r="574" ht="15.75" customHeight="1">
      <c r="A574" s="27" t="s">
        <v>660</v>
      </c>
      <c r="B574" s="22" t="s">
        <v>1540</v>
      </c>
      <c r="C574" s="53" t="s">
        <v>25</v>
      </c>
      <c r="D574" s="53" t="s">
        <v>60</v>
      </c>
      <c r="E574" s="47" t="s">
        <v>1585</v>
      </c>
      <c r="F574" s="49" t="s">
        <v>935</v>
      </c>
      <c r="G574" s="29" t="s">
        <v>714</v>
      </c>
      <c r="H574" s="48" t="s">
        <v>901</v>
      </c>
      <c r="I574" s="48" t="s">
        <v>1586</v>
      </c>
      <c r="J574" s="49" t="s">
        <v>1587</v>
      </c>
      <c r="K574" s="50">
        <v>47.0</v>
      </c>
      <c r="L574" s="29" t="s">
        <v>1588</v>
      </c>
      <c r="M574" s="22" t="s">
        <v>669</v>
      </c>
      <c r="N574" s="34"/>
      <c r="O574" s="48"/>
      <c r="P574" s="51"/>
      <c r="Q574" s="51"/>
      <c r="R574" s="34"/>
      <c r="S574" s="34"/>
      <c r="T574" s="34"/>
      <c r="U574" s="34">
        <v>558.0</v>
      </c>
      <c r="V574" s="29" t="s">
        <v>107</v>
      </c>
      <c r="W574" s="34"/>
      <c r="X574" s="29"/>
    </row>
    <row r="575" ht="15.75" customHeight="1">
      <c r="A575" s="27" t="s">
        <v>660</v>
      </c>
      <c r="B575" s="22" t="s">
        <v>1540</v>
      </c>
      <c r="C575" s="53" t="s">
        <v>25</v>
      </c>
      <c r="D575" s="53" t="s">
        <v>60</v>
      </c>
      <c r="E575" s="47" t="s">
        <v>1585</v>
      </c>
      <c r="F575" s="49" t="s">
        <v>935</v>
      </c>
      <c r="G575" s="29" t="s">
        <v>714</v>
      </c>
      <c r="H575" s="48" t="s">
        <v>936</v>
      </c>
      <c r="I575" s="48" t="s">
        <v>1589</v>
      </c>
      <c r="J575" s="49" t="s">
        <v>1590</v>
      </c>
      <c r="K575" s="50">
        <v>48.0</v>
      </c>
      <c r="L575" s="29" t="s">
        <v>1591</v>
      </c>
      <c r="M575" s="22" t="s">
        <v>669</v>
      </c>
      <c r="N575" s="34"/>
      <c r="O575" s="48"/>
      <c r="P575" s="51"/>
      <c r="Q575" s="51"/>
      <c r="R575" s="34"/>
      <c r="S575" s="34"/>
      <c r="T575" s="34"/>
      <c r="U575" s="34">
        <v>559.0</v>
      </c>
      <c r="V575" s="29" t="s">
        <v>107</v>
      </c>
      <c r="W575" s="34"/>
      <c r="X575" s="29"/>
    </row>
    <row r="576" ht="15.75" customHeight="1">
      <c r="A576" s="27" t="s">
        <v>660</v>
      </c>
      <c r="B576" s="22" t="s">
        <v>1540</v>
      </c>
      <c r="C576" s="53" t="s">
        <v>25</v>
      </c>
      <c r="D576" s="53" t="s">
        <v>60</v>
      </c>
      <c r="E576" s="47" t="s">
        <v>1585</v>
      </c>
      <c r="F576" s="49" t="s">
        <v>935</v>
      </c>
      <c r="G576" s="29" t="s">
        <v>714</v>
      </c>
      <c r="H576" s="48" t="s">
        <v>936</v>
      </c>
      <c r="I576" s="48" t="s">
        <v>1589</v>
      </c>
      <c r="J576" s="49" t="s">
        <v>1590</v>
      </c>
      <c r="K576" s="50">
        <v>49.0</v>
      </c>
      <c r="L576" s="29" t="s">
        <v>1592</v>
      </c>
      <c r="M576" s="22" t="s">
        <v>669</v>
      </c>
      <c r="N576" s="34"/>
      <c r="O576" s="48"/>
      <c r="P576" s="51"/>
      <c r="Q576" s="51"/>
      <c r="R576" s="34"/>
      <c r="S576" s="34"/>
      <c r="T576" s="34"/>
      <c r="U576" s="34">
        <v>560.0</v>
      </c>
      <c r="V576" s="29" t="s">
        <v>107</v>
      </c>
      <c r="W576" s="34"/>
      <c r="X576" s="29"/>
    </row>
    <row r="577" ht="15.75" customHeight="1">
      <c r="A577" s="27" t="s">
        <v>660</v>
      </c>
      <c r="B577" s="22" t="s">
        <v>1540</v>
      </c>
      <c r="C577" s="53" t="s">
        <v>27</v>
      </c>
      <c r="D577" s="53" t="s">
        <v>60</v>
      </c>
      <c r="E577" s="47" t="s">
        <v>1585</v>
      </c>
      <c r="F577" s="49" t="s">
        <v>972</v>
      </c>
      <c r="G577" s="29" t="s">
        <v>664</v>
      </c>
      <c r="H577" s="48" t="s">
        <v>936</v>
      </c>
      <c r="I577" s="48" t="s">
        <v>1589</v>
      </c>
      <c r="J577" s="49" t="s">
        <v>1590</v>
      </c>
      <c r="K577" s="50">
        <v>50.0</v>
      </c>
      <c r="L577" s="29" t="s">
        <v>1593</v>
      </c>
      <c r="M577" s="22" t="s">
        <v>669</v>
      </c>
      <c r="N577" s="34"/>
      <c r="O577" s="48"/>
      <c r="P577" s="51"/>
      <c r="Q577" s="51"/>
      <c r="R577" s="34"/>
      <c r="S577" s="34"/>
      <c r="T577" s="34"/>
      <c r="U577" s="34">
        <v>567.0</v>
      </c>
      <c r="V577" s="29" t="s">
        <v>107</v>
      </c>
      <c r="W577" s="34"/>
      <c r="X577" s="29"/>
    </row>
    <row r="578" ht="15.75" customHeight="1">
      <c r="A578" s="27" t="s">
        <v>660</v>
      </c>
      <c r="B578" s="22" t="s">
        <v>1540</v>
      </c>
      <c r="C578" s="53" t="s">
        <v>27</v>
      </c>
      <c r="D578" s="53" t="s">
        <v>18</v>
      </c>
      <c r="E578" s="47" t="s">
        <v>662</v>
      </c>
      <c r="F578" s="49" t="s">
        <v>972</v>
      </c>
      <c r="G578" s="29" t="s">
        <v>664</v>
      </c>
      <c r="H578" s="48" t="s">
        <v>973</v>
      </c>
      <c r="I578" s="48" t="s">
        <v>666</v>
      </c>
      <c r="J578" s="49" t="s">
        <v>667</v>
      </c>
      <c r="K578" s="50">
        <v>51.0</v>
      </c>
      <c r="L578" s="29" t="s">
        <v>1594</v>
      </c>
      <c r="M578" s="22" t="s">
        <v>669</v>
      </c>
      <c r="N578" s="34"/>
      <c r="O578" s="48"/>
      <c r="P578" s="51"/>
      <c r="Q578" s="51"/>
      <c r="R578" s="34"/>
      <c r="S578" s="34"/>
      <c r="T578" s="34"/>
      <c r="U578" s="34">
        <v>568.0</v>
      </c>
      <c r="V578" s="29" t="s">
        <v>107</v>
      </c>
      <c r="W578" s="34"/>
      <c r="X578" s="29"/>
    </row>
    <row r="579" ht="15.75" customHeight="1">
      <c r="A579" s="27" t="s">
        <v>660</v>
      </c>
      <c r="B579" s="22" t="s">
        <v>1540</v>
      </c>
      <c r="C579" s="53" t="s">
        <v>27</v>
      </c>
      <c r="D579" s="53" t="s">
        <v>18</v>
      </c>
      <c r="E579" s="47" t="s">
        <v>662</v>
      </c>
      <c r="F579" s="49" t="s">
        <v>972</v>
      </c>
      <c r="G579" s="29" t="s">
        <v>664</v>
      </c>
      <c r="H579" s="48" t="s">
        <v>1595</v>
      </c>
      <c r="I579" s="48" t="s">
        <v>671</v>
      </c>
      <c r="J579" s="49" t="s">
        <v>672</v>
      </c>
      <c r="K579" s="50">
        <v>52.0</v>
      </c>
      <c r="L579" s="29" t="s">
        <v>673</v>
      </c>
      <c r="M579" s="22" t="s">
        <v>669</v>
      </c>
      <c r="N579" s="34"/>
      <c r="O579" s="48"/>
      <c r="P579" s="51"/>
      <c r="Q579" s="51"/>
      <c r="R579" s="34"/>
      <c r="S579" s="34"/>
      <c r="T579" s="34"/>
      <c r="U579" s="34">
        <v>569.0</v>
      </c>
      <c r="V579" s="29" t="s">
        <v>107</v>
      </c>
      <c r="W579" s="34"/>
      <c r="X579" s="29"/>
    </row>
    <row r="580" ht="15.75" customHeight="1">
      <c r="A580" s="27" t="s">
        <v>660</v>
      </c>
      <c r="B580" s="22" t="s">
        <v>1540</v>
      </c>
      <c r="C580" s="53" t="s">
        <v>27</v>
      </c>
      <c r="D580" s="53" t="s">
        <v>18</v>
      </c>
      <c r="E580" s="47" t="s">
        <v>662</v>
      </c>
      <c r="F580" s="49" t="s">
        <v>972</v>
      </c>
      <c r="G580" s="29" t="s">
        <v>664</v>
      </c>
      <c r="H580" s="48" t="s">
        <v>1595</v>
      </c>
      <c r="I580" s="48" t="s">
        <v>671</v>
      </c>
      <c r="J580" s="49" t="s">
        <v>672</v>
      </c>
      <c r="K580" s="50">
        <v>53.0</v>
      </c>
      <c r="L580" s="29" t="s">
        <v>674</v>
      </c>
      <c r="M580" s="22" t="s">
        <v>669</v>
      </c>
      <c r="N580" s="34"/>
      <c r="O580" s="48"/>
      <c r="P580" s="51"/>
      <c r="Q580" s="51"/>
      <c r="R580" s="34"/>
      <c r="S580" s="34"/>
      <c r="T580" s="34"/>
      <c r="U580" s="34">
        <v>570.0</v>
      </c>
      <c r="V580" s="29" t="s">
        <v>107</v>
      </c>
      <c r="W580" s="34"/>
      <c r="X580" s="29"/>
    </row>
    <row r="581" ht="15.75" customHeight="1">
      <c r="A581" s="27" t="s">
        <v>660</v>
      </c>
      <c r="B581" s="22" t="s">
        <v>1540</v>
      </c>
      <c r="C581" s="53" t="s">
        <v>27</v>
      </c>
      <c r="D581" s="53" t="s">
        <v>18</v>
      </c>
      <c r="E581" s="47" t="s">
        <v>662</v>
      </c>
      <c r="F581" s="49" t="s">
        <v>972</v>
      </c>
      <c r="G581" s="29" t="s">
        <v>664</v>
      </c>
      <c r="H581" s="48" t="s">
        <v>1595</v>
      </c>
      <c r="I581" s="48" t="s">
        <v>671</v>
      </c>
      <c r="J581" s="49" t="s">
        <v>672</v>
      </c>
      <c r="K581" s="50">
        <v>54.0</v>
      </c>
      <c r="L581" s="29" t="s">
        <v>675</v>
      </c>
      <c r="M581" s="22" t="s">
        <v>669</v>
      </c>
      <c r="N581" s="34"/>
      <c r="O581" s="48"/>
      <c r="P581" s="51"/>
      <c r="Q581" s="51"/>
      <c r="R581" s="34"/>
      <c r="S581" s="34"/>
      <c r="T581" s="34"/>
      <c r="U581" s="34">
        <v>571.0</v>
      </c>
      <c r="V581" s="29" t="s">
        <v>107</v>
      </c>
      <c r="W581" s="34"/>
      <c r="X581" s="29"/>
    </row>
    <row r="582" ht="15.75" customHeight="1">
      <c r="A582" s="27" t="s">
        <v>660</v>
      </c>
      <c r="B582" s="22" t="s">
        <v>1540</v>
      </c>
      <c r="C582" s="53" t="s">
        <v>27</v>
      </c>
      <c r="D582" s="53" t="s">
        <v>18</v>
      </c>
      <c r="E582" s="47" t="s">
        <v>662</v>
      </c>
      <c r="F582" s="49" t="s">
        <v>972</v>
      </c>
      <c r="G582" s="29" t="s">
        <v>664</v>
      </c>
      <c r="H582" s="48" t="s">
        <v>1595</v>
      </c>
      <c r="I582" s="48" t="s">
        <v>671</v>
      </c>
      <c r="J582" s="49" t="s">
        <v>672</v>
      </c>
      <c r="K582" s="50">
        <v>55.0</v>
      </c>
      <c r="L582" s="29" t="s">
        <v>676</v>
      </c>
      <c r="M582" s="22" t="s">
        <v>669</v>
      </c>
      <c r="N582" s="34"/>
      <c r="O582" s="48"/>
      <c r="P582" s="51"/>
      <c r="Q582" s="51"/>
      <c r="R582" s="34"/>
      <c r="S582" s="34"/>
      <c r="T582" s="34"/>
      <c r="U582" s="34">
        <v>572.0</v>
      </c>
      <c r="V582" s="29" t="s">
        <v>107</v>
      </c>
      <c r="W582" s="34"/>
      <c r="X582" s="29"/>
    </row>
    <row r="583" ht="15.75" customHeight="1">
      <c r="A583" s="27" t="s">
        <v>660</v>
      </c>
      <c r="B583" s="22" t="s">
        <v>1540</v>
      </c>
      <c r="C583" s="53" t="s">
        <v>27</v>
      </c>
      <c r="D583" s="53" t="s">
        <v>18</v>
      </c>
      <c r="E583" s="47" t="s">
        <v>662</v>
      </c>
      <c r="F583" s="49" t="s">
        <v>972</v>
      </c>
      <c r="G583" s="29" t="s">
        <v>664</v>
      </c>
      <c r="H583" s="48" t="s">
        <v>1596</v>
      </c>
      <c r="I583" s="48" t="s">
        <v>678</v>
      </c>
      <c r="J583" s="49" t="s">
        <v>679</v>
      </c>
      <c r="K583" s="50">
        <v>56.0</v>
      </c>
      <c r="L583" s="29" t="s">
        <v>680</v>
      </c>
      <c r="M583" s="22" t="s">
        <v>669</v>
      </c>
      <c r="N583" s="34"/>
      <c r="O583" s="48"/>
      <c r="P583" s="51"/>
      <c r="Q583" s="51"/>
      <c r="R583" s="34"/>
      <c r="S583" s="34"/>
      <c r="T583" s="34"/>
      <c r="U583" s="34">
        <v>573.0</v>
      </c>
      <c r="V583" s="29" t="s">
        <v>107</v>
      </c>
      <c r="W583" s="34"/>
      <c r="X583" s="29"/>
    </row>
    <row r="584" ht="15.75" customHeight="1">
      <c r="A584" s="27" t="s">
        <v>660</v>
      </c>
      <c r="B584" s="22" t="s">
        <v>1540</v>
      </c>
      <c r="C584" s="53" t="s">
        <v>27</v>
      </c>
      <c r="D584" s="53" t="s">
        <v>18</v>
      </c>
      <c r="E584" s="47" t="s">
        <v>662</v>
      </c>
      <c r="F584" s="49" t="s">
        <v>972</v>
      </c>
      <c r="G584" s="29" t="s">
        <v>664</v>
      </c>
      <c r="H584" s="48" t="s">
        <v>1596</v>
      </c>
      <c r="I584" s="48" t="s">
        <v>678</v>
      </c>
      <c r="J584" s="49" t="s">
        <v>679</v>
      </c>
      <c r="K584" s="50">
        <v>57.0</v>
      </c>
      <c r="L584" s="29" t="s">
        <v>681</v>
      </c>
      <c r="M584" s="22" t="s">
        <v>669</v>
      </c>
      <c r="N584" s="34"/>
      <c r="O584" s="48"/>
      <c r="P584" s="51"/>
      <c r="Q584" s="51"/>
      <c r="R584" s="34"/>
      <c r="S584" s="34"/>
      <c r="T584" s="34"/>
      <c r="U584" s="34">
        <v>574.0</v>
      </c>
      <c r="V584" s="29" t="s">
        <v>107</v>
      </c>
      <c r="W584" s="34"/>
      <c r="X584" s="29"/>
    </row>
    <row r="585" ht="15.75" customHeight="1">
      <c r="A585" s="27" t="s">
        <v>660</v>
      </c>
      <c r="B585" s="22" t="s">
        <v>1540</v>
      </c>
      <c r="C585" s="53" t="s">
        <v>27</v>
      </c>
      <c r="D585" s="53" t="s">
        <v>18</v>
      </c>
      <c r="E585" s="47" t="s">
        <v>662</v>
      </c>
      <c r="F585" s="49" t="s">
        <v>972</v>
      </c>
      <c r="G585" s="29" t="s">
        <v>664</v>
      </c>
      <c r="H585" s="48" t="s">
        <v>1596</v>
      </c>
      <c r="I585" s="48" t="s">
        <v>678</v>
      </c>
      <c r="J585" s="49" t="s">
        <v>679</v>
      </c>
      <c r="K585" s="50">
        <v>58.0</v>
      </c>
      <c r="L585" s="29" t="s">
        <v>682</v>
      </c>
      <c r="M585" s="22" t="s">
        <v>669</v>
      </c>
      <c r="N585" s="34"/>
      <c r="O585" s="48"/>
      <c r="P585" s="51"/>
      <c r="Q585" s="51"/>
      <c r="R585" s="34"/>
      <c r="S585" s="34"/>
      <c r="T585" s="34"/>
      <c r="U585" s="34">
        <v>575.0</v>
      </c>
      <c r="V585" s="29" t="s">
        <v>107</v>
      </c>
      <c r="W585" s="34"/>
      <c r="X585" s="29"/>
    </row>
    <row r="586" ht="15.75" customHeight="1">
      <c r="A586" s="27" t="s">
        <v>660</v>
      </c>
      <c r="B586" s="22" t="s">
        <v>1540</v>
      </c>
      <c r="C586" s="53" t="s">
        <v>27</v>
      </c>
      <c r="D586" s="53" t="s">
        <v>18</v>
      </c>
      <c r="E586" s="47" t="s">
        <v>662</v>
      </c>
      <c r="F586" s="49" t="s">
        <v>972</v>
      </c>
      <c r="G586" s="29" t="s">
        <v>664</v>
      </c>
      <c r="H586" s="48" t="s">
        <v>1596</v>
      </c>
      <c r="I586" s="48" t="s">
        <v>678</v>
      </c>
      <c r="J586" s="49" t="s">
        <v>679</v>
      </c>
      <c r="K586" s="50">
        <v>59.0</v>
      </c>
      <c r="L586" s="29" t="s">
        <v>683</v>
      </c>
      <c r="M586" s="22" t="s">
        <v>669</v>
      </c>
      <c r="N586" s="34"/>
      <c r="O586" s="48"/>
      <c r="P586" s="51"/>
      <c r="Q586" s="51"/>
      <c r="R586" s="34"/>
      <c r="S586" s="34"/>
      <c r="T586" s="34"/>
      <c r="U586" s="34">
        <v>576.0</v>
      </c>
      <c r="V586" s="29" t="s">
        <v>107</v>
      </c>
      <c r="W586" s="34"/>
      <c r="X586" s="29"/>
    </row>
    <row r="587" ht="15.75" customHeight="1">
      <c r="A587" s="27" t="s">
        <v>660</v>
      </c>
      <c r="B587" s="22" t="s">
        <v>1540</v>
      </c>
      <c r="C587" s="53" t="s">
        <v>27</v>
      </c>
      <c r="D587" s="53" t="s">
        <v>18</v>
      </c>
      <c r="E587" s="47" t="s">
        <v>662</v>
      </c>
      <c r="F587" s="49" t="s">
        <v>972</v>
      </c>
      <c r="G587" s="29" t="s">
        <v>664</v>
      </c>
      <c r="H587" s="48" t="s">
        <v>1596</v>
      </c>
      <c r="I587" s="48" t="s">
        <v>678</v>
      </c>
      <c r="J587" s="49" t="s">
        <v>679</v>
      </c>
      <c r="K587" s="50">
        <v>60.0</v>
      </c>
      <c r="L587" s="29" t="s">
        <v>684</v>
      </c>
      <c r="M587" s="22" t="s">
        <v>669</v>
      </c>
      <c r="N587" s="34"/>
      <c r="O587" s="48"/>
      <c r="P587" s="51"/>
      <c r="Q587" s="51"/>
      <c r="R587" s="34"/>
      <c r="S587" s="34"/>
      <c r="T587" s="34"/>
      <c r="U587" s="34">
        <v>577.0</v>
      </c>
      <c r="V587" s="29" t="s">
        <v>107</v>
      </c>
      <c r="W587" s="34"/>
      <c r="X587" s="29"/>
    </row>
    <row r="588" ht="15.75" customHeight="1">
      <c r="A588" s="27" t="s">
        <v>660</v>
      </c>
      <c r="B588" s="22" t="s">
        <v>1540</v>
      </c>
      <c r="C588" s="53" t="s">
        <v>27</v>
      </c>
      <c r="D588" s="53" t="s">
        <v>18</v>
      </c>
      <c r="E588" s="47" t="s">
        <v>662</v>
      </c>
      <c r="F588" s="49" t="s">
        <v>972</v>
      </c>
      <c r="G588" s="29" t="s">
        <v>664</v>
      </c>
      <c r="H588" s="48" t="s">
        <v>1596</v>
      </c>
      <c r="I588" s="48" t="s">
        <v>678</v>
      </c>
      <c r="J588" s="49" t="s">
        <v>679</v>
      </c>
      <c r="K588" s="50">
        <v>61.0</v>
      </c>
      <c r="L588" s="29" t="s">
        <v>685</v>
      </c>
      <c r="M588" s="22" t="s">
        <v>669</v>
      </c>
      <c r="N588" s="34"/>
      <c r="O588" s="48"/>
      <c r="P588" s="51"/>
      <c r="Q588" s="51"/>
      <c r="R588" s="34"/>
      <c r="S588" s="34"/>
      <c r="T588" s="34"/>
      <c r="U588" s="34">
        <v>578.0</v>
      </c>
      <c r="V588" s="29" t="s">
        <v>107</v>
      </c>
      <c r="W588" s="34"/>
      <c r="X588" s="29"/>
    </row>
    <row r="589" ht="15.75" customHeight="1">
      <c r="A589" s="27" t="s">
        <v>660</v>
      </c>
      <c r="B589" s="22" t="s">
        <v>1540</v>
      </c>
      <c r="C589" s="53" t="s">
        <v>27</v>
      </c>
      <c r="D589" s="53" t="s">
        <v>18</v>
      </c>
      <c r="E589" s="47" t="s">
        <v>662</v>
      </c>
      <c r="F589" s="49" t="s">
        <v>972</v>
      </c>
      <c r="G589" s="29" t="s">
        <v>664</v>
      </c>
      <c r="H589" s="48" t="s">
        <v>1597</v>
      </c>
      <c r="I589" s="48" t="s">
        <v>687</v>
      </c>
      <c r="J589" s="49" t="s">
        <v>688</v>
      </c>
      <c r="K589" s="50">
        <v>62.0</v>
      </c>
      <c r="L589" s="29" t="s">
        <v>689</v>
      </c>
      <c r="M589" s="22" t="s">
        <v>669</v>
      </c>
      <c r="N589" s="34"/>
      <c r="O589" s="48"/>
      <c r="P589" s="51"/>
      <c r="Q589" s="51"/>
      <c r="R589" s="34"/>
      <c r="S589" s="34"/>
      <c r="T589" s="34"/>
      <c r="U589" s="34">
        <v>579.0</v>
      </c>
      <c r="V589" s="29" t="s">
        <v>107</v>
      </c>
      <c r="W589" s="34"/>
      <c r="X589" s="29"/>
    </row>
    <row r="590" ht="15.75" customHeight="1">
      <c r="A590" s="27" t="s">
        <v>660</v>
      </c>
      <c r="B590" s="22" t="s">
        <v>1540</v>
      </c>
      <c r="C590" s="53" t="s">
        <v>27</v>
      </c>
      <c r="D590" s="53" t="s">
        <v>18</v>
      </c>
      <c r="E590" s="47" t="s">
        <v>662</v>
      </c>
      <c r="F590" s="49" t="s">
        <v>972</v>
      </c>
      <c r="G590" s="29" t="s">
        <v>664</v>
      </c>
      <c r="H590" s="48" t="s">
        <v>1598</v>
      </c>
      <c r="I590" s="48" t="s">
        <v>691</v>
      </c>
      <c r="J590" s="49" t="s">
        <v>692</v>
      </c>
      <c r="K590" s="50">
        <v>63.0</v>
      </c>
      <c r="L590" s="29" t="s">
        <v>1599</v>
      </c>
      <c r="M590" s="22" t="s">
        <v>669</v>
      </c>
      <c r="N590" s="34"/>
      <c r="O590" s="48"/>
      <c r="P590" s="51"/>
      <c r="Q590" s="51"/>
      <c r="R590" s="34"/>
      <c r="S590" s="34"/>
      <c r="T590" s="34"/>
      <c r="U590" s="34">
        <v>580.0</v>
      </c>
      <c r="V590" s="29" t="s">
        <v>107</v>
      </c>
      <c r="W590" s="34"/>
      <c r="X590" s="29"/>
    </row>
    <row r="591" ht="15.75" customHeight="1">
      <c r="A591" s="27" t="s">
        <v>660</v>
      </c>
      <c r="B591" s="22" t="s">
        <v>1540</v>
      </c>
      <c r="C591" s="53" t="s">
        <v>27</v>
      </c>
      <c r="D591" s="53" t="s">
        <v>18</v>
      </c>
      <c r="E591" s="47" t="s">
        <v>662</v>
      </c>
      <c r="F591" s="49" t="s">
        <v>972</v>
      </c>
      <c r="G591" s="29" t="s">
        <v>664</v>
      </c>
      <c r="H591" s="48" t="s">
        <v>1598</v>
      </c>
      <c r="I591" s="48" t="s">
        <v>691</v>
      </c>
      <c r="J591" s="49" t="s">
        <v>692</v>
      </c>
      <c r="K591" s="50">
        <v>64.0</v>
      </c>
      <c r="L591" s="29" t="s">
        <v>694</v>
      </c>
      <c r="M591" s="22" t="s">
        <v>669</v>
      </c>
      <c r="N591" s="34"/>
      <c r="O591" s="48"/>
      <c r="P591" s="51"/>
      <c r="Q591" s="51"/>
      <c r="R591" s="34"/>
      <c r="S591" s="34"/>
      <c r="T591" s="34"/>
      <c r="U591" s="34">
        <v>581.0</v>
      </c>
      <c r="V591" s="29" t="s">
        <v>107</v>
      </c>
      <c r="W591" s="34"/>
      <c r="X591" s="29"/>
    </row>
    <row r="592" ht="15.75" customHeight="1">
      <c r="A592" s="27" t="s">
        <v>660</v>
      </c>
      <c r="B592" s="22" t="s">
        <v>1540</v>
      </c>
      <c r="C592" s="53" t="s">
        <v>27</v>
      </c>
      <c r="D592" s="53" t="s">
        <v>18</v>
      </c>
      <c r="E592" s="47" t="s">
        <v>662</v>
      </c>
      <c r="F592" s="49" t="s">
        <v>972</v>
      </c>
      <c r="G592" s="29" t="s">
        <v>664</v>
      </c>
      <c r="H592" s="48" t="s">
        <v>1600</v>
      </c>
      <c r="I592" s="48" t="s">
        <v>697</v>
      </c>
      <c r="J592" s="49" t="s">
        <v>698</v>
      </c>
      <c r="K592" s="50">
        <v>65.0</v>
      </c>
      <c r="L592" s="29" t="s">
        <v>1601</v>
      </c>
      <c r="M592" s="22" t="s">
        <v>669</v>
      </c>
      <c r="N592" s="34"/>
      <c r="O592" s="48"/>
      <c r="P592" s="51"/>
      <c r="Q592" s="51"/>
      <c r="R592" s="34"/>
      <c r="S592" s="34"/>
      <c r="T592" s="34"/>
      <c r="U592" s="34">
        <v>582.0</v>
      </c>
      <c r="V592" s="29" t="s">
        <v>107</v>
      </c>
      <c r="W592" s="34"/>
      <c r="X592" s="29"/>
    </row>
    <row r="593" ht="15.75" customHeight="1">
      <c r="A593" s="27" t="s">
        <v>660</v>
      </c>
      <c r="B593" s="22" t="s">
        <v>1540</v>
      </c>
      <c r="C593" s="53" t="s">
        <v>27</v>
      </c>
      <c r="D593" s="53" t="s">
        <v>18</v>
      </c>
      <c r="E593" s="47" t="s">
        <v>662</v>
      </c>
      <c r="F593" s="49" t="s">
        <v>981</v>
      </c>
      <c r="G593" s="29" t="s">
        <v>714</v>
      </c>
      <c r="H593" s="48" t="s">
        <v>1602</v>
      </c>
      <c r="I593" s="48" t="s">
        <v>702</v>
      </c>
      <c r="J593" s="49" t="s">
        <v>703</v>
      </c>
      <c r="K593" s="50">
        <v>66.0</v>
      </c>
      <c r="L593" s="29" t="s">
        <v>1603</v>
      </c>
      <c r="M593" s="22" t="s">
        <v>669</v>
      </c>
      <c r="N593" s="34"/>
      <c r="O593" s="48"/>
      <c r="P593" s="51"/>
      <c r="Q593" s="51"/>
      <c r="R593" s="34"/>
      <c r="S593" s="34"/>
      <c r="T593" s="34"/>
      <c r="U593" s="34">
        <v>584.0</v>
      </c>
      <c r="V593" s="29" t="s">
        <v>107</v>
      </c>
      <c r="W593" s="34"/>
      <c r="X593" s="29"/>
    </row>
    <row r="594" ht="15.75" customHeight="1">
      <c r="A594" s="27" t="s">
        <v>660</v>
      </c>
      <c r="B594" s="22" t="s">
        <v>1540</v>
      </c>
      <c r="C594" s="53" t="s">
        <v>27</v>
      </c>
      <c r="D594" s="53" t="s">
        <v>18</v>
      </c>
      <c r="E594" s="47" t="s">
        <v>662</v>
      </c>
      <c r="F594" s="49" t="s">
        <v>981</v>
      </c>
      <c r="G594" s="29" t="s">
        <v>714</v>
      </c>
      <c r="H594" s="48" t="s">
        <v>982</v>
      </c>
      <c r="I594" s="48" t="s">
        <v>716</v>
      </c>
      <c r="J594" s="49" t="s">
        <v>717</v>
      </c>
      <c r="K594" s="50">
        <v>67.0</v>
      </c>
      <c r="L594" s="29" t="s">
        <v>1604</v>
      </c>
      <c r="M594" s="22" t="s">
        <v>669</v>
      </c>
      <c r="N594" s="34"/>
      <c r="O594" s="48"/>
      <c r="P594" s="51"/>
      <c r="Q594" s="51"/>
      <c r="R594" s="34"/>
      <c r="S594" s="34"/>
      <c r="T594" s="34"/>
      <c r="U594" s="34">
        <v>585.0</v>
      </c>
      <c r="V594" s="29" t="s">
        <v>107</v>
      </c>
      <c r="W594" s="34"/>
      <c r="X594" s="29"/>
    </row>
    <row r="595" ht="15.75" customHeight="1">
      <c r="A595" s="27" t="s">
        <v>660</v>
      </c>
      <c r="B595" s="22" t="s">
        <v>1540</v>
      </c>
      <c r="C595" s="53" t="s">
        <v>27</v>
      </c>
      <c r="D595" s="53" t="s">
        <v>18</v>
      </c>
      <c r="E595" s="47" t="s">
        <v>662</v>
      </c>
      <c r="F595" s="49" t="s">
        <v>981</v>
      </c>
      <c r="G595" s="29" t="s">
        <v>714</v>
      </c>
      <c r="H595" s="48" t="s">
        <v>982</v>
      </c>
      <c r="I595" s="48" t="s">
        <v>716</v>
      </c>
      <c r="J595" s="49" t="s">
        <v>717</v>
      </c>
      <c r="K595" s="50">
        <v>68.0</v>
      </c>
      <c r="L595" s="29" t="s">
        <v>719</v>
      </c>
      <c r="M595" s="22" t="s">
        <v>669</v>
      </c>
      <c r="N595" s="34"/>
      <c r="O595" s="48"/>
      <c r="P595" s="51"/>
      <c r="Q595" s="51"/>
      <c r="R595" s="34"/>
      <c r="S595" s="34"/>
      <c r="T595" s="34"/>
      <c r="U595" s="34">
        <v>586.0</v>
      </c>
      <c r="V595" s="29" t="s">
        <v>107</v>
      </c>
      <c r="W595" s="34"/>
      <c r="X595" s="29"/>
    </row>
    <row r="596" ht="15.75" customHeight="1">
      <c r="A596" s="27" t="s">
        <v>660</v>
      </c>
      <c r="B596" s="22" t="s">
        <v>1540</v>
      </c>
      <c r="C596" s="53" t="s">
        <v>27</v>
      </c>
      <c r="D596" s="53" t="s">
        <v>18</v>
      </c>
      <c r="E596" s="47" t="s">
        <v>662</v>
      </c>
      <c r="F596" s="49" t="s">
        <v>981</v>
      </c>
      <c r="G596" s="29" t="s">
        <v>714</v>
      </c>
      <c r="H596" s="48" t="s">
        <v>982</v>
      </c>
      <c r="I596" s="48" t="s">
        <v>716</v>
      </c>
      <c r="J596" s="49" t="s">
        <v>717</v>
      </c>
      <c r="K596" s="50">
        <v>69.0</v>
      </c>
      <c r="L596" s="29" t="s">
        <v>720</v>
      </c>
      <c r="M596" s="22" t="s">
        <v>669</v>
      </c>
      <c r="N596" s="34"/>
      <c r="O596" s="48"/>
      <c r="P596" s="51"/>
      <c r="Q596" s="51"/>
      <c r="R596" s="34"/>
      <c r="S596" s="34"/>
      <c r="T596" s="34"/>
      <c r="U596" s="34">
        <v>587.0</v>
      </c>
      <c r="V596" s="29" t="s">
        <v>107</v>
      </c>
      <c r="W596" s="34"/>
      <c r="X596" s="29"/>
    </row>
    <row r="597" ht="15.75" customHeight="1">
      <c r="A597" s="27" t="s">
        <v>660</v>
      </c>
      <c r="B597" s="22" t="s">
        <v>1540</v>
      </c>
      <c r="C597" s="53" t="s">
        <v>27</v>
      </c>
      <c r="D597" s="53" t="s">
        <v>18</v>
      </c>
      <c r="E597" s="47" t="s">
        <v>662</v>
      </c>
      <c r="F597" s="49" t="s">
        <v>981</v>
      </c>
      <c r="G597" s="29" t="s">
        <v>714</v>
      </c>
      <c r="H597" s="48" t="s">
        <v>982</v>
      </c>
      <c r="I597" s="48" t="s">
        <v>716</v>
      </c>
      <c r="J597" s="49" t="s">
        <v>717</v>
      </c>
      <c r="K597" s="50">
        <v>70.0</v>
      </c>
      <c r="L597" s="29" t="s">
        <v>721</v>
      </c>
      <c r="M597" s="22" t="s">
        <v>669</v>
      </c>
      <c r="N597" s="34"/>
      <c r="O597" s="48"/>
      <c r="P597" s="51"/>
      <c r="Q597" s="51"/>
      <c r="R597" s="34"/>
      <c r="S597" s="34"/>
      <c r="T597" s="34"/>
      <c r="U597" s="34">
        <v>588.0</v>
      </c>
      <c r="V597" s="29" t="s">
        <v>107</v>
      </c>
      <c r="W597" s="34"/>
      <c r="X597" s="29"/>
    </row>
    <row r="598" ht="15.75" customHeight="1">
      <c r="A598" s="27" t="s">
        <v>660</v>
      </c>
      <c r="B598" s="22" t="s">
        <v>1540</v>
      </c>
      <c r="C598" s="53" t="s">
        <v>27</v>
      </c>
      <c r="D598" s="53" t="s">
        <v>18</v>
      </c>
      <c r="E598" s="47" t="s">
        <v>662</v>
      </c>
      <c r="F598" s="49" t="s">
        <v>981</v>
      </c>
      <c r="G598" s="29" t="s">
        <v>714</v>
      </c>
      <c r="H598" s="48" t="s">
        <v>982</v>
      </c>
      <c r="I598" s="48" t="s">
        <v>716</v>
      </c>
      <c r="J598" s="49" t="s">
        <v>717</v>
      </c>
      <c r="K598" s="50">
        <v>71.0</v>
      </c>
      <c r="L598" s="29" t="s">
        <v>722</v>
      </c>
      <c r="M598" s="22" t="s">
        <v>669</v>
      </c>
      <c r="N598" s="34"/>
      <c r="O598" s="48"/>
      <c r="P598" s="51"/>
      <c r="Q598" s="51"/>
      <c r="R598" s="34"/>
      <c r="S598" s="34"/>
      <c r="T598" s="34"/>
      <c r="U598" s="34">
        <v>589.0</v>
      </c>
      <c r="V598" s="29" t="s">
        <v>107</v>
      </c>
      <c r="W598" s="34"/>
      <c r="X598" s="29"/>
    </row>
    <row r="599" ht="15.75" customHeight="1">
      <c r="A599" s="27" t="s">
        <v>660</v>
      </c>
      <c r="B599" s="22" t="s">
        <v>1540</v>
      </c>
      <c r="C599" s="53" t="s">
        <v>27</v>
      </c>
      <c r="D599" s="53" t="s">
        <v>18</v>
      </c>
      <c r="E599" s="47" t="s">
        <v>662</v>
      </c>
      <c r="F599" s="49" t="s">
        <v>981</v>
      </c>
      <c r="G599" s="29" t="s">
        <v>714</v>
      </c>
      <c r="H599" s="48" t="s">
        <v>986</v>
      </c>
      <c r="I599" s="48" t="s">
        <v>724</v>
      </c>
      <c r="J599" s="49" t="s">
        <v>725</v>
      </c>
      <c r="K599" s="50">
        <v>72.0</v>
      </c>
      <c r="L599" s="29" t="s">
        <v>1605</v>
      </c>
      <c r="M599" s="22" t="s">
        <v>669</v>
      </c>
      <c r="N599" s="34"/>
      <c r="O599" s="48"/>
      <c r="P599" s="51"/>
      <c r="Q599" s="51"/>
      <c r="R599" s="34"/>
      <c r="S599" s="34"/>
      <c r="T599" s="34"/>
      <c r="U599" s="34">
        <v>590.0</v>
      </c>
      <c r="V599" s="29" t="s">
        <v>107</v>
      </c>
      <c r="W599" s="34"/>
      <c r="X599" s="29"/>
    </row>
    <row r="600" ht="15.75" customHeight="1">
      <c r="A600" s="27" t="s">
        <v>660</v>
      </c>
      <c r="B600" s="22" t="s">
        <v>1540</v>
      </c>
      <c r="C600" s="53" t="s">
        <v>27</v>
      </c>
      <c r="D600" s="53" t="s">
        <v>18</v>
      </c>
      <c r="E600" s="47" t="s">
        <v>662</v>
      </c>
      <c r="F600" s="49" t="s">
        <v>981</v>
      </c>
      <c r="G600" s="29" t="s">
        <v>714</v>
      </c>
      <c r="H600" s="48" t="s">
        <v>986</v>
      </c>
      <c r="I600" s="48" t="s">
        <v>724</v>
      </c>
      <c r="J600" s="49" t="s">
        <v>725</v>
      </c>
      <c r="K600" s="50">
        <v>73.0</v>
      </c>
      <c r="L600" s="29" t="s">
        <v>727</v>
      </c>
      <c r="M600" s="22" t="s">
        <v>669</v>
      </c>
      <c r="N600" s="34"/>
      <c r="O600" s="48"/>
      <c r="P600" s="51"/>
      <c r="Q600" s="51"/>
      <c r="R600" s="34"/>
      <c r="S600" s="34"/>
      <c r="T600" s="34"/>
      <c r="U600" s="34">
        <v>591.0</v>
      </c>
      <c r="V600" s="29" t="s">
        <v>107</v>
      </c>
      <c r="W600" s="34"/>
      <c r="X600" s="29"/>
    </row>
    <row r="601" ht="15.75" customHeight="1">
      <c r="A601" s="27" t="s">
        <v>660</v>
      </c>
      <c r="B601" s="22" t="s">
        <v>1540</v>
      </c>
      <c r="C601" s="53" t="s">
        <v>27</v>
      </c>
      <c r="D601" s="53" t="s">
        <v>18</v>
      </c>
      <c r="E601" s="47" t="s">
        <v>662</v>
      </c>
      <c r="F601" s="49" t="s">
        <v>981</v>
      </c>
      <c r="G601" s="29" t="s">
        <v>714</v>
      </c>
      <c r="H601" s="48" t="s">
        <v>986</v>
      </c>
      <c r="I601" s="48" t="s">
        <v>724</v>
      </c>
      <c r="J601" s="49" t="s">
        <v>725</v>
      </c>
      <c r="K601" s="50">
        <v>74.0</v>
      </c>
      <c r="L601" s="29" t="s">
        <v>728</v>
      </c>
      <c r="M601" s="22" t="s">
        <v>669</v>
      </c>
      <c r="N601" s="34"/>
      <c r="O601" s="48"/>
      <c r="P601" s="51"/>
      <c r="Q601" s="51"/>
      <c r="R601" s="34"/>
      <c r="S601" s="34"/>
      <c r="T601" s="34"/>
      <c r="U601" s="34">
        <v>592.0</v>
      </c>
      <c r="V601" s="29" t="s">
        <v>107</v>
      </c>
      <c r="W601" s="34"/>
      <c r="X601" s="29"/>
    </row>
    <row r="602" ht="15.75" customHeight="1">
      <c r="A602" s="27" t="s">
        <v>660</v>
      </c>
      <c r="B602" s="22" t="s">
        <v>1540</v>
      </c>
      <c r="C602" s="53" t="s">
        <v>27</v>
      </c>
      <c r="D602" s="53" t="s">
        <v>18</v>
      </c>
      <c r="E602" s="47" t="s">
        <v>662</v>
      </c>
      <c r="F602" s="49" t="s">
        <v>981</v>
      </c>
      <c r="G602" s="29" t="s">
        <v>714</v>
      </c>
      <c r="H602" s="48" t="s">
        <v>986</v>
      </c>
      <c r="I602" s="48" t="s">
        <v>724</v>
      </c>
      <c r="J602" s="49" t="s">
        <v>725</v>
      </c>
      <c r="K602" s="50">
        <v>75.0</v>
      </c>
      <c r="L602" s="29" t="s">
        <v>729</v>
      </c>
      <c r="M602" s="22" t="s">
        <v>669</v>
      </c>
      <c r="N602" s="34"/>
      <c r="O602" s="48"/>
      <c r="P602" s="51"/>
      <c r="Q602" s="51"/>
      <c r="R602" s="34"/>
      <c r="S602" s="34"/>
      <c r="T602" s="34"/>
      <c r="U602" s="34">
        <v>593.0</v>
      </c>
      <c r="V602" s="29" t="s">
        <v>107</v>
      </c>
      <c r="W602" s="34"/>
      <c r="X602" s="29"/>
    </row>
    <row r="603" ht="15.75" customHeight="1">
      <c r="A603" s="27" t="s">
        <v>660</v>
      </c>
      <c r="B603" s="22" t="s">
        <v>1540</v>
      </c>
      <c r="C603" s="53" t="s">
        <v>27</v>
      </c>
      <c r="D603" s="53" t="s">
        <v>18</v>
      </c>
      <c r="E603" s="47" t="s">
        <v>662</v>
      </c>
      <c r="F603" s="49" t="s">
        <v>981</v>
      </c>
      <c r="G603" s="29" t="s">
        <v>714</v>
      </c>
      <c r="H603" s="48" t="s">
        <v>986</v>
      </c>
      <c r="I603" s="48" t="s">
        <v>724</v>
      </c>
      <c r="J603" s="49" t="s">
        <v>725</v>
      </c>
      <c r="K603" s="50">
        <v>76.0</v>
      </c>
      <c r="L603" s="29" t="s">
        <v>1606</v>
      </c>
      <c r="M603" s="22" t="s">
        <v>669</v>
      </c>
      <c r="N603" s="34"/>
      <c r="O603" s="48"/>
      <c r="P603" s="51"/>
      <c r="Q603" s="51"/>
      <c r="R603" s="34"/>
      <c r="S603" s="34"/>
      <c r="T603" s="34"/>
      <c r="U603" s="34">
        <v>594.0</v>
      </c>
      <c r="V603" s="29" t="s">
        <v>107</v>
      </c>
      <c r="W603" s="34"/>
      <c r="X603" s="29"/>
    </row>
    <row r="604" ht="15.75" customHeight="1">
      <c r="A604" s="27" t="s">
        <v>660</v>
      </c>
      <c r="B604" s="22" t="s">
        <v>1540</v>
      </c>
      <c r="C604" s="53" t="s">
        <v>27</v>
      </c>
      <c r="D604" s="53" t="s">
        <v>18</v>
      </c>
      <c r="E604" s="47" t="s">
        <v>662</v>
      </c>
      <c r="F604" s="49" t="s">
        <v>981</v>
      </c>
      <c r="G604" s="29" t="s">
        <v>714</v>
      </c>
      <c r="H604" s="48" t="s">
        <v>1607</v>
      </c>
      <c r="I604" s="48" t="s">
        <v>732</v>
      </c>
      <c r="J604" s="49" t="s">
        <v>733</v>
      </c>
      <c r="K604" s="50">
        <v>77.0</v>
      </c>
      <c r="L604" s="29" t="s">
        <v>734</v>
      </c>
      <c r="M604" s="22" t="s">
        <v>669</v>
      </c>
      <c r="N604" s="34"/>
      <c r="O604" s="48"/>
      <c r="P604" s="51"/>
      <c r="Q604" s="51"/>
      <c r="R604" s="34"/>
      <c r="S604" s="34"/>
      <c r="T604" s="34"/>
      <c r="U604" s="34">
        <v>595.0</v>
      </c>
      <c r="V604" s="29" t="s">
        <v>107</v>
      </c>
      <c r="W604" s="34"/>
      <c r="X604" s="29"/>
    </row>
    <row r="605" ht="15.75" customHeight="1">
      <c r="A605" s="27" t="s">
        <v>660</v>
      </c>
      <c r="B605" s="22" t="s">
        <v>1540</v>
      </c>
      <c r="C605" s="53" t="s">
        <v>27</v>
      </c>
      <c r="D605" s="53" t="s">
        <v>18</v>
      </c>
      <c r="E605" s="47" t="s">
        <v>662</v>
      </c>
      <c r="F605" s="49" t="s">
        <v>981</v>
      </c>
      <c r="G605" s="29" t="s">
        <v>714</v>
      </c>
      <c r="H605" s="48" t="s">
        <v>1607</v>
      </c>
      <c r="I605" s="48" t="s">
        <v>732</v>
      </c>
      <c r="J605" s="49" t="s">
        <v>733</v>
      </c>
      <c r="K605" s="50">
        <v>78.0</v>
      </c>
      <c r="L605" s="29" t="s">
        <v>735</v>
      </c>
      <c r="M605" s="22" t="s">
        <v>669</v>
      </c>
      <c r="N605" s="34"/>
      <c r="O605" s="48"/>
      <c r="P605" s="51"/>
      <c r="Q605" s="51"/>
      <c r="R605" s="34"/>
      <c r="S605" s="34"/>
      <c r="T605" s="34"/>
      <c r="U605" s="34">
        <v>596.0</v>
      </c>
      <c r="V605" s="29" t="s">
        <v>107</v>
      </c>
      <c r="W605" s="34"/>
      <c r="X605" s="29"/>
    </row>
    <row r="606" ht="15.75" customHeight="1">
      <c r="A606" s="27" t="s">
        <v>660</v>
      </c>
      <c r="B606" s="22" t="s">
        <v>1540</v>
      </c>
      <c r="C606" s="53" t="s">
        <v>27</v>
      </c>
      <c r="D606" s="53" t="s">
        <v>18</v>
      </c>
      <c r="E606" s="47" t="s">
        <v>662</v>
      </c>
      <c r="F606" s="49" t="s">
        <v>981</v>
      </c>
      <c r="G606" s="29" t="s">
        <v>714</v>
      </c>
      <c r="H606" s="48" t="s">
        <v>1607</v>
      </c>
      <c r="I606" s="48" t="s">
        <v>732</v>
      </c>
      <c r="J606" s="49" t="s">
        <v>733</v>
      </c>
      <c r="K606" s="50">
        <v>79.0</v>
      </c>
      <c r="L606" s="29" t="s">
        <v>736</v>
      </c>
      <c r="M606" s="22" t="s">
        <v>669</v>
      </c>
      <c r="N606" s="34"/>
      <c r="O606" s="48"/>
      <c r="P606" s="51"/>
      <c r="Q606" s="51"/>
      <c r="R606" s="34"/>
      <c r="S606" s="34"/>
      <c r="T606" s="34"/>
      <c r="U606" s="34">
        <v>597.0</v>
      </c>
      <c r="V606" s="29" t="s">
        <v>107</v>
      </c>
      <c r="W606" s="34"/>
      <c r="X606" s="29"/>
    </row>
    <row r="607" ht="15.75" customHeight="1">
      <c r="A607" s="27" t="s">
        <v>660</v>
      </c>
      <c r="B607" s="22" t="s">
        <v>1540</v>
      </c>
      <c r="C607" s="53" t="s">
        <v>27</v>
      </c>
      <c r="D607" s="53" t="s">
        <v>18</v>
      </c>
      <c r="E607" s="47" t="s">
        <v>662</v>
      </c>
      <c r="F607" s="49" t="s">
        <v>981</v>
      </c>
      <c r="G607" s="29" t="s">
        <v>714</v>
      </c>
      <c r="H607" s="48" t="s">
        <v>1608</v>
      </c>
      <c r="I607" s="48" t="s">
        <v>738</v>
      </c>
      <c r="J607" s="49" t="s">
        <v>739</v>
      </c>
      <c r="K607" s="50">
        <v>80.0</v>
      </c>
      <c r="L607" s="29" t="s">
        <v>740</v>
      </c>
      <c r="M607" s="22" t="s">
        <v>669</v>
      </c>
      <c r="N607" s="34"/>
      <c r="O607" s="48"/>
      <c r="P607" s="51"/>
      <c r="Q607" s="51"/>
      <c r="R607" s="34"/>
      <c r="S607" s="34"/>
      <c r="T607" s="34"/>
      <c r="U607" s="34">
        <v>598.0</v>
      </c>
      <c r="V607" s="29" t="s">
        <v>107</v>
      </c>
      <c r="W607" s="34"/>
      <c r="X607" s="29"/>
    </row>
    <row r="608" ht="15.75" customHeight="1">
      <c r="A608" s="27" t="s">
        <v>660</v>
      </c>
      <c r="B608" s="22" t="s">
        <v>1540</v>
      </c>
      <c r="C608" s="53" t="s">
        <v>27</v>
      </c>
      <c r="D608" s="53" t="s">
        <v>18</v>
      </c>
      <c r="E608" s="47" t="s">
        <v>662</v>
      </c>
      <c r="F608" s="49" t="s">
        <v>981</v>
      </c>
      <c r="G608" s="29" t="s">
        <v>714</v>
      </c>
      <c r="H608" s="48" t="s">
        <v>1608</v>
      </c>
      <c r="I608" s="48" t="s">
        <v>738</v>
      </c>
      <c r="J608" s="49" t="s">
        <v>739</v>
      </c>
      <c r="K608" s="50">
        <v>81.0</v>
      </c>
      <c r="L608" s="29" t="s">
        <v>1609</v>
      </c>
      <c r="M608" s="22" t="s">
        <v>669</v>
      </c>
      <c r="N608" s="34"/>
      <c r="O608" s="48"/>
      <c r="P608" s="51"/>
      <c r="Q608" s="51"/>
      <c r="R608" s="34"/>
      <c r="S608" s="34"/>
      <c r="T608" s="34"/>
      <c r="U608" s="34">
        <v>599.0</v>
      </c>
      <c r="V608" s="29" t="s">
        <v>107</v>
      </c>
      <c r="W608" s="34"/>
      <c r="X608" s="29"/>
    </row>
    <row r="609" ht="15.75" customHeight="1">
      <c r="A609" s="27" t="s">
        <v>660</v>
      </c>
      <c r="B609" s="22" t="s">
        <v>1540</v>
      </c>
      <c r="C609" s="53" t="s">
        <v>27</v>
      </c>
      <c r="D609" s="53" t="s">
        <v>18</v>
      </c>
      <c r="E609" s="47" t="s">
        <v>662</v>
      </c>
      <c r="F609" s="49" t="s">
        <v>981</v>
      </c>
      <c r="G609" s="29" t="s">
        <v>714</v>
      </c>
      <c r="H609" s="48" t="s">
        <v>1608</v>
      </c>
      <c r="I609" s="48" t="s">
        <v>738</v>
      </c>
      <c r="J609" s="49" t="s">
        <v>739</v>
      </c>
      <c r="K609" s="50">
        <v>82.0</v>
      </c>
      <c r="L609" s="29" t="s">
        <v>742</v>
      </c>
      <c r="M609" s="22" t="s">
        <v>669</v>
      </c>
      <c r="N609" s="34"/>
      <c r="O609" s="48"/>
      <c r="P609" s="51"/>
      <c r="Q609" s="51"/>
      <c r="R609" s="34"/>
      <c r="S609" s="34"/>
      <c r="T609" s="34"/>
      <c r="U609" s="34">
        <v>600.0</v>
      </c>
      <c r="V609" s="29" t="s">
        <v>107</v>
      </c>
      <c r="W609" s="34"/>
      <c r="X609" s="29"/>
    </row>
    <row r="610" ht="15.75" customHeight="1">
      <c r="A610" s="27" t="s">
        <v>660</v>
      </c>
      <c r="B610" s="22" t="s">
        <v>1540</v>
      </c>
      <c r="C610" s="53" t="s">
        <v>27</v>
      </c>
      <c r="D610" s="53" t="s">
        <v>18</v>
      </c>
      <c r="E610" s="47" t="s">
        <v>662</v>
      </c>
      <c r="F610" s="49" t="s">
        <v>981</v>
      </c>
      <c r="G610" s="29" t="s">
        <v>714</v>
      </c>
      <c r="H610" s="48" t="s">
        <v>1608</v>
      </c>
      <c r="I610" s="48" t="s">
        <v>738</v>
      </c>
      <c r="J610" s="49" t="s">
        <v>739</v>
      </c>
      <c r="K610" s="50">
        <v>83.0</v>
      </c>
      <c r="L610" s="29" t="s">
        <v>743</v>
      </c>
      <c r="M610" s="22" t="s">
        <v>669</v>
      </c>
      <c r="N610" s="34"/>
      <c r="O610" s="48"/>
      <c r="P610" s="51"/>
      <c r="Q610" s="51"/>
      <c r="R610" s="34"/>
      <c r="S610" s="34"/>
      <c r="T610" s="34"/>
      <c r="U610" s="34">
        <v>601.0</v>
      </c>
      <c r="V610" s="29" t="s">
        <v>107</v>
      </c>
      <c r="W610" s="34"/>
      <c r="X610" s="29"/>
    </row>
    <row r="611" ht="15.75" customHeight="1">
      <c r="A611" s="27" t="s">
        <v>660</v>
      </c>
      <c r="B611" s="22" t="s">
        <v>1540</v>
      </c>
      <c r="C611" s="53" t="s">
        <v>27</v>
      </c>
      <c r="D611" s="53" t="s">
        <v>18</v>
      </c>
      <c r="E611" s="47" t="s">
        <v>662</v>
      </c>
      <c r="F611" s="49" t="s">
        <v>981</v>
      </c>
      <c r="G611" s="29" t="s">
        <v>714</v>
      </c>
      <c r="H611" s="48" t="s">
        <v>1608</v>
      </c>
      <c r="I611" s="48" t="s">
        <v>738</v>
      </c>
      <c r="J611" s="49" t="s">
        <v>739</v>
      </c>
      <c r="K611" s="50">
        <v>84.0</v>
      </c>
      <c r="L611" s="29" t="s">
        <v>744</v>
      </c>
      <c r="M611" s="22" t="s">
        <v>669</v>
      </c>
      <c r="N611" s="34"/>
      <c r="O611" s="48"/>
      <c r="P611" s="51"/>
      <c r="Q611" s="51"/>
      <c r="R611" s="34"/>
      <c r="S611" s="34"/>
      <c r="T611" s="34"/>
      <c r="U611" s="34">
        <v>602.0</v>
      </c>
      <c r="V611" s="29" t="s">
        <v>107</v>
      </c>
      <c r="W611" s="34"/>
      <c r="X611" s="29"/>
    </row>
    <row r="612" ht="15.75" customHeight="1">
      <c r="A612" s="27" t="s">
        <v>660</v>
      </c>
      <c r="B612" s="22" t="s">
        <v>1540</v>
      </c>
      <c r="C612" s="53" t="s">
        <v>27</v>
      </c>
      <c r="D612" s="53" t="s">
        <v>18</v>
      </c>
      <c r="E612" s="47" t="s">
        <v>662</v>
      </c>
      <c r="F612" s="49" t="s">
        <v>981</v>
      </c>
      <c r="G612" s="29" t="s">
        <v>714</v>
      </c>
      <c r="H612" s="48" t="s">
        <v>1608</v>
      </c>
      <c r="I612" s="48" t="s">
        <v>738</v>
      </c>
      <c r="J612" s="49" t="s">
        <v>739</v>
      </c>
      <c r="K612" s="50">
        <v>85.0</v>
      </c>
      <c r="L612" s="29" t="s">
        <v>1610</v>
      </c>
      <c r="M612" s="22" t="s">
        <v>669</v>
      </c>
      <c r="N612" s="34"/>
      <c r="O612" s="48"/>
      <c r="P612" s="51"/>
      <c r="Q612" s="51"/>
      <c r="R612" s="34"/>
      <c r="S612" s="34"/>
      <c r="T612" s="34"/>
      <c r="U612" s="34">
        <v>603.0</v>
      </c>
      <c r="V612" s="29" t="s">
        <v>107</v>
      </c>
      <c r="W612" s="34"/>
      <c r="X612" s="29"/>
    </row>
    <row r="613" ht="15.75" customHeight="1">
      <c r="A613" s="27" t="s">
        <v>660</v>
      </c>
      <c r="B613" s="22" t="s">
        <v>1540</v>
      </c>
      <c r="C613" s="53" t="s">
        <v>27</v>
      </c>
      <c r="D613" s="53" t="s">
        <v>18</v>
      </c>
      <c r="E613" s="47" t="s">
        <v>662</v>
      </c>
      <c r="F613" s="49" t="s">
        <v>981</v>
      </c>
      <c r="G613" s="29" t="s">
        <v>714</v>
      </c>
      <c r="H613" s="48" t="s">
        <v>1608</v>
      </c>
      <c r="I613" s="48" t="s">
        <v>738</v>
      </c>
      <c r="J613" s="49" t="s">
        <v>739</v>
      </c>
      <c r="K613" s="50">
        <v>86.0</v>
      </c>
      <c r="L613" s="29" t="s">
        <v>1611</v>
      </c>
      <c r="M613" s="22" t="s">
        <v>669</v>
      </c>
      <c r="N613" s="34"/>
      <c r="O613" s="48"/>
      <c r="P613" s="51"/>
      <c r="Q613" s="51"/>
      <c r="R613" s="34"/>
      <c r="S613" s="34"/>
      <c r="T613" s="34"/>
      <c r="U613" s="34">
        <v>604.0</v>
      </c>
      <c r="V613" s="29" t="s">
        <v>107</v>
      </c>
      <c r="W613" s="34"/>
      <c r="X613" s="29"/>
    </row>
    <row r="614" ht="15.75" customHeight="1">
      <c r="A614" s="27" t="s">
        <v>660</v>
      </c>
      <c r="B614" s="22" t="s">
        <v>1540</v>
      </c>
      <c r="C614" s="53" t="s">
        <v>27</v>
      </c>
      <c r="D614" s="53" t="s">
        <v>18</v>
      </c>
      <c r="E614" s="47" t="s">
        <v>662</v>
      </c>
      <c r="F614" s="49" t="s">
        <v>992</v>
      </c>
      <c r="G614" s="29" t="s">
        <v>749</v>
      </c>
      <c r="H614" s="48" t="s">
        <v>1608</v>
      </c>
      <c r="I614" s="48" t="s">
        <v>738</v>
      </c>
      <c r="J614" s="49" t="s">
        <v>739</v>
      </c>
      <c r="K614" s="50">
        <v>87.0</v>
      </c>
      <c r="L614" s="29" t="s">
        <v>747</v>
      </c>
      <c r="M614" s="22" t="s">
        <v>669</v>
      </c>
      <c r="N614" s="34"/>
      <c r="O614" s="48"/>
      <c r="P614" s="51"/>
      <c r="Q614" s="51"/>
      <c r="R614" s="34"/>
      <c r="S614" s="34"/>
      <c r="T614" s="34"/>
      <c r="U614" s="34">
        <v>606.0</v>
      </c>
      <c r="V614" s="29" t="s">
        <v>107</v>
      </c>
      <c r="W614" s="34"/>
      <c r="X614" s="29"/>
    </row>
    <row r="615" ht="15.75" customHeight="1">
      <c r="A615" s="27" t="s">
        <v>660</v>
      </c>
      <c r="B615" s="22" t="s">
        <v>1540</v>
      </c>
      <c r="C615" s="53" t="s">
        <v>27</v>
      </c>
      <c r="D615" s="53" t="s">
        <v>18</v>
      </c>
      <c r="E615" s="47" t="s">
        <v>662</v>
      </c>
      <c r="F615" s="49" t="s">
        <v>992</v>
      </c>
      <c r="G615" s="29" t="s">
        <v>749</v>
      </c>
      <c r="H615" s="48" t="s">
        <v>993</v>
      </c>
      <c r="I615" s="48" t="s">
        <v>755</v>
      </c>
      <c r="J615" s="49" t="s">
        <v>756</v>
      </c>
      <c r="K615" s="50">
        <v>88.0</v>
      </c>
      <c r="L615" s="29" t="s">
        <v>757</v>
      </c>
      <c r="M615" s="22" t="s">
        <v>669</v>
      </c>
      <c r="N615" s="34"/>
      <c r="O615" s="48"/>
      <c r="P615" s="51"/>
      <c r="Q615" s="51"/>
      <c r="R615" s="34"/>
      <c r="S615" s="34"/>
      <c r="T615" s="34"/>
      <c r="U615" s="34">
        <v>607.0</v>
      </c>
      <c r="V615" s="29" t="s">
        <v>107</v>
      </c>
      <c r="W615" s="34"/>
      <c r="X615" s="29"/>
    </row>
    <row r="616" ht="15.75" customHeight="1">
      <c r="A616" s="27" t="s">
        <v>660</v>
      </c>
      <c r="B616" s="22" t="s">
        <v>1540</v>
      </c>
      <c r="C616" s="53" t="s">
        <v>29</v>
      </c>
      <c r="D616" s="53" t="s">
        <v>18</v>
      </c>
      <c r="E616" s="47" t="s">
        <v>662</v>
      </c>
      <c r="F616" s="49" t="s">
        <v>1011</v>
      </c>
      <c r="G616" s="29" t="s">
        <v>664</v>
      </c>
      <c r="H616" s="48" t="s">
        <v>997</v>
      </c>
      <c r="I616" s="48" t="s">
        <v>760</v>
      </c>
      <c r="J616" s="49" t="s">
        <v>761</v>
      </c>
      <c r="K616" s="50">
        <v>89.0</v>
      </c>
      <c r="L616" s="29" t="s">
        <v>1612</v>
      </c>
      <c r="M616" s="22" t="s">
        <v>669</v>
      </c>
      <c r="N616" s="34"/>
      <c r="O616" s="48"/>
      <c r="P616" s="51"/>
      <c r="Q616" s="51"/>
      <c r="R616" s="34"/>
      <c r="S616" s="34"/>
      <c r="T616" s="34"/>
      <c r="U616" s="34">
        <v>614.0</v>
      </c>
      <c r="V616" s="29" t="s">
        <v>107</v>
      </c>
      <c r="W616" s="34"/>
      <c r="X616" s="29"/>
    </row>
    <row r="617" ht="15.75" customHeight="1">
      <c r="A617" s="27" t="s">
        <v>660</v>
      </c>
      <c r="B617" s="22" t="s">
        <v>1540</v>
      </c>
      <c r="C617" s="53" t="s">
        <v>29</v>
      </c>
      <c r="D617" s="53" t="s">
        <v>30</v>
      </c>
      <c r="E617" s="47" t="s">
        <v>1010</v>
      </c>
      <c r="F617" s="49" t="s">
        <v>1011</v>
      </c>
      <c r="G617" s="29" t="s">
        <v>664</v>
      </c>
      <c r="H617" s="48" t="s">
        <v>1012</v>
      </c>
      <c r="I617" s="48" t="s">
        <v>1013</v>
      </c>
      <c r="J617" s="49" t="s">
        <v>1613</v>
      </c>
      <c r="K617" s="50">
        <v>90.0</v>
      </c>
      <c r="L617" s="29" t="s">
        <v>1015</v>
      </c>
      <c r="M617" s="22" t="s">
        <v>669</v>
      </c>
      <c r="N617" s="34"/>
      <c r="O617" s="48"/>
      <c r="P617" s="51"/>
      <c r="Q617" s="51"/>
      <c r="R617" s="34"/>
      <c r="S617" s="34"/>
      <c r="T617" s="34"/>
      <c r="U617" s="34">
        <v>615.0</v>
      </c>
      <c r="V617" s="29" t="s">
        <v>107</v>
      </c>
      <c r="W617" s="34"/>
      <c r="X617" s="29"/>
    </row>
    <row r="618" ht="15.75" customHeight="1">
      <c r="A618" s="27" t="s">
        <v>660</v>
      </c>
      <c r="B618" s="22" t="s">
        <v>1540</v>
      </c>
      <c r="C618" s="53" t="s">
        <v>29</v>
      </c>
      <c r="D618" s="53" t="s">
        <v>30</v>
      </c>
      <c r="E618" s="47" t="s">
        <v>1010</v>
      </c>
      <c r="F618" s="49" t="s">
        <v>1011</v>
      </c>
      <c r="G618" s="29" t="s">
        <v>664</v>
      </c>
      <c r="H618" s="48" t="s">
        <v>1012</v>
      </c>
      <c r="I618" s="48" t="s">
        <v>1013</v>
      </c>
      <c r="J618" s="49" t="s">
        <v>1613</v>
      </c>
      <c r="K618" s="50">
        <v>91.0</v>
      </c>
      <c r="L618" s="29" t="s">
        <v>1614</v>
      </c>
      <c r="M618" s="22" t="s">
        <v>669</v>
      </c>
      <c r="N618" s="34"/>
      <c r="O618" s="48"/>
      <c r="P618" s="51"/>
      <c r="Q618" s="51"/>
      <c r="R618" s="34"/>
      <c r="S618" s="34"/>
      <c r="T618" s="34"/>
      <c r="U618" s="34">
        <v>616.0</v>
      </c>
      <c r="V618" s="29" t="s">
        <v>107</v>
      </c>
      <c r="W618" s="34"/>
      <c r="X618" s="29"/>
    </row>
    <row r="619" ht="15.75" customHeight="1">
      <c r="A619" s="27" t="s">
        <v>660</v>
      </c>
      <c r="B619" s="22" t="s">
        <v>1540</v>
      </c>
      <c r="C619" s="53" t="s">
        <v>29</v>
      </c>
      <c r="D619" s="53" t="s">
        <v>30</v>
      </c>
      <c r="E619" s="47" t="s">
        <v>1010</v>
      </c>
      <c r="F619" s="49" t="s">
        <v>1011</v>
      </c>
      <c r="G619" s="29" t="s">
        <v>664</v>
      </c>
      <c r="H619" s="48" t="s">
        <v>1012</v>
      </c>
      <c r="I619" s="48" t="s">
        <v>1013</v>
      </c>
      <c r="J619" s="49" t="s">
        <v>1613</v>
      </c>
      <c r="K619" s="50">
        <v>92.0</v>
      </c>
      <c r="L619" s="29" t="s">
        <v>1017</v>
      </c>
      <c r="M619" s="22" t="s">
        <v>669</v>
      </c>
      <c r="N619" s="34"/>
      <c r="O619" s="48"/>
      <c r="P619" s="51"/>
      <c r="Q619" s="51"/>
      <c r="R619" s="34"/>
      <c r="S619" s="34"/>
      <c r="T619" s="34"/>
      <c r="U619" s="34">
        <v>617.0</v>
      </c>
      <c r="V619" s="29" t="s">
        <v>107</v>
      </c>
      <c r="W619" s="34"/>
      <c r="X619" s="29"/>
    </row>
    <row r="620" ht="15.75" customHeight="1">
      <c r="A620" s="27" t="s">
        <v>660</v>
      </c>
      <c r="B620" s="22" t="s">
        <v>1540</v>
      </c>
      <c r="C620" s="53" t="s">
        <v>29</v>
      </c>
      <c r="D620" s="53" t="s">
        <v>30</v>
      </c>
      <c r="E620" s="47" t="s">
        <v>1010</v>
      </c>
      <c r="F620" s="49" t="s">
        <v>1011</v>
      </c>
      <c r="G620" s="29" t="s">
        <v>664</v>
      </c>
      <c r="H620" s="48" t="s">
        <v>1012</v>
      </c>
      <c r="I620" s="48" t="s">
        <v>1013</v>
      </c>
      <c r="J620" s="49" t="s">
        <v>1613</v>
      </c>
      <c r="K620" s="50">
        <v>93.0</v>
      </c>
      <c r="L620" s="29" t="s">
        <v>1018</v>
      </c>
      <c r="M620" s="22" t="s">
        <v>669</v>
      </c>
      <c r="N620" s="34"/>
      <c r="O620" s="48"/>
      <c r="P620" s="51"/>
      <c r="Q620" s="51"/>
      <c r="R620" s="34"/>
      <c r="S620" s="34"/>
      <c r="T620" s="34"/>
      <c r="U620" s="34">
        <v>618.0</v>
      </c>
      <c r="V620" s="29" t="s">
        <v>107</v>
      </c>
      <c r="W620" s="34"/>
      <c r="X620" s="29"/>
    </row>
    <row r="621" ht="15.75" customHeight="1">
      <c r="A621" s="27" t="s">
        <v>660</v>
      </c>
      <c r="B621" s="22" t="s">
        <v>1540</v>
      </c>
      <c r="C621" s="53" t="s">
        <v>29</v>
      </c>
      <c r="D621" s="53" t="s">
        <v>30</v>
      </c>
      <c r="E621" s="47" t="s">
        <v>1010</v>
      </c>
      <c r="F621" s="49" t="s">
        <v>1011</v>
      </c>
      <c r="G621" s="29" t="s">
        <v>664</v>
      </c>
      <c r="H621" s="48" t="s">
        <v>1012</v>
      </c>
      <c r="I621" s="48" t="s">
        <v>1013</v>
      </c>
      <c r="J621" s="49" t="s">
        <v>1613</v>
      </c>
      <c r="K621" s="50">
        <v>94.0</v>
      </c>
      <c r="L621" s="29" t="s">
        <v>1019</v>
      </c>
      <c r="M621" s="22" t="s">
        <v>669</v>
      </c>
      <c r="N621" s="34"/>
      <c r="O621" s="48"/>
      <c r="P621" s="51"/>
      <c r="Q621" s="51"/>
      <c r="R621" s="34"/>
      <c r="S621" s="34"/>
      <c r="T621" s="34"/>
      <c r="U621" s="34">
        <v>619.0</v>
      </c>
      <c r="V621" s="29" t="s">
        <v>107</v>
      </c>
      <c r="W621" s="34"/>
      <c r="X621" s="29"/>
    </row>
    <row r="622" ht="15.75" customHeight="1">
      <c r="A622" s="27" t="s">
        <v>660</v>
      </c>
      <c r="B622" s="22" t="s">
        <v>1540</v>
      </c>
      <c r="C622" s="53" t="s">
        <v>29</v>
      </c>
      <c r="D622" s="53" t="s">
        <v>30</v>
      </c>
      <c r="E622" s="47" t="s">
        <v>1010</v>
      </c>
      <c r="F622" s="49" t="s">
        <v>1021</v>
      </c>
      <c r="G622" s="29" t="s">
        <v>714</v>
      </c>
      <c r="H622" s="48" t="s">
        <v>1012</v>
      </c>
      <c r="I622" s="48" t="s">
        <v>1013</v>
      </c>
      <c r="J622" s="49" t="s">
        <v>1613</v>
      </c>
      <c r="K622" s="50">
        <v>95.0</v>
      </c>
      <c r="L622" s="29" t="s">
        <v>1020</v>
      </c>
      <c r="M622" s="22" t="s">
        <v>669</v>
      </c>
      <c r="N622" s="34"/>
      <c r="O622" s="48"/>
      <c r="P622" s="51"/>
      <c r="Q622" s="51"/>
      <c r="R622" s="34"/>
      <c r="S622" s="34"/>
      <c r="T622" s="34"/>
      <c r="U622" s="34">
        <v>621.0</v>
      </c>
      <c r="V622" s="29" t="s">
        <v>107</v>
      </c>
      <c r="W622" s="34"/>
      <c r="X622" s="29"/>
    </row>
    <row r="623" ht="15.75" customHeight="1">
      <c r="A623" s="27" t="s">
        <v>660</v>
      </c>
      <c r="B623" s="22" t="s">
        <v>1540</v>
      </c>
      <c r="C623" s="53" t="s">
        <v>29</v>
      </c>
      <c r="D623" s="53" t="s">
        <v>30</v>
      </c>
      <c r="E623" s="47" t="s">
        <v>1010</v>
      </c>
      <c r="F623" s="49" t="s">
        <v>1021</v>
      </c>
      <c r="G623" s="29" t="s">
        <v>714</v>
      </c>
      <c r="H623" s="48" t="s">
        <v>1022</v>
      </c>
      <c r="I623" s="48" t="s">
        <v>1023</v>
      </c>
      <c r="J623" s="49" t="s">
        <v>1024</v>
      </c>
      <c r="K623" s="50">
        <v>96.0</v>
      </c>
      <c r="L623" s="29" t="s">
        <v>1025</v>
      </c>
      <c r="M623" s="22" t="s">
        <v>669</v>
      </c>
      <c r="N623" s="34"/>
      <c r="O623" s="48"/>
      <c r="P623" s="51"/>
      <c r="Q623" s="51"/>
      <c r="R623" s="34"/>
      <c r="S623" s="34"/>
      <c r="T623" s="34"/>
      <c r="U623" s="34">
        <v>622.0</v>
      </c>
      <c r="V623" s="29" t="s">
        <v>107</v>
      </c>
      <c r="W623" s="34"/>
      <c r="X623" s="29"/>
    </row>
    <row r="624" ht="15.75" customHeight="1">
      <c r="A624" s="27" t="s">
        <v>660</v>
      </c>
      <c r="B624" s="22" t="s">
        <v>1540</v>
      </c>
      <c r="C624" s="53" t="s">
        <v>31</v>
      </c>
      <c r="D624" s="53" t="s">
        <v>30</v>
      </c>
      <c r="E624" s="47" t="s">
        <v>1010</v>
      </c>
      <c r="F624" s="49" t="s">
        <v>1028</v>
      </c>
      <c r="G624" s="29" t="s">
        <v>664</v>
      </c>
      <c r="H624" s="48" t="s">
        <v>1022</v>
      </c>
      <c r="I624" s="48" t="s">
        <v>1023</v>
      </c>
      <c r="J624" s="49" t="s">
        <v>1024</v>
      </c>
      <c r="K624" s="50">
        <v>97.0</v>
      </c>
      <c r="L624" s="29" t="s">
        <v>1026</v>
      </c>
      <c r="M624" s="22" t="s">
        <v>669</v>
      </c>
      <c r="N624" s="34"/>
      <c r="O624" s="48"/>
      <c r="P624" s="51"/>
      <c r="Q624" s="51"/>
      <c r="R624" s="34"/>
      <c r="S624" s="34"/>
      <c r="T624" s="34"/>
      <c r="U624" s="34">
        <v>629.0</v>
      </c>
      <c r="V624" s="29" t="s">
        <v>107</v>
      </c>
      <c r="W624" s="34"/>
      <c r="X624" s="29"/>
    </row>
    <row r="625" ht="15.75" customHeight="1">
      <c r="A625" s="27" t="s">
        <v>660</v>
      </c>
      <c r="B625" s="22" t="s">
        <v>1540</v>
      </c>
      <c r="C625" s="53" t="s">
        <v>31</v>
      </c>
      <c r="D625" s="53" t="s">
        <v>34</v>
      </c>
      <c r="E625" s="47" t="s">
        <v>1083</v>
      </c>
      <c r="F625" s="49" t="s">
        <v>1028</v>
      </c>
      <c r="G625" s="29" t="s">
        <v>664</v>
      </c>
      <c r="H625" s="48" t="s">
        <v>1029</v>
      </c>
      <c r="I625" s="48" t="s">
        <v>1086</v>
      </c>
      <c r="J625" s="49" t="s">
        <v>1087</v>
      </c>
      <c r="K625" s="50">
        <v>98.0</v>
      </c>
      <c r="L625" s="29" t="s">
        <v>1615</v>
      </c>
      <c r="M625" s="22" t="s">
        <v>669</v>
      </c>
      <c r="N625" s="34"/>
      <c r="O625" s="48"/>
      <c r="P625" s="51"/>
      <c r="Q625" s="51"/>
      <c r="R625" s="34"/>
      <c r="S625" s="34"/>
      <c r="T625" s="34"/>
      <c r="U625" s="34">
        <v>630.0</v>
      </c>
      <c r="V625" s="29" t="s">
        <v>107</v>
      </c>
      <c r="W625" s="34"/>
      <c r="X625" s="29"/>
    </row>
    <row r="626" ht="15.75" customHeight="1">
      <c r="A626" s="27" t="s">
        <v>660</v>
      </c>
      <c r="B626" s="22" t="s">
        <v>1540</v>
      </c>
      <c r="C626" s="53" t="s">
        <v>31</v>
      </c>
      <c r="D626" s="53" t="s">
        <v>34</v>
      </c>
      <c r="E626" s="47" t="s">
        <v>1083</v>
      </c>
      <c r="F626" s="49" t="s">
        <v>1028</v>
      </c>
      <c r="G626" s="29" t="s">
        <v>664</v>
      </c>
      <c r="H626" s="48" t="s">
        <v>1029</v>
      </c>
      <c r="I626" s="48" t="s">
        <v>1086</v>
      </c>
      <c r="J626" s="49" t="s">
        <v>1087</v>
      </c>
      <c r="K626" s="50">
        <v>99.0</v>
      </c>
      <c r="L626" s="29" t="s">
        <v>1616</v>
      </c>
      <c r="M626" s="22" t="s">
        <v>669</v>
      </c>
      <c r="N626" s="34"/>
      <c r="O626" s="48"/>
      <c r="P626" s="51"/>
      <c r="Q626" s="51"/>
      <c r="R626" s="34"/>
      <c r="S626" s="34"/>
      <c r="T626" s="34"/>
      <c r="U626" s="34">
        <v>631.0</v>
      </c>
      <c r="V626" s="29" t="s">
        <v>107</v>
      </c>
      <c r="W626" s="34"/>
      <c r="X626" s="29"/>
    </row>
    <row r="627" ht="15.75" customHeight="1">
      <c r="A627" s="27" t="s">
        <v>660</v>
      </c>
      <c r="B627" s="22" t="s">
        <v>1540</v>
      </c>
      <c r="C627" s="53" t="s">
        <v>31</v>
      </c>
      <c r="D627" s="53" t="s">
        <v>34</v>
      </c>
      <c r="E627" s="47" t="s">
        <v>1083</v>
      </c>
      <c r="F627" s="49" t="s">
        <v>1028</v>
      </c>
      <c r="G627" s="29" t="s">
        <v>664</v>
      </c>
      <c r="H627" s="48" t="s">
        <v>1035</v>
      </c>
      <c r="I627" s="48" t="s">
        <v>1091</v>
      </c>
      <c r="J627" s="49" t="s">
        <v>1092</v>
      </c>
      <c r="K627" s="50">
        <v>100.0</v>
      </c>
      <c r="L627" s="29" t="s">
        <v>1093</v>
      </c>
      <c r="M627" s="22" t="s">
        <v>669</v>
      </c>
      <c r="N627" s="34"/>
      <c r="O627" s="48"/>
      <c r="P627" s="51"/>
      <c r="Q627" s="51"/>
      <c r="R627" s="34"/>
      <c r="S627" s="34"/>
      <c r="T627" s="34"/>
      <c r="U627" s="34">
        <v>632.0</v>
      </c>
      <c r="V627" s="29" t="s">
        <v>107</v>
      </c>
      <c r="W627" s="34"/>
      <c r="X627" s="29"/>
    </row>
    <row r="628" ht="15.75" customHeight="1">
      <c r="A628" s="27" t="s">
        <v>660</v>
      </c>
      <c r="B628" s="22" t="s">
        <v>1540</v>
      </c>
      <c r="C628" s="53" t="s">
        <v>31</v>
      </c>
      <c r="D628" s="53" t="s">
        <v>34</v>
      </c>
      <c r="E628" s="47" t="s">
        <v>1083</v>
      </c>
      <c r="F628" s="49" t="s">
        <v>1043</v>
      </c>
      <c r="G628" s="29" t="s">
        <v>714</v>
      </c>
      <c r="H628" s="48" t="s">
        <v>1039</v>
      </c>
      <c r="I628" s="48" t="s">
        <v>1095</v>
      </c>
      <c r="J628" s="49" t="s">
        <v>1096</v>
      </c>
      <c r="K628" s="50">
        <v>101.0</v>
      </c>
      <c r="L628" s="29" t="s">
        <v>1617</v>
      </c>
      <c r="M628" s="22" t="s">
        <v>669</v>
      </c>
      <c r="N628" s="34"/>
      <c r="O628" s="48"/>
      <c r="P628" s="51"/>
      <c r="Q628" s="51"/>
      <c r="R628" s="34"/>
      <c r="S628" s="34"/>
      <c r="T628" s="34"/>
      <c r="U628" s="34">
        <v>634.0</v>
      </c>
      <c r="V628" s="29" t="s">
        <v>107</v>
      </c>
      <c r="W628" s="34"/>
      <c r="X628" s="29"/>
    </row>
    <row r="629" ht="15.75" customHeight="1">
      <c r="A629" s="27" t="s">
        <v>660</v>
      </c>
      <c r="B629" s="22" t="s">
        <v>1540</v>
      </c>
      <c r="C629" s="53" t="s">
        <v>31</v>
      </c>
      <c r="D629" s="53" t="s">
        <v>34</v>
      </c>
      <c r="E629" s="47" t="s">
        <v>1083</v>
      </c>
      <c r="F629" s="49" t="s">
        <v>1043</v>
      </c>
      <c r="G629" s="29" t="s">
        <v>714</v>
      </c>
      <c r="H629" s="48" t="s">
        <v>1044</v>
      </c>
      <c r="I629" s="48" t="s">
        <v>1104</v>
      </c>
      <c r="J629" s="49" t="s">
        <v>1105</v>
      </c>
      <c r="K629" s="50">
        <v>102.0</v>
      </c>
      <c r="L629" s="29" t="s">
        <v>1106</v>
      </c>
      <c r="M629" s="22" t="s">
        <v>669</v>
      </c>
      <c r="N629" s="34"/>
      <c r="O629" s="48"/>
      <c r="P629" s="51"/>
      <c r="Q629" s="51"/>
      <c r="R629" s="34"/>
      <c r="S629" s="34"/>
      <c r="T629" s="34"/>
      <c r="U629" s="34">
        <v>635.0</v>
      </c>
      <c r="V629" s="29" t="s">
        <v>107</v>
      </c>
      <c r="W629" s="34"/>
      <c r="X629" s="29"/>
    </row>
    <row r="630" ht="15.75" customHeight="1">
      <c r="A630" s="27" t="s">
        <v>660</v>
      </c>
      <c r="B630" s="22" t="s">
        <v>1540</v>
      </c>
      <c r="C630" s="53" t="s">
        <v>31</v>
      </c>
      <c r="D630" s="53" t="s">
        <v>34</v>
      </c>
      <c r="E630" s="47" t="s">
        <v>1083</v>
      </c>
      <c r="F630" s="49" t="s">
        <v>1078</v>
      </c>
      <c r="G630" s="29" t="s">
        <v>749</v>
      </c>
      <c r="H630" s="48" t="s">
        <v>1044</v>
      </c>
      <c r="I630" s="48" t="s">
        <v>1104</v>
      </c>
      <c r="J630" s="49" t="s">
        <v>1105</v>
      </c>
      <c r="K630" s="50">
        <v>103.0</v>
      </c>
      <c r="L630" s="29" t="s">
        <v>1107</v>
      </c>
      <c r="M630" s="22" t="s">
        <v>669</v>
      </c>
      <c r="N630" s="34"/>
      <c r="O630" s="48"/>
      <c r="P630" s="51"/>
      <c r="Q630" s="51"/>
      <c r="R630" s="34"/>
      <c r="S630" s="34"/>
      <c r="T630" s="34"/>
      <c r="U630" s="34">
        <v>637.0</v>
      </c>
      <c r="V630" s="29" t="s">
        <v>107</v>
      </c>
      <c r="W630" s="34"/>
      <c r="X630" s="29"/>
    </row>
    <row r="631" ht="15.75" customHeight="1">
      <c r="A631" s="27" t="s">
        <v>660</v>
      </c>
      <c r="B631" s="22" t="s">
        <v>1540</v>
      </c>
      <c r="C631" s="53" t="s">
        <v>31</v>
      </c>
      <c r="D631" s="53" t="s">
        <v>34</v>
      </c>
      <c r="E631" s="47" t="s">
        <v>1083</v>
      </c>
      <c r="F631" s="49" t="s">
        <v>1078</v>
      </c>
      <c r="G631" s="29" t="s">
        <v>749</v>
      </c>
      <c r="H631" s="48" t="s">
        <v>1079</v>
      </c>
      <c r="I631" s="48" t="s">
        <v>1110</v>
      </c>
      <c r="J631" s="49" t="s">
        <v>1111</v>
      </c>
      <c r="K631" s="50">
        <v>104.0</v>
      </c>
      <c r="L631" s="29" t="s">
        <v>1618</v>
      </c>
      <c r="M631" s="22" t="s">
        <v>669</v>
      </c>
      <c r="N631" s="34"/>
      <c r="O631" s="48"/>
      <c r="P631" s="51"/>
      <c r="Q631" s="51"/>
      <c r="R631" s="34"/>
      <c r="S631" s="34"/>
      <c r="T631" s="34"/>
      <c r="U631" s="34">
        <v>638.0</v>
      </c>
      <c r="V631" s="29" t="s">
        <v>107</v>
      </c>
      <c r="W631" s="34"/>
      <c r="X631" s="29"/>
    </row>
    <row r="632" ht="15.75" customHeight="1">
      <c r="A632" s="27" t="s">
        <v>660</v>
      </c>
      <c r="B632" s="22" t="s">
        <v>1540</v>
      </c>
      <c r="C632" s="53" t="s">
        <v>31</v>
      </c>
      <c r="D632" s="53" t="s">
        <v>34</v>
      </c>
      <c r="E632" s="47" t="s">
        <v>1083</v>
      </c>
      <c r="F632" s="49" t="s">
        <v>1078</v>
      </c>
      <c r="G632" s="29" t="s">
        <v>749</v>
      </c>
      <c r="H632" s="48" t="s">
        <v>1619</v>
      </c>
      <c r="I632" s="48" t="s">
        <v>1114</v>
      </c>
      <c r="J632" s="49" t="s">
        <v>1115</v>
      </c>
      <c r="K632" s="50">
        <v>105.0</v>
      </c>
      <c r="L632" s="29" t="s">
        <v>1620</v>
      </c>
      <c r="M632" s="22" t="s">
        <v>669</v>
      </c>
      <c r="N632" s="34"/>
      <c r="O632" s="48"/>
      <c r="P632" s="51"/>
      <c r="Q632" s="51"/>
      <c r="R632" s="34"/>
      <c r="S632" s="34"/>
      <c r="T632" s="34"/>
      <c r="U632" s="34">
        <v>639.0</v>
      </c>
      <c r="V632" s="29" t="s">
        <v>107</v>
      </c>
      <c r="W632" s="34"/>
      <c r="X632" s="29"/>
    </row>
    <row r="633" ht="15.75" customHeight="1">
      <c r="A633" s="27" t="s">
        <v>660</v>
      </c>
      <c r="B633" s="22" t="s">
        <v>1540</v>
      </c>
      <c r="C633" s="53" t="s">
        <v>33</v>
      </c>
      <c r="D633" s="53" t="s">
        <v>34</v>
      </c>
      <c r="E633" s="47" t="s">
        <v>1083</v>
      </c>
      <c r="F633" s="49" t="s">
        <v>1084</v>
      </c>
      <c r="G633" s="29" t="s">
        <v>664</v>
      </c>
      <c r="H633" s="48" t="s">
        <v>1621</v>
      </c>
      <c r="I633" s="48" t="s">
        <v>1118</v>
      </c>
      <c r="J633" s="49" t="s">
        <v>1119</v>
      </c>
      <c r="K633" s="50">
        <v>106.0</v>
      </c>
      <c r="L633" s="29" t="s">
        <v>1622</v>
      </c>
      <c r="M633" s="22" t="s">
        <v>669</v>
      </c>
      <c r="N633" s="34"/>
      <c r="O633" s="48"/>
      <c r="P633" s="51"/>
      <c r="Q633" s="51"/>
      <c r="R633" s="34"/>
      <c r="S633" s="34"/>
      <c r="T633" s="34"/>
      <c r="U633" s="34">
        <v>646.0</v>
      </c>
      <c r="V633" s="29" t="s">
        <v>107</v>
      </c>
      <c r="W633" s="34"/>
      <c r="X633" s="29"/>
    </row>
    <row r="634" ht="15.75" customHeight="1">
      <c r="A634" s="27" t="s">
        <v>660</v>
      </c>
      <c r="B634" s="22" t="s">
        <v>1540</v>
      </c>
      <c r="C634" s="53" t="s">
        <v>33</v>
      </c>
      <c r="D634" s="53" t="s">
        <v>61</v>
      </c>
      <c r="E634" s="47" t="s">
        <v>1623</v>
      </c>
      <c r="F634" s="49" t="s">
        <v>1084</v>
      </c>
      <c r="G634" s="29" t="s">
        <v>664</v>
      </c>
      <c r="H634" s="48" t="s">
        <v>1085</v>
      </c>
      <c r="I634" s="48" t="s">
        <v>1624</v>
      </c>
      <c r="J634" s="49" t="s">
        <v>1625</v>
      </c>
      <c r="K634" s="50">
        <v>107.0</v>
      </c>
      <c r="L634" s="29" t="s">
        <v>1626</v>
      </c>
      <c r="M634" s="22" t="s">
        <v>669</v>
      </c>
      <c r="N634" s="34"/>
      <c r="O634" s="48"/>
      <c r="P634" s="51"/>
      <c r="Q634" s="51"/>
      <c r="R634" s="34"/>
      <c r="S634" s="34"/>
      <c r="T634" s="34"/>
      <c r="U634" s="34">
        <v>647.0</v>
      </c>
      <c r="V634" s="29" t="s">
        <v>107</v>
      </c>
      <c r="W634" s="34"/>
      <c r="X634" s="29"/>
    </row>
    <row r="635" ht="15.75" customHeight="1">
      <c r="A635" s="27" t="s">
        <v>660</v>
      </c>
      <c r="B635" s="22" t="s">
        <v>1540</v>
      </c>
      <c r="C635" s="53" t="s">
        <v>33</v>
      </c>
      <c r="D635" s="53" t="s">
        <v>61</v>
      </c>
      <c r="E635" s="47" t="s">
        <v>1623</v>
      </c>
      <c r="F635" s="49" t="s">
        <v>1102</v>
      </c>
      <c r="G635" s="29" t="s">
        <v>714</v>
      </c>
      <c r="H635" s="48" t="s">
        <v>1090</v>
      </c>
      <c r="I635" s="48" t="s">
        <v>1627</v>
      </c>
      <c r="J635" s="49" t="s">
        <v>1628</v>
      </c>
      <c r="K635" s="50">
        <v>108.0</v>
      </c>
      <c r="L635" s="29" t="s">
        <v>1629</v>
      </c>
      <c r="M635" s="22" t="s">
        <v>669</v>
      </c>
      <c r="N635" s="34"/>
      <c r="O635" s="48"/>
      <c r="P635" s="51"/>
      <c r="Q635" s="51"/>
      <c r="R635" s="34"/>
      <c r="S635" s="34"/>
      <c r="T635" s="34"/>
      <c r="U635" s="34">
        <v>649.0</v>
      </c>
      <c r="V635" s="29" t="s">
        <v>107</v>
      </c>
      <c r="W635" s="34"/>
      <c r="X635" s="29"/>
    </row>
    <row r="636" ht="15.75" customHeight="1">
      <c r="A636" s="27" t="s">
        <v>660</v>
      </c>
      <c r="B636" s="22" t="s">
        <v>1540</v>
      </c>
      <c r="C636" s="53" t="s">
        <v>33</v>
      </c>
      <c r="D636" s="53" t="s">
        <v>61</v>
      </c>
      <c r="E636" s="47" t="s">
        <v>1623</v>
      </c>
      <c r="F636" s="49" t="s">
        <v>1102</v>
      </c>
      <c r="G636" s="29" t="s">
        <v>714</v>
      </c>
      <c r="H636" s="48" t="s">
        <v>1103</v>
      </c>
      <c r="I636" s="48" t="s">
        <v>1630</v>
      </c>
      <c r="J636" s="49" t="s">
        <v>1631</v>
      </c>
      <c r="K636" s="50">
        <v>109.0</v>
      </c>
      <c r="L636" s="29" t="s">
        <v>1632</v>
      </c>
      <c r="M636" s="22" t="s">
        <v>669</v>
      </c>
      <c r="N636" s="34"/>
      <c r="O636" s="48"/>
      <c r="P636" s="51"/>
      <c r="Q636" s="51"/>
      <c r="R636" s="34"/>
      <c r="S636" s="34"/>
      <c r="T636" s="34"/>
      <c r="U636" s="34">
        <v>650.0</v>
      </c>
      <c r="V636" s="29" t="s">
        <v>107</v>
      </c>
      <c r="W636" s="34"/>
      <c r="X636" s="29"/>
    </row>
    <row r="637" ht="15.75" customHeight="1">
      <c r="A637" s="27" t="s">
        <v>660</v>
      </c>
      <c r="B637" s="22" t="s">
        <v>1540</v>
      </c>
      <c r="C637" s="53" t="s">
        <v>33</v>
      </c>
      <c r="D637" s="53" t="s">
        <v>61</v>
      </c>
      <c r="E637" s="47" t="s">
        <v>1623</v>
      </c>
      <c r="F637" s="49" t="s">
        <v>1102</v>
      </c>
      <c r="G637" s="29" t="s">
        <v>714</v>
      </c>
      <c r="H637" s="48" t="s">
        <v>1103</v>
      </c>
      <c r="I637" s="48" t="s">
        <v>1630</v>
      </c>
      <c r="J637" s="49" t="s">
        <v>1631</v>
      </c>
      <c r="K637" s="50">
        <v>110.0</v>
      </c>
      <c r="L637" s="29" t="s">
        <v>1633</v>
      </c>
      <c r="M637" s="22" t="s">
        <v>669</v>
      </c>
      <c r="N637" s="34"/>
      <c r="O637" s="48"/>
      <c r="P637" s="51"/>
      <c r="Q637" s="51"/>
      <c r="R637" s="34"/>
      <c r="S637" s="34"/>
      <c r="T637" s="34"/>
      <c r="U637" s="34">
        <v>651.0</v>
      </c>
      <c r="V637" s="29" t="s">
        <v>107</v>
      </c>
      <c r="W637" s="34"/>
      <c r="X637" s="29"/>
    </row>
    <row r="638" ht="15.75" customHeight="1">
      <c r="A638" s="27" t="s">
        <v>660</v>
      </c>
      <c r="B638" s="22" t="s">
        <v>1540</v>
      </c>
      <c r="C638" s="53" t="s">
        <v>33</v>
      </c>
      <c r="D638" s="53" t="s">
        <v>61</v>
      </c>
      <c r="E638" s="47" t="s">
        <v>1623</v>
      </c>
      <c r="F638" s="49" t="s">
        <v>1102</v>
      </c>
      <c r="G638" s="29" t="s">
        <v>714</v>
      </c>
      <c r="H638" s="48" t="s">
        <v>1103</v>
      </c>
      <c r="I638" s="48" t="s">
        <v>1630</v>
      </c>
      <c r="J638" s="49" t="s">
        <v>1631</v>
      </c>
      <c r="K638" s="50">
        <v>111.0</v>
      </c>
      <c r="L638" s="29" t="s">
        <v>1634</v>
      </c>
      <c r="M638" s="22" t="s">
        <v>669</v>
      </c>
      <c r="N638" s="34"/>
      <c r="O638" s="48"/>
      <c r="P638" s="51"/>
      <c r="Q638" s="51"/>
      <c r="R638" s="34"/>
      <c r="S638" s="34"/>
      <c r="T638" s="34"/>
      <c r="U638" s="34">
        <v>652.0</v>
      </c>
      <c r="V638" s="29" t="s">
        <v>107</v>
      </c>
      <c r="W638" s="34"/>
      <c r="X638" s="29"/>
    </row>
    <row r="639" ht="15.75" customHeight="1">
      <c r="A639" s="27" t="s">
        <v>660</v>
      </c>
      <c r="B639" s="22" t="s">
        <v>1540</v>
      </c>
      <c r="C639" s="53" t="s">
        <v>33</v>
      </c>
      <c r="D639" s="53" t="s">
        <v>61</v>
      </c>
      <c r="E639" s="47" t="s">
        <v>1623</v>
      </c>
      <c r="F639" s="49" t="s">
        <v>1102</v>
      </c>
      <c r="G639" s="29" t="s">
        <v>714</v>
      </c>
      <c r="H639" s="48" t="s">
        <v>1635</v>
      </c>
      <c r="I639" s="48" t="s">
        <v>1636</v>
      </c>
      <c r="J639" s="49" t="s">
        <v>1637</v>
      </c>
      <c r="K639" s="50">
        <v>112.0</v>
      </c>
      <c r="L639" s="29" t="s">
        <v>1638</v>
      </c>
      <c r="M639" s="22" t="s">
        <v>669</v>
      </c>
      <c r="N639" s="34"/>
      <c r="O639" s="48"/>
      <c r="P639" s="51"/>
      <c r="Q639" s="51"/>
      <c r="R639" s="34"/>
      <c r="S639" s="34"/>
      <c r="T639" s="34"/>
      <c r="U639" s="34">
        <v>653.0</v>
      </c>
      <c r="V639" s="29" t="s">
        <v>107</v>
      </c>
      <c r="W639" s="34"/>
      <c r="X639" s="29"/>
    </row>
    <row r="640" ht="15.75" customHeight="1">
      <c r="A640" s="27" t="s">
        <v>660</v>
      </c>
      <c r="B640" s="22" t="s">
        <v>1540</v>
      </c>
      <c r="C640" s="53" t="s">
        <v>33</v>
      </c>
      <c r="D640" s="53" t="s">
        <v>61</v>
      </c>
      <c r="E640" s="47" t="s">
        <v>1623</v>
      </c>
      <c r="F640" s="49" t="s">
        <v>1102</v>
      </c>
      <c r="G640" s="29" t="s">
        <v>714</v>
      </c>
      <c r="H640" s="48" t="s">
        <v>1635</v>
      </c>
      <c r="I640" s="48" t="s">
        <v>1636</v>
      </c>
      <c r="J640" s="49" t="s">
        <v>1637</v>
      </c>
      <c r="K640" s="50">
        <v>113.0</v>
      </c>
      <c r="L640" s="29" t="s">
        <v>1639</v>
      </c>
      <c r="M640" s="22" t="s">
        <v>669</v>
      </c>
      <c r="N640" s="34"/>
      <c r="O640" s="48"/>
      <c r="P640" s="51"/>
      <c r="Q640" s="51"/>
      <c r="R640" s="34"/>
      <c r="S640" s="34"/>
      <c r="T640" s="34"/>
      <c r="U640" s="34">
        <v>654.0</v>
      </c>
      <c r="V640" s="29" t="s">
        <v>107</v>
      </c>
      <c r="W640" s="34"/>
      <c r="X640" s="29"/>
    </row>
    <row r="641" ht="15.75" customHeight="1">
      <c r="A641" s="27" t="s">
        <v>660</v>
      </c>
      <c r="B641" s="22" t="s">
        <v>1540</v>
      </c>
      <c r="C641" s="53" t="s">
        <v>33</v>
      </c>
      <c r="D641" s="53" t="s">
        <v>61</v>
      </c>
      <c r="E641" s="47" t="s">
        <v>1623</v>
      </c>
      <c r="F641" s="49" t="s">
        <v>1102</v>
      </c>
      <c r="G641" s="29" t="s">
        <v>714</v>
      </c>
      <c r="H641" s="48" t="s">
        <v>1640</v>
      </c>
      <c r="I641" s="48" t="s">
        <v>1641</v>
      </c>
      <c r="J641" s="49" t="s">
        <v>1642</v>
      </c>
      <c r="K641" s="50">
        <v>114.0</v>
      </c>
      <c r="L641" s="29" t="s">
        <v>1643</v>
      </c>
      <c r="M641" s="22" t="s">
        <v>669</v>
      </c>
      <c r="N641" s="34"/>
      <c r="O641" s="48"/>
      <c r="P641" s="51"/>
      <c r="Q641" s="51"/>
      <c r="R641" s="34"/>
      <c r="S641" s="34"/>
      <c r="T641" s="34"/>
      <c r="U641" s="34">
        <v>655.0</v>
      </c>
      <c r="V641" s="29" t="s">
        <v>107</v>
      </c>
      <c r="W641" s="34"/>
      <c r="X641" s="29"/>
    </row>
    <row r="642" ht="15.75" customHeight="1">
      <c r="A642" s="27" t="s">
        <v>660</v>
      </c>
      <c r="B642" s="22" t="s">
        <v>1540</v>
      </c>
      <c r="C642" s="53" t="s">
        <v>33</v>
      </c>
      <c r="D642" s="53" t="s">
        <v>61</v>
      </c>
      <c r="E642" s="47" t="s">
        <v>1623</v>
      </c>
      <c r="F642" s="49" t="s">
        <v>1102</v>
      </c>
      <c r="G642" s="29" t="s">
        <v>714</v>
      </c>
      <c r="H642" s="48" t="s">
        <v>1644</v>
      </c>
      <c r="I642" s="48" t="s">
        <v>61</v>
      </c>
      <c r="J642" s="49" t="s">
        <v>1645</v>
      </c>
      <c r="K642" s="50">
        <v>115.0</v>
      </c>
      <c r="L642" s="29" t="s">
        <v>1646</v>
      </c>
      <c r="M642" s="22" t="s">
        <v>669</v>
      </c>
      <c r="N642" s="34"/>
      <c r="O642" s="48"/>
      <c r="P642" s="51"/>
      <c r="Q642" s="51"/>
      <c r="R642" s="34"/>
      <c r="S642" s="34"/>
      <c r="T642" s="34"/>
      <c r="U642" s="34">
        <v>656.0</v>
      </c>
      <c r="V642" s="29" t="s">
        <v>107</v>
      </c>
      <c r="W642" s="34"/>
      <c r="X642" s="29"/>
    </row>
    <row r="643" ht="15.75" customHeight="1">
      <c r="A643" s="27" t="s">
        <v>660</v>
      </c>
      <c r="B643" s="22" t="s">
        <v>1540</v>
      </c>
      <c r="C643" s="53" t="s">
        <v>33</v>
      </c>
      <c r="D643" s="53" t="s">
        <v>61</v>
      </c>
      <c r="E643" s="47" t="s">
        <v>1623</v>
      </c>
      <c r="F643" s="49" t="s">
        <v>1102</v>
      </c>
      <c r="G643" s="29" t="s">
        <v>714</v>
      </c>
      <c r="H643" s="48" t="s">
        <v>1647</v>
      </c>
      <c r="I643" s="48" t="s">
        <v>1648</v>
      </c>
      <c r="J643" s="49" t="s">
        <v>1649</v>
      </c>
      <c r="K643" s="50">
        <v>116.0</v>
      </c>
      <c r="L643" s="29" t="s">
        <v>1650</v>
      </c>
      <c r="M643" s="22" t="s">
        <v>669</v>
      </c>
      <c r="N643" s="34"/>
      <c r="O643" s="48"/>
      <c r="P643" s="51"/>
      <c r="Q643" s="51"/>
      <c r="R643" s="34"/>
      <c r="S643" s="34"/>
      <c r="T643" s="34"/>
      <c r="U643" s="34">
        <v>657.0</v>
      </c>
      <c r="V643" s="29" t="s">
        <v>107</v>
      </c>
      <c r="W643" s="34"/>
      <c r="X643" s="29"/>
    </row>
    <row r="644" ht="15.75" customHeight="1">
      <c r="A644" s="27" t="s">
        <v>660</v>
      </c>
      <c r="B644" s="22" t="s">
        <v>1540</v>
      </c>
      <c r="C644" s="53" t="s">
        <v>1651</v>
      </c>
      <c r="D644" s="53" t="s">
        <v>61</v>
      </c>
      <c r="E644" s="47" t="s">
        <v>1623</v>
      </c>
      <c r="F644" s="49" t="s">
        <v>1122</v>
      </c>
      <c r="G644" s="29" t="s">
        <v>664</v>
      </c>
      <c r="H644" s="48" t="s">
        <v>1652</v>
      </c>
      <c r="I644" s="48" t="s">
        <v>1653</v>
      </c>
      <c r="J644" s="49" t="s">
        <v>1654</v>
      </c>
      <c r="K644" s="50">
        <v>117.0</v>
      </c>
      <c r="L644" s="29" t="s">
        <v>1655</v>
      </c>
      <c r="M644" s="22" t="s">
        <v>669</v>
      </c>
      <c r="N644" s="34"/>
      <c r="O644" s="48"/>
      <c r="P644" s="51"/>
      <c r="Q644" s="51"/>
      <c r="R644" s="34"/>
      <c r="S644" s="34"/>
      <c r="T644" s="34"/>
      <c r="U644" s="34">
        <v>664.0</v>
      </c>
      <c r="V644" s="29" t="s">
        <v>107</v>
      </c>
      <c r="W644" s="34"/>
      <c r="X644" s="29"/>
    </row>
    <row r="645" ht="15.75" customHeight="1">
      <c r="A645" s="27" t="s">
        <v>660</v>
      </c>
      <c r="B645" s="22" t="s">
        <v>1540</v>
      </c>
      <c r="C645" s="53" t="s">
        <v>1651</v>
      </c>
      <c r="D645" s="53" t="s">
        <v>54</v>
      </c>
      <c r="E645" s="47" t="s">
        <v>1656</v>
      </c>
      <c r="F645" s="49" t="s">
        <v>1122</v>
      </c>
      <c r="G645" s="29" t="s">
        <v>664</v>
      </c>
      <c r="H645" s="48" t="s">
        <v>1123</v>
      </c>
      <c r="I645" s="48" t="s">
        <v>1657</v>
      </c>
      <c r="J645" s="49" t="s">
        <v>1658</v>
      </c>
      <c r="K645" s="50">
        <v>118.0</v>
      </c>
      <c r="L645" s="29" t="s">
        <v>1659</v>
      </c>
      <c r="M645" s="22" t="s">
        <v>669</v>
      </c>
      <c r="N645" s="34"/>
      <c r="O645" s="48"/>
      <c r="P645" s="51"/>
      <c r="Q645" s="51"/>
      <c r="R645" s="34"/>
      <c r="S645" s="34"/>
      <c r="T645" s="34"/>
      <c r="U645" s="34">
        <v>665.0</v>
      </c>
      <c r="V645" s="29" t="s">
        <v>107</v>
      </c>
      <c r="W645" s="34"/>
      <c r="X645" s="29"/>
    </row>
    <row r="646" ht="15.75" customHeight="1">
      <c r="A646" s="27" t="s">
        <v>660</v>
      </c>
      <c r="B646" s="22" t="s">
        <v>1540</v>
      </c>
      <c r="C646" s="53" t="s">
        <v>1651</v>
      </c>
      <c r="D646" s="53" t="s">
        <v>54</v>
      </c>
      <c r="E646" s="47" t="s">
        <v>1656</v>
      </c>
      <c r="F646" s="49" t="s">
        <v>1122</v>
      </c>
      <c r="G646" s="29" t="s">
        <v>664</v>
      </c>
      <c r="H646" s="48" t="s">
        <v>1129</v>
      </c>
      <c r="I646" s="48" t="s">
        <v>1482</v>
      </c>
      <c r="J646" s="49" t="s">
        <v>1660</v>
      </c>
      <c r="K646" s="50">
        <v>119.0</v>
      </c>
      <c r="L646" s="29" t="s">
        <v>1661</v>
      </c>
      <c r="M646" s="22" t="s">
        <v>669</v>
      </c>
      <c r="N646" s="34"/>
      <c r="O646" s="48"/>
      <c r="P646" s="51"/>
      <c r="Q646" s="51"/>
      <c r="R646" s="34"/>
      <c r="S646" s="34"/>
      <c r="T646" s="34"/>
      <c r="U646" s="34">
        <v>666.0</v>
      </c>
      <c r="V646" s="29" t="s">
        <v>107</v>
      </c>
      <c r="W646" s="34"/>
      <c r="X646" s="29"/>
    </row>
    <row r="647" ht="15.75" customHeight="1">
      <c r="A647" s="27" t="s">
        <v>660</v>
      </c>
      <c r="B647" s="22" t="s">
        <v>1540</v>
      </c>
      <c r="C647" s="53" t="s">
        <v>1651</v>
      </c>
      <c r="D647" s="53" t="s">
        <v>54</v>
      </c>
      <c r="E647" s="47" t="s">
        <v>1656</v>
      </c>
      <c r="F647" s="49" t="s">
        <v>1122</v>
      </c>
      <c r="G647" s="29" t="s">
        <v>664</v>
      </c>
      <c r="H647" s="48" t="s">
        <v>1133</v>
      </c>
      <c r="I647" s="48" t="s">
        <v>1499</v>
      </c>
      <c r="J647" s="49" t="s">
        <v>1500</v>
      </c>
      <c r="K647" s="50">
        <v>120.0</v>
      </c>
      <c r="L647" s="29" t="s">
        <v>1662</v>
      </c>
      <c r="M647" s="22" t="s">
        <v>669</v>
      </c>
      <c r="N647" s="34"/>
      <c r="O647" s="48"/>
      <c r="P647" s="51"/>
      <c r="Q647" s="51"/>
      <c r="R647" s="34"/>
      <c r="S647" s="34"/>
      <c r="T647" s="34"/>
      <c r="U647" s="34">
        <v>667.0</v>
      </c>
      <c r="V647" s="29" t="s">
        <v>107</v>
      </c>
      <c r="W647" s="34"/>
      <c r="X647" s="29"/>
    </row>
    <row r="648" ht="15.75" customHeight="1">
      <c r="A648" s="27" t="s">
        <v>660</v>
      </c>
      <c r="B648" s="22" t="s">
        <v>1540</v>
      </c>
      <c r="C648" s="53" t="s">
        <v>1651</v>
      </c>
      <c r="D648" s="53" t="s">
        <v>54</v>
      </c>
      <c r="E648" s="47" t="s">
        <v>1656</v>
      </c>
      <c r="F648" s="49" t="s">
        <v>1122</v>
      </c>
      <c r="G648" s="29" t="s">
        <v>664</v>
      </c>
      <c r="H648" s="48" t="s">
        <v>1137</v>
      </c>
      <c r="I648" s="48" t="s">
        <v>1486</v>
      </c>
      <c r="J648" s="49" t="s">
        <v>1487</v>
      </c>
      <c r="K648" s="50">
        <v>121.0</v>
      </c>
      <c r="L648" s="29" t="s">
        <v>1663</v>
      </c>
      <c r="M648" s="22" t="s">
        <v>669</v>
      </c>
      <c r="N648" s="34"/>
      <c r="O648" s="48"/>
      <c r="P648" s="51"/>
      <c r="Q648" s="51"/>
      <c r="R648" s="34"/>
      <c r="S648" s="34"/>
      <c r="T648" s="34"/>
      <c r="U648" s="34">
        <v>668.0</v>
      </c>
      <c r="V648" s="29" t="s">
        <v>107</v>
      </c>
      <c r="W648" s="34"/>
      <c r="X648" s="29"/>
    </row>
    <row r="649" ht="15.75" customHeight="1">
      <c r="A649" s="27" t="s">
        <v>660</v>
      </c>
      <c r="B649" s="22" t="s">
        <v>1540</v>
      </c>
      <c r="C649" s="53" t="s">
        <v>1651</v>
      </c>
      <c r="D649" s="53" t="s">
        <v>54</v>
      </c>
      <c r="E649" s="47" t="s">
        <v>1656</v>
      </c>
      <c r="F649" s="49" t="s">
        <v>1122</v>
      </c>
      <c r="G649" s="29" t="s">
        <v>664</v>
      </c>
      <c r="H649" s="48" t="s">
        <v>1141</v>
      </c>
      <c r="I649" s="48" t="s">
        <v>1664</v>
      </c>
      <c r="J649" s="49" t="s">
        <v>1491</v>
      </c>
      <c r="K649" s="50">
        <v>122.0</v>
      </c>
      <c r="L649" s="29" t="s">
        <v>1665</v>
      </c>
      <c r="M649" s="22" t="s">
        <v>669</v>
      </c>
      <c r="N649" s="34"/>
      <c r="O649" s="48"/>
      <c r="P649" s="51"/>
      <c r="Q649" s="51"/>
      <c r="R649" s="34"/>
      <c r="S649" s="34"/>
      <c r="T649" s="34"/>
      <c r="U649" s="34">
        <v>669.0</v>
      </c>
      <c r="V649" s="29" t="s">
        <v>107</v>
      </c>
      <c r="W649" s="34"/>
      <c r="X649" s="29"/>
    </row>
    <row r="650" ht="15.75" customHeight="1">
      <c r="A650" s="27" t="s">
        <v>660</v>
      </c>
      <c r="B650" s="22" t="s">
        <v>1540</v>
      </c>
      <c r="C650" s="53" t="s">
        <v>1651</v>
      </c>
      <c r="D650" s="53" t="s">
        <v>54</v>
      </c>
      <c r="E650" s="47" t="s">
        <v>1656</v>
      </c>
      <c r="F650" s="49" t="s">
        <v>1122</v>
      </c>
      <c r="G650" s="29" t="s">
        <v>664</v>
      </c>
      <c r="H650" s="48" t="s">
        <v>1145</v>
      </c>
      <c r="I650" s="48" t="s">
        <v>1494</v>
      </c>
      <c r="J650" s="49" t="s">
        <v>1666</v>
      </c>
      <c r="K650" s="50">
        <v>123.0</v>
      </c>
      <c r="L650" s="29" t="s">
        <v>1667</v>
      </c>
      <c r="M650" s="22" t="s">
        <v>669</v>
      </c>
      <c r="N650" s="34"/>
      <c r="O650" s="48"/>
      <c r="P650" s="51"/>
      <c r="Q650" s="51"/>
      <c r="R650" s="34"/>
      <c r="S650" s="34"/>
      <c r="T650" s="34"/>
      <c r="U650" s="34">
        <v>670.0</v>
      </c>
      <c r="V650" s="29" t="s">
        <v>107</v>
      </c>
      <c r="W650" s="34"/>
      <c r="X650" s="29"/>
    </row>
    <row r="651" ht="15.75" customHeight="1">
      <c r="A651" s="27" t="s">
        <v>660</v>
      </c>
      <c r="B651" s="22" t="s">
        <v>1540</v>
      </c>
      <c r="C651" s="53" t="s">
        <v>1651</v>
      </c>
      <c r="D651" s="53" t="s">
        <v>54</v>
      </c>
      <c r="E651" s="47" t="s">
        <v>1656</v>
      </c>
      <c r="F651" s="49" t="s">
        <v>1122</v>
      </c>
      <c r="G651" s="29" t="s">
        <v>664</v>
      </c>
      <c r="H651" s="48" t="s">
        <v>1145</v>
      </c>
      <c r="I651" s="48" t="s">
        <v>1494</v>
      </c>
      <c r="J651" s="49" t="s">
        <v>1666</v>
      </c>
      <c r="K651" s="50">
        <v>124.0</v>
      </c>
      <c r="L651" s="29" t="s">
        <v>1668</v>
      </c>
      <c r="M651" s="22" t="s">
        <v>669</v>
      </c>
      <c r="N651" s="34"/>
      <c r="O651" s="48"/>
      <c r="P651" s="51"/>
      <c r="Q651" s="51"/>
      <c r="R651" s="34"/>
      <c r="S651" s="34"/>
      <c r="T651" s="34"/>
      <c r="U651" s="34">
        <v>671.0</v>
      </c>
      <c r="V651" s="29" t="s">
        <v>107</v>
      </c>
      <c r="W651" s="34"/>
      <c r="X651" s="29"/>
    </row>
    <row r="652" ht="15.75" customHeight="1">
      <c r="A652" s="27" t="s">
        <v>660</v>
      </c>
      <c r="B652" s="22" t="s">
        <v>1540</v>
      </c>
      <c r="C652" s="53" t="s">
        <v>37</v>
      </c>
      <c r="D652" s="53" t="s">
        <v>54</v>
      </c>
      <c r="E652" s="47" t="s">
        <v>1656</v>
      </c>
      <c r="F652" s="49" t="s">
        <v>1184</v>
      </c>
      <c r="G652" s="29" t="s">
        <v>664</v>
      </c>
      <c r="H652" s="48" t="s">
        <v>1149</v>
      </c>
      <c r="I652" s="48" t="s">
        <v>1669</v>
      </c>
      <c r="J652" s="49" t="s">
        <v>1670</v>
      </c>
      <c r="K652" s="50">
        <v>125.0</v>
      </c>
      <c r="L652" s="29" t="s">
        <v>1671</v>
      </c>
      <c r="M652" s="22" t="s">
        <v>669</v>
      </c>
      <c r="N652" s="34"/>
      <c r="O652" s="48"/>
      <c r="P652" s="51"/>
      <c r="Q652" s="51"/>
      <c r="R652" s="34"/>
      <c r="S652" s="34"/>
      <c r="T652" s="34"/>
      <c r="U652" s="34">
        <v>678.0</v>
      </c>
      <c r="V652" s="29" t="s">
        <v>107</v>
      </c>
      <c r="W652" s="34"/>
      <c r="X652" s="29"/>
    </row>
    <row r="653" ht="15.75" customHeight="1">
      <c r="A653" s="27" t="s">
        <v>660</v>
      </c>
      <c r="B653" s="22" t="s">
        <v>1540</v>
      </c>
      <c r="C653" s="53" t="s">
        <v>37</v>
      </c>
      <c r="D653" s="53" t="s">
        <v>26</v>
      </c>
      <c r="E653" s="47" t="s">
        <v>899</v>
      </c>
      <c r="F653" s="49" t="s">
        <v>1184</v>
      </c>
      <c r="G653" s="29" t="s">
        <v>664</v>
      </c>
      <c r="H653" s="48" t="s">
        <v>1185</v>
      </c>
      <c r="I653" s="48" t="s">
        <v>902</v>
      </c>
      <c r="J653" s="49" t="s">
        <v>903</v>
      </c>
      <c r="K653" s="50">
        <v>126.0</v>
      </c>
      <c r="L653" s="29" t="s">
        <v>1672</v>
      </c>
      <c r="M653" s="22" t="s">
        <v>669</v>
      </c>
      <c r="N653" s="34"/>
      <c r="O653" s="48"/>
      <c r="P653" s="51"/>
      <c r="Q653" s="51"/>
      <c r="R653" s="34"/>
      <c r="S653" s="34"/>
      <c r="T653" s="34"/>
      <c r="U653" s="34">
        <v>679.0</v>
      </c>
      <c r="V653" s="29" t="s">
        <v>107</v>
      </c>
      <c r="W653" s="34"/>
      <c r="X653" s="29"/>
    </row>
    <row r="654" ht="15.75" customHeight="1">
      <c r="A654" s="27" t="s">
        <v>660</v>
      </c>
      <c r="B654" s="22" t="s">
        <v>1540</v>
      </c>
      <c r="C654" s="53" t="s">
        <v>37</v>
      </c>
      <c r="D654" s="53" t="s">
        <v>26</v>
      </c>
      <c r="E654" s="47" t="s">
        <v>899</v>
      </c>
      <c r="F654" s="49" t="s">
        <v>1184</v>
      </c>
      <c r="G654" s="29" t="s">
        <v>664</v>
      </c>
      <c r="H654" s="48" t="s">
        <v>1190</v>
      </c>
      <c r="I654" s="48" t="s">
        <v>906</v>
      </c>
      <c r="J654" s="49" t="s">
        <v>907</v>
      </c>
      <c r="K654" s="50">
        <v>127.0</v>
      </c>
      <c r="L654" s="29" t="s">
        <v>1673</v>
      </c>
      <c r="M654" s="22" t="s">
        <v>669</v>
      </c>
      <c r="N654" s="34"/>
      <c r="O654" s="48"/>
      <c r="P654" s="51"/>
      <c r="Q654" s="51"/>
      <c r="R654" s="34"/>
      <c r="S654" s="34"/>
      <c r="T654" s="34"/>
      <c r="U654" s="34">
        <v>680.0</v>
      </c>
      <c r="V654" s="29" t="s">
        <v>107</v>
      </c>
      <c r="W654" s="34"/>
      <c r="X654" s="29"/>
    </row>
    <row r="655" ht="15.75" customHeight="1">
      <c r="A655" s="27" t="s">
        <v>660</v>
      </c>
      <c r="B655" s="22" t="s">
        <v>1540</v>
      </c>
      <c r="C655" s="53" t="s">
        <v>37</v>
      </c>
      <c r="D655" s="53" t="s">
        <v>26</v>
      </c>
      <c r="E655" s="47" t="s">
        <v>899</v>
      </c>
      <c r="F655" s="49" t="s">
        <v>1184</v>
      </c>
      <c r="G655" s="29" t="s">
        <v>664</v>
      </c>
      <c r="H655" s="48" t="s">
        <v>1190</v>
      </c>
      <c r="I655" s="48" t="s">
        <v>906</v>
      </c>
      <c r="J655" s="49" t="s">
        <v>907</v>
      </c>
      <c r="K655" s="50">
        <v>128.0</v>
      </c>
      <c r="L655" s="29" t="s">
        <v>910</v>
      </c>
      <c r="M655" s="22" t="s">
        <v>669</v>
      </c>
      <c r="N655" s="34"/>
      <c r="O655" s="48"/>
      <c r="P655" s="51"/>
      <c r="Q655" s="51"/>
      <c r="R655" s="34"/>
      <c r="S655" s="34"/>
      <c r="T655" s="34"/>
      <c r="U655" s="34">
        <v>681.0</v>
      </c>
      <c r="V655" s="29" t="s">
        <v>107</v>
      </c>
      <c r="W655" s="34"/>
      <c r="X655" s="29"/>
    </row>
    <row r="656" ht="15.75" customHeight="1">
      <c r="A656" s="27" t="s">
        <v>660</v>
      </c>
      <c r="B656" s="22" t="s">
        <v>1540</v>
      </c>
      <c r="C656" s="53" t="s">
        <v>37</v>
      </c>
      <c r="D656" s="53" t="s">
        <v>26</v>
      </c>
      <c r="E656" s="47" t="s">
        <v>899</v>
      </c>
      <c r="F656" s="49" t="s">
        <v>1184</v>
      </c>
      <c r="G656" s="29" t="s">
        <v>664</v>
      </c>
      <c r="H656" s="48" t="s">
        <v>1674</v>
      </c>
      <c r="I656" s="48" t="s">
        <v>913</v>
      </c>
      <c r="J656" s="49" t="s">
        <v>914</v>
      </c>
      <c r="K656" s="50">
        <v>129.0</v>
      </c>
      <c r="L656" s="29" t="s">
        <v>1675</v>
      </c>
      <c r="M656" s="22" t="s">
        <v>669</v>
      </c>
      <c r="N656" s="34"/>
      <c r="O656" s="48"/>
      <c r="P656" s="51"/>
      <c r="Q656" s="51"/>
      <c r="R656" s="34"/>
      <c r="S656" s="34"/>
      <c r="T656" s="34"/>
      <c r="U656" s="34">
        <v>682.0</v>
      </c>
      <c r="V656" s="29" t="s">
        <v>107</v>
      </c>
      <c r="W656" s="34"/>
      <c r="X656" s="29"/>
    </row>
    <row r="657" ht="15.75" customHeight="1">
      <c r="A657" s="27" t="s">
        <v>660</v>
      </c>
      <c r="B657" s="22" t="s">
        <v>1540</v>
      </c>
      <c r="C657" s="53" t="s">
        <v>37</v>
      </c>
      <c r="D657" s="53" t="s">
        <v>26</v>
      </c>
      <c r="E657" s="47" t="s">
        <v>899</v>
      </c>
      <c r="F657" s="49" t="s">
        <v>1184</v>
      </c>
      <c r="G657" s="29" t="s">
        <v>664</v>
      </c>
      <c r="H657" s="48" t="s">
        <v>1676</v>
      </c>
      <c r="I657" s="48" t="s">
        <v>917</v>
      </c>
      <c r="J657" s="49" t="s">
        <v>918</v>
      </c>
      <c r="K657" s="50">
        <v>130.0</v>
      </c>
      <c r="L657" s="29" t="s">
        <v>1677</v>
      </c>
      <c r="M657" s="22" t="s">
        <v>669</v>
      </c>
      <c r="N657" s="34"/>
      <c r="O657" s="48"/>
      <c r="P657" s="51"/>
      <c r="Q657" s="51"/>
      <c r="R657" s="34"/>
      <c r="S657" s="34"/>
      <c r="T657" s="34"/>
      <c r="U657" s="34">
        <v>683.0</v>
      </c>
      <c r="V657" s="29" t="s">
        <v>107</v>
      </c>
      <c r="W657" s="34"/>
      <c r="X657" s="29"/>
    </row>
    <row r="658" ht="15.75" customHeight="1">
      <c r="A658" s="27" t="s">
        <v>660</v>
      </c>
      <c r="B658" s="22" t="s">
        <v>1540</v>
      </c>
      <c r="C658" s="53" t="s">
        <v>37</v>
      </c>
      <c r="D658" s="53" t="s">
        <v>26</v>
      </c>
      <c r="E658" s="47" t="s">
        <v>899</v>
      </c>
      <c r="F658" s="49" t="s">
        <v>1184</v>
      </c>
      <c r="G658" s="29" t="s">
        <v>664</v>
      </c>
      <c r="H658" s="48" t="s">
        <v>1678</v>
      </c>
      <c r="I658" s="48" t="s">
        <v>921</v>
      </c>
      <c r="J658" s="49" t="s">
        <v>922</v>
      </c>
      <c r="K658" s="50">
        <v>131.0</v>
      </c>
      <c r="L658" s="29" t="s">
        <v>1679</v>
      </c>
      <c r="M658" s="22" t="s">
        <v>669</v>
      </c>
      <c r="N658" s="34"/>
      <c r="O658" s="48"/>
      <c r="P658" s="51"/>
      <c r="Q658" s="51"/>
      <c r="R658" s="34"/>
      <c r="S658" s="34"/>
      <c r="T658" s="34"/>
      <c r="U658" s="34">
        <v>684.0</v>
      </c>
      <c r="V658" s="29" t="s">
        <v>107</v>
      </c>
      <c r="W658" s="34"/>
      <c r="X658" s="29"/>
    </row>
    <row r="659" ht="15.75" customHeight="1">
      <c r="A659" s="27" t="s">
        <v>660</v>
      </c>
      <c r="B659" s="22" t="s">
        <v>1540</v>
      </c>
      <c r="C659" s="53" t="s">
        <v>37</v>
      </c>
      <c r="D659" s="53" t="s">
        <v>26</v>
      </c>
      <c r="E659" s="47" t="s">
        <v>899</v>
      </c>
      <c r="F659" s="49" t="s">
        <v>1184</v>
      </c>
      <c r="G659" s="29" t="s">
        <v>664</v>
      </c>
      <c r="H659" s="48" t="s">
        <v>1678</v>
      </c>
      <c r="I659" s="48" t="s">
        <v>921</v>
      </c>
      <c r="J659" s="49" t="s">
        <v>922</v>
      </c>
      <c r="K659" s="50">
        <v>132.0</v>
      </c>
      <c r="L659" s="29" t="s">
        <v>1680</v>
      </c>
      <c r="M659" s="22" t="s">
        <v>669</v>
      </c>
      <c r="N659" s="34"/>
      <c r="O659" s="48"/>
      <c r="P659" s="51"/>
      <c r="Q659" s="51"/>
      <c r="R659" s="34"/>
      <c r="S659" s="34"/>
      <c r="T659" s="34"/>
      <c r="U659" s="34">
        <v>685.0</v>
      </c>
      <c r="V659" s="29" t="s">
        <v>107</v>
      </c>
      <c r="W659" s="34"/>
      <c r="X659" s="29"/>
    </row>
    <row r="660" ht="15.75" customHeight="1">
      <c r="A660" s="27" t="s">
        <v>660</v>
      </c>
      <c r="B660" s="22" t="s">
        <v>1540</v>
      </c>
      <c r="C660" s="53" t="s">
        <v>37</v>
      </c>
      <c r="D660" s="53" t="s">
        <v>26</v>
      </c>
      <c r="E660" s="47" t="s">
        <v>899</v>
      </c>
      <c r="F660" s="49" t="s">
        <v>1184</v>
      </c>
      <c r="G660" s="29" t="s">
        <v>664</v>
      </c>
      <c r="H660" s="48" t="s">
        <v>1678</v>
      </c>
      <c r="I660" s="48" t="s">
        <v>921</v>
      </c>
      <c r="J660" s="49" t="s">
        <v>922</v>
      </c>
      <c r="K660" s="50">
        <v>133.0</v>
      </c>
      <c r="L660" s="29" t="s">
        <v>1681</v>
      </c>
      <c r="M660" s="22" t="s">
        <v>669</v>
      </c>
      <c r="N660" s="34"/>
      <c r="O660" s="48"/>
      <c r="P660" s="51"/>
      <c r="Q660" s="51"/>
      <c r="R660" s="34"/>
      <c r="S660" s="34"/>
      <c r="T660" s="34"/>
      <c r="U660" s="34">
        <v>686.0</v>
      </c>
      <c r="V660" s="29" t="s">
        <v>107</v>
      </c>
      <c r="W660" s="34"/>
      <c r="X660" s="29"/>
    </row>
    <row r="661" ht="15.75" customHeight="1">
      <c r="A661" s="27" t="s">
        <v>660</v>
      </c>
      <c r="B661" s="22" t="s">
        <v>1540</v>
      </c>
      <c r="C661" s="53" t="s">
        <v>37</v>
      </c>
      <c r="D661" s="53" t="s">
        <v>26</v>
      </c>
      <c r="E661" s="47" t="s">
        <v>899</v>
      </c>
      <c r="F661" s="49" t="s">
        <v>1194</v>
      </c>
      <c r="G661" s="29" t="s">
        <v>714</v>
      </c>
      <c r="H661" s="48" t="s">
        <v>1678</v>
      </c>
      <c r="I661" s="48" t="s">
        <v>921</v>
      </c>
      <c r="J661" s="49" t="s">
        <v>922</v>
      </c>
      <c r="K661" s="50">
        <v>134.0</v>
      </c>
      <c r="L661" s="29" t="s">
        <v>1682</v>
      </c>
      <c r="M661" s="22" t="s">
        <v>669</v>
      </c>
      <c r="N661" s="34"/>
      <c r="O661" s="48"/>
      <c r="P661" s="51"/>
      <c r="Q661" s="51"/>
      <c r="R661" s="34"/>
      <c r="S661" s="34"/>
      <c r="T661" s="34"/>
      <c r="U661" s="34">
        <v>688.0</v>
      </c>
      <c r="V661" s="29" t="s">
        <v>107</v>
      </c>
      <c r="W661" s="34"/>
      <c r="X661" s="29"/>
    </row>
    <row r="662" ht="15.75" customHeight="1">
      <c r="A662" s="27" t="s">
        <v>660</v>
      </c>
      <c r="B662" s="22" t="s">
        <v>1540</v>
      </c>
      <c r="C662" s="53" t="s">
        <v>37</v>
      </c>
      <c r="D662" s="53" t="s">
        <v>26</v>
      </c>
      <c r="E662" s="47" t="s">
        <v>899</v>
      </c>
      <c r="F662" s="49" t="s">
        <v>1194</v>
      </c>
      <c r="G662" s="29" t="s">
        <v>714</v>
      </c>
      <c r="H662" s="48" t="s">
        <v>1195</v>
      </c>
      <c r="I662" s="48" t="s">
        <v>937</v>
      </c>
      <c r="J662" s="49" t="s">
        <v>938</v>
      </c>
      <c r="K662" s="50">
        <v>135.0</v>
      </c>
      <c r="L662" s="29" t="s">
        <v>939</v>
      </c>
      <c r="M662" s="22" t="s">
        <v>669</v>
      </c>
      <c r="N662" s="34"/>
      <c r="O662" s="48"/>
      <c r="P662" s="51"/>
      <c r="Q662" s="51"/>
      <c r="R662" s="34"/>
      <c r="S662" s="34"/>
      <c r="T662" s="34"/>
      <c r="U662" s="34">
        <v>689.0</v>
      </c>
      <c r="V662" s="29" t="s">
        <v>107</v>
      </c>
      <c r="W662" s="34"/>
      <c r="X662" s="29"/>
    </row>
    <row r="663" ht="15.75" customHeight="1">
      <c r="A663" s="27" t="s">
        <v>660</v>
      </c>
      <c r="B663" s="22" t="s">
        <v>1540</v>
      </c>
      <c r="C663" s="53" t="s">
        <v>37</v>
      </c>
      <c r="D663" s="53" t="s">
        <v>26</v>
      </c>
      <c r="E663" s="47" t="s">
        <v>899</v>
      </c>
      <c r="F663" s="49" t="s">
        <v>1194</v>
      </c>
      <c r="G663" s="29" t="s">
        <v>714</v>
      </c>
      <c r="H663" s="48" t="s">
        <v>1200</v>
      </c>
      <c r="I663" s="48" t="s">
        <v>945</v>
      </c>
      <c r="J663" s="49" t="s">
        <v>946</v>
      </c>
      <c r="K663" s="50">
        <v>136.0</v>
      </c>
      <c r="L663" s="29" t="s">
        <v>1683</v>
      </c>
      <c r="M663" s="22" t="s">
        <v>669</v>
      </c>
      <c r="N663" s="34"/>
      <c r="O663" s="48"/>
      <c r="P663" s="51"/>
      <c r="Q663" s="51"/>
      <c r="R663" s="34"/>
      <c r="S663" s="34"/>
      <c r="T663" s="34"/>
      <c r="U663" s="34">
        <v>690.0</v>
      </c>
      <c r="V663" s="29" t="s">
        <v>107</v>
      </c>
      <c r="W663" s="34"/>
      <c r="X663" s="29"/>
    </row>
    <row r="664" ht="15.75" customHeight="1">
      <c r="A664" s="27" t="s">
        <v>660</v>
      </c>
      <c r="B664" s="22" t="s">
        <v>1540</v>
      </c>
      <c r="C664" s="53" t="s">
        <v>37</v>
      </c>
      <c r="D664" s="53" t="s">
        <v>26</v>
      </c>
      <c r="E664" s="47" t="s">
        <v>899</v>
      </c>
      <c r="F664" s="49" t="s">
        <v>1194</v>
      </c>
      <c r="G664" s="29" t="s">
        <v>714</v>
      </c>
      <c r="H664" s="48" t="s">
        <v>1200</v>
      </c>
      <c r="I664" s="48" t="s">
        <v>945</v>
      </c>
      <c r="J664" s="49" t="s">
        <v>946</v>
      </c>
      <c r="K664" s="50">
        <v>137.0</v>
      </c>
      <c r="L664" s="29" t="s">
        <v>948</v>
      </c>
      <c r="M664" s="22" t="s">
        <v>669</v>
      </c>
      <c r="N664" s="34"/>
      <c r="O664" s="48"/>
      <c r="P664" s="51"/>
      <c r="Q664" s="51"/>
      <c r="R664" s="34"/>
      <c r="S664" s="34"/>
      <c r="T664" s="34"/>
      <c r="U664" s="34">
        <v>691.0</v>
      </c>
      <c r="V664" s="29" t="s">
        <v>107</v>
      </c>
      <c r="W664" s="34"/>
      <c r="X664" s="29"/>
    </row>
    <row r="665" ht="15.75" customHeight="1">
      <c r="A665" s="27" t="s">
        <v>660</v>
      </c>
      <c r="B665" s="22" t="s">
        <v>1540</v>
      </c>
      <c r="C665" s="53" t="s">
        <v>37</v>
      </c>
      <c r="D665" s="53" t="s">
        <v>26</v>
      </c>
      <c r="E665" s="47" t="s">
        <v>899</v>
      </c>
      <c r="F665" s="49" t="s">
        <v>1194</v>
      </c>
      <c r="G665" s="29" t="s">
        <v>714</v>
      </c>
      <c r="H665" s="48" t="s">
        <v>1200</v>
      </c>
      <c r="I665" s="48" t="s">
        <v>945</v>
      </c>
      <c r="J665" s="49" t="s">
        <v>946</v>
      </c>
      <c r="K665" s="50">
        <v>138.0</v>
      </c>
      <c r="L665" s="29" t="s">
        <v>1684</v>
      </c>
      <c r="M665" s="22" t="s">
        <v>669</v>
      </c>
      <c r="N665" s="34"/>
      <c r="O665" s="48"/>
      <c r="P665" s="51"/>
      <c r="Q665" s="51"/>
      <c r="R665" s="34"/>
      <c r="S665" s="34"/>
      <c r="T665" s="34"/>
      <c r="U665" s="34">
        <v>692.0</v>
      </c>
      <c r="V665" s="29" t="s">
        <v>107</v>
      </c>
      <c r="W665" s="34"/>
      <c r="X665" s="29"/>
    </row>
    <row r="666" ht="15.75" customHeight="1">
      <c r="A666" s="27" t="s">
        <v>660</v>
      </c>
      <c r="B666" s="22" t="s">
        <v>1540</v>
      </c>
      <c r="C666" s="53" t="s">
        <v>37</v>
      </c>
      <c r="D666" s="53" t="s">
        <v>26</v>
      </c>
      <c r="E666" s="47" t="s">
        <v>899</v>
      </c>
      <c r="F666" s="49" t="s">
        <v>1194</v>
      </c>
      <c r="G666" s="29" t="s">
        <v>714</v>
      </c>
      <c r="H666" s="48" t="s">
        <v>1205</v>
      </c>
      <c r="I666" s="48" t="s">
        <v>951</v>
      </c>
      <c r="J666" s="49" t="s">
        <v>1685</v>
      </c>
      <c r="K666" s="50">
        <v>139.0</v>
      </c>
      <c r="L666" s="29" t="s">
        <v>954</v>
      </c>
      <c r="M666" s="22" t="s">
        <v>669</v>
      </c>
      <c r="N666" s="34"/>
      <c r="O666" s="48"/>
      <c r="P666" s="51"/>
      <c r="Q666" s="51"/>
      <c r="R666" s="34"/>
      <c r="S666" s="34"/>
      <c r="T666" s="34"/>
      <c r="U666" s="34">
        <v>693.0</v>
      </c>
      <c r="V666" s="29" t="s">
        <v>107</v>
      </c>
      <c r="W666" s="34"/>
      <c r="X666" s="29"/>
    </row>
    <row r="667" ht="15.75" customHeight="1">
      <c r="A667" s="27" t="s">
        <v>660</v>
      </c>
      <c r="B667" s="22" t="s">
        <v>1540</v>
      </c>
      <c r="C667" s="53" t="s">
        <v>37</v>
      </c>
      <c r="D667" s="53" t="s">
        <v>26</v>
      </c>
      <c r="E667" s="47" t="s">
        <v>899</v>
      </c>
      <c r="F667" s="49" t="s">
        <v>1194</v>
      </c>
      <c r="G667" s="29" t="s">
        <v>714</v>
      </c>
      <c r="H667" s="48" t="s">
        <v>1686</v>
      </c>
      <c r="I667" s="48" t="s">
        <v>961</v>
      </c>
      <c r="J667" s="49" t="s">
        <v>962</v>
      </c>
      <c r="K667" s="50">
        <v>140.0</v>
      </c>
      <c r="L667" s="29" t="s">
        <v>963</v>
      </c>
      <c r="M667" s="22" t="s">
        <v>669</v>
      </c>
      <c r="N667" s="34"/>
      <c r="O667" s="48"/>
      <c r="P667" s="51"/>
      <c r="Q667" s="51"/>
      <c r="R667" s="34"/>
      <c r="S667" s="34"/>
      <c r="T667" s="34"/>
      <c r="U667" s="34">
        <v>694.0</v>
      </c>
      <c r="V667" s="29" t="s">
        <v>107</v>
      </c>
      <c r="W667" s="34"/>
      <c r="X667" s="29"/>
    </row>
    <row r="668" ht="15.75" customHeight="1">
      <c r="A668" s="27" t="s">
        <v>660</v>
      </c>
      <c r="B668" s="22" t="s">
        <v>1540</v>
      </c>
      <c r="C668" s="53" t="s">
        <v>39</v>
      </c>
      <c r="D668" s="53" t="s">
        <v>26</v>
      </c>
      <c r="E668" s="47" t="s">
        <v>899</v>
      </c>
      <c r="F668" s="49" t="s">
        <v>1218</v>
      </c>
      <c r="G668" s="29" t="s">
        <v>664</v>
      </c>
      <c r="H668" s="48" t="s">
        <v>1686</v>
      </c>
      <c r="I668" s="48" t="s">
        <v>961</v>
      </c>
      <c r="J668" s="49" t="s">
        <v>962</v>
      </c>
      <c r="K668" s="50">
        <v>141.0</v>
      </c>
      <c r="L668" s="29" t="s">
        <v>964</v>
      </c>
      <c r="M668" s="22" t="s">
        <v>669</v>
      </c>
      <c r="N668" s="34"/>
      <c r="O668" s="48"/>
      <c r="P668" s="51"/>
      <c r="Q668" s="51"/>
      <c r="R668" s="34"/>
      <c r="S668" s="34"/>
      <c r="T668" s="34"/>
      <c r="U668" s="34">
        <v>701.0</v>
      </c>
      <c r="V668" s="29" t="s">
        <v>107</v>
      </c>
      <c r="W668" s="34"/>
      <c r="X668" s="29"/>
    </row>
    <row r="669" ht="15.75" customHeight="1">
      <c r="A669" s="27" t="s">
        <v>660</v>
      </c>
      <c r="B669" s="22" t="s">
        <v>1540</v>
      </c>
      <c r="C669" s="53" t="s">
        <v>39</v>
      </c>
      <c r="D669" s="53" t="s">
        <v>1182</v>
      </c>
      <c r="E669" s="47" t="s">
        <v>1183</v>
      </c>
      <c r="F669" s="49" t="s">
        <v>1224</v>
      </c>
      <c r="G669" s="29" t="s">
        <v>714</v>
      </c>
      <c r="H669" s="48" t="s">
        <v>1219</v>
      </c>
      <c r="I669" s="48" t="s">
        <v>1186</v>
      </c>
      <c r="J669" s="49" t="s">
        <v>1687</v>
      </c>
      <c r="K669" s="50">
        <v>142.0</v>
      </c>
      <c r="L669" s="29" t="s">
        <v>1688</v>
      </c>
      <c r="M669" s="22" t="s">
        <v>669</v>
      </c>
      <c r="N669" s="34"/>
      <c r="O669" s="48"/>
      <c r="P669" s="51"/>
      <c r="Q669" s="51"/>
      <c r="R669" s="34"/>
      <c r="S669" s="34"/>
      <c r="T669" s="34"/>
      <c r="U669" s="34">
        <v>703.0</v>
      </c>
      <c r="V669" s="29" t="s">
        <v>107</v>
      </c>
      <c r="W669" s="34"/>
      <c r="X669" s="29"/>
    </row>
    <row r="670" ht="15.75" customHeight="1">
      <c r="A670" s="27" t="s">
        <v>660</v>
      </c>
      <c r="B670" s="22" t="s">
        <v>1540</v>
      </c>
      <c r="C670" s="53" t="s">
        <v>39</v>
      </c>
      <c r="D670" s="53" t="s">
        <v>1182</v>
      </c>
      <c r="E670" s="47" t="s">
        <v>1183</v>
      </c>
      <c r="F670" s="49" t="s">
        <v>1224</v>
      </c>
      <c r="G670" s="29" t="s">
        <v>714</v>
      </c>
      <c r="H670" s="48" t="s">
        <v>1225</v>
      </c>
      <c r="I670" s="48" t="s">
        <v>1196</v>
      </c>
      <c r="J670" s="49" t="s">
        <v>1689</v>
      </c>
      <c r="K670" s="50">
        <v>143.0</v>
      </c>
      <c r="L670" s="29" t="s">
        <v>1198</v>
      </c>
      <c r="M670" s="22" t="s">
        <v>669</v>
      </c>
      <c r="N670" s="34"/>
      <c r="O670" s="48"/>
      <c r="P670" s="51"/>
      <c r="Q670" s="51"/>
      <c r="R670" s="34"/>
      <c r="S670" s="34"/>
      <c r="T670" s="34"/>
      <c r="U670" s="34">
        <v>704.0</v>
      </c>
      <c r="V670" s="29" t="s">
        <v>107</v>
      </c>
      <c r="W670" s="34"/>
      <c r="X670" s="29"/>
    </row>
    <row r="671" ht="15.75" customHeight="1">
      <c r="A671" s="27" t="s">
        <v>660</v>
      </c>
      <c r="B671" s="22" t="s">
        <v>1540</v>
      </c>
      <c r="C671" s="53" t="s">
        <v>39</v>
      </c>
      <c r="D671" s="53" t="s">
        <v>1182</v>
      </c>
      <c r="E671" s="47" t="s">
        <v>1183</v>
      </c>
      <c r="F671" s="49" t="s">
        <v>1224</v>
      </c>
      <c r="G671" s="29" t="s">
        <v>714</v>
      </c>
      <c r="H671" s="48" t="s">
        <v>1225</v>
      </c>
      <c r="I671" s="48" t="s">
        <v>1196</v>
      </c>
      <c r="J671" s="49" t="s">
        <v>1689</v>
      </c>
      <c r="K671" s="50">
        <v>144.0</v>
      </c>
      <c r="L671" s="29" t="s">
        <v>1690</v>
      </c>
      <c r="M671" s="22" t="s">
        <v>669</v>
      </c>
      <c r="N671" s="34"/>
      <c r="O671" s="48"/>
      <c r="P671" s="51"/>
      <c r="Q671" s="51"/>
      <c r="R671" s="34"/>
      <c r="S671" s="34"/>
      <c r="T671" s="34"/>
      <c r="U671" s="34">
        <v>705.0</v>
      </c>
      <c r="V671" s="29" t="s">
        <v>107</v>
      </c>
      <c r="W671" s="34"/>
      <c r="X671" s="29"/>
    </row>
    <row r="672" ht="15.75" customHeight="1">
      <c r="A672" s="27" t="s">
        <v>660</v>
      </c>
      <c r="B672" s="22" t="s">
        <v>1540</v>
      </c>
      <c r="C672" s="53" t="s">
        <v>39</v>
      </c>
      <c r="D672" s="53" t="s">
        <v>1182</v>
      </c>
      <c r="E672" s="47" t="s">
        <v>1183</v>
      </c>
      <c r="F672" s="49" t="s">
        <v>1224</v>
      </c>
      <c r="G672" s="29" t="s">
        <v>714</v>
      </c>
      <c r="H672" s="48" t="s">
        <v>1229</v>
      </c>
      <c r="I672" s="48" t="s">
        <v>1201</v>
      </c>
      <c r="J672" s="49" t="s">
        <v>1202</v>
      </c>
      <c r="K672" s="50">
        <v>145.0</v>
      </c>
      <c r="L672" s="29" t="s">
        <v>1203</v>
      </c>
      <c r="M672" s="22" t="s">
        <v>669</v>
      </c>
      <c r="N672" s="34"/>
      <c r="O672" s="48"/>
      <c r="P672" s="51"/>
      <c r="Q672" s="51"/>
      <c r="R672" s="34"/>
      <c r="S672" s="34"/>
      <c r="T672" s="34"/>
      <c r="U672" s="34">
        <v>706.0</v>
      </c>
      <c r="V672" s="29" t="s">
        <v>107</v>
      </c>
      <c r="W672" s="34"/>
      <c r="X672" s="29"/>
    </row>
    <row r="673" ht="15.75" customHeight="1">
      <c r="A673" s="27" t="s">
        <v>660</v>
      </c>
      <c r="B673" s="22" t="s">
        <v>1540</v>
      </c>
      <c r="C673" s="53" t="s">
        <v>39</v>
      </c>
      <c r="D673" s="53" t="s">
        <v>1182</v>
      </c>
      <c r="E673" s="47" t="s">
        <v>1183</v>
      </c>
      <c r="F673" s="49" t="s">
        <v>1224</v>
      </c>
      <c r="G673" s="29" t="s">
        <v>714</v>
      </c>
      <c r="H673" s="48" t="s">
        <v>1229</v>
      </c>
      <c r="I673" s="48" t="s">
        <v>1201</v>
      </c>
      <c r="J673" s="49" t="s">
        <v>1202</v>
      </c>
      <c r="K673" s="50">
        <v>146.0</v>
      </c>
      <c r="L673" s="29" t="s">
        <v>1691</v>
      </c>
      <c r="M673" s="22" t="s">
        <v>669</v>
      </c>
      <c r="N673" s="34"/>
      <c r="O673" s="48"/>
      <c r="P673" s="51"/>
      <c r="Q673" s="51"/>
      <c r="R673" s="34"/>
      <c r="S673" s="34"/>
      <c r="T673" s="34"/>
      <c r="U673" s="34">
        <v>707.0</v>
      </c>
      <c r="V673" s="29" t="s">
        <v>107</v>
      </c>
      <c r="W673" s="34"/>
      <c r="X673" s="29"/>
    </row>
    <row r="674" ht="15.75" customHeight="1">
      <c r="A674" s="27" t="s">
        <v>660</v>
      </c>
      <c r="B674" s="22" t="s">
        <v>1540</v>
      </c>
      <c r="C674" s="53" t="s">
        <v>39</v>
      </c>
      <c r="D674" s="53" t="s">
        <v>1182</v>
      </c>
      <c r="E674" s="47" t="s">
        <v>1183</v>
      </c>
      <c r="F674" s="49" t="s">
        <v>1224</v>
      </c>
      <c r="G674" s="29" t="s">
        <v>714</v>
      </c>
      <c r="H674" s="48" t="s">
        <v>1234</v>
      </c>
      <c r="I674" s="48" t="s">
        <v>1206</v>
      </c>
      <c r="J674" s="49" t="s">
        <v>1207</v>
      </c>
      <c r="K674" s="50">
        <v>147.0</v>
      </c>
      <c r="L674" s="29" t="s">
        <v>1692</v>
      </c>
      <c r="M674" s="22" t="s">
        <v>669</v>
      </c>
      <c r="N674" s="34"/>
      <c r="O674" s="48"/>
      <c r="P674" s="51"/>
      <c r="Q674" s="51"/>
      <c r="R674" s="34"/>
      <c r="S674" s="34"/>
      <c r="T674" s="34"/>
      <c r="U674" s="34">
        <v>708.0</v>
      </c>
      <c r="V674" s="29" t="s">
        <v>107</v>
      </c>
      <c r="W674" s="34"/>
      <c r="X674" s="29"/>
    </row>
    <row r="675" ht="15.75" customHeight="1">
      <c r="A675" s="27" t="s">
        <v>660</v>
      </c>
      <c r="B675" s="22" t="s">
        <v>1540</v>
      </c>
      <c r="C675" s="53" t="s">
        <v>39</v>
      </c>
      <c r="D675" s="53" t="s">
        <v>1182</v>
      </c>
      <c r="E675" s="47" t="s">
        <v>1183</v>
      </c>
      <c r="F675" s="49" t="s">
        <v>1224</v>
      </c>
      <c r="G675" s="29" t="s">
        <v>714</v>
      </c>
      <c r="H675" s="48" t="s">
        <v>1234</v>
      </c>
      <c r="I675" s="48" t="s">
        <v>1206</v>
      </c>
      <c r="J675" s="49" t="s">
        <v>1207</v>
      </c>
      <c r="K675" s="50">
        <v>148.0</v>
      </c>
      <c r="L675" s="29" t="s">
        <v>1210</v>
      </c>
      <c r="M675" s="22" t="s">
        <v>669</v>
      </c>
      <c r="N675" s="34"/>
      <c r="O675" s="48"/>
      <c r="P675" s="51"/>
      <c r="Q675" s="51"/>
      <c r="R675" s="34"/>
      <c r="S675" s="34"/>
      <c r="T675" s="34"/>
      <c r="U675" s="34">
        <v>709.0</v>
      </c>
      <c r="V675" s="29" t="s">
        <v>107</v>
      </c>
      <c r="W675" s="34"/>
      <c r="X675" s="29"/>
    </row>
    <row r="676" ht="15.75" customHeight="1">
      <c r="A676" s="27" t="s">
        <v>660</v>
      </c>
      <c r="B676" s="22" t="s">
        <v>1540</v>
      </c>
      <c r="C676" s="53" t="s">
        <v>39</v>
      </c>
      <c r="D676" s="53" t="s">
        <v>1182</v>
      </c>
      <c r="E676" s="47" t="s">
        <v>1183</v>
      </c>
      <c r="F676" s="49" t="s">
        <v>1693</v>
      </c>
      <c r="G676" s="29" t="s">
        <v>749</v>
      </c>
      <c r="H676" s="48" t="s">
        <v>1234</v>
      </c>
      <c r="I676" s="48" t="s">
        <v>1206</v>
      </c>
      <c r="J676" s="49" t="s">
        <v>1207</v>
      </c>
      <c r="K676" s="50">
        <v>149.0</v>
      </c>
      <c r="L676" s="29" t="s">
        <v>1211</v>
      </c>
      <c r="M676" s="22" t="s">
        <v>669</v>
      </c>
      <c r="N676" s="34"/>
      <c r="O676" s="48"/>
      <c r="P676" s="51"/>
      <c r="Q676" s="51"/>
      <c r="R676" s="34"/>
      <c r="S676" s="34"/>
      <c r="T676" s="34"/>
      <c r="U676" s="34">
        <v>711.0</v>
      </c>
      <c r="V676" s="29" t="s">
        <v>107</v>
      </c>
      <c r="W676" s="34"/>
      <c r="X676" s="29"/>
    </row>
    <row r="677" ht="15.75" customHeight="1">
      <c r="A677" s="27" t="s">
        <v>660</v>
      </c>
      <c r="B677" s="22" t="s">
        <v>1540</v>
      </c>
      <c r="C677" s="53" t="s">
        <v>41</v>
      </c>
      <c r="D677" s="53" t="s">
        <v>1182</v>
      </c>
      <c r="E677" s="47" t="s">
        <v>1183</v>
      </c>
      <c r="F677" s="49" t="s">
        <v>1246</v>
      </c>
      <c r="G677" s="29" t="s">
        <v>664</v>
      </c>
      <c r="H677" s="48" t="s">
        <v>1694</v>
      </c>
      <c r="I677" s="48" t="s">
        <v>1695</v>
      </c>
      <c r="J677" s="49" t="s">
        <v>1696</v>
      </c>
      <c r="K677" s="50">
        <v>150.0</v>
      </c>
      <c r="L677" s="29" t="s">
        <v>1209</v>
      </c>
      <c r="M677" s="22" t="s">
        <v>669</v>
      </c>
      <c r="N677" s="34"/>
      <c r="O677" s="48"/>
      <c r="P677" s="51"/>
      <c r="Q677" s="51"/>
      <c r="R677" s="34"/>
      <c r="S677" s="34"/>
      <c r="T677" s="34"/>
      <c r="U677" s="34">
        <v>718.0</v>
      </c>
      <c r="V677" s="29" t="s">
        <v>107</v>
      </c>
      <c r="W677" s="34"/>
      <c r="X677" s="29"/>
    </row>
    <row r="678" ht="15.75" customHeight="1">
      <c r="A678" s="27" t="s">
        <v>660</v>
      </c>
      <c r="B678" s="22" t="s">
        <v>1540</v>
      </c>
      <c r="C678" s="53" t="s">
        <v>41</v>
      </c>
      <c r="D678" s="53" t="s">
        <v>32</v>
      </c>
      <c r="E678" s="47" t="s">
        <v>1027</v>
      </c>
      <c r="F678" s="49" t="s">
        <v>1246</v>
      </c>
      <c r="G678" s="29" t="s">
        <v>664</v>
      </c>
      <c r="H678" s="48" t="s">
        <v>1247</v>
      </c>
      <c r="I678" s="48" t="s">
        <v>1030</v>
      </c>
      <c r="J678" s="49" t="s">
        <v>1031</v>
      </c>
      <c r="K678" s="50">
        <v>151.0</v>
      </c>
      <c r="L678" s="29" t="s">
        <v>1032</v>
      </c>
      <c r="M678" s="22" t="s">
        <v>669</v>
      </c>
      <c r="N678" s="34"/>
      <c r="O678" s="48"/>
      <c r="P678" s="51"/>
      <c r="Q678" s="51"/>
      <c r="R678" s="34"/>
      <c r="S678" s="34"/>
      <c r="T678" s="34"/>
      <c r="U678" s="34">
        <v>719.0</v>
      </c>
      <c r="V678" s="29" t="s">
        <v>107</v>
      </c>
      <c r="W678" s="34"/>
      <c r="X678" s="29"/>
    </row>
    <row r="679" ht="15.75" customHeight="1">
      <c r="A679" s="27" t="s">
        <v>660</v>
      </c>
      <c r="B679" s="22" t="s">
        <v>1540</v>
      </c>
      <c r="C679" s="53" t="s">
        <v>41</v>
      </c>
      <c r="D679" s="53" t="s">
        <v>32</v>
      </c>
      <c r="E679" s="47" t="s">
        <v>1027</v>
      </c>
      <c r="F679" s="49" t="s">
        <v>1246</v>
      </c>
      <c r="G679" s="29" t="s">
        <v>664</v>
      </c>
      <c r="H679" s="48" t="s">
        <v>1247</v>
      </c>
      <c r="I679" s="48" t="s">
        <v>1030</v>
      </c>
      <c r="J679" s="49" t="s">
        <v>1031</v>
      </c>
      <c r="K679" s="50">
        <v>152.0</v>
      </c>
      <c r="L679" s="29" t="s">
        <v>1033</v>
      </c>
      <c r="M679" s="22" t="s">
        <v>669</v>
      </c>
      <c r="N679" s="34"/>
      <c r="O679" s="48"/>
      <c r="P679" s="51"/>
      <c r="Q679" s="51"/>
      <c r="R679" s="34"/>
      <c r="S679" s="34"/>
      <c r="T679" s="34"/>
      <c r="U679" s="34">
        <v>720.0</v>
      </c>
      <c r="V679" s="29" t="s">
        <v>107</v>
      </c>
      <c r="W679" s="34"/>
      <c r="X679" s="29"/>
    </row>
    <row r="680" ht="15.75" customHeight="1">
      <c r="A680" s="27" t="s">
        <v>660</v>
      </c>
      <c r="B680" s="22" t="s">
        <v>1540</v>
      </c>
      <c r="C680" s="53" t="s">
        <v>41</v>
      </c>
      <c r="D680" s="53" t="s">
        <v>32</v>
      </c>
      <c r="E680" s="47" t="s">
        <v>1027</v>
      </c>
      <c r="F680" s="49" t="s">
        <v>1246</v>
      </c>
      <c r="G680" s="29" t="s">
        <v>664</v>
      </c>
      <c r="H680" s="48" t="s">
        <v>1247</v>
      </c>
      <c r="I680" s="48" t="s">
        <v>1030</v>
      </c>
      <c r="J680" s="49" t="s">
        <v>1031</v>
      </c>
      <c r="K680" s="50">
        <v>153.0</v>
      </c>
      <c r="L680" s="29" t="s">
        <v>1034</v>
      </c>
      <c r="M680" s="22" t="s">
        <v>669</v>
      </c>
      <c r="N680" s="34"/>
      <c r="O680" s="48"/>
      <c r="P680" s="51"/>
      <c r="Q680" s="51"/>
      <c r="R680" s="34"/>
      <c r="S680" s="34"/>
      <c r="T680" s="34"/>
      <c r="U680" s="34">
        <v>721.0</v>
      </c>
      <c r="V680" s="29" t="s">
        <v>107</v>
      </c>
      <c r="W680" s="34"/>
      <c r="X680" s="29"/>
    </row>
    <row r="681" ht="15.75" customHeight="1">
      <c r="A681" s="27" t="s">
        <v>660</v>
      </c>
      <c r="B681" s="22" t="s">
        <v>1540</v>
      </c>
      <c r="C681" s="53" t="s">
        <v>41</v>
      </c>
      <c r="D681" s="53" t="s">
        <v>32</v>
      </c>
      <c r="E681" s="47" t="s">
        <v>1027</v>
      </c>
      <c r="F681" s="49" t="s">
        <v>1246</v>
      </c>
      <c r="G681" s="29" t="s">
        <v>664</v>
      </c>
      <c r="H681" s="48" t="s">
        <v>1697</v>
      </c>
      <c r="I681" s="48" t="s">
        <v>1036</v>
      </c>
      <c r="J681" s="49" t="s">
        <v>1037</v>
      </c>
      <c r="K681" s="50">
        <v>154.0</v>
      </c>
      <c r="L681" s="29" t="s">
        <v>1038</v>
      </c>
      <c r="M681" s="22" t="s">
        <v>669</v>
      </c>
      <c r="N681" s="34"/>
      <c r="O681" s="48"/>
      <c r="P681" s="51"/>
      <c r="Q681" s="51"/>
      <c r="R681" s="34"/>
      <c r="S681" s="34"/>
      <c r="T681" s="34"/>
      <c r="U681" s="34">
        <v>722.0</v>
      </c>
      <c r="V681" s="29" t="s">
        <v>107</v>
      </c>
      <c r="W681" s="34"/>
      <c r="X681" s="29"/>
    </row>
    <row r="682" ht="15.75" customHeight="1">
      <c r="A682" s="27" t="s">
        <v>660</v>
      </c>
      <c r="B682" s="22" t="s">
        <v>1540</v>
      </c>
      <c r="C682" s="53" t="s">
        <v>41</v>
      </c>
      <c r="D682" s="53" t="s">
        <v>32</v>
      </c>
      <c r="E682" s="47" t="s">
        <v>1027</v>
      </c>
      <c r="F682" s="49" t="s">
        <v>1252</v>
      </c>
      <c r="G682" s="29" t="s">
        <v>714</v>
      </c>
      <c r="H682" s="48" t="s">
        <v>1698</v>
      </c>
      <c r="I682" s="48" t="s">
        <v>1040</v>
      </c>
      <c r="J682" s="49" t="s">
        <v>1699</v>
      </c>
      <c r="K682" s="50">
        <v>155.0</v>
      </c>
      <c r="L682" s="29" t="s">
        <v>1042</v>
      </c>
      <c r="M682" s="22" t="s">
        <v>669</v>
      </c>
      <c r="N682" s="34"/>
      <c r="O682" s="48"/>
      <c r="P682" s="51"/>
      <c r="Q682" s="51"/>
      <c r="R682" s="34"/>
      <c r="S682" s="34"/>
      <c r="T682" s="34"/>
      <c r="U682" s="34">
        <v>724.0</v>
      </c>
      <c r="V682" s="29" t="s">
        <v>107</v>
      </c>
      <c r="W682" s="34"/>
      <c r="X682" s="29"/>
    </row>
    <row r="683" ht="15.75" customHeight="1">
      <c r="A683" s="27" t="s">
        <v>660</v>
      </c>
      <c r="B683" s="22" t="s">
        <v>1540</v>
      </c>
      <c r="C683" s="53" t="s">
        <v>41</v>
      </c>
      <c r="D683" s="53" t="s">
        <v>32</v>
      </c>
      <c r="E683" s="47" t="s">
        <v>1027</v>
      </c>
      <c r="F683" s="49" t="s">
        <v>1252</v>
      </c>
      <c r="G683" s="29" t="s">
        <v>714</v>
      </c>
      <c r="H683" s="48" t="s">
        <v>1253</v>
      </c>
      <c r="I683" s="48" t="s">
        <v>1045</v>
      </c>
      <c r="J683" s="49" t="s">
        <v>1046</v>
      </c>
      <c r="K683" s="50">
        <v>156.0</v>
      </c>
      <c r="L683" s="29" t="s">
        <v>1700</v>
      </c>
      <c r="M683" s="22" t="s">
        <v>669</v>
      </c>
      <c r="N683" s="34"/>
      <c r="O683" s="48"/>
      <c r="P683" s="51"/>
      <c r="Q683" s="51"/>
      <c r="R683" s="34"/>
      <c r="S683" s="34"/>
      <c r="T683" s="34"/>
      <c r="U683" s="34">
        <v>725.0</v>
      </c>
      <c r="V683" s="29" t="s">
        <v>107</v>
      </c>
      <c r="W683" s="34"/>
      <c r="X683" s="29"/>
    </row>
    <row r="684" ht="15.75" customHeight="1">
      <c r="A684" s="27" t="s">
        <v>660</v>
      </c>
      <c r="B684" s="22" t="s">
        <v>1540</v>
      </c>
      <c r="C684" s="53" t="s">
        <v>41</v>
      </c>
      <c r="D684" s="53" t="s">
        <v>32</v>
      </c>
      <c r="E684" s="47" t="s">
        <v>1027</v>
      </c>
      <c r="F684" s="49" t="s">
        <v>1252</v>
      </c>
      <c r="G684" s="29" t="s">
        <v>714</v>
      </c>
      <c r="H684" s="48" t="s">
        <v>1253</v>
      </c>
      <c r="I684" s="48" t="s">
        <v>1045</v>
      </c>
      <c r="J684" s="49" t="s">
        <v>1046</v>
      </c>
      <c r="K684" s="50">
        <v>157.0</v>
      </c>
      <c r="L684" s="29" t="s">
        <v>1701</v>
      </c>
      <c r="M684" s="22" t="s">
        <v>669</v>
      </c>
      <c r="N684" s="34"/>
      <c r="O684" s="48"/>
      <c r="P684" s="51"/>
      <c r="Q684" s="51"/>
      <c r="R684" s="34"/>
      <c r="S684" s="34"/>
      <c r="T684" s="34"/>
      <c r="U684" s="34">
        <v>726.0</v>
      </c>
      <c r="V684" s="29" t="s">
        <v>107</v>
      </c>
      <c r="W684" s="34"/>
      <c r="X684" s="29"/>
    </row>
    <row r="685" ht="15.75" customHeight="1">
      <c r="A685" s="27" t="s">
        <v>660</v>
      </c>
      <c r="B685" s="22" t="s">
        <v>1540</v>
      </c>
      <c r="C685" s="53" t="s">
        <v>41</v>
      </c>
      <c r="D685" s="53" t="s">
        <v>32</v>
      </c>
      <c r="E685" s="47" t="s">
        <v>1027</v>
      </c>
      <c r="F685" s="49" t="s">
        <v>1252</v>
      </c>
      <c r="G685" s="29" t="s">
        <v>714</v>
      </c>
      <c r="H685" s="48" t="s">
        <v>1253</v>
      </c>
      <c r="I685" s="48" t="s">
        <v>1045</v>
      </c>
      <c r="J685" s="49" t="s">
        <v>1046</v>
      </c>
      <c r="K685" s="50">
        <v>158.0</v>
      </c>
      <c r="L685" s="29" t="s">
        <v>1702</v>
      </c>
      <c r="M685" s="22" t="s">
        <v>669</v>
      </c>
      <c r="N685" s="34"/>
      <c r="O685" s="48"/>
      <c r="P685" s="51"/>
      <c r="Q685" s="51"/>
      <c r="R685" s="34"/>
      <c r="S685" s="34"/>
      <c r="T685" s="34"/>
      <c r="U685" s="34">
        <v>727.0</v>
      </c>
      <c r="V685" s="29" t="s">
        <v>107</v>
      </c>
      <c r="W685" s="34"/>
      <c r="X685" s="29"/>
    </row>
    <row r="686" ht="15.75" customHeight="1">
      <c r="A686" s="27" t="s">
        <v>660</v>
      </c>
      <c r="B686" s="22" t="s">
        <v>1540</v>
      </c>
      <c r="C686" s="53" t="s">
        <v>41</v>
      </c>
      <c r="D686" s="53" t="s">
        <v>32</v>
      </c>
      <c r="E686" s="47" t="s">
        <v>1027</v>
      </c>
      <c r="F686" s="49" t="s">
        <v>1252</v>
      </c>
      <c r="G686" s="29" t="s">
        <v>714</v>
      </c>
      <c r="H686" s="48" t="s">
        <v>1253</v>
      </c>
      <c r="I686" s="48" t="s">
        <v>1045</v>
      </c>
      <c r="J686" s="49" t="s">
        <v>1046</v>
      </c>
      <c r="K686" s="50">
        <v>159.0</v>
      </c>
      <c r="L686" s="29" t="s">
        <v>1050</v>
      </c>
      <c r="M686" s="22" t="s">
        <v>669</v>
      </c>
      <c r="N686" s="34"/>
      <c r="O686" s="48"/>
      <c r="P686" s="51"/>
      <c r="Q686" s="51"/>
      <c r="R686" s="34"/>
      <c r="S686" s="34"/>
      <c r="T686" s="34"/>
      <c r="U686" s="34">
        <v>728.0</v>
      </c>
      <c r="V686" s="29" t="s">
        <v>107</v>
      </c>
      <c r="W686" s="34"/>
      <c r="X686" s="29"/>
    </row>
    <row r="687" ht="15.75" customHeight="1">
      <c r="A687" s="27" t="s">
        <v>660</v>
      </c>
      <c r="B687" s="22" t="s">
        <v>1540</v>
      </c>
      <c r="C687" s="53" t="s">
        <v>41</v>
      </c>
      <c r="D687" s="53" t="s">
        <v>32</v>
      </c>
      <c r="E687" s="47" t="s">
        <v>1027</v>
      </c>
      <c r="F687" s="49" t="s">
        <v>1252</v>
      </c>
      <c r="G687" s="29" t="s">
        <v>714</v>
      </c>
      <c r="H687" s="48" t="s">
        <v>1258</v>
      </c>
      <c r="I687" s="48" t="s">
        <v>1052</v>
      </c>
      <c r="J687" s="49" t="s">
        <v>1053</v>
      </c>
      <c r="K687" s="50">
        <v>160.0</v>
      </c>
      <c r="L687" s="29" t="s">
        <v>1054</v>
      </c>
      <c r="M687" s="22" t="s">
        <v>669</v>
      </c>
      <c r="N687" s="34"/>
      <c r="O687" s="48"/>
      <c r="P687" s="51"/>
      <c r="Q687" s="51"/>
      <c r="R687" s="34"/>
      <c r="S687" s="34"/>
      <c r="T687" s="34"/>
      <c r="U687" s="34">
        <v>729.0</v>
      </c>
      <c r="V687" s="29" t="s">
        <v>107</v>
      </c>
      <c r="W687" s="34"/>
      <c r="X687" s="29"/>
    </row>
    <row r="688" ht="15.75" customHeight="1">
      <c r="A688" s="27" t="s">
        <v>660</v>
      </c>
      <c r="B688" s="22" t="s">
        <v>1540</v>
      </c>
      <c r="C688" s="53" t="s">
        <v>41</v>
      </c>
      <c r="D688" s="53" t="s">
        <v>32</v>
      </c>
      <c r="E688" s="47" t="s">
        <v>1027</v>
      </c>
      <c r="F688" s="49" t="s">
        <v>1252</v>
      </c>
      <c r="G688" s="29" t="s">
        <v>714</v>
      </c>
      <c r="H688" s="48" t="s">
        <v>1258</v>
      </c>
      <c r="I688" s="48" t="s">
        <v>1052</v>
      </c>
      <c r="J688" s="49" t="s">
        <v>1053</v>
      </c>
      <c r="K688" s="50">
        <v>161.0</v>
      </c>
      <c r="L688" s="29" t="s">
        <v>1055</v>
      </c>
      <c r="M688" s="22" t="s">
        <v>669</v>
      </c>
      <c r="N688" s="34"/>
      <c r="O688" s="48"/>
      <c r="P688" s="51"/>
      <c r="Q688" s="51"/>
      <c r="R688" s="34"/>
      <c r="S688" s="34"/>
      <c r="T688" s="34"/>
      <c r="U688" s="34">
        <v>730.0</v>
      </c>
      <c r="V688" s="29" t="s">
        <v>107</v>
      </c>
      <c r="W688" s="34"/>
      <c r="X688" s="29"/>
    </row>
    <row r="689" ht="15.75" customHeight="1">
      <c r="A689" s="27" t="s">
        <v>660</v>
      </c>
      <c r="B689" s="22" t="s">
        <v>1540</v>
      </c>
      <c r="C689" s="53" t="s">
        <v>41</v>
      </c>
      <c r="D689" s="53" t="s">
        <v>32</v>
      </c>
      <c r="E689" s="47" t="s">
        <v>1027</v>
      </c>
      <c r="F689" s="49" t="s">
        <v>1252</v>
      </c>
      <c r="G689" s="29" t="s">
        <v>714</v>
      </c>
      <c r="H689" s="48" t="s">
        <v>1703</v>
      </c>
      <c r="I689" s="48" t="s">
        <v>1057</v>
      </c>
      <c r="J689" s="49" t="s">
        <v>1704</v>
      </c>
      <c r="K689" s="50">
        <v>162.0</v>
      </c>
      <c r="L689" s="29" t="s">
        <v>1059</v>
      </c>
      <c r="M689" s="22" t="s">
        <v>669</v>
      </c>
      <c r="N689" s="34"/>
      <c r="O689" s="48"/>
      <c r="P689" s="51"/>
      <c r="Q689" s="51"/>
      <c r="R689" s="34"/>
      <c r="S689" s="34"/>
      <c r="T689" s="34"/>
      <c r="U689" s="34">
        <v>731.0</v>
      </c>
      <c r="V689" s="29" t="s">
        <v>107</v>
      </c>
      <c r="W689" s="34"/>
      <c r="X689" s="29"/>
    </row>
    <row r="690" ht="15.75" customHeight="1">
      <c r="A690" s="27" t="s">
        <v>660</v>
      </c>
      <c r="B690" s="22" t="s">
        <v>1540</v>
      </c>
      <c r="C690" s="53" t="s">
        <v>41</v>
      </c>
      <c r="D690" s="53" t="s">
        <v>32</v>
      </c>
      <c r="E690" s="47" t="s">
        <v>1027</v>
      </c>
      <c r="F690" s="49" t="s">
        <v>1252</v>
      </c>
      <c r="G690" s="29" t="s">
        <v>714</v>
      </c>
      <c r="H690" s="48" t="s">
        <v>1703</v>
      </c>
      <c r="I690" s="48" t="s">
        <v>1057</v>
      </c>
      <c r="J690" s="49" t="s">
        <v>1704</v>
      </c>
      <c r="K690" s="50">
        <v>163.0</v>
      </c>
      <c r="L690" s="29" t="s">
        <v>1060</v>
      </c>
      <c r="M690" s="22" t="s">
        <v>669</v>
      </c>
      <c r="N690" s="34"/>
      <c r="O690" s="48"/>
      <c r="P690" s="51"/>
      <c r="Q690" s="51"/>
      <c r="R690" s="34"/>
      <c r="S690" s="34"/>
      <c r="T690" s="34"/>
      <c r="U690" s="34">
        <v>732.0</v>
      </c>
      <c r="V690" s="29" t="s">
        <v>107</v>
      </c>
      <c r="W690" s="34"/>
      <c r="X690" s="29"/>
    </row>
    <row r="691" ht="15.75" customHeight="1">
      <c r="A691" s="27" t="s">
        <v>660</v>
      </c>
      <c r="B691" s="22" t="s">
        <v>1540</v>
      </c>
      <c r="C691" s="53" t="s">
        <v>41</v>
      </c>
      <c r="D691" s="53" t="s">
        <v>32</v>
      </c>
      <c r="E691" s="47" t="s">
        <v>1027</v>
      </c>
      <c r="F691" s="49" t="s">
        <v>1252</v>
      </c>
      <c r="G691" s="29" t="s">
        <v>714</v>
      </c>
      <c r="H691" s="48" t="s">
        <v>1703</v>
      </c>
      <c r="I691" s="48" t="s">
        <v>1057</v>
      </c>
      <c r="J691" s="49" t="s">
        <v>1704</v>
      </c>
      <c r="K691" s="50">
        <v>164.0</v>
      </c>
      <c r="L691" s="29" t="s">
        <v>1061</v>
      </c>
      <c r="M691" s="22" t="s">
        <v>669</v>
      </c>
      <c r="N691" s="34"/>
      <c r="O691" s="48"/>
      <c r="P691" s="51"/>
      <c r="Q691" s="51"/>
      <c r="R691" s="34"/>
      <c r="S691" s="34"/>
      <c r="T691" s="34"/>
      <c r="U691" s="34">
        <v>733.0</v>
      </c>
      <c r="V691" s="29" t="s">
        <v>107</v>
      </c>
      <c r="W691" s="34"/>
      <c r="X691" s="29"/>
    </row>
    <row r="692" ht="15.75" customHeight="1">
      <c r="A692" s="27" t="s">
        <v>660</v>
      </c>
      <c r="B692" s="22" t="s">
        <v>1540</v>
      </c>
      <c r="C692" s="53" t="s">
        <v>41</v>
      </c>
      <c r="D692" s="53" t="s">
        <v>32</v>
      </c>
      <c r="E692" s="47" t="s">
        <v>1027</v>
      </c>
      <c r="F692" s="49" t="s">
        <v>1252</v>
      </c>
      <c r="G692" s="29" t="s">
        <v>714</v>
      </c>
      <c r="H692" s="48" t="s">
        <v>1703</v>
      </c>
      <c r="I692" s="48" t="s">
        <v>1057</v>
      </c>
      <c r="J692" s="49" t="s">
        <v>1704</v>
      </c>
      <c r="K692" s="50">
        <v>165.0</v>
      </c>
      <c r="L692" s="29" t="s">
        <v>1705</v>
      </c>
      <c r="M692" s="22" t="s">
        <v>669</v>
      </c>
      <c r="N692" s="34"/>
      <c r="O692" s="48"/>
      <c r="P692" s="51"/>
      <c r="Q692" s="51"/>
      <c r="R692" s="34"/>
      <c r="S692" s="34"/>
      <c r="T692" s="34"/>
      <c r="U692" s="34">
        <v>734.0</v>
      </c>
      <c r="V692" s="29" t="s">
        <v>107</v>
      </c>
      <c r="W692" s="34"/>
      <c r="X692" s="29"/>
    </row>
    <row r="693" ht="15.75" customHeight="1">
      <c r="A693" s="27" t="s">
        <v>660</v>
      </c>
      <c r="B693" s="22" t="s">
        <v>1540</v>
      </c>
      <c r="C693" s="53" t="s">
        <v>41</v>
      </c>
      <c r="D693" s="53" t="s">
        <v>32</v>
      </c>
      <c r="E693" s="47" t="s">
        <v>1027</v>
      </c>
      <c r="F693" s="49" t="s">
        <v>1252</v>
      </c>
      <c r="G693" s="29" t="s">
        <v>714</v>
      </c>
      <c r="H693" s="48" t="s">
        <v>1703</v>
      </c>
      <c r="I693" s="48" t="s">
        <v>1057</v>
      </c>
      <c r="J693" s="49" t="s">
        <v>1704</v>
      </c>
      <c r="K693" s="50">
        <v>166.0</v>
      </c>
      <c r="L693" s="29" t="s">
        <v>1063</v>
      </c>
      <c r="M693" s="22" t="s">
        <v>669</v>
      </c>
      <c r="N693" s="34"/>
      <c r="O693" s="48"/>
      <c r="P693" s="51"/>
      <c r="Q693" s="51"/>
      <c r="R693" s="34"/>
      <c r="S693" s="34"/>
      <c r="T693" s="34"/>
      <c r="U693" s="34">
        <v>735.0</v>
      </c>
      <c r="V693" s="29" t="s">
        <v>107</v>
      </c>
      <c r="W693" s="34"/>
      <c r="X693" s="29"/>
    </row>
    <row r="694" ht="15.75" customHeight="1">
      <c r="A694" s="27" t="s">
        <v>660</v>
      </c>
      <c r="B694" s="22" t="s">
        <v>1540</v>
      </c>
      <c r="C694" s="53" t="s">
        <v>41</v>
      </c>
      <c r="D694" s="53" t="s">
        <v>32</v>
      </c>
      <c r="E694" s="47" t="s">
        <v>1027</v>
      </c>
      <c r="F694" s="49" t="s">
        <v>1252</v>
      </c>
      <c r="G694" s="29" t="s">
        <v>714</v>
      </c>
      <c r="H694" s="48" t="s">
        <v>1703</v>
      </c>
      <c r="I694" s="48" t="s">
        <v>1057</v>
      </c>
      <c r="J694" s="49" t="s">
        <v>1704</v>
      </c>
      <c r="K694" s="50">
        <v>167.0</v>
      </c>
      <c r="L694" s="29" t="s">
        <v>1706</v>
      </c>
      <c r="M694" s="22" t="s">
        <v>669</v>
      </c>
      <c r="N694" s="34"/>
      <c r="O694" s="48"/>
      <c r="P694" s="51"/>
      <c r="Q694" s="51"/>
      <c r="R694" s="34"/>
      <c r="S694" s="34"/>
      <c r="T694" s="34"/>
      <c r="U694" s="34">
        <v>736.0</v>
      </c>
      <c r="V694" s="29" t="s">
        <v>107</v>
      </c>
      <c r="W694" s="34"/>
      <c r="X694" s="29"/>
    </row>
    <row r="695" ht="15.75" customHeight="1">
      <c r="A695" s="27" t="s">
        <v>660</v>
      </c>
      <c r="B695" s="22" t="s">
        <v>1540</v>
      </c>
      <c r="C695" s="53" t="s">
        <v>41</v>
      </c>
      <c r="D695" s="53" t="s">
        <v>32</v>
      </c>
      <c r="E695" s="47" t="s">
        <v>1027</v>
      </c>
      <c r="F695" s="49" t="s">
        <v>1252</v>
      </c>
      <c r="G695" s="29" t="s">
        <v>714</v>
      </c>
      <c r="H695" s="48" t="s">
        <v>1707</v>
      </c>
      <c r="I695" s="48" t="s">
        <v>1066</v>
      </c>
      <c r="J695" s="49" t="s">
        <v>1067</v>
      </c>
      <c r="K695" s="50">
        <v>168.0</v>
      </c>
      <c r="L695" s="29" t="s">
        <v>1068</v>
      </c>
      <c r="M695" s="22" t="s">
        <v>669</v>
      </c>
      <c r="N695" s="34"/>
      <c r="O695" s="48"/>
      <c r="P695" s="51"/>
      <c r="Q695" s="51"/>
      <c r="R695" s="34"/>
      <c r="S695" s="34"/>
      <c r="T695" s="34"/>
      <c r="U695" s="34">
        <v>737.0</v>
      </c>
      <c r="V695" s="29" t="s">
        <v>107</v>
      </c>
      <c r="W695" s="34"/>
      <c r="X695" s="29"/>
    </row>
    <row r="696" ht="15.75" customHeight="1">
      <c r="A696" s="27" t="s">
        <v>660</v>
      </c>
      <c r="B696" s="22" t="s">
        <v>1540</v>
      </c>
      <c r="C696" s="53" t="s">
        <v>41</v>
      </c>
      <c r="D696" s="53" t="s">
        <v>32</v>
      </c>
      <c r="E696" s="47" t="s">
        <v>1027</v>
      </c>
      <c r="F696" s="49" t="s">
        <v>1252</v>
      </c>
      <c r="G696" s="29" t="s">
        <v>714</v>
      </c>
      <c r="H696" s="48" t="s">
        <v>1707</v>
      </c>
      <c r="I696" s="48" t="s">
        <v>1066</v>
      </c>
      <c r="J696" s="49" t="s">
        <v>1067</v>
      </c>
      <c r="K696" s="50">
        <v>169.0</v>
      </c>
      <c r="L696" s="29" t="s">
        <v>1069</v>
      </c>
      <c r="M696" s="22" t="s">
        <v>669</v>
      </c>
      <c r="N696" s="34"/>
      <c r="O696" s="48"/>
      <c r="P696" s="51"/>
      <c r="Q696" s="51"/>
      <c r="R696" s="34"/>
      <c r="S696" s="34"/>
      <c r="T696" s="34"/>
      <c r="U696" s="34">
        <v>738.0</v>
      </c>
      <c r="V696" s="29" t="s">
        <v>107</v>
      </c>
      <c r="W696" s="34"/>
      <c r="X696" s="29"/>
    </row>
    <row r="697" ht="15.75" customHeight="1">
      <c r="A697" s="27" t="s">
        <v>660</v>
      </c>
      <c r="B697" s="22" t="s">
        <v>1540</v>
      </c>
      <c r="C697" s="53" t="s">
        <v>41</v>
      </c>
      <c r="D697" s="53" t="s">
        <v>32</v>
      </c>
      <c r="E697" s="47" t="s">
        <v>1027</v>
      </c>
      <c r="F697" s="49" t="s">
        <v>1252</v>
      </c>
      <c r="G697" s="29" t="s">
        <v>714</v>
      </c>
      <c r="H697" s="48" t="s">
        <v>1708</v>
      </c>
      <c r="I697" s="48" t="s">
        <v>1071</v>
      </c>
      <c r="J697" s="49" t="s">
        <v>1072</v>
      </c>
      <c r="K697" s="50">
        <v>170.0</v>
      </c>
      <c r="L697" s="29" t="s">
        <v>1073</v>
      </c>
      <c r="M697" s="22" t="s">
        <v>669</v>
      </c>
      <c r="N697" s="34"/>
      <c r="O697" s="48"/>
      <c r="P697" s="51"/>
      <c r="Q697" s="51"/>
      <c r="R697" s="34"/>
      <c r="S697" s="34"/>
      <c r="T697" s="34"/>
      <c r="U697" s="34">
        <v>739.0</v>
      </c>
      <c r="V697" s="29" t="s">
        <v>107</v>
      </c>
      <c r="W697" s="34"/>
      <c r="X697" s="29"/>
    </row>
    <row r="698" ht="15.75" customHeight="1">
      <c r="A698" s="27" t="s">
        <v>660</v>
      </c>
      <c r="B698" s="22" t="s">
        <v>1540</v>
      </c>
      <c r="C698" s="53" t="s">
        <v>41</v>
      </c>
      <c r="D698" s="53" t="s">
        <v>32</v>
      </c>
      <c r="E698" s="47" t="s">
        <v>1027</v>
      </c>
      <c r="F698" s="49" t="s">
        <v>1262</v>
      </c>
      <c r="G698" s="29" t="s">
        <v>749</v>
      </c>
      <c r="H698" s="48" t="s">
        <v>1709</v>
      </c>
      <c r="I698" s="48" t="s">
        <v>1075</v>
      </c>
      <c r="J698" s="49" t="s">
        <v>1076</v>
      </c>
      <c r="K698" s="50">
        <v>171.0</v>
      </c>
      <c r="L698" s="29" t="s">
        <v>1077</v>
      </c>
      <c r="M698" s="22" t="s">
        <v>669</v>
      </c>
      <c r="N698" s="34"/>
      <c r="O698" s="48"/>
      <c r="P698" s="51"/>
      <c r="Q698" s="51"/>
      <c r="R698" s="34"/>
      <c r="S698" s="34"/>
      <c r="T698" s="34"/>
      <c r="U698" s="34">
        <v>741.0</v>
      </c>
      <c r="V698" s="29" t="s">
        <v>107</v>
      </c>
      <c r="W698" s="34"/>
      <c r="X698" s="29"/>
    </row>
    <row r="699" ht="15.75" customHeight="1">
      <c r="A699" s="27" t="s">
        <v>660</v>
      </c>
      <c r="B699" s="22" t="s">
        <v>1540</v>
      </c>
      <c r="C699" s="53" t="s">
        <v>43</v>
      </c>
      <c r="D699" s="53" t="s">
        <v>32</v>
      </c>
      <c r="E699" s="47" t="s">
        <v>1027</v>
      </c>
      <c r="F699" s="49" t="s">
        <v>1710</v>
      </c>
      <c r="G699" s="29" t="s">
        <v>664</v>
      </c>
      <c r="H699" s="48" t="s">
        <v>1263</v>
      </c>
      <c r="I699" s="48" t="s">
        <v>1080</v>
      </c>
      <c r="J699" s="49" t="s">
        <v>1081</v>
      </c>
      <c r="K699" s="50">
        <v>172.0</v>
      </c>
      <c r="L699" s="29" t="s">
        <v>1082</v>
      </c>
      <c r="M699" s="22" t="s">
        <v>669</v>
      </c>
      <c r="N699" s="34"/>
      <c r="O699" s="48"/>
      <c r="P699" s="51"/>
      <c r="Q699" s="51"/>
      <c r="R699" s="34"/>
      <c r="S699" s="34"/>
      <c r="T699" s="34"/>
      <c r="U699" s="34">
        <v>748.0</v>
      </c>
      <c r="V699" s="29" t="s">
        <v>107</v>
      </c>
      <c r="W699" s="34"/>
      <c r="X699" s="29"/>
    </row>
    <row r="700" ht="15.75" customHeight="1">
      <c r="A700" s="27" t="s">
        <v>660</v>
      </c>
      <c r="B700" s="22" t="s">
        <v>1540</v>
      </c>
      <c r="C700" s="53" t="s">
        <v>43</v>
      </c>
      <c r="D700" s="53" t="s">
        <v>36</v>
      </c>
      <c r="E700" s="47" t="s">
        <v>1121</v>
      </c>
      <c r="F700" s="49" t="s">
        <v>1710</v>
      </c>
      <c r="G700" s="29" t="s">
        <v>664</v>
      </c>
      <c r="H700" s="48" t="s">
        <v>1711</v>
      </c>
      <c r="I700" s="48" t="s">
        <v>1124</v>
      </c>
      <c r="J700" s="49" t="s">
        <v>1125</v>
      </c>
      <c r="K700" s="50">
        <v>173.0</v>
      </c>
      <c r="L700" s="29" t="s">
        <v>1126</v>
      </c>
      <c r="M700" s="22" t="s">
        <v>669</v>
      </c>
      <c r="N700" s="34"/>
      <c r="O700" s="48"/>
      <c r="P700" s="51"/>
      <c r="Q700" s="51"/>
      <c r="R700" s="34"/>
      <c r="S700" s="34"/>
      <c r="T700" s="34"/>
      <c r="U700" s="34">
        <v>749.0</v>
      </c>
      <c r="V700" s="29" t="s">
        <v>107</v>
      </c>
      <c r="W700" s="34"/>
      <c r="X700" s="29"/>
    </row>
    <row r="701" ht="15.75" customHeight="1">
      <c r="A701" s="27" t="s">
        <v>660</v>
      </c>
      <c r="B701" s="22" t="s">
        <v>1540</v>
      </c>
      <c r="C701" s="53" t="s">
        <v>43</v>
      </c>
      <c r="D701" s="53" t="s">
        <v>36</v>
      </c>
      <c r="E701" s="47" t="s">
        <v>1121</v>
      </c>
      <c r="F701" s="49" t="s">
        <v>1710</v>
      </c>
      <c r="G701" s="29" t="s">
        <v>664</v>
      </c>
      <c r="H701" s="48" t="s">
        <v>1711</v>
      </c>
      <c r="I701" s="48" t="s">
        <v>1124</v>
      </c>
      <c r="J701" s="49" t="s">
        <v>1125</v>
      </c>
      <c r="K701" s="50">
        <v>174.0</v>
      </c>
      <c r="L701" s="29" t="s">
        <v>1127</v>
      </c>
      <c r="M701" s="22" t="s">
        <v>669</v>
      </c>
      <c r="N701" s="34"/>
      <c r="O701" s="48"/>
      <c r="P701" s="51"/>
      <c r="Q701" s="51"/>
      <c r="R701" s="34"/>
      <c r="S701" s="34"/>
      <c r="T701" s="34"/>
      <c r="U701" s="34">
        <v>750.0</v>
      </c>
      <c r="V701" s="29" t="s">
        <v>107</v>
      </c>
      <c r="W701" s="34"/>
      <c r="X701" s="29"/>
    </row>
    <row r="702" ht="15.75" customHeight="1">
      <c r="A702" s="27" t="s">
        <v>660</v>
      </c>
      <c r="B702" s="22" t="s">
        <v>1540</v>
      </c>
      <c r="C702" s="53" t="s">
        <v>43</v>
      </c>
      <c r="D702" s="53" t="s">
        <v>36</v>
      </c>
      <c r="E702" s="47" t="s">
        <v>1121</v>
      </c>
      <c r="F702" s="49" t="s">
        <v>1710</v>
      </c>
      <c r="G702" s="29" t="s">
        <v>664</v>
      </c>
      <c r="H702" s="48" t="s">
        <v>1711</v>
      </c>
      <c r="I702" s="48" t="s">
        <v>1124</v>
      </c>
      <c r="J702" s="49" t="s">
        <v>1125</v>
      </c>
      <c r="K702" s="50">
        <v>175.0</v>
      </c>
      <c r="L702" s="29" t="s">
        <v>1712</v>
      </c>
      <c r="M702" s="22" t="s">
        <v>669</v>
      </c>
      <c r="N702" s="34"/>
      <c r="O702" s="48"/>
      <c r="P702" s="51"/>
      <c r="Q702" s="51"/>
      <c r="R702" s="34"/>
      <c r="S702" s="34"/>
      <c r="T702" s="34"/>
      <c r="U702" s="34">
        <v>751.0</v>
      </c>
      <c r="V702" s="29" t="s">
        <v>107</v>
      </c>
      <c r="W702" s="34"/>
      <c r="X702" s="29"/>
    </row>
    <row r="703" ht="15.75" customHeight="1">
      <c r="A703" s="27" t="s">
        <v>660</v>
      </c>
      <c r="B703" s="22" t="s">
        <v>1540</v>
      </c>
      <c r="C703" s="53" t="s">
        <v>43</v>
      </c>
      <c r="D703" s="53" t="s">
        <v>36</v>
      </c>
      <c r="E703" s="47" t="s">
        <v>1121</v>
      </c>
      <c r="F703" s="49" t="s">
        <v>1710</v>
      </c>
      <c r="G703" s="29" t="s">
        <v>664</v>
      </c>
      <c r="H703" s="48" t="s">
        <v>1713</v>
      </c>
      <c r="I703" s="48" t="s">
        <v>1130</v>
      </c>
      <c r="J703" s="49" t="s">
        <v>1714</v>
      </c>
      <c r="K703" s="50">
        <v>176.0</v>
      </c>
      <c r="L703" s="29" t="s">
        <v>1132</v>
      </c>
      <c r="M703" s="22" t="s">
        <v>669</v>
      </c>
      <c r="N703" s="34"/>
      <c r="O703" s="48"/>
      <c r="P703" s="51"/>
      <c r="Q703" s="51"/>
      <c r="R703" s="34"/>
      <c r="S703" s="34"/>
      <c r="T703" s="34"/>
      <c r="U703" s="34">
        <v>752.0</v>
      </c>
      <c r="V703" s="29" t="s">
        <v>107</v>
      </c>
      <c r="W703" s="34"/>
      <c r="X703" s="29"/>
    </row>
    <row r="704" ht="15.75" customHeight="1">
      <c r="A704" s="27" t="s">
        <v>660</v>
      </c>
      <c r="B704" s="22" t="s">
        <v>1540</v>
      </c>
      <c r="C704" s="53" t="s">
        <v>43</v>
      </c>
      <c r="D704" s="53" t="s">
        <v>36</v>
      </c>
      <c r="E704" s="47" t="s">
        <v>1121</v>
      </c>
      <c r="F704" s="49" t="s">
        <v>1710</v>
      </c>
      <c r="G704" s="29" t="s">
        <v>664</v>
      </c>
      <c r="H704" s="48" t="s">
        <v>1715</v>
      </c>
      <c r="I704" s="48" t="s">
        <v>1134</v>
      </c>
      <c r="J704" s="49" t="s">
        <v>1135</v>
      </c>
      <c r="K704" s="50">
        <v>177.0</v>
      </c>
      <c r="L704" s="29" t="s">
        <v>1136</v>
      </c>
      <c r="M704" s="22" t="s">
        <v>669</v>
      </c>
      <c r="N704" s="34"/>
      <c r="O704" s="48"/>
      <c r="P704" s="51"/>
      <c r="Q704" s="51"/>
      <c r="R704" s="34"/>
      <c r="S704" s="34"/>
      <c r="T704" s="34"/>
      <c r="U704" s="34">
        <v>753.0</v>
      </c>
      <c r="V704" s="29" t="s">
        <v>107</v>
      </c>
      <c r="W704" s="34"/>
      <c r="X704" s="29"/>
    </row>
    <row r="705" ht="15.75" customHeight="1">
      <c r="A705" s="27" t="s">
        <v>660</v>
      </c>
      <c r="B705" s="22" t="s">
        <v>1540</v>
      </c>
      <c r="C705" s="53" t="s">
        <v>43</v>
      </c>
      <c r="D705" s="53" t="s">
        <v>36</v>
      </c>
      <c r="E705" s="47" t="s">
        <v>1121</v>
      </c>
      <c r="F705" s="49" t="s">
        <v>1710</v>
      </c>
      <c r="G705" s="29" t="s">
        <v>664</v>
      </c>
      <c r="H705" s="48" t="s">
        <v>1716</v>
      </c>
      <c r="I705" s="48" t="s">
        <v>1138</v>
      </c>
      <c r="J705" s="49" t="s">
        <v>1139</v>
      </c>
      <c r="K705" s="50">
        <v>178.0</v>
      </c>
      <c r="L705" s="29" t="s">
        <v>1140</v>
      </c>
      <c r="M705" s="22" t="s">
        <v>669</v>
      </c>
      <c r="N705" s="34"/>
      <c r="O705" s="48"/>
      <c r="P705" s="51"/>
      <c r="Q705" s="51"/>
      <c r="R705" s="34"/>
      <c r="S705" s="34"/>
      <c r="T705" s="34"/>
      <c r="U705" s="34">
        <v>754.0</v>
      </c>
      <c r="V705" s="29" t="s">
        <v>107</v>
      </c>
      <c r="W705" s="34"/>
      <c r="X705" s="29"/>
    </row>
    <row r="706" ht="15.75" customHeight="1">
      <c r="A706" s="27" t="s">
        <v>660</v>
      </c>
      <c r="B706" s="22" t="s">
        <v>1540</v>
      </c>
      <c r="C706" s="53" t="s">
        <v>43</v>
      </c>
      <c r="D706" s="53" t="s">
        <v>36</v>
      </c>
      <c r="E706" s="47" t="s">
        <v>1121</v>
      </c>
      <c r="F706" s="49" t="s">
        <v>1710</v>
      </c>
      <c r="G706" s="29" t="s">
        <v>664</v>
      </c>
      <c r="H706" s="48" t="s">
        <v>1717</v>
      </c>
      <c r="I706" s="48" t="s">
        <v>1142</v>
      </c>
      <c r="J706" s="49" t="s">
        <v>1143</v>
      </c>
      <c r="K706" s="50">
        <v>179.0</v>
      </c>
      <c r="L706" s="29" t="s">
        <v>1144</v>
      </c>
      <c r="M706" s="22" t="s">
        <v>669</v>
      </c>
      <c r="N706" s="34"/>
      <c r="O706" s="48"/>
      <c r="P706" s="51"/>
      <c r="Q706" s="51"/>
      <c r="R706" s="34"/>
      <c r="S706" s="34"/>
      <c r="T706" s="34"/>
      <c r="U706" s="34">
        <v>755.0</v>
      </c>
      <c r="V706" s="29" t="s">
        <v>107</v>
      </c>
      <c r="W706" s="34"/>
      <c r="X706" s="29"/>
    </row>
    <row r="707" ht="15.75" customHeight="1">
      <c r="A707" s="27" t="s">
        <v>660</v>
      </c>
      <c r="B707" s="22" t="s">
        <v>1540</v>
      </c>
      <c r="C707" s="53" t="s">
        <v>43</v>
      </c>
      <c r="D707" s="53" t="s">
        <v>36</v>
      </c>
      <c r="E707" s="47" t="s">
        <v>1121</v>
      </c>
      <c r="F707" s="49" t="s">
        <v>1710</v>
      </c>
      <c r="G707" s="29" t="s">
        <v>664</v>
      </c>
      <c r="H707" s="48" t="s">
        <v>1718</v>
      </c>
      <c r="I707" s="48" t="s">
        <v>1146</v>
      </c>
      <c r="J707" s="49" t="s">
        <v>1147</v>
      </c>
      <c r="K707" s="50">
        <v>180.0</v>
      </c>
      <c r="L707" s="29" t="s">
        <v>1719</v>
      </c>
      <c r="M707" s="22" t="s">
        <v>669</v>
      </c>
      <c r="N707" s="34"/>
      <c r="O707" s="48"/>
      <c r="P707" s="51"/>
      <c r="Q707" s="51"/>
      <c r="R707" s="34"/>
      <c r="S707" s="34"/>
      <c r="T707" s="34"/>
      <c r="U707" s="34">
        <v>756.0</v>
      </c>
      <c r="V707" s="29" t="s">
        <v>107</v>
      </c>
      <c r="W707" s="34"/>
      <c r="X707" s="29"/>
    </row>
    <row r="708" ht="15.75" customHeight="1">
      <c r="A708" s="27" t="s">
        <v>660</v>
      </c>
      <c r="B708" s="22" t="s">
        <v>1540</v>
      </c>
      <c r="C708" s="53" t="s">
        <v>43</v>
      </c>
      <c r="D708" s="53" t="s">
        <v>36</v>
      </c>
      <c r="E708" s="47" t="s">
        <v>1121</v>
      </c>
      <c r="F708" s="49" t="s">
        <v>1710</v>
      </c>
      <c r="G708" s="29" t="s">
        <v>664</v>
      </c>
      <c r="H708" s="48" t="s">
        <v>1720</v>
      </c>
      <c r="I708" s="48" t="s">
        <v>1150</v>
      </c>
      <c r="J708" s="49" t="s">
        <v>1721</v>
      </c>
      <c r="K708" s="50">
        <v>181.0</v>
      </c>
      <c r="L708" s="29" t="s">
        <v>1722</v>
      </c>
      <c r="M708" s="22" t="s">
        <v>669</v>
      </c>
      <c r="N708" s="34"/>
      <c r="O708" s="48"/>
      <c r="P708" s="51"/>
      <c r="Q708" s="51"/>
      <c r="R708" s="34"/>
      <c r="S708" s="34"/>
      <c r="T708" s="34"/>
      <c r="U708" s="34">
        <v>757.0</v>
      </c>
      <c r="V708" s="29" t="s">
        <v>107</v>
      </c>
      <c r="W708" s="34"/>
      <c r="X708" s="29"/>
    </row>
    <row r="709" ht="15.75" customHeight="1">
      <c r="A709" s="27" t="s">
        <v>660</v>
      </c>
      <c r="B709" s="22" t="s">
        <v>1540</v>
      </c>
      <c r="C709" s="53" t="s">
        <v>43</v>
      </c>
      <c r="D709" s="53" t="s">
        <v>36</v>
      </c>
      <c r="E709" s="47" t="s">
        <v>1121</v>
      </c>
      <c r="F709" s="49" t="s">
        <v>1271</v>
      </c>
      <c r="G709" s="29" t="s">
        <v>714</v>
      </c>
      <c r="H709" s="48" t="s">
        <v>1720</v>
      </c>
      <c r="I709" s="48" t="s">
        <v>1150</v>
      </c>
      <c r="J709" s="49" t="s">
        <v>1721</v>
      </c>
      <c r="K709" s="50">
        <v>182.0</v>
      </c>
      <c r="L709" s="29" t="s">
        <v>1723</v>
      </c>
      <c r="M709" s="22" t="s">
        <v>669</v>
      </c>
      <c r="N709" s="34"/>
      <c r="O709" s="48"/>
      <c r="P709" s="51"/>
      <c r="Q709" s="51"/>
      <c r="R709" s="34"/>
      <c r="S709" s="34"/>
      <c r="T709" s="34"/>
      <c r="U709" s="34">
        <v>759.0</v>
      </c>
      <c r="V709" s="29" t="s">
        <v>107</v>
      </c>
      <c r="W709" s="34"/>
      <c r="X709" s="29"/>
    </row>
    <row r="710" ht="15.75" customHeight="1">
      <c r="A710" s="27" t="s">
        <v>660</v>
      </c>
      <c r="B710" s="22" t="s">
        <v>1540</v>
      </c>
      <c r="C710" s="53" t="s">
        <v>43</v>
      </c>
      <c r="D710" s="53" t="s">
        <v>36</v>
      </c>
      <c r="E710" s="47" t="s">
        <v>1121</v>
      </c>
      <c r="F710" s="49" t="s">
        <v>1271</v>
      </c>
      <c r="G710" s="29" t="s">
        <v>714</v>
      </c>
      <c r="H710" s="48" t="s">
        <v>1272</v>
      </c>
      <c r="I710" s="48" t="s">
        <v>1156</v>
      </c>
      <c r="J710" s="49" t="s">
        <v>1157</v>
      </c>
      <c r="K710" s="50">
        <v>183.0</v>
      </c>
      <c r="L710" s="29" t="s">
        <v>1158</v>
      </c>
      <c r="M710" s="22" t="s">
        <v>669</v>
      </c>
      <c r="N710" s="34"/>
      <c r="O710" s="48"/>
      <c r="P710" s="51"/>
      <c r="Q710" s="51"/>
      <c r="R710" s="34"/>
      <c r="S710" s="34"/>
      <c r="T710" s="34"/>
      <c r="U710" s="34">
        <v>760.0</v>
      </c>
      <c r="V710" s="29" t="s">
        <v>107</v>
      </c>
      <c r="W710" s="34"/>
      <c r="X710" s="29"/>
    </row>
    <row r="711" ht="15.75" customHeight="1">
      <c r="A711" s="27" t="s">
        <v>660</v>
      </c>
      <c r="B711" s="22" t="s">
        <v>1540</v>
      </c>
      <c r="C711" s="53" t="s">
        <v>43</v>
      </c>
      <c r="D711" s="53" t="s">
        <v>36</v>
      </c>
      <c r="E711" s="47" t="s">
        <v>1121</v>
      </c>
      <c r="F711" s="49" t="s">
        <v>1271</v>
      </c>
      <c r="G711" s="29" t="s">
        <v>714</v>
      </c>
      <c r="H711" s="48" t="s">
        <v>1724</v>
      </c>
      <c r="I711" s="48" t="s">
        <v>1160</v>
      </c>
      <c r="J711" s="49" t="s">
        <v>1725</v>
      </c>
      <c r="K711" s="50">
        <v>184.0</v>
      </c>
      <c r="L711" s="29" t="s">
        <v>1726</v>
      </c>
      <c r="M711" s="22" t="s">
        <v>669</v>
      </c>
      <c r="N711" s="34"/>
      <c r="O711" s="48"/>
      <c r="P711" s="51"/>
      <c r="Q711" s="51"/>
      <c r="R711" s="34"/>
      <c r="S711" s="34"/>
      <c r="T711" s="34"/>
      <c r="U711" s="34">
        <v>761.0</v>
      </c>
      <c r="V711" s="29" t="s">
        <v>107</v>
      </c>
      <c r="W711" s="34"/>
      <c r="X711" s="29"/>
    </row>
    <row r="712" ht="15.75" customHeight="1">
      <c r="A712" s="27" t="s">
        <v>660</v>
      </c>
      <c r="B712" s="22" t="s">
        <v>1540</v>
      </c>
      <c r="C712" s="53" t="s">
        <v>43</v>
      </c>
      <c r="D712" s="53" t="s">
        <v>36</v>
      </c>
      <c r="E712" s="47" t="s">
        <v>1121</v>
      </c>
      <c r="F712" s="49" t="s">
        <v>1271</v>
      </c>
      <c r="G712" s="29" t="s">
        <v>714</v>
      </c>
      <c r="H712" s="48" t="s">
        <v>1727</v>
      </c>
      <c r="I712" s="48" t="s">
        <v>1164</v>
      </c>
      <c r="J712" s="49" t="s">
        <v>1165</v>
      </c>
      <c r="K712" s="50">
        <v>185.0</v>
      </c>
      <c r="L712" s="29" t="s">
        <v>1166</v>
      </c>
      <c r="M712" s="22" t="s">
        <v>669</v>
      </c>
      <c r="N712" s="34"/>
      <c r="O712" s="48"/>
      <c r="P712" s="51"/>
      <c r="Q712" s="51"/>
      <c r="R712" s="34"/>
      <c r="S712" s="34"/>
      <c r="T712" s="34"/>
      <c r="U712" s="34">
        <v>762.0</v>
      </c>
      <c r="V712" s="29" t="s">
        <v>107</v>
      </c>
      <c r="W712" s="34"/>
      <c r="X712" s="29"/>
    </row>
    <row r="713" ht="15.75" customHeight="1">
      <c r="A713" s="27" t="s">
        <v>660</v>
      </c>
      <c r="B713" s="22" t="s">
        <v>1540</v>
      </c>
      <c r="C713" s="53" t="s">
        <v>43</v>
      </c>
      <c r="D713" s="53" t="s">
        <v>36</v>
      </c>
      <c r="E713" s="47" t="s">
        <v>1121</v>
      </c>
      <c r="F713" s="49" t="s">
        <v>1271</v>
      </c>
      <c r="G713" s="29" t="s">
        <v>714</v>
      </c>
      <c r="H713" s="48" t="s">
        <v>1728</v>
      </c>
      <c r="I713" s="48" t="s">
        <v>1168</v>
      </c>
      <c r="J713" s="49" t="s">
        <v>1169</v>
      </c>
      <c r="K713" s="50">
        <v>186.0</v>
      </c>
      <c r="L713" s="29" t="s">
        <v>1170</v>
      </c>
      <c r="M713" s="22" t="s">
        <v>669</v>
      </c>
      <c r="N713" s="34"/>
      <c r="O713" s="48"/>
      <c r="P713" s="51"/>
      <c r="Q713" s="51"/>
      <c r="R713" s="34"/>
      <c r="S713" s="34"/>
      <c r="T713" s="34"/>
      <c r="U713" s="34">
        <v>763.0</v>
      </c>
      <c r="V713" s="29" t="s">
        <v>107</v>
      </c>
      <c r="W713" s="34"/>
      <c r="X713" s="29"/>
    </row>
    <row r="714" ht="15.75" customHeight="1">
      <c r="A714" s="27" t="s">
        <v>660</v>
      </c>
      <c r="B714" s="22" t="s">
        <v>1540</v>
      </c>
      <c r="C714" s="53" t="s">
        <v>43</v>
      </c>
      <c r="D714" s="53" t="s">
        <v>36</v>
      </c>
      <c r="E714" s="47" t="s">
        <v>1121</v>
      </c>
      <c r="F714" s="49" t="s">
        <v>1271</v>
      </c>
      <c r="G714" s="29" t="s">
        <v>714</v>
      </c>
      <c r="H714" s="48" t="s">
        <v>1728</v>
      </c>
      <c r="I714" s="48" t="s">
        <v>1168</v>
      </c>
      <c r="J714" s="49" t="s">
        <v>1169</v>
      </c>
      <c r="K714" s="50">
        <v>187.0</v>
      </c>
      <c r="L714" s="29" t="s">
        <v>1171</v>
      </c>
      <c r="M714" s="22" t="s">
        <v>669</v>
      </c>
      <c r="N714" s="34"/>
      <c r="O714" s="48"/>
      <c r="P714" s="51"/>
      <c r="Q714" s="51"/>
      <c r="R714" s="34"/>
      <c r="S714" s="34"/>
      <c r="T714" s="34"/>
      <c r="U714" s="34">
        <v>764.0</v>
      </c>
      <c r="V714" s="29" t="s">
        <v>107</v>
      </c>
      <c r="W714" s="34"/>
      <c r="X714" s="29"/>
    </row>
    <row r="715" ht="15.75" customHeight="1">
      <c r="A715" s="27" t="s">
        <v>660</v>
      </c>
      <c r="B715" s="22" t="s">
        <v>1540</v>
      </c>
      <c r="C715" s="53" t="s">
        <v>43</v>
      </c>
      <c r="D715" s="53" t="s">
        <v>36</v>
      </c>
      <c r="E715" s="47" t="s">
        <v>1121</v>
      </c>
      <c r="F715" s="49" t="s">
        <v>1271</v>
      </c>
      <c r="G715" s="29" t="s">
        <v>714</v>
      </c>
      <c r="H715" s="48" t="s">
        <v>1729</v>
      </c>
      <c r="I715" s="48" t="s">
        <v>1173</v>
      </c>
      <c r="J715" s="49" t="s">
        <v>1174</v>
      </c>
      <c r="K715" s="50">
        <v>188.0</v>
      </c>
      <c r="L715" s="29" t="s">
        <v>1175</v>
      </c>
      <c r="M715" s="22" t="s">
        <v>669</v>
      </c>
      <c r="N715" s="34"/>
      <c r="O715" s="48"/>
      <c r="P715" s="51"/>
      <c r="Q715" s="51"/>
      <c r="R715" s="34"/>
      <c r="S715" s="34"/>
      <c r="T715" s="34"/>
      <c r="U715" s="34">
        <v>765.0</v>
      </c>
      <c r="V715" s="29" t="s">
        <v>107</v>
      </c>
      <c r="W715" s="34"/>
      <c r="X715" s="29"/>
    </row>
    <row r="716" ht="15.75" customHeight="1">
      <c r="A716" s="27" t="s">
        <v>660</v>
      </c>
      <c r="B716" s="22" t="s">
        <v>1540</v>
      </c>
      <c r="C716" s="53" t="s">
        <v>43</v>
      </c>
      <c r="D716" s="53" t="s">
        <v>36</v>
      </c>
      <c r="E716" s="47" t="s">
        <v>1121</v>
      </c>
      <c r="F716" s="49" t="s">
        <v>1276</v>
      </c>
      <c r="G716" s="29" t="s">
        <v>749</v>
      </c>
      <c r="H716" s="48" t="s">
        <v>1729</v>
      </c>
      <c r="I716" s="48" t="s">
        <v>1173</v>
      </c>
      <c r="J716" s="49" t="s">
        <v>1174</v>
      </c>
      <c r="K716" s="50">
        <v>189.0</v>
      </c>
      <c r="L716" s="29" t="s">
        <v>1730</v>
      </c>
      <c r="M716" s="22" t="s">
        <v>669</v>
      </c>
      <c r="N716" s="34"/>
      <c r="O716" s="48"/>
      <c r="P716" s="51"/>
      <c r="Q716" s="51"/>
      <c r="R716" s="34"/>
      <c r="S716" s="34"/>
      <c r="T716" s="34"/>
      <c r="U716" s="34">
        <v>767.0</v>
      </c>
      <c r="V716" s="29" t="s">
        <v>107</v>
      </c>
      <c r="W716" s="34"/>
      <c r="X716" s="29"/>
    </row>
    <row r="717" ht="15.75" customHeight="1">
      <c r="A717" s="27" t="s">
        <v>660</v>
      </c>
      <c r="B717" s="22" t="s">
        <v>1540</v>
      </c>
      <c r="C717" s="53" t="s">
        <v>1731</v>
      </c>
      <c r="D717" s="53" t="s">
        <v>36</v>
      </c>
      <c r="E717" s="47" t="s">
        <v>1121</v>
      </c>
      <c r="F717" s="49" t="s">
        <v>1287</v>
      </c>
      <c r="G717" s="29" t="s">
        <v>664</v>
      </c>
      <c r="H717" s="48" t="s">
        <v>1277</v>
      </c>
      <c r="I717" s="48" t="s">
        <v>1179</v>
      </c>
      <c r="J717" s="49" t="s">
        <v>1180</v>
      </c>
      <c r="K717" s="50">
        <v>190.0</v>
      </c>
      <c r="L717" s="29" t="s">
        <v>1732</v>
      </c>
      <c r="M717" s="22" t="s">
        <v>669</v>
      </c>
      <c r="N717" s="34"/>
      <c r="O717" s="48"/>
      <c r="P717" s="51"/>
      <c r="Q717" s="51"/>
      <c r="R717" s="34"/>
      <c r="S717" s="34"/>
      <c r="T717" s="34"/>
      <c r="U717" s="34">
        <v>774.0</v>
      </c>
      <c r="V717" s="29" t="s">
        <v>107</v>
      </c>
      <c r="W717" s="34"/>
      <c r="X717" s="29"/>
    </row>
    <row r="718" ht="15.75" customHeight="1">
      <c r="A718" s="27" t="s">
        <v>660</v>
      </c>
      <c r="B718" s="22" t="s">
        <v>1540</v>
      </c>
      <c r="C718" s="53" t="s">
        <v>1731</v>
      </c>
      <c r="D718" s="53" t="s">
        <v>56</v>
      </c>
      <c r="E718" s="47" t="s">
        <v>1503</v>
      </c>
      <c r="F718" s="49" t="s">
        <v>1287</v>
      </c>
      <c r="G718" s="29" t="s">
        <v>664</v>
      </c>
      <c r="H718" s="48" t="s">
        <v>1288</v>
      </c>
      <c r="I718" s="48" t="s">
        <v>1506</v>
      </c>
      <c r="J718" s="49" t="s">
        <v>1507</v>
      </c>
      <c r="K718" s="50">
        <v>191.0</v>
      </c>
      <c r="L718" s="29" t="s">
        <v>1733</v>
      </c>
      <c r="M718" s="22" t="s">
        <v>669</v>
      </c>
      <c r="N718" s="34"/>
      <c r="O718" s="48"/>
      <c r="P718" s="51"/>
      <c r="Q718" s="51"/>
      <c r="R718" s="34"/>
      <c r="S718" s="34"/>
      <c r="T718" s="34"/>
      <c r="U718" s="34">
        <v>775.0</v>
      </c>
      <c r="V718" s="29" t="s">
        <v>107</v>
      </c>
      <c r="W718" s="34"/>
      <c r="X718" s="29"/>
    </row>
    <row r="719" ht="15.75" customHeight="1">
      <c r="A719" s="27" t="s">
        <v>660</v>
      </c>
      <c r="B719" s="22" t="s">
        <v>1540</v>
      </c>
      <c r="C719" s="53" t="s">
        <v>1731</v>
      </c>
      <c r="D719" s="53" t="s">
        <v>56</v>
      </c>
      <c r="E719" s="47" t="s">
        <v>1503</v>
      </c>
      <c r="F719" s="49" t="s">
        <v>1287</v>
      </c>
      <c r="G719" s="29" t="s">
        <v>664</v>
      </c>
      <c r="H719" s="48" t="s">
        <v>1288</v>
      </c>
      <c r="I719" s="48" t="s">
        <v>1506</v>
      </c>
      <c r="J719" s="49" t="s">
        <v>1507</v>
      </c>
      <c r="K719" s="50">
        <v>192.0</v>
      </c>
      <c r="L719" s="29" t="s">
        <v>1509</v>
      </c>
      <c r="M719" s="22" t="s">
        <v>669</v>
      </c>
      <c r="N719" s="34"/>
      <c r="O719" s="48"/>
      <c r="P719" s="51"/>
      <c r="Q719" s="51"/>
      <c r="R719" s="34"/>
      <c r="S719" s="34"/>
      <c r="T719" s="34"/>
      <c r="U719" s="34">
        <v>776.0</v>
      </c>
      <c r="V719" s="29" t="s">
        <v>107</v>
      </c>
      <c r="W719" s="34"/>
      <c r="X719" s="29"/>
    </row>
    <row r="720" ht="15.75" customHeight="1">
      <c r="A720" s="27" t="s">
        <v>660</v>
      </c>
      <c r="B720" s="22" t="s">
        <v>1540</v>
      </c>
      <c r="C720" s="53" t="s">
        <v>1731</v>
      </c>
      <c r="D720" s="53" t="s">
        <v>56</v>
      </c>
      <c r="E720" s="47" t="s">
        <v>1503</v>
      </c>
      <c r="F720" s="49" t="s">
        <v>1287</v>
      </c>
      <c r="G720" s="29" t="s">
        <v>664</v>
      </c>
      <c r="H720" s="48" t="s">
        <v>1288</v>
      </c>
      <c r="I720" s="48" t="s">
        <v>1506</v>
      </c>
      <c r="J720" s="49" t="s">
        <v>1507</v>
      </c>
      <c r="K720" s="50">
        <v>193.0</v>
      </c>
      <c r="L720" s="29" t="s">
        <v>1510</v>
      </c>
      <c r="M720" s="22" t="s">
        <v>669</v>
      </c>
      <c r="N720" s="34"/>
      <c r="O720" s="48"/>
      <c r="P720" s="51"/>
      <c r="Q720" s="51"/>
      <c r="R720" s="34"/>
      <c r="S720" s="34"/>
      <c r="T720" s="34"/>
      <c r="U720" s="34">
        <v>777.0</v>
      </c>
      <c r="V720" s="29" t="s">
        <v>107</v>
      </c>
      <c r="W720" s="34"/>
      <c r="X720" s="29"/>
    </row>
    <row r="721" ht="15.75" customHeight="1">
      <c r="A721" s="27" t="s">
        <v>660</v>
      </c>
      <c r="B721" s="22" t="s">
        <v>1540</v>
      </c>
      <c r="C721" s="53" t="s">
        <v>1731</v>
      </c>
      <c r="D721" s="53" t="s">
        <v>56</v>
      </c>
      <c r="E721" s="47" t="s">
        <v>1503</v>
      </c>
      <c r="F721" s="49" t="s">
        <v>1287</v>
      </c>
      <c r="G721" s="29" t="s">
        <v>664</v>
      </c>
      <c r="H721" s="48" t="s">
        <v>1288</v>
      </c>
      <c r="I721" s="48" t="s">
        <v>1506</v>
      </c>
      <c r="J721" s="49" t="s">
        <v>1507</v>
      </c>
      <c r="K721" s="50">
        <v>194.0</v>
      </c>
      <c r="L721" s="29" t="s">
        <v>1734</v>
      </c>
      <c r="M721" s="22" t="s">
        <v>669</v>
      </c>
      <c r="N721" s="34"/>
      <c r="O721" s="48"/>
      <c r="P721" s="51"/>
      <c r="Q721" s="51"/>
      <c r="R721" s="34"/>
      <c r="S721" s="34"/>
      <c r="T721" s="34"/>
      <c r="U721" s="34">
        <v>778.0</v>
      </c>
      <c r="V721" s="29" t="s">
        <v>107</v>
      </c>
      <c r="W721" s="34"/>
      <c r="X721" s="29"/>
    </row>
    <row r="722" ht="15.75" customHeight="1">
      <c r="A722" s="27" t="s">
        <v>660</v>
      </c>
      <c r="B722" s="22" t="s">
        <v>1540</v>
      </c>
      <c r="C722" s="53" t="s">
        <v>1731</v>
      </c>
      <c r="D722" s="53" t="s">
        <v>56</v>
      </c>
      <c r="E722" s="47" t="s">
        <v>1503</v>
      </c>
      <c r="F722" s="49" t="s">
        <v>1287</v>
      </c>
      <c r="G722" s="29" t="s">
        <v>664</v>
      </c>
      <c r="H722" s="48" t="s">
        <v>1735</v>
      </c>
      <c r="I722" s="48" t="s">
        <v>1513</v>
      </c>
      <c r="J722" s="49" t="s">
        <v>1736</v>
      </c>
      <c r="K722" s="50">
        <v>195.0</v>
      </c>
      <c r="L722" s="29" t="s">
        <v>1515</v>
      </c>
      <c r="M722" s="22" t="s">
        <v>669</v>
      </c>
      <c r="N722" s="34"/>
      <c r="O722" s="48"/>
      <c r="P722" s="51"/>
      <c r="Q722" s="51"/>
      <c r="R722" s="34"/>
      <c r="S722" s="34"/>
      <c r="T722" s="34"/>
      <c r="U722" s="34">
        <v>779.0</v>
      </c>
      <c r="V722" s="29" t="s">
        <v>107</v>
      </c>
      <c r="W722" s="34"/>
      <c r="X722" s="29"/>
    </row>
    <row r="723" ht="15.75" customHeight="1">
      <c r="A723" s="27" t="s">
        <v>660</v>
      </c>
      <c r="B723" s="22" t="s">
        <v>1540</v>
      </c>
      <c r="C723" s="53" t="s">
        <v>1731</v>
      </c>
      <c r="D723" s="53" t="s">
        <v>56</v>
      </c>
      <c r="E723" s="47" t="s">
        <v>1503</v>
      </c>
      <c r="F723" s="49" t="s">
        <v>1292</v>
      </c>
      <c r="G723" s="29" t="s">
        <v>714</v>
      </c>
      <c r="H723" s="48" t="s">
        <v>1735</v>
      </c>
      <c r="I723" s="48" t="s">
        <v>1513</v>
      </c>
      <c r="J723" s="49" t="s">
        <v>1736</v>
      </c>
      <c r="K723" s="50">
        <v>196.0</v>
      </c>
      <c r="L723" s="29" t="s">
        <v>1737</v>
      </c>
      <c r="M723" s="22" t="s">
        <v>669</v>
      </c>
      <c r="N723" s="34"/>
      <c r="O723" s="48"/>
      <c r="P723" s="51"/>
      <c r="Q723" s="51"/>
      <c r="R723" s="34"/>
      <c r="S723" s="34"/>
      <c r="T723" s="34"/>
      <c r="U723" s="34">
        <v>781.0</v>
      </c>
      <c r="V723" s="29" t="s">
        <v>107</v>
      </c>
      <c r="W723" s="34"/>
      <c r="X723" s="29"/>
    </row>
    <row r="724" ht="15.75" customHeight="1">
      <c r="A724" s="27" t="s">
        <v>660</v>
      </c>
      <c r="B724" s="22" t="s">
        <v>1540</v>
      </c>
      <c r="C724" s="53" t="s">
        <v>1731</v>
      </c>
      <c r="D724" s="53" t="s">
        <v>56</v>
      </c>
      <c r="E724" s="47" t="s">
        <v>1503</v>
      </c>
      <c r="F724" s="49" t="s">
        <v>1292</v>
      </c>
      <c r="G724" s="29" t="s">
        <v>714</v>
      </c>
      <c r="H724" s="48" t="s">
        <v>1293</v>
      </c>
      <c r="I724" s="48" t="s">
        <v>1738</v>
      </c>
      <c r="J724" s="49" t="s">
        <v>1739</v>
      </c>
      <c r="K724" s="50">
        <v>197.0</v>
      </c>
      <c r="L724" s="29" t="s">
        <v>1740</v>
      </c>
      <c r="M724" s="22" t="s">
        <v>669</v>
      </c>
      <c r="N724" s="34"/>
      <c r="O724" s="48"/>
      <c r="P724" s="51"/>
      <c r="Q724" s="51"/>
      <c r="R724" s="34"/>
      <c r="S724" s="34"/>
      <c r="T724" s="34"/>
      <c r="U724" s="34">
        <v>782.0</v>
      </c>
      <c r="V724" s="29" t="s">
        <v>107</v>
      </c>
      <c r="W724" s="34"/>
      <c r="X724" s="29"/>
    </row>
    <row r="725" ht="15.75" customHeight="1">
      <c r="A725" s="27" t="s">
        <v>660</v>
      </c>
      <c r="B725" s="22" t="s">
        <v>1540</v>
      </c>
      <c r="C725" s="53" t="s">
        <v>1731</v>
      </c>
      <c r="D725" s="53" t="s">
        <v>56</v>
      </c>
      <c r="E725" s="47" t="s">
        <v>1503</v>
      </c>
      <c r="F725" s="49" t="s">
        <v>1292</v>
      </c>
      <c r="G725" s="29" t="s">
        <v>714</v>
      </c>
      <c r="H725" s="48" t="s">
        <v>1293</v>
      </c>
      <c r="I725" s="48" t="s">
        <v>1738</v>
      </c>
      <c r="J725" s="49" t="s">
        <v>1739</v>
      </c>
      <c r="K725" s="50">
        <v>198.0</v>
      </c>
      <c r="L725" s="29" t="s">
        <v>1741</v>
      </c>
      <c r="M725" s="22" t="s">
        <v>669</v>
      </c>
      <c r="N725" s="34"/>
      <c r="O725" s="48"/>
      <c r="P725" s="51"/>
      <c r="Q725" s="51"/>
      <c r="R725" s="34"/>
      <c r="S725" s="34"/>
      <c r="T725" s="34"/>
      <c r="U725" s="34">
        <v>783.0</v>
      </c>
      <c r="V725" s="29" t="s">
        <v>107</v>
      </c>
      <c r="W725" s="34"/>
      <c r="X725" s="29"/>
    </row>
    <row r="726" ht="15.75" customHeight="1">
      <c r="A726" s="27" t="s">
        <v>660</v>
      </c>
      <c r="B726" s="22" t="s">
        <v>1540</v>
      </c>
      <c r="C726" s="53" t="s">
        <v>1731</v>
      </c>
      <c r="D726" s="53" t="s">
        <v>56</v>
      </c>
      <c r="E726" s="47" t="s">
        <v>1503</v>
      </c>
      <c r="F726" s="49" t="s">
        <v>1297</v>
      </c>
      <c r="G726" s="29" t="s">
        <v>749</v>
      </c>
      <c r="H726" s="48" t="s">
        <v>1293</v>
      </c>
      <c r="I726" s="48" t="s">
        <v>1738</v>
      </c>
      <c r="J726" s="49" t="s">
        <v>1739</v>
      </c>
      <c r="K726" s="50">
        <v>199.0</v>
      </c>
      <c r="L726" s="29" t="s">
        <v>1742</v>
      </c>
      <c r="M726" s="22" t="s">
        <v>669</v>
      </c>
      <c r="N726" s="34"/>
      <c r="O726" s="48"/>
      <c r="P726" s="51"/>
      <c r="Q726" s="51"/>
      <c r="R726" s="34"/>
      <c r="S726" s="34"/>
      <c r="T726" s="34"/>
      <c r="U726" s="34">
        <v>785.0</v>
      </c>
      <c r="V726" s="29" t="s">
        <v>107</v>
      </c>
      <c r="W726" s="34"/>
      <c r="X726" s="29"/>
    </row>
    <row r="727" ht="15.75" customHeight="1">
      <c r="A727" s="27" t="s">
        <v>660</v>
      </c>
      <c r="B727" s="22" t="s">
        <v>1540</v>
      </c>
      <c r="C727" s="53" t="s">
        <v>1731</v>
      </c>
      <c r="D727" s="53" t="s">
        <v>56</v>
      </c>
      <c r="E727" s="47" t="s">
        <v>1503</v>
      </c>
      <c r="F727" s="49" t="s">
        <v>1297</v>
      </c>
      <c r="G727" s="29" t="s">
        <v>749</v>
      </c>
      <c r="H727" s="48" t="s">
        <v>1298</v>
      </c>
      <c r="I727" s="48" t="s">
        <v>1518</v>
      </c>
      <c r="J727" s="49" t="s">
        <v>1519</v>
      </c>
      <c r="K727" s="50">
        <v>200.0</v>
      </c>
      <c r="L727" s="29" t="s">
        <v>1520</v>
      </c>
      <c r="M727" s="22" t="s">
        <v>669</v>
      </c>
      <c r="N727" s="34"/>
      <c r="O727" s="48"/>
      <c r="P727" s="51"/>
      <c r="Q727" s="51"/>
      <c r="R727" s="34"/>
      <c r="S727" s="34"/>
      <c r="T727" s="34"/>
      <c r="U727" s="34">
        <v>786.0</v>
      </c>
      <c r="V727" s="29" t="s">
        <v>107</v>
      </c>
      <c r="W727" s="34"/>
      <c r="X727" s="29"/>
    </row>
    <row r="728" ht="15.75" customHeight="1">
      <c r="A728" s="27" t="s">
        <v>660</v>
      </c>
      <c r="B728" s="22" t="s">
        <v>1540</v>
      </c>
      <c r="C728" s="53" t="s">
        <v>1731</v>
      </c>
      <c r="D728" s="53" t="s">
        <v>56</v>
      </c>
      <c r="E728" s="47" t="s">
        <v>1503</v>
      </c>
      <c r="F728" s="49" t="s">
        <v>1297</v>
      </c>
      <c r="G728" s="29" t="s">
        <v>749</v>
      </c>
      <c r="H728" s="48" t="s">
        <v>1302</v>
      </c>
      <c r="I728" s="48" t="s">
        <v>1743</v>
      </c>
      <c r="J728" s="49" t="s">
        <v>1744</v>
      </c>
      <c r="K728" s="50">
        <v>201.0</v>
      </c>
      <c r="L728" s="29" t="s">
        <v>1745</v>
      </c>
      <c r="M728" s="22" t="s">
        <v>669</v>
      </c>
      <c r="N728" s="34"/>
      <c r="O728" s="48"/>
      <c r="P728" s="51"/>
      <c r="Q728" s="51"/>
      <c r="R728" s="34"/>
      <c r="S728" s="34"/>
      <c r="T728" s="34"/>
      <c r="U728" s="34">
        <v>787.0</v>
      </c>
      <c r="V728" s="29" t="s">
        <v>107</v>
      </c>
      <c r="W728" s="34"/>
      <c r="X728" s="29"/>
    </row>
    <row r="729" ht="15.75" customHeight="1">
      <c r="A729" s="27" t="s">
        <v>660</v>
      </c>
      <c r="B729" s="22" t="s">
        <v>1540</v>
      </c>
      <c r="C729" s="53" t="s">
        <v>1731</v>
      </c>
      <c r="D729" s="53" t="s">
        <v>56</v>
      </c>
      <c r="E729" s="47" t="s">
        <v>1503</v>
      </c>
      <c r="F729" s="49" t="s">
        <v>1297</v>
      </c>
      <c r="G729" s="29" t="s">
        <v>749</v>
      </c>
      <c r="H729" s="48" t="s">
        <v>1306</v>
      </c>
      <c r="I729" s="48" t="s">
        <v>1522</v>
      </c>
      <c r="J729" s="49" t="s">
        <v>1746</v>
      </c>
      <c r="K729" s="50">
        <v>202.0</v>
      </c>
      <c r="L729" s="29" t="s">
        <v>1747</v>
      </c>
      <c r="M729" s="22" t="s">
        <v>669</v>
      </c>
      <c r="N729" s="34"/>
      <c r="O729" s="48"/>
      <c r="P729" s="51"/>
      <c r="Q729" s="51"/>
      <c r="R729" s="34"/>
      <c r="S729" s="34"/>
      <c r="T729" s="34"/>
      <c r="U729" s="34">
        <v>788.0</v>
      </c>
      <c r="V729" s="29" t="s">
        <v>107</v>
      </c>
      <c r="W729" s="34"/>
      <c r="X729" s="29"/>
    </row>
    <row r="730" ht="15.75" customHeight="1">
      <c r="A730" s="27" t="s">
        <v>660</v>
      </c>
      <c r="B730" s="22" t="s">
        <v>1540</v>
      </c>
      <c r="C730" s="53" t="s">
        <v>1731</v>
      </c>
      <c r="D730" s="53" t="s">
        <v>56</v>
      </c>
      <c r="E730" s="47" t="s">
        <v>1503</v>
      </c>
      <c r="F730" s="49" t="s">
        <v>1297</v>
      </c>
      <c r="G730" s="29" t="s">
        <v>749</v>
      </c>
      <c r="H730" s="48" t="s">
        <v>1306</v>
      </c>
      <c r="I730" s="48" t="s">
        <v>1522</v>
      </c>
      <c r="J730" s="49" t="s">
        <v>1746</v>
      </c>
      <c r="K730" s="50">
        <v>203.0</v>
      </c>
      <c r="L730" s="29" t="s">
        <v>1748</v>
      </c>
      <c r="M730" s="22" t="s">
        <v>669</v>
      </c>
      <c r="N730" s="34"/>
      <c r="O730" s="48"/>
      <c r="P730" s="51"/>
      <c r="Q730" s="51"/>
      <c r="R730" s="34"/>
      <c r="S730" s="34"/>
      <c r="T730" s="34"/>
      <c r="U730" s="34">
        <v>789.0</v>
      </c>
      <c r="V730" s="29" t="s">
        <v>107</v>
      </c>
      <c r="W730" s="34"/>
      <c r="X730" s="29"/>
    </row>
    <row r="731" ht="15.75" customHeight="1">
      <c r="A731" s="27" t="s">
        <v>660</v>
      </c>
      <c r="B731" s="22" t="s">
        <v>1540</v>
      </c>
      <c r="C731" s="53" t="s">
        <v>1731</v>
      </c>
      <c r="D731" s="53" t="s">
        <v>56</v>
      </c>
      <c r="E731" s="47" t="s">
        <v>1503</v>
      </c>
      <c r="F731" s="49" t="s">
        <v>1297</v>
      </c>
      <c r="G731" s="29" t="s">
        <v>749</v>
      </c>
      <c r="H731" s="48" t="s">
        <v>1310</v>
      </c>
      <c r="I731" s="48" t="s">
        <v>1749</v>
      </c>
      <c r="J731" s="49" t="s">
        <v>1750</v>
      </c>
      <c r="K731" s="50">
        <v>204.0</v>
      </c>
      <c r="L731" s="29" t="s">
        <v>1751</v>
      </c>
      <c r="M731" s="22" t="s">
        <v>669</v>
      </c>
      <c r="N731" s="34"/>
      <c r="O731" s="48"/>
      <c r="P731" s="51"/>
      <c r="Q731" s="51"/>
      <c r="R731" s="34"/>
      <c r="S731" s="34"/>
      <c r="T731" s="34"/>
      <c r="U731" s="34">
        <v>790.0</v>
      </c>
      <c r="V731" s="29" t="s">
        <v>107</v>
      </c>
      <c r="W731" s="34"/>
      <c r="X731" s="29"/>
    </row>
    <row r="732" ht="15.75" customHeight="1">
      <c r="A732" s="27" t="s">
        <v>660</v>
      </c>
      <c r="B732" s="22" t="s">
        <v>1540</v>
      </c>
      <c r="C732" s="53" t="s">
        <v>1731</v>
      </c>
      <c r="D732" s="53" t="s">
        <v>56</v>
      </c>
      <c r="E732" s="47" t="s">
        <v>1503</v>
      </c>
      <c r="F732" s="49" t="s">
        <v>1297</v>
      </c>
      <c r="G732" s="29" t="s">
        <v>749</v>
      </c>
      <c r="H732" s="48" t="s">
        <v>1310</v>
      </c>
      <c r="I732" s="48" t="s">
        <v>1749</v>
      </c>
      <c r="J732" s="49" t="s">
        <v>1750</v>
      </c>
      <c r="K732" s="50">
        <v>205.0</v>
      </c>
      <c r="L732" s="29" t="s">
        <v>1752</v>
      </c>
      <c r="M732" s="22" t="s">
        <v>669</v>
      </c>
      <c r="N732" s="34"/>
      <c r="O732" s="48"/>
      <c r="P732" s="51"/>
      <c r="Q732" s="51"/>
      <c r="R732" s="34"/>
      <c r="S732" s="34"/>
      <c r="T732" s="34"/>
      <c r="U732" s="34">
        <v>791.0</v>
      </c>
      <c r="V732" s="29" t="s">
        <v>107</v>
      </c>
      <c r="W732" s="34"/>
      <c r="X732" s="29"/>
    </row>
    <row r="733" ht="15.75" customHeight="1">
      <c r="A733" s="27" t="s">
        <v>660</v>
      </c>
      <c r="B733" s="22" t="s">
        <v>1540</v>
      </c>
      <c r="C733" s="53" t="s">
        <v>1731</v>
      </c>
      <c r="D733" s="53" t="s">
        <v>56</v>
      </c>
      <c r="E733" s="47" t="s">
        <v>1503</v>
      </c>
      <c r="F733" s="49" t="s">
        <v>1297</v>
      </c>
      <c r="G733" s="29" t="s">
        <v>749</v>
      </c>
      <c r="H733" s="48" t="s">
        <v>1753</v>
      </c>
      <c r="I733" s="48" t="s">
        <v>1526</v>
      </c>
      <c r="J733" s="49" t="s">
        <v>1527</v>
      </c>
      <c r="K733" s="50">
        <v>206.0</v>
      </c>
      <c r="L733" s="29" t="s">
        <v>1754</v>
      </c>
      <c r="M733" s="22" t="s">
        <v>669</v>
      </c>
      <c r="N733" s="34"/>
      <c r="O733" s="48"/>
      <c r="P733" s="51"/>
      <c r="Q733" s="51"/>
      <c r="R733" s="34"/>
      <c r="S733" s="34"/>
      <c r="T733" s="34"/>
      <c r="U733" s="34">
        <v>792.0</v>
      </c>
      <c r="V733" s="29" t="s">
        <v>107</v>
      </c>
      <c r="W733" s="34"/>
      <c r="X733" s="29"/>
    </row>
    <row r="734" ht="15.75" customHeight="1">
      <c r="A734" s="27" t="s">
        <v>660</v>
      </c>
      <c r="B734" s="22" t="s">
        <v>1540</v>
      </c>
      <c r="C734" s="53" t="s">
        <v>1755</v>
      </c>
      <c r="D734" s="53" t="s">
        <v>56</v>
      </c>
      <c r="E734" s="47" t="s">
        <v>1503</v>
      </c>
      <c r="F734" s="49" t="s">
        <v>1315</v>
      </c>
      <c r="G734" s="29" t="s">
        <v>664</v>
      </c>
      <c r="H734" s="48" t="s">
        <v>1753</v>
      </c>
      <c r="I734" s="48" t="s">
        <v>1526</v>
      </c>
      <c r="J734" s="49" t="s">
        <v>1527</v>
      </c>
      <c r="K734" s="50">
        <v>207.0</v>
      </c>
      <c r="L734" s="29" t="s">
        <v>1529</v>
      </c>
      <c r="M734" s="22" t="s">
        <v>669</v>
      </c>
      <c r="N734" s="34"/>
      <c r="O734" s="48"/>
      <c r="P734" s="51"/>
      <c r="Q734" s="51"/>
      <c r="R734" s="34"/>
      <c r="S734" s="34"/>
      <c r="T734" s="34"/>
      <c r="U734" s="34">
        <v>799.0</v>
      </c>
      <c r="V734" s="29" t="s">
        <v>107</v>
      </c>
      <c r="W734" s="34"/>
      <c r="X734" s="29"/>
    </row>
    <row r="735" ht="15.75" customHeight="1">
      <c r="A735" s="27" t="s">
        <v>660</v>
      </c>
      <c r="B735" s="22" t="s">
        <v>1540</v>
      </c>
      <c r="C735" s="53" t="s">
        <v>1755</v>
      </c>
      <c r="D735" s="53" t="s">
        <v>58</v>
      </c>
      <c r="E735" s="47" t="s">
        <v>1531</v>
      </c>
      <c r="F735" s="49" t="s">
        <v>1315</v>
      </c>
      <c r="G735" s="29" t="s">
        <v>664</v>
      </c>
      <c r="H735" s="48" t="s">
        <v>1316</v>
      </c>
      <c r="I735" s="48" t="s">
        <v>1534</v>
      </c>
      <c r="J735" s="49" t="s">
        <v>1535</v>
      </c>
      <c r="K735" s="50">
        <v>208.0</v>
      </c>
      <c r="L735" s="29" t="s">
        <v>1756</v>
      </c>
      <c r="M735" s="22" t="s">
        <v>669</v>
      </c>
      <c r="N735" s="34"/>
      <c r="O735" s="48"/>
      <c r="P735" s="51"/>
      <c r="Q735" s="51"/>
      <c r="R735" s="34"/>
      <c r="S735" s="34"/>
      <c r="T735" s="34"/>
      <c r="U735" s="34">
        <v>800.0</v>
      </c>
      <c r="V735" s="29" t="s">
        <v>107</v>
      </c>
      <c r="W735" s="34"/>
      <c r="X735" s="29"/>
    </row>
    <row r="736" ht="15.75" customHeight="1">
      <c r="A736" s="27" t="s">
        <v>660</v>
      </c>
      <c r="B736" s="22" t="s">
        <v>1540</v>
      </c>
      <c r="C736" s="53" t="s">
        <v>1755</v>
      </c>
      <c r="D736" s="53" t="s">
        <v>58</v>
      </c>
      <c r="E736" s="47" t="s">
        <v>1531</v>
      </c>
      <c r="F736" s="49" t="s">
        <v>1315</v>
      </c>
      <c r="G736" s="29" t="s">
        <v>664</v>
      </c>
      <c r="H736" s="48" t="s">
        <v>1316</v>
      </c>
      <c r="I736" s="48" t="s">
        <v>1534</v>
      </c>
      <c r="J736" s="49" t="s">
        <v>1535</v>
      </c>
      <c r="K736" s="50">
        <v>209.0</v>
      </c>
      <c r="L736" s="29" t="s">
        <v>1757</v>
      </c>
      <c r="M736" s="22" t="s">
        <v>669</v>
      </c>
      <c r="N736" s="34"/>
      <c r="O736" s="48"/>
      <c r="P736" s="51"/>
      <c r="Q736" s="51"/>
      <c r="R736" s="34"/>
      <c r="S736" s="34"/>
      <c r="T736" s="34"/>
      <c r="U736" s="34">
        <v>801.0</v>
      </c>
      <c r="V736" s="29" t="s">
        <v>107</v>
      </c>
      <c r="W736" s="34"/>
      <c r="X736" s="29"/>
    </row>
    <row r="737" ht="15.75" customHeight="1">
      <c r="A737" s="27" t="s">
        <v>660</v>
      </c>
      <c r="B737" s="22" t="s">
        <v>1540</v>
      </c>
      <c r="C737" s="53" t="s">
        <v>1755</v>
      </c>
      <c r="D737" s="53" t="s">
        <v>58</v>
      </c>
      <c r="E737" s="47" t="s">
        <v>1531</v>
      </c>
      <c r="F737" s="49" t="s">
        <v>1315</v>
      </c>
      <c r="G737" s="29" t="s">
        <v>664</v>
      </c>
      <c r="H737" s="48" t="s">
        <v>1316</v>
      </c>
      <c r="I737" s="48" t="s">
        <v>1534</v>
      </c>
      <c r="J737" s="49" t="s">
        <v>1535</v>
      </c>
      <c r="K737" s="50">
        <v>210.0</v>
      </c>
      <c r="L737" s="29" t="s">
        <v>1758</v>
      </c>
      <c r="M737" s="22" t="s">
        <v>669</v>
      </c>
      <c r="N737" s="34"/>
      <c r="O737" s="48"/>
      <c r="P737" s="51"/>
      <c r="Q737" s="51"/>
      <c r="R737" s="34"/>
      <c r="S737" s="34"/>
      <c r="T737" s="34"/>
      <c r="U737" s="34">
        <v>802.0</v>
      </c>
      <c r="V737" s="29" t="s">
        <v>107</v>
      </c>
      <c r="W737" s="34"/>
      <c r="X737" s="29"/>
    </row>
    <row r="738" ht="15.75" customHeight="1">
      <c r="A738" s="27" t="s">
        <v>660</v>
      </c>
      <c r="B738" s="22" t="s">
        <v>1540</v>
      </c>
      <c r="C738" s="53" t="s">
        <v>49</v>
      </c>
      <c r="D738" s="53" t="s">
        <v>58</v>
      </c>
      <c r="E738" s="47" t="s">
        <v>1531</v>
      </c>
      <c r="F738" s="49" t="s">
        <v>1384</v>
      </c>
      <c r="G738" s="29" t="s">
        <v>664</v>
      </c>
      <c r="H738" s="48" t="s">
        <v>1316</v>
      </c>
      <c r="I738" s="48" t="s">
        <v>1534</v>
      </c>
      <c r="J738" s="49" t="s">
        <v>1535</v>
      </c>
      <c r="K738" s="50">
        <v>211.0</v>
      </c>
      <c r="L738" s="29" t="s">
        <v>1539</v>
      </c>
      <c r="M738" s="22" t="s">
        <v>669</v>
      </c>
      <c r="N738" s="34"/>
      <c r="O738" s="48"/>
      <c r="P738" s="51"/>
      <c r="Q738" s="51"/>
      <c r="R738" s="34"/>
      <c r="S738" s="34"/>
      <c r="T738" s="34"/>
      <c r="U738" s="34">
        <v>809.0</v>
      </c>
      <c r="V738" s="29" t="s">
        <v>107</v>
      </c>
      <c r="W738" s="34"/>
      <c r="X738" s="29"/>
    </row>
    <row r="739" ht="15.75" customHeight="1">
      <c r="A739" s="27" t="s">
        <v>660</v>
      </c>
      <c r="B739" s="22" t="s">
        <v>1540</v>
      </c>
      <c r="C739" s="53" t="s">
        <v>49</v>
      </c>
      <c r="D739" s="53" t="s">
        <v>40</v>
      </c>
      <c r="E739" s="47" t="s">
        <v>1217</v>
      </c>
      <c r="F739" s="49" t="s">
        <v>1384</v>
      </c>
      <c r="G739" s="29" t="s">
        <v>664</v>
      </c>
      <c r="H739" s="48" t="s">
        <v>1385</v>
      </c>
      <c r="I739" s="48" t="s">
        <v>1220</v>
      </c>
      <c r="J739" s="49" t="s">
        <v>1221</v>
      </c>
      <c r="K739" s="50">
        <v>212.0</v>
      </c>
      <c r="L739" s="29" t="s">
        <v>1759</v>
      </c>
      <c r="M739" s="22" t="s">
        <v>669</v>
      </c>
      <c r="N739" s="34"/>
      <c r="O739" s="48"/>
      <c r="P739" s="51"/>
      <c r="Q739" s="51"/>
      <c r="R739" s="34"/>
      <c r="S739" s="34"/>
      <c r="T739" s="34"/>
      <c r="U739" s="34">
        <v>810.0</v>
      </c>
      <c r="V739" s="29" t="s">
        <v>107</v>
      </c>
      <c r="W739" s="34"/>
      <c r="X739" s="29"/>
    </row>
    <row r="740" ht="15.75" customHeight="1">
      <c r="A740" s="27" t="s">
        <v>660</v>
      </c>
      <c r="B740" s="22" t="s">
        <v>1540</v>
      </c>
      <c r="C740" s="53" t="s">
        <v>49</v>
      </c>
      <c r="D740" s="53" t="s">
        <v>40</v>
      </c>
      <c r="E740" s="47" t="s">
        <v>1217</v>
      </c>
      <c r="F740" s="49" t="s">
        <v>1422</v>
      </c>
      <c r="G740" s="29" t="s">
        <v>714</v>
      </c>
      <c r="H740" s="48" t="s">
        <v>1385</v>
      </c>
      <c r="I740" s="48" t="s">
        <v>1220</v>
      </c>
      <c r="J740" s="49" t="s">
        <v>1221</v>
      </c>
      <c r="K740" s="50">
        <v>213.0</v>
      </c>
      <c r="L740" s="29" t="s">
        <v>1223</v>
      </c>
      <c r="M740" s="22" t="s">
        <v>669</v>
      </c>
      <c r="N740" s="34"/>
      <c r="O740" s="48"/>
      <c r="P740" s="51"/>
      <c r="Q740" s="51"/>
      <c r="R740" s="34"/>
      <c r="S740" s="34"/>
      <c r="T740" s="34"/>
      <c r="U740" s="34">
        <v>812.0</v>
      </c>
      <c r="V740" s="29" t="s">
        <v>107</v>
      </c>
      <c r="W740" s="34"/>
      <c r="X740" s="29"/>
    </row>
    <row r="741" ht="15.75" customHeight="1">
      <c r="A741" s="27" t="s">
        <v>660</v>
      </c>
      <c r="B741" s="22" t="s">
        <v>1540</v>
      </c>
      <c r="C741" s="53" t="s">
        <v>49</v>
      </c>
      <c r="D741" s="53" t="s">
        <v>40</v>
      </c>
      <c r="E741" s="47" t="s">
        <v>1217</v>
      </c>
      <c r="F741" s="49" t="s">
        <v>1422</v>
      </c>
      <c r="G741" s="29" t="s">
        <v>714</v>
      </c>
      <c r="H741" s="48" t="s">
        <v>1423</v>
      </c>
      <c r="I741" s="48" t="s">
        <v>1226</v>
      </c>
      <c r="J741" s="49" t="s">
        <v>1227</v>
      </c>
      <c r="K741" s="50">
        <v>214.0</v>
      </c>
      <c r="L741" s="29" t="s">
        <v>1760</v>
      </c>
      <c r="M741" s="22" t="s">
        <v>669</v>
      </c>
      <c r="N741" s="34"/>
      <c r="O741" s="48"/>
      <c r="P741" s="51"/>
      <c r="Q741" s="51"/>
      <c r="R741" s="34"/>
      <c r="S741" s="34"/>
      <c r="T741" s="34"/>
      <c r="U741" s="34">
        <v>813.0</v>
      </c>
      <c r="V741" s="29" t="s">
        <v>107</v>
      </c>
      <c r="W741" s="34"/>
      <c r="X741" s="29"/>
    </row>
    <row r="742" ht="15.75" customHeight="1">
      <c r="A742" s="27" t="s">
        <v>660</v>
      </c>
      <c r="B742" s="22" t="s">
        <v>1540</v>
      </c>
      <c r="C742" s="53" t="s">
        <v>49</v>
      </c>
      <c r="D742" s="53" t="s">
        <v>40</v>
      </c>
      <c r="E742" s="47" t="s">
        <v>1217</v>
      </c>
      <c r="F742" s="49" t="s">
        <v>1422</v>
      </c>
      <c r="G742" s="29" t="s">
        <v>714</v>
      </c>
      <c r="H742" s="48" t="s">
        <v>1433</v>
      </c>
      <c r="I742" s="48" t="s">
        <v>1230</v>
      </c>
      <c r="J742" s="49" t="s">
        <v>1231</v>
      </c>
      <c r="K742" s="50">
        <v>215.0</v>
      </c>
      <c r="L742" s="29" t="s">
        <v>1761</v>
      </c>
      <c r="M742" s="22" t="s">
        <v>669</v>
      </c>
      <c r="N742" s="34"/>
      <c r="O742" s="48"/>
      <c r="P742" s="51"/>
      <c r="Q742" s="51"/>
      <c r="R742" s="34"/>
      <c r="S742" s="34"/>
      <c r="T742" s="34"/>
      <c r="U742" s="34">
        <v>814.0</v>
      </c>
      <c r="V742" s="29" t="s">
        <v>107</v>
      </c>
      <c r="W742" s="34"/>
      <c r="X742" s="29"/>
    </row>
    <row r="743" ht="15.75" customHeight="1">
      <c r="A743" s="27" t="s">
        <v>660</v>
      </c>
      <c r="B743" s="22" t="s">
        <v>1540</v>
      </c>
      <c r="C743" s="53" t="s">
        <v>49</v>
      </c>
      <c r="D743" s="53" t="s">
        <v>40</v>
      </c>
      <c r="E743" s="47" t="s">
        <v>1217</v>
      </c>
      <c r="F743" s="49" t="s">
        <v>1422</v>
      </c>
      <c r="G743" s="29" t="s">
        <v>714</v>
      </c>
      <c r="H743" s="48" t="s">
        <v>1433</v>
      </c>
      <c r="I743" s="48" t="s">
        <v>1230</v>
      </c>
      <c r="J743" s="49" t="s">
        <v>1231</v>
      </c>
      <c r="K743" s="50">
        <v>216.0</v>
      </c>
      <c r="L743" s="29" t="s">
        <v>1762</v>
      </c>
      <c r="M743" s="22" t="s">
        <v>669</v>
      </c>
      <c r="N743" s="34"/>
      <c r="O743" s="48"/>
      <c r="P743" s="51"/>
      <c r="Q743" s="51"/>
      <c r="R743" s="34"/>
      <c r="S743" s="34"/>
      <c r="T743" s="34"/>
      <c r="U743" s="34">
        <v>815.0</v>
      </c>
      <c r="V743" s="29" t="s">
        <v>107</v>
      </c>
      <c r="W743" s="34"/>
      <c r="X743" s="29"/>
    </row>
    <row r="744" ht="15.75" customHeight="1">
      <c r="A744" s="27" t="s">
        <v>660</v>
      </c>
      <c r="B744" s="22" t="s">
        <v>1540</v>
      </c>
      <c r="C744" s="53" t="s">
        <v>49</v>
      </c>
      <c r="D744" s="53" t="s">
        <v>40</v>
      </c>
      <c r="E744" s="47" t="s">
        <v>1217</v>
      </c>
      <c r="F744" s="49" t="s">
        <v>1422</v>
      </c>
      <c r="G744" s="29" t="s">
        <v>714</v>
      </c>
      <c r="H744" s="48" t="s">
        <v>1763</v>
      </c>
      <c r="I744" s="48" t="s">
        <v>1235</v>
      </c>
      <c r="J744" s="49" t="s">
        <v>1236</v>
      </c>
      <c r="K744" s="50">
        <v>217.0</v>
      </c>
      <c r="L744" s="29" t="s">
        <v>1237</v>
      </c>
      <c r="M744" s="22" t="s">
        <v>669</v>
      </c>
      <c r="N744" s="34"/>
      <c r="O744" s="48"/>
      <c r="P744" s="51"/>
      <c r="Q744" s="51"/>
      <c r="R744" s="34"/>
      <c r="S744" s="34"/>
      <c r="T744" s="34"/>
      <c r="U744" s="34">
        <v>816.0</v>
      </c>
      <c r="V744" s="29" t="s">
        <v>107</v>
      </c>
      <c r="W744" s="34"/>
      <c r="X744" s="29"/>
    </row>
    <row r="745" ht="15.75" customHeight="1">
      <c r="A745" s="27" t="s">
        <v>660</v>
      </c>
      <c r="B745" s="22" t="s">
        <v>1540</v>
      </c>
      <c r="C745" s="53" t="s">
        <v>49</v>
      </c>
      <c r="D745" s="53" t="s">
        <v>40</v>
      </c>
      <c r="E745" s="47" t="s">
        <v>1217</v>
      </c>
      <c r="F745" s="49" t="s">
        <v>1422</v>
      </c>
      <c r="G745" s="29" t="s">
        <v>714</v>
      </c>
      <c r="H745" s="48" t="s">
        <v>1763</v>
      </c>
      <c r="I745" s="48" t="s">
        <v>1235</v>
      </c>
      <c r="J745" s="49" t="s">
        <v>1236</v>
      </c>
      <c r="K745" s="50">
        <v>218.0</v>
      </c>
      <c r="L745" s="29" t="s">
        <v>1238</v>
      </c>
      <c r="M745" s="22" t="s">
        <v>669</v>
      </c>
      <c r="N745" s="34"/>
      <c r="O745" s="48"/>
      <c r="P745" s="51"/>
      <c r="Q745" s="51"/>
      <c r="R745" s="34"/>
      <c r="S745" s="34"/>
      <c r="T745" s="34"/>
      <c r="U745" s="34">
        <v>817.0</v>
      </c>
      <c r="V745" s="29" t="s">
        <v>107</v>
      </c>
      <c r="W745" s="34"/>
      <c r="X745" s="29"/>
    </row>
    <row r="746" ht="15.75" customHeight="1">
      <c r="A746" s="27" t="s">
        <v>660</v>
      </c>
      <c r="B746" s="22" t="s">
        <v>1540</v>
      </c>
      <c r="C746" s="53" t="s">
        <v>51</v>
      </c>
      <c r="D746" s="53" t="s">
        <v>40</v>
      </c>
      <c r="E746" s="47" t="s">
        <v>1217</v>
      </c>
      <c r="F746" s="49" t="s">
        <v>1456</v>
      </c>
      <c r="G746" s="29" t="s">
        <v>664</v>
      </c>
      <c r="H746" s="48" t="s">
        <v>1763</v>
      </c>
      <c r="I746" s="48" t="s">
        <v>1235</v>
      </c>
      <c r="J746" s="49" t="s">
        <v>1236</v>
      </c>
      <c r="K746" s="50">
        <v>219.0</v>
      </c>
      <c r="L746" s="29" t="s">
        <v>1239</v>
      </c>
      <c r="M746" s="22" t="s">
        <v>669</v>
      </c>
      <c r="N746" s="34"/>
      <c r="O746" s="48"/>
      <c r="P746" s="51"/>
      <c r="Q746" s="51"/>
      <c r="R746" s="34"/>
      <c r="S746" s="34"/>
      <c r="T746" s="34"/>
      <c r="U746" s="34">
        <v>824.0</v>
      </c>
      <c r="V746" s="29" t="s">
        <v>107</v>
      </c>
      <c r="W746" s="34"/>
      <c r="X746" s="29"/>
    </row>
    <row r="747" ht="15.75" customHeight="1">
      <c r="A747" s="27" t="s">
        <v>660</v>
      </c>
      <c r="B747" s="22" t="s">
        <v>1540</v>
      </c>
      <c r="C747" s="53" t="s">
        <v>51</v>
      </c>
      <c r="D747" s="53" t="s">
        <v>42</v>
      </c>
      <c r="E747" s="47" t="s">
        <v>1245</v>
      </c>
      <c r="F747" s="49" t="s">
        <v>1456</v>
      </c>
      <c r="G747" s="29" t="s">
        <v>664</v>
      </c>
      <c r="H747" s="48" t="s">
        <v>1457</v>
      </c>
      <c r="I747" s="48" t="s">
        <v>1248</v>
      </c>
      <c r="J747" s="49" t="s">
        <v>1249</v>
      </c>
      <c r="K747" s="50">
        <v>220.0</v>
      </c>
      <c r="L747" s="29" t="s">
        <v>1764</v>
      </c>
      <c r="M747" s="22" t="s">
        <v>669</v>
      </c>
      <c r="N747" s="34"/>
      <c r="O747" s="48"/>
      <c r="P747" s="51"/>
      <c r="Q747" s="51"/>
      <c r="R747" s="34"/>
      <c r="S747" s="34"/>
      <c r="T747" s="34"/>
      <c r="U747" s="34">
        <v>825.0</v>
      </c>
      <c r="V747" s="29" t="s">
        <v>107</v>
      </c>
      <c r="W747" s="34"/>
      <c r="X747" s="29"/>
    </row>
    <row r="748" ht="15.75" customHeight="1">
      <c r="A748" s="27" t="s">
        <v>660</v>
      </c>
      <c r="B748" s="22" t="s">
        <v>1540</v>
      </c>
      <c r="C748" s="53" t="s">
        <v>51</v>
      </c>
      <c r="D748" s="53" t="s">
        <v>42</v>
      </c>
      <c r="E748" s="47" t="s">
        <v>1245</v>
      </c>
      <c r="F748" s="49" t="s">
        <v>1473</v>
      </c>
      <c r="G748" s="29" t="s">
        <v>714</v>
      </c>
      <c r="H748" s="48" t="s">
        <v>1457</v>
      </c>
      <c r="I748" s="48" t="s">
        <v>1248</v>
      </c>
      <c r="J748" s="49" t="s">
        <v>1249</v>
      </c>
      <c r="K748" s="50">
        <v>221.0</v>
      </c>
      <c r="L748" s="29" t="s">
        <v>1251</v>
      </c>
      <c r="M748" s="22" t="s">
        <v>669</v>
      </c>
      <c r="N748" s="34"/>
      <c r="O748" s="48"/>
      <c r="P748" s="51"/>
      <c r="Q748" s="51"/>
      <c r="R748" s="34"/>
      <c r="S748" s="34"/>
      <c r="T748" s="34"/>
      <c r="U748" s="34">
        <v>827.0</v>
      </c>
      <c r="V748" s="29" t="s">
        <v>107</v>
      </c>
      <c r="W748" s="34"/>
      <c r="X748" s="29"/>
    </row>
    <row r="749" ht="15.75" customHeight="1">
      <c r="A749" s="27" t="s">
        <v>660</v>
      </c>
      <c r="B749" s="22" t="s">
        <v>1540</v>
      </c>
      <c r="C749" s="53" t="s">
        <v>51</v>
      </c>
      <c r="D749" s="53" t="s">
        <v>42</v>
      </c>
      <c r="E749" s="47" t="s">
        <v>1245</v>
      </c>
      <c r="F749" s="49" t="s">
        <v>1473</v>
      </c>
      <c r="G749" s="29" t="s">
        <v>714</v>
      </c>
      <c r="H749" s="48" t="s">
        <v>1474</v>
      </c>
      <c r="I749" s="48" t="s">
        <v>1254</v>
      </c>
      <c r="J749" s="49" t="s">
        <v>1255</v>
      </c>
      <c r="K749" s="50">
        <v>222.0</v>
      </c>
      <c r="L749" s="29" t="s">
        <v>1765</v>
      </c>
      <c r="M749" s="22" t="s">
        <v>669</v>
      </c>
      <c r="N749" s="34"/>
      <c r="O749" s="48"/>
      <c r="P749" s="51"/>
      <c r="Q749" s="51"/>
      <c r="R749" s="34"/>
      <c r="S749" s="34"/>
      <c r="T749" s="34"/>
      <c r="U749" s="34">
        <v>828.0</v>
      </c>
      <c r="V749" s="29" t="s">
        <v>107</v>
      </c>
      <c r="W749" s="34"/>
      <c r="X749" s="29"/>
    </row>
    <row r="750" ht="15.75" customHeight="1">
      <c r="A750" s="27" t="s">
        <v>660</v>
      </c>
      <c r="B750" s="22" t="s">
        <v>1540</v>
      </c>
      <c r="C750" s="53" t="s">
        <v>51</v>
      </c>
      <c r="D750" s="53" t="s">
        <v>42</v>
      </c>
      <c r="E750" s="47" t="s">
        <v>1245</v>
      </c>
      <c r="F750" s="49" t="s">
        <v>1473</v>
      </c>
      <c r="G750" s="29" t="s">
        <v>714</v>
      </c>
      <c r="H750" s="48" t="s">
        <v>1474</v>
      </c>
      <c r="I750" s="48" t="s">
        <v>1254</v>
      </c>
      <c r="J750" s="49" t="s">
        <v>1255</v>
      </c>
      <c r="K750" s="50">
        <v>223.0</v>
      </c>
      <c r="L750" s="29" t="s">
        <v>1766</v>
      </c>
      <c r="M750" s="22" t="s">
        <v>669</v>
      </c>
      <c r="N750" s="34"/>
      <c r="O750" s="48"/>
      <c r="P750" s="51"/>
      <c r="Q750" s="51"/>
      <c r="R750" s="34"/>
      <c r="S750" s="34"/>
      <c r="T750" s="34"/>
      <c r="U750" s="34">
        <v>829.0</v>
      </c>
      <c r="V750" s="29" t="s">
        <v>107</v>
      </c>
      <c r="W750" s="34"/>
      <c r="X750" s="29"/>
    </row>
    <row r="751" ht="15.75" customHeight="1">
      <c r="A751" s="27" t="s">
        <v>660</v>
      </c>
      <c r="B751" s="22" t="s">
        <v>1540</v>
      </c>
      <c r="C751" s="53" t="s">
        <v>51</v>
      </c>
      <c r="D751" s="53" t="s">
        <v>42</v>
      </c>
      <c r="E751" s="47" t="s">
        <v>1245</v>
      </c>
      <c r="F751" s="49" t="s">
        <v>1767</v>
      </c>
      <c r="G751" s="29" t="s">
        <v>749</v>
      </c>
      <c r="H751" s="48" t="s">
        <v>1768</v>
      </c>
      <c r="I751" s="48" t="s">
        <v>1259</v>
      </c>
      <c r="J751" s="49" t="s">
        <v>1769</v>
      </c>
      <c r="K751" s="50">
        <v>224.0</v>
      </c>
      <c r="L751" s="29" t="s">
        <v>1770</v>
      </c>
      <c r="M751" s="22" t="s">
        <v>669</v>
      </c>
      <c r="N751" s="34"/>
      <c r="O751" s="48"/>
      <c r="P751" s="51"/>
      <c r="Q751" s="51"/>
      <c r="R751" s="34"/>
      <c r="S751" s="34"/>
      <c r="T751" s="34"/>
      <c r="U751" s="34">
        <v>831.0</v>
      </c>
      <c r="V751" s="29" t="s">
        <v>107</v>
      </c>
      <c r="W751" s="34"/>
      <c r="X751" s="29"/>
    </row>
    <row r="752" ht="15.75" customHeight="1">
      <c r="A752" s="27" t="s">
        <v>660</v>
      </c>
      <c r="B752" s="22" t="s">
        <v>1540</v>
      </c>
      <c r="C752" s="53" t="s">
        <v>1478</v>
      </c>
      <c r="D752" s="53" t="s">
        <v>42</v>
      </c>
      <c r="E752" s="47" t="s">
        <v>1245</v>
      </c>
      <c r="F752" s="49" t="s">
        <v>1480</v>
      </c>
      <c r="G752" s="29" t="s">
        <v>664</v>
      </c>
      <c r="H752" s="48" t="s">
        <v>1771</v>
      </c>
      <c r="I752" s="48" t="s">
        <v>1264</v>
      </c>
      <c r="J752" s="49" t="s">
        <v>1265</v>
      </c>
      <c r="K752" s="50">
        <v>225.0</v>
      </c>
      <c r="L752" s="29" t="s">
        <v>1266</v>
      </c>
      <c r="M752" s="22" t="s">
        <v>669</v>
      </c>
      <c r="N752" s="34"/>
      <c r="O752" s="48"/>
      <c r="P752" s="51"/>
      <c r="Q752" s="51"/>
      <c r="R752" s="34"/>
      <c r="S752" s="34"/>
      <c r="T752" s="34"/>
      <c r="U752" s="34">
        <v>838.0</v>
      </c>
      <c r="V752" s="29" t="s">
        <v>107</v>
      </c>
      <c r="W752" s="34"/>
      <c r="X752" s="29"/>
    </row>
    <row r="753" ht="15.75" customHeight="1">
      <c r="A753" s="27" t="s">
        <v>660</v>
      </c>
      <c r="B753" s="22" t="s">
        <v>1540</v>
      </c>
      <c r="C753" s="53" t="s">
        <v>1478</v>
      </c>
      <c r="D753" s="53" t="s">
        <v>44</v>
      </c>
      <c r="E753" s="47" t="s">
        <v>1772</v>
      </c>
      <c r="F753" s="49" t="s">
        <v>1773</v>
      </c>
      <c r="G753" s="29" t="s">
        <v>714</v>
      </c>
      <c r="H753" s="48" t="s">
        <v>1481</v>
      </c>
      <c r="I753" s="48" t="s">
        <v>1774</v>
      </c>
      <c r="J753" s="49" t="s">
        <v>1775</v>
      </c>
      <c r="K753" s="50">
        <v>226.0</v>
      </c>
      <c r="L753" s="29" t="s">
        <v>1776</v>
      </c>
      <c r="M753" s="22" t="s">
        <v>669</v>
      </c>
      <c r="N753" s="34"/>
      <c r="O753" s="48"/>
      <c r="P753" s="51"/>
      <c r="Q753" s="51"/>
      <c r="R753" s="34"/>
      <c r="S753" s="34"/>
      <c r="T753" s="34"/>
      <c r="U753" s="34">
        <v>840.0</v>
      </c>
      <c r="V753" s="29" t="s">
        <v>107</v>
      </c>
      <c r="W753" s="34"/>
      <c r="X753" s="29"/>
    </row>
    <row r="754" ht="15.75" customHeight="1">
      <c r="A754" s="27" t="s">
        <v>660</v>
      </c>
      <c r="B754" s="22" t="s">
        <v>1540</v>
      </c>
      <c r="C754" s="53" t="s">
        <v>1478</v>
      </c>
      <c r="D754" s="53" t="s">
        <v>44</v>
      </c>
      <c r="E754" s="47" t="s">
        <v>1772</v>
      </c>
      <c r="F754" s="49" t="s">
        <v>1777</v>
      </c>
      <c r="G754" s="29" t="s">
        <v>749</v>
      </c>
      <c r="H754" s="48" t="s">
        <v>1778</v>
      </c>
      <c r="I754" s="48" t="s">
        <v>1273</v>
      </c>
      <c r="J754" s="49" t="s">
        <v>1274</v>
      </c>
      <c r="K754" s="50">
        <v>227.0</v>
      </c>
      <c r="L754" s="29" t="s">
        <v>1779</v>
      </c>
      <c r="M754" s="22" t="s">
        <v>669</v>
      </c>
      <c r="N754" s="34"/>
      <c r="O754" s="48"/>
      <c r="P754" s="51"/>
      <c r="Q754" s="51"/>
      <c r="R754" s="34"/>
      <c r="S754" s="34"/>
      <c r="T754" s="34"/>
      <c r="U754" s="34">
        <v>842.0</v>
      </c>
      <c r="V754" s="29" t="s">
        <v>107</v>
      </c>
      <c r="W754" s="34"/>
      <c r="X754" s="29"/>
    </row>
    <row r="755" ht="15.75" customHeight="1">
      <c r="A755" s="27" t="s">
        <v>660</v>
      </c>
      <c r="B755" s="22" t="s">
        <v>1540</v>
      </c>
      <c r="C755" s="53" t="s">
        <v>1478</v>
      </c>
      <c r="D755" s="53" t="s">
        <v>44</v>
      </c>
      <c r="E755" s="47" t="s">
        <v>1772</v>
      </c>
      <c r="F755" s="49" t="s">
        <v>1777</v>
      </c>
      <c r="G755" s="29" t="s">
        <v>749</v>
      </c>
      <c r="H755" s="48" t="s">
        <v>1780</v>
      </c>
      <c r="I755" s="48" t="s">
        <v>1278</v>
      </c>
      <c r="J755" s="49" t="s">
        <v>1279</v>
      </c>
      <c r="K755" s="50">
        <v>228.0</v>
      </c>
      <c r="L755" s="29" t="s">
        <v>1280</v>
      </c>
      <c r="M755" s="22" t="s">
        <v>669</v>
      </c>
      <c r="N755" s="34"/>
      <c r="O755" s="48"/>
      <c r="P755" s="51"/>
      <c r="Q755" s="51"/>
      <c r="R755" s="34"/>
      <c r="S755" s="34"/>
      <c r="T755" s="34"/>
      <c r="U755" s="34">
        <v>843.0</v>
      </c>
      <c r="V755" s="29" t="s">
        <v>107</v>
      </c>
      <c r="W755" s="34"/>
      <c r="X755" s="29"/>
    </row>
    <row r="756" ht="15.75" customHeight="1">
      <c r="A756" s="27" t="s">
        <v>660</v>
      </c>
      <c r="B756" s="22" t="s">
        <v>1540</v>
      </c>
      <c r="C756" s="53" t="s">
        <v>1478</v>
      </c>
      <c r="D756" s="53" t="s">
        <v>44</v>
      </c>
      <c r="E756" s="47" t="s">
        <v>1772</v>
      </c>
      <c r="F756" s="49" t="s">
        <v>1777</v>
      </c>
      <c r="G756" s="29" t="s">
        <v>749</v>
      </c>
      <c r="H756" s="48" t="s">
        <v>1780</v>
      </c>
      <c r="I756" s="48" t="s">
        <v>1278</v>
      </c>
      <c r="J756" s="49" t="s">
        <v>1279</v>
      </c>
      <c r="K756" s="50">
        <v>229.0</v>
      </c>
      <c r="L756" s="29" t="s">
        <v>1781</v>
      </c>
      <c r="M756" s="22" t="s">
        <v>669</v>
      </c>
      <c r="N756" s="34"/>
      <c r="O756" s="48"/>
      <c r="P756" s="51"/>
      <c r="Q756" s="51"/>
      <c r="R756" s="34"/>
      <c r="S756" s="34"/>
      <c r="T756" s="34"/>
      <c r="U756" s="34">
        <v>844.0</v>
      </c>
      <c r="V756" s="29" t="s">
        <v>107</v>
      </c>
      <c r="W756" s="34"/>
      <c r="X756" s="29"/>
    </row>
    <row r="757" ht="15.75" customHeight="1">
      <c r="A757" s="27" t="s">
        <v>660</v>
      </c>
      <c r="B757" s="22" t="s">
        <v>1540</v>
      </c>
      <c r="C757" s="53" t="s">
        <v>55</v>
      </c>
      <c r="D757" s="53" t="s">
        <v>44</v>
      </c>
      <c r="E757" s="47" t="s">
        <v>1772</v>
      </c>
      <c r="F757" s="49" t="s">
        <v>1504</v>
      </c>
      <c r="G757" s="29" t="s">
        <v>664</v>
      </c>
      <c r="H757" s="48" t="s">
        <v>1782</v>
      </c>
      <c r="I757" s="48" t="s">
        <v>1283</v>
      </c>
      <c r="J757" s="49" t="s">
        <v>1284</v>
      </c>
      <c r="K757" s="50">
        <v>230.0</v>
      </c>
      <c r="L757" s="29" t="s">
        <v>1783</v>
      </c>
      <c r="M757" s="22" t="s">
        <v>669</v>
      </c>
      <c r="N757" s="34"/>
      <c r="O757" s="48"/>
      <c r="P757" s="51"/>
      <c r="Q757" s="51"/>
      <c r="R757" s="34"/>
      <c r="S757" s="34"/>
      <c r="T757" s="34"/>
      <c r="U757" s="34">
        <v>851.0</v>
      </c>
      <c r="V757" s="29" t="s">
        <v>107</v>
      </c>
      <c r="W757" s="34"/>
      <c r="X757" s="29"/>
    </row>
    <row r="758" ht="15.75" customHeight="1">
      <c r="A758" s="27" t="s">
        <v>660</v>
      </c>
      <c r="B758" s="22" t="s">
        <v>1540</v>
      </c>
      <c r="C758" s="53" t="s">
        <v>55</v>
      </c>
      <c r="D758" s="53" t="s">
        <v>46</v>
      </c>
      <c r="E758" s="47" t="s">
        <v>1286</v>
      </c>
      <c r="F758" s="49" t="s">
        <v>1784</v>
      </c>
      <c r="G758" s="29" t="s">
        <v>714</v>
      </c>
      <c r="H758" s="48" t="s">
        <v>1505</v>
      </c>
      <c r="I758" s="48" t="s">
        <v>1289</v>
      </c>
      <c r="J758" s="49" t="s">
        <v>1290</v>
      </c>
      <c r="K758" s="50">
        <v>231.0</v>
      </c>
      <c r="L758" s="29" t="s">
        <v>1291</v>
      </c>
      <c r="M758" s="22" t="s">
        <v>669</v>
      </c>
      <c r="N758" s="34"/>
      <c r="O758" s="48"/>
      <c r="P758" s="51"/>
      <c r="Q758" s="51"/>
      <c r="R758" s="34"/>
      <c r="S758" s="34"/>
      <c r="T758" s="34"/>
      <c r="U758" s="34">
        <v>853.0</v>
      </c>
      <c r="V758" s="29" t="s">
        <v>107</v>
      </c>
      <c r="W758" s="34"/>
      <c r="X758" s="29"/>
    </row>
    <row r="759" ht="15.75" customHeight="1">
      <c r="A759" s="27" t="s">
        <v>660</v>
      </c>
      <c r="B759" s="22" t="s">
        <v>1540</v>
      </c>
      <c r="C759" s="53" t="s">
        <v>55</v>
      </c>
      <c r="D759" s="53" t="s">
        <v>46</v>
      </c>
      <c r="E759" s="47" t="s">
        <v>1286</v>
      </c>
      <c r="F759" s="49" t="s">
        <v>1784</v>
      </c>
      <c r="G759" s="29" t="s">
        <v>714</v>
      </c>
      <c r="H759" s="48" t="s">
        <v>1785</v>
      </c>
      <c r="I759" s="48" t="s">
        <v>1294</v>
      </c>
      <c r="J759" s="49" t="s">
        <v>1295</v>
      </c>
      <c r="K759" s="50">
        <v>232.0</v>
      </c>
      <c r="L759" s="29" t="s">
        <v>1296</v>
      </c>
      <c r="M759" s="22" t="s">
        <v>669</v>
      </c>
      <c r="N759" s="34"/>
      <c r="O759" s="48"/>
      <c r="P759" s="51"/>
      <c r="Q759" s="51"/>
      <c r="R759" s="34"/>
      <c r="S759" s="34"/>
      <c r="T759" s="34"/>
      <c r="U759" s="34">
        <v>854.0</v>
      </c>
      <c r="V759" s="29" t="s">
        <v>107</v>
      </c>
      <c r="W759" s="34"/>
      <c r="X759" s="29"/>
    </row>
    <row r="760" ht="15.75" customHeight="1">
      <c r="A760" s="27" t="s">
        <v>660</v>
      </c>
      <c r="B760" s="22" t="s">
        <v>1540</v>
      </c>
      <c r="C760" s="53" t="s">
        <v>55</v>
      </c>
      <c r="D760" s="53" t="s">
        <v>46</v>
      </c>
      <c r="E760" s="47" t="s">
        <v>1286</v>
      </c>
      <c r="F760" s="49" t="s">
        <v>1516</v>
      </c>
      <c r="G760" s="29" t="s">
        <v>749</v>
      </c>
      <c r="H760" s="48" t="s">
        <v>1786</v>
      </c>
      <c r="I760" s="48" t="s">
        <v>1311</v>
      </c>
      <c r="J760" s="49" t="s">
        <v>1312</v>
      </c>
      <c r="K760" s="50">
        <v>233.0</v>
      </c>
      <c r="L760" s="29" t="s">
        <v>1313</v>
      </c>
      <c r="M760" s="22" t="s">
        <v>669</v>
      </c>
      <c r="N760" s="34"/>
      <c r="O760" s="48"/>
      <c r="P760" s="51"/>
      <c r="Q760" s="51"/>
      <c r="R760" s="34"/>
      <c r="S760" s="34"/>
      <c r="T760" s="34"/>
      <c r="U760" s="34">
        <v>856.0</v>
      </c>
      <c r="V760" s="29" t="s">
        <v>107</v>
      </c>
      <c r="W760" s="34"/>
      <c r="X760" s="29"/>
    </row>
    <row r="761" ht="15.75" customHeight="1">
      <c r="A761" s="27" t="s">
        <v>660</v>
      </c>
      <c r="B761" s="22" t="s">
        <v>1540</v>
      </c>
      <c r="C761" s="53" t="s">
        <v>55</v>
      </c>
      <c r="D761" s="53" t="s">
        <v>46</v>
      </c>
      <c r="E761" s="47" t="s">
        <v>1286</v>
      </c>
      <c r="F761" s="49" t="s">
        <v>1516</v>
      </c>
      <c r="G761" s="29" t="s">
        <v>749</v>
      </c>
      <c r="H761" s="48" t="s">
        <v>1517</v>
      </c>
      <c r="I761" s="48" t="s">
        <v>1299</v>
      </c>
      <c r="J761" s="49" t="s">
        <v>1300</v>
      </c>
      <c r="K761" s="50">
        <v>234.0</v>
      </c>
      <c r="L761" s="29" t="s">
        <v>1787</v>
      </c>
      <c r="M761" s="22" t="s">
        <v>669</v>
      </c>
      <c r="N761" s="34"/>
      <c r="O761" s="48"/>
      <c r="P761" s="51"/>
      <c r="Q761" s="51"/>
      <c r="R761" s="34"/>
      <c r="S761" s="34"/>
      <c r="T761" s="34"/>
      <c r="U761" s="34">
        <v>857.0</v>
      </c>
      <c r="V761" s="29" t="s">
        <v>107</v>
      </c>
      <c r="W761" s="34"/>
      <c r="X761" s="29"/>
    </row>
    <row r="762" ht="15.75" customHeight="1">
      <c r="A762" s="27" t="s">
        <v>660</v>
      </c>
      <c r="B762" s="22" t="s">
        <v>1540</v>
      </c>
      <c r="C762" s="53" t="s">
        <v>55</v>
      </c>
      <c r="D762" s="53" t="s">
        <v>46</v>
      </c>
      <c r="E762" s="47" t="s">
        <v>1286</v>
      </c>
      <c r="F762" s="49" t="s">
        <v>1516</v>
      </c>
      <c r="G762" s="29" t="s">
        <v>749</v>
      </c>
      <c r="H762" s="48" t="s">
        <v>1521</v>
      </c>
      <c r="I762" s="48" t="s">
        <v>1303</v>
      </c>
      <c r="J762" s="49" t="s">
        <v>1788</v>
      </c>
      <c r="K762" s="50">
        <v>235.0</v>
      </c>
      <c r="L762" s="29" t="s">
        <v>1789</v>
      </c>
      <c r="M762" s="22" t="s">
        <v>669</v>
      </c>
      <c r="N762" s="34"/>
      <c r="O762" s="48"/>
      <c r="P762" s="51"/>
      <c r="Q762" s="51"/>
      <c r="R762" s="34"/>
      <c r="S762" s="34"/>
      <c r="T762" s="34"/>
      <c r="U762" s="34">
        <v>858.0</v>
      </c>
      <c r="V762" s="29" t="s">
        <v>107</v>
      </c>
      <c r="W762" s="34"/>
      <c r="X762" s="29"/>
    </row>
    <row r="763" ht="15.75" customHeight="1">
      <c r="A763" s="27" t="s">
        <v>660</v>
      </c>
      <c r="B763" s="22" t="s">
        <v>1540</v>
      </c>
      <c r="C763" s="53" t="s">
        <v>57</v>
      </c>
      <c r="D763" s="53" t="s">
        <v>46</v>
      </c>
      <c r="E763" s="47" t="s">
        <v>1286</v>
      </c>
      <c r="F763" s="49" t="s">
        <v>1532</v>
      </c>
      <c r="G763" s="29" t="s">
        <v>664</v>
      </c>
      <c r="H763" s="48" t="s">
        <v>1525</v>
      </c>
      <c r="I763" s="48" t="s">
        <v>1307</v>
      </c>
      <c r="J763" s="49" t="s">
        <v>1308</v>
      </c>
      <c r="K763" s="50">
        <v>236.0</v>
      </c>
      <c r="L763" s="29" t="s">
        <v>1790</v>
      </c>
      <c r="M763" s="22" t="s">
        <v>669</v>
      </c>
      <c r="N763" s="34"/>
      <c r="O763" s="48"/>
      <c r="P763" s="51"/>
      <c r="Q763" s="51"/>
      <c r="R763" s="34"/>
      <c r="S763" s="34"/>
      <c r="T763" s="34"/>
      <c r="U763" s="34">
        <v>865.0</v>
      </c>
      <c r="V763" s="29" t="s">
        <v>107</v>
      </c>
      <c r="W763" s="34"/>
      <c r="X763" s="29"/>
    </row>
    <row r="764" ht="15.75" customHeight="1">
      <c r="A764" s="27" t="s">
        <v>660</v>
      </c>
      <c r="B764" s="22" t="s">
        <v>1540</v>
      </c>
      <c r="C764" s="53" t="s">
        <v>57</v>
      </c>
      <c r="D764" s="53" t="s">
        <v>48</v>
      </c>
      <c r="E764" s="47" t="s">
        <v>1314</v>
      </c>
      <c r="F764" s="49" t="s">
        <v>1532</v>
      </c>
      <c r="G764" s="29" t="s">
        <v>664</v>
      </c>
      <c r="H764" s="48" t="s">
        <v>1533</v>
      </c>
      <c r="I764" s="48" t="s">
        <v>1317</v>
      </c>
      <c r="J764" s="49" t="s">
        <v>1318</v>
      </c>
      <c r="K764" s="50">
        <v>237.0</v>
      </c>
      <c r="L764" s="29" t="s">
        <v>1319</v>
      </c>
      <c r="M764" s="22" t="s">
        <v>669</v>
      </c>
      <c r="N764" s="34"/>
      <c r="O764" s="48"/>
      <c r="P764" s="51"/>
      <c r="Q764" s="51"/>
      <c r="R764" s="34"/>
      <c r="S764" s="34"/>
      <c r="T764" s="34"/>
      <c r="U764" s="34">
        <v>866.0</v>
      </c>
      <c r="V764" s="29" t="s">
        <v>107</v>
      </c>
      <c r="W764" s="34"/>
      <c r="X764" s="29"/>
    </row>
    <row r="765" ht="15.75" customHeight="1">
      <c r="A765" s="27" t="s">
        <v>660</v>
      </c>
      <c r="B765" s="22" t="s">
        <v>1540</v>
      </c>
      <c r="C765" s="53" t="s">
        <v>57</v>
      </c>
      <c r="D765" s="53" t="s">
        <v>48</v>
      </c>
      <c r="E765" s="47" t="s">
        <v>1314</v>
      </c>
      <c r="F765" s="49" t="s">
        <v>1532</v>
      </c>
      <c r="G765" s="29" t="s">
        <v>664</v>
      </c>
      <c r="H765" s="48" t="s">
        <v>1533</v>
      </c>
      <c r="I765" s="48" t="s">
        <v>1317</v>
      </c>
      <c r="J765" s="49" t="s">
        <v>1318</v>
      </c>
      <c r="K765" s="50">
        <v>238.0</v>
      </c>
      <c r="L765" s="29" t="s">
        <v>1320</v>
      </c>
      <c r="M765" s="22" t="s">
        <v>669</v>
      </c>
      <c r="N765" s="34"/>
      <c r="O765" s="48"/>
      <c r="P765" s="51"/>
      <c r="Q765" s="51"/>
      <c r="R765" s="34"/>
      <c r="S765" s="34"/>
      <c r="T765" s="34"/>
      <c r="U765" s="34">
        <v>867.0</v>
      </c>
      <c r="V765" s="29" t="s">
        <v>107</v>
      </c>
      <c r="W765" s="34"/>
      <c r="X765" s="29"/>
    </row>
    <row r="766" ht="15.75" customHeight="1">
      <c r="A766" s="27" t="s">
        <v>660</v>
      </c>
      <c r="B766" s="22" t="s">
        <v>1540</v>
      </c>
      <c r="C766" s="53" t="s">
        <v>57</v>
      </c>
      <c r="D766" s="53" t="s">
        <v>48</v>
      </c>
      <c r="E766" s="47" t="s">
        <v>1314</v>
      </c>
      <c r="F766" s="49" t="s">
        <v>1532</v>
      </c>
      <c r="G766" s="29" t="s">
        <v>664</v>
      </c>
      <c r="H766" s="48" t="s">
        <v>1791</v>
      </c>
      <c r="I766" s="48" t="s">
        <v>1333</v>
      </c>
      <c r="J766" s="49" t="s">
        <v>1334</v>
      </c>
      <c r="K766" s="50">
        <v>239.0</v>
      </c>
      <c r="L766" s="29" t="s">
        <v>1335</v>
      </c>
      <c r="M766" s="22" t="s">
        <v>669</v>
      </c>
      <c r="N766" s="34"/>
      <c r="O766" s="48"/>
      <c r="P766" s="51"/>
      <c r="Q766" s="51"/>
      <c r="R766" s="34"/>
      <c r="S766" s="34"/>
      <c r="T766" s="34"/>
      <c r="U766" s="34">
        <v>868.0</v>
      </c>
      <c r="V766" s="29" t="s">
        <v>107</v>
      </c>
      <c r="W766" s="34"/>
      <c r="X766" s="29"/>
    </row>
    <row r="767" ht="15.75" customHeight="1">
      <c r="A767" s="27" t="s">
        <v>660</v>
      </c>
      <c r="B767" s="22" t="s">
        <v>1540</v>
      </c>
      <c r="C767" s="53" t="s">
        <v>57</v>
      </c>
      <c r="D767" s="53" t="s">
        <v>48</v>
      </c>
      <c r="E767" s="47" t="s">
        <v>1314</v>
      </c>
      <c r="F767" s="49" t="s">
        <v>1532</v>
      </c>
      <c r="G767" s="29" t="s">
        <v>664</v>
      </c>
      <c r="H767" s="48" t="s">
        <v>1792</v>
      </c>
      <c r="I767" s="48" t="s">
        <v>1338</v>
      </c>
      <c r="J767" s="49" t="s">
        <v>1793</v>
      </c>
      <c r="K767" s="50">
        <v>240.0</v>
      </c>
      <c r="L767" s="29" t="s">
        <v>1340</v>
      </c>
      <c r="M767" s="22" t="s">
        <v>669</v>
      </c>
      <c r="N767" s="34"/>
      <c r="O767" s="48"/>
      <c r="P767" s="51"/>
      <c r="Q767" s="51"/>
      <c r="R767" s="34"/>
      <c r="S767" s="34"/>
      <c r="T767" s="34"/>
      <c r="U767" s="34">
        <v>869.0</v>
      </c>
      <c r="V767" s="29" t="s">
        <v>107</v>
      </c>
      <c r="W767" s="34"/>
      <c r="X767" s="29"/>
    </row>
    <row r="768" ht="15.75" customHeight="1">
      <c r="A768" s="27" t="s">
        <v>660</v>
      </c>
      <c r="B768" s="22" t="s">
        <v>1540</v>
      </c>
      <c r="C768" s="53" t="s">
        <v>57</v>
      </c>
      <c r="D768" s="53" t="s">
        <v>48</v>
      </c>
      <c r="E768" s="47" t="s">
        <v>1314</v>
      </c>
      <c r="F768" s="49" t="s">
        <v>1532</v>
      </c>
      <c r="G768" s="29" t="s">
        <v>664</v>
      </c>
      <c r="H768" s="48" t="s">
        <v>1792</v>
      </c>
      <c r="I768" s="48" t="s">
        <v>1338</v>
      </c>
      <c r="J768" s="49" t="s">
        <v>1793</v>
      </c>
      <c r="K768" s="50">
        <v>241.0</v>
      </c>
      <c r="L768" s="29" t="s">
        <v>1341</v>
      </c>
      <c r="M768" s="22" t="s">
        <v>669</v>
      </c>
      <c r="N768" s="34"/>
      <c r="O768" s="48"/>
      <c r="P768" s="51"/>
      <c r="Q768" s="51"/>
      <c r="R768" s="34"/>
      <c r="S768" s="34"/>
      <c r="T768" s="34"/>
      <c r="U768" s="34">
        <v>870.0</v>
      </c>
      <c r="V768" s="29" t="s">
        <v>107</v>
      </c>
      <c r="W768" s="34"/>
      <c r="X768" s="29"/>
    </row>
    <row r="769" ht="15.75" customHeight="1">
      <c r="A769" s="27" t="s">
        <v>660</v>
      </c>
      <c r="B769" s="22" t="s">
        <v>1540</v>
      </c>
      <c r="C769" s="53" t="s">
        <v>57</v>
      </c>
      <c r="D769" s="53" t="s">
        <v>48</v>
      </c>
      <c r="E769" s="47" t="s">
        <v>1314</v>
      </c>
      <c r="F769" s="49" t="s">
        <v>1532</v>
      </c>
      <c r="G769" s="29" t="s">
        <v>664</v>
      </c>
      <c r="H769" s="48" t="s">
        <v>1792</v>
      </c>
      <c r="I769" s="48" t="s">
        <v>1338</v>
      </c>
      <c r="J769" s="49" t="s">
        <v>1793</v>
      </c>
      <c r="K769" s="50">
        <v>242.0</v>
      </c>
      <c r="L769" s="29" t="s">
        <v>1342</v>
      </c>
      <c r="M769" s="22" t="s">
        <v>669</v>
      </c>
      <c r="N769" s="34"/>
      <c r="O769" s="48"/>
      <c r="P769" s="51"/>
      <c r="Q769" s="51"/>
      <c r="R769" s="34"/>
      <c r="S769" s="34"/>
      <c r="T769" s="34"/>
      <c r="U769" s="34">
        <v>871.0</v>
      </c>
      <c r="V769" s="29" t="s">
        <v>107</v>
      </c>
      <c r="W769" s="34"/>
      <c r="X769" s="29"/>
    </row>
    <row r="770" ht="15.75" customHeight="1">
      <c r="A770" s="27" t="s">
        <v>660</v>
      </c>
      <c r="B770" s="22" t="s">
        <v>1540</v>
      </c>
      <c r="C770" s="53" t="s">
        <v>57</v>
      </c>
      <c r="D770" s="53" t="s">
        <v>48</v>
      </c>
      <c r="E770" s="47" t="s">
        <v>1314</v>
      </c>
      <c r="F770" s="49" t="s">
        <v>1532</v>
      </c>
      <c r="G770" s="29" t="s">
        <v>664</v>
      </c>
      <c r="H770" s="48" t="s">
        <v>1794</v>
      </c>
      <c r="I770" s="48" t="s">
        <v>1344</v>
      </c>
      <c r="J770" s="49" t="s">
        <v>1795</v>
      </c>
      <c r="K770" s="50">
        <v>243.0</v>
      </c>
      <c r="L770" s="29" t="s">
        <v>1796</v>
      </c>
      <c r="M770" s="22" t="s">
        <v>669</v>
      </c>
      <c r="N770" s="34"/>
      <c r="O770" s="48"/>
      <c r="P770" s="51"/>
      <c r="Q770" s="51"/>
      <c r="R770" s="34"/>
      <c r="S770" s="34"/>
      <c r="T770" s="34"/>
      <c r="U770" s="34">
        <v>872.0</v>
      </c>
      <c r="V770" s="29" t="s">
        <v>107</v>
      </c>
      <c r="W770" s="34"/>
      <c r="X770" s="29"/>
    </row>
    <row r="771" ht="15.75" customHeight="1">
      <c r="A771" s="27" t="s">
        <v>660</v>
      </c>
      <c r="B771" s="22" t="s">
        <v>1540</v>
      </c>
      <c r="C771" s="53" t="s">
        <v>57</v>
      </c>
      <c r="D771" s="53" t="s">
        <v>48</v>
      </c>
      <c r="E771" s="47" t="s">
        <v>1314</v>
      </c>
      <c r="F771" s="49" t="s">
        <v>1532</v>
      </c>
      <c r="G771" s="29" t="s">
        <v>664</v>
      </c>
      <c r="H771" s="48" t="s">
        <v>1797</v>
      </c>
      <c r="I771" s="48" t="s">
        <v>1348</v>
      </c>
      <c r="J771" s="49" t="s">
        <v>1798</v>
      </c>
      <c r="K771" s="50">
        <v>244.0</v>
      </c>
      <c r="L771" s="29" t="s">
        <v>1350</v>
      </c>
      <c r="M771" s="22" t="s">
        <v>669</v>
      </c>
      <c r="N771" s="34"/>
      <c r="O771" s="48"/>
      <c r="P771" s="51"/>
      <c r="Q771" s="51"/>
      <c r="R771" s="34"/>
      <c r="S771" s="34"/>
      <c r="T771" s="34"/>
      <c r="U771" s="34">
        <v>873.0</v>
      </c>
      <c r="V771" s="29" t="s">
        <v>107</v>
      </c>
      <c r="W771" s="34"/>
      <c r="X771" s="29"/>
    </row>
    <row r="772" ht="15.75" customHeight="1">
      <c r="A772" s="27" t="s">
        <v>660</v>
      </c>
      <c r="B772" s="22" t="s">
        <v>1540</v>
      </c>
      <c r="C772" s="53" t="s">
        <v>57</v>
      </c>
      <c r="D772" s="53" t="s">
        <v>48</v>
      </c>
      <c r="E772" s="47" t="s">
        <v>1314</v>
      </c>
      <c r="F772" s="49" t="s">
        <v>1799</v>
      </c>
      <c r="G772" s="29" t="s">
        <v>714</v>
      </c>
      <c r="H772" s="48" t="s">
        <v>1797</v>
      </c>
      <c r="I772" s="48" t="s">
        <v>1348</v>
      </c>
      <c r="J772" s="49" t="s">
        <v>1798</v>
      </c>
      <c r="K772" s="50">
        <v>245.0</v>
      </c>
      <c r="L772" s="29" t="s">
        <v>1351</v>
      </c>
      <c r="M772" s="22" t="s">
        <v>669</v>
      </c>
      <c r="N772" s="34"/>
      <c r="O772" s="48"/>
      <c r="P772" s="51"/>
      <c r="Q772" s="51"/>
      <c r="R772" s="34"/>
      <c r="S772" s="34"/>
      <c r="T772" s="34"/>
      <c r="U772" s="34">
        <v>875.0</v>
      </c>
      <c r="V772" s="29" t="s">
        <v>107</v>
      </c>
      <c r="W772" s="34"/>
      <c r="X772" s="29"/>
    </row>
    <row r="773" ht="15.75" customHeight="1">
      <c r="A773" s="27" t="s">
        <v>660</v>
      </c>
      <c r="B773" s="22" t="s">
        <v>1540</v>
      </c>
      <c r="C773" s="53" t="s">
        <v>57</v>
      </c>
      <c r="D773" s="53" t="s">
        <v>48</v>
      </c>
      <c r="E773" s="47" t="s">
        <v>1314</v>
      </c>
      <c r="F773" s="49" t="s">
        <v>1799</v>
      </c>
      <c r="G773" s="29" t="s">
        <v>714</v>
      </c>
      <c r="H773" s="48" t="s">
        <v>1800</v>
      </c>
      <c r="I773" s="48" t="s">
        <v>1359</v>
      </c>
      <c r="J773" s="49" t="s">
        <v>1360</v>
      </c>
      <c r="K773" s="50">
        <v>246.0</v>
      </c>
      <c r="L773" s="29" t="s">
        <v>1801</v>
      </c>
      <c r="M773" s="22" t="s">
        <v>669</v>
      </c>
      <c r="N773" s="34"/>
      <c r="O773" s="48"/>
      <c r="P773" s="51"/>
      <c r="Q773" s="51"/>
      <c r="R773" s="34"/>
      <c r="S773" s="34"/>
      <c r="T773" s="34"/>
      <c r="U773" s="34">
        <v>876.0</v>
      </c>
      <c r="V773" s="49" t="s">
        <v>107</v>
      </c>
      <c r="W773" s="34"/>
      <c r="X773" s="29"/>
    </row>
    <row r="774" ht="15.75" customHeight="1">
      <c r="A774" s="27" t="s">
        <v>660</v>
      </c>
      <c r="B774" s="22" t="s">
        <v>1540</v>
      </c>
      <c r="C774" s="53" t="s">
        <v>57</v>
      </c>
      <c r="D774" s="53" t="s">
        <v>48</v>
      </c>
      <c r="E774" s="47" t="s">
        <v>1314</v>
      </c>
      <c r="F774" s="49" t="s">
        <v>1799</v>
      </c>
      <c r="G774" s="29" t="s">
        <v>714</v>
      </c>
      <c r="H774" s="48" t="s">
        <v>1802</v>
      </c>
      <c r="I774" s="48" t="s">
        <v>1365</v>
      </c>
      <c r="J774" s="49" t="s">
        <v>1803</v>
      </c>
      <c r="K774" s="50">
        <v>247.0</v>
      </c>
      <c r="L774" s="29" t="s">
        <v>1367</v>
      </c>
      <c r="M774" s="22" t="s">
        <v>669</v>
      </c>
      <c r="N774" s="34"/>
      <c r="O774" s="48"/>
      <c r="P774" s="51"/>
      <c r="Q774" s="51"/>
      <c r="R774" s="34"/>
      <c r="S774" s="34"/>
      <c r="T774" s="34"/>
      <c r="U774" s="34">
        <v>877.0</v>
      </c>
      <c r="V774" s="29" t="s">
        <v>107</v>
      </c>
      <c r="W774" s="34"/>
      <c r="X774" s="49"/>
    </row>
    <row r="775" ht="15.75" customHeight="1">
      <c r="A775" s="27" t="s">
        <v>660</v>
      </c>
      <c r="B775" s="22" t="s">
        <v>1540</v>
      </c>
      <c r="C775" s="53" t="s">
        <v>57</v>
      </c>
      <c r="D775" s="53" t="s">
        <v>48</v>
      </c>
      <c r="E775" s="47" t="s">
        <v>1314</v>
      </c>
      <c r="F775" s="49" t="s">
        <v>1799</v>
      </c>
      <c r="G775" s="29" t="s">
        <v>714</v>
      </c>
      <c r="H775" s="48" t="s">
        <v>1802</v>
      </c>
      <c r="I775" s="48" t="s">
        <v>1365</v>
      </c>
      <c r="J775" s="49" t="s">
        <v>1803</v>
      </c>
      <c r="K775" s="50">
        <v>248.0</v>
      </c>
      <c r="L775" s="29" t="s">
        <v>1368</v>
      </c>
      <c r="M775" s="22" t="s">
        <v>669</v>
      </c>
      <c r="N775" s="34"/>
      <c r="O775" s="48"/>
      <c r="P775" s="51"/>
      <c r="Q775" s="51"/>
      <c r="R775" s="34"/>
      <c r="S775" s="34"/>
      <c r="T775" s="34"/>
      <c r="U775" s="34">
        <v>878.0</v>
      </c>
      <c r="V775" s="29" t="s">
        <v>107</v>
      </c>
      <c r="W775" s="34"/>
      <c r="X775" s="29"/>
    </row>
    <row r="776" ht="15.75" customHeight="1">
      <c r="A776" s="27" t="s">
        <v>660</v>
      </c>
      <c r="B776" s="22" t="s">
        <v>1540</v>
      </c>
      <c r="C776" s="53" t="s">
        <v>57</v>
      </c>
      <c r="D776" s="53" t="s">
        <v>48</v>
      </c>
      <c r="E776" s="47" t="s">
        <v>1314</v>
      </c>
      <c r="F776" s="49" t="s">
        <v>1804</v>
      </c>
      <c r="G776" s="49" t="s">
        <v>749</v>
      </c>
      <c r="H776" s="48" t="s">
        <v>1802</v>
      </c>
      <c r="I776" s="48" t="s">
        <v>1365</v>
      </c>
      <c r="J776" s="49" t="s">
        <v>1803</v>
      </c>
      <c r="K776" s="50">
        <v>249.0</v>
      </c>
      <c r="L776" s="29" t="s">
        <v>1805</v>
      </c>
      <c r="M776" s="22" t="s">
        <v>669</v>
      </c>
      <c r="N776" s="34"/>
      <c r="O776" s="48"/>
      <c r="P776" s="51"/>
      <c r="Q776" s="51"/>
      <c r="R776" s="34"/>
      <c r="S776" s="34"/>
      <c r="T776" s="34"/>
      <c r="U776" s="34">
        <v>880.0</v>
      </c>
      <c r="V776" s="29" t="s">
        <v>107</v>
      </c>
      <c r="W776" s="34"/>
      <c r="X776" s="29"/>
    </row>
    <row r="777" ht="15.75" customHeight="1">
      <c r="A777" s="27" t="s">
        <v>660</v>
      </c>
      <c r="B777" s="22" t="s">
        <v>1540</v>
      </c>
      <c r="C777" s="53"/>
      <c r="D777" s="53" t="s">
        <v>48</v>
      </c>
      <c r="E777" s="47" t="s">
        <v>1314</v>
      </c>
      <c r="F777" s="49"/>
      <c r="G777" s="49"/>
      <c r="H777" s="48" t="s">
        <v>1806</v>
      </c>
      <c r="I777" s="48" t="s">
        <v>1380</v>
      </c>
      <c r="J777" s="49" t="s">
        <v>1381</v>
      </c>
      <c r="K777" s="55">
        <v>250.0</v>
      </c>
      <c r="L777" s="29" t="s">
        <v>1382</v>
      </c>
      <c r="M777" s="22" t="s">
        <v>669</v>
      </c>
      <c r="N777" s="34"/>
      <c r="O777" s="48"/>
      <c r="P777" s="51"/>
      <c r="Q777" s="51"/>
      <c r="R777" s="34"/>
      <c r="S777" s="34"/>
      <c r="T777" s="34"/>
      <c r="U777" s="34"/>
      <c r="V777" s="29"/>
      <c r="W777" s="34"/>
      <c r="X777" s="29"/>
    </row>
    <row r="778" ht="15.75" customHeight="1">
      <c r="A778" s="27"/>
      <c r="B778" s="22"/>
      <c r="C778" s="53"/>
      <c r="D778" s="53"/>
      <c r="E778" s="40"/>
      <c r="F778" s="49"/>
      <c r="G778" s="49"/>
      <c r="H778" s="40"/>
      <c r="I778" s="40"/>
      <c r="J778" s="49"/>
      <c r="K778" s="50"/>
      <c r="L778" s="29"/>
      <c r="M778" s="29"/>
      <c r="N778" s="34"/>
      <c r="O778" s="48"/>
      <c r="P778" s="51"/>
      <c r="Q778" s="51"/>
      <c r="R778" s="34"/>
      <c r="S778" s="34"/>
      <c r="T778" s="34"/>
      <c r="U778" s="34"/>
      <c r="V778" s="29"/>
      <c r="W778" s="34"/>
      <c r="X778" s="29"/>
    </row>
  </sheetData>
  <autoFilter ref="$A$1:$V$778"/>
  <hyperlinks>
    <hyperlink r:id="rId1" ref="T3"/>
    <hyperlink r:id="rId2" ref="T4"/>
    <hyperlink r:id="rId3" ref="T6"/>
    <hyperlink r:id="rId4" ref="T7"/>
  </hyperlinks>
  <drawing r:id="rId5"/>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32.5"/>
    <col customWidth="1" min="2" max="2" width="20.38"/>
    <col customWidth="1" min="3" max="3" width="19.75"/>
    <col customWidth="1" min="4" max="4" width="26.75"/>
    <col customWidth="1" min="5" max="5" width="37.13"/>
    <col customWidth="1" min="6" max="6" width="19.75"/>
    <col customWidth="1" min="7" max="7" width="58.5"/>
  </cols>
  <sheetData>
    <row r="1">
      <c r="A1" s="56" t="s">
        <v>1807</v>
      </c>
      <c r="B1" s="56"/>
      <c r="C1" s="56"/>
      <c r="D1" s="56"/>
      <c r="E1" s="56"/>
      <c r="F1" s="56"/>
      <c r="G1" s="56"/>
      <c r="H1" s="56"/>
      <c r="I1" s="56"/>
      <c r="J1" s="56"/>
      <c r="K1" s="56"/>
      <c r="L1" s="56"/>
      <c r="M1" s="56"/>
      <c r="N1" s="56"/>
      <c r="O1" s="56"/>
      <c r="P1" s="56"/>
      <c r="Q1" s="56"/>
      <c r="R1" s="56"/>
      <c r="S1" s="56"/>
      <c r="T1" s="56"/>
      <c r="U1" s="56"/>
      <c r="V1" s="56"/>
      <c r="W1" s="56"/>
      <c r="X1" s="56"/>
      <c r="Y1" s="56"/>
    </row>
    <row r="2">
      <c r="A2" s="56" t="s">
        <v>1808</v>
      </c>
      <c r="B2" s="56"/>
      <c r="C2" s="56"/>
      <c r="D2" s="56"/>
      <c r="E2" s="56"/>
      <c r="F2" s="56"/>
      <c r="G2" s="56"/>
      <c r="H2" s="56"/>
      <c r="I2" s="56"/>
      <c r="J2" s="56"/>
      <c r="K2" s="56"/>
      <c r="L2" s="56"/>
      <c r="M2" s="56"/>
      <c r="N2" s="56"/>
      <c r="O2" s="56"/>
      <c r="P2" s="56"/>
      <c r="Q2" s="56"/>
      <c r="R2" s="56"/>
      <c r="S2" s="56"/>
      <c r="T2" s="56"/>
      <c r="U2" s="56"/>
      <c r="V2" s="56"/>
      <c r="W2" s="56"/>
      <c r="X2" s="56"/>
      <c r="Y2" s="56"/>
    </row>
    <row r="3">
      <c r="A3" s="56"/>
      <c r="B3" s="56"/>
      <c r="C3" s="56"/>
      <c r="D3" s="56"/>
      <c r="E3" s="56"/>
      <c r="F3" s="56"/>
      <c r="G3" s="56"/>
      <c r="H3" s="56"/>
      <c r="I3" s="56"/>
      <c r="J3" s="56"/>
      <c r="K3" s="56"/>
      <c r="L3" s="56"/>
      <c r="M3" s="56"/>
      <c r="N3" s="56"/>
      <c r="O3" s="56"/>
      <c r="P3" s="56"/>
      <c r="Q3" s="56"/>
      <c r="R3" s="56"/>
      <c r="S3" s="56"/>
      <c r="T3" s="56"/>
      <c r="U3" s="56"/>
      <c r="V3" s="56"/>
      <c r="W3" s="56"/>
      <c r="X3" s="56"/>
      <c r="Y3" s="56"/>
    </row>
    <row r="4">
      <c r="A4" s="56"/>
      <c r="B4" s="56"/>
      <c r="C4" s="56"/>
      <c r="D4" s="56"/>
      <c r="E4" s="56"/>
      <c r="F4" s="56"/>
      <c r="G4" s="56"/>
      <c r="H4" s="56"/>
      <c r="I4" s="56"/>
      <c r="J4" s="56"/>
      <c r="K4" s="56"/>
      <c r="L4" s="56"/>
      <c r="M4" s="56"/>
      <c r="N4" s="56"/>
      <c r="O4" s="56"/>
      <c r="P4" s="56"/>
      <c r="Q4" s="56"/>
      <c r="R4" s="56"/>
      <c r="S4" s="56"/>
      <c r="T4" s="56"/>
      <c r="U4" s="56"/>
      <c r="V4" s="56"/>
      <c r="W4" s="56"/>
      <c r="X4" s="56"/>
      <c r="Y4" s="56"/>
    </row>
    <row r="5">
      <c r="A5" s="57" t="s">
        <v>1809</v>
      </c>
      <c r="B5" s="58"/>
      <c r="C5" s="58"/>
      <c r="D5" s="58"/>
      <c r="E5" s="58"/>
      <c r="F5" s="58"/>
      <c r="G5" s="58"/>
      <c r="H5" s="58"/>
      <c r="I5" s="58"/>
      <c r="J5" s="58"/>
      <c r="K5" s="58"/>
      <c r="L5" s="58"/>
      <c r="M5" s="58"/>
      <c r="N5" s="58"/>
      <c r="O5" s="58"/>
      <c r="P5" s="58"/>
      <c r="Q5" s="58"/>
      <c r="R5" s="58"/>
      <c r="S5" s="58"/>
      <c r="T5" s="58"/>
      <c r="U5" s="58"/>
      <c r="V5" s="58"/>
      <c r="W5" s="58"/>
      <c r="X5" s="58"/>
      <c r="Y5" s="58"/>
    </row>
    <row r="6">
      <c r="A6" s="59" t="s">
        <v>1810</v>
      </c>
      <c r="B6" s="59" t="s">
        <v>1811</v>
      </c>
      <c r="C6" s="59" t="s">
        <v>1812</v>
      </c>
      <c r="D6" s="59" t="s">
        <v>1813</v>
      </c>
      <c r="E6" s="60" t="s">
        <v>1814</v>
      </c>
      <c r="F6" s="59" t="s">
        <v>1815</v>
      </c>
      <c r="G6" s="58"/>
      <c r="H6" s="58"/>
      <c r="I6" s="58"/>
      <c r="J6" s="58"/>
      <c r="K6" s="58"/>
      <c r="L6" s="58"/>
      <c r="M6" s="58"/>
      <c r="N6" s="58"/>
      <c r="O6" s="58"/>
      <c r="P6" s="58"/>
      <c r="Q6" s="58"/>
      <c r="R6" s="58"/>
      <c r="S6" s="58"/>
      <c r="T6" s="58"/>
      <c r="U6" s="58"/>
      <c r="V6" s="58"/>
      <c r="W6" s="58"/>
      <c r="X6" s="58"/>
      <c r="Y6" s="58"/>
    </row>
    <row r="7">
      <c r="A7" s="61" t="s">
        <v>1808</v>
      </c>
      <c r="B7" s="56" t="s">
        <v>1816</v>
      </c>
      <c r="C7" s="62" t="s">
        <v>36</v>
      </c>
      <c r="D7" s="56" t="s">
        <v>1817</v>
      </c>
      <c r="E7" s="56" t="s">
        <v>1818</v>
      </c>
      <c r="F7" s="62"/>
      <c r="G7" s="58"/>
      <c r="H7" s="58"/>
      <c r="I7" s="58"/>
      <c r="J7" s="58"/>
      <c r="K7" s="58"/>
      <c r="L7" s="58"/>
      <c r="M7" s="58"/>
      <c r="N7" s="58"/>
      <c r="O7" s="58"/>
      <c r="P7" s="58"/>
      <c r="Q7" s="58"/>
      <c r="R7" s="58"/>
      <c r="S7" s="58"/>
      <c r="T7" s="58"/>
      <c r="U7" s="58"/>
      <c r="V7" s="58"/>
      <c r="W7" s="58"/>
      <c r="X7" s="58"/>
      <c r="Y7" s="58"/>
    </row>
    <row r="8">
      <c r="A8" s="63"/>
      <c r="B8" s="56" t="s">
        <v>1816</v>
      </c>
      <c r="C8" s="62" t="s">
        <v>36</v>
      </c>
      <c r="D8" s="56" t="s">
        <v>1817</v>
      </c>
      <c r="E8" s="56" t="s">
        <v>1818</v>
      </c>
      <c r="F8" s="62"/>
      <c r="G8" s="58"/>
      <c r="H8" s="58"/>
      <c r="I8" s="58"/>
      <c r="J8" s="58"/>
      <c r="K8" s="58"/>
      <c r="L8" s="58"/>
      <c r="M8" s="58"/>
      <c r="N8" s="58"/>
      <c r="O8" s="58"/>
      <c r="P8" s="58"/>
      <c r="Q8" s="58"/>
      <c r="R8" s="58"/>
      <c r="S8" s="58"/>
      <c r="T8" s="58"/>
      <c r="U8" s="58"/>
      <c r="V8" s="58"/>
      <c r="W8" s="58"/>
      <c r="X8" s="58"/>
      <c r="Y8" s="58"/>
    </row>
    <row r="9">
      <c r="A9" s="63"/>
      <c r="B9" s="56" t="s">
        <v>1816</v>
      </c>
      <c r="C9" s="62" t="s">
        <v>36</v>
      </c>
      <c r="D9" s="56" t="s">
        <v>1817</v>
      </c>
      <c r="E9" s="56" t="s">
        <v>1818</v>
      </c>
      <c r="F9" s="62"/>
      <c r="G9" s="58"/>
      <c r="H9" s="58"/>
      <c r="I9" s="58"/>
      <c r="J9" s="58"/>
      <c r="K9" s="58"/>
      <c r="L9" s="58"/>
      <c r="M9" s="58"/>
      <c r="N9" s="58"/>
      <c r="O9" s="58"/>
      <c r="P9" s="58"/>
      <c r="Q9" s="58"/>
      <c r="R9" s="58"/>
      <c r="S9" s="58"/>
      <c r="T9" s="58"/>
      <c r="U9" s="58"/>
      <c r="V9" s="58"/>
      <c r="W9" s="58"/>
      <c r="X9" s="58"/>
      <c r="Y9" s="58"/>
    </row>
    <row r="10">
      <c r="A10" s="58"/>
      <c r="B10" s="56" t="s">
        <v>1816</v>
      </c>
      <c r="C10" s="62" t="s">
        <v>36</v>
      </c>
      <c r="D10" s="56" t="s">
        <v>1817</v>
      </c>
      <c r="E10" s="56" t="s">
        <v>1818</v>
      </c>
      <c r="F10" s="58"/>
      <c r="G10" s="58"/>
      <c r="H10" s="58"/>
      <c r="I10" s="58"/>
      <c r="J10" s="58"/>
      <c r="K10" s="58"/>
      <c r="L10" s="58"/>
      <c r="M10" s="58"/>
      <c r="N10" s="58"/>
      <c r="O10" s="58"/>
      <c r="P10" s="58"/>
      <c r="Q10" s="58"/>
      <c r="R10" s="58"/>
      <c r="S10" s="58"/>
      <c r="T10" s="58"/>
      <c r="U10" s="58"/>
      <c r="V10" s="58"/>
      <c r="W10" s="58"/>
      <c r="X10" s="58"/>
      <c r="Y10" s="58"/>
    </row>
    <row r="11">
      <c r="A11" s="64"/>
      <c r="B11" s="58"/>
      <c r="C11" s="58"/>
      <c r="D11" s="58"/>
      <c r="E11" s="58"/>
      <c r="F11" s="58"/>
      <c r="G11" s="58"/>
      <c r="H11" s="58"/>
      <c r="I11" s="58"/>
      <c r="J11" s="58"/>
      <c r="K11" s="58"/>
      <c r="L11" s="58"/>
      <c r="M11" s="58"/>
      <c r="N11" s="58"/>
      <c r="O11" s="58"/>
      <c r="P11" s="58"/>
      <c r="Q11" s="58"/>
      <c r="R11" s="58"/>
      <c r="S11" s="58"/>
      <c r="T11" s="58"/>
      <c r="U11" s="58"/>
      <c r="V11" s="58"/>
      <c r="W11" s="58"/>
      <c r="X11" s="58"/>
      <c r="Y11" s="58"/>
    </row>
    <row r="12">
      <c r="A12" s="64"/>
      <c r="B12" s="58"/>
      <c r="C12" s="58"/>
      <c r="D12" s="58"/>
      <c r="E12" s="58"/>
      <c r="F12" s="58"/>
      <c r="G12" s="58"/>
      <c r="H12" s="58"/>
      <c r="I12" s="58"/>
      <c r="J12" s="58"/>
      <c r="K12" s="58"/>
      <c r="L12" s="58"/>
      <c r="M12" s="58"/>
      <c r="N12" s="58"/>
      <c r="O12" s="58"/>
      <c r="P12" s="58"/>
      <c r="Q12" s="58"/>
      <c r="R12" s="58"/>
      <c r="S12" s="58"/>
      <c r="T12" s="58"/>
      <c r="U12" s="58"/>
      <c r="V12" s="58"/>
      <c r="W12" s="58"/>
      <c r="X12" s="58"/>
      <c r="Y12" s="58"/>
    </row>
    <row r="13" ht="15.75" customHeight="1">
      <c r="A13" s="64" t="s">
        <v>1819</v>
      </c>
      <c r="B13" s="64" t="s">
        <v>1820</v>
      </c>
      <c r="C13" s="64" t="s">
        <v>1821</v>
      </c>
      <c r="D13" s="64" t="s">
        <v>1822</v>
      </c>
      <c r="E13" s="64" t="s">
        <v>1823</v>
      </c>
      <c r="F13" s="64" t="s">
        <v>560</v>
      </c>
      <c r="G13" s="64" t="s">
        <v>1824</v>
      </c>
      <c r="H13" s="64" t="s">
        <v>1825</v>
      </c>
      <c r="I13" s="58"/>
      <c r="J13" s="58"/>
      <c r="K13" s="58"/>
      <c r="L13" s="58"/>
      <c r="M13" s="58"/>
      <c r="N13" s="58"/>
      <c r="O13" s="58"/>
      <c r="P13" s="58"/>
      <c r="Q13" s="58"/>
      <c r="R13" s="58"/>
      <c r="S13" s="58"/>
      <c r="T13" s="58"/>
      <c r="U13" s="58"/>
      <c r="V13" s="58"/>
      <c r="W13" s="58"/>
      <c r="X13" s="58"/>
      <c r="Y13" s="58"/>
    </row>
    <row r="14" ht="15.75" customHeight="1">
      <c r="A14" s="64" t="s">
        <v>1826</v>
      </c>
      <c r="B14" s="65">
        <v>45658.0</v>
      </c>
      <c r="C14" s="64" t="s">
        <v>664</v>
      </c>
      <c r="D14" s="66">
        <v>36892.0</v>
      </c>
      <c r="E14" s="64" t="s">
        <v>666</v>
      </c>
      <c r="F14" s="64" t="s">
        <v>667</v>
      </c>
      <c r="G14" s="64" t="s">
        <v>668</v>
      </c>
      <c r="H14" s="64" t="s">
        <v>134</v>
      </c>
      <c r="I14" s="58"/>
      <c r="J14" s="58"/>
      <c r="K14" s="58"/>
      <c r="L14" s="58"/>
      <c r="M14" s="58"/>
      <c r="N14" s="58"/>
      <c r="O14" s="58"/>
      <c r="P14" s="58"/>
      <c r="Q14" s="58"/>
      <c r="R14" s="58"/>
      <c r="S14" s="58"/>
      <c r="T14" s="58"/>
      <c r="U14" s="58"/>
      <c r="V14" s="58"/>
      <c r="W14" s="58"/>
      <c r="X14" s="58"/>
      <c r="Y14" s="58"/>
    </row>
    <row r="15" ht="15.75" customHeight="1">
      <c r="A15" s="64" t="s">
        <v>1826</v>
      </c>
      <c r="B15" s="65">
        <v>45658.0</v>
      </c>
      <c r="C15" s="64" t="s">
        <v>664</v>
      </c>
      <c r="D15" s="66">
        <v>37257.0</v>
      </c>
      <c r="E15" s="64" t="s">
        <v>671</v>
      </c>
      <c r="F15" s="64" t="s">
        <v>672</v>
      </c>
      <c r="G15" s="64" t="s">
        <v>673</v>
      </c>
      <c r="H15" s="64" t="s">
        <v>142</v>
      </c>
      <c r="I15" s="58"/>
      <c r="J15" s="58"/>
      <c r="K15" s="58"/>
      <c r="L15" s="58"/>
      <c r="M15" s="58"/>
      <c r="N15" s="58"/>
      <c r="O15" s="58"/>
      <c r="P15" s="58"/>
      <c r="Q15" s="58"/>
      <c r="R15" s="58"/>
      <c r="S15" s="58"/>
      <c r="T15" s="58"/>
      <c r="U15" s="58"/>
      <c r="V15" s="58"/>
      <c r="W15" s="58"/>
      <c r="X15" s="58"/>
      <c r="Y15" s="58"/>
    </row>
    <row r="16" ht="15.75" customHeight="1">
      <c r="A16" s="64" t="s">
        <v>1826</v>
      </c>
      <c r="B16" s="65">
        <v>45658.0</v>
      </c>
      <c r="C16" s="64" t="s">
        <v>664</v>
      </c>
      <c r="D16" s="66">
        <v>37257.0</v>
      </c>
      <c r="E16" s="64" t="s">
        <v>671</v>
      </c>
      <c r="F16" s="64" t="s">
        <v>672</v>
      </c>
      <c r="G16" s="64" t="s">
        <v>674</v>
      </c>
      <c r="H16" s="64" t="s">
        <v>142</v>
      </c>
      <c r="I16" s="58"/>
      <c r="J16" s="58"/>
      <c r="K16" s="58"/>
      <c r="L16" s="58"/>
      <c r="M16" s="58"/>
      <c r="N16" s="58"/>
      <c r="O16" s="58"/>
      <c r="P16" s="58"/>
      <c r="Q16" s="58"/>
      <c r="R16" s="58"/>
      <c r="S16" s="58"/>
      <c r="T16" s="58"/>
      <c r="U16" s="58"/>
      <c r="V16" s="58"/>
      <c r="W16" s="58"/>
      <c r="X16" s="58"/>
      <c r="Y16" s="58"/>
    </row>
    <row r="17" ht="15.75" customHeight="1">
      <c r="A17" s="64" t="s">
        <v>1826</v>
      </c>
      <c r="B17" s="65">
        <v>45658.0</v>
      </c>
      <c r="C17" s="64" t="s">
        <v>664</v>
      </c>
      <c r="D17" s="66">
        <v>37257.0</v>
      </c>
      <c r="E17" s="64" t="s">
        <v>671</v>
      </c>
      <c r="F17" s="64" t="s">
        <v>672</v>
      </c>
      <c r="G17" s="64" t="s">
        <v>675</v>
      </c>
      <c r="H17" s="64" t="s">
        <v>142</v>
      </c>
      <c r="I17" s="58"/>
      <c r="J17" s="58"/>
      <c r="K17" s="58"/>
      <c r="L17" s="58"/>
      <c r="M17" s="58"/>
      <c r="N17" s="58"/>
      <c r="O17" s="58"/>
      <c r="P17" s="58"/>
      <c r="Q17" s="58"/>
      <c r="R17" s="58"/>
      <c r="S17" s="58"/>
      <c r="T17" s="58"/>
      <c r="U17" s="58"/>
      <c r="V17" s="58"/>
      <c r="W17" s="58"/>
      <c r="X17" s="58"/>
      <c r="Y17" s="58"/>
    </row>
    <row r="18" ht="15.75" customHeight="1">
      <c r="A18" s="64" t="s">
        <v>1826</v>
      </c>
      <c r="B18" s="65">
        <v>45658.0</v>
      </c>
      <c r="C18" s="64" t="s">
        <v>664</v>
      </c>
      <c r="D18" s="66">
        <v>37257.0</v>
      </c>
      <c r="E18" s="64" t="s">
        <v>671</v>
      </c>
      <c r="F18" s="64" t="s">
        <v>672</v>
      </c>
      <c r="G18" s="64" t="s">
        <v>676</v>
      </c>
      <c r="H18" s="64" t="s">
        <v>1827</v>
      </c>
      <c r="I18" s="58"/>
      <c r="J18" s="58"/>
      <c r="K18" s="58"/>
      <c r="L18" s="58"/>
      <c r="M18" s="58"/>
      <c r="N18" s="58"/>
      <c r="O18" s="58"/>
      <c r="P18" s="58"/>
      <c r="Q18" s="58"/>
      <c r="R18" s="58"/>
      <c r="S18" s="58"/>
      <c r="T18" s="58"/>
      <c r="U18" s="58"/>
      <c r="V18" s="58"/>
      <c r="W18" s="58"/>
      <c r="X18" s="58"/>
      <c r="Y18" s="58"/>
    </row>
    <row r="19" ht="15.75" customHeight="1">
      <c r="A19" s="64" t="s">
        <v>1826</v>
      </c>
      <c r="B19" s="65">
        <v>45658.0</v>
      </c>
      <c r="C19" s="64" t="s">
        <v>664</v>
      </c>
      <c r="D19" s="66">
        <v>37622.0</v>
      </c>
      <c r="E19" s="64" t="s">
        <v>678</v>
      </c>
      <c r="F19" s="64" t="s">
        <v>679</v>
      </c>
      <c r="G19" s="64" t="s">
        <v>680</v>
      </c>
      <c r="H19" s="64" t="s">
        <v>142</v>
      </c>
      <c r="I19" s="58"/>
      <c r="J19" s="58"/>
      <c r="K19" s="58"/>
      <c r="L19" s="58"/>
      <c r="M19" s="58"/>
      <c r="N19" s="58"/>
      <c r="O19" s="58"/>
      <c r="P19" s="58"/>
      <c r="Q19" s="58"/>
      <c r="R19" s="58"/>
      <c r="S19" s="58"/>
      <c r="T19" s="58"/>
      <c r="U19" s="58"/>
      <c r="V19" s="58"/>
      <c r="W19" s="58"/>
      <c r="X19" s="58"/>
      <c r="Y19" s="58"/>
    </row>
    <row r="20" ht="15.75" customHeight="1">
      <c r="A20" s="64" t="s">
        <v>1826</v>
      </c>
      <c r="B20" s="65">
        <v>45658.0</v>
      </c>
      <c r="C20" s="64" t="s">
        <v>664</v>
      </c>
      <c r="D20" s="66">
        <v>37622.0</v>
      </c>
      <c r="E20" s="64" t="s">
        <v>678</v>
      </c>
      <c r="F20" s="64" t="s">
        <v>679</v>
      </c>
      <c r="G20" s="64" t="s">
        <v>681</v>
      </c>
      <c r="H20" s="64" t="s">
        <v>142</v>
      </c>
      <c r="I20" s="58"/>
      <c r="J20" s="58"/>
      <c r="K20" s="58"/>
      <c r="L20" s="58"/>
      <c r="M20" s="58"/>
      <c r="N20" s="58"/>
      <c r="O20" s="58"/>
      <c r="P20" s="58"/>
      <c r="Q20" s="58"/>
      <c r="R20" s="58"/>
      <c r="S20" s="58"/>
      <c r="T20" s="58"/>
      <c r="U20" s="58"/>
      <c r="V20" s="58"/>
      <c r="W20" s="58"/>
      <c r="X20" s="58"/>
      <c r="Y20" s="58"/>
    </row>
    <row r="21" ht="15.75" customHeight="1">
      <c r="A21" s="64" t="s">
        <v>1826</v>
      </c>
      <c r="B21" s="65">
        <v>45658.0</v>
      </c>
      <c r="C21" s="64" t="s">
        <v>664</v>
      </c>
      <c r="D21" s="66">
        <v>37622.0</v>
      </c>
      <c r="E21" s="64" t="s">
        <v>678</v>
      </c>
      <c r="F21" s="64" t="s">
        <v>679</v>
      </c>
      <c r="G21" s="64" t="s">
        <v>682</v>
      </c>
      <c r="H21" s="64" t="s">
        <v>142</v>
      </c>
      <c r="I21" s="58"/>
      <c r="J21" s="58"/>
      <c r="K21" s="58"/>
      <c r="L21" s="58"/>
      <c r="M21" s="58"/>
      <c r="N21" s="58"/>
      <c r="O21" s="58"/>
      <c r="P21" s="58"/>
      <c r="Q21" s="58"/>
      <c r="R21" s="58"/>
      <c r="S21" s="58"/>
      <c r="T21" s="58"/>
      <c r="U21" s="58"/>
      <c r="V21" s="58"/>
      <c r="W21" s="58"/>
      <c r="X21" s="58"/>
      <c r="Y21" s="58"/>
    </row>
    <row r="22" ht="15.75" customHeight="1">
      <c r="A22" s="64" t="s">
        <v>1826</v>
      </c>
      <c r="B22" s="65">
        <v>45658.0</v>
      </c>
      <c r="C22" s="64" t="s">
        <v>664</v>
      </c>
      <c r="D22" s="66">
        <v>37622.0</v>
      </c>
      <c r="E22" s="64" t="s">
        <v>678</v>
      </c>
      <c r="F22" s="64" t="s">
        <v>679</v>
      </c>
      <c r="G22" s="64" t="s">
        <v>683</v>
      </c>
      <c r="H22" s="64" t="s">
        <v>142</v>
      </c>
      <c r="I22" s="58"/>
      <c r="J22" s="58"/>
      <c r="K22" s="58"/>
      <c r="L22" s="58"/>
      <c r="M22" s="58"/>
      <c r="N22" s="58"/>
      <c r="O22" s="58"/>
      <c r="P22" s="58"/>
      <c r="Q22" s="58"/>
      <c r="R22" s="58"/>
      <c r="S22" s="58"/>
      <c r="T22" s="58"/>
      <c r="U22" s="58"/>
      <c r="V22" s="58"/>
      <c r="W22" s="58"/>
      <c r="X22" s="58"/>
      <c r="Y22" s="58"/>
    </row>
    <row r="23" ht="15.75" customHeight="1">
      <c r="A23" s="64" t="s">
        <v>1826</v>
      </c>
      <c r="B23" s="65">
        <v>45658.0</v>
      </c>
      <c r="C23" s="64" t="s">
        <v>664</v>
      </c>
      <c r="D23" s="66">
        <v>37622.0</v>
      </c>
      <c r="E23" s="64" t="s">
        <v>678</v>
      </c>
      <c r="F23" s="64" t="s">
        <v>679</v>
      </c>
      <c r="G23" s="64" t="s">
        <v>684</v>
      </c>
      <c r="H23" s="64" t="s">
        <v>142</v>
      </c>
      <c r="I23" s="58"/>
      <c r="J23" s="58"/>
      <c r="K23" s="58"/>
      <c r="L23" s="58"/>
      <c r="M23" s="58"/>
      <c r="N23" s="58"/>
      <c r="O23" s="58"/>
      <c r="P23" s="58"/>
      <c r="Q23" s="58"/>
      <c r="R23" s="58"/>
      <c r="S23" s="58"/>
      <c r="T23" s="58"/>
      <c r="U23" s="58"/>
      <c r="V23" s="58"/>
      <c r="W23" s="58"/>
      <c r="X23" s="58"/>
      <c r="Y23" s="58"/>
    </row>
    <row r="24" ht="15.75" customHeight="1">
      <c r="A24" s="64" t="s">
        <v>1826</v>
      </c>
      <c r="B24" s="65">
        <v>45658.0</v>
      </c>
      <c r="C24" s="64" t="s">
        <v>664</v>
      </c>
      <c r="D24" s="66">
        <v>37622.0</v>
      </c>
      <c r="E24" s="64" t="s">
        <v>678</v>
      </c>
      <c r="F24" s="64" t="s">
        <v>679</v>
      </c>
      <c r="G24" s="64" t="s">
        <v>685</v>
      </c>
      <c r="H24" s="64" t="s">
        <v>142</v>
      </c>
      <c r="I24" s="58"/>
      <c r="J24" s="58"/>
      <c r="K24" s="58"/>
      <c r="L24" s="58"/>
      <c r="M24" s="58"/>
      <c r="N24" s="58"/>
      <c r="O24" s="58"/>
      <c r="P24" s="58"/>
      <c r="Q24" s="58"/>
      <c r="R24" s="58"/>
      <c r="S24" s="58"/>
      <c r="T24" s="58"/>
      <c r="U24" s="58"/>
      <c r="V24" s="58"/>
      <c r="W24" s="58"/>
      <c r="X24" s="58"/>
      <c r="Y24" s="58"/>
    </row>
    <row r="25" ht="15.75" customHeight="1">
      <c r="A25" s="64" t="s">
        <v>1826</v>
      </c>
      <c r="B25" s="65">
        <v>45658.0</v>
      </c>
      <c r="C25" s="64" t="s">
        <v>664</v>
      </c>
      <c r="D25" s="66">
        <v>37987.0</v>
      </c>
      <c r="E25" s="64" t="s">
        <v>687</v>
      </c>
      <c r="F25" s="64" t="s">
        <v>688</v>
      </c>
      <c r="G25" s="64" t="s">
        <v>689</v>
      </c>
      <c r="H25" s="64" t="s">
        <v>134</v>
      </c>
      <c r="I25" s="58"/>
      <c r="J25" s="58"/>
      <c r="K25" s="58"/>
      <c r="L25" s="58"/>
      <c r="M25" s="58"/>
      <c r="N25" s="58"/>
      <c r="O25" s="58"/>
      <c r="P25" s="58"/>
      <c r="Q25" s="58"/>
      <c r="R25" s="58"/>
      <c r="S25" s="58"/>
      <c r="T25" s="58"/>
      <c r="U25" s="58"/>
      <c r="V25" s="58"/>
      <c r="W25" s="58"/>
      <c r="X25" s="58"/>
      <c r="Y25" s="58"/>
    </row>
    <row r="26" ht="15.75" customHeight="1">
      <c r="A26" s="64" t="s">
        <v>1826</v>
      </c>
      <c r="B26" s="65">
        <v>45658.0</v>
      </c>
      <c r="C26" s="64" t="s">
        <v>664</v>
      </c>
      <c r="D26" s="66">
        <v>38353.0</v>
      </c>
      <c r="E26" s="64" t="s">
        <v>691</v>
      </c>
      <c r="F26" s="64" t="s">
        <v>692</v>
      </c>
      <c r="G26" s="64" t="s">
        <v>1828</v>
      </c>
      <c r="H26" s="64" t="s">
        <v>142</v>
      </c>
      <c r="I26" s="58"/>
      <c r="J26" s="58"/>
      <c r="K26" s="58"/>
      <c r="L26" s="58"/>
      <c r="M26" s="58"/>
      <c r="N26" s="58"/>
      <c r="O26" s="58"/>
      <c r="P26" s="58"/>
      <c r="Q26" s="58"/>
      <c r="R26" s="58"/>
      <c r="S26" s="58"/>
      <c r="T26" s="58"/>
      <c r="U26" s="58"/>
      <c r="V26" s="58"/>
      <c r="W26" s="58"/>
      <c r="X26" s="58"/>
      <c r="Y26" s="58"/>
    </row>
    <row r="27" ht="15.75" customHeight="1">
      <c r="A27" s="64" t="s">
        <v>1826</v>
      </c>
      <c r="B27" s="65">
        <v>45658.0</v>
      </c>
      <c r="C27" s="64" t="s">
        <v>664</v>
      </c>
      <c r="D27" s="66">
        <v>38353.0</v>
      </c>
      <c r="E27" s="64" t="s">
        <v>691</v>
      </c>
      <c r="F27" s="64" t="s">
        <v>692</v>
      </c>
      <c r="G27" s="64" t="s">
        <v>694</v>
      </c>
      <c r="H27" s="64" t="s">
        <v>142</v>
      </c>
      <c r="I27" s="58"/>
      <c r="J27" s="58"/>
      <c r="K27" s="58"/>
      <c r="L27" s="58"/>
      <c r="M27" s="58"/>
      <c r="N27" s="58"/>
      <c r="O27" s="58"/>
      <c r="P27" s="58"/>
      <c r="Q27" s="58"/>
      <c r="R27" s="58"/>
      <c r="S27" s="58"/>
      <c r="T27" s="58"/>
      <c r="U27" s="58"/>
      <c r="V27" s="58"/>
      <c r="W27" s="58"/>
      <c r="X27" s="58"/>
      <c r="Y27" s="58"/>
    </row>
    <row r="28" ht="15.75" customHeight="1">
      <c r="A28" s="64" t="s">
        <v>1826</v>
      </c>
      <c r="B28" s="65">
        <v>45658.0</v>
      </c>
      <c r="C28" s="64" t="s">
        <v>664</v>
      </c>
      <c r="D28" s="66">
        <v>38353.0</v>
      </c>
      <c r="E28" s="64" t="s">
        <v>691</v>
      </c>
      <c r="F28" s="64" t="s">
        <v>692</v>
      </c>
      <c r="G28" s="64" t="s">
        <v>695</v>
      </c>
      <c r="H28" s="64" t="s">
        <v>142</v>
      </c>
      <c r="I28" s="58"/>
      <c r="J28" s="58"/>
      <c r="K28" s="58"/>
      <c r="L28" s="58"/>
      <c r="M28" s="58"/>
      <c r="N28" s="58"/>
      <c r="O28" s="58"/>
      <c r="P28" s="58"/>
      <c r="Q28" s="58"/>
      <c r="R28" s="58"/>
      <c r="S28" s="58"/>
      <c r="T28" s="58"/>
      <c r="U28" s="58"/>
      <c r="V28" s="58"/>
      <c r="W28" s="58"/>
      <c r="X28" s="58"/>
      <c r="Y28" s="58"/>
    </row>
    <row r="29" ht="15.75" customHeight="1">
      <c r="A29" s="64" t="s">
        <v>1826</v>
      </c>
      <c r="B29" s="65">
        <v>45658.0</v>
      </c>
      <c r="C29" s="64" t="s">
        <v>664</v>
      </c>
      <c r="D29" s="66">
        <v>38718.0</v>
      </c>
      <c r="E29" s="64" t="s">
        <v>697</v>
      </c>
      <c r="F29" s="64" t="s">
        <v>698</v>
      </c>
      <c r="G29" s="64" t="s">
        <v>699</v>
      </c>
      <c r="H29" s="64" t="s">
        <v>134</v>
      </c>
      <c r="I29" s="58"/>
      <c r="J29" s="58"/>
      <c r="K29" s="58"/>
      <c r="L29" s="58"/>
      <c r="M29" s="58"/>
      <c r="N29" s="58"/>
      <c r="O29" s="58"/>
      <c r="P29" s="58"/>
      <c r="Q29" s="58"/>
      <c r="R29" s="58"/>
      <c r="S29" s="58"/>
      <c r="T29" s="58"/>
      <c r="U29" s="58"/>
      <c r="V29" s="58"/>
      <c r="W29" s="58"/>
      <c r="X29" s="58"/>
      <c r="Y29" s="58"/>
    </row>
    <row r="30" ht="15.75" customHeight="1">
      <c r="A30" s="64" t="s">
        <v>1826</v>
      </c>
      <c r="B30" s="65">
        <v>45658.0</v>
      </c>
      <c r="C30" s="64" t="s">
        <v>664</v>
      </c>
      <c r="D30" s="66">
        <v>38718.0</v>
      </c>
      <c r="E30" s="64" t="s">
        <v>697</v>
      </c>
      <c r="F30" s="64" t="s">
        <v>698</v>
      </c>
      <c r="G30" s="64" t="s">
        <v>700</v>
      </c>
      <c r="H30" s="64" t="s">
        <v>134</v>
      </c>
      <c r="I30" s="58"/>
      <c r="J30" s="58"/>
      <c r="K30" s="58"/>
      <c r="L30" s="58"/>
      <c r="M30" s="58"/>
      <c r="N30" s="58"/>
      <c r="O30" s="58"/>
      <c r="P30" s="58"/>
      <c r="Q30" s="58"/>
      <c r="R30" s="58"/>
      <c r="S30" s="58"/>
      <c r="T30" s="58"/>
      <c r="U30" s="58"/>
      <c r="V30" s="58"/>
      <c r="W30" s="58"/>
      <c r="X30" s="58"/>
      <c r="Y30" s="58"/>
    </row>
    <row r="31" ht="15.75" customHeight="1">
      <c r="A31" s="64" t="s">
        <v>1826</v>
      </c>
      <c r="B31" s="65">
        <v>45658.0</v>
      </c>
      <c r="C31" s="64" t="s">
        <v>664</v>
      </c>
      <c r="D31" s="66">
        <v>39083.0</v>
      </c>
      <c r="E31" s="64" t="s">
        <v>702</v>
      </c>
      <c r="F31" s="64" t="s">
        <v>703</v>
      </c>
      <c r="G31" s="64" t="s">
        <v>704</v>
      </c>
      <c r="H31" s="64" t="s">
        <v>134</v>
      </c>
      <c r="I31" s="58"/>
      <c r="J31" s="58"/>
      <c r="K31" s="58"/>
      <c r="L31" s="58"/>
      <c r="M31" s="58"/>
      <c r="N31" s="58"/>
      <c r="O31" s="58"/>
      <c r="P31" s="58"/>
      <c r="Q31" s="58"/>
      <c r="R31" s="58"/>
      <c r="S31" s="58"/>
      <c r="T31" s="58"/>
      <c r="U31" s="58"/>
      <c r="V31" s="58"/>
      <c r="W31" s="58"/>
      <c r="X31" s="58"/>
      <c r="Y31" s="58"/>
    </row>
    <row r="32" ht="15.75" customHeight="1">
      <c r="A32" s="64" t="s">
        <v>1826</v>
      </c>
      <c r="B32" s="65">
        <v>45658.0</v>
      </c>
      <c r="C32" s="64" t="s">
        <v>664</v>
      </c>
      <c r="D32" s="66">
        <v>39083.0</v>
      </c>
      <c r="E32" s="64" t="s">
        <v>702</v>
      </c>
      <c r="F32" s="64" t="s">
        <v>703</v>
      </c>
      <c r="G32" s="64" t="s">
        <v>705</v>
      </c>
      <c r="H32" s="64" t="s">
        <v>142</v>
      </c>
      <c r="I32" s="58"/>
      <c r="J32" s="58"/>
      <c r="K32" s="58"/>
      <c r="L32" s="58"/>
      <c r="M32" s="58"/>
      <c r="N32" s="58"/>
      <c r="O32" s="58"/>
      <c r="P32" s="58"/>
      <c r="Q32" s="58"/>
      <c r="R32" s="58"/>
      <c r="S32" s="58"/>
      <c r="T32" s="58"/>
      <c r="U32" s="58"/>
      <c r="V32" s="58"/>
      <c r="W32" s="58"/>
      <c r="X32" s="58"/>
      <c r="Y32" s="58"/>
    </row>
    <row r="33" ht="15.75" customHeight="1">
      <c r="A33" s="64" t="s">
        <v>1826</v>
      </c>
      <c r="B33" s="65">
        <v>45658.0</v>
      </c>
      <c r="C33" s="64" t="s">
        <v>664</v>
      </c>
      <c r="D33" s="66">
        <v>39083.0</v>
      </c>
      <c r="E33" s="64" t="s">
        <v>702</v>
      </c>
      <c r="F33" s="64" t="s">
        <v>703</v>
      </c>
      <c r="G33" s="64" t="s">
        <v>706</v>
      </c>
      <c r="H33" s="64" t="s">
        <v>134</v>
      </c>
      <c r="I33" s="58"/>
      <c r="J33" s="58"/>
      <c r="K33" s="58"/>
      <c r="L33" s="58"/>
      <c r="M33" s="58"/>
      <c r="N33" s="58"/>
      <c r="O33" s="58"/>
      <c r="P33" s="58"/>
      <c r="Q33" s="58"/>
      <c r="R33" s="58"/>
      <c r="S33" s="58"/>
      <c r="T33" s="58"/>
      <c r="U33" s="58"/>
      <c r="V33" s="58"/>
      <c r="W33" s="58"/>
      <c r="X33" s="58"/>
      <c r="Y33" s="58"/>
    </row>
    <row r="34" ht="15.75" customHeight="1">
      <c r="A34" s="64" t="s">
        <v>1826</v>
      </c>
      <c r="B34" s="65">
        <v>45658.0</v>
      </c>
      <c r="C34" s="64" t="s">
        <v>664</v>
      </c>
      <c r="D34" s="66">
        <v>39448.0</v>
      </c>
      <c r="E34" s="64" t="s">
        <v>708</v>
      </c>
      <c r="F34" s="64" t="s">
        <v>709</v>
      </c>
      <c r="G34" s="64" t="s">
        <v>710</v>
      </c>
      <c r="H34" s="64" t="s">
        <v>134</v>
      </c>
      <c r="I34" s="58"/>
      <c r="J34" s="58"/>
      <c r="K34" s="58"/>
      <c r="L34" s="58"/>
      <c r="M34" s="58"/>
      <c r="N34" s="58"/>
      <c r="O34" s="58"/>
      <c r="P34" s="58"/>
      <c r="Q34" s="58"/>
      <c r="R34" s="58"/>
      <c r="S34" s="58"/>
      <c r="T34" s="58"/>
      <c r="U34" s="58"/>
      <c r="V34" s="58"/>
      <c r="W34" s="58"/>
      <c r="X34" s="58"/>
      <c r="Y34" s="58"/>
    </row>
    <row r="35" ht="15.75" customHeight="1">
      <c r="A35" s="64" t="s">
        <v>1826</v>
      </c>
      <c r="B35" s="65">
        <v>45658.0</v>
      </c>
      <c r="C35" s="64" t="s">
        <v>664</v>
      </c>
      <c r="D35" s="66">
        <v>39448.0</v>
      </c>
      <c r="E35" s="64" t="s">
        <v>708</v>
      </c>
      <c r="F35" s="64" t="s">
        <v>709</v>
      </c>
      <c r="G35" s="64" t="s">
        <v>711</v>
      </c>
      <c r="H35" s="64" t="s">
        <v>142</v>
      </c>
      <c r="I35" s="58"/>
      <c r="J35" s="58"/>
      <c r="K35" s="58"/>
      <c r="L35" s="58"/>
      <c r="M35" s="58"/>
      <c r="N35" s="58"/>
      <c r="O35" s="58"/>
      <c r="P35" s="58"/>
      <c r="Q35" s="58"/>
      <c r="R35" s="58"/>
      <c r="S35" s="58"/>
      <c r="T35" s="58"/>
      <c r="U35" s="58"/>
      <c r="V35" s="58"/>
      <c r="W35" s="58"/>
      <c r="X35" s="58"/>
      <c r="Y35" s="58"/>
    </row>
    <row r="36" ht="15.75" customHeight="1">
      <c r="A36" s="64" t="s">
        <v>1826</v>
      </c>
      <c r="B36" s="65">
        <v>45658.0</v>
      </c>
      <c r="C36" s="64" t="s">
        <v>664</v>
      </c>
      <c r="D36" s="66">
        <v>39448.0</v>
      </c>
      <c r="E36" s="64" t="s">
        <v>708</v>
      </c>
      <c r="F36" s="64" t="s">
        <v>709</v>
      </c>
      <c r="G36" s="64" t="s">
        <v>712</v>
      </c>
      <c r="H36" s="64" t="s">
        <v>142</v>
      </c>
      <c r="I36" s="58"/>
      <c r="J36" s="58"/>
      <c r="K36" s="58"/>
      <c r="L36" s="58"/>
      <c r="M36" s="58"/>
      <c r="N36" s="58"/>
      <c r="O36" s="58"/>
      <c r="P36" s="58"/>
      <c r="Q36" s="58"/>
      <c r="R36" s="58"/>
      <c r="S36" s="58"/>
      <c r="T36" s="58"/>
      <c r="U36" s="58"/>
      <c r="V36" s="58"/>
      <c r="W36" s="58"/>
      <c r="X36" s="58"/>
      <c r="Y36" s="58"/>
    </row>
    <row r="37" ht="15.75" customHeight="1">
      <c r="A37" s="64" t="s">
        <v>1826</v>
      </c>
      <c r="B37" s="65">
        <v>45689.0</v>
      </c>
      <c r="C37" s="64" t="s">
        <v>714</v>
      </c>
      <c r="D37" s="66">
        <v>36923.0</v>
      </c>
      <c r="E37" s="64" t="s">
        <v>716</v>
      </c>
      <c r="F37" s="64" t="s">
        <v>717</v>
      </c>
      <c r="G37" s="64" t="s">
        <v>718</v>
      </c>
      <c r="H37" s="64" t="s">
        <v>134</v>
      </c>
      <c r="I37" s="58"/>
      <c r="J37" s="58"/>
      <c r="K37" s="58"/>
      <c r="L37" s="58"/>
      <c r="M37" s="58"/>
      <c r="N37" s="58"/>
      <c r="O37" s="58"/>
      <c r="P37" s="58"/>
      <c r="Q37" s="58"/>
      <c r="R37" s="58"/>
      <c r="S37" s="58"/>
      <c r="T37" s="58"/>
      <c r="U37" s="58"/>
      <c r="V37" s="58"/>
      <c r="W37" s="58"/>
      <c r="X37" s="58"/>
      <c r="Y37" s="58"/>
    </row>
    <row r="38" ht="15.75" customHeight="1">
      <c r="A38" s="64" t="s">
        <v>1826</v>
      </c>
      <c r="B38" s="65">
        <v>45689.0</v>
      </c>
      <c r="C38" s="64" t="s">
        <v>714</v>
      </c>
      <c r="D38" s="66">
        <v>36923.0</v>
      </c>
      <c r="E38" s="64" t="s">
        <v>716</v>
      </c>
      <c r="F38" s="64" t="s">
        <v>717</v>
      </c>
      <c r="G38" s="64" t="s">
        <v>719</v>
      </c>
      <c r="H38" s="64" t="s">
        <v>142</v>
      </c>
      <c r="I38" s="58"/>
      <c r="J38" s="58"/>
      <c r="K38" s="58"/>
      <c r="L38" s="58"/>
      <c r="M38" s="58"/>
      <c r="N38" s="58"/>
      <c r="O38" s="58"/>
      <c r="P38" s="58"/>
      <c r="Q38" s="58"/>
      <c r="R38" s="58"/>
      <c r="S38" s="58"/>
      <c r="T38" s="58"/>
      <c r="U38" s="58"/>
      <c r="V38" s="58"/>
      <c r="W38" s="58"/>
      <c r="X38" s="58"/>
      <c r="Y38" s="58"/>
    </row>
    <row r="39" ht="15.75" customHeight="1">
      <c r="A39" s="64" t="s">
        <v>1826</v>
      </c>
      <c r="B39" s="65">
        <v>45689.0</v>
      </c>
      <c r="C39" s="64" t="s">
        <v>714</v>
      </c>
      <c r="D39" s="66">
        <v>36923.0</v>
      </c>
      <c r="E39" s="64" t="s">
        <v>716</v>
      </c>
      <c r="F39" s="64" t="s">
        <v>717</v>
      </c>
      <c r="G39" s="64" t="s">
        <v>720</v>
      </c>
      <c r="H39" s="64" t="s">
        <v>142</v>
      </c>
      <c r="I39" s="58"/>
      <c r="J39" s="58"/>
      <c r="K39" s="58"/>
      <c r="L39" s="58"/>
      <c r="M39" s="58"/>
      <c r="N39" s="58"/>
      <c r="O39" s="58"/>
      <c r="P39" s="58"/>
      <c r="Q39" s="58"/>
      <c r="R39" s="58"/>
      <c r="S39" s="58"/>
      <c r="T39" s="58"/>
      <c r="U39" s="58"/>
      <c r="V39" s="58"/>
      <c r="W39" s="58"/>
      <c r="X39" s="58"/>
      <c r="Y39" s="58"/>
    </row>
    <row r="40" ht="15.75" customHeight="1">
      <c r="A40" s="64" t="s">
        <v>1826</v>
      </c>
      <c r="B40" s="65">
        <v>45689.0</v>
      </c>
      <c r="C40" s="64" t="s">
        <v>714</v>
      </c>
      <c r="D40" s="66">
        <v>36923.0</v>
      </c>
      <c r="E40" s="64" t="s">
        <v>716</v>
      </c>
      <c r="F40" s="64" t="s">
        <v>717</v>
      </c>
      <c r="G40" s="64" t="s">
        <v>721</v>
      </c>
      <c r="H40" s="64" t="s">
        <v>142</v>
      </c>
      <c r="I40" s="58"/>
      <c r="J40" s="58"/>
      <c r="K40" s="58"/>
      <c r="L40" s="58"/>
      <c r="M40" s="58"/>
      <c r="N40" s="58"/>
      <c r="O40" s="58"/>
      <c r="P40" s="58"/>
      <c r="Q40" s="58"/>
      <c r="R40" s="58"/>
      <c r="S40" s="58"/>
      <c r="T40" s="58"/>
      <c r="U40" s="58"/>
      <c r="V40" s="58"/>
      <c r="W40" s="58"/>
      <c r="X40" s="58"/>
      <c r="Y40" s="58"/>
    </row>
    <row r="41" ht="15.75" customHeight="1">
      <c r="A41" s="64" t="s">
        <v>1826</v>
      </c>
      <c r="B41" s="65">
        <v>45689.0</v>
      </c>
      <c r="C41" s="64" t="s">
        <v>714</v>
      </c>
      <c r="D41" s="66">
        <v>36923.0</v>
      </c>
      <c r="E41" s="64" t="s">
        <v>716</v>
      </c>
      <c r="F41" s="64" t="s">
        <v>717</v>
      </c>
      <c r="G41" s="64" t="s">
        <v>722</v>
      </c>
      <c r="H41" s="64" t="s">
        <v>1827</v>
      </c>
      <c r="I41" s="58"/>
      <c r="J41" s="58"/>
      <c r="K41" s="58"/>
      <c r="L41" s="58"/>
      <c r="M41" s="58"/>
      <c r="N41" s="58"/>
      <c r="O41" s="58"/>
      <c r="P41" s="58"/>
      <c r="Q41" s="58"/>
      <c r="R41" s="58"/>
      <c r="S41" s="58"/>
      <c r="T41" s="58"/>
      <c r="U41" s="58"/>
      <c r="V41" s="58"/>
      <c r="W41" s="58"/>
      <c r="X41" s="58"/>
      <c r="Y41" s="58"/>
    </row>
    <row r="42" ht="15.75" customHeight="1">
      <c r="A42" s="64" t="s">
        <v>1826</v>
      </c>
      <c r="B42" s="65">
        <v>45689.0</v>
      </c>
      <c r="C42" s="64" t="s">
        <v>714</v>
      </c>
      <c r="D42" s="66">
        <v>37288.0</v>
      </c>
      <c r="E42" s="64" t="s">
        <v>724</v>
      </c>
      <c r="F42" s="64" t="s">
        <v>725</v>
      </c>
      <c r="G42" s="64" t="s">
        <v>726</v>
      </c>
      <c r="H42" s="64" t="s">
        <v>142</v>
      </c>
      <c r="I42" s="58"/>
      <c r="J42" s="58"/>
      <c r="K42" s="58"/>
      <c r="L42" s="58"/>
      <c r="M42" s="58"/>
      <c r="N42" s="58"/>
      <c r="O42" s="58"/>
      <c r="P42" s="58"/>
      <c r="Q42" s="58"/>
      <c r="R42" s="58"/>
      <c r="S42" s="58"/>
      <c r="T42" s="58"/>
      <c r="U42" s="58"/>
      <c r="V42" s="58"/>
      <c r="W42" s="58"/>
      <c r="X42" s="58"/>
      <c r="Y42" s="58"/>
    </row>
    <row r="43" ht="15.75" customHeight="1">
      <c r="A43" s="64" t="s">
        <v>1826</v>
      </c>
      <c r="B43" s="65">
        <v>45689.0</v>
      </c>
      <c r="C43" s="64" t="s">
        <v>714</v>
      </c>
      <c r="D43" s="66">
        <v>37288.0</v>
      </c>
      <c r="E43" s="64" t="s">
        <v>724</v>
      </c>
      <c r="F43" s="64" t="s">
        <v>725</v>
      </c>
      <c r="G43" s="64" t="s">
        <v>727</v>
      </c>
      <c r="H43" s="64" t="s">
        <v>142</v>
      </c>
      <c r="I43" s="58"/>
      <c r="J43" s="58"/>
      <c r="K43" s="58"/>
      <c r="L43" s="58"/>
      <c r="M43" s="58"/>
      <c r="N43" s="58"/>
      <c r="O43" s="58"/>
      <c r="P43" s="58"/>
      <c r="Q43" s="58"/>
      <c r="R43" s="58"/>
      <c r="S43" s="58"/>
      <c r="T43" s="58"/>
      <c r="U43" s="58"/>
      <c r="V43" s="58"/>
      <c r="W43" s="58"/>
      <c r="X43" s="58"/>
      <c r="Y43" s="58"/>
    </row>
    <row r="44" ht="15.75" customHeight="1">
      <c r="A44" s="64" t="s">
        <v>1826</v>
      </c>
      <c r="B44" s="65">
        <v>45689.0</v>
      </c>
      <c r="C44" s="64" t="s">
        <v>714</v>
      </c>
      <c r="D44" s="66">
        <v>37288.0</v>
      </c>
      <c r="E44" s="64" t="s">
        <v>724</v>
      </c>
      <c r="F44" s="64" t="s">
        <v>725</v>
      </c>
      <c r="G44" s="64" t="s">
        <v>728</v>
      </c>
      <c r="H44" s="64" t="s">
        <v>142</v>
      </c>
      <c r="I44" s="58"/>
      <c r="J44" s="58"/>
      <c r="K44" s="58"/>
      <c r="L44" s="58"/>
      <c r="M44" s="58"/>
      <c r="N44" s="58"/>
      <c r="O44" s="58"/>
      <c r="P44" s="58"/>
      <c r="Q44" s="58"/>
      <c r="R44" s="58"/>
      <c r="S44" s="58"/>
      <c r="T44" s="58"/>
      <c r="U44" s="58"/>
      <c r="V44" s="58"/>
      <c r="W44" s="58"/>
      <c r="X44" s="58"/>
      <c r="Y44" s="58"/>
    </row>
    <row r="45" ht="15.75" customHeight="1">
      <c r="A45" s="64" t="s">
        <v>1826</v>
      </c>
      <c r="B45" s="65">
        <v>45689.0</v>
      </c>
      <c r="C45" s="64" t="s">
        <v>714</v>
      </c>
      <c r="D45" s="66">
        <v>37288.0</v>
      </c>
      <c r="E45" s="64" t="s">
        <v>724</v>
      </c>
      <c r="F45" s="64" t="s">
        <v>725</v>
      </c>
      <c r="G45" s="64" t="s">
        <v>729</v>
      </c>
      <c r="H45" s="64" t="s">
        <v>142</v>
      </c>
      <c r="I45" s="58"/>
      <c r="J45" s="58"/>
      <c r="K45" s="58"/>
      <c r="L45" s="58"/>
      <c r="M45" s="58"/>
      <c r="N45" s="58"/>
      <c r="O45" s="58"/>
      <c r="P45" s="58"/>
      <c r="Q45" s="58"/>
      <c r="R45" s="58"/>
      <c r="S45" s="58"/>
      <c r="T45" s="58"/>
      <c r="U45" s="58"/>
      <c r="V45" s="58"/>
      <c r="W45" s="58"/>
      <c r="X45" s="58"/>
      <c r="Y45" s="58"/>
    </row>
    <row r="46" ht="15.75" customHeight="1">
      <c r="A46" s="64" t="s">
        <v>1826</v>
      </c>
      <c r="B46" s="65">
        <v>45689.0</v>
      </c>
      <c r="C46" s="64" t="s">
        <v>714</v>
      </c>
      <c r="D46" s="66">
        <v>37288.0</v>
      </c>
      <c r="E46" s="64" t="s">
        <v>724</v>
      </c>
      <c r="F46" s="64" t="s">
        <v>725</v>
      </c>
      <c r="G46" s="64" t="s">
        <v>730</v>
      </c>
      <c r="H46" s="64" t="s">
        <v>142</v>
      </c>
      <c r="I46" s="58"/>
      <c r="J46" s="58"/>
      <c r="K46" s="58"/>
      <c r="L46" s="58"/>
      <c r="M46" s="58"/>
      <c r="N46" s="58"/>
      <c r="O46" s="58"/>
      <c r="P46" s="58"/>
      <c r="Q46" s="58"/>
      <c r="R46" s="58"/>
      <c r="S46" s="58"/>
      <c r="T46" s="58"/>
      <c r="U46" s="58"/>
      <c r="V46" s="58"/>
      <c r="W46" s="58"/>
      <c r="X46" s="58"/>
      <c r="Y46" s="58"/>
    </row>
    <row r="47" ht="15.75" customHeight="1">
      <c r="A47" s="64" t="s">
        <v>1826</v>
      </c>
      <c r="B47" s="65">
        <v>45689.0</v>
      </c>
      <c r="C47" s="64" t="s">
        <v>714</v>
      </c>
      <c r="D47" s="66">
        <v>37653.0</v>
      </c>
      <c r="E47" s="64" t="s">
        <v>732</v>
      </c>
      <c r="F47" s="64" t="s">
        <v>733</v>
      </c>
      <c r="G47" s="64" t="s">
        <v>734</v>
      </c>
      <c r="H47" s="64" t="s">
        <v>142</v>
      </c>
      <c r="I47" s="58"/>
      <c r="J47" s="58"/>
      <c r="K47" s="58"/>
      <c r="L47" s="58"/>
      <c r="M47" s="58"/>
      <c r="N47" s="58"/>
      <c r="O47" s="58"/>
      <c r="P47" s="58"/>
      <c r="Q47" s="58"/>
      <c r="R47" s="58"/>
      <c r="S47" s="58"/>
      <c r="T47" s="58"/>
      <c r="U47" s="58"/>
      <c r="V47" s="58"/>
      <c r="W47" s="58"/>
      <c r="X47" s="58"/>
      <c r="Y47" s="58"/>
    </row>
    <row r="48" ht="15.75" customHeight="1">
      <c r="A48" s="64" t="s">
        <v>1826</v>
      </c>
      <c r="B48" s="65">
        <v>45689.0</v>
      </c>
      <c r="C48" s="64" t="s">
        <v>714</v>
      </c>
      <c r="D48" s="66">
        <v>37653.0</v>
      </c>
      <c r="E48" s="64" t="s">
        <v>732</v>
      </c>
      <c r="F48" s="64" t="s">
        <v>733</v>
      </c>
      <c r="G48" s="64" t="s">
        <v>735</v>
      </c>
      <c r="H48" s="64" t="s">
        <v>142</v>
      </c>
      <c r="I48" s="58"/>
      <c r="J48" s="58"/>
      <c r="K48" s="58"/>
      <c r="L48" s="58"/>
      <c r="M48" s="58"/>
      <c r="N48" s="58"/>
      <c r="O48" s="58"/>
      <c r="P48" s="58"/>
      <c r="Q48" s="58"/>
      <c r="R48" s="58"/>
      <c r="S48" s="58"/>
      <c r="T48" s="58"/>
      <c r="U48" s="58"/>
      <c r="V48" s="58"/>
      <c r="W48" s="58"/>
      <c r="X48" s="58"/>
      <c r="Y48" s="58"/>
    </row>
    <row r="49" ht="15.75" customHeight="1">
      <c r="A49" s="64" t="s">
        <v>1826</v>
      </c>
      <c r="B49" s="65">
        <v>45689.0</v>
      </c>
      <c r="C49" s="64" t="s">
        <v>714</v>
      </c>
      <c r="D49" s="66">
        <v>37653.0</v>
      </c>
      <c r="E49" s="64" t="s">
        <v>732</v>
      </c>
      <c r="F49" s="64" t="s">
        <v>733</v>
      </c>
      <c r="G49" s="64" t="s">
        <v>736</v>
      </c>
      <c r="H49" s="64" t="s">
        <v>142</v>
      </c>
      <c r="I49" s="58"/>
      <c r="J49" s="58"/>
      <c r="K49" s="58"/>
      <c r="L49" s="58"/>
      <c r="M49" s="58"/>
      <c r="N49" s="58"/>
      <c r="O49" s="58"/>
      <c r="P49" s="58"/>
      <c r="Q49" s="58"/>
      <c r="R49" s="58"/>
      <c r="S49" s="58"/>
      <c r="T49" s="58"/>
      <c r="U49" s="58"/>
      <c r="V49" s="58"/>
      <c r="W49" s="58"/>
      <c r="X49" s="58"/>
      <c r="Y49" s="58"/>
    </row>
    <row r="50" ht="15.75" customHeight="1">
      <c r="A50" s="64" t="s">
        <v>1826</v>
      </c>
      <c r="B50" s="65">
        <v>45689.0</v>
      </c>
      <c r="C50" s="64" t="s">
        <v>714</v>
      </c>
      <c r="D50" s="66">
        <v>38018.0</v>
      </c>
      <c r="E50" s="64" t="s">
        <v>738</v>
      </c>
      <c r="F50" s="64" t="s">
        <v>739</v>
      </c>
      <c r="G50" s="64" t="s">
        <v>740</v>
      </c>
      <c r="H50" s="64" t="s">
        <v>134</v>
      </c>
      <c r="I50" s="58"/>
      <c r="J50" s="58"/>
      <c r="K50" s="58"/>
      <c r="L50" s="58"/>
      <c r="M50" s="58"/>
      <c r="N50" s="58"/>
      <c r="O50" s="58"/>
      <c r="P50" s="58"/>
      <c r="Q50" s="58"/>
      <c r="R50" s="58"/>
      <c r="S50" s="58"/>
      <c r="T50" s="58"/>
      <c r="U50" s="58"/>
      <c r="V50" s="58"/>
      <c r="W50" s="58"/>
      <c r="X50" s="58"/>
      <c r="Y50" s="58"/>
    </row>
    <row r="51" ht="15.75" customHeight="1">
      <c r="A51" s="64" t="s">
        <v>1826</v>
      </c>
      <c r="B51" s="65">
        <v>45689.0</v>
      </c>
      <c r="C51" s="64" t="s">
        <v>714</v>
      </c>
      <c r="D51" s="66">
        <v>38018.0</v>
      </c>
      <c r="E51" s="64" t="s">
        <v>738</v>
      </c>
      <c r="F51" s="64" t="s">
        <v>739</v>
      </c>
      <c r="G51" s="64" t="s">
        <v>1829</v>
      </c>
      <c r="H51" s="64" t="s">
        <v>134</v>
      </c>
      <c r="I51" s="58"/>
      <c r="J51" s="58"/>
      <c r="K51" s="58"/>
      <c r="L51" s="58"/>
      <c r="M51" s="58"/>
      <c r="N51" s="58"/>
      <c r="O51" s="58"/>
      <c r="P51" s="58"/>
      <c r="Q51" s="58"/>
      <c r="R51" s="58"/>
      <c r="S51" s="58"/>
      <c r="T51" s="58"/>
      <c r="U51" s="58"/>
      <c r="V51" s="58"/>
      <c r="W51" s="58"/>
      <c r="X51" s="58"/>
      <c r="Y51" s="58"/>
    </row>
    <row r="52" ht="15.75" customHeight="1">
      <c r="A52" s="64" t="s">
        <v>1826</v>
      </c>
      <c r="B52" s="65">
        <v>45689.0</v>
      </c>
      <c r="C52" s="64" t="s">
        <v>714</v>
      </c>
      <c r="D52" s="66">
        <v>38018.0</v>
      </c>
      <c r="E52" s="64" t="s">
        <v>738</v>
      </c>
      <c r="F52" s="64" t="s">
        <v>739</v>
      </c>
      <c r="G52" s="64" t="s">
        <v>742</v>
      </c>
      <c r="H52" s="64" t="s">
        <v>134</v>
      </c>
      <c r="I52" s="58"/>
      <c r="J52" s="58"/>
      <c r="K52" s="58"/>
      <c r="L52" s="58"/>
      <c r="M52" s="58"/>
      <c r="N52" s="58"/>
      <c r="O52" s="58"/>
      <c r="P52" s="58"/>
      <c r="Q52" s="58"/>
      <c r="R52" s="58"/>
      <c r="S52" s="58"/>
      <c r="T52" s="58"/>
      <c r="U52" s="58"/>
      <c r="V52" s="58"/>
      <c r="W52" s="58"/>
      <c r="X52" s="58"/>
      <c r="Y52" s="58"/>
    </row>
    <row r="53" ht="15.75" customHeight="1">
      <c r="A53" s="64" t="s">
        <v>1826</v>
      </c>
      <c r="B53" s="65">
        <v>45689.0</v>
      </c>
      <c r="C53" s="64" t="s">
        <v>714</v>
      </c>
      <c r="D53" s="66">
        <v>38018.0</v>
      </c>
      <c r="E53" s="64" t="s">
        <v>738</v>
      </c>
      <c r="F53" s="64" t="s">
        <v>739</v>
      </c>
      <c r="G53" s="64" t="s">
        <v>743</v>
      </c>
      <c r="H53" s="64" t="s">
        <v>134</v>
      </c>
      <c r="I53" s="58"/>
      <c r="J53" s="58"/>
      <c r="K53" s="58"/>
      <c r="L53" s="58"/>
      <c r="M53" s="58"/>
      <c r="N53" s="58"/>
      <c r="O53" s="58"/>
      <c r="P53" s="58"/>
      <c r="Q53" s="58"/>
      <c r="R53" s="58"/>
      <c r="S53" s="58"/>
      <c r="T53" s="58"/>
      <c r="U53" s="58"/>
      <c r="V53" s="58"/>
      <c r="W53" s="58"/>
      <c r="X53" s="58"/>
      <c r="Y53" s="58"/>
    </row>
    <row r="54" ht="15.75" customHeight="1">
      <c r="A54" s="64" t="s">
        <v>1826</v>
      </c>
      <c r="B54" s="65">
        <v>45689.0</v>
      </c>
      <c r="C54" s="64" t="s">
        <v>714</v>
      </c>
      <c r="D54" s="66">
        <v>38018.0</v>
      </c>
      <c r="E54" s="64" t="s">
        <v>738</v>
      </c>
      <c r="F54" s="64" t="s">
        <v>739</v>
      </c>
      <c r="G54" s="64" t="s">
        <v>744</v>
      </c>
      <c r="H54" s="64" t="s">
        <v>142</v>
      </c>
      <c r="I54" s="58"/>
      <c r="J54" s="58"/>
      <c r="K54" s="58"/>
      <c r="L54" s="58"/>
      <c r="M54" s="58"/>
      <c r="N54" s="58"/>
      <c r="O54" s="58"/>
      <c r="P54" s="58"/>
      <c r="Q54" s="58"/>
      <c r="R54" s="58"/>
      <c r="S54" s="58"/>
      <c r="T54" s="58"/>
      <c r="U54" s="58"/>
      <c r="V54" s="58"/>
      <c r="W54" s="58"/>
      <c r="X54" s="58"/>
      <c r="Y54" s="58"/>
    </row>
    <row r="55" ht="15.75" customHeight="1">
      <c r="A55" s="64" t="s">
        <v>1826</v>
      </c>
      <c r="B55" s="65">
        <v>45689.0</v>
      </c>
      <c r="C55" s="64" t="s">
        <v>714</v>
      </c>
      <c r="D55" s="66">
        <v>38018.0</v>
      </c>
      <c r="E55" s="64" t="s">
        <v>738</v>
      </c>
      <c r="F55" s="64" t="s">
        <v>739</v>
      </c>
      <c r="G55" s="64" t="s">
        <v>745</v>
      </c>
      <c r="H55" s="64" t="s">
        <v>134</v>
      </c>
      <c r="I55" s="58"/>
      <c r="J55" s="58"/>
      <c r="K55" s="58"/>
      <c r="L55" s="58"/>
      <c r="M55" s="58"/>
      <c r="N55" s="58"/>
      <c r="O55" s="58"/>
      <c r="P55" s="58"/>
      <c r="Q55" s="58"/>
      <c r="R55" s="58"/>
      <c r="S55" s="58"/>
      <c r="T55" s="58"/>
      <c r="U55" s="58"/>
      <c r="V55" s="58"/>
      <c r="W55" s="58"/>
      <c r="X55" s="58"/>
      <c r="Y55" s="58"/>
    </row>
    <row r="56" ht="15.75" customHeight="1">
      <c r="A56" s="64" t="s">
        <v>1826</v>
      </c>
      <c r="B56" s="65">
        <v>45689.0</v>
      </c>
      <c r="C56" s="64" t="s">
        <v>714</v>
      </c>
      <c r="D56" s="66">
        <v>38018.0</v>
      </c>
      <c r="E56" s="64" t="s">
        <v>738</v>
      </c>
      <c r="F56" s="64" t="s">
        <v>739</v>
      </c>
      <c r="G56" s="64" t="s">
        <v>746</v>
      </c>
      <c r="H56" s="64" t="s">
        <v>134</v>
      </c>
      <c r="I56" s="58"/>
      <c r="J56" s="58"/>
      <c r="K56" s="58"/>
      <c r="L56" s="58"/>
      <c r="M56" s="58"/>
      <c r="N56" s="58"/>
      <c r="O56" s="58"/>
      <c r="P56" s="58"/>
      <c r="Q56" s="58"/>
      <c r="R56" s="58"/>
      <c r="S56" s="58"/>
      <c r="T56" s="58"/>
      <c r="U56" s="58"/>
      <c r="V56" s="58"/>
      <c r="W56" s="58"/>
      <c r="X56" s="58"/>
      <c r="Y56" s="58"/>
    </row>
    <row r="57" ht="15.75" customHeight="1">
      <c r="A57" s="64" t="s">
        <v>1826</v>
      </c>
      <c r="B57" s="65">
        <v>45689.0</v>
      </c>
      <c r="C57" s="64" t="s">
        <v>714</v>
      </c>
      <c r="D57" s="66">
        <v>38018.0</v>
      </c>
      <c r="E57" s="64" t="s">
        <v>738</v>
      </c>
      <c r="F57" s="64" t="s">
        <v>739</v>
      </c>
      <c r="G57" s="64" t="s">
        <v>747</v>
      </c>
      <c r="H57" s="64" t="s">
        <v>134</v>
      </c>
      <c r="I57" s="58"/>
      <c r="J57" s="58"/>
      <c r="K57" s="58"/>
      <c r="L57" s="58"/>
      <c r="M57" s="58"/>
      <c r="N57" s="58"/>
      <c r="O57" s="58"/>
      <c r="P57" s="58"/>
      <c r="Q57" s="58"/>
      <c r="R57" s="58"/>
      <c r="S57" s="58"/>
      <c r="T57" s="58"/>
      <c r="U57" s="58"/>
      <c r="V57" s="58"/>
      <c r="W57" s="58"/>
      <c r="X57" s="58"/>
      <c r="Y57" s="58"/>
    </row>
    <row r="58" ht="15.75" customHeight="1">
      <c r="A58" s="64" t="s">
        <v>1826</v>
      </c>
      <c r="B58" s="65">
        <v>45717.0</v>
      </c>
      <c r="C58" s="64" t="s">
        <v>749</v>
      </c>
      <c r="D58" s="66">
        <v>36951.0</v>
      </c>
      <c r="E58" s="64" t="s">
        <v>751</v>
      </c>
      <c r="F58" s="64" t="s">
        <v>752</v>
      </c>
      <c r="G58" s="64" t="s">
        <v>753</v>
      </c>
      <c r="H58" s="64" t="s">
        <v>134</v>
      </c>
      <c r="I58" s="58"/>
      <c r="J58" s="58"/>
      <c r="K58" s="58"/>
      <c r="L58" s="58"/>
      <c r="M58" s="58"/>
      <c r="N58" s="58"/>
      <c r="O58" s="58"/>
      <c r="P58" s="58"/>
      <c r="Q58" s="58"/>
      <c r="R58" s="58"/>
      <c r="S58" s="58"/>
      <c r="T58" s="58"/>
      <c r="U58" s="58"/>
      <c r="V58" s="58"/>
      <c r="W58" s="58"/>
      <c r="X58" s="58"/>
      <c r="Y58" s="58"/>
    </row>
    <row r="59" ht="15.75" customHeight="1">
      <c r="A59" s="64" t="s">
        <v>1826</v>
      </c>
      <c r="B59" s="65">
        <v>45717.0</v>
      </c>
      <c r="C59" s="64" t="s">
        <v>749</v>
      </c>
      <c r="D59" s="66">
        <v>37316.0</v>
      </c>
      <c r="E59" s="64" t="s">
        <v>755</v>
      </c>
      <c r="F59" s="64" t="s">
        <v>756</v>
      </c>
      <c r="G59" s="64" t="s">
        <v>757</v>
      </c>
      <c r="H59" s="64" t="s">
        <v>142</v>
      </c>
      <c r="I59" s="58"/>
      <c r="J59" s="58"/>
      <c r="K59" s="58"/>
      <c r="L59" s="58"/>
      <c r="M59" s="58"/>
      <c r="N59" s="58"/>
      <c r="O59" s="58"/>
      <c r="P59" s="58"/>
      <c r="Q59" s="58"/>
      <c r="R59" s="58"/>
      <c r="S59" s="58"/>
      <c r="T59" s="58"/>
      <c r="U59" s="58"/>
      <c r="V59" s="58"/>
      <c r="W59" s="58"/>
      <c r="X59" s="58"/>
      <c r="Y59" s="58"/>
    </row>
    <row r="60" ht="15.75" customHeight="1">
      <c r="A60" s="64" t="s">
        <v>1826</v>
      </c>
      <c r="B60" s="65">
        <v>45717.0</v>
      </c>
      <c r="C60" s="64" t="s">
        <v>749</v>
      </c>
      <c r="D60" s="66">
        <v>37316.0</v>
      </c>
      <c r="E60" s="64" t="s">
        <v>755</v>
      </c>
      <c r="F60" s="64" t="s">
        <v>756</v>
      </c>
      <c r="G60" s="64" t="s">
        <v>758</v>
      </c>
      <c r="H60" s="64" t="s">
        <v>134</v>
      </c>
      <c r="I60" s="58"/>
      <c r="J60" s="58"/>
      <c r="K60" s="58"/>
      <c r="L60" s="58"/>
      <c r="M60" s="58"/>
      <c r="N60" s="58"/>
      <c r="O60" s="58"/>
      <c r="P60" s="58"/>
      <c r="Q60" s="58"/>
      <c r="R60" s="58"/>
      <c r="S60" s="58"/>
      <c r="T60" s="58"/>
      <c r="U60" s="58"/>
      <c r="V60" s="58"/>
      <c r="W60" s="58"/>
      <c r="X60" s="58"/>
      <c r="Y60" s="58"/>
    </row>
    <row r="61" ht="15.75" customHeight="1">
      <c r="A61" s="64" t="s">
        <v>1826</v>
      </c>
      <c r="B61" s="65">
        <v>45717.0</v>
      </c>
      <c r="C61" s="64" t="s">
        <v>749</v>
      </c>
      <c r="D61" s="66">
        <v>37681.0</v>
      </c>
      <c r="E61" s="64" t="s">
        <v>760</v>
      </c>
      <c r="F61" s="64" t="s">
        <v>761</v>
      </c>
      <c r="G61" s="64" t="s">
        <v>762</v>
      </c>
      <c r="H61" s="64" t="s">
        <v>1827</v>
      </c>
      <c r="I61" s="58"/>
      <c r="J61" s="58"/>
      <c r="K61" s="58"/>
      <c r="L61" s="58"/>
      <c r="M61" s="58"/>
      <c r="N61" s="58"/>
      <c r="O61" s="58"/>
      <c r="P61" s="58"/>
      <c r="Q61" s="58"/>
      <c r="R61" s="58"/>
      <c r="S61" s="58"/>
      <c r="T61" s="58"/>
      <c r="U61" s="58"/>
      <c r="V61" s="58"/>
      <c r="W61" s="58"/>
      <c r="X61" s="58"/>
      <c r="Y61" s="58"/>
    </row>
    <row r="62">
      <c r="A62" s="58"/>
      <c r="B62" s="58"/>
      <c r="C62" s="58"/>
      <c r="D62" s="58"/>
      <c r="E62" s="58"/>
      <c r="F62" s="58"/>
      <c r="G62" s="58"/>
      <c r="H62" s="58"/>
      <c r="I62" s="58"/>
      <c r="J62" s="58"/>
      <c r="K62" s="58"/>
      <c r="L62" s="58"/>
      <c r="M62" s="58"/>
      <c r="N62" s="58"/>
      <c r="O62" s="58"/>
      <c r="P62" s="58"/>
      <c r="Q62" s="58"/>
      <c r="R62" s="58"/>
      <c r="S62" s="58"/>
      <c r="T62" s="58"/>
      <c r="U62" s="58"/>
      <c r="V62" s="58"/>
      <c r="W62" s="58"/>
      <c r="X62" s="58"/>
      <c r="Y62" s="58"/>
    </row>
    <row r="63">
      <c r="A63" s="58"/>
      <c r="B63" s="58"/>
      <c r="C63" s="58"/>
      <c r="D63" s="58"/>
      <c r="E63" s="58"/>
      <c r="F63" s="58"/>
      <c r="G63" s="58"/>
      <c r="H63" s="58"/>
      <c r="I63" s="58"/>
      <c r="J63" s="58"/>
      <c r="K63" s="58"/>
      <c r="L63" s="58"/>
      <c r="M63" s="58"/>
      <c r="N63" s="58"/>
      <c r="O63" s="58"/>
      <c r="P63" s="58"/>
      <c r="Q63" s="58"/>
      <c r="R63" s="58"/>
      <c r="S63" s="58"/>
      <c r="T63" s="58"/>
      <c r="U63" s="58"/>
      <c r="V63" s="58"/>
      <c r="W63" s="58"/>
      <c r="X63" s="58"/>
      <c r="Y63" s="58"/>
    </row>
    <row r="64">
      <c r="A64" s="58"/>
      <c r="B64" s="58"/>
      <c r="C64" s="58"/>
      <c r="D64" s="58"/>
      <c r="E64" s="58"/>
      <c r="F64" s="58"/>
      <c r="G64" s="58"/>
      <c r="H64" s="58"/>
      <c r="I64" s="58"/>
      <c r="J64" s="58"/>
      <c r="K64" s="58"/>
      <c r="L64" s="58"/>
      <c r="M64" s="58"/>
      <c r="N64" s="58"/>
      <c r="O64" s="58"/>
      <c r="P64" s="58"/>
      <c r="Q64" s="58"/>
      <c r="R64" s="58"/>
      <c r="S64" s="58"/>
      <c r="T64" s="58"/>
      <c r="U64" s="58"/>
      <c r="V64" s="58"/>
      <c r="W64" s="58"/>
      <c r="X64" s="58"/>
      <c r="Y64" s="58"/>
    </row>
    <row r="65">
      <c r="A65" s="58"/>
      <c r="B65" s="58"/>
      <c r="C65" s="58"/>
      <c r="D65" s="58"/>
      <c r="E65" s="58"/>
      <c r="F65" s="58"/>
      <c r="G65" s="58"/>
      <c r="H65" s="58"/>
      <c r="I65" s="58"/>
      <c r="J65" s="58"/>
      <c r="K65" s="58"/>
      <c r="L65" s="58"/>
      <c r="M65" s="58"/>
      <c r="N65" s="58"/>
      <c r="O65" s="58"/>
      <c r="P65" s="58"/>
      <c r="Q65" s="58"/>
      <c r="R65" s="58"/>
      <c r="S65" s="58"/>
      <c r="T65" s="58"/>
      <c r="U65" s="58"/>
      <c r="V65" s="58"/>
      <c r="W65" s="58"/>
      <c r="X65" s="58"/>
      <c r="Y65" s="58"/>
    </row>
    <row r="66">
      <c r="A66" s="58"/>
      <c r="B66" s="58"/>
      <c r="C66" s="58"/>
      <c r="D66" s="58"/>
      <c r="E66" s="58"/>
      <c r="F66" s="58"/>
      <c r="G66" s="58"/>
      <c r="H66" s="58"/>
      <c r="I66" s="58"/>
      <c r="J66" s="58"/>
      <c r="K66" s="58"/>
      <c r="L66" s="58"/>
      <c r="M66" s="58"/>
      <c r="N66" s="58"/>
      <c r="O66" s="58"/>
      <c r="P66" s="58"/>
      <c r="Q66" s="58"/>
      <c r="R66" s="58"/>
      <c r="S66" s="58"/>
      <c r="T66" s="58"/>
      <c r="U66" s="58"/>
      <c r="V66" s="58"/>
      <c r="W66" s="58"/>
      <c r="X66" s="58"/>
      <c r="Y66" s="58"/>
    </row>
    <row r="67">
      <c r="A67" s="58"/>
      <c r="B67" s="58"/>
      <c r="C67" s="58"/>
      <c r="D67" s="58"/>
      <c r="E67" s="58"/>
      <c r="F67" s="58"/>
      <c r="G67" s="58"/>
      <c r="H67" s="58"/>
      <c r="I67" s="58"/>
      <c r="J67" s="58"/>
      <c r="K67" s="58"/>
      <c r="L67" s="58"/>
      <c r="M67" s="58"/>
      <c r="N67" s="58"/>
      <c r="O67" s="58"/>
      <c r="P67" s="58"/>
      <c r="Q67" s="58"/>
      <c r="R67" s="58"/>
      <c r="S67" s="58"/>
      <c r="T67" s="58"/>
      <c r="U67" s="58"/>
      <c r="V67" s="58"/>
      <c r="W67" s="58"/>
      <c r="X67" s="58"/>
      <c r="Y67" s="58"/>
    </row>
    <row r="68">
      <c r="A68" s="58"/>
      <c r="B68" s="58"/>
      <c r="C68" s="58"/>
      <c r="D68" s="58"/>
      <c r="E68" s="58"/>
      <c r="F68" s="58"/>
      <c r="G68" s="58"/>
      <c r="H68" s="58"/>
      <c r="I68" s="58"/>
      <c r="J68" s="58"/>
      <c r="K68" s="58"/>
      <c r="L68" s="58"/>
      <c r="M68" s="58"/>
      <c r="N68" s="58"/>
      <c r="O68" s="58"/>
      <c r="P68" s="58"/>
      <c r="Q68" s="58"/>
      <c r="R68" s="58"/>
      <c r="S68" s="58"/>
      <c r="T68" s="58"/>
      <c r="U68" s="58"/>
      <c r="V68" s="58"/>
      <c r="W68" s="58"/>
      <c r="X68" s="58"/>
      <c r="Y68" s="58"/>
    </row>
    <row r="69">
      <c r="A69" s="58"/>
      <c r="B69" s="58"/>
      <c r="C69" s="58"/>
      <c r="D69" s="58"/>
      <c r="E69" s="58"/>
      <c r="F69" s="58"/>
      <c r="G69" s="58"/>
      <c r="H69" s="58"/>
      <c r="I69" s="58"/>
      <c r="J69" s="58"/>
      <c r="K69" s="58"/>
      <c r="L69" s="58"/>
      <c r="M69" s="58"/>
      <c r="N69" s="58"/>
      <c r="O69" s="58"/>
      <c r="P69" s="58"/>
      <c r="Q69" s="58"/>
      <c r="R69" s="58"/>
      <c r="S69" s="58"/>
      <c r="T69" s="58"/>
      <c r="U69" s="58"/>
      <c r="V69" s="58"/>
      <c r="W69" s="58"/>
      <c r="X69" s="58"/>
      <c r="Y69" s="58"/>
    </row>
    <row r="70">
      <c r="A70" s="58"/>
      <c r="B70" s="58"/>
      <c r="C70" s="58"/>
      <c r="D70" s="58"/>
      <c r="E70" s="58"/>
      <c r="F70" s="58"/>
      <c r="G70" s="58"/>
      <c r="H70" s="58"/>
      <c r="I70" s="58"/>
      <c r="J70" s="58"/>
      <c r="K70" s="58"/>
      <c r="L70" s="58"/>
      <c r="M70" s="58"/>
      <c r="N70" s="58"/>
      <c r="O70" s="58"/>
      <c r="P70" s="58"/>
      <c r="Q70" s="58"/>
      <c r="R70" s="58"/>
      <c r="S70" s="58"/>
      <c r="T70" s="58"/>
      <c r="U70" s="58"/>
      <c r="V70" s="58"/>
      <c r="W70" s="58"/>
      <c r="X70" s="58"/>
      <c r="Y70" s="58"/>
    </row>
    <row r="71">
      <c r="A71" s="58"/>
      <c r="B71" s="58"/>
      <c r="C71" s="58"/>
      <c r="D71" s="58"/>
      <c r="E71" s="58"/>
      <c r="F71" s="58"/>
      <c r="G71" s="58"/>
      <c r="H71" s="58"/>
      <c r="I71" s="58"/>
      <c r="J71" s="58"/>
      <c r="K71" s="58"/>
      <c r="L71" s="58"/>
      <c r="M71" s="58"/>
      <c r="N71" s="58"/>
      <c r="O71" s="58"/>
      <c r="P71" s="58"/>
      <c r="Q71" s="58"/>
      <c r="R71" s="58"/>
      <c r="S71" s="58"/>
      <c r="T71" s="58"/>
      <c r="U71" s="58"/>
      <c r="V71" s="58"/>
      <c r="W71" s="58"/>
      <c r="X71" s="58"/>
      <c r="Y71" s="58"/>
    </row>
    <row r="72">
      <c r="A72" s="58"/>
      <c r="B72" s="58"/>
      <c r="C72" s="58"/>
      <c r="D72" s="58"/>
      <c r="E72" s="58"/>
      <c r="F72" s="58"/>
      <c r="G72" s="58"/>
      <c r="H72" s="58"/>
      <c r="I72" s="58"/>
      <c r="J72" s="58"/>
      <c r="K72" s="58"/>
      <c r="L72" s="58"/>
      <c r="M72" s="58"/>
      <c r="N72" s="58"/>
      <c r="O72" s="58"/>
      <c r="P72" s="58"/>
      <c r="Q72" s="58"/>
      <c r="R72" s="58"/>
      <c r="S72" s="58"/>
      <c r="T72" s="58"/>
      <c r="U72" s="58"/>
      <c r="V72" s="58"/>
      <c r="W72" s="58"/>
      <c r="X72" s="58"/>
      <c r="Y72" s="58"/>
    </row>
    <row r="73">
      <c r="A73" s="58"/>
      <c r="B73" s="58"/>
      <c r="C73" s="58"/>
      <c r="D73" s="58"/>
      <c r="E73" s="58"/>
      <c r="F73" s="58"/>
      <c r="G73" s="58"/>
      <c r="H73" s="58"/>
      <c r="I73" s="58"/>
      <c r="J73" s="58"/>
      <c r="K73" s="58"/>
      <c r="L73" s="58"/>
      <c r="M73" s="58"/>
      <c r="N73" s="58"/>
      <c r="O73" s="58"/>
      <c r="P73" s="58"/>
      <c r="Q73" s="58"/>
      <c r="R73" s="58"/>
      <c r="S73" s="58"/>
      <c r="T73" s="58"/>
      <c r="U73" s="58"/>
      <c r="V73" s="58"/>
      <c r="W73" s="58"/>
      <c r="X73" s="58"/>
      <c r="Y73" s="58"/>
    </row>
    <row r="74">
      <c r="A74" s="58"/>
      <c r="B74" s="58"/>
      <c r="C74" s="58"/>
      <c r="D74" s="58"/>
      <c r="E74" s="58"/>
      <c r="F74" s="58"/>
      <c r="G74" s="58"/>
      <c r="H74" s="58"/>
      <c r="I74" s="58"/>
      <c r="J74" s="58"/>
      <c r="K74" s="58"/>
      <c r="L74" s="58"/>
      <c r="M74" s="58"/>
      <c r="N74" s="58"/>
      <c r="O74" s="58"/>
      <c r="P74" s="58"/>
      <c r="Q74" s="58"/>
      <c r="R74" s="58"/>
      <c r="S74" s="58"/>
      <c r="T74" s="58"/>
      <c r="U74" s="58"/>
      <c r="V74" s="58"/>
      <c r="W74" s="58"/>
      <c r="X74" s="58"/>
      <c r="Y74" s="58"/>
    </row>
    <row r="75">
      <c r="A75" s="58"/>
      <c r="B75" s="58"/>
      <c r="C75" s="58"/>
      <c r="D75" s="58"/>
      <c r="E75" s="58"/>
      <c r="F75" s="58"/>
      <c r="G75" s="58"/>
      <c r="H75" s="58"/>
      <c r="I75" s="58"/>
      <c r="J75" s="58"/>
      <c r="K75" s="58"/>
      <c r="L75" s="58"/>
      <c r="M75" s="58"/>
      <c r="N75" s="58"/>
      <c r="O75" s="58"/>
      <c r="P75" s="58"/>
      <c r="Q75" s="58"/>
      <c r="R75" s="58"/>
      <c r="S75" s="58"/>
      <c r="T75" s="58"/>
      <c r="U75" s="58"/>
      <c r="V75" s="58"/>
      <c r="W75" s="58"/>
      <c r="X75" s="58"/>
      <c r="Y75" s="58"/>
    </row>
    <row r="76">
      <c r="A76" s="58"/>
      <c r="B76" s="58"/>
      <c r="C76" s="58"/>
      <c r="D76" s="58"/>
      <c r="E76" s="58"/>
      <c r="F76" s="58"/>
      <c r="G76" s="58"/>
      <c r="H76" s="58"/>
      <c r="I76" s="58"/>
      <c r="J76" s="58"/>
      <c r="K76" s="58"/>
      <c r="L76" s="58"/>
      <c r="M76" s="58"/>
      <c r="N76" s="58"/>
      <c r="O76" s="58"/>
      <c r="P76" s="58"/>
      <c r="Q76" s="58"/>
      <c r="R76" s="58"/>
      <c r="S76" s="58"/>
      <c r="T76" s="58"/>
      <c r="U76" s="58"/>
      <c r="V76" s="58"/>
      <c r="W76" s="58"/>
      <c r="X76" s="58"/>
      <c r="Y76" s="58"/>
    </row>
    <row r="77">
      <c r="A77" s="58"/>
      <c r="B77" s="58"/>
      <c r="C77" s="58"/>
      <c r="D77" s="58"/>
      <c r="E77" s="58"/>
      <c r="F77" s="58"/>
      <c r="G77" s="58"/>
      <c r="H77" s="58"/>
      <c r="I77" s="58"/>
      <c r="J77" s="58"/>
      <c r="K77" s="58"/>
      <c r="L77" s="58"/>
      <c r="M77" s="58"/>
      <c r="N77" s="58"/>
      <c r="O77" s="58"/>
      <c r="P77" s="58"/>
      <c r="Q77" s="58"/>
      <c r="R77" s="58"/>
      <c r="S77" s="58"/>
      <c r="T77" s="58"/>
      <c r="U77" s="58"/>
      <c r="V77" s="58"/>
      <c r="W77" s="58"/>
      <c r="X77" s="58"/>
      <c r="Y77" s="58"/>
    </row>
    <row r="78">
      <c r="A78" s="58"/>
      <c r="B78" s="58"/>
      <c r="C78" s="58"/>
      <c r="D78" s="58"/>
      <c r="E78" s="58"/>
      <c r="F78" s="58"/>
      <c r="G78" s="58"/>
      <c r="H78" s="58"/>
      <c r="I78" s="58"/>
      <c r="J78" s="58"/>
      <c r="K78" s="58"/>
      <c r="L78" s="58"/>
      <c r="M78" s="58"/>
      <c r="N78" s="58"/>
      <c r="O78" s="58"/>
      <c r="P78" s="58"/>
      <c r="Q78" s="58"/>
      <c r="R78" s="58"/>
      <c r="S78" s="58"/>
      <c r="T78" s="58"/>
      <c r="U78" s="58"/>
      <c r="V78" s="58"/>
      <c r="W78" s="58"/>
      <c r="X78" s="58"/>
      <c r="Y78" s="58"/>
    </row>
    <row r="79">
      <c r="A79" s="58"/>
      <c r="B79" s="58"/>
      <c r="C79" s="58"/>
      <c r="D79" s="58"/>
      <c r="E79" s="58"/>
      <c r="F79" s="58"/>
      <c r="G79" s="58"/>
      <c r="H79" s="58"/>
      <c r="I79" s="58"/>
      <c r="J79" s="58"/>
      <c r="K79" s="58"/>
      <c r="L79" s="58"/>
      <c r="M79" s="58"/>
      <c r="N79" s="58"/>
      <c r="O79" s="58"/>
      <c r="P79" s="58"/>
      <c r="Q79" s="58"/>
      <c r="R79" s="58"/>
      <c r="S79" s="58"/>
      <c r="T79" s="58"/>
      <c r="U79" s="58"/>
      <c r="V79" s="58"/>
      <c r="W79" s="58"/>
      <c r="X79" s="58"/>
      <c r="Y79" s="58"/>
    </row>
    <row r="80">
      <c r="A80" s="58"/>
      <c r="B80" s="58"/>
      <c r="C80" s="58"/>
      <c r="D80" s="58"/>
      <c r="E80" s="58"/>
      <c r="F80" s="58"/>
      <c r="G80" s="58"/>
      <c r="H80" s="58"/>
      <c r="I80" s="58"/>
      <c r="J80" s="58"/>
      <c r="K80" s="58"/>
      <c r="L80" s="58"/>
      <c r="M80" s="58"/>
      <c r="N80" s="58"/>
      <c r="O80" s="58"/>
      <c r="P80" s="58"/>
      <c r="Q80" s="58"/>
      <c r="R80" s="58"/>
      <c r="S80" s="58"/>
      <c r="T80" s="58"/>
      <c r="U80" s="58"/>
      <c r="V80" s="58"/>
      <c r="W80" s="58"/>
      <c r="X80" s="58"/>
      <c r="Y80" s="58"/>
    </row>
    <row r="81">
      <c r="A81" s="58"/>
      <c r="B81" s="58"/>
      <c r="C81" s="58"/>
      <c r="D81" s="58"/>
      <c r="E81" s="58"/>
      <c r="F81" s="58"/>
      <c r="G81" s="58"/>
      <c r="H81" s="58"/>
      <c r="I81" s="58"/>
      <c r="J81" s="58"/>
      <c r="K81" s="58"/>
      <c r="L81" s="58"/>
      <c r="M81" s="58"/>
      <c r="N81" s="58"/>
      <c r="O81" s="58"/>
      <c r="P81" s="58"/>
      <c r="Q81" s="58"/>
      <c r="R81" s="58"/>
      <c r="S81" s="58"/>
      <c r="T81" s="58"/>
      <c r="U81" s="58"/>
      <c r="V81" s="58"/>
      <c r="W81" s="58"/>
      <c r="X81" s="58"/>
      <c r="Y81" s="58"/>
    </row>
    <row r="82">
      <c r="A82" s="58"/>
      <c r="B82" s="58"/>
      <c r="C82" s="58"/>
      <c r="D82" s="58"/>
      <c r="E82" s="58"/>
      <c r="F82" s="58"/>
      <c r="G82" s="58"/>
      <c r="H82" s="58"/>
      <c r="I82" s="58"/>
      <c r="J82" s="58"/>
      <c r="K82" s="58"/>
      <c r="L82" s="58"/>
      <c r="M82" s="58"/>
      <c r="N82" s="58"/>
      <c r="O82" s="58"/>
      <c r="P82" s="58"/>
      <c r="Q82" s="58"/>
      <c r="R82" s="58"/>
      <c r="S82" s="58"/>
      <c r="T82" s="58"/>
      <c r="U82" s="58"/>
      <c r="V82" s="58"/>
      <c r="W82" s="58"/>
      <c r="X82" s="58"/>
      <c r="Y82" s="58"/>
    </row>
    <row r="83">
      <c r="A83" s="58"/>
      <c r="B83" s="58"/>
      <c r="C83" s="58"/>
      <c r="D83" s="58"/>
      <c r="E83" s="58"/>
      <c r="F83" s="58"/>
      <c r="G83" s="58"/>
      <c r="H83" s="58"/>
      <c r="I83" s="58"/>
      <c r="J83" s="58"/>
      <c r="K83" s="58"/>
      <c r="L83" s="58"/>
      <c r="M83" s="58"/>
      <c r="N83" s="58"/>
      <c r="O83" s="58"/>
      <c r="P83" s="58"/>
      <c r="Q83" s="58"/>
      <c r="R83" s="58"/>
      <c r="S83" s="58"/>
      <c r="T83" s="58"/>
      <c r="U83" s="58"/>
      <c r="V83" s="58"/>
      <c r="W83" s="58"/>
      <c r="X83" s="58"/>
      <c r="Y83" s="58"/>
    </row>
    <row r="84">
      <c r="A84" s="58"/>
      <c r="B84" s="58"/>
      <c r="C84" s="58"/>
      <c r="D84" s="58"/>
      <c r="E84" s="58"/>
      <c r="F84" s="58"/>
      <c r="G84" s="58"/>
      <c r="H84" s="58"/>
      <c r="I84" s="58"/>
      <c r="J84" s="58"/>
      <c r="K84" s="58"/>
      <c r="L84" s="58"/>
      <c r="M84" s="58"/>
      <c r="N84" s="58"/>
      <c r="O84" s="58"/>
      <c r="P84" s="58"/>
      <c r="Q84" s="58"/>
      <c r="R84" s="58"/>
      <c r="S84" s="58"/>
      <c r="T84" s="58"/>
      <c r="U84" s="58"/>
      <c r="V84" s="58"/>
      <c r="W84" s="58"/>
      <c r="X84" s="58"/>
      <c r="Y84" s="58"/>
    </row>
    <row r="85">
      <c r="A85" s="58"/>
      <c r="B85" s="58"/>
      <c r="C85" s="58"/>
      <c r="D85" s="58"/>
      <c r="E85" s="58"/>
      <c r="F85" s="58"/>
      <c r="G85" s="58"/>
      <c r="H85" s="58"/>
      <c r="I85" s="58"/>
      <c r="J85" s="58"/>
      <c r="K85" s="58"/>
      <c r="L85" s="58"/>
      <c r="M85" s="58"/>
      <c r="N85" s="58"/>
      <c r="O85" s="58"/>
      <c r="P85" s="58"/>
      <c r="Q85" s="58"/>
      <c r="R85" s="58"/>
      <c r="S85" s="58"/>
      <c r="T85" s="58"/>
      <c r="U85" s="58"/>
      <c r="V85" s="58"/>
      <c r="W85" s="58"/>
      <c r="X85" s="58"/>
      <c r="Y85" s="58"/>
    </row>
    <row r="86">
      <c r="A86" s="58"/>
      <c r="B86" s="58"/>
      <c r="C86" s="58"/>
      <c r="D86" s="58"/>
      <c r="E86" s="58"/>
      <c r="F86" s="58"/>
      <c r="G86" s="58"/>
      <c r="H86" s="58"/>
      <c r="I86" s="58"/>
      <c r="J86" s="58"/>
      <c r="K86" s="58"/>
      <c r="L86" s="58"/>
      <c r="M86" s="58"/>
      <c r="N86" s="58"/>
      <c r="O86" s="58"/>
      <c r="P86" s="58"/>
      <c r="Q86" s="58"/>
      <c r="R86" s="58"/>
      <c r="S86" s="58"/>
      <c r="T86" s="58"/>
      <c r="U86" s="58"/>
      <c r="V86" s="58"/>
      <c r="W86" s="58"/>
      <c r="X86" s="58"/>
      <c r="Y86" s="58"/>
    </row>
    <row r="87">
      <c r="A87" s="58"/>
      <c r="B87" s="58"/>
      <c r="C87" s="58"/>
      <c r="D87" s="58"/>
      <c r="E87" s="58"/>
      <c r="F87" s="58"/>
      <c r="G87" s="58"/>
      <c r="H87" s="58"/>
      <c r="I87" s="58"/>
      <c r="J87" s="58"/>
      <c r="K87" s="58"/>
      <c r="L87" s="58"/>
      <c r="M87" s="58"/>
      <c r="N87" s="58"/>
      <c r="O87" s="58"/>
      <c r="P87" s="58"/>
      <c r="Q87" s="58"/>
      <c r="R87" s="58"/>
      <c r="S87" s="58"/>
      <c r="T87" s="58"/>
      <c r="U87" s="58"/>
      <c r="V87" s="58"/>
      <c r="W87" s="58"/>
      <c r="X87" s="58"/>
      <c r="Y87" s="58"/>
    </row>
    <row r="88">
      <c r="A88" s="58"/>
      <c r="B88" s="58"/>
      <c r="C88" s="58"/>
      <c r="D88" s="58"/>
      <c r="E88" s="58"/>
      <c r="F88" s="58"/>
      <c r="G88" s="58"/>
      <c r="H88" s="58"/>
      <c r="I88" s="58"/>
      <c r="J88" s="58"/>
      <c r="K88" s="58"/>
      <c r="L88" s="58"/>
      <c r="M88" s="58"/>
      <c r="N88" s="58"/>
      <c r="O88" s="58"/>
      <c r="P88" s="58"/>
      <c r="Q88" s="58"/>
      <c r="R88" s="58"/>
      <c r="S88" s="58"/>
      <c r="T88" s="58"/>
      <c r="U88" s="58"/>
      <c r="V88" s="58"/>
      <c r="W88" s="58"/>
      <c r="X88" s="58"/>
      <c r="Y88" s="58"/>
    </row>
    <row r="89">
      <c r="A89" s="58"/>
      <c r="B89" s="58"/>
      <c r="C89" s="58"/>
      <c r="D89" s="58"/>
      <c r="E89" s="58"/>
      <c r="F89" s="58"/>
      <c r="G89" s="58"/>
      <c r="H89" s="58"/>
      <c r="I89" s="58"/>
      <c r="J89" s="58"/>
      <c r="K89" s="58"/>
      <c r="L89" s="58"/>
      <c r="M89" s="58"/>
      <c r="N89" s="58"/>
      <c r="O89" s="58"/>
      <c r="P89" s="58"/>
      <c r="Q89" s="58"/>
      <c r="R89" s="58"/>
      <c r="S89" s="58"/>
      <c r="T89" s="58"/>
      <c r="U89" s="58"/>
      <c r="V89" s="58"/>
      <c r="W89" s="58"/>
      <c r="X89" s="58"/>
      <c r="Y89" s="58"/>
    </row>
    <row r="90">
      <c r="A90" s="58"/>
      <c r="B90" s="58"/>
      <c r="C90" s="58"/>
      <c r="D90" s="58"/>
      <c r="E90" s="58"/>
      <c r="F90" s="58"/>
      <c r="G90" s="58"/>
      <c r="H90" s="58"/>
      <c r="I90" s="58"/>
      <c r="J90" s="58"/>
      <c r="K90" s="58"/>
      <c r="L90" s="58"/>
      <c r="M90" s="58"/>
      <c r="N90" s="58"/>
      <c r="O90" s="58"/>
      <c r="P90" s="58"/>
      <c r="Q90" s="58"/>
      <c r="R90" s="58"/>
      <c r="S90" s="58"/>
      <c r="T90" s="58"/>
      <c r="U90" s="58"/>
      <c r="V90" s="58"/>
      <c r="W90" s="58"/>
      <c r="X90" s="58"/>
      <c r="Y90" s="58"/>
    </row>
    <row r="91">
      <c r="A91" s="58"/>
      <c r="B91" s="58"/>
      <c r="C91" s="58"/>
      <c r="D91" s="58"/>
      <c r="E91" s="58"/>
      <c r="F91" s="58"/>
      <c r="G91" s="58"/>
      <c r="H91" s="58"/>
      <c r="I91" s="58"/>
      <c r="J91" s="58"/>
      <c r="K91" s="58"/>
      <c r="L91" s="58"/>
      <c r="M91" s="58"/>
      <c r="N91" s="58"/>
      <c r="O91" s="58"/>
      <c r="P91" s="58"/>
      <c r="Q91" s="58"/>
      <c r="R91" s="58"/>
      <c r="S91" s="58"/>
      <c r="T91" s="58"/>
      <c r="U91" s="58"/>
      <c r="V91" s="58"/>
      <c r="W91" s="58"/>
      <c r="X91" s="58"/>
      <c r="Y91" s="58"/>
    </row>
    <row r="92">
      <c r="A92" s="58"/>
      <c r="B92" s="58"/>
      <c r="C92" s="58"/>
      <c r="D92" s="58"/>
      <c r="E92" s="58"/>
      <c r="F92" s="58"/>
      <c r="G92" s="58"/>
      <c r="H92" s="58"/>
      <c r="I92" s="58"/>
      <c r="J92" s="58"/>
      <c r="K92" s="58"/>
      <c r="L92" s="58"/>
      <c r="M92" s="58"/>
      <c r="N92" s="58"/>
      <c r="O92" s="58"/>
      <c r="P92" s="58"/>
      <c r="Q92" s="58"/>
      <c r="R92" s="58"/>
      <c r="S92" s="58"/>
      <c r="T92" s="58"/>
      <c r="U92" s="58"/>
      <c r="V92" s="58"/>
      <c r="W92" s="58"/>
      <c r="X92" s="58"/>
      <c r="Y92" s="58"/>
    </row>
    <row r="93">
      <c r="A93" s="58"/>
      <c r="B93" s="58"/>
      <c r="C93" s="58"/>
      <c r="D93" s="58"/>
      <c r="E93" s="58"/>
      <c r="F93" s="58"/>
      <c r="G93" s="58"/>
      <c r="H93" s="58"/>
      <c r="I93" s="58"/>
      <c r="J93" s="58"/>
      <c r="K93" s="58"/>
      <c r="L93" s="58"/>
      <c r="M93" s="58"/>
      <c r="N93" s="58"/>
      <c r="O93" s="58"/>
      <c r="P93" s="58"/>
      <c r="Q93" s="58"/>
      <c r="R93" s="58"/>
      <c r="S93" s="58"/>
      <c r="T93" s="58"/>
      <c r="U93" s="58"/>
      <c r="V93" s="58"/>
      <c r="W93" s="58"/>
      <c r="X93" s="58"/>
      <c r="Y93" s="58"/>
    </row>
    <row r="94">
      <c r="A94" s="58"/>
      <c r="B94" s="58"/>
      <c r="C94" s="58"/>
      <c r="D94" s="58"/>
      <c r="E94" s="58"/>
      <c r="F94" s="58"/>
      <c r="G94" s="58"/>
      <c r="H94" s="58"/>
      <c r="I94" s="58"/>
      <c r="J94" s="58"/>
      <c r="K94" s="58"/>
      <c r="L94" s="58"/>
      <c r="M94" s="58"/>
      <c r="N94" s="58"/>
      <c r="O94" s="58"/>
      <c r="P94" s="58"/>
      <c r="Q94" s="58"/>
      <c r="R94" s="58"/>
      <c r="S94" s="58"/>
      <c r="T94" s="58"/>
      <c r="U94" s="58"/>
      <c r="V94" s="58"/>
      <c r="W94" s="58"/>
      <c r="X94" s="58"/>
      <c r="Y94" s="58"/>
    </row>
    <row r="95">
      <c r="A95" s="58"/>
      <c r="B95" s="58"/>
      <c r="C95" s="58"/>
      <c r="D95" s="58"/>
      <c r="E95" s="58"/>
      <c r="F95" s="58"/>
      <c r="G95" s="58"/>
      <c r="H95" s="58"/>
      <c r="I95" s="58"/>
      <c r="J95" s="58"/>
      <c r="K95" s="58"/>
      <c r="L95" s="58"/>
      <c r="M95" s="58"/>
      <c r="N95" s="58"/>
      <c r="O95" s="58"/>
      <c r="P95" s="58"/>
      <c r="Q95" s="58"/>
      <c r="R95" s="58"/>
      <c r="S95" s="58"/>
      <c r="T95" s="58"/>
      <c r="U95" s="58"/>
      <c r="V95" s="58"/>
      <c r="W95" s="58"/>
      <c r="X95" s="58"/>
      <c r="Y95" s="58"/>
    </row>
    <row r="96">
      <c r="A96" s="58"/>
      <c r="B96" s="58"/>
      <c r="C96" s="58"/>
      <c r="D96" s="58"/>
      <c r="E96" s="58"/>
      <c r="F96" s="58"/>
      <c r="G96" s="58"/>
      <c r="H96" s="58"/>
      <c r="I96" s="58"/>
      <c r="J96" s="58"/>
      <c r="K96" s="58"/>
      <c r="L96" s="58"/>
      <c r="M96" s="58"/>
      <c r="N96" s="58"/>
      <c r="O96" s="58"/>
      <c r="P96" s="58"/>
      <c r="Q96" s="58"/>
      <c r="R96" s="58"/>
      <c r="S96" s="58"/>
      <c r="T96" s="58"/>
      <c r="U96" s="58"/>
      <c r="V96" s="58"/>
      <c r="W96" s="58"/>
      <c r="X96" s="58"/>
      <c r="Y96" s="58"/>
    </row>
    <row r="97">
      <c r="A97" s="58"/>
      <c r="B97" s="58"/>
      <c r="C97" s="58"/>
      <c r="D97" s="58"/>
      <c r="E97" s="58"/>
      <c r="F97" s="58"/>
      <c r="G97" s="58"/>
      <c r="H97" s="58"/>
      <c r="I97" s="58"/>
      <c r="J97" s="58"/>
      <c r="K97" s="58"/>
      <c r="L97" s="58"/>
      <c r="M97" s="58"/>
      <c r="N97" s="58"/>
      <c r="O97" s="58"/>
      <c r="P97" s="58"/>
      <c r="Q97" s="58"/>
      <c r="R97" s="58"/>
      <c r="S97" s="58"/>
      <c r="T97" s="58"/>
      <c r="U97" s="58"/>
      <c r="V97" s="58"/>
      <c r="W97" s="58"/>
      <c r="X97" s="58"/>
      <c r="Y97" s="58"/>
    </row>
    <row r="98">
      <c r="A98" s="58"/>
      <c r="B98" s="58"/>
      <c r="C98" s="58"/>
      <c r="D98" s="58"/>
      <c r="E98" s="58"/>
      <c r="F98" s="58"/>
      <c r="G98" s="58"/>
      <c r="H98" s="58"/>
      <c r="I98" s="58"/>
      <c r="J98" s="58"/>
      <c r="K98" s="58"/>
      <c r="L98" s="58"/>
      <c r="M98" s="58"/>
      <c r="N98" s="58"/>
      <c r="O98" s="58"/>
      <c r="P98" s="58"/>
      <c r="Q98" s="58"/>
      <c r="R98" s="58"/>
      <c r="S98" s="58"/>
      <c r="T98" s="58"/>
      <c r="U98" s="58"/>
      <c r="V98" s="58"/>
      <c r="W98" s="58"/>
      <c r="X98" s="58"/>
      <c r="Y98" s="58"/>
    </row>
    <row r="99">
      <c r="A99" s="58"/>
      <c r="B99" s="58"/>
      <c r="C99" s="58"/>
      <c r="D99" s="58"/>
      <c r="E99" s="58"/>
      <c r="F99" s="58"/>
      <c r="G99" s="58"/>
      <c r="H99" s="58"/>
      <c r="I99" s="58"/>
      <c r="J99" s="58"/>
      <c r="K99" s="58"/>
      <c r="L99" s="58"/>
      <c r="M99" s="58"/>
      <c r="N99" s="58"/>
      <c r="O99" s="58"/>
      <c r="P99" s="58"/>
      <c r="Q99" s="58"/>
      <c r="R99" s="58"/>
      <c r="S99" s="58"/>
      <c r="T99" s="58"/>
      <c r="U99" s="58"/>
      <c r="V99" s="58"/>
      <c r="W99" s="58"/>
      <c r="X99" s="58"/>
      <c r="Y99" s="58"/>
    </row>
    <row r="100">
      <c r="A100" s="58"/>
      <c r="B100" s="58"/>
      <c r="C100" s="58"/>
      <c r="D100" s="58"/>
      <c r="E100" s="58"/>
      <c r="F100" s="58"/>
      <c r="G100" s="58"/>
      <c r="H100" s="58"/>
      <c r="I100" s="58"/>
      <c r="J100" s="58"/>
      <c r="K100" s="58"/>
      <c r="L100" s="58"/>
      <c r="M100" s="58"/>
      <c r="N100" s="58"/>
      <c r="O100" s="58"/>
      <c r="P100" s="58"/>
      <c r="Q100" s="58"/>
      <c r="R100" s="58"/>
      <c r="S100" s="58"/>
      <c r="T100" s="58"/>
      <c r="U100" s="58"/>
      <c r="V100" s="58"/>
      <c r="W100" s="58"/>
      <c r="X100" s="58"/>
      <c r="Y100" s="58"/>
    </row>
    <row r="101">
      <c r="A101" s="58"/>
      <c r="B101" s="58"/>
      <c r="C101" s="58"/>
      <c r="D101" s="58"/>
      <c r="E101" s="58"/>
      <c r="F101" s="58"/>
      <c r="G101" s="58"/>
      <c r="H101" s="58"/>
      <c r="I101" s="58"/>
      <c r="J101" s="58"/>
      <c r="K101" s="58"/>
      <c r="L101" s="58"/>
      <c r="M101" s="58"/>
      <c r="N101" s="58"/>
      <c r="O101" s="58"/>
      <c r="P101" s="58"/>
      <c r="Q101" s="58"/>
      <c r="R101" s="58"/>
      <c r="S101" s="58"/>
      <c r="T101" s="58"/>
      <c r="U101" s="58"/>
      <c r="V101" s="58"/>
      <c r="W101" s="58"/>
      <c r="X101" s="58"/>
      <c r="Y101" s="58"/>
    </row>
    <row r="102">
      <c r="A102" s="58"/>
      <c r="B102" s="58"/>
      <c r="C102" s="58"/>
      <c r="D102" s="58"/>
      <c r="E102" s="58"/>
      <c r="F102" s="58"/>
      <c r="G102" s="58"/>
      <c r="H102" s="58"/>
      <c r="I102" s="58"/>
      <c r="J102" s="58"/>
      <c r="K102" s="58"/>
      <c r="L102" s="58"/>
      <c r="M102" s="58"/>
      <c r="N102" s="58"/>
      <c r="O102" s="58"/>
      <c r="P102" s="58"/>
      <c r="Q102" s="58"/>
      <c r="R102" s="58"/>
      <c r="S102" s="58"/>
      <c r="T102" s="58"/>
      <c r="U102" s="58"/>
      <c r="V102" s="58"/>
      <c r="W102" s="58"/>
      <c r="X102" s="58"/>
      <c r="Y102" s="58"/>
    </row>
    <row r="103">
      <c r="A103" s="58"/>
      <c r="B103" s="58"/>
      <c r="C103" s="58"/>
      <c r="D103" s="58"/>
      <c r="E103" s="58"/>
      <c r="F103" s="58"/>
      <c r="G103" s="58"/>
      <c r="H103" s="58"/>
      <c r="I103" s="58"/>
      <c r="J103" s="58"/>
      <c r="K103" s="58"/>
      <c r="L103" s="58"/>
      <c r="M103" s="58"/>
      <c r="N103" s="58"/>
      <c r="O103" s="58"/>
      <c r="P103" s="58"/>
      <c r="Q103" s="58"/>
      <c r="R103" s="58"/>
      <c r="S103" s="58"/>
      <c r="T103" s="58"/>
      <c r="U103" s="58"/>
      <c r="V103" s="58"/>
      <c r="W103" s="58"/>
      <c r="X103" s="58"/>
      <c r="Y103" s="58"/>
    </row>
    <row r="104">
      <c r="A104" s="58"/>
      <c r="B104" s="58"/>
      <c r="C104" s="58"/>
      <c r="D104" s="58"/>
      <c r="E104" s="58"/>
      <c r="F104" s="58"/>
      <c r="G104" s="58"/>
      <c r="H104" s="58"/>
      <c r="I104" s="58"/>
      <c r="J104" s="58"/>
      <c r="K104" s="58"/>
      <c r="L104" s="58"/>
      <c r="M104" s="58"/>
      <c r="N104" s="58"/>
      <c r="O104" s="58"/>
      <c r="P104" s="58"/>
      <c r="Q104" s="58"/>
      <c r="R104" s="58"/>
      <c r="S104" s="58"/>
      <c r="T104" s="58"/>
      <c r="U104" s="58"/>
      <c r="V104" s="58"/>
      <c r="W104" s="58"/>
      <c r="X104" s="58"/>
      <c r="Y104" s="58"/>
    </row>
    <row r="105">
      <c r="A105" s="58"/>
      <c r="B105" s="58"/>
      <c r="C105" s="58"/>
      <c r="D105" s="58"/>
      <c r="E105" s="58"/>
      <c r="F105" s="58"/>
      <c r="G105" s="58"/>
      <c r="H105" s="58"/>
      <c r="I105" s="58"/>
      <c r="J105" s="58"/>
      <c r="K105" s="58"/>
      <c r="L105" s="58"/>
      <c r="M105" s="58"/>
      <c r="N105" s="58"/>
      <c r="O105" s="58"/>
      <c r="P105" s="58"/>
      <c r="Q105" s="58"/>
      <c r="R105" s="58"/>
      <c r="S105" s="58"/>
      <c r="T105" s="58"/>
      <c r="U105" s="58"/>
      <c r="V105" s="58"/>
      <c r="W105" s="58"/>
      <c r="X105" s="58"/>
      <c r="Y105" s="58"/>
    </row>
    <row r="106">
      <c r="A106" s="58"/>
      <c r="B106" s="58"/>
      <c r="C106" s="58"/>
      <c r="D106" s="58"/>
      <c r="E106" s="58"/>
      <c r="F106" s="58"/>
      <c r="G106" s="58"/>
      <c r="H106" s="58"/>
      <c r="I106" s="58"/>
      <c r="J106" s="58"/>
      <c r="K106" s="58"/>
      <c r="L106" s="58"/>
      <c r="M106" s="58"/>
      <c r="N106" s="58"/>
      <c r="O106" s="58"/>
      <c r="P106" s="58"/>
      <c r="Q106" s="58"/>
      <c r="R106" s="58"/>
      <c r="S106" s="58"/>
      <c r="T106" s="58"/>
      <c r="U106" s="58"/>
      <c r="V106" s="58"/>
      <c r="W106" s="58"/>
      <c r="X106" s="58"/>
      <c r="Y106" s="58"/>
    </row>
    <row r="107">
      <c r="A107" s="58"/>
      <c r="B107" s="58"/>
      <c r="C107" s="58"/>
      <c r="D107" s="58"/>
      <c r="E107" s="58"/>
      <c r="F107" s="58"/>
      <c r="G107" s="58"/>
      <c r="H107" s="58"/>
      <c r="I107" s="58"/>
      <c r="J107" s="58"/>
      <c r="K107" s="58"/>
      <c r="L107" s="58"/>
      <c r="M107" s="58"/>
      <c r="N107" s="58"/>
      <c r="O107" s="58"/>
      <c r="P107" s="58"/>
      <c r="Q107" s="58"/>
      <c r="R107" s="58"/>
      <c r="S107" s="58"/>
      <c r="T107" s="58"/>
      <c r="U107" s="58"/>
      <c r="V107" s="58"/>
      <c r="W107" s="58"/>
      <c r="X107" s="58"/>
      <c r="Y107" s="58"/>
    </row>
    <row r="108">
      <c r="A108" s="58"/>
      <c r="B108" s="58"/>
      <c r="C108" s="58"/>
      <c r="D108" s="58"/>
      <c r="E108" s="58"/>
      <c r="F108" s="58"/>
      <c r="G108" s="58"/>
      <c r="H108" s="58"/>
      <c r="I108" s="58"/>
      <c r="J108" s="58"/>
      <c r="K108" s="58"/>
      <c r="L108" s="58"/>
      <c r="M108" s="58"/>
      <c r="N108" s="58"/>
      <c r="O108" s="58"/>
      <c r="P108" s="58"/>
      <c r="Q108" s="58"/>
      <c r="R108" s="58"/>
      <c r="S108" s="58"/>
      <c r="T108" s="58"/>
      <c r="U108" s="58"/>
      <c r="V108" s="58"/>
      <c r="W108" s="58"/>
      <c r="X108" s="58"/>
      <c r="Y108" s="58"/>
    </row>
    <row r="109">
      <c r="A109" s="58"/>
      <c r="B109" s="58"/>
      <c r="C109" s="58"/>
      <c r="D109" s="58"/>
      <c r="E109" s="58"/>
      <c r="F109" s="58"/>
      <c r="G109" s="58"/>
      <c r="H109" s="58"/>
      <c r="I109" s="58"/>
      <c r="J109" s="58"/>
      <c r="K109" s="58"/>
      <c r="L109" s="58"/>
      <c r="M109" s="58"/>
      <c r="N109" s="58"/>
      <c r="O109" s="58"/>
      <c r="P109" s="58"/>
      <c r="Q109" s="58"/>
      <c r="R109" s="58"/>
      <c r="S109" s="58"/>
      <c r="T109" s="58"/>
      <c r="U109" s="58"/>
      <c r="V109" s="58"/>
      <c r="W109" s="58"/>
      <c r="X109" s="58"/>
      <c r="Y109" s="58"/>
    </row>
    <row r="110">
      <c r="A110" s="58"/>
      <c r="B110" s="58"/>
      <c r="C110" s="58"/>
      <c r="D110" s="58"/>
      <c r="E110" s="58"/>
      <c r="F110" s="58"/>
      <c r="G110" s="58"/>
      <c r="H110" s="58"/>
      <c r="I110" s="58"/>
      <c r="J110" s="58"/>
      <c r="K110" s="58"/>
      <c r="L110" s="58"/>
      <c r="M110" s="58"/>
      <c r="N110" s="58"/>
      <c r="O110" s="58"/>
      <c r="P110" s="58"/>
      <c r="Q110" s="58"/>
      <c r="R110" s="58"/>
      <c r="S110" s="58"/>
      <c r="T110" s="58"/>
      <c r="U110" s="58"/>
      <c r="V110" s="58"/>
      <c r="W110" s="58"/>
      <c r="X110" s="58"/>
      <c r="Y110" s="58"/>
    </row>
    <row r="111">
      <c r="A111" s="58"/>
      <c r="B111" s="58"/>
      <c r="C111" s="58"/>
      <c r="D111" s="58"/>
      <c r="E111" s="58"/>
      <c r="F111" s="58"/>
      <c r="G111" s="58"/>
      <c r="H111" s="58"/>
      <c r="I111" s="58"/>
      <c r="J111" s="58"/>
      <c r="K111" s="58"/>
      <c r="L111" s="58"/>
      <c r="M111" s="58"/>
      <c r="N111" s="58"/>
      <c r="O111" s="58"/>
      <c r="P111" s="58"/>
      <c r="Q111" s="58"/>
      <c r="R111" s="58"/>
      <c r="S111" s="58"/>
      <c r="T111" s="58"/>
      <c r="U111" s="58"/>
      <c r="V111" s="58"/>
      <c r="W111" s="58"/>
      <c r="X111" s="58"/>
      <c r="Y111" s="58"/>
    </row>
    <row r="112">
      <c r="A112" s="58"/>
      <c r="B112" s="58"/>
      <c r="C112" s="58"/>
      <c r="D112" s="58"/>
      <c r="E112" s="58"/>
      <c r="F112" s="58"/>
      <c r="G112" s="58"/>
      <c r="H112" s="58"/>
      <c r="I112" s="58"/>
      <c r="J112" s="58"/>
      <c r="K112" s="58"/>
      <c r="L112" s="58"/>
      <c r="M112" s="58"/>
      <c r="N112" s="58"/>
      <c r="O112" s="58"/>
      <c r="P112" s="58"/>
      <c r="Q112" s="58"/>
      <c r="R112" s="58"/>
      <c r="S112" s="58"/>
      <c r="T112" s="58"/>
      <c r="U112" s="58"/>
      <c r="V112" s="58"/>
      <c r="W112" s="58"/>
      <c r="X112" s="58"/>
      <c r="Y112" s="58"/>
    </row>
    <row r="113">
      <c r="A113" s="58"/>
      <c r="B113" s="58"/>
      <c r="C113" s="58"/>
      <c r="D113" s="58"/>
      <c r="E113" s="58"/>
      <c r="F113" s="58"/>
      <c r="G113" s="58"/>
      <c r="H113" s="58"/>
      <c r="I113" s="58"/>
      <c r="J113" s="58"/>
      <c r="K113" s="58"/>
      <c r="L113" s="58"/>
      <c r="M113" s="58"/>
      <c r="N113" s="58"/>
      <c r="O113" s="58"/>
      <c r="P113" s="58"/>
      <c r="Q113" s="58"/>
      <c r="R113" s="58"/>
      <c r="S113" s="58"/>
      <c r="T113" s="58"/>
      <c r="U113" s="58"/>
      <c r="V113" s="58"/>
      <c r="W113" s="58"/>
      <c r="X113" s="58"/>
      <c r="Y113" s="58"/>
    </row>
    <row r="114">
      <c r="A114" s="58"/>
      <c r="B114" s="58"/>
      <c r="C114" s="58"/>
      <c r="D114" s="58"/>
      <c r="E114" s="58"/>
      <c r="F114" s="58"/>
      <c r="G114" s="58"/>
      <c r="H114" s="58"/>
      <c r="I114" s="58"/>
      <c r="J114" s="58"/>
      <c r="K114" s="58"/>
      <c r="L114" s="58"/>
      <c r="M114" s="58"/>
      <c r="N114" s="58"/>
      <c r="O114" s="58"/>
      <c r="P114" s="58"/>
      <c r="Q114" s="58"/>
      <c r="R114" s="58"/>
      <c r="S114" s="58"/>
      <c r="T114" s="58"/>
      <c r="U114" s="58"/>
      <c r="V114" s="58"/>
      <c r="W114" s="58"/>
      <c r="X114" s="58"/>
      <c r="Y114" s="58"/>
    </row>
    <row r="115">
      <c r="A115" s="58"/>
      <c r="B115" s="58"/>
      <c r="C115" s="58"/>
      <c r="D115" s="58"/>
      <c r="E115" s="58"/>
      <c r="F115" s="58"/>
      <c r="G115" s="58"/>
      <c r="H115" s="58"/>
      <c r="I115" s="58"/>
      <c r="J115" s="58"/>
      <c r="K115" s="58"/>
      <c r="L115" s="58"/>
      <c r="M115" s="58"/>
      <c r="N115" s="58"/>
      <c r="O115" s="58"/>
      <c r="P115" s="58"/>
      <c r="Q115" s="58"/>
      <c r="R115" s="58"/>
      <c r="S115" s="58"/>
      <c r="T115" s="58"/>
      <c r="U115" s="58"/>
      <c r="V115" s="58"/>
      <c r="W115" s="58"/>
      <c r="X115" s="58"/>
      <c r="Y115" s="58"/>
    </row>
    <row r="116">
      <c r="A116" s="58"/>
      <c r="B116" s="58"/>
      <c r="C116" s="58"/>
      <c r="D116" s="58"/>
      <c r="E116" s="58"/>
      <c r="F116" s="58"/>
      <c r="G116" s="58"/>
      <c r="H116" s="58"/>
      <c r="I116" s="58"/>
      <c r="J116" s="58"/>
      <c r="K116" s="58"/>
      <c r="L116" s="58"/>
      <c r="M116" s="58"/>
      <c r="N116" s="58"/>
      <c r="O116" s="58"/>
      <c r="P116" s="58"/>
      <c r="Q116" s="58"/>
      <c r="R116" s="58"/>
      <c r="S116" s="58"/>
      <c r="T116" s="58"/>
      <c r="U116" s="58"/>
      <c r="V116" s="58"/>
      <c r="W116" s="58"/>
      <c r="X116" s="58"/>
      <c r="Y116" s="58"/>
    </row>
    <row r="117">
      <c r="A117" s="58"/>
      <c r="B117" s="58"/>
      <c r="C117" s="58"/>
      <c r="D117" s="58"/>
      <c r="E117" s="58"/>
      <c r="F117" s="58"/>
      <c r="G117" s="58"/>
      <c r="H117" s="58"/>
      <c r="I117" s="58"/>
      <c r="J117" s="58"/>
      <c r="K117" s="58"/>
      <c r="L117" s="58"/>
      <c r="M117" s="58"/>
      <c r="N117" s="58"/>
      <c r="O117" s="58"/>
      <c r="P117" s="58"/>
      <c r="Q117" s="58"/>
      <c r="R117" s="58"/>
      <c r="S117" s="58"/>
      <c r="T117" s="58"/>
      <c r="U117" s="58"/>
      <c r="V117" s="58"/>
      <c r="W117" s="58"/>
      <c r="X117" s="58"/>
      <c r="Y117" s="58"/>
    </row>
    <row r="118">
      <c r="A118" s="58"/>
      <c r="B118" s="58"/>
      <c r="C118" s="58"/>
      <c r="D118" s="58"/>
      <c r="E118" s="58"/>
      <c r="F118" s="58"/>
      <c r="G118" s="58"/>
      <c r="H118" s="58"/>
      <c r="I118" s="58"/>
      <c r="J118" s="58"/>
      <c r="K118" s="58"/>
      <c r="L118" s="58"/>
      <c r="M118" s="58"/>
      <c r="N118" s="58"/>
      <c r="O118" s="58"/>
      <c r="P118" s="58"/>
      <c r="Q118" s="58"/>
      <c r="R118" s="58"/>
      <c r="S118" s="58"/>
      <c r="T118" s="58"/>
      <c r="U118" s="58"/>
      <c r="V118" s="58"/>
      <c r="W118" s="58"/>
      <c r="X118" s="58"/>
      <c r="Y118" s="58"/>
    </row>
    <row r="119">
      <c r="A119" s="58"/>
      <c r="B119" s="58"/>
      <c r="C119" s="58"/>
      <c r="D119" s="58"/>
      <c r="E119" s="58"/>
      <c r="F119" s="58"/>
      <c r="G119" s="58"/>
      <c r="H119" s="58"/>
      <c r="I119" s="58"/>
      <c r="J119" s="58"/>
      <c r="K119" s="58"/>
      <c r="L119" s="58"/>
      <c r="M119" s="58"/>
      <c r="N119" s="58"/>
      <c r="O119" s="58"/>
      <c r="P119" s="58"/>
      <c r="Q119" s="58"/>
      <c r="R119" s="58"/>
      <c r="S119" s="58"/>
      <c r="T119" s="58"/>
      <c r="U119" s="58"/>
      <c r="V119" s="58"/>
      <c r="W119" s="58"/>
      <c r="X119" s="58"/>
      <c r="Y119" s="58"/>
    </row>
    <row r="120">
      <c r="A120" s="58"/>
      <c r="B120" s="58"/>
      <c r="C120" s="58"/>
      <c r="D120" s="58"/>
      <c r="E120" s="58"/>
      <c r="F120" s="58"/>
      <c r="G120" s="58"/>
      <c r="H120" s="58"/>
      <c r="I120" s="58"/>
      <c r="J120" s="58"/>
      <c r="K120" s="58"/>
      <c r="L120" s="58"/>
      <c r="M120" s="58"/>
      <c r="N120" s="58"/>
      <c r="O120" s="58"/>
      <c r="P120" s="58"/>
      <c r="Q120" s="58"/>
      <c r="R120" s="58"/>
      <c r="S120" s="58"/>
      <c r="T120" s="58"/>
      <c r="U120" s="58"/>
      <c r="V120" s="58"/>
      <c r="W120" s="58"/>
      <c r="X120" s="58"/>
      <c r="Y120" s="58"/>
    </row>
    <row r="121">
      <c r="A121" s="58"/>
      <c r="B121" s="58"/>
      <c r="C121" s="58"/>
      <c r="D121" s="58"/>
      <c r="E121" s="58"/>
      <c r="F121" s="58"/>
      <c r="G121" s="58"/>
      <c r="H121" s="58"/>
      <c r="I121" s="58"/>
      <c r="J121" s="58"/>
      <c r="K121" s="58"/>
      <c r="L121" s="58"/>
      <c r="M121" s="58"/>
      <c r="N121" s="58"/>
      <c r="O121" s="58"/>
      <c r="P121" s="58"/>
      <c r="Q121" s="58"/>
      <c r="R121" s="58"/>
      <c r="S121" s="58"/>
      <c r="T121" s="58"/>
      <c r="U121" s="58"/>
      <c r="V121" s="58"/>
      <c r="W121" s="58"/>
      <c r="X121" s="58"/>
      <c r="Y121" s="58"/>
    </row>
    <row r="122">
      <c r="A122" s="58"/>
      <c r="B122" s="58"/>
      <c r="C122" s="58"/>
      <c r="D122" s="58"/>
      <c r="E122" s="58"/>
      <c r="F122" s="58"/>
      <c r="G122" s="58"/>
      <c r="H122" s="58"/>
      <c r="I122" s="58"/>
      <c r="J122" s="58"/>
      <c r="K122" s="58"/>
      <c r="L122" s="58"/>
      <c r="M122" s="58"/>
      <c r="N122" s="58"/>
      <c r="O122" s="58"/>
      <c r="P122" s="58"/>
      <c r="Q122" s="58"/>
      <c r="R122" s="58"/>
      <c r="S122" s="58"/>
      <c r="T122" s="58"/>
      <c r="U122" s="58"/>
      <c r="V122" s="58"/>
      <c r="W122" s="58"/>
      <c r="X122" s="58"/>
      <c r="Y122" s="58"/>
    </row>
    <row r="123">
      <c r="A123" s="58"/>
      <c r="B123" s="58"/>
      <c r="C123" s="58"/>
      <c r="D123" s="58"/>
      <c r="E123" s="58"/>
      <c r="F123" s="58"/>
      <c r="G123" s="58"/>
      <c r="H123" s="58"/>
      <c r="I123" s="58"/>
      <c r="J123" s="58"/>
      <c r="K123" s="58"/>
      <c r="L123" s="58"/>
      <c r="M123" s="58"/>
      <c r="N123" s="58"/>
      <c r="O123" s="58"/>
      <c r="P123" s="58"/>
      <c r="Q123" s="58"/>
      <c r="R123" s="58"/>
      <c r="S123" s="58"/>
      <c r="T123" s="58"/>
      <c r="U123" s="58"/>
      <c r="V123" s="58"/>
      <c r="W123" s="58"/>
      <c r="X123" s="58"/>
      <c r="Y123" s="58"/>
    </row>
    <row r="124">
      <c r="A124" s="58"/>
      <c r="B124" s="58"/>
      <c r="C124" s="58"/>
      <c r="D124" s="58"/>
      <c r="E124" s="58"/>
      <c r="F124" s="58"/>
      <c r="G124" s="58"/>
      <c r="H124" s="58"/>
      <c r="I124" s="58"/>
      <c r="J124" s="58"/>
      <c r="K124" s="58"/>
      <c r="L124" s="58"/>
      <c r="M124" s="58"/>
      <c r="N124" s="58"/>
      <c r="O124" s="58"/>
      <c r="P124" s="58"/>
      <c r="Q124" s="58"/>
      <c r="R124" s="58"/>
      <c r="S124" s="58"/>
      <c r="T124" s="58"/>
      <c r="U124" s="58"/>
      <c r="V124" s="58"/>
      <c r="W124" s="58"/>
      <c r="X124" s="58"/>
      <c r="Y124" s="58"/>
    </row>
    <row r="125">
      <c r="A125" s="58"/>
      <c r="B125" s="58"/>
      <c r="C125" s="58"/>
      <c r="D125" s="58"/>
      <c r="E125" s="58"/>
      <c r="F125" s="58"/>
      <c r="G125" s="58"/>
      <c r="H125" s="58"/>
      <c r="I125" s="58"/>
      <c r="J125" s="58"/>
      <c r="K125" s="58"/>
      <c r="L125" s="58"/>
      <c r="M125" s="58"/>
      <c r="N125" s="58"/>
      <c r="O125" s="58"/>
      <c r="P125" s="58"/>
      <c r="Q125" s="58"/>
      <c r="R125" s="58"/>
      <c r="S125" s="58"/>
      <c r="T125" s="58"/>
      <c r="U125" s="58"/>
      <c r="V125" s="58"/>
      <c r="W125" s="58"/>
      <c r="X125" s="58"/>
      <c r="Y125" s="58"/>
    </row>
    <row r="126">
      <c r="A126" s="58"/>
      <c r="B126" s="58"/>
      <c r="C126" s="58"/>
      <c r="D126" s="58"/>
      <c r="E126" s="58"/>
      <c r="F126" s="58"/>
      <c r="G126" s="58"/>
      <c r="H126" s="58"/>
      <c r="I126" s="58"/>
      <c r="J126" s="58"/>
      <c r="K126" s="58"/>
      <c r="L126" s="58"/>
      <c r="M126" s="58"/>
      <c r="N126" s="58"/>
      <c r="O126" s="58"/>
      <c r="P126" s="58"/>
      <c r="Q126" s="58"/>
      <c r="R126" s="58"/>
      <c r="S126" s="58"/>
      <c r="T126" s="58"/>
      <c r="U126" s="58"/>
      <c r="V126" s="58"/>
      <c r="W126" s="58"/>
      <c r="X126" s="58"/>
      <c r="Y126" s="58"/>
    </row>
    <row r="127">
      <c r="A127" s="58"/>
      <c r="B127" s="58"/>
      <c r="C127" s="58"/>
      <c r="D127" s="58"/>
      <c r="E127" s="58"/>
      <c r="F127" s="58"/>
      <c r="G127" s="58"/>
      <c r="H127" s="58"/>
      <c r="I127" s="58"/>
      <c r="J127" s="58"/>
      <c r="K127" s="58"/>
      <c r="L127" s="58"/>
      <c r="M127" s="58"/>
      <c r="N127" s="58"/>
      <c r="O127" s="58"/>
      <c r="P127" s="58"/>
      <c r="Q127" s="58"/>
      <c r="R127" s="58"/>
      <c r="S127" s="58"/>
      <c r="T127" s="58"/>
      <c r="U127" s="58"/>
      <c r="V127" s="58"/>
      <c r="W127" s="58"/>
      <c r="X127" s="58"/>
      <c r="Y127" s="58"/>
    </row>
    <row r="128">
      <c r="A128" s="58"/>
      <c r="B128" s="58"/>
      <c r="C128" s="58"/>
      <c r="D128" s="58"/>
      <c r="E128" s="58"/>
      <c r="F128" s="58"/>
      <c r="G128" s="58"/>
      <c r="H128" s="58"/>
      <c r="I128" s="58"/>
      <c r="J128" s="58"/>
      <c r="K128" s="58"/>
      <c r="L128" s="58"/>
      <c r="M128" s="58"/>
      <c r="N128" s="58"/>
      <c r="O128" s="58"/>
      <c r="P128" s="58"/>
      <c r="Q128" s="58"/>
      <c r="R128" s="58"/>
      <c r="S128" s="58"/>
      <c r="T128" s="58"/>
      <c r="U128" s="58"/>
      <c r="V128" s="58"/>
      <c r="W128" s="58"/>
      <c r="X128" s="58"/>
      <c r="Y128" s="58"/>
    </row>
    <row r="129">
      <c r="A129" s="58"/>
      <c r="B129" s="58"/>
      <c r="C129" s="58"/>
      <c r="D129" s="58"/>
      <c r="E129" s="58"/>
      <c r="F129" s="58"/>
      <c r="G129" s="58"/>
      <c r="H129" s="58"/>
      <c r="I129" s="58"/>
      <c r="J129" s="58"/>
      <c r="K129" s="58"/>
      <c r="L129" s="58"/>
      <c r="M129" s="58"/>
      <c r="N129" s="58"/>
      <c r="O129" s="58"/>
      <c r="P129" s="58"/>
      <c r="Q129" s="58"/>
      <c r="R129" s="58"/>
      <c r="S129" s="58"/>
      <c r="T129" s="58"/>
      <c r="U129" s="58"/>
      <c r="V129" s="58"/>
      <c r="W129" s="58"/>
      <c r="X129" s="58"/>
      <c r="Y129" s="58"/>
    </row>
    <row r="130">
      <c r="A130" s="58"/>
      <c r="B130" s="58"/>
      <c r="C130" s="58"/>
      <c r="D130" s="58"/>
      <c r="E130" s="58"/>
      <c r="F130" s="58"/>
      <c r="G130" s="58"/>
      <c r="H130" s="58"/>
      <c r="I130" s="58"/>
      <c r="J130" s="58"/>
      <c r="K130" s="58"/>
      <c r="L130" s="58"/>
      <c r="M130" s="58"/>
      <c r="N130" s="58"/>
      <c r="O130" s="58"/>
      <c r="P130" s="58"/>
      <c r="Q130" s="58"/>
      <c r="R130" s="58"/>
      <c r="S130" s="58"/>
      <c r="T130" s="58"/>
      <c r="U130" s="58"/>
      <c r="V130" s="58"/>
      <c r="W130" s="58"/>
      <c r="X130" s="58"/>
      <c r="Y130" s="58"/>
    </row>
    <row r="131">
      <c r="A131" s="58"/>
      <c r="B131" s="58"/>
      <c r="C131" s="58"/>
      <c r="D131" s="58"/>
      <c r="E131" s="58"/>
      <c r="F131" s="58"/>
      <c r="G131" s="58"/>
      <c r="H131" s="58"/>
      <c r="I131" s="58"/>
      <c r="J131" s="58"/>
      <c r="K131" s="58"/>
      <c r="L131" s="58"/>
      <c r="M131" s="58"/>
      <c r="N131" s="58"/>
      <c r="O131" s="58"/>
      <c r="P131" s="58"/>
      <c r="Q131" s="58"/>
      <c r="R131" s="58"/>
      <c r="S131" s="58"/>
      <c r="T131" s="58"/>
      <c r="U131" s="58"/>
      <c r="V131" s="58"/>
      <c r="W131" s="58"/>
      <c r="X131" s="58"/>
      <c r="Y131" s="58"/>
    </row>
    <row r="132">
      <c r="A132" s="58"/>
      <c r="B132" s="58"/>
      <c r="C132" s="58"/>
      <c r="D132" s="58"/>
      <c r="E132" s="58"/>
      <c r="F132" s="58"/>
      <c r="G132" s="58"/>
      <c r="H132" s="58"/>
      <c r="I132" s="58"/>
      <c r="J132" s="58"/>
      <c r="K132" s="58"/>
      <c r="L132" s="58"/>
      <c r="M132" s="58"/>
      <c r="N132" s="58"/>
      <c r="O132" s="58"/>
      <c r="P132" s="58"/>
      <c r="Q132" s="58"/>
      <c r="R132" s="58"/>
      <c r="S132" s="58"/>
      <c r="T132" s="58"/>
      <c r="U132" s="58"/>
      <c r="V132" s="58"/>
      <c r="W132" s="58"/>
      <c r="X132" s="58"/>
      <c r="Y132" s="58"/>
    </row>
    <row r="133">
      <c r="A133" s="58"/>
      <c r="B133" s="58"/>
      <c r="C133" s="58"/>
      <c r="D133" s="58"/>
      <c r="E133" s="58"/>
      <c r="F133" s="58"/>
      <c r="G133" s="58"/>
      <c r="H133" s="58"/>
      <c r="I133" s="58"/>
      <c r="J133" s="58"/>
      <c r="K133" s="58"/>
      <c r="L133" s="58"/>
      <c r="M133" s="58"/>
      <c r="N133" s="58"/>
      <c r="O133" s="58"/>
      <c r="P133" s="58"/>
      <c r="Q133" s="58"/>
      <c r="R133" s="58"/>
      <c r="S133" s="58"/>
      <c r="T133" s="58"/>
      <c r="U133" s="58"/>
      <c r="V133" s="58"/>
      <c r="W133" s="58"/>
      <c r="X133" s="58"/>
      <c r="Y133" s="58"/>
    </row>
    <row r="134">
      <c r="A134" s="58"/>
      <c r="B134" s="58"/>
      <c r="C134" s="58"/>
      <c r="D134" s="58"/>
      <c r="E134" s="58"/>
      <c r="F134" s="58"/>
      <c r="G134" s="58"/>
      <c r="H134" s="58"/>
      <c r="I134" s="58"/>
      <c r="J134" s="58"/>
      <c r="K134" s="58"/>
      <c r="L134" s="58"/>
      <c r="M134" s="58"/>
      <c r="N134" s="58"/>
      <c r="O134" s="58"/>
      <c r="P134" s="58"/>
      <c r="Q134" s="58"/>
      <c r="R134" s="58"/>
      <c r="S134" s="58"/>
      <c r="T134" s="58"/>
      <c r="U134" s="58"/>
      <c r="V134" s="58"/>
      <c r="W134" s="58"/>
      <c r="X134" s="58"/>
      <c r="Y134" s="58"/>
    </row>
    <row r="135">
      <c r="A135" s="58"/>
      <c r="B135" s="58"/>
      <c r="C135" s="58"/>
      <c r="D135" s="58"/>
      <c r="E135" s="58"/>
      <c r="F135" s="58"/>
      <c r="G135" s="58"/>
      <c r="H135" s="58"/>
      <c r="I135" s="58"/>
      <c r="J135" s="58"/>
      <c r="K135" s="58"/>
      <c r="L135" s="58"/>
      <c r="M135" s="58"/>
      <c r="N135" s="58"/>
      <c r="O135" s="58"/>
      <c r="P135" s="58"/>
      <c r="Q135" s="58"/>
      <c r="R135" s="58"/>
      <c r="S135" s="58"/>
      <c r="T135" s="58"/>
      <c r="U135" s="58"/>
      <c r="V135" s="58"/>
      <c r="W135" s="58"/>
      <c r="X135" s="58"/>
      <c r="Y135" s="58"/>
    </row>
    <row r="136">
      <c r="A136" s="58"/>
      <c r="B136" s="58"/>
      <c r="C136" s="58"/>
      <c r="D136" s="58"/>
      <c r="E136" s="58"/>
      <c r="F136" s="58"/>
      <c r="G136" s="58"/>
      <c r="H136" s="58"/>
      <c r="I136" s="58"/>
      <c r="J136" s="58"/>
      <c r="K136" s="58"/>
      <c r="L136" s="58"/>
      <c r="M136" s="58"/>
      <c r="N136" s="58"/>
      <c r="O136" s="58"/>
      <c r="P136" s="58"/>
      <c r="Q136" s="58"/>
      <c r="R136" s="58"/>
      <c r="S136" s="58"/>
      <c r="T136" s="58"/>
      <c r="U136" s="58"/>
      <c r="V136" s="58"/>
      <c r="W136" s="58"/>
      <c r="X136" s="58"/>
      <c r="Y136" s="58"/>
    </row>
    <row r="137">
      <c r="A137" s="58"/>
      <c r="B137" s="58"/>
      <c r="C137" s="58"/>
      <c r="D137" s="58"/>
      <c r="E137" s="58"/>
      <c r="F137" s="58"/>
      <c r="G137" s="58"/>
      <c r="H137" s="58"/>
      <c r="I137" s="58"/>
      <c r="J137" s="58"/>
      <c r="K137" s="58"/>
      <c r="L137" s="58"/>
      <c r="M137" s="58"/>
      <c r="N137" s="58"/>
      <c r="O137" s="58"/>
      <c r="P137" s="58"/>
      <c r="Q137" s="58"/>
      <c r="R137" s="58"/>
      <c r="S137" s="58"/>
      <c r="T137" s="58"/>
      <c r="U137" s="58"/>
      <c r="V137" s="58"/>
      <c r="W137" s="58"/>
      <c r="X137" s="58"/>
      <c r="Y137" s="58"/>
    </row>
    <row r="138">
      <c r="A138" s="58"/>
      <c r="B138" s="58"/>
      <c r="C138" s="58"/>
      <c r="D138" s="58"/>
      <c r="E138" s="58"/>
      <c r="F138" s="58"/>
      <c r="G138" s="58"/>
      <c r="H138" s="58"/>
      <c r="I138" s="58"/>
      <c r="J138" s="58"/>
      <c r="K138" s="58"/>
      <c r="L138" s="58"/>
      <c r="M138" s="58"/>
      <c r="N138" s="58"/>
      <c r="O138" s="58"/>
      <c r="P138" s="58"/>
      <c r="Q138" s="58"/>
      <c r="R138" s="58"/>
      <c r="S138" s="58"/>
      <c r="T138" s="58"/>
      <c r="U138" s="58"/>
      <c r="V138" s="58"/>
      <c r="W138" s="58"/>
      <c r="X138" s="58"/>
      <c r="Y138" s="58"/>
    </row>
    <row r="139">
      <c r="A139" s="58"/>
      <c r="B139" s="58"/>
      <c r="C139" s="58"/>
      <c r="D139" s="58"/>
      <c r="E139" s="58"/>
      <c r="F139" s="58"/>
      <c r="G139" s="58"/>
      <c r="H139" s="58"/>
      <c r="I139" s="58"/>
      <c r="J139" s="58"/>
      <c r="K139" s="58"/>
      <c r="L139" s="58"/>
      <c r="M139" s="58"/>
      <c r="N139" s="58"/>
      <c r="O139" s="58"/>
      <c r="P139" s="58"/>
      <c r="Q139" s="58"/>
      <c r="R139" s="58"/>
      <c r="S139" s="58"/>
      <c r="T139" s="58"/>
      <c r="U139" s="58"/>
      <c r="V139" s="58"/>
      <c r="W139" s="58"/>
      <c r="X139" s="58"/>
      <c r="Y139" s="58"/>
    </row>
    <row r="140">
      <c r="A140" s="58"/>
      <c r="B140" s="58"/>
      <c r="C140" s="58"/>
      <c r="D140" s="58"/>
      <c r="E140" s="58"/>
      <c r="F140" s="58"/>
      <c r="G140" s="58"/>
      <c r="H140" s="58"/>
      <c r="I140" s="58"/>
      <c r="J140" s="58"/>
      <c r="K140" s="58"/>
      <c r="L140" s="58"/>
      <c r="M140" s="58"/>
      <c r="N140" s="58"/>
      <c r="O140" s="58"/>
      <c r="P140" s="58"/>
      <c r="Q140" s="58"/>
      <c r="R140" s="58"/>
      <c r="S140" s="58"/>
      <c r="T140" s="58"/>
      <c r="U140" s="58"/>
      <c r="V140" s="58"/>
      <c r="W140" s="58"/>
      <c r="X140" s="58"/>
      <c r="Y140" s="58"/>
    </row>
    <row r="141">
      <c r="A141" s="58"/>
      <c r="B141" s="58"/>
      <c r="C141" s="58"/>
      <c r="D141" s="58"/>
      <c r="E141" s="58"/>
      <c r="F141" s="58"/>
      <c r="G141" s="58"/>
      <c r="H141" s="58"/>
      <c r="I141" s="58"/>
      <c r="J141" s="58"/>
      <c r="K141" s="58"/>
      <c r="L141" s="58"/>
      <c r="M141" s="58"/>
      <c r="N141" s="58"/>
      <c r="O141" s="58"/>
      <c r="P141" s="58"/>
      <c r="Q141" s="58"/>
      <c r="R141" s="58"/>
      <c r="S141" s="58"/>
      <c r="T141" s="58"/>
      <c r="U141" s="58"/>
      <c r="V141" s="58"/>
      <c r="W141" s="58"/>
      <c r="X141" s="58"/>
      <c r="Y141" s="58"/>
    </row>
    <row r="142">
      <c r="A142" s="58"/>
      <c r="B142" s="58"/>
      <c r="C142" s="58"/>
      <c r="D142" s="58"/>
      <c r="E142" s="58"/>
      <c r="F142" s="58"/>
      <c r="G142" s="58"/>
      <c r="H142" s="58"/>
      <c r="I142" s="58"/>
      <c r="J142" s="58"/>
      <c r="K142" s="58"/>
      <c r="L142" s="58"/>
      <c r="M142" s="58"/>
      <c r="N142" s="58"/>
      <c r="O142" s="58"/>
      <c r="P142" s="58"/>
      <c r="Q142" s="58"/>
      <c r="R142" s="58"/>
      <c r="S142" s="58"/>
      <c r="T142" s="58"/>
      <c r="U142" s="58"/>
      <c r="V142" s="58"/>
      <c r="W142" s="58"/>
      <c r="X142" s="58"/>
      <c r="Y142" s="58"/>
    </row>
    <row r="143">
      <c r="A143" s="58"/>
      <c r="B143" s="58"/>
      <c r="C143" s="58"/>
      <c r="D143" s="58"/>
      <c r="E143" s="58"/>
      <c r="F143" s="58"/>
      <c r="G143" s="58"/>
      <c r="H143" s="58"/>
      <c r="I143" s="58"/>
      <c r="J143" s="58"/>
      <c r="K143" s="58"/>
      <c r="L143" s="58"/>
      <c r="M143" s="58"/>
      <c r="N143" s="58"/>
      <c r="O143" s="58"/>
      <c r="P143" s="58"/>
      <c r="Q143" s="58"/>
      <c r="R143" s="58"/>
      <c r="S143" s="58"/>
      <c r="T143" s="58"/>
      <c r="U143" s="58"/>
      <c r="V143" s="58"/>
      <c r="W143" s="58"/>
      <c r="X143" s="58"/>
      <c r="Y143" s="58"/>
    </row>
    <row r="144">
      <c r="A144" s="58"/>
      <c r="B144" s="58"/>
      <c r="C144" s="58"/>
      <c r="D144" s="58"/>
      <c r="E144" s="58"/>
      <c r="F144" s="58"/>
      <c r="G144" s="58"/>
      <c r="H144" s="58"/>
      <c r="I144" s="58"/>
      <c r="J144" s="58"/>
      <c r="K144" s="58"/>
      <c r="L144" s="58"/>
      <c r="M144" s="58"/>
      <c r="N144" s="58"/>
      <c r="O144" s="58"/>
      <c r="P144" s="58"/>
      <c r="Q144" s="58"/>
      <c r="R144" s="58"/>
      <c r="S144" s="58"/>
      <c r="T144" s="58"/>
      <c r="U144" s="58"/>
      <c r="V144" s="58"/>
      <c r="W144" s="58"/>
      <c r="X144" s="58"/>
      <c r="Y144" s="58"/>
    </row>
    <row r="145">
      <c r="A145" s="58"/>
      <c r="B145" s="58"/>
      <c r="C145" s="58"/>
      <c r="D145" s="58"/>
      <c r="E145" s="58"/>
      <c r="F145" s="58"/>
      <c r="G145" s="58"/>
      <c r="H145" s="58"/>
      <c r="I145" s="58"/>
      <c r="J145" s="58"/>
      <c r="K145" s="58"/>
      <c r="L145" s="58"/>
      <c r="M145" s="58"/>
      <c r="N145" s="58"/>
      <c r="O145" s="58"/>
      <c r="P145" s="58"/>
      <c r="Q145" s="58"/>
      <c r="R145" s="58"/>
      <c r="S145" s="58"/>
      <c r="T145" s="58"/>
      <c r="U145" s="58"/>
      <c r="V145" s="58"/>
      <c r="W145" s="58"/>
      <c r="X145" s="58"/>
      <c r="Y145" s="58"/>
    </row>
    <row r="146">
      <c r="A146" s="58"/>
      <c r="B146" s="58"/>
      <c r="C146" s="58"/>
      <c r="D146" s="58"/>
      <c r="E146" s="58"/>
      <c r="F146" s="58"/>
      <c r="G146" s="58"/>
      <c r="H146" s="58"/>
      <c r="I146" s="58"/>
      <c r="J146" s="58"/>
      <c r="K146" s="58"/>
      <c r="L146" s="58"/>
      <c r="M146" s="58"/>
      <c r="N146" s="58"/>
      <c r="O146" s="58"/>
      <c r="P146" s="58"/>
      <c r="Q146" s="58"/>
      <c r="R146" s="58"/>
      <c r="S146" s="58"/>
      <c r="T146" s="58"/>
      <c r="U146" s="58"/>
      <c r="V146" s="58"/>
      <c r="W146" s="58"/>
      <c r="X146" s="58"/>
      <c r="Y146" s="58"/>
    </row>
    <row r="147">
      <c r="A147" s="58"/>
      <c r="B147" s="58"/>
      <c r="C147" s="58"/>
      <c r="D147" s="58"/>
      <c r="E147" s="58"/>
      <c r="F147" s="58"/>
      <c r="G147" s="58"/>
      <c r="H147" s="58"/>
      <c r="I147" s="58"/>
      <c r="J147" s="58"/>
      <c r="K147" s="58"/>
      <c r="L147" s="58"/>
      <c r="M147" s="58"/>
      <c r="N147" s="58"/>
      <c r="O147" s="58"/>
      <c r="P147" s="58"/>
      <c r="Q147" s="58"/>
      <c r="R147" s="58"/>
      <c r="S147" s="58"/>
      <c r="T147" s="58"/>
      <c r="U147" s="58"/>
      <c r="V147" s="58"/>
      <c r="W147" s="58"/>
      <c r="X147" s="58"/>
      <c r="Y147" s="58"/>
    </row>
    <row r="148">
      <c r="A148" s="58"/>
      <c r="B148" s="58"/>
      <c r="C148" s="58"/>
      <c r="D148" s="58"/>
      <c r="E148" s="58"/>
      <c r="F148" s="58"/>
      <c r="G148" s="58"/>
      <c r="H148" s="58"/>
      <c r="I148" s="58"/>
      <c r="J148" s="58"/>
      <c r="K148" s="58"/>
      <c r="L148" s="58"/>
      <c r="M148" s="58"/>
      <c r="N148" s="58"/>
      <c r="O148" s="58"/>
      <c r="P148" s="58"/>
      <c r="Q148" s="58"/>
      <c r="R148" s="58"/>
      <c r="S148" s="58"/>
      <c r="T148" s="58"/>
      <c r="U148" s="58"/>
      <c r="V148" s="58"/>
      <c r="W148" s="58"/>
      <c r="X148" s="58"/>
      <c r="Y148" s="58"/>
    </row>
    <row r="149">
      <c r="A149" s="58"/>
      <c r="B149" s="58"/>
      <c r="C149" s="58"/>
      <c r="D149" s="58"/>
      <c r="E149" s="58"/>
      <c r="F149" s="58"/>
      <c r="G149" s="58"/>
      <c r="H149" s="58"/>
      <c r="I149" s="58"/>
      <c r="J149" s="58"/>
      <c r="K149" s="58"/>
      <c r="L149" s="58"/>
      <c r="M149" s="58"/>
      <c r="N149" s="58"/>
      <c r="O149" s="58"/>
      <c r="P149" s="58"/>
      <c r="Q149" s="58"/>
      <c r="R149" s="58"/>
      <c r="S149" s="58"/>
      <c r="T149" s="58"/>
      <c r="U149" s="58"/>
      <c r="V149" s="58"/>
      <c r="W149" s="58"/>
      <c r="X149" s="58"/>
      <c r="Y149" s="58"/>
    </row>
    <row r="150">
      <c r="A150" s="58"/>
      <c r="B150" s="58"/>
      <c r="C150" s="58"/>
      <c r="D150" s="58"/>
      <c r="E150" s="58"/>
      <c r="F150" s="58"/>
      <c r="G150" s="58"/>
      <c r="H150" s="58"/>
      <c r="I150" s="58"/>
      <c r="J150" s="58"/>
      <c r="K150" s="58"/>
      <c r="L150" s="58"/>
      <c r="M150" s="58"/>
      <c r="N150" s="58"/>
      <c r="O150" s="58"/>
      <c r="P150" s="58"/>
      <c r="Q150" s="58"/>
      <c r="R150" s="58"/>
      <c r="S150" s="58"/>
      <c r="T150" s="58"/>
      <c r="U150" s="58"/>
      <c r="V150" s="58"/>
      <c r="W150" s="58"/>
      <c r="X150" s="58"/>
      <c r="Y150" s="58"/>
    </row>
    <row r="151">
      <c r="A151" s="58"/>
      <c r="B151" s="58"/>
      <c r="C151" s="58"/>
      <c r="D151" s="58"/>
      <c r="E151" s="58"/>
      <c r="F151" s="58"/>
      <c r="G151" s="58"/>
      <c r="H151" s="58"/>
      <c r="I151" s="58"/>
      <c r="J151" s="58"/>
      <c r="K151" s="58"/>
      <c r="L151" s="58"/>
      <c r="M151" s="58"/>
      <c r="N151" s="58"/>
      <c r="O151" s="58"/>
      <c r="P151" s="58"/>
      <c r="Q151" s="58"/>
      <c r="R151" s="58"/>
      <c r="S151" s="58"/>
      <c r="T151" s="58"/>
      <c r="U151" s="58"/>
      <c r="V151" s="58"/>
      <c r="W151" s="58"/>
      <c r="X151" s="58"/>
      <c r="Y151" s="58"/>
    </row>
    <row r="152">
      <c r="A152" s="58"/>
      <c r="B152" s="58"/>
      <c r="C152" s="58"/>
      <c r="D152" s="58"/>
      <c r="E152" s="58"/>
      <c r="F152" s="58"/>
      <c r="G152" s="58"/>
      <c r="H152" s="58"/>
      <c r="I152" s="58"/>
      <c r="J152" s="58"/>
      <c r="K152" s="58"/>
      <c r="L152" s="58"/>
      <c r="M152" s="58"/>
      <c r="N152" s="58"/>
      <c r="O152" s="58"/>
      <c r="P152" s="58"/>
      <c r="Q152" s="58"/>
      <c r="R152" s="58"/>
      <c r="S152" s="58"/>
      <c r="T152" s="58"/>
      <c r="U152" s="58"/>
      <c r="V152" s="58"/>
      <c r="W152" s="58"/>
      <c r="X152" s="58"/>
      <c r="Y152" s="58"/>
    </row>
    <row r="153">
      <c r="A153" s="58"/>
      <c r="B153" s="58"/>
      <c r="C153" s="58"/>
      <c r="D153" s="58"/>
      <c r="E153" s="58"/>
      <c r="F153" s="58"/>
      <c r="G153" s="58"/>
      <c r="H153" s="58"/>
      <c r="I153" s="58"/>
      <c r="J153" s="58"/>
      <c r="K153" s="58"/>
      <c r="L153" s="58"/>
      <c r="M153" s="58"/>
      <c r="N153" s="58"/>
      <c r="O153" s="58"/>
      <c r="P153" s="58"/>
      <c r="Q153" s="58"/>
      <c r="R153" s="58"/>
      <c r="S153" s="58"/>
      <c r="T153" s="58"/>
      <c r="U153" s="58"/>
      <c r="V153" s="58"/>
      <c r="W153" s="58"/>
      <c r="X153" s="58"/>
      <c r="Y153" s="58"/>
    </row>
    <row r="154">
      <c r="A154" s="58"/>
      <c r="B154" s="58"/>
      <c r="C154" s="58"/>
      <c r="D154" s="58"/>
      <c r="E154" s="58"/>
      <c r="F154" s="58"/>
      <c r="G154" s="58"/>
      <c r="H154" s="58"/>
      <c r="I154" s="58"/>
      <c r="J154" s="58"/>
      <c r="K154" s="58"/>
      <c r="L154" s="58"/>
      <c r="M154" s="58"/>
      <c r="N154" s="58"/>
      <c r="O154" s="58"/>
      <c r="P154" s="58"/>
      <c r="Q154" s="58"/>
      <c r="R154" s="58"/>
      <c r="S154" s="58"/>
      <c r="T154" s="58"/>
      <c r="U154" s="58"/>
      <c r="V154" s="58"/>
      <c r="W154" s="58"/>
      <c r="X154" s="58"/>
      <c r="Y154" s="58"/>
    </row>
    <row r="155">
      <c r="A155" s="58"/>
      <c r="B155" s="58"/>
      <c r="C155" s="58"/>
      <c r="D155" s="58"/>
      <c r="E155" s="58"/>
      <c r="F155" s="58"/>
      <c r="G155" s="58"/>
      <c r="H155" s="58"/>
      <c r="I155" s="58"/>
      <c r="J155" s="58"/>
      <c r="K155" s="58"/>
      <c r="L155" s="58"/>
      <c r="M155" s="58"/>
      <c r="N155" s="58"/>
      <c r="O155" s="58"/>
      <c r="P155" s="58"/>
      <c r="Q155" s="58"/>
      <c r="R155" s="58"/>
      <c r="S155" s="58"/>
      <c r="T155" s="58"/>
      <c r="U155" s="58"/>
      <c r="V155" s="58"/>
      <c r="W155" s="58"/>
      <c r="X155" s="58"/>
      <c r="Y155" s="58"/>
    </row>
    <row r="156">
      <c r="A156" s="58"/>
      <c r="B156" s="58"/>
      <c r="C156" s="58"/>
      <c r="D156" s="58"/>
      <c r="E156" s="58"/>
      <c r="F156" s="58"/>
      <c r="G156" s="58"/>
      <c r="H156" s="58"/>
      <c r="I156" s="58"/>
      <c r="J156" s="58"/>
      <c r="K156" s="58"/>
      <c r="L156" s="58"/>
      <c r="M156" s="58"/>
      <c r="N156" s="58"/>
      <c r="O156" s="58"/>
      <c r="P156" s="58"/>
      <c r="Q156" s="58"/>
      <c r="R156" s="58"/>
      <c r="S156" s="58"/>
      <c r="T156" s="58"/>
      <c r="U156" s="58"/>
      <c r="V156" s="58"/>
      <c r="W156" s="58"/>
      <c r="X156" s="58"/>
      <c r="Y156" s="58"/>
    </row>
    <row r="157">
      <c r="A157" s="58"/>
      <c r="B157" s="58"/>
      <c r="C157" s="58"/>
      <c r="D157" s="58"/>
      <c r="E157" s="58"/>
      <c r="F157" s="58"/>
      <c r="G157" s="58"/>
      <c r="H157" s="58"/>
      <c r="I157" s="58"/>
      <c r="J157" s="58"/>
      <c r="K157" s="58"/>
      <c r="L157" s="58"/>
      <c r="M157" s="58"/>
      <c r="N157" s="58"/>
      <c r="O157" s="58"/>
      <c r="P157" s="58"/>
      <c r="Q157" s="58"/>
      <c r="R157" s="58"/>
      <c r="S157" s="58"/>
      <c r="T157" s="58"/>
      <c r="U157" s="58"/>
      <c r="V157" s="58"/>
      <c r="W157" s="58"/>
      <c r="X157" s="58"/>
      <c r="Y157" s="58"/>
    </row>
    <row r="158">
      <c r="A158" s="58"/>
      <c r="B158" s="58"/>
      <c r="C158" s="58"/>
      <c r="D158" s="58"/>
      <c r="E158" s="58"/>
      <c r="F158" s="58"/>
      <c r="G158" s="58"/>
      <c r="H158" s="58"/>
      <c r="I158" s="58"/>
      <c r="J158" s="58"/>
      <c r="K158" s="58"/>
      <c r="L158" s="58"/>
      <c r="M158" s="58"/>
      <c r="N158" s="58"/>
      <c r="O158" s="58"/>
      <c r="P158" s="58"/>
      <c r="Q158" s="58"/>
      <c r="R158" s="58"/>
      <c r="S158" s="58"/>
      <c r="T158" s="58"/>
      <c r="U158" s="58"/>
      <c r="V158" s="58"/>
      <c r="W158" s="58"/>
      <c r="X158" s="58"/>
      <c r="Y158" s="58"/>
    </row>
    <row r="159">
      <c r="A159" s="58"/>
      <c r="B159" s="58"/>
      <c r="C159" s="58"/>
      <c r="D159" s="58"/>
      <c r="E159" s="58"/>
      <c r="F159" s="58"/>
      <c r="G159" s="58"/>
      <c r="H159" s="58"/>
      <c r="I159" s="58"/>
      <c r="J159" s="58"/>
      <c r="K159" s="58"/>
      <c r="L159" s="58"/>
      <c r="M159" s="58"/>
      <c r="N159" s="58"/>
      <c r="O159" s="58"/>
      <c r="P159" s="58"/>
      <c r="Q159" s="58"/>
      <c r="R159" s="58"/>
      <c r="S159" s="58"/>
      <c r="T159" s="58"/>
      <c r="U159" s="58"/>
      <c r="V159" s="58"/>
      <c r="W159" s="58"/>
      <c r="X159" s="58"/>
      <c r="Y159" s="58"/>
    </row>
    <row r="160">
      <c r="A160" s="58"/>
      <c r="B160" s="58"/>
      <c r="C160" s="58"/>
      <c r="D160" s="58"/>
      <c r="E160" s="58"/>
      <c r="F160" s="58"/>
      <c r="G160" s="58"/>
      <c r="H160" s="58"/>
      <c r="I160" s="58"/>
      <c r="J160" s="58"/>
      <c r="K160" s="58"/>
      <c r="L160" s="58"/>
      <c r="M160" s="58"/>
      <c r="N160" s="58"/>
      <c r="O160" s="58"/>
      <c r="P160" s="58"/>
      <c r="Q160" s="58"/>
      <c r="R160" s="58"/>
      <c r="S160" s="58"/>
      <c r="T160" s="58"/>
      <c r="U160" s="58"/>
      <c r="V160" s="58"/>
      <c r="W160" s="58"/>
      <c r="X160" s="58"/>
      <c r="Y160" s="58"/>
    </row>
    <row r="161">
      <c r="A161" s="58"/>
      <c r="B161" s="58"/>
      <c r="C161" s="58"/>
      <c r="D161" s="58"/>
      <c r="E161" s="58"/>
      <c r="F161" s="58"/>
      <c r="G161" s="58"/>
      <c r="H161" s="58"/>
      <c r="I161" s="58"/>
      <c r="J161" s="58"/>
      <c r="K161" s="58"/>
      <c r="L161" s="58"/>
      <c r="M161" s="58"/>
      <c r="N161" s="58"/>
      <c r="O161" s="58"/>
      <c r="P161" s="58"/>
      <c r="Q161" s="58"/>
      <c r="R161" s="58"/>
      <c r="S161" s="58"/>
      <c r="T161" s="58"/>
      <c r="U161" s="58"/>
      <c r="V161" s="58"/>
      <c r="W161" s="58"/>
      <c r="X161" s="58"/>
      <c r="Y161" s="58"/>
    </row>
    <row r="162">
      <c r="A162" s="58"/>
      <c r="B162" s="58"/>
      <c r="C162" s="58"/>
      <c r="D162" s="58"/>
      <c r="E162" s="58"/>
      <c r="F162" s="58"/>
      <c r="G162" s="58"/>
      <c r="H162" s="58"/>
      <c r="I162" s="58"/>
      <c r="J162" s="58"/>
      <c r="K162" s="58"/>
      <c r="L162" s="58"/>
      <c r="M162" s="58"/>
      <c r="N162" s="58"/>
      <c r="O162" s="58"/>
      <c r="P162" s="58"/>
      <c r="Q162" s="58"/>
      <c r="R162" s="58"/>
      <c r="S162" s="58"/>
      <c r="T162" s="58"/>
      <c r="U162" s="58"/>
      <c r="V162" s="58"/>
      <c r="W162" s="58"/>
      <c r="X162" s="58"/>
      <c r="Y162" s="58"/>
    </row>
    <row r="163">
      <c r="A163" s="58"/>
      <c r="B163" s="58"/>
      <c r="C163" s="58"/>
      <c r="D163" s="58"/>
      <c r="E163" s="58"/>
      <c r="F163" s="58"/>
      <c r="G163" s="58"/>
      <c r="H163" s="58"/>
      <c r="I163" s="58"/>
      <c r="J163" s="58"/>
      <c r="K163" s="58"/>
      <c r="L163" s="58"/>
      <c r="M163" s="58"/>
      <c r="N163" s="58"/>
      <c r="O163" s="58"/>
      <c r="P163" s="58"/>
      <c r="Q163" s="58"/>
      <c r="R163" s="58"/>
      <c r="S163" s="58"/>
      <c r="T163" s="58"/>
      <c r="U163" s="58"/>
      <c r="V163" s="58"/>
      <c r="W163" s="58"/>
      <c r="X163" s="58"/>
      <c r="Y163" s="58"/>
    </row>
    <row r="164">
      <c r="A164" s="58"/>
      <c r="B164" s="58"/>
      <c r="C164" s="58"/>
      <c r="D164" s="58"/>
      <c r="E164" s="58"/>
      <c r="F164" s="58"/>
      <c r="G164" s="58"/>
      <c r="H164" s="58"/>
      <c r="I164" s="58"/>
      <c r="J164" s="58"/>
      <c r="K164" s="58"/>
      <c r="L164" s="58"/>
      <c r="M164" s="58"/>
      <c r="N164" s="58"/>
      <c r="O164" s="58"/>
      <c r="P164" s="58"/>
      <c r="Q164" s="58"/>
      <c r="R164" s="58"/>
      <c r="S164" s="58"/>
      <c r="T164" s="58"/>
      <c r="U164" s="58"/>
      <c r="V164" s="58"/>
      <c r="W164" s="58"/>
      <c r="X164" s="58"/>
      <c r="Y164" s="58"/>
    </row>
    <row r="165">
      <c r="A165" s="58"/>
      <c r="B165" s="58"/>
      <c r="C165" s="58"/>
      <c r="D165" s="58"/>
      <c r="E165" s="58"/>
      <c r="F165" s="58"/>
      <c r="G165" s="58"/>
      <c r="H165" s="58"/>
      <c r="I165" s="58"/>
      <c r="J165" s="58"/>
      <c r="K165" s="58"/>
      <c r="L165" s="58"/>
      <c r="M165" s="58"/>
      <c r="N165" s="58"/>
      <c r="O165" s="58"/>
      <c r="P165" s="58"/>
      <c r="Q165" s="58"/>
      <c r="R165" s="58"/>
      <c r="S165" s="58"/>
      <c r="T165" s="58"/>
      <c r="U165" s="58"/>
      <c r="V165" s="58"/>
      <c r="W165" s="58"/>
      <c r="X165" s="58"/>
      <c r="Y165" s="58"/>
    </row>
    <row r="166">
      <c r="A166" s="58"/>
      <c r="B166" s="58"/>
      <c r="C166" s="58"/>
      <c r="D166" s="58"/>
      <c r="E166" s="58"/>
      <c r="F166" s="58"/>
      <c r="G166" s="58"/>
      <c r="H166" s="58"/>
      <c r="I166" s="58"/>
      <c r="J166" s="58"/>
      <c r="K166" s="58"/>
      <c r="L166" s="58"/>
      <c r="M166" s="58"/>
      <c r="N166" s="58"/>
      <c r="O166" s="58"/>
      <c r="P166" s="58"/>
      <c r="Q166" s="58"/>
      <c r="R166" s="58"/>
      <c r="S166" s="58"/>
      <c r="T166" s="58"/>
      <c r="U166" s="58"/>
      <c r="V166" s="58"/>
      <c r="W166" s="58"/>
      <c r="X166" s="58"/>
      <c r="Y166" s="58"/>
    </row>
    <row r="167">
      <c r="A167" s="58"/>
      <c r="B167" s="58"/>
      <c r="C167" s="58"/>
      <c r="D167" s="58"/>
      <c r="E167" s="58"/>
      <c r="F167" s="58"/>
      <c r="G167" s="58"/>
      <c r="H167" s="58"/>
      <c r="I167" s="58"/>
      <c r="J167" s="58"/>
      <c r="K167" s="58"/>
      <c r="L167" s="58"/>
      <c r="M167" s="58"/>
      <c r="N167" s="58"/>
      <c r="O167" s="58"/>
      <c r="P167" s="58"/>
      <c r="Q167" s="58"/>
      <c r="R167" s="58"/>
      <c r="S167" s="58"/>
      <c r="T167" s="58"/>
      <c r="U167" s="58"/>
      <c r="V167" s="58"/>
      <c r="W167" s="58"/>
      <c r="X167" s="58"/>
      <c r="Y167" s="58"/>
    </row>
    <row r="168">
      <c r="A168" s="58"/>
      <c r="B168" s="58"/>
      <c r="C168" s="58"/>
      <c r="D168" s="58"/>
      <c r="E168" s="58"/>
      <c r="F168" s="58"/>
      <c r="G168" s="58"/>
      <c r="H168" s="58"/>
      <c r="I168" s="58"/>
      <c r="J168" s="58"/>
      <c r="K168" s="58"/>
      <c r="L168" s="58"/>
      <c r="M168" s="58"/>
      <c r="N168" s="58"/>
      <c r="O168" s="58"/>
      <c r="P168" s="58"/>
      <c r="Q168" s="58"/>
      <c r="R168" s="58"/>
      <c r="S168" s="58"/>
      <c r="T168" s="58"/>
      <c r="U168" s="58"/>
      <c r="V168" s="58"/>
      <c r="W168" s="58"/>
      <c r="X168" s="58"/>
      <c r="Y168" s="58"/>
    </row>
    <row r="169">
      <c r="A169" s="58"/>
      <c r="B169" s="58"/>
      <c r="C169" s="58"/>
      <c r="D169" s="58"/>
      <c r="E169" s="58"/>
      <c r="F169" s="58"/>
      <c r="G169" s="58"/>
      <c r="H169" s="58"/>
      <c r="I169" s="58"/>
      <c r="J169" s="58"/>
      <c r="K169" s="58"/>
      <c r="L169" s="58"/>
      <c r="M169" s="58"/>
      <c r="N169" s="58"/>
      <c r="O169" s="58"/>
      <c r="P169" s="58"/>
      <c r="Q169" s="58"/>
      <c r="R169" s="58"/>
      <c r="S169" s="58"/>
      <c r="T169" s="58"/>
      <c r="U169" s="58"/>
      <c r="V169" s="58"/>
      <c r="W169" s="58"/>
      <c r="X169" s="58"/>
      <c r="Y169" s="58"/>
    </row>
    <row r="170">
      <c r="A170" s="58"/>
      <c r="B170" s="58"/>
      <c r="C170" s="58"/>
      <c r="D170" s="58"/>
      <c r="E170" s="58"/>
      <c r="F170" s="58"/>
      <c r="G170" s="58"/>
      <c r="H170" s="58"/>
      <c r="I170" s="58"/>
      <c r="J170" s="58"/>
      <c r="K170" s="58"/>
      <c r="L170" s="58"/>
      <c r="M170" s="58"/>
      <c r="N170" s="58"/>
      <c r="O170" s="58"/>
      <c r="P170" s="58"/>
      <c r="Q170" s="58"/>
      <c r="R170" s="58"/>
      <c r="S170" s="58"/>
      <c r="T170" s="58"/>
      <c r="U170" s="58"/>
      <c r="V170" s="58"/>
      <c r="W170" s="58"/>
      <c r="X170" s="58"/>
      <c r="Y170" s="58"/>
    </row>
    <row r="171">
      <c r="A171" s="58"/>
      <c r="B171" s="58"/>
      <c r="C171" s="58"/>
      <c r="D171" s="58"/>
      <c r="E171" s="58"/>
      <c r="F171" s="58"/>
      <c r="G171" s="58"/>
      <c r="H171" s="58"/>
      <c r="I171" s="58"/>
      <c r="J171" s="58"/>
      <c r="K171" s="58"/>
      <c r="L171" s="58"/>
      <c r="M171" s="58"/>
      <c r="N171" s="58"/>
      <c r="O171" s="58"/>
      <c r="P171" s="58"/>
      <c r="Q171" s="58"/>
      <c r="R171" s="58"/>
      <c r="S171" s="58"/>
      <c r="T171" s="58"/>
      <c r="U171" s="58"/>
      <c r="V171" s="58"/>
      <c r="W171" s="58"/>
      <c r="X171" s="58"/>
      <c r="Y171" s="58"/>
    </row>
    <row r="172">
      <c r="A172" s="58"/>
      <c r="B172" s="58"/>
      <c r="C172" s="58"/>
      <c r="D172" s="58"/>
      <c r="E172" s="58"/>
      <c r="F172" s="58"/>
      <c r="G172" s="58"/>
      <c r="H172" s="58"/>
      <c r="I172" s="58"/>
      <c r="J172" s="58"/>
      <c r="K172" s="58"/>
      <c r="L172" s="58"/>
      <c r="M172" s="58"/>
      <c r="N172" s="58"/>
      <c r="O172" s="58"/>
      <c r="P172" s="58"/>
      <c r="Q172" s="58"/>
      <c r="R172" s="58"/>
      <c r="S172" s="58"/>
      <c r="T172" s="58"/>
      <c r="U172" s="58"/>
      <c r="V172" s="58"/>
      <c r="W172" s="58"/>
      <c r="X172" s="58"/>
      <c r="Y172" s="58"/>
    </row>
    <row r="173">
      <c r="A173" s="58"/>
      <c r="B173" s="58"/>
      <c r="C173" s="58"/>
      <c r="D173" s="58"/>
      <c r="E173" s="58"/>
      <c r="F173" s="58"/>
      <c r="G173" s="58"/>
      <c r="H173" s="58"/>
      <c r="I173" s="58"/>
      <c r="J173" s="58"/>
      <c r="K173" s="58"/>
      <c r="L173" s="58"/>
      <c r="M173" s="58"/>
      <c r="N173" s="58"/>
      <c r="O173" s="58"/>
      <c r="P173" s="58"/>
      <c r="Q173" s="58"/>
      <c r="R173" s="58"/>
      <c r="S173" s="58"/>
      <c r="T173" s="58"/>
      <c r="U173" s="58"/>
      <c r="V173" s="58"/>
      <c r="W173" s="58"/>
      <c r="X173" s="58"/>
      <c r="Y173" s="58"/>
    </row>
    <row r="174">
      <c r="A174" s="58"/>
      <c r="B174" s="58"/>
      <c r="C174" s="58"/>
      <c r="D174" s="58"/>
      <c r="E174" s="58"/>
      <c r="F174" s="58"/>
      <c r="G174" s="58"/>
      <c r="H174" s="58"/>
      <c r="I174" s="58"/>
      <c r="J174" s="58"/>
      <c r="K174" s="58"/>
      <c r="L174" s="58"/>
      <c r="M174" s="58"/>
      <c r="N174" s="58"/>
      <c r="O174" s="58"/>
      <c r="P174" s="58"/>
      <c r="Q174" s="58"/>
      <c r="R174" s="58"/>
      <c r="S174" s="58"/>
      <c r="T174" s="58"/>
      <c r="U174" s="58"/>
      <c r="V174" s="58"/>
      <c r="W174" s="58"/>
      <c r="X174" s="58"/>
      <c r="Y174" s="58"/>
    </row>
    <row r="175">
      <c r="A175" s="58"/>
      <c r="B175" s="58"/>
      <c r="C175" s="58"/>
      <c r="D175" s="58"/>
      <c r="E175" s="58"/>
      <c r="F175" s="58"/>
      <c r="G175" s="58"/>
      <c r="H175" s="58"/>
      <c r="I175" s="58"/>
      <c r="J175" s="58"/>
      <c r="K175" s="58"/>
      <c r="L175" s="58"/>
      <c r="M175" s="58"/>
      <c r="N175" s="58"/>
      <c r="O175" s="58"/>
      <c r="P175" s="58"/>
      <c r="Q175" s="58"/>
      <c r="R175" s="58"/>
      <c r="S175" s="58"/>
      <c r="T175" s="58"/>
      <c r="U175" s="58"/>
      <c r="V175" s="58"/>
      <c r="W175" s="58"/>
      <c r="X175" s="58"/>
      <c r="Y175" s="58"/>
    </row>
    <row r="176">
      <c r="A176" s="58"/>
      <c r="B176" s="58"/>
      <c r="C176" s="58"/>
      <c r="D176" s="58"/>
      <c r="E176" s="58"/>
      <c r="F176" s="58"/>
      <c r="G176" s="58"/>
      <c r="H176" s="58"/>
      <c r="I176" s="58"/>
      <c r="J176" s="58"/>
      <c r="K176" s="58"/>
      <c r="L176" s="58"/>
      <c r="M176" s="58"/>
      <c r="N176" s="58"/>
      <c r="O176" s="58"/>
      <c r="P176" s="58"/>
      <c r="Q176" s="58"/>
      <c r="R176" s="58"/>
      <c r="S176" s="58"/>
      <c r="T176" s="58"/>
      <c r="U176" s="58"/>
      <c r="V176" s="58"/>
      <c r="W176" s="58"/>
      <c r="X176" s="58"/>
      <c r="Y176" s="58"/>
    </row>
    <row r="177">
      <c r="A177" s="58"/>
      <c r="B177" s="58"/>
      <c r="C177" s="58"/>
      <c r="D177" s="58"/>
      <c r="E177" s="58"/>
      <c r="F177" s="58"/>
      <c r="G177" s="58"/>
      <c r="H177" s="58"/>
      <c r="I177" s="58"/>
      <c r="J177" s="58"/>
      <c r="K177" s="58"/>
      <c r="L177" s="58"/>
      <c r="M177" s="58"/>
      <c r="N177" s="58"/>
      <c r="O177" s="58"/>
      <c r="P177" s="58"/>
      <c r="Q177" s="58"/>
      <c r="R177" s="58"/>
      <c r="S177" s="58"/>
      <c r="T177" s="58"/>
      <c r="U177" s="58"/>
      <c r="V177" s="58"/>
      <c r="W177" s="58"/>
      <c r="X177" s="58"/>
      <c r="Y177" s="58"/>
    </row>
    <row r="178">
      <c r="A178" s="58"/>
      <c r="B178" s="58"/>
      <c r="C178" s="58"/>
      <c r="D178" s="58"/>
      <c r="E178" s="58"/>
      <c r="F178" s="58"/>
      <c r="G178" s="58"/>
      <c r="H178" s="58"/>
      <c r="I178" s="58"/>
      <c r="J178" s="58"/>
      <c r="K178" s="58"/>
      <c r="L178" s="58"/>
      <c r="M178" s="58"/>
      <c r="N178" s="58"/>
      <c r="O178" s="58"/>
      <c r="P178" s="58"/>
      <c r="Q178" s="58"/>
      <c r="R178" s="58"/>
      <c r="S178" s="58"/>
      <c r="T178" s="58"/>
      <c r="U178" s="58"/>
      <c r="V178" s="58"/>
      <c r="W178" s="58"/>
      <c r="X178" s="58"/>
      <c r="Y178" s="58"/>
    </row>
    <row r="179">
      <c r="A179" s="58"/>
      <c r="B179" s="58"/>
      <c r="C179" s="58"/>
      <c r="D179" s="58"/>
      <c r="E179" s="58"/>
      <c r="F179" s="58"/>
      <c r="G179" s="58"/>
      <c r="H179" s="58"/>
      <c r="I179" s="58"/>
      <c r="J179" s="58"/>
      <c r="K179" s="58"/>
      <c r="L179" s="58"/>
      <c r="M179" s="58"/>
      <c r="N179" s="58"/>
      <c r="O179" s="58"/>
      <c r="P179" s="58"/>
      <c r="Q179" s="58"/>
      <c r="R179" s="58"/>
      <c r="S179" s="58"/>
      <c r="T179" s="58"/>
      <c r="U179" s="58"/>
      <c r="V179" s="58"/>
      <c r="W179" s="58"/>
      <c r="X179" s="58"/>
      <c r="Y179" s="58"/>
    </row>
    <row r="180">
      <c r="A180" s="58"/>
      <c r="B180" s="58"/>
      <c r="C180" s="58"/>
      <c r="D180" s="58"/>
      <c r="E180" s="58"/>
      <c r="F180" s="58"/>
      <c r="G180" s="58"/>
      <c r="H180" s="58"/>
      <c r="I180" s="58"/>
      <c r="J180" s="58"/>
      <c r="K180" s="58"/>
      <c r="L180" s="58"/>
      <c r="M180" s="58"/>
      <c r="N180" s="58"/>
      <c r="O180" s="58"/>
      <c r="P180" s="58"/>
      <c r="Q180" s="58"/>
      <c r="R180" s="58"/>
      <c r="S180" s="58"/>
      <c r="T180" s="58"/>
      <c r="U180" s="58"/>
      <c r="V180" s="58"/>
      <c r="W180" s="58"/>
      <c r="X180" s="58"/>
      <c r="Y180" s="58"/>
    </row>
    <row r="181">
      <c r="A181" s="58"/>
      <c r="B181" s="58"/>
      <c r="C181" s="58"/>
      <c r="D181" s="58"/>
      <c r="E181" s="58"/>
      <c r="F181" s="58"/>
      <c r="G181" s="58"/>
      <c r="H181" s="58"/>
      <c r="I181" s="58"/>
      <c r="J181" s="58"/>
      <c r="K181" s="58"/>
      <c r="L181" s="58"/>
      <c r="M181" s="58"/>
      <c r="N181" s="58"/>
      <c r="O181" s="58"/>
      <c r="P181" s="58"/>
      <c r="Q181" s="58"/>
      <c r="R181" s="58"/>
      <c r="S181" s="58"/>
      <c r="T181" s="58"/>
      <c r="U181" s="58"/>
      <c r="V181" s="58"/>
      <c r="W181" s="58"/>
      <c r="X181" s="58"/>
      <c r="Y181" s="58"/>
    </row>
    <row r="182">
      <c r="A182" s="58"/>
      <c r="B182" s="58"/>
      <c r="C182" s="58"/>
      <c r="D182" s="58"/>
      <c r="E182" s="58"/>
      <c r="F182" s="58"/>
      <c r="G182" s="58"/>
      <c r="H182" s="58"/>
      <c r="I182" s="58"/>
      <c r="J182" s="58"/>
      <c r="K182" s="58"/>
      <c r="L182" s="58"/>
      <c r="M182" s="58"/>
      <c r="N182" s="58"/>
      <c r="O182" s="58"/>
      <c r="P182" s="58"/>
      <c r="Q182" s="58"/>
      <c r="R182" s="58"/>
      <c r="S182" s="58"/>
      <c r="T182" s="58"/>
      <c r="U182" s="58"/>
      <c r="V182" s="58"/>
      <c r="W182" s="58"/>
      <c r="X182" s="58"/>
      <c r="Y182" s="58"/>
    </row>
    <row r="183">
      <c r="A183" s="58"/>
      <c r="B183" s="58"/>
      <c r="C183" s="58"/>
      <c r="D183" s="58"/>
      <c r="E183" s="58"/>
      <c r="F183" s="58"/>
      <c r="G183" s="58"/>
      <c r="H183" s="58"/>
      <c r="I183" s="58"/>
      <c r="J183" s="58"/>
      <c r="K183" s="58"/>
      <c r="L183" s="58"/>
      <c r="M183" s="58"/>
      <c r="N183" s="58"/>
      <c r="O183" s="58"/>
      <c r="P183" s="58"/>
      <c r="Q183" s="58"/>
      <c r="R183" s="58"/>
      <c r="S183" s="58"/>
      <c r="T183" s="58"/>
      <c r="U183" s="58"/>
      <c r="V183" s="58"/>
      <c r="W183" s="58"/>
      <c r="X183" s="58"/>
      <c r="Y183" s="58"/>
    </row>
    <row r="184">
      <c r="A184" s="58"/>
      <c r="B184" s="58"/>
      <c r="C184" s="58"/>
      <c r="D184" s="58"/>
      <c r="E184" s="58"/>
      <c r="F184" s="58"/>
      <c r="G184" s="58"/>
      <c r="H184" s="58"/>
      <c r="I184" s="58"/>
      <c r="J184" s="58"/>
      <c r="K184" s="58"/>
      <c r="L184" s="58"/>
      <c r="M184" s="58"/>
      <c r="N184" s="58"/>
      <c r="O184" s="58"/>
      <c r="P184" s="58"/>
      <c r="Q184" s="58"/>
      <c r="R184" s="58"/>
      <c r="S184" s="58"/>
      <c r="T184" s="58"/>
      <c r="U184" s="58"/>
      <c r="V184" s="58"/>
      <c r="W184" s="58"/>
      <c r="X184" s="58"/>
      <c r="Y184" s="58"/>
    </row>
    <row r="185">
      <c r="A185" s="58"/>
      <c r="B185" s="58"/>
      <c r="C185" s="58"/>
      <c r="D185" s="58"/>
      <c r="E185" s="58"/>
      <c r="F185" s="58"/>
      <c r="G185" s="58"/>
      <c r="H185" s="58"/>
      <c r="I185" s="58"/>
      <c r="J185" s="58"/>
      <c r="K185" s="58"/>
      <c r="L185" s="58"/>
      <c r="M185" s="58"/>
      <c r="N185" s="58"/>
      <c r="O185" s="58"/>
      <c r="P185" s="58"/>
      <c r="Q185" s="58"/>
      <c r="R185" s="58"/>
      <c r="S185" s="58"/>
      <c r="T185" s="58"/>
      <c r="U185" s="58"/>
      <c r="V185" s="58"/>
      <c r="W185" s="58"/>
      <c r="X185" s="58"/>
      <c r="Y185" s="58"/>
    </row>
    <row r="186">
      <c r="A186" s="58"/>
      <c r="B186" s="58"/>
      <c r="C186" s="58"/>
      <c r="D186" s="58"/>
      <c r="E186" s="58"/>
      <c r="F186" s="58"/>
      <c r="G186" s="58"/>
      <c r="H186" s="58"/>
      <c r="I186" s="58"/>
      <c r="J186" s="58"/>
      <c r="K186" s="58"/>
      <c r="L186" s="58"/>
      <c r="M186" s="58"/>
      <c r="N186" s="58"/>
      <c r="O186" s="58"/>
      <c r="P186" s="58"/>
      <c r="Q186" s="58"/>
      <c r="R186" s="58"/>
      <c r="S186" s="58"/>
      <c r="T186" s="58"/>
      <c r="U186" s="58"/>
      <c r="V186" s="58"/>
      <c r="W186" s="58"/>
      <c r="X186" s="58"/>
      <c r="Y186" s="58"/>
    </row>
    <row r="187">
      <c r="A187" s="58"/>
      <c r="B187" s="58"/>
      <c r="C187" s="58"/>
      <c r="D187" s="58"/>
      <c r="E187" s="58"/>
      <c r="F187" s="58"/>
      <c r="G187" s="58"/>
      <c r="H187" s="58"/>
      <c r="I187" s="58"/>
      <c r="J187" s="58"/>
      <c r="K187" s="58"/>
      <c r="L187" s="58"/>
      <c r="M187" s="58"/>
      <c r="N187" s="58"/>
      <c r="O187" s="58"/>
      <c r="P187" s="58"/>
      <c r="Q187" s="58"/>
      <c r="R187" s="58"/>
      <c r="S187" s="58"/>
      <c r="T187" s="58"/>
      <c r="U187" s="58"/>
      <c r="V187" s="58"/>
      <c r="W187" s="58"/>
      <c r="X187" s="58"/>
      <c r="Y187" s="58"/>
    </row>
    <row r="188">
      <c r="A188" s="58"/>
      <c r="B188" s="58"/>
      <c r="C188" s="58"/>
      <c r="D188" s="58"/>
      <c r="E188" s="58"/>
      <c r="F188" s="58"/>
      <c r="G188" s="58"/>
      <c r="H188" s="58"/>
      <c r="I188" s="58"/>
      <c r="J188" s="58"/>
      <c r="K188" s="58"/>
      <c r="L188" s="58"/>
      <c r="M188" s="58"/>
      <c r="N188" s="58"/>
      <c r="O188" s="58"/>
      <c r="P188" s="58"/>
      <c r="Q188" s="58"/>
      <c r="R188" s="58"/>
      <c r="S188" s="58"/>
      <c r="T188" s="58"/>
      <c r="U188" s="58"/>
      <c r="V188" s="58"/>
      <c r="W188" s="58"/>
      <c r="X188" s="58"/>
      <c r="Y188" s="58"/>
    </row>
    <row r="189">
      <c r="A189" s="58"/>
      <c r="B189" s="58"/>
      <c r="C189" s="58"/>
      <c r="D189" s="58"/>
      <c r="E189" s="58"/>
      <c r="F189" s="58"/>
      <c r="G189" s="58"/>
      <c r="H189" s="58"/>
      <c r="I189" s="58"/>
      <c r="J189" s="58"/>
      <c r="K189" s="58"/>
      <c r="L189" s="58"/>
      <c r="M189" s="58"/>
      <c r="N189" s="58"/>
      <c r="O189" s="58"/>
      <c r="P189" s="58"/>
      <c r="Q189" s="58"/>
      <c r="R189" s="58"/>
      <c r="S189" s="58"/>
      <c r="T189" s="58"/>
      <c r="U189" s="58"/>
      <c r="V189" s="58"/>
      <c r="W189" s="58"/>
      <c r="X189" s="58"/>
      <c r="Y189" s="58"/>
    </row>
    <row r="190">
      <c r="A190" s="58"/>
      <c r="B190" s="58"/>
      <c r="C190" s="58"/>
      <c r="D190" s="58"/>
      <c r="E190" s="58"/>
      <c r="F190" s="58"/>
      <c r="G190" s="58"/>
      <c r="H190" s="58"/>
      <c r="I190" s="58"/>
      <c r="J190" s="58"/>
      <c r="K190" s="58"/>
      <c r="L190" s="58"/>
      <c r="M190" s="58"/>
      <c r="N190" s="58"/>
      <c r="O190" s="58"/>
      <c r="P190" s="58"/>
      <c r="Q190" s="58"/>
      <c r="R190" s="58"/>
      <c r="S190" s="58"/>
      <c r="T190" s="58"/>
      <c r="U190" s="58"/>
      <c r="V190" s="58"/>
      <c r="W190" s="58"/>
      <c r="X190" s="58"/>
      <c r="Y190" s="58"/>
    </row>
    <row r="191">
      <c r="A191" s="58"/>
      <c r="B191" s="58"/>
      <c r="C191" s="58"/>
      <c r="D191" s="58"/>
      <c r="E191" s="58"/>
      <c r="F191" s="58"/>
      <c r="G191" s="58"/>
      <c r="H191" s="58"/>
      <c r="I191" s="58"/>
      <c r="J191" s="58"/>
      <c r="K191" s="58"/>
      <c r="L191" s="58"/>
      <c r="M191" s="58"/>
      <c r="N191" s="58"/>
      <c r="O191" s="58"/>
      <c r="P191" s="58"/>
      <c r="Q191" s="58"/>
      <c r="R191" s="58"/>
      <c r="S191" s="58"/>
      <c r="T191" s="58"/>
      <c r="U191" s="58"/>
      <c r="V191" s="58"/>
      <c r="W191" s="58"/>
      <c r="X191" s="58"/>
      <c r="Y191" s="58"/>
    </row>
    <row r="192">
      <c r="A192" s="58"/>
      <c r="B192" s="58"/>
      <c r="C192" s="58"/>
      <c r="D192" s="58"/>
      <c r="E192" s="58"/>
      <c r="F192" s="58"/>
      <c r="G192" s="58"/>
      <c r="H192" s="58"/>
      <c r="I192" s="58"/>
      <c r="J192" s="58"/>
      <c r="K192" s="58"/>
      <c r="L192" s="58"/>
      <c r="M192" s="58"/>
      <c r="N192" s="58"/>
      <c r="O192" s="58"/>
      <c r="P192" s="58"/>
      <c r="Q192" s="58"/>
      <c r="R192" s="58"/>
      <c r="S192" s="58"/>
      <c r="T192" s="58"/>
      <c r="U192" s="58"/>
      <c r="V192" s="58"/>
      <c r="W192" s="58"/>
      <c r="X192" s="58"/>
      <c r="Y192" s="58"/>
    </row>
    <row r="193">
      <c r="A193" s="58"/>
      <c r="B193" s="58"/>
      <c r="C193" s="58"/>
      <c r="D193" s="58"/>
      <c r="E193" s="58"/>
      <c r="F193" s="58"/>
      <c r="G193" s="58"/>
      <c r="H193" s="58"/>
      <c r="I193" s="58"/>
      <c r="J193" s="58"/>
      <c r="K193" s="58"/>
      <c r="L193" s="58"/>
      <c r="M193" s="58"/>
      <c r="N193" s="58"/>
      <c r="O193" s="58"/>
      <c r="P193" s="58"/>
      <c r="Q193" s="58"/>
      <c r="R193" s="58"/>
      <c r="S193" s="58"/>
      <c r="T193" s="58"/>
      <c r="U193" s="58"/>
      <c r="V193" s="58"/>
      <c r="W193" s="58"/>
      <c r="X193" s="58"/>
      <c r="Y193" s="58"/>
    </row>
    <row r="194">
      <c r="A194" s="58"/>
      <c r="B194" s="58"/>
      <c r="C194" s="58"/>
      <c r="D194" s="58"/>
      <c r="E194" s="58"/>
      <c r="F194" s="58"/>
      <c r="G194" s="58"/>
      <c r="H194" s="58"/>
      <c r="I194" s="58"/>
      <c r="J194" s="58"/>
      <c r="K194" s="58"/>
      <c r="L194" s="58"/>
      <c r="M194" s="58"/>
      <c r="N194" s="58"/>
      <c r="O194" s="58"/>
      <c r="P194" s="58"/>
      <c r="Q194" s="58"/>
      <c r="R194" s="58"/>
      <c r="S194" s="58"/>
      <c r="T194" s="58"/>
      <c r="U194" s="58"/>
      <c r="V194" s="58"/>
      <c r="W194" s="58"/>
      <c r="X194" s="58"/>
      <c r="Y194" s="58"/>
    </row>
    <row r="195">
      <c r="A195" s="58"/>
      <c r="B195" s="58"/>
      <c r="C195" s="58"/>
      <c r="D195" s="58"/>
      <c r="E195" s="58"/>
      <c r="F195" s="58"/>
      <c r="G195" s="58"/>
      <c r="H195" s="58"/>
      <c r="I195" s="58"/>
      <c r="J195" s="58"/>
      <c r="K195" s="58"/>
      <c r="L195" s="58"/>
      <c r="M195" s="58"/>
      <c r="N195" s="58"/>
      <c r="O195" s="58"/>
      <c r="P195" s="58"/>
      <c r="Q195" s="58"/>
      <c r="R195" s="58"/>
      <c r="S195" s="58"/>
      <c r="T195" s="58"/>
      <c r="U195" s="58"/>
      <c r="V195" s="58"/>
      <c r="W195" s="58"/>
      <c r="X195" s="58"/>
      <c r="Y195" s="58"/>
    </row>
    <row r="196">
      <c r="A196" s="58"/>
      <c r="B196" s="58"/>
      <c r="C196" s="58"/>
      <c r="D196" s="58"/>
      <c r="E196" s="58"/>
      <c r="F196" s="58"/>
      <c r="G196" s="58"/>
      <c r="H196" s="58"/>
      <c r="I196" s="58"/>
      <c r="J196" s="58"/>
      <c r="K196" s="58"/>
      <c r="L196" s="58"/>
      <c r="M196" s="58"/>
      <c r="N196" s="58"/>
      <c r="O196" s="58"/>
      <c r="P196" s="58"/>
      <c r="Q196" s="58"/>
      <c r="R196" s="58"/>
      <c r="S196" s="58"/>
      <c r="T196" s="58"/>
      <c r="U196" s="58"/>
      <c r="V196" s="58"/>
      <c r="W196" s="58"/>
      <c r="X196" s="58"/>
      <c r="Y196" s="58"/>
    </row>
    <row r="197">
      <c r="A197" s="58"/>
      <c r="B197" s="58"/>
      <c r="C197" s="58"/>
      <c r="D197" s="58"/>
      <c r="E197" s="58"/>
      <c r="F197" s="58"/>
      <c r="G197" s="58"/>
      <c r="H197" s="58"/>
      <c r="I197" s="58"/>
      <c r="J197" s="58"/>
      <c r="K197" s="58"/>
      <c r="L197" s="58"/>
      <c r="M197" s="58"/>
      <c r="N197" s="58"/>
      <c r="O197" s="58"/>
      <c r="P197" s="58"/>
      <c r="Q197" s="58"/>
      <c r="R197" s="58"/>
      <c r="S197" s="58"/>
      <c r="T197" s="58"/>
      <c r="U197" s="58"/>
      <c r="V197" s="58"/>
      <c r="W197" s="58"/>
      <c r="X197" s="58"/>
      <c r="Y197" s="58"/>
    </row>
    <row r="198">
      <c r="A198" s="58"/>
      <c r="B198" s="58"/>
      <c r="C198" s="58"/>
      <c r="D198" s="58"/>
      <c r="E198" s="58"/>
      <c r="F198" s="58"/>
      <c r="G198" s="58"/>
      <c r="H198" s="58"/>
      <c r="I198" s="58"/>
      <c r="J198" s="58"/>
      <c r="K198" s="58"/>
      <c r="L198" s="58"/>
      <c r="M198" s="58"/>
      <c r="N198" s="58"/>
      <c r="O198" s="58"/>
      <c r="P198" s="58"/>
      <c r="Q198" s="58"/>
      <c r="R198" s="58"/>
      <c r="S198" s="58"/>
      <c r="T198" s="58"/>
      <c r="U198" s="58"/>
      <c r="V198" s="58"/>
      <c r="W198" s="58"/>
      <c r="X198" s="58"/>
      <c r="Y198" s="58"/>
    </row>
    <row r="199">
      <c r="A199" s="58"/>
      <c r="B199" s="58"/>
      <c r="C199" s="58"/>
      <c r="D199" s="58"/>
      <c r="E199" s="58"/>
      <c r="F199" s="58"/>
      <c r="G199" s="58"/>
      <c r="H199" s="58"/>
      <c r="I199" s="58"/>
      <c r="J199" s="58"/>
      <c r="K199" s="58"/>
      <c r="L199" s="58"/>
      <c r="M199" s="58"/>
      <c r="N199" s="58"/>
      <c r="O199" s="58"/>
      <c r="P199" s="58"/>
      <c r="Q199" s="58"/>
      <c r="R199" s="58"/>
      <c r="S199" s="58"/>
      <c r="T199" s="58"/>
      <c r="U199" s="58"/>
      <c r="V199" s="58"/>
      <c r="W199" s="58"/>
      <c r="X199" s="58"/>
      <c r="Y199" s="58"/>
    </row>
    <row r="200">
      <c r="A200" s="58"/>
      <c r="B200" s="58"/>
      <c r="C200" s="58"/>
      <c r="D200" s="58"/>
      <c r="E200" s="58"/>
      <c r="F200" s="58"/>
      <c r="G200" s="58"/>
      <c r="H200" s="58"/>
      <c r="I200" s="58"/>
      <c r="J200" s="58"/>
      <c r="K200" s="58"/>
      <c r="L200" s="58"/>
      <c r="M200" s="58"/>
      <c r="N200" s="58"/>
      <c r="O200" s="58"/>
      <c r="P200" s="58"/>
      <c r="Q200" s="58"/>
      <c r="R200" s="58"/>
      <c r="S200" s="58"/>
      <c r="T200" s="58"/>
      <c r="U200" s="58"/>
      <c r="V200" s="58"/>
      <c r="W200" s="58"/>
      <c r="X200" s="58"/>
      <c r="Y200" s="58"/>
    </row>
    <row r="201">
      <c r="A201" s="58"/>
      <c r="B201" s="58"/>
      <c r="C201" s="58"/>
      <c r="D201" s="58"/>
      <c r="E201" s="58"/>
      <c r="F201" s="58"/>
      <c r="G201" s="58"/>
      <c r="H201" s="58"/>
      <c r="I201" s="58"/>
      <c r="J201" s="58"/>
      <c r="K201" s="58"/>
      <c r="L201" s="58"/>
      <c r="M201" s="58"/>
      <c r="N201" s="58"/>
      <c r="O201" s="58"/>
      <c r="P201" s="58"/>
      <c r="Q201" s="58"/>
      <c r="R201" s="58"/>
      <c r="S201" s="58"/>
      <c r="T201" s="58"/>
      <c r="U201" s="58"/>
      <c r="V201" s="58"/>
      <c r="W201" s="58"/>
      <c r="X201" s="58"/>
      <c r="Y201" s="58"/>
    </row>
    <row r="202">
      <c r="A202" s="58"/>
      <c r="B202" s="58"/>
      <c r="C202" s="58"/>
      <c r="D202" s="58"/>
      <c r="E202" s="58"/>
      <c r="F202" s="58"/>
      <c r="G202" s="58"/>
      <c r="H202" s="58"/>
      <c r="I202" s="58"/>
      <c r="J202" s="58"/>
      <c r="K202" s="58"/>
      <c r="L202" s="58"/>
      <c r="M202" s="58"/>
      <c r="N202" s="58"/>
      <c r="O202" s="58"/>
      <c r="P202" s="58"/>
      <c r="Q202" s="58"/>
      <c r="R202" s="58"/>
      <c r="S202" s="58"/>
      <c r="T202" s="58"/>
      <c r="U202" s="58"/>
      <c r="V202" s="58"/>
      <c r="W202" s="58"/>
      <c r="X202" s="58"/>
      <c r="Y202" s="58"/>
    </row>
    <row r="203">
      <c r="A203" s="58"/>
      <c r="B203" s="58"/>
      <c r="C203" s="58"/>
      <c r="D203" s="58"/>
      <c r="E203" s="58"/>
      <c r="F203" s="58"/>
      <c r="G203" s="58"/>
      <c r="H203" s="58"/>
      <c r="I203" s="58"/>
      <c r="J203" s="58"/>
      <c r="K203" s="58"/>
      <c r="L203" s="58"/>
      <c r="M203" s="58"/>
      <c r="N203" s="58"/>
      <c r="O203" s="58"/>
      <c r="P203" s="58"/>
      <c r="Q203" s="58"/>
      <c r="R203" s="58"/>
      <c r="S203" s="58"/>
      <c r="T203" s="58"/>
      <c r="U203" s="58"/>
      <c r="V203" s="58"/>
      <c r="W203" s="58"/>
      <c r="X203" s="58"/>
      <c r="Y203" s="58"/>
    </row>
    <row r="204">
      <c r="A204" s="58"/>
      <c r="B204" s="58"/>
      <c r="C204" s="58"/>
      <c r="D204" s="58"/>
      <c r="E204" s="58"/>
      <c r="F204" s="58"/>
      <c r="G204" s="58"/>
      <c r="H204" s="58"/>
      <c r="I204" s="58"/>
      <c r="J204" s="58"/>
      <c r="K204" s="58"/>
      <c r="L204" s="58"/>
      <c r="M204" s="58"/>
      <c r="N204" s="58"/>
      <c r="O204" s="58"/>
      <c r="P204" s="58"/>
      <c r="Q204" s="58"/>
      <c r="R204" s="58"/>
      <c r="S204" s="58"/>
      <c r="T204" s="58"/>
      <c r="U204" s="58"/>
      <c r="V204" s="58"/>
      <c r="W204" s="58"/>
      <c r="X204" s="58"/>
      <c r="Y204" s="58"/>
    </row>
    <row r="205">
      <c r="A205" s="58"/>
      <c r="B205" s="58"/>
      <c r="C205" s="58"/>
      <c r="D205" s="58"/>
      <c r="E205" s="58"/>
      <c r="F205" s="58"/>
      <c r="G205" s="58"/>
      <c r="H205" s="58"/>
      <c r="I205" s="58"/>
      <c r="J205" s="58"/>
      <c r="K205" s="58"/>
      <c r="L205" s="58"/>
      <c r="M205" s="58"/>
      <c r="N205" s="58"/>
      <c r="O205" s="58"/>
      <c r="P205" s="58"/>
      <c r="Q205" s="58"/>
      <c r="R205" s="58"/>
      <c r="S205" s="58"/>
      <c r="T205" s="58"/>
      <c r="U205" s="58"/>
      <c r="V205" s="58"/>
      <c r="W205" s="58"/>
      <c r="X205" s="58"/>
      <c r="Y205" s="58"/>
    </row>
    <row r="206">
      <c r="A206" s="58"/>
      <c r="B206" s="58"/>
      <c r="C206" s="58"/>
      <c r="D206" s="58"/>
      <c r="E206" s="58"/>
      <c r="F206" s="58"/>
      <c r="G206" s="58"/>
      <c r="H206" s="58"/>
      <c r="I206" s="58"/>
      <c r="J206" s="58"/>
      <c r="K206" s="58"/>
      <c r="L206" s="58"/>
      <c r="M206" s="58"/>
      <c r="N206" s="58"/>
      <c r="O206" s="58"/>
      <c r="P206" s="58"/>
      <c r="Q206" s="58"/>
      <c r="R206" s="58"/>
      <c r="S206" s="58"/>
      <c r="T206" s="58"/>
      <c r="U206" s="58"/>
      <c r="V206" s="58"/>
      <c r="W206" s="58"/>
      <c r="X206" s="58"/>
      <c r="Y206" s="58"/>
    </row>
    <row r="207">
      <c r="A207" s="58"/>
      <c r="B207" s="58"/>
      <c r="C207" s="58"/>
      <c r="D207" s="58"/>
      <c r="E207" s="58"/>
      <c r="F207" s="58"/>
      <c r="G207" s="58"/>
      <c r="H207" s="58"/>
      <c r="I207" s="58"/>
      <c r="J207" s="58"/>
      <c r="K207" s="58"/>
      <c r="L207" s="58"/>
      <c r="M207" s="58"/>
      <c r="N207" s="58"/>
      <c r="O207" s="58"/>
      <c r="P207" s="58"/>
      <c r="Q207" s="58"/>
      <c r="R207" s="58"/>
      <c r="S207" s="58"/>
      <c r="T207" s="58"/>
      <c r="U207" s="58"/>
      <c r="V207" s="58"/>
      <c r="W207" s="58"/>
      <c r="X207" s="58"/>
      <c r="Y207" s="58"/>
    </row>
    <row r="208">
      <c r="A208" s="58"/>
      <c r="B208" s="58"/>
      <c r="C208" s="58"/>
      <c r="D208" s="58"/>
      <c r="E208" s="58"/>
      <c r="F208" s="58"/>
      <c r="G208" s="58"/>
      <c r="H208" s="58"/>
      <c r="I208" s="58"/>
      <c r="J208" s="58"/>
      <c r="K208" s="58"/>
      <c r="L208" s="58"/>
      <c r="M208" s="58"/>
      <c r="N208" s="58"/>
      <c r="O208" s="58"/>
      <c r="P208" s="58"/>
      <c r="Q208" s="58"/>
      <c r="R208" s="58"/>
      <c r="S208" s="58"/>
      <c r="T208" s="58"/>
      <c r="U208" s="58"/>
      <c r="V208" s="58"/>
      <c r="W208" s="58"/>
      <c r="X208" s="58"/>
      <c r="Y208" s="58"/>
    </row>
    <row r="209">
      <c r="A209" s="58"/>
      <c r="B209" s="58"/>
      <c r="C209" s="58"/>
      <c r="D209" s="58"/>
      <c r="E209" s="58"/>
      <c r="F209" s="58"/>
      <c r="G209" s="58"/>
      <c r="H209" s="58"/>
      <c r="I209" s="58"/>
      <c r="J209" s="58"/>
      <c r="K209" s="58"/>
      <c r="L209" s="58"/>
      <c r="M209" s="58"/>
      <c r="N209" s="58"/>
      <c r="O209" s="58"/>
      <c r="P209" s="58"/>
      <c r="Q209" s="58"/>
      <c r="R209" s="58"/>
      <c r="S209" s="58"/>
      <c r="T209" s="58"/>
      <c r="U209" s="58"/>
      <c r="V209" s="58"/>
      <c r="W209" s="58"/>
      <c r="X209" s="58"/>
      <c r="Y209" s="58"/>
    </row>
    <row r="210">
      <c r="A210" s="58"/>
      <c r="B210" s="58"/>
      <c r="C210" s="58"/>
      <c r="D210" s="58"/>
      <c r="E210" s="58"/>
      <c r="F210" s="58"/>
      <c r="G210" s="58"/>
      <c r="H210" s="58"/>
      <c r="I210" s="58"/>
      <c r="J210" s="58"/>
      <c r="K210" s="58"/>
      <c r="L210" s="58"/>
      <c r="M210" s="58"/>
      <c r="N210" s="58"/>
      <c r="O210" s="58"/>
      <c r="P210" s="58"/>
      <c r="Q210" s="58"/>
      <c r="R210" s="58"/>
      <c r="S210" s="58"/>
      <c r="T210" s="58"/>
      <c r="U210" s="58"/>
      <c r="V210" s="58"/>
      <c r="W210" s="58"/>
      <c r="X210" s="58"/>
      <c r="Y210" s="58"/>
    </row>
    <row r="211">
      <c r="A211" s="58"/>
      <c r="B211" s="58"/>
      <c r="C211" s="58"/>
      <c r="D211" s="58"/>
      <c r="E211" s="58"/>
      <c r="F211" s="58"/>
      <c r="G211" s="58"/>
      <c r="H211" s="58"/>
      <c r="I211" s="58"/>
      <c r="J211" s="58"/>
      <c r="K211" s="58"/>
      <c r="L211" s="58"/>
      <c r="M211" s="58"/>
      <c r="N211" s="58"/>
      <c r="O211" s="58"/>
      <c r="P211" s="58"/>
      <c r="Q211" s="58"/>
      <c r="R211" s="58"/>
      <c r="S211" s="58"/>
      <c r="T211" s="58"/>
      <c r="U211" s="58"/>
      <c r="V211" s="58"/>
      <c r="W211" s="58"/>
      <c r="X211" s="58"/>
      <c r="Y211" s="58"/>
    </row>
    <row r="212">
      <c r="A212" s="58"/>
      <c r="B212" s="58"/>
      <c r="C212" s="58"/>
      <c r="D212" s="58"/>
      <c r="E212" s="58"/>
      <c r="F212" s="58"/>
      <c r="G212" s="58"/>
      <c r="H212" s="58"/>
      <c r="I212" s="58"/>
      <c r="J212" s="58"/>
      <c r="K212" s="58"/>
      <c r="L212" s="58"/>
      <c r="M212" s="58"/>
      <c r="N212" s="58"/>
      <c r="O212" s="58"/>
      <c r="P212" s="58"/>
      <c r="Q212" s="58"/>
      <c r="R212" s="58"/>
      <c r="S212" s="58"/>
      <c r="T212" s="58"/>
      <c r="U212" s="58"/>
      <c r="V212" s="58"/>
      <c r="W212" s="58"/>
      <c r="X212" s="58"/>
      <c r="Y212" s="58"/>
    </row>
    <row r="213">
      <c r="A213" s="58"/>
      <c r="B213" s="58"/>
      <c r="C213" s="58"/>
      <c r="D213" s="58"/>
      <c r="E213" s="58"/>
      <c r="F213" s="58"/>
      <c r="G213" s="58"/>
      <c r="H213" s="58"/>
      <c r="I213" s="58"/>
      <c r="J213" s="58"/>
      <c r="K213" s="58"/>
      <c r="L213" s="58"/>
      <c r="M213" s="58"/>
      <c r="N213" s="58"/>
      <c r="O213" s="58"/>
      <c r="P213" s="58"/>
      <c r="Q213" s="58"/>
      <c r="R213" s="58"/>
      <c r="S213" s="58"/>
      <c r="T213" s="58"/>
      <c r="U213" s="58"/>
      <c r="V213" s="58"/>
      <c r="W213" s="58"/>
      <c r="X213" s="58"/>
      <c r="Y213" s="58"/>
    </row>
    <row r="214">
      <c r="A214" s="58"/>
      <c r="B214" s="58"/>
      <c r="C214" s="58"/>
      <c r="D214" s="58"/>
      <c r="E214" s="58"/>
      <c r="F214" s="58"/>
      <c r="G214" s="58"/>
      <c r="H214" s="58"/>
      <c r="I214" s="58"/>
      <c r="J214" s="58"/>
      <c r="K214" s="58"/>
      <c r="L214" s="58"/>
      <c r="M214" s="58"/>
      <c r="N214" s="58"/>
      <c r="O214" s="58"/>
      <c r="P214" s="58"/>
      <c r="Q214" s="58"/>
      <c r="R214" s="58"/>
      <c r="S214" s="58"/>
      <c r="T214" s="58"/>
      <c r="U214" s="58"/>
      <c r="V214" s="58"/>
      <c r="W214" s="58"/>
      <c r="X214" s="58"/>
      <c r="Y214" s="58"/>
    </row>
    <row r="215">
      <c r="A215" s="58"/>
      <c r="B215" s="58"/>
      <c r="C215" s="58"/>
      <c r="D215" s="58"/>
      <c r="E215" s="58"/>
      <c r="F215" s="58"/>
      <c r="G215" s="58"/>
      <c r="H215" s="58"/>
      <c r="I215" s="58"/>
      <c r="J215" s="58"/>
      <c r="K215" s="58"/>
      <c r="L215" s="58"/>
      <c r="M215" s="58"/>
      <c r="N215" s="58"/>
      <c r="O215" s="58"/>
      <c r="P215" s="58"/>
      <c r="Q215" s="58"/>
      <c r="R215" s="58"/>
      <c r="S215" s="58"/>
      <c r="T215" s="58"/>
      <c r="U215" s="58"/>
      <c r="V215" s="58"/>
      <c r="W215" s="58"/>
      <c r="X215" s="58"/>
      <c r="Y215" s="58"/>
    </row>
    <row r="216">
      <c r="A216" s="58"/>
      <c r="B216" s="58"/>
      <c r="C216" s="58"/>
      <c r="D216" s="58"/>
      <c r="E216" s="58"/>
      <c r="F216" s="58"/>
      <c r="G216" s="58"/>
      <c r="H216" s="58"/>
      <c r="I216" s="58"/>
      <c r="J216" s="58"/>
      <c r="K216" s="58"/>
      <c r="L216" s="58"/>
      <c r="M216" s="58"/>
      <c r="N216" s="58"/>
      <c r="O216" s="58"/>
      <c r="P216" s="58"/>
      <c r="Q216" s="58"/>
      <c r="R216" s="58"/>
      <c r="S216" s="58"/>
      <c r="T216" s="58"/>
      <c r="U216" s="58"/>
      <c r="V216" s="58"/>
      <c r="W216" s="58"/>
      <c r="X216" s="58"/>
      <c r="Y216" s="58"/>
    </row>
    <row r="217">
      <c r="A217" s="58"/>
      <c r="B217" s="58"/>
      <c r="C217" s="58"/>
      <c r="D217" s="58"/>
      <c r="E217" s="58"/>
      <c r="F217" s="58"/>
      <c r="G217" s="58"/>
      <c r="H217" s="58"/>
      <c r="I217" s="58"/>
      <c r="J217" s="58"/>
      <c r="K217" s="58"/>
      <c r="L217" s="58"/>
      <c r="M217" s="58"/>
      <c r="N217" s="58"/>
      <c r="O217" s="58"/>
      <c r="P217" s="58"/>
      <c r="Q217" s="58"/>
      <c r="R217" s="58"/>
      <c r="S217" s="58"/>
      <c r="T217" s="58"/>
      <c r="U217" s="58"/>
      <c r="V217" s="58"/>
      <c r="W217" s="58"/>
      <c r="X217" s="58"/>
      <c r="Y217" s="58"/>
    </row>
    <row r="218">
      <c r="A218" s="58"/>
      <c r="B218" s="58"/>
      <c r="C218" s="58"/>
      <c r="D218" s="58"/>
      <c r="E218" s="58"/>
      <c r="F218" s="58"/>
      <c r="G218" s="58"/>
      <c r="H218" s="58"/>
      <c r="I218" s="58"/>
      <c r="J218" s="58"/>
      <c r="K218" s="58"/>
      <c r="L218" s="58"/>
      <c r="M218" s="58"/>
      <c r="N218" s="58"/>
      <c r="O218" s="58"/>
      <c r="P218" s="58"/>
      <c r="Q218" s="58"/>
      <c r="R218" s="58"/>
      <c r="S218" s="58"/>
      <c r="T218" s="58"/>
      <c r="U218" s="58"/>
      <c r="V218" s="58"/>
      <c r="W218" s="58"/>
      <c r="X218" s="58"/>
      <c r="Y218" s="58"/>
    </row>
    <row r="219">
      <c r="A219" s="58"/>
      <c r="B219" s="58"/>
      <c r="C219" s="58"/>
      <c r="D219" s="58"/>
      <c r="E219" s="58"/>
      <c r="F219" s="58"/>
      <c r="G219" s="58"/>
      <c r="H219" s="58"/>
      <c r="I219" s="58"/>
      <c r="J219" s="58"/>
      <c r="K219" s="58"/>
      <c r="L219" s="58"/>
      <c r="M219" s="58"/>
      <c r="N219" s="58"/>
      <c r="O219" s="58"/>
      <c r="P219" s="58"/>
      <c r="Q219" s="58"/>
      <c r="R219" s="58"/>
      <c r="S219" s="58"/>
      <c r="T219" s="58"/>
      <c r="U219" s="58"/>
      <c r="V219" s="58"/>
      <c r="W219" s="58"/>
      <c r="X219" s="58"/>
      <c r="Y219" s="58"/>
    </row>
    <row r="220">
      <c r="A220" s="58"/>
      <c r="B220" s="58"/>
      <c r="C220" s="58"/>
      <c r="D220" s="58"/>
      <c r="E220" s="58"/>
      <c r="F220" s="58"/>
      <c r="G220" s="58"/>
      <c r="H220" s="58"/>
      <c r="I220" s="58"/>
      <c r="J220" s="58"/>
      <c r="K220" s="58"/>
      <c r="L220" s="58"/>
      <c r="M220" s="58"/>
      <c r="N220" s="58"/>
      <c r="O220" s="58"/>
      <c r="P220" s="58"/>
      <c r="Q220" s="58"/>
      <c r="R220" s="58"/>
      <c r="S220" s="58"/>
      <c r="T220" s="58"/>
      <c r="U220" s="58"/>
      <c r="V220" s="58"/>
      <c r="W220" s="58"/>
      <c r="X220" s="58"/>
      <c r="Y220" s="58"/>
    </row>
    <row r="221">
      <c r="A221" s="58"/>
      <c r="B221" s="58"/>
      <c r="C221" s="58"/>
      <c r="D221" s="58"/>
      <c r="E221" s="58"/>
      <c r="F221" s="58"/>
      <c r="G221" s="58"/>
      <c r="H221" s="58"/>
      <c r="I221" s="58"/>
      <c r="J221" s="58"/>
      <c r="K221" s="58"/>
      <c r="L221" s="58"/>
      <c r="M221" s="58"/>
      <c r="N221" s="58"/>
      <c r="O221" s="58"/>
      <c r="P221" s="58"/>
      <c r="Q221" s="58"/>
      <c r="R221" s="58"/>
      <c r="S221" s="58"/>
      <c r="T221" s="58"/>
      <c r="U221" s="58"/>
      <c r="V221" s="58"/>
      <c r="W221" s="58"/>
      <c r="X221" s="58"/>
      <c r="Y221" s="58"/>
    </row>
    <row r="222">
      <c r="A222" s="58"/>
      <c r="B222" s="58"/>
      <c r="C222" s="58"/>
      <c r="D222" s="58"/>
      <c r="E222" s="58"/>
      <c r="F222" s="58"/>
      <c r="G222" s="58"/>
      <c r="H222" s="58"/>
      <c r="I222" s="58"/>
      <c r="J222" s="58"/>
      <c r="K222" s="58"/>
      <c r="L222" s="58"/>
      <c r="M222" s="58"/>
      <c r="N222" s="58"/>
      <c r="O222" s="58"/>
      <c r="P222" s="58"/>
      <c r="Q222" s="58"/>
      <c r="R222" s="58"/>
      <c r="S222" s="58"/>
      <c r="T222" s="58"/>
      <c r="U222" s="58"/>
      <c r="V222" s="58"/>
      <c r="W222" s="58"/>
      <c r="X222" s="58"/>
      <c r="Y222" s="58"/>
    </row>
    <row r="223">
      <c r="A223" s="58"/>
      <c r="B223" s="58"/>
      <c r="C223" s="58"/>
      <c r="D223" s="58"/>
      <c r="E223" s="58"/>
      <c r="F223" s="58"/>
      <c r="G223" s="58"/>
      <c r="H223" s="58"/>
      <c r="I223" s="58"/>
      <c r="J223" s="58"/>
      <c r="K223" s="58"/>
      <c r="L223" s="58"/>
      <c r="M223" s="58"/>
      <c r="N223" s="58"/>
      <c r="O223" s="58"/>
      <c r="P223" s="58"/>
      <c r="Q223" s="58"/>
      <c r="R223" s="58"/>
      <c r="S223" s="58"/>
      <c r="T223" s="58"/>
      <c r="U223" s="58"/>
      <c r="V223" s="58"/>
      <c r="W223" s="58"/>
      <c r="X223" s="58"/>
      <c r="Y223" s="58"/>
    </row>
    <row r="224">
      <c r="A224" s="58"/>
      <c r="B224" s="58"/>
      <c r="C224" s="58"/>
      <c r="D224" s="58"/>
      <c r="E224" s="58"/>
      <c r="F224" s="58"/>
      <c r="G224" s="58"/>
      <c r="H224" s="58"/>
      <c r="I224" s="58"/>
      <c r="J224" s="58"/>
      <c r="K224" s="58"/>
      <c r="L224" s="58"/>
      <c r="M224" s="58"/>
      <c r="N224" s="58"/>
      <c r="O224" s="58"/>
      <c r="P224" s="58"/>
      <c r="Q224" s="58"/>
      <c r="R224" s="58"/>
      <c r="S224" s="58"/>
      <c r="T224" s="58"/>
      <c r="U224" s="58"/>
      <c r="V224" s="58"/>
      <c r="W224" s="58"/>
      <c r="X224" s="58"/>
      <c r="Y224" s="58"/>
    </row>
    <row r="225">
      <c r="A225" s="58"/>
      <c r="B225" s="58"/>
      <c r="C225" s="58"/>
      <c r="D225" s="58"/>
      <c r="E225" s="58"/>
      <c r="F225" s="58"/>
      <c r="G225" s="58"/>
      <c r="H225" s="58"/>
      <c r="I225" s="58"/>
      <c r="J225" s="58"/>
      <c r="K225" s="58"/>
      <c r="L225" s="58"/>
      <c r="M225" s="58"/>
      <c r="N225" s="58"/>
      <c r="O225" s="58"/>
      <c r="P225" s="58"/>
      <c r="Q225" s="58"/>
      <c r="R225" s="58"/>
      <c r="S225" s="58"/>
      <c r="T225" s="58"/>
      <c r="U225" s="58"/>
      <c r="V225" s="58"/>
      <c r="W225" s="58"/>
      <c r="X225" s="58"/>
      <c r="Y225" s="58"/>
    </row>
    <row r="226">
      <c r="A226" s="58"/>
      <c r="B226" s="58"/>
      <c r="C226" s="58"/>
      <c r="D226" s="58"/>
      <c r="E226" s="58"/>
      <c r="F226" s="58"/>
      <c r="G226" s="58"/>
      <c r="H226" s="58"/>
      <c r="I226" s="58"/>
      <c r="J226" s="58"/>
      <c r="K226" s="58"/>
      <c r="L226" s="58"/>
      <c r="M226" s="58"/>
      <c r="N226" s="58"/>
      <c r="O226" s="58"/>
      <c r="P226" s="58"/>
      <c r="Q226" s="58"/>
      <c r="R226" s="58"/>
      <c r="S226" s="58"/>
      <c r="T226" s="58"/>
      <c r="U226" s="58"/>
      <c r="V226" s="58"/>
      <c r="W226" s="58"/>
      <c r="X226" s="58"/>
      <c r="Y226" s="58"/>
    </row>
    <row r="227">
      <c r="A227" s="58"/>
      <c r="B227" s="58"/>
      <c r="C227" s="58"/>
      <c r="D227" s="58"/>
      <c r="E227" s="58"/>
      <c r="F227" s="58"/>
      <c r="G227" s="58"/>
      <c r="H227" s="58"/>
      <c r="I227" s="58"/>
      <c r="J227" s="58"/>
      <c r="K227" s="58"/>
      <c r="L227" s="58"/>
      <c r="M227" s="58"/>
      <c r="N227" s="58"/>
      <c r="O227" s="58"/>
      <c r="P227" s="58"/>
      <c r="Q227" s="58"/>
      <c r="R227" s="58"/>
      <c r="S227" s="58"/>
      <c r="T227" s="58"/>
      <c r="U227" s="58"/>
      <c r="V227" s="58"/>
      <c r="W227" s="58"/>
      <c r="X227" s="58"/>
      <c r="Y227" s="58"/>
    </row>
    <row r="228">
      <c r="A228" s="58"/>
      <c r="B228" s="58"/>
      <c r="C228" s="58"/>
      <c r="D228" s="58"/>
      <c r="E228" s="58"/>
      <c r="F228" s="58"/>
      <c r="G228" s="58"/>
      <c r="H228" s="58"/>
      <c r="I228" s="58"/>
      <c r="J228" s="58"/>
      <c r="K228" s="58"/>
      <c r="L228" s="58"/>
      <c r="M228" s="58"/>
      <c r="N228" s="58"/>
      <c r="O228" s="58"/>
      <c r="P228" s="58"/>
      <c r="Q228" s="58"/>
      <c r="R228" s="58"/>
      <c r="S228" s="58"/>
      <c r="T228" s="58"/>
      <c r="U228" s="58"/>
      <c r="V228" s="58"/>
      <c r="W228" s="58"/>
      <c r="X228" s="58"/>
      <c r="Y228" s="58"/>
    </row>
    <row r="229">
      <c r="A229" s="58"/>
      <c r="B229" s="58"/>
      <c r="C229" s="58"/>
      <c r="D229" s="58"/>
      <c r="E229" s="58"/>
      <c r="F229" s="58"/>
      <c r="G229" s="58"/>
      <c r="H229" s="58"/>
      <c r="I229" s="58"/>
      <c r="J229" s="58"/>
      <c r="K229" s="58"/>
      <c r="L229" s="58"/>
      <c r="M229" s="58"/>
      <c r="N229" s="58"/>
      <c r="O229" s="58"/>
      <c r="P229" s="58"/>
      <c r="Q229" s="58"/>
      <c r="R229" s="58"/>
      <c r="S229" s="58"/>
      <c r="T229" s="58"/>
      <c r="U229" s="58"/>
      <c r="V229" s="58"/>
      <c r="W229" s="58"/>
      <c r="X229" s="58"/>
      <c r="Y229" s="58"/>
    </row>
    <row r="230">
      <c r="A230" s="58"/>
      <c r="B230" s="58"/>
      <c r="C230" s="58"/>
      <c r="D230" s="58"/>
      <c r="E230" s="58"/>
      <c r="F230" s="58"/>
      <c r="G230" s="58"/>
      <c r="H230" s="58"/>
      <c r="I230" s="58"/>
      <c r="J230" s="58"/>
      <c r="K230" s="58"/>
      <c r="L230" s="58"/>
      <c r="M230" s="58"/>
      <c r="N230" s="58"/>
      <c r="O230" s="58"/>
      <c r="P230" s="58"/>
      <c r="Q230" s="58"/>
      <c r="R230" s="58"/>
      <c r="S230" s="58"/>
      <c r="T230" s="58"/>
      <c r="U230" s="58"/>
      <c r="V230" s="58"/>
      <c r="W230" s="58"/>
      <c r="X230" s="58"/>
      <c r="Y230" s="58"/>
    </row>
    <row r="231">
      <c r="A231" s="58"/>
      <c r="B231" s="58"/>
      <c r="C231" s="58"/>
      <c r="D231" s="58"/>
      <c r="E231" s="58"/>
      <c r="F231" s="58"/>
      <c r="G231" s="58"/>
      <c r="H231" s="58"/>
      <c r="I231" s="58"/>
      <c r="J231" s="58"/>
      <c r="K231" s="58"/>
      <c r="L231" s="58"/>
      <c r="M231" s="58"/>
      <c r="N231" s="58"/>
      <c r="O231" s="58"/>
      <c r="P231" s="58"/>
      <c r="Q231" s="58"/>
      <c r="R231" s="58"/>
      <c r="S231" s="58"/>
      <c r="T231" s="58"/>
      <c r="U231" s="58"/>
      <c r="V231" s="58"/>
      <c r="W231" s="58"/>
      <c r="X231" s="58"/>
      <c r="Y231" s="58"/>
    </row>
    <row r="232">
      <c r="A232" s="58"/>
      <c r="B232" s="58"/>
      <c r="C232" s="58"/>
      <c r="D232" s="58"/>
      <c r="E232" s="58"/>
      <c r="F232" s="58"/>
      <c r="G232" s="58"/>
      <c r="H232" s="58"/>
      <c r="I232" s="58"/>
      <c r="J232" s="58"/>
      <c r="K232" s="58"/>
      <c r="L232" s="58"/>
      <c r="M232" s="58"/>
      <c r="N232" s="58"/>
      <c r="O232" s="58"/>
      <c r="P232" s="58"/>
      <c r="Q232" s="58"/>
      <c r="R232" s="58"/>
      <c r="S232" s="58"/>
      <c r="T232" s="58"/>
      <c r="U232" s="58"/>
      <c r="V232" s="58"/>
      <c r="W232" s="58"/>
      <c r="X232" s="58"/>
      <c r="Y232" s="58"/>
    </row>
    <row r="233">
      <c r="A233" s="58"/>
      <c r="B233" s="58"/>
      <c r="C233" s="58"/>
      <c r="D233" s="58"/>
      <c r="E233" s="58"/>
      <c r="F233" s="58"/>
      <c r="G233" s="58"/>
      <c r="H233" s="58"/>
      <c r="I233" s="58"/>
      <c r="J233" s="58"/>
      <c r="K233" s="58"/>
      <c r="L233" s="58"/>
      <c r="M233" s="58"/>
      <c r="N233" s="58"/>
      <c r="O233" s="58"/>
      <c r="P233" s="58"/>
      <c r="Q233" s="58"/>
      <c r="R233" s="58"/>
      <c r="S233" s="58"/>
      <c r="T233" s="58"/>
      <c r="U233" s="58"/>
      <c r="V233" s="58"/>
      <c r="W233" s="58"/>
      <c r="X233" s="58"/>
      <c r="Y233" s="58"/>
    </row>
    <row r="234">
      <c r="A234" s="58"/>
      <c r="B234" s="58"/>
      <c r="C234" s="58"/>
      <c r="D234" s="58"/>
      <c r="E234" s="58"/>
      <c r="F234" s="58"/>
      <c r="G234" s="58"/>
      <c r="H234" s="58"/>
      <c r="I234" s="58"/>
      <c r="J234" s="58"/>
      <c r="K234" s="58"/>
      <c r="L234" s="58"/>
      <c r="M234" s="58"/>
      <c r="N234" s="58"/>
      <c r="O234" s="58"/>
      <c r="P234" s="58"/>
      <c r="Q234" s="58"/>
      <c r="R234" s="58"/>
      <c r="S234" s="58"/>
      <c r="T234" s="58"/>
      <c r="U234" s="58"/>
      <c r="V234" s="58"/>
      <c r="W234" s="58"/>
      <c r="X234" s="58"/>
      <c r="Y234" s="58"/>
    </row>
    <row r="235">
      <c r="A235" s="58"/>
      <c r="B235" s="58"/>
      <c r="C235" s="58"/>
      <c r="D235" s="58"/>
      <c r="E235" s="58"/>
      <c r="F235" s="58"/>
      <c r="G235" s="58"/>
      <c r="H235" s="58"/>
      <c r="I235" s="58"/>
      <c r="J235" s="58"/>
      <c r="K235" s="58"/>
      <c r="L235" s="58"/>
      <c r="M235" s="58"/>
      <c r="N235" s="58"/>
      <c r="O235" s="58"/>
      <c r="P235" s="58"/>
      <c r="Q235" s="58"/>
      <c r="R235" s="58"/>
      <c r="S235" s="58"/>
      <c r="T235" s="58"/>
      <c r="U235" s="58"/>
      <c r="V235" s="58"/>
      <c r="W235" s="58"/>
      <c r="X235" s="58"/>
      <c r="Y235" s="58"/>
    </row>
    <row r="236">
      <c r="A236" s="58"/>
      <c r="B236" s="58"/>
      <c r="C236" s="58"/>
      <c r="D236" s="58"/>
      <c r="E236" s="58"/>
      <c r="F236" s="58"/>
      <c r="G236" s="58"/>
      <c r="H236" s="58"/>
      <c r="I236" s="58"/>
      <c r="J236" s="58"/>
      <c r="K236" s="58"/>
      <c r="L236" s="58"/>
      <c r="M236" s="58"/>
      <c r="N236" s="58"/>
      <c r="O236" s="58"/>
      <c r="P236" s="58"/>
      <c r="Q236" s="58"/>
      <c r="R236" s="58"/>
      <c r="S236" s="58"/>
      <c r="T236" s="58"/>
      <c r="U236" s="58"/>
      <c r="V236" s="58"/>
      <c r="W236" s="58"/>
      <c r="X236" s="58"/>
      <c r="Y236" s="58"/>
    </row>
    <row r="237">
      <c r="A237" s="58"/>
      <c r="B237" s="58"/>
      <c r="C237" s="58"/>
      <c r="D237" s="58"/>
      <c r="E237" s="58"/>
      <c r="F237" s="58"/>
      <c r="G237" s="58"/>
      <c r="H237" s="58"/>
      <c r="I237" s="58"/>
      <c r="J237" s="58"/>
      <c r="K237" s="58"/>
      <c r="L237" s="58"/>
      <c r="M237" s="58"/>
      <c r="N237" s="58"/>
      <c r="O237" s="58"/>
      <c r="P237" s="58"/>
      <c r="Q237" s="58"/>
      <c r="R237" s="58"/>
      <c r="S237" s="58"/>
      <c r="T237" s="58"/>
      <c r="U237" s="58"/>
      <c r="V237" s="58"/>
      <c r="W237" s="58"/>
      <c r="X237" s="58"/>
      <c r="Y237" s="58"/>
    </row>
    <row r="238">
      <c r="A238" s="58"/>
      <c r="B238" s="58"/>
      <c r="C238" s="58"/>
      <c r="D238" s="58"/>
      <c r="E238" s="58"/>
      <c r="F238" s="58"/>
      <c r="G238" s="58"/>
      <c r="H238" s="58"/>
      <c r="I238" s="58"/>
      <c r="J238" s="58"/>
      <c r="K238" s="58"/>
      <c r="L238" s="58"/>
      <c r="M238" s="58"/>
      <c r="N238" s="58"/>
      <c r="O238" s="58"/>
      <c r="P238" s="58"/>
      <c r="Q238" s="58"/>
      <c r="R238" s="58"/>
      <c r="S238" s="58"/>
      <c r="T238" s="58"/>
      <c r="U238" s="58"/>
      <c r="V238" s="58"/>
      <c r="W238" s="58"/>
      <c r="X238" s="58"/>
      <c r="Y238" s="58"/>
    </row>
    <row r="239">
      <c r="A239" s="58"/>
      <c r="B239" s="58"/>
      <c r="C239" s="58"/>
      <c r="D239" s="58"/>
      <c r="E239" s="58"/>
      <c r="F239" s="58"/>
      <c r="G239" s="58"/>
      <c r="H239" s="58"/>
      <c r="I239" s="58"/>
      <c r="J239" s="58"/>
      <c r="K239" s="58"/>
      <c r="L239" s="58"/>
      <c r="M239" s="58"/>
      <c r="N239" s="58"/>
      <c r="O239" s="58"/>
      <c r="P239" s="58"/>
      <c r="Q239" s="58"/>
      <c r="R239" s="58"/>
      <c r="S239" s="58"/>
      <c r="T239" s="58"/>
      <c r="U239" s="58"/>
      <c r="V239" s="58"/>
      <c r="W239" s="58"/>
      <c r="X239" s="58"/>
      <c r="Y239" s="58"/>
    </row>
    <row r="240">
      <c r="A240" s="58"/>
      <c r="B240" s="58"/>
      <c r="C240" s="58"/>
      <c r="D240" s="58"/>
      <c r="E240" s="58"/>
      <c r="F240" s="58"/>
      <c r="G240" s="58"/>
      <c r="H240" s="58"/>
      <c r="I240" s="58"/>
      <c r="J240" s="58"/>
      <c r="K240" s="58"/>
      <c r="L240" s="58"/>
      <c r="M240" s="58"/>
      <c r="N240" s="58"/>
      <c r="O240" s="58"/>
      <c r="P240" s="58"/>
      <c r="Q240" s="58"/>
      <c r="R240" s="58"/>
      <c r="S240" s="58"/>
      <c r="T240" s="58"/>
      <c r="U240" s="58"/>
      <c r="V240" s="58"/>
      <c r="W240" s="58"/>
      <c r="X240" s="58"/>
      <c r="Y240" s="58"/>
    </row>
    <row r="241">
      <c r="A241" s="58"/>
      <c r="B241" s="58"/>
      <c r="C241" s="58"/>
      <c r="D241" s="58"/>
      <c r="E241" s="58"/>
      <c r="F241" s="58"/>
      <c r="G241" s="58"/>
      <c r="H241" s="58"/>
      <c r="I241" s="58"/>
      <c r="J241" s="58"/>
      <c r="K241" s="58"/>
      <c r="L241" s="58"/>
      <c r="M241" s="58"/>
      <c r="N241" s="58"/>
      <c r="O241" s="58"/>
      <c r="P241" s="58"/>
      <c r="Q241" s="58"/>
      <c r="R241" s="58"/>
      <c r="S241" s="58"/>
      <c r="T241" s="58"/>
      <c r="U241" s="58"/>
      <c r="V241" s="58"/>
      <c r="W241" s="58"/>
      <c r="X241" s="58"/>
      <c r="Y241" s="58"/>
    </row>
    <row r="242">
      <c r="A242" s="58"/>
      <c r="B242" s="58"/>
      <c r="C242" s="58"/>
      <c r="D242" s="58"/>
      <c r="E242" s="58"/>
      <c r="F242" s="58"/>
      <c r="G242" s="58"/>
      <c r="H242" s="58"/>
      <c r="I242" s="58"/>
      <c r="J242" s="58"/>
      <c r="K242" s="58"/>
      <c r="L242" s="58"/>
      <c r="M242" s="58"/>
      <c r="N242" s="58"/>
      <c r="O242" s="58"/>
      <c r="P242" s="58"/>
      <c r="Q242" s="58"/>
      <c r="R242" s="58"/>
      <c r="S242" s="58"/>
      <c r="T242" s="58"/>
      <c r="U242" s="58"/>
      <c r="V242" s="58"/>
      <c r="W242" s="58"/>
      <c r="X242" s="58"/>
      <c r="Y242" s="58"/>
    </row>
    <row r="243">
      <c r="A243" s="58"/>
      <c r="B243" s="58"/>
      <c r="C243" s="58"/>
      <c r="D243" s="58"/>
      <c r="E243" s="58"/>
      <c r="F243" s="58"/>
      <c r="G243" s="58"/>
      <c r="H243" s="58"/>
      <c r="I243" s="58"/>
      <c r="J243" s="58"/>
      <c r="K243" s="58"/>
      <c r="L243" s="58"/>
      <c r="M243" s="58"/>
      <c r="N243" s="58"/>
      <c r="O243" s="58"/>
      <c r="P243" s="58"/>
      <c r="Q243" s="58"/>
      <c r="R243" s="58"/>
      <c r="S243" s="58"/>
      <c r="T243" s="58"/>
      <c r="U243" s="58"/>
      <c r="V243" s="58"/>
      <c r="W243" s="58"/>
      <c r="X243" s="58"/>
      <c r="Y243" s="58"/>
    </row>
    <row r="244">
      <c r="A244" s="58"/>
      <c r="B244" s="58"/>
      <c r="C244" s="58"/>
      <c r="D244" s="58"/>
      <c r="E244" s="58"/>
      <c r="F244" s="58"/>
      <c r="G244" s="58"/>
      <c r="H244" s="58"/>
      <c r="I244" s="58"/>
      <c r="J244" s="58"/>
      <c r="K244" s="58"/>
      <c r="L244" s="58"/>
      <c r="M244" s="58"/>
      <c r="N244" s="58"/>
      <c r="O244" s="58"/>
      <c r="P244" s="58"/>
      <c r="Q244" s="58"/>
      <c r="R244" s="58"/>
      <c r="S244" s="58"/>
      <c r="T244" s="58"/>
      <c r="U244" s="58"/>
      <c r="V244" s="58"/>
      <c r="W244" s="58"/>
      <c r="X244" s="58"/>
      <c r="Y244" s="58"/>
    </row>
    <row r="245">
      <c r="A245" s="58"/>
      <c r="B245" s="58"/>
      <c r="C245" s="58"/>
      <c r="D245" s="58"/>
      <c r="E245" s="58"/>
      <c r="F245" s="58"/>
      <c r="G245" s="58"/>
      <c r="H245" s="58"/>
      <c r="I245" s="58"/>
      <c r="J245" s="58"/>
      <c r="K245" s="58"/>
      <c r="L245" s="58"/>
      <c r="M245" s="58"/>
      <c r="N245" s="58"/>
      <c r="O245" s="58"/>
      <c r="P245" s="58"/>
      <c r="Q245" s="58"/>
      <c r="R245" s="58"/>
      <c r="S245" s="58"/>
      <c r="T245" s="58"/>
      <c r="U245" s="58"/>
      <c r="V245" s="58"/>
      <c r="W245" s="58"/>
      <c r="X245" s="58"/>
      <c r="Y245" s="58"/>
    </row>
    <row r="246">
      <c r="A246" s="58"/>
      <c r="B246" s="58"/>
      <c r="C246" s="58"/>
      <c r="D246" s="58"/>
      <c r="E246" s="58"/>
      <c r="F246" s="58"/>
      <c r="G246" s="58"/>
      <c r="H246" s="58"/>
      <c r="I246" s="58"/>
      <c r="J246" s="58"/>
      <c r="K246" s="58"/>
      <c r="L246" s="58"/>
      <c r="M246" s="58"/>
      <c r="N246" s="58"/>
      <c r="O246" s="58"/>
      <c r="P246" s="58"/>
      <c r="Q246" s="58"/>
      <c r="R246" s="58"/>
      <c r="S246" s="58"/>
      <c r="T246" s="58"/>
      <c r="U246" s="58"/>
      <c r="V246" s="58"/>
      <c r="W246" s="58"/>
      <c r="X246" s="58"/>
      <c r="Y246" s="58"/>
    </row>
    <row r="247">
      <c r="A247" s="58"/>
      <c r="B247" s="58"/>
      <c r="C247" s="58"/>
      <c r="D247" s="58"/>
      <c r="E247" s="58"/>
      <c r="F247" s="58"/>
      <c r="G247" s="58"/>
      <c r="H247" s="58"/>
      <c r="I247" s="58"/>
      <c r="J247" s="58"/>
      <c r="K247" s="58"/>
      <c r="L247" s="58"/>
      <c r="M247" s="58"/>
      <c r="N247" s="58"/>
      <c r="O247" s="58"/>
      <c r="P247" s="58"/>
      <c r="Q247" s="58"/>
      <c r="R247" s="58"/>
      <c r="S247" s="58"/>
      <c r="T247" s="58"/>
      <c r="U247" s="58"/>
      <c r="V247" s="58"/>
      <c r="W247" s="58"/>
      <c r="X247" s="58"/>
      <c r="Y247" s="58"/>
    </row>
    <row r="248">
      <c r="A248" s="58"/>
      <c r="B248" s="58"/>
      <c r="C248" s="58"/>
      <c r="D248" s="58"/>
      <c r="E248" s="58"/>
      <c r="F248" s="58"/>
      <c r="G248" s="58"/>
      <c r="H248" s="58"/>
      <c r="I248" s="58"/>
      <c r="J248" s="58"/>
      <c r="K248" s="58"/>
      <c r="L248" s="58"/>
      <c r="M248" s="58"/>
      <c r="N248" s="58"/>
      <c r="O248" s="58"/>
      <c r="P248" s="58"/>
      <c r="Q248" s="58"/>
      <c r="R248" s="58"/>
      <c r="S248" s="58"/>
      <c r="T248" s="58"/>
      <c r="U248" s="58"/>
      <c r="V248" s="58"/>
      <c r="W248" s="58"/>
      <c r="X248" s="58"/>
      <c r="Y248" s="58"/>
    </row>
    <row r="249">
      <c r="A249" s="58"/>
      <c r="B249" s="58"/>
      <c r="C249" s="58"/>
      <c r="D249" s="58"/>
      <c r="E249" s="58"/>
      <c r="F249" s="58"/>
      <c r="G249" s="58"/>
      <c r="H249" s="58"/>
      <c r="I249" s="58"/>
      <c r="J249" s="58"/>
      <c r="K249" s="58"/>
      <c r="L249" s="58"/>
      <c r="M249" s="58"/>
      <c r="N249" s="58"/>
      <c r="O249" s="58"/>
      <c r="P249" s="58"/>
      <c r="Q249" s="58"/>
      <c r="R249" s="58"/>
      <c r="S249" s="58"/>
      <c r="T249" s="58"/>
      <c r="U249" s="58"/>
      <c r="V249" s="58"/>
      <c r="W249" s="58"/>
      <c r="X249" s="58"/>
      <c r="Y249" s="58"/>
    </row>
    <row r="250">
      <c r="A250" s="58"/>
      <c r="B250" s="58"/>
      <c r="C250" s="58"/>
      <c r="D250" s="58"/>
      <c r="E250" s="58"/>
      <c r="F250" s="58"/>
      <c r="G250" s="58"/>
      <c r="H250" s="58"/>
      <c r="I250" s="58"/>
      <c r="J250" s="58"/>
      <c r="K250" s="58"/>
      <c r="L250" s="58"/>
      <c r="M250" s="58"/>
      <c r="N250" s="58"/>
      <c r="O250" s="58"/>
      <c r="P250" s="58"/>
      <c r="Q250" s="58"/>
      <c r="R250" s="58"/>
      <c r="S250" s="58"/>
      <c r="T250" s="58"/>
      <c r="U250" s="58"/>
      <c r="V250" s="58"/>
      <c r="W250" s="58"/>
      <c r="X250" s="58"/>
      <c r="Y250" s="58"/>
    </row>
    <row r="251">
      <c r="A251" s="58"/>
      <c r="B251" s="58"/>
      <c r="C251" s="58"/>
      <c r="D251" s="58"/>
      <c r="E251" s="58"/>
      <c r="F251" s="58"/>
      <c r="G251" s="58"/>
      <c r="H251" s="58"/>
      <c r="I251" s="58"/>
      <c r="J251" s="58"/>
      <c r="K251" s="58"/>
      <c r="L251" s="58"/>
      <c r="M251" s="58"/>
      <c r="N251" s="58"/>
      <c r="O251" s="58"/>
      <c r="P251" s="58"/>
      <c r="Q251" s="58"/>
      <c r="R251" s="58"/>
      <c r="S251" s="58"/>
      <c r="T251" s="58"/>
      <c r="U251" s="58"/>
      <c r="V251" s="58"/>
      <c r="W251" s="58"/>
      <c r="X251" s="58"/>
      <c r="Y251" s="58"/>
    </row>
    <row r="252">
      <c r="A252" s="58"/>
      <c r="B252" s="58"/>
      <c r="C252" s="58"/>
      <c r="D252" s="58"/>
      <c r="E252" s="58"/>
      <c r="F252" s="58"/>
      <c r="G252" s="58"/>
      <c r="H252" s="58"/>
      <c r="I252" s="58"/>
      <c r="J252" s="58"/>
      <c r="K252" s="58"/>
      <c r="L252" s="58"/>
      <c r="M252" s="58"/>
      <c r="N252" s="58"/>
      <c r="O252" s="58"/>
      <c r="P252" s="58"/>
      <c r="Q252" s="58"/>
      <c r="R252" s="58"/>
      <c r="S252" s="58"/>
      <c r="T252" s="58"/>
      <c r="U252" s="58"/>
      <c r="V252" s="58"/>
      <c r="W252" s="58"/>
      <c r="X252" s="58"/>
      <c r="Y252" s="58"/>
    </row>
    <row r="253">
      <c r="A253" s="58"/>
      <c r="B253" s="58"/>
      <c r="C253" s="58"/>
      <c r="D253" s="58"/>
      <c r="E253" s="58"/>
      <c r="F253" s="58"/>
      <c r="G253" s="58"/>
      <c r="H253" s="58"/>
      <c r="I253" s="58"/>
      <c r="J253" s="58"/>
      <c r="K253" s="58"/>
      <c r="L253" s="58"/>
      <c r="M253" s="58"/>
      <c r="N253" s="58"/>
      <c r="O253" s="58"/>
      <c r="P253" s="58"/>
      <c r="Q253" s="58"/>
      <c r="R253" s="58"/>
      <c r="S253" s="58"/>
      <c r="T253" s="58"/>
      <c r="U253" s="58"/>
      <c r="V253" s="58"/>
      <c r="W253" s="58"/>
      <c r="X253" s="58"/>
      <c r="Y253" s="58"/>
    </row>
    <row r="254">
      <c r="A254" s="58"/>
      <c r="B254" s="58"/>
      <c r="C254" s="58"/>
      <c r="D254" s="58"/>
      <c r="E254" s="58"/>
      <c r="F254" s="58"/>
      <c r="G254" s="58"/>
      <c r="H254" s="58"/>
      <c r="I254" s="58"/>
      <c r="J254" s="58"/>
      <c r="K254" s="58"/>
      <c r="L254" s="58"/>
      <c r="M254" s="58"/>
      <c r="N254" s="58"/>
      <c r="O254" s="58"/>
      <c r="P254" s="58"/>
      <c r="Q254" s="58"/>
      <c r="R254" s="58"/>
      <c r="S254" s="58"/>
      <c r="T254" s="58"/>
      <c r="U254" s="58"/>
      <c r="V254" s="58"/>
      <c r="W254" s="58"/>
      <c r="X254" s="58"/>
      <c r="Y254" s="58"/>
    </row>
    <row r="255">
      <c r="A255" s="58"/>
      <c r="B255" s="58"/>
      <c r="C255" s="58"/>
      <c r="D255" s="58"/>
      <c r="E255" s="58"/>
      <c r="F255" s="58"/>
      <c r="G255" s="58"/>
      <c r="H255" s="58"/>
      <c r="I255" s="58"/>
      <c r="J255" s="58"/>
      <c r="K255" s="58"/>
      <c r="L255" s="58"/>
      <c r="M255" s="58"/>
      <c r="N255" s="58"/>
      <c r="O255" s="58"/>
      <c r="P255" s="58"/>
      <c r="Q255" s="58"/>
      <c r="R255" s="58"/>
      <c r="S255" s="58"/>
      <c r="T255" s="58"/>
      <c r="U255" s="58"/>
      <c r="V255" s="58"/>
      <c r="W255" s="58"/>
      <c r="X255" s="58"/>
      <c r="Y255" s="58"/>
    </row>
    <row r="256">
      <c r="A256" s="58"/>
      <c r="B256" s="58"/>
      <c r="C256" s="58"/>
      <c r="D256" s="58"/>
      <c r="E256" s="58"/>
      <c r="F256" s="58"/>
      <c r="G256" s="58"/>
      <c r="H256" s="58"/>
      <c r="I256" s="58"/>
      <c r="J256" s="58"/>
      <c r="K256" s="58"/>
      <c r="L256" s="58"/>
      <c r="M256" s="58"/>
      <c r="N256" s="58"/>
      <c r="O256" s="58"/>
      <c r="P256" s="58"/>
      <c r="Q256" s="58"/>
      <c r="R256" s="58"/>
      <c r="S256" s="58"/>
      <c r="T256" s="58"/>
      <c r="U256" s="58"/>
      <c r="V256" s="58"/>
      <c r="W256" s="58"/>
      <c r="X256" s="58"/>
      <c r="Y256" s="58"/>
    </row>
    <row r="257">
      <c r="A257" s="58"/>
      <c r="B257" s="58"/>
      <c r="C257" s="58"/>
      <c r="D257" s="58"/>
      <c r="E257" s="58"/>
      <c r="F257" s="58"/>
      <c r="G257" s="58"/>
      <c r="H257" s="58"/>
      <c r="I257" s="58"/>
      <c r="J257" s="58"/>
      <c r="K257" s="58"/>
      <c r="L257" s="58"/>
      <c r="M257" s="58"/>
      <c r="N257" s="58"/>
      <c r="O257" s="58"/>
      <c r="P257" s="58"/>
      <c r="Q257" s="58"/>
      <c r="R257" s="58"/>
      <c r="S257" s="58"/>
      <c r="T257" s="58"/>
      <c r="U257" s="58"/>
      <c r="V257" s="58"/>
      <c r="W257" s="58"/>
      <c r="X257" s="58"/>
      <c r="Y257" s="58"/>
    </row>
    <row r="258">
      <c r="A258" s="58"/>
      <c r="B258" s="58"/>
      <c r="C258" s="58"/>
      <c r="D258" s="58"/>
      <c r="E258" s="58"/>
      <c r="F258" s="58"/>
      <c r="G258" s="58"/>
      <c r="H258" s="58"/>
      <c r="I258" s="58"/>
      <c r="J258" s="58"/>
      <c r="K258" s="58"/>
      <c r="L258" s="58"/>
      <c r="M258" s="58"/>
      <c r="N258" s="58"/>
      <c r="O258" s="58"/>
      <c r="P258" s="58"/>
      <c r="Q258" s="58"/>
      <c r="R258" s="58"/>
      <c r="S258" s="58"/>
      <c r="T258" s="58"/>
      <c r="U258" s="58"/>
      <c r="V258" s="58"/>
      <c r="W258" s="58"/>
      <c r="X258" s="58"/>
      <c r="Y258" s="58"/>
    </row>
    <row r="259">
      <c r="A259" s="58"/>
      <c r="B259" s="58"/>
      <c r="C259" s="58"/>
      <c r="D259" s="58"/>
      <c r="E259" s="58"/>
      <c r="F259" s="58"/>
      <c r="G259" s="58"/>
      <c r="H259" s="58"/>
      <c r="I259" s="58"/>
      <c r="J259" s="58"/>
      <c r="K259" s="58"/>
      <c r="L259" s="58"/>
      <c r="M259" s="58"/>
      <c r="N259" s="58"/>
      <c r="O259" s="58"/>
      <c r="P259" s="58"/>
      <c r="Q259" s="58"/>
      <c r="R259" s="58"/>
      <c r="S259" s="58"/>
      <c r="T259" s="58"/>
      <c r="U259" s="58"/>
      <c r="V259" s="58"/>
      <c r="W259" s="58"/>
      <c r="X259" s="58"/>
      <c r="Y259" s="58"/>
    </row>
    <row r="260">
      <c r="A260" s="58"/>
      <c r="B260" s="58"/>
      <c r="C260" s="58"/>
      <c r="D260" s="58"/>
      <c r="E260" s="58"/>
      <c r="F260" s="58"/>
      <c r="G260" s="58"/>
      <c r="H260" s="58"/>
      <c r="I260" s="58"/>
      <c r="J260" s="58"/>
      <c r="K260" s="58"/>
      <c r="L260" s="58"/>
      <c r="M260" s="58"/>
      <c r="N260" s="58"/>
      <c r="O260" s="58"/>
      <c r="P260" s="58"/>
      <c r="Q260" s="58"/>
      <c r="R260" s="58"/>
      <c r="S260" s="58"/>
      <c r="T260" s="58"/>
      <c r="U260" s="58"/>
      <c r="V260" s="58"/>
      <c r="W260" s="58"/>
      <c r="X260" s="58"/>
      <c r="Y260" s="58"/>
    </row>
    <row r="261">
      <c r="A261" s="58"/>
      <c r="B261" s="58"/>
      <c r="C261" s="58"/>
      <c r="D261" s="58"/>
      <c r="E261" s="58"/>
      <c r="F261" s="58"/>
      <c r="G261" s="58"/>
      <c r="H261" s="58"/>
      <c r="I261" s="58"/>
      <c r="J261" s="58"/>
      <c r="K261" s="58"/>
      <c r="L261" s="58"/>
      <c r="M261" s="58"/>
      <c r="N261" s="58"/>
      <c r="O261" s="58"/>
      <c r="P261" s="58"/>
      <c r="Q261" s="58"/>
      <c r="R261" s="58"/>
      <c r="S261" s="58"/>
      <c r="T261" s="58"/>
      <c r="U261" s="58"/>
      <c r="V261" s="58"/>
      <c r="W261" s="58"/>
      <c r="X261" s="58"/>
      <c r="Y261" s="58"/>
    </row>
    <row r="262">
      <c r="A262" s="58"/>
      <c r="B262" s="58"/>
      <c r="C262" s="58"/>
      <c r="D262" s="58"/>
      <c r="E262" s="58"/>
      <c r="F262" s="58"/>
      <c r="G262" s="58"/>
      <c r="H262" s="58"/>
      <c r="I262" s="58"/>
      <c r="J262" s="58"/>
      <c r="K262" s="58"/>
      <c r="L262" s="58"/>
      <c r="M262" s="58"/>
      <c r="N262" s="58"/>
      <c r="O262" s="58"/>
      <c r="P262" s="58"/>
      <c r="Q262" s="58"/>
      <c r="R262" s="58"/>
      <c r="S262" s="58"/>
      <c r="T262" s="58"/>
      <c r="U262" s="58"/>
      <c r="V262" s="58"/>
      <c r="W262" s="58"/>
      <c r="X262" s="58"/>
      <c r="Y262" s="58"/>
    </row>
    <row r="263">
      <c r="A263" s="58"/>
      <c r="B263" s="58"/>
      <c r="C263" s="58"/>
      <c r="D263" s="58"/>
      <c r="E263" s="58"/>
      <c r="F263" s="58"/>
      <c r="G263" s="58"/>
      <c r="H263" s="58"/>
      <c r="I263" s="58"/>
      <c r="J263" s="58"/>
      <c r="K263" s="58"/>
      <c r="L263" s="58"/>
      <c r="M263" s="58"/>
      <c r="N263" s="58"/>
      <c r="O263" s="58"/>
      <c r="P263" s="58"/>
      <c r="Q263" s="58"/>
      <c r="R263" s="58"/>
      <c r="S263" s="58"/>
      <c r="T263" s="58"/>
      <c r="U263" s="58"/>
      <c r="V263" s="58"/>
      <c r="W263" s="58"/>
      <c r="X263" s="58"/>
      <c r="Y263" s="58"/>
    </row>
    <row r="264">
      <c r="A264" s="58"/>
      <c r="B264" s="58"/>
      <c r="C264" s="58"/>
      <c r="D264" s="58"/>
      <c r="E264" s="58"/>
      <c r="F264" s="58"/>
      <c r="G264" s="58"/>
      <c r="H264" s="58"/>
      <c r="I264" s="58"/>
      <c r="J264" s="58"/>
      <c r="K264" s="58"/>
      <c r="L264" s="58"/>
      <c r="M264" s="58"/>
      <c r="N264" s="58"/>
      <c r="O264" s="58"/>
      <c r="P264" s="58"/>
      <c r="Q264" s="58"/>
      <c r="R264" s="58"/>
      <c r="S264" s="58"/>
      <c r="T264" s="58"/>
      <c r="U264" s="58"/>
      <c r="V264" s="58"/>
      <c r="W264" s="58"/>
      <c r="X264" s="58"/>
      <c r="Y264" s="58"/>
    </row>
    <row r="265">
      <c r="A265" s="58"/>
      <c r="B265" s="58"/>
      <c r="C265" s="58"/>
      <c r="D265" s="58"/>
      <c r="E265" s="58"/>
      <c r="F265" s="58"/>
      <c r="G265" s="58"/>
      <c r="H265" s="58"/>
      <c r="I265" s="58"/>
      <c r="J265" s="58"/>
      <c r="K265" s="58"/>
      <c r="L265" s="58"/>
      <c r="M265" s="58"/>
      <c r="N265" s="58"/>
      <c r="O265" s="58"/>
      <c r="P265" s="58"/>
      <c r="Q265" s="58"/>
      <c r="R265" s="58"/>
      <c r="S265" s="58"/>
      <c r="T265" s="58"/>
      <c r="U265" s="58"/>
      <c r="V265" s="58"/>
      <c r="W265" s="58"/>
      <c r="X265" s="58"/>
      <c r="Y265" s="58"/>
    </row>
    <row r="266">
      <c r="A266" s="58"/>
      <c r="B266" s="58"/>
      <c r="C266" s="58"/>
      <c r="D266" s="58"/>
      <c r="E266" s="58"/>
      <c r="F266" s="58"/>
      <c r="G266" s="58"/>
      <c r="H266" s="58"/>
      <c r="I266" s="58"/>
      <c r="J266" s="58"/>
      <c r="K266" s="58"/>
      <c r="L266" s="58"/>
      <c r="M266" s="58"/>
      <c r="N266" s="58"/>
      <c r="O266" s="58"/>
      <c r="P266" s="58"/>
      <c r="Q266" s="58"/>
      <c r="R266" s="58"/>
      <c r="S266" s="58"/>
      <c r="T266" s="58"/>
      <c r="U266" s="58"/>
      <c r="V266" s="58"/>
      <c r="W266" s="58"/>
      <c r="X266" s="58"/>
      <c r="Y266" s="58"/>
    </row>
    <row r="267">
      <c r="A267" s="58"/>
      <c r="B267" s="58"/>
      <c r="C267" s="58"/>
      <c r="D267" s="58"/>
      <c r="E267" s="58"/>
      <c r="F267" s="58"/>
      <c r="G267" s="58"/>
      <c r="H267" s="58"/>
      <c r="I267" s="58"/>
      <c r="J267" s="58"/>
      <c r="K267" s="58"/>
      <c r="L267" s="58"/>
      <c r="M267" s="58"/>
      <c r="N267" s="58"/>
      <c r="O267" s="58"/>
      <c r="P267" s="58"/>
      <c r="Q267" s="58"/>
      <c r="R267" s="58"/>
      <c r="S267" s="58"/>
      <c r="T267" s="58"/>
      <c r="U267" s="58"/>
      <c r="V267" s="58"/>
      <c r="W267" s="58"/>
      <c r="X267" s="58"/>
      <c r="Y267" s="58"/>
    </row>
    <row r="268">
      <c r="A268" s="58"/>
      <c r="B268" s="58"/>
      <c r="C268" s="58"/>
      <c r="D268" s="58"/>
      <c r="E268" s="58"/>
      <c r="F268" s="58"/>
      <c r="G268" s="58"/>
      <c r="H268" s="58"/>
      <c r="I268" s="58"/>
      <c r="J268" s="58"/>
      <c r="K268" s="58"/>
      <c r="L268" s="58"/>
      <c r="M268" s="58"/>
      <c r="N268" s="58"/>
      <c r="O268" s="58"/>
      <c r="P268" s="58"/>
      <c r="Q268" s="58"/>
      <c r="R268" s="58"/>
      <c r="S268" s="58"/>
      <c r="T268" s="58"/>
      <c r="U268" s="58"/>
      <c r="V268" s="58"/>
      <c r="W268" s="58"/>
      <c r="X268" s="58"/>
      <c r="Y268" s="58"/>
    </row>
    <row r="269">
      <c r="A269" s="58"/>
      <c r="B269" s="58"/>
      <c r="C269" s="58"/>
      <c r="D269" s="58"/>
      <c r="E269" s="58"/>
      <c r="F269" s="58"/>
      <c r="G269" s="58"/>
      <c r="H269" s="58"/>
      <c r="I269" s="58"/>
      <c r="J269" s="58"/>
      <c r="K269" s="58"/>
      <c r="L269" s="58"/>
      <c r="M269" s="58"/>
      <c r="N269" s="58"/>
      <c r="O269" s="58"/>
      <c r="P269" s="58"/>
      <c r="Q269" s="58"/>
      <c r="R269" s="58"/>
      <c r="S269" s="58"/>
      <c r="T269" s="58"/>
      <c r="U269" s="58"/>
      <c r="V269" s="58"/>
      <c r="W269" s="58"/>
      <c r="X269" s="58"/>
      <c r="Y269" s="58"/>
    </row>
    <row r="270">
      <c r="A270" s="58"/>
      <c r="B270" s="58"/>
      <c r="C270" s="58"/>
      <c r="D270" s="58"/>
      <c r="E270" s="58"/>
      <c r="F270" s="58"/>
      <c r="G270" s="58"/>
      <c r="H270" s="58"/>
      <c r="I270" s="58"/>
      <c r="J270" s="58"/>
      <c r="K270" s="58"/>
      <c r="L270" s="58"/>
      <c r="M270" s="58"/>
      <c r="N270" s="58"/>
      <c r="O270" s="58"/>
      <c r="P270" s="58"/>
      <c r="Q270" s="58"/>
      <c r="R270" s="58"/>
      <c r="S270" s="58"/>
      <c r="T270" s="58"/>
      <c r="U270" s="58"/>
      <c r="V270" s="58"/>
      <c r="W270" s="58"/>
      <c r="X270" s="58"/>
      <c r="Y270" s="58"/>
    </row>
    <row r="271">
      <c r="A271" s="58"/>
      <c r="B271" s="58"/>
      <c r="C271" s="58"/>
      <c r="D271" s="58"/>
      <c r="E271" s="58"/>
      <c r="F271" s="58"/>
      <c r="G271" s="58"/>
      <c r="H271" s="58"/>
      <c r="I271" s="58"/>
      <c r="J271" s="58"/>
      <c r="K271" s="58"/>
      <c r="L271" s="58"/>
      <c r="M271" s="58"/>
      <c r="N271" s="58"/>
      <c r="O271" s="58"/>
      <c r="P271" s="58"/>
      <c r="Q271" s="58"/>
      <c r="R271" s="58"/>
      <c r="S271" s="58"/>
      <c r="T271" s="58"/>
      <c r="U271" s="58"/>
      <c r="V271" s="58"/>
      <c r="W271" s="58"/>
      <c r="X271" s="58"/>
      <c r="Y271" s="58"/>
    </row>
    <row r="272">
      <c r="A272" s="58"/>
      <c r="B272" s="58"/>
      <c r="C272" s="58"/>
      <c r="D272" s="58"/>
      <c r="E272" s="58"/>
      <c r="F272" s="58"/>
      <c r="G272" s="58"/>
      <c r="H272" s="58"/>
      <c r="I272" s="58"/>
      <c r="J272" s="58"/>
      <c r="K272" s="58"/>
      <c r="L272" s="58"/>
      <c r="M272" s="58"/>
      <c r="N272" s="58"/>
      <c r="O272" s="58"/>
      <c r="P272" s="58"/>
      <c r="Q272" s="58"/>
      <c r="R272" s="58"/>
      <c r="S272" s="58"/>
      <c r="T272" s="58"/>
      <c r="U272" s="58"/>
      <c r="V272" s="58"/>
      <c r="W272" s="58"/>
      <c r="X272" s="58"/>
      <c r="Y272" s="58"/>
    </row>
    <row r="273">
      <c r="A273" s="58"/>
      <c r="B273" s="58"/>
      <c r="C273" s="58"/>
      <c r="D273" s="58"/>
      <c r="E273" s="58"/>
      <c r="F273" s="58"/>
      <c r="G273" s="58"/>
      <c r="H273" s="58"/>
      <c r="I273" s="58"/>
      <c r="J273" s="58"/>
      <c r="K273" s="58"/>
      <c r="L273" s="58"/>
      <c r="M273" s="58"/>
      <c r="N273" s="58"/>
      <c r="O273" s="58"/>
      <c r="P273" s="58"/>
      <c r="Q273" s="58"/>
      <c r="R273" s="58"/>
      <c r="S273" s="58"/>
      <c r="T273" s="58"/>
      <c r="U273" s="58"/>
      <c r="V273" s="58"/>
      <c r="W273" s="58"/>
      <c r="X273" s="58"/>
      <c r="Y273" s="58"/>
    </row>
    <row r="274">
      <c r="A274" s="58"/>
      <c r="B274" s="58"/>
      <c r="C274" s="58"/>
      <c r="D274" s="58"/>
      <c r="E274" s="58"/>
      <c r="F274" s="58"/>
      <c r="G274" s="58"/>
      <c r="H274" s="58"/>
      <c r="I274" s="58"/>
      <c r="J274" s="58"/>
      <c r="K274" s="58"/>
      <c r="L274" s="58"/>
      <c r="M274" s="58"/>
      <c r="N274" s="58"/>
      <c r="O274" s="58"/>
      <c r="P274" s="58"/>
      <c r="Q274" s="58"/>
      <c r="R274" s="58"/>
      <c r="S274" s="58"/>
      <c r="T274" s="58"/>
      <c r="U274" s="58"/>
      <c r="V274" s="58"/>
      <c r="W274" s="58"/>
      <c r="X274" s="58"/>
      <c r="Y274" s="58"/>
    </row>
    <row r="275">
      <c r="A275" s="58"/>
      <c r="B275" s="58"/>
      <c r="C275" s="58"/>
      <c r="D275" s="58"/>
      <c r="E275" s="58"/>
      <c r="F275" s="58"/>
      <c r="G275" s="58"/>
      <c r="H275" s="58"/>
      <c r="I275" s="58"/>
      <c r="J275" s="58"/>
      <c r="K275" s="58"/>
      <c r="L275" s="58"/>
      <c r="M275" s="58"/>
      <c r="N275" s="58"/>
      <c r="O275" s="58"/>
      <c r="P275" s="58"/>
      <c r="Q275" s="58"/>
      <c r="R275" s="58"/>
      <c r="S275" s="58"/>
      <c r="T275" s="58"/>
      <c r="U275" s="58"/>
      <c r="V275" s="58"/>
      <c r="W275" s="58"/>
      <c r="X275" s="58"/>
      <c r="Y275" s="58"/>
    </row>
    <row r="276">
      <c r="A276" s="58"/>
      <c r="B276" s="58"/>
      <c r="C276" s="58"/>
      <c r="D276" s="58"/>
      <c r="E276" s="58"/>
      <c r="F276" s="58"/>
      <c r="G276" s="58"/>
      <c r="H276" s="58"/>
      <c r="I276" s="58"/>
      <c r="J276" s="58"/>
      <c r="K276" s="58"/>
      <c r="L276" s="58"/>
      <c r="M276" s="58"/>
      <c r="N276" s="58"/>
      <c r="O276" s="58"/>
      <c r="P276" s="58"/>
      <c r="Q276" s="58"/>
      <c r="R276" s="58"/>
      <c r="S276" s="58"/>
      <c r="T276" s="58"/>
      <c r="U276" s="58"/>
      <c r="V276" s="58"/>
      <c r="W276" s="58"/>
      <c r="X276" s="58"/>
      <c r="Y276" s="58"/>
    </row>
    <row r="277">
      <c r="A277" s="58"/>
      <c r="B277" s="58"/>
      <c r="C277" s="58"/>
      <c r="D277" s="58"/>
      <c r="E277" s="58"/>
      <c r="F277" s="58"/>
      <c r="G277" s="58"/>
      <c r="H277" s="58"/>
      <c r="I277" s="58"/>
      <c r="J277" s="58"/>
      <c r="K277" s="58"/>
      <c r="L277" s="58"/>
      <c r="M277" s="58"/>
      <c r="N277" s="58"/>
      <c r="O277" s="58"/>
      <c r="P277" s="58"/>
      <c r="Q277" s="58"/>
      <c r="R277" s="58"/>
      <c r="S277" s="58"/>
      <c r="T277" s="58"/>
      <c r="U277" s="58"/>
      <c r="V277" s="58"/>
      <c r="W277" s="58"/>
      <c r="X277" s="58"/>
      <c r="Y277" s="58"/>
    </row>
    <row r="278">
      <c r="A278" s="58"/>
      <c r="B278" s="58"/>
      <c r="C278" s="58"/>
      <c r="D278" s="58"/>
      <c r="E278" s="58"/>
      <c r="F278" s="58"/>
      <c r="G278" s="58"/>
      <c r="H278" s="58"/>
      <c r="I278" s="58"/>
      <c r="J278" s="58"/>
      <c r="K278" s="58"/>
      <c r="L278" s="58"/>
      <c r="M278" s="58"/>
      <c r="N278" s="58"/>
      <c r="O278" s="58"/>
      <c r="P278" s="58"/>
      <c r="Q278" s="58"/>
      <c r="R278" s="58"/>
      <c r="S278" s="58"/>
      <c r="T278" s="58"/>
      <c r="U278" s="58"/>
      <c r="V278" s="58"/>
      <c r="W278" s="58"/>
      <c r="X278" s="58"/>
      <c r="Y278" s="58"/>
    </row>
    <row r="279">
      <c r="A279" s="58"/>
      <c r="B279" s="58"/>
      <c r="C279" s="58"/>
      <c r="D279" s="58"/>
      <c r="E279" s="58"/>
      <c r="F279" s="58"/>
      <c r="G279" s="58"/>
      <c r="H279" s="58"/>
      <c r="I279" s="58"/>
      <c r="J279" s="58"/>
      <c r="K279" s="58"/>
      <c r="L279" s="58"/>
      <c r="M279" s="58"/>
      <c r="N279" s="58"/>
      <c r="O279" s="58"/>
      <c r="P279" s="58"/>
      <c r="Q279" s="58"/>
      <c r="R279" s="58"/>
      <c r="S279" s="58"/>
      <c r="T279" s="58"/>
      <c r="U279" s="58"/>
      <c r="V279" s="58"/>
      <c r="W279" s="58"/>
      <c r="X279" s="58"/>
      <c r="Y279" s="58"/>
    </row>
    <row r="280">
      <c r="A280" s="58"/>
      <c r="B280" s="58"/>
      <c r="C280" s="58"/>
      <c r="D280" s="58"/>
      <c r="E280" s="58"/>
      <c r="F280" s="58"/>
      <c r="G280" s="58"/>
      <c r="H280" s="58"/>
      <c r="I280" s="58"/>
      <c r="J280" s="58"/>
      <c r="K280" s="58"/>
      <c r="L280" s="58"/>
      <c r="M280" s="58"/>
      <c r="N280" s="58"/>
      <c r="O280" s="58"/>
      <c r="P280" s="58"/>
      <c r="Q280" s="58"/>
      <c r="R280" s="58"/>
      <c r="S280" s="58"/>
      <c r="T280" s="58"/>
      <c r="U280" s="58"/>
      <c r="V280" s="58"/>
      <c r="W280" s="58"/>
      <c r="X280" s="58"/>
      <c r="Y280" s="58"/>
    </row>
    <row r="281">
      <c r="A281" s="58"/>
      <c r="B281" s="58"/>
      <c r="C281" s="58"/>
      <c r="D281" s="58"/>
      <c r="E281" s="58"/>
      <c r="F281" s="58"/>
      <c r="G281" s="58"/>
      <c r="H281" s="58"/>
      <c r="I281" s="58"/>
      <c r="J281" s="58"/>
      <c r="K281" s="58"/>
      <c r="L281" s="58"/>
      <c r="M281" s="58"/>
      <c r="N281" s="58"/>
      <c r="O281" s="58"/>
      <c r="P281" s="58"/>
      <c r="Q281" s="58"/>
      <c r="R281" s="58"/>
      <c r="S281" s="58"/>
      <c r="T281" s="58"/>
      <c r="U281" s="58"/>
      <c r="V281" s="58"/>
      <c r="W281" s="58"/>
      <c r="X281" s="58"/>
      <c r="Y281" s="58"/>
    </row>
    <row r="282">
      <c r="A282" s="58"/>
      <c r="B282" s="58"/>
      <c r="C282" s="58"/>
      <c r="D282" s="58"/>
      <c r="E282" s="58"/>
      <c r="F282" s="58"/>
      <c r="G282" s="58"/>
      <c r="H282" s="58"/>
      <c r="I282" s="58"/>
      <c r="J282" s="58"/>
      <c r="K282" s="58"/>
      <c r="L282" s="58"/>
      <c r="M282" s="58"/>
      <c r="N282" s="58"/>
      <c r="O282" s="58"/>
      <c r="P282" s="58"/>
      <c r="Q282" s="58"/>
      <c r="R282" s="58"/>
      <c r="S282" s="58"/>
      <c r="T282" s="58"/>
      <c r="U282" s="58"/>
      <c r="V282" s="58"/>
      <c r="W282" s="58"/>
      <c r="X282" s="58"/>
      <c r="Y282" s="58"/>
    </row>
    <row r="283">
      <c r="A283" s="58"/>
      <c r="B283" s="58"/>
      <c r="C283" s="58"/>
      <c r="D283" s="58"/>
      <c r="E283" s="58"/>
      <c r="F283" s="58"/>
      <c r="G283" s="58"/>
      <c r="H283" s="58"/>
      <c r="I283" s="58"/>
      <c r="J283" s="58"/>
      <c r="K283" s="58"/>
      <c r="L283" s="58"/>
      <c r="M283" s="58"/>
      <c r="N283" s="58"/>
      <c r="O283" s="58"/>
      <c r="P283" s="58"/>
      <c r="Q283" s="58"/>
      <c r="R283" s="58"/>
      <c r="S283" s="58"/>
      <c r="T283" s="58"/>
      <c r="U283" s="58"/>
      <c r="V283" s="58"/>
      <c r="W283" s="58"/>
      <c r="X283" s="58"/>
      <c r="Y283" s="58"/>
    </row>
    <row r="284">
      <c r="A284" s="58"/>
      <c r="B284" s="58"/>
      <c r="C284" s="58"/>
      <c r="D284" s="58"/>
      <c r="E284" s="58"/>
      <c r="F284" s="58"/>
      <c r="G284" s="58"/>
      <c r="H284" s="58"/>
      <c r="I284" s="58"/>
      <c r="J284" s="58"/>
      <c r="K284" s="58"/>
      <c r="L284" s="58"/>
      <c r="M284" s="58"/>
      <c r="N284" s="58"/>
      <c r="O284" s="58"/>
      <c r="P284" s="58"/>
      <c r="Q284" s="58"/>
      <c r="R284" s="58"/>
      <c r="S284" s="58"/>
      <c r="T284" s="58"/>
      <c r="U284" s="58"/>
      <c r="V284" s="58"/>
      <c r="W284" s="58"/>
      <c r="X284" s="58"/>
      <c r="Y284" s="58"/>
    </row>
    <row r="285">
      <c r="A285" s="58"/>
      <c r="B285" s="58"/>
      <c r="C285" s="58"/>
      <c r="D285" s="58"/>
      <c r="E285" s="58"/>
      <c r="F285" s="58"/>
      <c r="G285" s="58"/>
      <c r="H285" s="58"/>
      <c r="I285" s="58"/>
      <c r="J285" s="58"/>
      <c r="K285" s="58"/>
      <c r="L285" s="58"/>
      <c r="M285" s="58"/>
      <c r="N285" s="58"/>
      <c r="O285" s="58"/>
      <c r="P285" s="58"/>
      <c r="Q285" s="58"/>
      <c r="R285" s="58"/>
      <c r="S285" s="58"/>
      <c r="T285" s="58"/>
      <c r="U285" s="58"/>
      <c r="V285" s="58"/>
      <c r="W285" s="58"/>
      <c r="X285" s="58"/>
      <c r="Y285" s="58"/>
    </row>
    <row r="286">
      <c r="A286" s="58"/>
      <c r="B286" s="58"/>
      <c r="C286" s="58"/>
      <c r="D286" s="58"/>
      <c r="E286" s="58"/>
      <c r="F286" s="58"/>
      <c r="G286" s="58"/>
      <c r="H286" s="58"/>
      <c r="I286" s="58"/>
      <c r="J286" s="58"/>
      <c r="K286" s="58"/>
      <c r="L286" s="58"/>
      <c r="M286" s="58"/>
      <c r="N286" s="58"/>
      <c r="O286" s="58"/>
      <c r="P286" s="58"/>
      <c r="Q286" s="58"/>
      <c r="R286" s="58"/>
      <c r="S286" s="58"/>
      <c r="T286" s="58"/>
      <c r="U286" s="58"/>
      <c r="V286" s="58"/>
      <c r="W286" s="58"/>
      <c r="X286" s="58"/>
      <c r="Y286" s="58"/>
    </row>
    <row r="287">
      <c r="A287" s="58"/>
      <c r="B287" s="58"/>
      <c r="C287" s="58"/>
      <c r="D287" s="58"/>
      <c r="E287" s="58"/>
      <c r="F287" s="58"/>
      <c r="G287" s="58"/>
      <c r="H287" s="58"/>
      <c r="I287" s="58"/>
      <c r="J287" s="58"/>
      <c r="K287" s="58"/>
      <c r="L287" s="58"/>
      <c r="M287" s="58"/>
      <c r="N287" s="58"/>
      <c r="O287" s="58"/>
      <c r="P287" s="58"/>
      <c r="Q287" s="58"/>
      <c r="R287" s="58"/>
      <c r="S287" s="58"/>
      <c r="T287" s="58"/>
      <c r="U287" s="58"/>
      <c r="V287" s="58"/>
      <c r="W287" s="58"/>
      <c r="X287" s="58"/>
      <c r="Y287" s="58"/>
    </row>
    <row r="288">
      <c r="A288" s="58"/>
      <c r="B288" s="58"/>
      <c r="C288" s="58"/>
      <c r="D288" s="58"/>
      <c r="E288" s="58"/>
      <c r="F288" s="58"/>
      <c r="G288" s="58"/>
      <c r="H288" s="58"/>
      <c r="I288" s="58"/>
      <c r="J288" s="58"/>
      <c r="K288" s="58"/>
      <c r="L288" s="58"/>
      <c r="M288" s="58"/>
      <c r="N288" s="58"/>
      <c r="O288" s="58"/>
      <c r="P288" s="58"/>
      <c r="Q288" s="58"/>
      <c r="R288" s="58"/>
      <c r="S288" s="58"/>
      <c r="T288" s="58"/>
      <c r="U288" s="58"/>
      <c r="V288" s="58"/>
      <c r="W288" s="58"/>
      <c r="X288" s="58"/>
      <c r="Y288" s="58"/>
    </row>
    <row r="289">
      <c r="A289" s="58"/>
      <c r="B289" s="58"/>
      <c r="C289" s="58"/>
      <c r="D289" s="58"/>
      <c r="E289" s="58"/>
      <c r="F289" s="58"/>
      <c r="G289" s="58"/>
      <c r="H289" s="58"/>
      <c r="I289" s="58"/>
      <c r="J289" s="58"/>
      <c r="K289" s="58"/>
      <c r="L289" s="58"/>
      <c r="M289" s="58"/>
      <c r="N289" s="58"/>
      <c r="O289" s="58"/>
      <c r="P289" s="58"/>
      <c r="Q289" s="58"/>
      <c r="R289" s="58"/>
      <c r="S289" s="58"/>
      <c r="T289" s="58"/>
      <c r="U289" s="58"/>
      <c r="V289" s="58"/>
      <c r="W289" s="58"/>
      <c r="X289" s="58"/>
      <c r="Y289" s="58"/>
    </row>
    <row r="290">
      <c r="A290" s="58"/>
      <c r="B290" s="58"/>
      <c r="C290" s="58"/>
      <c r="D290" s="58"/>
      <c r="E290" s="58"/>
      <c r="F290" s="58"/>
      <c r="G290" s="58"/>
      <c r="H290" s="58"/>
      <c r="I290" s="58"/>
      <c r="J290" s="58"/>
      <c r="K290" s="58"/>
      <c r="L290" s="58"/>
      <c r="M290" s="58"/>
      <c r="N290" s="58"/>
      <c r="O290" s="58"/>
      <c r="P290" s="58"/>
      <c r="Q290" s="58"/>
      <c r="R290" s="58"/>
      <c r="S290" s="58"/>
      <c r="T290" s="58"/>
      <c r="U290" s="58"/>
      <c r="V290" s="58"/>
      <c r="W290" s="58"/>
      <c r="X290" s="58"/>
      <c r="Y290" s="58"/>
    </row>
    <row r="291">
      <c r="A291" s="58"/>
      <c r="B291" s="58"/>
      <c r="C291" s="58"/>
      <c r="D291" s="58"/>
      <c r="E291" s="58"/>
      <c r="F291" s="58"/>
      <c r="G291" s="58"/>
      <c r="H291" s="58"/>
      <c r="I291" s="58"/>
      <c r="J291" s="58"/>
      <c r="K291" s="58"/>
      <c r="L291" s="58"/>
      <c r="M291" s="58"/>
      <c r="N291" s="58"/>
      <c r="O291" s="58"/>
      <c r="P291" s="58"/>
      <c r="Q291" s="58"/>
      <c r="R291" s="58"/>
      <c r="S291" s="58"/>
      <c r="T291" s="58"/>
      <c r="U291" s="58"/>
      <c r="V291" s="58"/>
      <c r="W291" s="58"/>
      <c r="X291" s="58"/>
      <c r="Y291" s="58"/>
    </row>
    <row r="292">
      <c r="A292" s="58"/>
      <c r="B292" s="58"/>
      <c r="C292" s="58"/>
      <c r="D292" s="58"/>
      <c r="E292" s="58"/>
      <c r="F292" s="58"/>
      <c r="G292" s="58"/>
      <c r="H292" s="58"/>
      <c r="I292" s="58"/>
      <c r="J292" s="58"/>
      <c r="K292" s="58"/>
      <c r="L292" s="58"/>
      <c r="M292" s="58"/>
      <c r="N292" s="58"/>
      <c r="O292" s="58"/>
      <c r="P292" s="58"/>
      <c r="Q292" s="58"/>
      <c r="R292" s="58"/>
      <c r="S292" s="58"/>
      <c r="T292" s="58"/>
      <c r="U292" s="58"/>
      <c r="V292" s="58"/>
      <c r="W292" s="58"/>
      <c r="X292" s="58"/>
      <c r="Y292" s="58"/>
    </row>
    <row r="293">
      <c r="A293" s="58"/>
      <c r="B293" s="58"/>
      <c r="C293" s="58"/>
      <c r="D293" s="58"/>
      <c r="E293" s="58"/>
      <c r="F293" s="58"/>
      <c r="G293" s="58"/>
      <c r="H293" s="58"/>
      <c r="I293" s="58"/>
      <c r="J293" s="58"/>
      <c r="K293" s="58"/>
      <c r="L293" s="58"/>
      <c r="M293" s="58"/>
      <c r="N293" s="58"/>
      <c r="O293" s="58"/>
      <c r="P293" s="58"/>
      <c r="Q293" s="58"/>
      <c r="R293" s="58"/>
      <c r="S293" s="58"/>
      <c r="T293" s="58"/>
      <c r="U293" s="58"/>
      <c r="V293" s="58"/>
      <c r="W293" s="58"/>
      <c r="X293" s="58"/>
      <c r="Y293" s="58"/>
    </row>
    <row r="294">
      <c r="A294" s="58"/>
      <c r="B294" s="58"/>
      <c r="C294" s="58"/>
      <c r="D294" s="58"/>
      <c r="E294" s="58"/>
      <c r="F294" s="58"/>
      <c r="G294" s="58"/>
      <c r="H294" s="58"/>
      <c r="I294" s="58"/>
      <c r="J294" s="58"/>
      <c r="K294" s="58"/>
      <c r="L294" s="58"/>
      <c r="M294" s="58"/>
      <c r="N294" s="58"/>
      <c r="O294" s="58"/>
      <c r="P294" s="58"/>
      <c r="Q294" s="58"/>
      <c r="R294" s="58"/>
      <c r="S294" s="58"/>
      <c r="T294" s="58"/>
      <c r="U294" s="58"/>
      <c r="V294" s="58"/>
      <c r="W294" s="58"/>
      <c r="X294" s="58"/>
      <c r="Y294" s="58"/>
    </row>
    <row r="295">
      <c r="A295" s="58"/>
      <c r="B295" s="58"/>
      <c r="C295" s="58"/>
      <c r="D295" s="58"/>
      <c r="E295" s="58"/>
      <c r="F295" s="58"/>
      <c r="G295" s="58"/>
      <c r="H295" s="58"/>
      <c r="I295" s="58"/>
      <c r="J295" s="58"/>
      <c r="K295" s="58"/>
      <c r="L295" s="58"/>
      <c r="M295" s="58"/>
      <c r="N295" s="58"/>
      <c r="O295" s="58"/>
      <c r="P295" s="58"/>
      <c r="Q295" s="58"/>
      <c r="R295" s="58"/>
      <c r="S295" s="58"/>
      <c r="T295" s="58"/>
      <c r="U295" s="58"/>
      <c r="V295" s="58"/>
      <c r="W295" s="58"/>
      <c r="X295" s="58"/>
      <c r="Y295" s="58"/>
    </row>
    <row r="296">
      <c r="A296" s="58"/>
      <c r="B296" s="58"/>
      <c r="C296" s="58"/>
      <c r="D296" s="58"/>
      <c r="E296" s="58"/>
      <c r="F296" s="58"/>
      <c r="G296" s="58"/>
      <c r="H296" s="58"/>
      <c r="I296" s="58"/>
      <c r="J296" s="58"/>
      <c r="K296" s="58"/>
      <c r="L296" s="58"/>
      <c r="M296" s="58"/>
      <c r="N296" s="58"/>
      <c r="O296" s="58"/>
      <c r="P296" s="58"/>
      <c r="Q296" s="58"/>
      <c r="R296" s="58"/>
      <c r="S296" s="58"/>
      <c r="T296" s="58"/>
      <c r="U296" s="58"/>
      <c r="V296" s="58"/>
      <c r="W296" s="58"/>
      <c r="X296" s="58"/>
      <c r="Y296" s="58"/>
    </row>
    <row r="297">
      <c r="A297" s="58"/>
      <c r="B297" s="58"/>
      <c r="C297" s="58"/>
      <c r="D297" s="58"/>
      <c r="E297" s="58"/>
      <c r="F297" s="58"/>
      <c r="G297" s="58"/>
      <c r="H297" s="58"/>
      <c r="I297" s="58"/>
      <c r="J297" s="58"/>
      <c r="K297" s="58"/>
      <c r="L297" s="58"/>
      <c r="M297" s="58"/>
      <c r="N297" s="58"/>
      <c r="O297" s="58"/>
      <c r="P297" s="58"/>
      <c r="Q297" s="58"/>
      <c r="R297" s="58"/>
      <c r="S297" s="58"/>
      <c r="T297" s="58"/>
      <c r="U297" s="58"/>
      <c r="V297" s="58"/>
      <c r="W297" s="58"/>
      <c r="X297" s="58"/>
      <c r="Y297" s="58"/>
    </row>
    <row r="298">
      <c r="A298" s="58"/>
      <c r="B298" s="58"/>
      <c r="C298" s="58"/>
      <c r="D298" s="58"/>
      <c r="E298" s="58"/>
      <c r="F298" s="58"/>
      <c r="G298" s="58"/>
      <c r="H298" s="58"/>
      <c r="I298" s="58"/>
      <c r="J298" s="58"/>
      <c r="K298" s="58"/>
      <c r="L298" s="58"/>
      <c r="M298" s="58"/>
      <c r="N298" s="58"/>
      <c r="O298" s="58"/>
      <c r="P298" s="58"/>
      <c r="Q298" s="58"/>
      <c r="R298" s="58"/>
      <c r="S298" s="58"/>
      <c r="T298" s="58"/>
      <c r="U298" s="58"/>
      <c r="V298" s="58"/>
      <c r="W298" s="58"/>
      <c r="X298" s="58"/>
      <c r="Y298" s="58"/>
    </row>
    <row r="299">
      <c r="A299" s="58"/>
      <c r="B299" s="58"/>
      <c r="C299" s="58"/>
      <c r="D299" s="58"/>
      <c r="E299" s="58"/>
      <c r="F299" s="58"/>
      <c r="G299" s="58"/>
      <c r="H299" s="58"/>
      <c r="I299" s="58"/>
      <c r="J299" s="58"/>
      <c r="K299" s="58"/>
      <c r="L299" s="58"/>
      <c r="M299" s="58"/>
      <c r="N299" s="58"/>
      <c r="O299" s="58"/>
      <c r="P299" s="58"/>
      <c r="Q299" s="58"/>
      <c r="R299" s="58"/>
      <c r="S299" s="58"/>
      <c r="T299" s="58"/>
      <c r="U299" s="58"/>
      <c r="V299" s="58"/>
      <c r="W299" s="58"/>
      <c r="X299" s="58"/>
      <c r="Y299" s="58"/>
    </row>
    <row r="300">
      <c r="A300" s="58"/>
      <c r="B300" s="58"/>
      <c r="C300" s="58"/>
      <c r="D300" s="58"/>
      <c r="E300" s="58"/>
      <c r="F300" s="58"/>
      <c r="G300" s="58"/>
      <c r="H300" s="58"/>
      <c r="I300" s="58"/>
      <c r="J300" s="58"/>
      <c r="K300" s="58"/>
      <c r="L300" s="58"/>
      <c r="M300" s="58"/>
      <c r="N300" s="58"/>
      <c r="O300" s="58"/>
      <c r="P300" s="58"/>
      <c r="Q300" s="58"/>
      <c r="R300" s="58"/>
      <c r="S300" s="58"/>
      <c r="T300" s="58"/>
      <c r="U300" s="58"/>
      <c r="V300" s="58"/>
      <c r="W300" s="58"/>
      <c r="X300" s="58"/>
      <c r="Y300" s="58"/>
    </row>
    <row r="301">
      <c r="A301" s="58"/>
      <c r="B301" s="58"/>
      <c r="C301" s="58"/>
      <c r="D301" s="58"/>
      <c r="E301" s="58"/>
      <c r="F301" s="58"/>
      <c r="G301" s="58"/>
      <c r="H301" s="58"/>
      <c r="I301" s="58"/>
      <c r="J301" s="58"/>
      <c r="K301" s="58"/>
      <c r="L301" s="58"/>
      <c r="M301" s="58"/>
      <c r="N301" s="58"/>
      <c r="O301" s="58"/>
      <c r="P301" s="58"/>
      <c r="Q301" s="58"/>
      <c r="R301" s="58"/>
      <c r="S301" s="58"/>
      <c r="T301" s="58"/>
      <c r="U301" s="58"/>
      <c r="V301" s="58"/>
      <c r="W301" s="58"/>
      <c r="X301" s="58"/>
      <c r="Y301" s="58"/>
    </row>
    <row r="302">
      <c r="A302" s="58"/>
      <c r="B302" s="58"/>
      <c r="C302" s="58"/>
      <c r="D302" s="58"/>
      <c r="E302" s="58"/>
      <c r="F302" s="58"/>
      <c r="G302" s="58"/>
      <c r="H302" s="58"/>
      <c r="I302" s="58"/>
      <c r="J302" s="58"/>
      <c r="K302" s="58"/>
      <c r="L302" s="58"/>
      <c r="M302" s="58"/>
      <c r="N302" s="58"/>
      <c r="O302" s="58"/>
      <c r="P302" s="58"/>
      <c r="Q302" s="58"/>
      <c r="R302" s="58"/>
      <c r="S302" s="58"/>
      <c r="T302" s="58"/>
      <c r="U302" s="58"/>
      <c r="V302" s="58"/>
      <c r="W302" s="58"/>
      <c r="X302" s="58"/>
      <c r="Y302" s="58"/>
    </row>
    <row r="303">
      <c r="A303" s="58"/>
      <c r="B303" s="58"/>
      <c r="C303" s="58"/>
      <c r="D303" s="58"/>
      <c r="E303" s="58"/>
      <c r="F303" s="58"/>
      <c r="G303" s="58"/>
      <c r="H303" s="58"/>
      <c r="I303" s="58"/>
      <c r="J303" s="58"/>
      <c r="K303" s="58"/>
      <c r="L303" s="58"/>
      <c r="M303" s="58"/>
      <c r="N303" s="58"/>
      <c r="O303" s="58"/>
      <c r="P303" s="58"/>
      <c r="Q303" s="58"/>
      <c r="R303" s="58"/>
      <c r="S303" s="58"/>
      <c r="T303" s="58"/>
      <c r="U303" s="58"/>
      <c r="V303" s="58"/>
      <c r="W303" s="58"/>
      <c r="X303" s="58"/>
      <c r="Y303" s="58"/>
    </row>
    <row r="304">
      <c r="A304" s="58"/>
      <c r="B304" s="58"/>
      <c r="C304" s="58"/>
      <c r="D304" s="58"/>
      <c r="E304" s="58"/>
      <c r="F304" s="58"/>
      <c r="G304" s="58"/>
      <c r="H304" s="58"/>
      <c r="I304" s="58"/>
      <c r="J304" s="58"/>
      <c r="K304" s="58"/>
      <c r="L304" s="58"/>
      <c r="M304" s="58"/>
      <c r="N304" s="58"/>
      <c r="O304" s="58"/>
      <c r="P304" s="58"/>
      <c r="Q304" s="58"/>
      <c r="R304" s="58"/>
      <c r="S304" s="58"/>
      <c r="T304" s="58"/>
      <c r="U304" s="58"/>
      <c r="V304" s="58"/>
      <c r="W304" s="58"/>
      <c r="X304" s="58"/>
      <c r="Y304" s="58"/>
    </row>
    <row r="305">
      <c r="A305" s="58"/>
      <c r="B305" s="58"/>
      <c r="C305" s="58"/>
      <c r="D305" s="58"/>
      <c r="E305" s="58"/>
      <c r="F305" s="58"/>
      <c r="G305" s="58"/>
      <c r="H305" s="58"/>
      <c r="I305" s="58"/>
      <c r="J305" s="58"/>
      <c r="K305" s="58"/>
      <c r="L305" s="58"/>
      <c r="M305" s="58"/>
      <c r="N305" s="58"/>
      <c r="O305" s="58"/>
      <c r="P305" s="58"/>
      <c r="Q305" s="58"/>
      <c r="R305" s="58"/>
      <c r="S305" s="58"/>
      <c r="T305" s="58"/>
      <c r="U305" s="58"/>
      <c r="V305" s="58"/>
      <c r="W305" s="58"/>
      <c r="X305" s="58"/>
      <c r="Y305" s="58"/>
    </row>
    <row r="306">
      <c r="A306" s="58"/>
      <c r="B306" s="58"/>
      <c r="C306" s="58"/>
      <c r="D306" s="58"/>
      <c r="E306" s="58"/>
      <c r="F306" s="58"/>
      <c r="G306" s="58"/>
      <c r="H306" s="58"/>
      <c r="I306" s="58"/>
      <c r="J306" s="58"/>
      <c r="K306" s="58"/>
      <c r="L306" s="58"/>
      <c r="M306" s="58"/>
      <c r="N306" s="58"/>
      <c r="O306" s="58"/>
      <c r="P306" s="58"/>
      <c r="Q306" s="58"/>
      <c r="R306" s="58"/>
      <c r="S306" s="58"/>
      <c r="T306" s="58"/>
      <c r="U306" s="58"/>
      <c r="V306" s="58"/>
      <c r="W306" s="58"/>
      <c r="X306" s="58"/>
      <c r="Y306" s="58"/>
    </row>
    <row r="307">
      <c r="A307" s="58"/>
      <c r="B307" s="58"/>
      <c r="C307" s="58"/>
      <c r="D307" s="58"/>
      <c r="E307" s="58"/>
      <c r="F307" s="58"/>
      <c r="G307" s="58"/>
      <c r="H307" s="58"/>
      <c r="I307" s="58"/>
      <c r="J307" s="58"/>
      <c r="K307" s="58"/>
      <c r="L307" s="58"/>
      <c r="M307" s="58"/>
      <c r="N307" s="58"/>
      <c r="O307" s="58"/>
      <c r="P307" s="58"/>
      <c r="Q307" s="58"/>
      <c r="R307" s="58"/>
      <c r="S307" s="58"/>
      <c r="T307" s="58"/>
      <c r="U307" s="58"/>
      <c r="V307" s="58"/>
      <c r="W307" s="58"/>
      <c r="X307" s="58"/>
      <c r="Y307" s="58"/>
    </row>
    <row r="308">
      <c r="A308" s="58"/>
      <c r="B308" s="58"/>
      <c r="C308" s="58"/>
      <c r="D308" s="58"/>
      <c r="E308" s="58"/>
      <c r="F308" s="58"/>
      <c r="G308" s="58"/>
      <c r="H308" s="58"/>
      <c r="I308" s="58"/>
      <c r="J308" s="58"/>
      <c r="K308" s="58"/>
      <c r="L308" s="58"/>
      <c r="M308" s="58"/>
      <c r="N308" s="58"/>
      <c r="O308" s="58"/>
      <c r="P308" s="58"/>
      <c r="Q308" s="58"/>
      <c r="R308" s="58"/>
      <c r="S308" s="58"/>
      <c r="T308" s="58"/>
      <c r="U308" s="58"/>
      <c r="V308" s="58"/>
      <c r="W308" s="58"/>
      <c r="X308" s="58"/>
      <c r="Y308" s="58"/>
    </row>
    <row r="309">
      <c r="A309" s="58"/>
      <c r="B309" s="58"/>
      <c r="C309" s="58"/>
      <c r="D309" s="58"/>
      <c r="E309" s="58"/>
      <c r="F309" s="58"/>
      <c r="G309" s="58"/>
      <c r="H309" s="58"/>
      <c r="I309" s="58"/>
      <c r="J309" s="58"/>
      <c r="K309" s="58"/>
      <c r="L309" s="58"/>
      <c r="M309" s="58"/>
      <c r="N309" s="58"/>
      <c r="O309" s="58"/>
      <c r="P309" s="58"/>
      <c r="Q309" s="58"/>
      <c r="R309" s="58"/>
      <c r="S309" s="58"/>
      <c r="T309" s="58"/>
      <c r="U309" s="58"/>
      <c r="V309" s="58"/>
      <c r="W309" s="58"/>
      <c r="X309" s="58"/>
      <c r="Y309" s="58"/>
    </row>
    <row r="310">
      <c r="A310" s="58"/>
      <c r="B310" s="58"/>
      <c r="C310" s="58"/>
      <c r="D310" s="58"/>
      <c r="E310" s="58"/>
      <c r="F310" s="58"/>
      <c r="G310" s="58"/>
      <c r="H310" s="58"/>
      <c r="I310" s="58"/>
      <c r="J310" s="58"/>
      <c r="K310" s="58"/>
      <c r="L310" s="58"/>
      <c r="M310" s="58"/>
      <c r="N310" s="58"/>
      <c r="O310" s="58"/>
      <c r="P310" s="58"/>
      <c r="Q310" s="58"/>
      <c r="R310" s="58"/>
      <c r="S310" s="58"/>
      <c r="T310" s="58"/>
      <c r="U310" s="58"/>
      <c r="V310" s="58"/>
      <c r="W310" s="58"/>
      <c r="X310" s="58"/>
      <c r="Y310" s="58"/>
    </row>
    <row r="311">
      <c r="A311" s="58"/>
      <c r="B311" s="58"/>
      <c r="C311" s="58"/>
      <c r="D311" s="58"/>
      <c r="E311" s="58"/>
      <c r="F311" s="58"/>
      <c r="G311" s="58"/>
      <c r="H311" s="58"/>
      <c r="I311" s="58"/>
      <c r="J311" s="58"/>
      <c r="K311" s="58"/>
      <c r="L311" s="58"/>
      <c r="M311" s="58"/>
      <c r="N311" s="58"/>
      <c r="O311" s="58"/>
      <c r="P311" s="58"/>
      <c r="Q311" s="58"/>
      <c r="R311" s="58"/>
      <c r="S311" s="58"/>
      <c r="T311" s="58"/>
      <c r="U311" s="58"/>
      <c r="V311" s="58"/>
      <c r="W311" s="58"/>
      <c r="X311" s="58"/>
      <c r="Y311" s="58"/>
    </row>
    <row r="312">
      <c r="A312" s="58"/>
      <c r="B312" s="58"/>
      <c r="C312" s="58"/>
      <c r="D312" s="58"/>
      <c r="E312" s="58"/>
      <c r="F312" s="58"/>
      <c r="G312" s="58"/>
      <c r="H312" s="58"/>
      <c r="I312" s="58"/>
      <c r="J312" s="58"/>
      <c r="K312" s="58"/>
      <c r="L312" s="58"/>
      <c r="M312" s="58"/>
      <c r="N312" s="58"/>
      <c r="O312" s="58"/>
      <c r="P312" s="58"/>
      <c r="Q312" s="58"/>
      <c r="R312" s="58"/>
      <c r="S312" s="58"/>
      <c r="T312" s="58"/>
      <c r="U312" s="58"/>
      <c r="V312" s="58"/>
      <c r="W312" s="58"/>
      <c r="X312" s="58"/>
      <c r="Y312" s="58"/>
    </row>
    <row r="313">
      <c r="A313" s="58"/>
      <c r="B313" s="58"/>
      <c r="C313" s="58"/>
      <c r="D313" s="58"/>
      <c r="E313" s="58"/>
      <c r="F313" s="58"/>
      <c r="G313" s="58"/>
      <c r="H313" s="58"/>
      <c r="I313" s="58"/>
      <c r="J313" s="58"/>
      <c r="K313" s="58"/>
      <c r="L313" s="58"/>
      <c r="M313" s="58"/>
      <c r="N313" s="58"/>
      <c r="O313" s="58"/>
      <c r="P313" s="58"/>
      <c r="Q313" s="58"/>
      <c r="R313" s="58"/>
      <c r="S313" s="58"/>
      <c r="T313" s="58"/>
      <c r="U313" s="58"/>
      <c r="V313" s="58"/>
      <c r="W313" s="58"/>
      <c r="X313" s="58"/>
      <c r="Y313" s="58"/>
    </row>
    <row r="314">
      <c r="A314" s="58"/>
      <c r="B314" s="58"/>
      <c r="C314" s="58"/>
      <c r="D314" s="58"/>
      <c r="E314" s="58"/>
      <c r="F314" s="58"/>
      <c r="G314" s="58"/>
      <c r="H314" s="58"/>
      <c r="I314" s="58"/>
      <c r="J314" s="58"/>
      <c r="K314" s="58"/>
      <c r="L314" s="58"/>
      <c r="M314" s="58"/>
      <c r="N314" s="58"/>
      <c r="O314" s="58"/>
      <c r="P314" s="58"/>
      <c r="Q314" s="58"/>
      <c r="R314" s="58"/>
      <c r="S314" s="58"/>
      <c r="T314" s="58"/>
      <c r="U314" s="58"/>
      <c r="V314" s="58"/>
      <c r="W314" s="58"/>
      <c r="X314" s="58"/>
      <c r="Y314" s="58"/>
    </row>
    <row r="315">
      <c r="A315" s="58"/>
      <c r="B315" s="58"/>
      <c r="C315" s="58"/>
      <c r="D315" s="58"/>
      <c r="E315" s="58"/>
      <c r="F315" s="58"/>
      <c r="G315" s="58"/>
      <c r="H315" s="58"/>
      <c r="I315" s="58"/>
      <c r="J315" s="58"/>
      <c r="K315" s="58"/>
      <c r="L315" s="58"/>
      <c r="M315" s="58"/>
      <c r="N315" s="58"/>
      <c r="O315" s="58"/>
      <c r="P315" s="58"/>
      <c r="Q315" s="58"/>
      <c r="R315" s="58"/>
      <c r="S315" s="58"/>
      <c r="T315" s="58"/>
      <c r="U315" s="58"/>
      <c r="V315" s="58"/>
      <c r="W315" s="58"/>
      <c r="X315" s="58"/>
      <c r="Y315" s="58"/>
    </row>
    <row r="316">
      <c r="A316" s="58"/>
      <c r="B316" s="58"/>
      <c r="C316" s="58"/>
      <c r="D316" s="58"/>
      <c r="E316" s="58"/>
      <c r="F316" s="58"/>
      <c r="G316" s="58"/>
      <c r="H316" s="58"/>
      <c r="I316" s="58"/>
      <c r="J316" s="58"/>
      <c r="K316" s="58"/>
      <c r="L316" s="58"/>
      <c r="M316" s="58"/>
      <c r="N316" s="58"/>
      <c r="O316" s="58"/>
      <c r="P316" s="58"/>
      <c r="Q316" s="58"/>
      <c r="R316" s="58"/>
      <c r="S316" s="58"/>
      <c r="T316" s="58"/>
      <c r="U316" s="58"/>
      <c r="V316" s="58"/>
      <c r="W316" s="58"/>
      <c r="X316" s="58"/>
      <c r="Y316" s="58"/>
    </row>
    <row r="317">
      <c r="A317" s="58"/>
      <c r="B317" s="58"/>
      <c r="C317" s="58"/>
      <c r="D317" s="58"/>
      <c r="E317" s="58"/>
      <c r="F317" s="58"/>
      <c r="G317" s="58"/>
      <c r="H317" s="58"/>
      <c r="I317" s="58"/>
      <c r="J317" s="58"/>
      <c r="K317" s="58"/>
      <c r="L317" s="58"/>
      <c r="M317" s="58"/>
      <c r="N317" s="58"/>
      <c r="O317" s="58"/>
      <c r="P317" s="58"/>
      <c r="Q317" s="58"/>
      <c r="R317" s="58"/>
      <c r="S317" s="58"/>
      <c r="T317" s="58"/>
      <c r="U317" s="58"/>
      <c r="V317" s="58"/>
      <c r="W317" s="58"/>
      <c r="X317" s="58"/>
      <c r="Y317" s="58"/>
    </row>
    <row r="318">
      <c r="A318" s="58"/>
      <c r="B318" s="58"/>
      <c r="C318" s="58"/>
      <c r="D318" s="58"/>
      <c r="E318" s="58"/>
      <c r="F318" s="58"/>
      <c r="G318" s="58"/>
      <c r="H318" s="58"/>
      <c r="I318" s="58"/>
      <c r="J318" s="58"/>
      <c r="K318" s="58"/>
      <c r="L318" s="58"/>
      <c r="M318" s="58"/>
      <c r="N318" s="58"/>
      <c r="O318" s="58"/>
      <c r="P318" s="58"/>
      <c r="Q318" s="58"/>
      <c r="R318" s="58"/>
      <c r="S318" s="58"/>
      <c r="T318" s="58"/>
      <c r="U318" s="58"/>
      <c r="V318" s="58"/>
      <c r="W318" s="58"/>
      <c r="X318" s="58"/>
      <c r="Y318" s="58"/>
    </row>
    <row r="319">
      <c r="A319" s="58"/>
      <c r="B319" s="58"/>
      <c r="C319" s="58"/>
      <c r="D319" s="58"/>
      <c r="E319" s="58"/>
      <c r="F319" s="58"/>
      <c r="G319" s="58"/>
      <c r="H319" s="58"/>
      <c r="I319" s="58"/>
      <c r="J319" s="58"/>
      <c r="K319" s="58"/>
      <c r="L319" s="58"/>
      <c r="M319" s="58"/>
      <c r="N319" s="58"/>
      <c r="O319" s="58"/>
      <c r="P319" s="58"/>
      <c r="Q319" s="58"/>
      <c r="R319" s="58"/>
      <c r="S319" s="58"/>
      <c r="T319" s="58"/>
      <c r="U319" s="58"/>
      <c r="V319" s="58"/>
      <c r="W319" s="58"/>
      <c r="X319" s="58"/>
      <c r="Y319" s="58"/>
    </row>
    <row r="320">
      <c r="A320" s="58"/>
      <c r="B320" s="58"/>
      <c r="C320" s="58"/>
      <c r="D320" s="58"/>
      <c r="E320" s="58"/>
      <c r="F320" s="58"/>
      <c r="G320" s="58"/>
      <c r="H320" s="58"/>
      <c r="I320" s="58"/>
      <c r="J320" s="58"/>
      <c r="K320" s="58"/>
      <c r="L320" s="58"/>
      <c r="M320" s="58"/>
      <c r="N320" s="58"/>
      <c r="O320" s="58"/>
      <c r="P320" s="58"/>
      <c r="Q320" s="58"/>
      <c r="R320" s="58"/>
      <c r="S320" s="58"/>
      <c r="T320" s="58"/>
      <c r="U320" s="58"/>
      <c r="V320" s="58"/>
      <c r="W320" s="58"/>
      <c r="X320" s="58"/>
      <c r="Y320" s="58"/>
    </row>
    <row r="321">
      <c r="A321" s="58"/>
      <c r="B321" s="58"/>
      <c r="C321" s="58"/>
      <c r="D321" s="58"/>
      <c r="E321" s="58"/>
      <c r="F321" s="58"/>
      <c r="G321" s="58"/>
      <c r="H321" s="58"/>
      <c r="I321" s="58"/>
      <c r="J321" s="58"/>
      <c r="K321" s="58"/>
      <c r="L321" s="58"/>
      <c r="M321" s="58"/>
      <c r="N321" s="58"/>
      <c r="O321" s="58"/>
      <c r="P321" s="58"/>
      <c r="Q321" s="58"/>
      <c r="R321" s="58"/>
      <c r="S321" s="58"/>
      <c r="T321" s="58"/>
      <c r="U321" s="58"/>
      <c r="V321" s="58"/>
      <c r="W321" s="58"/>
      <c r="X321" s="58"/>
      <c r="Y321" s="58"/>
    </row>
    <row r="322">
      <c r="A322" s="58"/>
      <c r="B322" s="58"/>
      <c r="C322" s="58"/>
      <c r="D322" s="58"/>
      <c r="E322" s="58"/>
      <c r="F322" s="58"/>
      <c r="G322" s="58"/>
      <c r="H322" s="58"/>
      <c r="I322" s="58"/>
      <c r="J322" s="58"/>
      <c r="K322" s="58"/>
      <c r="L322" s="58"/>
      <c r="M322" s="58"/>
      <c r="N322" s="58"/>
      <c r="O322" s="58"/>
      <c r="P322" s="58"/>
      <c r="Q322" s="58"/>
      <c r="R322" s="58"/>
      <c r="S322" s="58"/>
      <c r="T322" s="58"/>
      <c r="U322" s="58"/>
      <c r="V322" s="58"/>
      <c r="W322" s="58"/>
      <c r="X322" s="58"/>
      <c r="Y322" s="58"/>
    </row>
    <row r="323">
      <c r="A323" s="58"/>
      <c r="B323" s="58"/>
      <c r="C323" s="58"/>
      <c r="D323" s="58"/>
      <c r="E323" s="58"/>
      <c r="F323" s="58"/>
      <c r="G323" s="58"/>
      <c r="H323" s="58"/>
      <c r="I323" s="58"/>
      <c r="J323" s="58"/>
      <c r="K323" s="58"/>
      <c r="L323" s="58"/>
      <c r="M323" s="58"/>
      <c r="N323" s="58"/>
      <c r="O323" s="58"/>
      <c r="P323" s="58"/>
      <c r="Q323" s="58"/>
      <c r="R323" s="58"/>
      <c r="S323" s="58"/>
      <c r="T323" s="58"/>
      <c r="U323" s="58"/>
      <c r="V323" s="58"/>
      <c r="W323" s="58"/>
      <c r="X323" s="58"/>
      <c r="Y323" s="58"/>
    </row>
    <row r="324">
      <c r="A324" s="58"/>
      <c r="B324" s="58"/>
      <c r="C324" s="58"/>
      <c r="D324" s="58"/>
      <c r="E324" s="58"/>
      <c r="F324" s="58"/>
      <c r="G324" s="58"/>
      <c r="H324" s="58"/>
      <c r="I324" s="58"/>
      <c r="J324" s="58"/>
      <c r="K324" s="58"/>
      <c r="L324" s="58"/>
      <c r="M324" s="58"/>
      <c r="N324" s="58"/>
      <c r="O324" s="58"/>
      <c r="P324" s="58"/>
      <c r="Q324" s="58"/>
      <c r="R324" s="58"/>
      <c r="S324" s="58"/>
      <c r="T324" s="58"/>
      <c r="U324" s="58"/>
      <c r="V324" s="58"/>
      <c r="W324" s="58"/>
      <c r="X324" s="58"/>
      <c r="Y324" s="58"/>
    </row>
    <row r="325">
      <c r="A325" s="58"/>
      <c r="B325" s="58"/>
      <c r="C325" s="58"/>
      <c r="D325" s="58"/>
      <c r="E325" s="58"/>
      <c r="F325" s="58"/>
      <c r="G325" s="58"/>
      <c r="H325" s="58"/>
      <c r="I325" s="58"/>
      <c r="J325" s="58"/>
      <c r="K325" s="58"/>
      <c r="L325" s="58"/>
      <c r="M325" s="58"/>
      <c r="N325" s="58"/>
      <c r="O325" s="58"/>
      <c r="P325" s="58"/>
      <c r="Q325" s="58"/>
      <c r="R325" s="58"/>
      <c r="S325" s="58"/>
      <c r="T325" s="58"/>
      <c r="U325" s="58"/>
      <c r="V325" s="58"/>
      <c r="W325" s="58"/>
      <c r="X325" s="58"/>
      <c r="Y325" s="58"/>
    </row>
    <row r="326">
      <c r="A326" s="58"/>
      <c r="B326" s="58"/>
      <c r="C326" s="58"/>
      <c r="D326" s="58"/>
      <c r="E326" s="58"/>
      <c r="F326" s="58"/>
      <c r="G326" s="58"/>
      <c r="H326" s="58"/>
      <c r="I326" s="58"/>
      <c r="J326" s="58"/>
      <c r="K326" s="58"/>
      <c r="L326" s="58"/>
      <c r="M326" s="58"/>
      <c r="N326" s="58"/>
      <c r="O326" s="58"/>
      <c r="P326" s="58"/>
      <c r="Q326" s="58"/>
      <c r="R326" s="58"/>
      <c r="S326" s="58"/>
      <c r="T326" s="58"/>
      <c r="U326" s="58"/>
      <c r="V326" s="58"/>
      <c r="W326" s="58"/>
      <c r="X326" s="58"/>
      <c r="Y326" s="58"/>
    </row>
    <row r="327">
      <c r="A327" s="58"/>
      <c r="B327" s="58"/>
      <c r="C327" s="58"/>
      <c r="D327" s="58"/>
      <c r="E327" s="58"/>
      <c r="F327" s="58"/>
      <c r="G327" s="58"/>
      <c r="H327" s="58"/>
      <c r="I327" s="58"/>
      <c r="J327" s="58"/>
      <c r="K327" s="58"/>
      <c r="L327" s="58"/>
      <c r="M327" s="58"/>
      <c r="N327" s="58"/>
      <c r="O327" s="58"/>
      <c r="P327" s="58"/>
      <c r="Q327" s="58"/>
      <c r="R327" s="58"/>
      <c r="S327" s="58"/>
      <c r="T327" s="58"/>
      <c r="U327" s="58"/>
      <c r="V327" s="58"/>
      <c r="W327" s="58"/>
      <c r="X327" s="58"/>
      <c r="Y327" s="58"/>
    </row>
    <row r="328">
      <c r="A328" s="58"/>
      <c r="B328" s="58"/>
      <c r="C328" s="58"/>
      <c r="D328" s="58"/>
      <c r="E328" s="58"/>
      <c r="F328" s="58"/>
      <c r="G328" s="58"/>
      <c r="H328" s="58"/>
      <c r="I328" s="58"/>
      <c r="J328" s="58"/>
      <c r="K328" s="58"/>
      <c r="L328" s="58"/>
      <c r="M328" s="58"/>
      <c r="N328" s="58"/>
      <c r="O328" s="58"/>
      <c r="P328" s="58"/>
      <c r="Q328" s="58"/>
      <c r="R328" s="58"/>
      <c r="S328" s="58"/>
      <c r="T328" s="58"/>
      <c r="U328" s="58"/>
      <c r="V328" s="58"/>
      <c r="W328" s="58"/>
      <c r="X328" s="58"/>
      <c r="Y328" s="58"/>
    </row>
    <row r="329">
      <c r="A329" s="58"/>
      <c r="B329" s="58"/>
      <c r="C329" s="58"/>
      <c r="D329" s="58"/>
      <c r="E329" s="58"/>
      <c r="F329" s="58"/>
      <c r="G329" s="58"/>
      <c r="H329" s="58"/>
      <c r="I329" s="58"/>
      <c r="J329" s="58"/>
      <c r="K329" s="58"/>
      <c r="L329" s="58"/>
      <c r="M329" s="58"/>
      <c r="N329" s="58"/>
      <c r="O329" s="58"/>
      <c r="P329" s="58"/>
      <c r="Q329" s="58"/>
      <c r="R329" s="58"/>
      <c r="S329" s="58"/>
      <c r="T329" s="58"/>
      <c r="U329" s="58"/>
      <c r="V329" s="58"/>
      <c r="W329" s="58"/>
      <c r="X329" s="58"/>
      <c r="Y329" s="58"/>
    </row>
    <row r="330">
      <c r="A330" s="58"/>
      <c r="B330" s="58"/>
      <c r="C330" s="58"/>
      <c r="D330" s="58"/>
      <c r="E330" s="58"/>
      <c r="F330" s="58"/>
      <c r="G330" s="58"/>
      <c r="H330" s="58"/>
      <c r="I330" s="58"/>
      <c r="J330" s="58"/>
      <c r="K330" s="58"/>
      <c r="L330" s="58"/>
      <c r="M330" s="58"/>
      <c r="N330" s="58"/>
      <c r="O330" s="58"/>
      <c r="P330" s="58"/>
      <c r="Q330" s="58"/>
      <c r="R330" s="58"/>
      <c r="S330" s="58"/>
      <c r="T330" s="58"/>
      <c r="U330" s="58"/>
      <c r="V330" s="58"/>
      <c r="W330" s="58"/>
      <c r="X330" s="58"/>
      <c r="Y330" s="58"/>
    </row>
    <row r="331">
      <c r="A331" s="58"/>
      <c r="B331" s="58"/>
      <c r="C331" s="58"/>
      <c r="D331" s="58"/>
      <c r="E331" s="58"/>
      <c r="F331" s="58"/>
      <c r="G331" s="58"/>
      <c r="H331" s="58"/>
      <c r="I331" s="58"/>
      <c r="J331" s="58"/>
      <c r="K331" s="58"/>
      <c r="L331" s="58"/>
      <c r="M331" s="58"/>
      <c r="N331" s="58"/>
      <c r="O331" s="58"/>
      <c r="P331" s="58"/>
      <c r="Q331" s="58"/>
      <c r="R331" s="58"/>
      <c r="S331" s="58"/>
      <c r="T331" s="58"/>
      <c r="U331" s="58"/>
      <c r="V331" s="58"/>
      <c r="W331" s="58"/>
      <c r="X331" s="58"/>
      <c r="Y331" s="58"/>
    </row>
    <row r="332">
      <c r="A332" s="58"/>
      <c r="B332" s="58"/>
      <c r="C332" s="58"/>
      <c r="D332" s="58"/>
      <c r="E332" s="58"/>
      <c r="F332" s="58"/>
      <c r="G332" s="58"/>
      <c r="H332" s="58"/>
      <c r="I332" s="58"/>
      <c r="J332" s="58"/>
      <c r="K332" s="58"/>
      <c r="L332" s="58"/>
      <c r="M332" s="58"/>
      <c r="N332" s="58"/>
      <c r="O332" s="58"/>
      <c r="P332" s="58"/>
      <c r="Q332" s="58"/>
      <c r="R332" s="58"/>
      <c r="S332" s="58"/>
      <c r="T332" s="58"/>
      <c r="U332" s="58"/>
      <c r="V332" s="58"/>
      <c r="W332" s="58"/>
      <c r="X332" s="58"/>
      <c r="Y332" s="58"/>
    </row>
    <row r="333">
      <c r="A333" s="58"/>
      <c r="B333" s="58"/>
      <c r="C333" s="58"/>
      <c r="D333" s="58"/>
      <c r="E333" s="58"/>
      <c r="F333" s="58"/>
      <c r="G333" s="58"/>
      <c r="H333" s="58"/>
      <c r="I333" s="58"/>
      <c r="J333" s="58"/>
      <c r="K333" s="58"/>
      <c r="L333" s="58"/>
      <c r="M333" s="58"/>
      <c r="N333" s="58"/>
      <c r="O333" s="58"/>
      <c r="P333" s="58"/>
      <c r="Q333" s="58"/>
      <c r="R333" s="58"/>
      <c r="S333" s="58"/>
      <c r="T333" s="58"/>
      <c r="U333" s="58"/>
      <c r="V333" s="58"/>
      <c r="W333" s="58"/>
      <c r="X333" s="58"/>
      <c r="Y333" s="58"/>
    </row>
    <row r="334">
      <c r="A334" s="58"/>
      <c r="B334" s="58"/>
      <c r="C334" s="58"/>
      <c r="D334" s="58"/>
      <c r="E334" s="58"/>
      <c r="F334" s="58"/>
      <c r="G334" s="58"/>
      <c r="H334" s="58"/>
      <c r="I334" s="58"/>
      <c r="J334" s="58"/>
      <c r="K334" s="58"/>
      <c r="L334" s="58"/>
      <c r="M334" s="58"/>
      <c r="N334" s="58"/>
      <c r="O334" s="58"/>
      <c r="P334" s="58"/>
      <c r="Q334" s="58"/>
      <c r="R334" s="58"/>
      <c r="S334" s="58"/>
      <c r="T334" s="58"/>
      <c r="U334" s="58"/>
      <c r="V334" s="58"/>
      <c r="W334" s="58"/>
      <c r="X334" s="58"/>
      <c r="Y334" s="58"/>
    </row>
    <row r="335">
      <c r="A335" s="58"/>
      <c r="B335" s="58"/>
      <c r="C335" s="58"/>
      <c r="D335" s="58"/>
      <c r="E335" s="58"/>
      <c r="F335" s="58"/>
      <c r="G335" s="58"/>
      <c r="H335" s="58"/>
      <c r="I335" s="58"/>
      <c r="J335" s="58"/>
      <c r="K335" s="58"/>
      <c r="L335" s="58"/>
      <c r="M335" s="58"/>
      <c r="N335" s="58"/>
      <c r="O335" s="58"/>
      <c r="P335" s="58"/>
      <c r="Q335" s="58"/>
      <c r="R335" s="58"/>
      <c r="S335" s="58"/>
      <c r="T335" s="58"/>
      <c r="U335" s="58"/>
      <c r="V335" s="58"/>
      <c r="W335" s="58"/>
      <c r="X335" s="58"/>
      <c r="Y335" s="58"/>
    </row>
    <row r="336">
      <c r="A336" s="58"/>
      <c r="B336" s="58"/>
      <c r="C336" s="58"/>
      <c r="D336" s="58"/>
      <c r="E336" s="58"/>
      <c r="F336" s="58"/>
      <c r="G336" s="58"/>
      <c r="H336" s="58"/>
      <c r="I336" s="58"/>
      <c r="J336" s="58"/>
      <c r="K336" s="58"/>
      <c r="L336" s="58"/>
      <c r="M336" s="58"/>
      <c r="N336" s="58"/>
      <c r="O336" s="58"/>
      <c r="P336" s="58"/>
      <c r="Q336" s="58"/>
      <c r="R336" s="58"/>
      <c r="S336" s="58"/>
      <c r="T336" s="58"/>
      <c r="U336" s="58"/>
      <c r="V336" s="58"/>
      <c r="W336" s="58"/>
      <c r="X336" s="58"/>
      <c r="Y336" s="58"/>
    </row>
    <row r="337">
      <c r="A337" s="58"/>
      <c r="B337" s="58"/>
      <c r="C337" s="58"/>
      <c r="D337" s="58"/>
      <c r="E337" s="58"/>
      <c r="F337" s="58"/>
      <c r="G337" s="58"/>
      <c r="H337" s="58"/>
      <c r="I337" s="58"/>
      <c r="J337" s="58"/>
      <c r="K337" s="58"/>
      <c r="L337" s="58"/>
      <c r="M337" s="58"/>
      <c r="N337" s="58"/>
      <c r="O337" s="58"/>
      <c r="P337" s="58"/>
      <c r="Q337" s="58"/>
      <c r="R337" s="58"/>
      <c r="S337" s="58"/>
      <c r="T337" s="58"/>
      <c r="U337" s="58"/>
      <c r="V337" s="58"/>
      <c r="W337" s="58"/>
      <c r="X337" s="58"/>
      <c r="Y337" s="58"/>
    </row>
    <row r="338">
      <c r="A338" s="58"/>
      <c r="B338" s="58"/>
      <c r="C338" s="58"/>
      <c r="D338" s="58"/>
      <c r="E338" s="58"/>
      <c r="F338" s="58"/>
      <c r="G338" s="58"/>
      <c r="H338" s="58"/>
      <c r="I338" s="58"/>
      <c r="J338" s="58"/>
      <c r="K338" s="58"/>
      <c r="L338" s="58"/>
      <c r="M338" s="58"/>
      <c r="N338" s="58"/>
      <c r="O338" s="58"/>
      <c r="P338" s="58"/>
      <c r="Q338" s="58"/>
      <c r="R338" s="58"/>
      <c r="S338" s="58"/>
      <c r="T338" s="58"/>
      <c r="U338" s="58"/>
      <c r="V338" s="58"/>
      <c r="W338" s="58"/>
      <c r="X338" s="58"/>
      <c r="Y338" s="58"/>
    </row>
    <row r="339">
      <c r="A339" s="58"/>
      <c r="B339" s="58"/>
      <c r="C339" s="58"/>
      <c r="D339" s="58"/>
      <c r="E339" s="58"/>
      <c r="F339" s="58"/>
      <c r="G339" s="58"/>
      <c r="H339" s="58"/>
      <c r="I339" s="58"/>
      <c r="J339" s="58"/>
      <c r="K339" s="58"/>
      <c r="L339" s="58"/>
      <c r="M339" s="58"/>
      <c r="N339" s="58"/>
      <c r="O339" s="58"/>
      <c r="P339" s="58"/>
      <c r="Q339" s="58"/>
      <c r="R339" s="58"/>
      <c r="S339" s="58"/>
      <c r="T339" s="58"/>
      <c r="U339" s="58"/>
      <c r="V339" s="58"/>
      <c r="W339" s="58"/>
      <c r="X339" s="58"/>
      <c r="Y339" s="58"/>
    </row>
    <row r="340">
      <c r="A340" s="58"/>
      <c r="B340" s="58"/>
      <c r="C340" s="58"/>
      <c r="D340" s="58"/>
      <c r="E340" s="58"/>
      <c r="F340" s="58"/>
      <c r="G340" s="58"/>
      <c r="H340" s="58"/>
      <c r="I340" s="58"/>
      <c r="J340" s="58"/>
      <c r="K340" s="58"/>
      <c r="L340" s="58"/>
      <c r="M340" s="58"/>
      <c r="N340" s="58"/>
      <c r="O340" s="58"/>
      <c r="P340" s="58"/>
      <c r="Q340" s="58"/>
      <c r="R340" s="58"/>
      <c r="S340" s="58"/>
      <c r="T340" s="58"/>
      <c r="U340" s="58"/>
      <c r="V340" s="58"/>
      <c r="W340" s="58"/>
      <c r="X340" s="58"/>
      <c r="Y340" s="58"/>
    </row>
    <row r="341">
      <c r="A341" s="58"/>
      <c r="B341" s="58"/>
      <c r="C341" s="58"/>
      <c r="D341" s="58"/>
      <c r="E341" s="58"/>
      <c r="F341" s="58"/>
      <c r="G341" s="58"/>
      <c r="H341" s="58"/>
      <c r="I341" s="58"/>
      <c r="J341" s="58"/>
      <c r="K341" s="58"/>
      <c r="L341" s="58"/>
      <c r="M341" s="58"/>
      <c r="N341" s="58"/>
      <c r="O341" s="58"/>
      <c r="P341" s="58"/>
      <c r="Q341" s="58"/>
      <c r="R341" s="58"/>
      <c r="S341" s="58"/>
      <c r="T341" s="58"/>
      <c r="U341" s="58"/>
      <c r="V341" s="58"/>
      <c r="W341" s="58"/>
      <c r="X341" s="58"/>
      <c r="Y341" s="58"/>
    </row>
    <row r="342">
      <c r="A342" s="58"/>
      <c r="B342" s="58"/>
      <c r="C342" s="58"/>
      <c r="D342" s="58"/>
      <c r="E342" s="58"/>
      <c r="F342" s="58"/>
      <c r="G342" s="58"/>
      <c r="H342" s="58"/>
      <c r="I342" s="58"/>
      <c r="J342" s="58"/>
      <c r="K342" s="58"/>
      <c r="L342" s="58"/>
      <c r="M342" s="58"/>
      <c r="N342" s="58"/>
      <c r="O342" s="58"/>
      <c r="P342" s="58"/>
      <c r="Q342" s="58"/>
      <c r="R342" s="58"/>
      <c r="S342" s="58"/>
      <c r="T342" s="58"/>
      <c r="U342" s="58"/>
      <c r="V342" s="58"/>
      <c r="W342" s="58"/>
      <c r="X342" s="58"/>
      <c r="Y342" s="58"/>
    </row>
    <row r="343">
      <c r="A343" s="58"/>
      <c r="B343" s="58"/>
      <c r="C343" s="58"/>
      <c r="D343" s="58"/>
      <c r="E343" s="58"/>
      <c r="F343" s="58"/>
      <c r="G343" s="58"/>
      <c r="H343" s="58"/>
      <c r="I343" s="58"/>
      <c r="J343" s="58"/>
      <c r="K343" s="58"/>
      <c r="L343" s="58"/>
      <c r="M343" s="58"/>
      <c r="N343" s="58"/>
      <c r="O343" s="58"/>
      <c r="P343" s="58"/>
      <c r="Q343" s="58"/>
      <c r="R343" s="58"/>
      <c r="S343" s="58"/>
      <c r="T343" s="58"/>
      <c r="U343" s="58"/>
      <c r="V343" s="58"/>
      <c r="W343" s="58"/>
      <c r="X343" s="58"/>
      <c r="Y343" s="58"/>
    </row>
    <row r="344">
      <c r="A344" s="58"/>
      <c r="B344" s="58"/>
      <c r="C344" s="58"/>
      <c r="D344" s="58"/>
      <c r="E344" s="58"/>
      <c r="F344" s="58"/>
      <c r="G344" s="58"/>
      <c r="H344" s="58"/>
      <c r="I344" s="58"/>
      <c r="J344" s="58"/>
      <c r="K344" s="58"/>
      <c r="L344" s="58"/>
      <c r="M344" s="58"/>
      <c r="N344" s="58"/>
      <c r="O344" s="58"/>
      <c r="P344" s="58"/>
      <c r="Q344" s="58"/>
      <c r="R344" s="58"/>
      <c r="S344" s="58"/>
      <c r="T344" s="58"/>
      <c r="U344" s="58"/>
      <c r="V344" s="58"/>
      <c r="W344" s="58"/>
      <c r="X344" s="58"/>
      <c r="Y344" s="58"/>
    </row>
    <row r="345">
      <c r="A345" s="58"/>
      <c r="B345" s="58"/>
      <c r="C345" s="58"/>
      <c r="D345" s="58"/>
      <c r="E345" s="58"/>
      <c r="F345" s="58"/>
      <c r="G345" s="58"/>
      <c r="H345" s="58"/>
      <c r="I345" s="58"/>
      <c r="J345" s="58"/>
      <c r="K345" s="58"/>
      <c r="L345" s="58"/>
      <c r="M345" s="58"/>
      <c r="N345" s="58"/>
      <c r="O345" s="58"/>
      <c r="P345" s="58"/>
      <c r="Q345" s="58"/>
      <c r="R345" s="58"/>
      <c r="S345" s="58"/>
      <c r="T345" s="58"/>
      <c r="U345" s="58"/>
      <c r="V345" s="58"/>
      <c r="W345" s="58"/>
      <c r="X345" s="58"/>
      <c r="Y345" s="58"/>
    </row>
    <row r="346">
      <c r="A346" s="58"/>
      <c r="B346" s="58"/>
      <c r="C346" s="58"/>
      <c r="D346" s="58"/>
      <c r="E346" s="58"/>
      <c r="F346" s="58"/>
      <c r="G346" s="58"/>
      <c r="H346" s="58"/>
      <c r="I346" s="58"/>
      <c r="J346" s="58"/>
      <c r="K346" s="58"/>
      <c r="L346" s="58"/>
      <c r="M346" s="58"/>
      <c r="N346" s="58"/>
      <c r="O346" s="58"/>
      <c r="P346" s="58"/>
      <c r="Q346" s="58"/>
      <c r="R346" s="58"/>
      <c r="S346" s="58"/>
      <c r="T346" s="58"/>
      <c r="U346" s="58"/>
      <c r="V346" s="58"/>
      <c r="W346" s="58"/>
      <c r="X346" s="58"/>
      <c r="Y346" s="58"/>
    </row>
    <row r="347">
      <c r="A347" s="58"/>
      <c r="B347" s="58"/>
      <c r="C347" s="58"/>
      <c r="D347" s="58"/>
      <c r="E347" s="58"/>
      <c r="F347" s="58"/>
      <c r="G347" s="58"/>
      <c r="H347" s="58"/>
      <c r="I347" s="58"/>
      <c r="J347" s="58"/>
      <c r="K347" s="58"/>
      <c r="L347" s="58"/>
      <c r="M347" s="58"/>
      <c r="N347" s="58"/>
      <c r="O347" s="58"/>
      <c r="P347" s="58"/>
      <c r="Q347" s="58"/>
      <c r="R347" s="58"/>
      <c r="S347" s="58"/>
      <c r="T347" s="58"/>
      <c r="U347" s="58"/>
      <c r="V347" s="58"/>
      <c r="W347" s="58"/>
      <c r="X347" s="58"/>
      <c r="Y347" s="58"/>
    </row>
    <row r="348">
      <c r="A348" s="58"/>
      <c r="B348" s="58"/>
      <c r="C348" s="58"/>
      <c r="D348" s="58"/>
      <c r="E348" s="58"/>
      <c r="F348" s="58"/>
      <c r="G348" s="58"/>
      <c r="H348" s="58"/>
      <c r="I348" s="58"/>
      <c r="J348" s="58"/>
      <c r="K348" s="58"/>
      <c r="L348" s="58"/>
      <c r="M348" s="58"/>
      <c r="N348" s="58"/>
      <c r="O348" s="58"/>
      <c r="P348" s="58"/>
      <c r="Q348" s="58"/>
      <c r="R348" s="58"/>
      <c r="S348" s="58"/>
      <c r="T348" s="58"/>
      <c r="U348" s="58"/>
      <c r="V348" s="58"/>
      <c r="W348" s="58"/>
      <c r="X348" s="58"/>
      <c r="Y348" s="58"/>
    </row>
    <row r="349">
      <c r="A349" s="58"/>
      <c r="B349" s="58"/>
      <c r="C349" s="58"/>
      <c r="D349" s="58"/>
      <c r="E349" s="58"/>
      <c r="F349" s="58"/>
      <c r="G349" s="58"/>
      <c r="H349" s="58"/>
      <c r="I349" s="58"/>
      <c r="J349" s="58"/>
      <c r="K349" s="58"/>
      <c r="L349" s="58"/>
      <c r="M349" s="58"/>
      <c r="N349" s="58"/>
      <c r="O349" s="58"/>
      <c r="P349" s="58"/>
      <c r="Q349" s="58"/>
      <c r="R349" s="58"/>
      <c r="S349" s="58"/>
      <c r="T349" s="58"/>
      <c r="U349" s="58"/>
      <c r="V349" s="58"/>
      <c r="W349" s="58"/>
      <c r="X349" s="58"/>
      <c r="Y349" s="58"/>
    </row>
    <row r="350">
      <c r="A350" s="58"/>
      <c r="B350" s="58"/>
      <c r="C350" s="58"/>
      <c r="D350" s="58"/>
      <c r="E350" s="58"/>
      <c r="F350" s="58"/>
      <c r="G350" s="58"/>
      <c r="H350" s="58"/>
      <c r="I350" s="58"/>
      <c r="J350" s="58"/>
      <c r="K350" s="58"/>
      <c r="L350" s="58"/>
      <c r="M350" s="58"/>
      <c r="N350" s="58"/>
      <c r="O350" s="58"/>
      <c r="P350" s="58"/>
      <c r="Q350" s="58"/>
      <c r="R350" s="58"/>
      <c r="S350" s="58"/>
      <c r="T350" s="58"/>
      <c r="U350" s="58"/>
      <c r="V350" s="58"/>
      <c r="W350" s="58"/>
      <c r="X350" s="58"/>
      <c r="Y350" s="58"/>
    </row>
    <row r="351">
      <c r="A351" s="58"/>
      <c r="B351" s="58"/>
      <c r="C351" s="58"/>
      <c r="D351" s="58"/>
      <c r="E351" s="58"/>
      <c r="F351" s="58"/>
      <c r="G351" s="58"/>
      <c r="H351" s="58"/>
      <c r="I351" s="58"/>
      <c r="J351" s="58"/>
      <c r="K351" s="58"/>
      <c r="L351" s="58"/>
      <c r="M351" s="58"/>
      <c r="N351" s="58"/>
      <c r="O351" s="58"/>
      <c r="P351" s="58"/>
      <c r="Q351" s="58"/>
      <c r="R351" s="58"/>
      <c r="S351" s="58"/>
      <c r="T351" s="58"/>
      <c r="U351" s="58"/>
      <c r="V351" s="58"/>
      <c r="W351" s="58"/>
      <c r="X351" s="58"/>
      <c r="Y351" s="58"/>
    </row>
    <row r="352">
      <c r="A352" s="58"/>
      <c r="B352" s="58"/>
      <c r="C352" s="58"/>
      <c r="D352" s="58"/>
      <c r="E352" s="58"/>
      <c r="F352" s="58"/>
      <c r="G352" s="58"/>
      <c r="H352" s="58"/>
      <c r="I352" s="58"/>
      <c r="J352" s="58"/>
      <c r="K352" s="58"/>
      <c r="L352" s="58"/>
      <c r="M352" s="58"/>
      <c r="N352" s="58"/>
      <c r="O352" s="58"/>
      <c r="P352" s="58"/>
      <c r="Q352" s="58"/>
      <c r="R352" s="58"/>
      <c r="S352" s="58"/>
      <c r="T352" s="58"/>
      <c r="U352" s="58"/>
      <c r="V352" s="58"/>
      <c r="W352" s="58"/>
      <c r="X352" s="58"/>
      <c r="Y352" s="58"/>
    </row>
    <row r="353">
      <c r="A353" s="58"/>
      <c r="B353" s="58"/>
      <c r="C353" s="58"/>
      <c r="D353" s="58"/>
      <c r="E353" s="58"/>
      <c r="F353" s="58"/>
      <c r="G353" s="58"/>
      <c r="H353" s="58"/>
      <c r="I353" s="58"/>
      <c r="J353" s="58"/>
      <c r="K353" s="58"/>
      <c r="L353" s="58"/>
      <c r="M353" s="58"/>
      <c r="N353" s="58"/>
      <c r="O353" s="58"/>
      <c r="P353" s="58"/>
      <c r="Q353" s="58"/>
      <c r="R353" s="58"/>
      <c r="S353" s="58"/>
      <c r="T353" s="58"/>
      <c r="U353" s="58"/>
      <c r="V353" s="58"/>
      <c r="W353" s="58"/>
      <c r="X353" s="58"/>
      <c r="Y353" s="58"/>
    </row>
    <row r="354">
      <c r="A354" s="58"/>
      <c r="B354" s="58"/>
      <c r="C354" s="58"/>
      <c r="D354" s="58"/>
      <c r="E354" s="58"/>
      <c r="F354" s="58"/>
      <c r="G354" s="58"/>
      <c r="H354" s="58"/>
      <c r="I354" s="58"/>
      <c r="J354" s="58"/>
      <c r="K354" s="58"/>
      <c r="L354" s="58"/>
      <c r="M354" s="58"/>
      <c r="N354" s="58"/>
      <c r="O354" s="58"/>
      <c r="P354" s="58"/>
      <c r="Q354" s="58"/>
      <c r="R354" s="58"/>
      <c r="S354" s="58"/>
      <c r="T354" s="58"/>
      <c r="U354" s="58"/>
      <c r="V354" s="58"/>
      <c r="W354" s="58"/>
      <c r="X354" s="58"/>
      <c r="Y354" s="58"/>
    </row>
    <row r="355">
      <c r="A355" s="58"/>
      <c r="B355" s="58"/>
      <c r="C355" s="58"/>
      <c r="D355" s="58"/>
      <c r="E355" s="58"/>
      <c r="F355" s="58"/>
      <c r="G355" s="58"/>
      <c r="H355" s="58"/>
      <c r="I355" s="58"/>
      <c r="J355" s="58"/>
      <c r="K355" s="58"/>
      <c r="L355" s="58"/>
      <c r="M355" s="58"/>
      <c r="N355" s="58"/>
      <c r="O355" s="58"/>
      <c r="P355" s="58"/>
      <c r="Q355" s="58"/>
      <c r="R355" s="58"/>
      <c r="S355" s="58"/>
      <c r="T355" s="58"/>
      <c r="U355" s="58"/>
      <c r="V355" s="58"/>
      <c r="W355" s="58"/>
      <c r="X355" s="58"/>
      <c r="Y355" s="58"/>
    </row>
    <row r="356">
      <c r="A356" s="58"/>
      <c r="B356" s="58"/>
      <c r="C356" s="58"/>
      <c r="D356" s="58"/>
      <c r="E356" s="58"/>
      <c r="F356" s="58"/>
      <c r="G356" s="58"/>
      <c r="H356" s="58"/>
      <c r="I356" s="58"/>
      <c r="J356" s="58"/>
      <c r="K356" s="58"/>
      <c r="L356" s="58"/>
      <c r="M356" s="58"/>
      <c r="N356" s="58"/>
      <c r="O356" s="58"/>
      <c r="P356" s="58"/>
      <c r="Q356" s="58"/>
      <c r="R356" s="58"/>
      <c r="S356" s="58"/>
      <c r="T356" s="58"/>
      <c r="U356" s="58"/>
      <c r="V356" s="58"/>
      <c r="W356" s="58"/>
      <c r="X356" s="58"/>
      <c r="Y356" s="58"/>
    </row>
    <row r="357">
      <c r="A357" s="58"/>
      <c r="B357" s="58"/>
      <c r="C357" s="58"/>
      <c r="D357" s="58"/>
      <c r="E357" s="58"/>
      <c r="F357" s="58"/>
      <c r="G357" s="58"/>
      <c r="H357" s="58"/>
      <c r="I357" s="58"/>
      <c r="J357" s="58"/>
      <c r="K357" s="58"/>
      <c r="L357" s="58"/>
      <c r="M357" s="58"/>
      <c r="N357" s="58"/>
      <c r="O357" s="58"/>
      <c r="P357" s="58"/>
      <c r="Q357" s="58"/>
      <c r="R357" s="58"/>
      <c r="S357" s="58"/>
      <c r="T357" s="58"/>
      <c r="U357" s="58"/>
      <c r="V357" s="58"/>
      <c r="W357" s="58"/>
      <c r="X357" s="58"/>
      <c r="Y357" s="58"/>
    </row>
    <row r="358">
      <c r="A358" s="58"/>
      <c r="B358" s="58"/>
      <c r="C358" s="58"/>
      <c r="D358" s="58"/>
      <c r="E358" s="58"/>
      <c r="F358" s="58"/>
      <c r="G358" s="58"/>
      <c r="H358" s="58"/>
      <c r="I358" s="58"/>
      <c r="J358" s="58"/>
      <c r="K358" s="58"/>
      <c r="L358" s="58"/>
      <c r="M358" s="58"/>
      <c r="N358" s="58"/>
      <c r="O358" s="58"/>
      <c r="P358" s="58"/>
      <c r="Q358" s="58"/>
      <c r="R358" s="58"/>
      <c r="S358" s="58"/>
      <c r="T358" s="58"/>
      <c r="U358" s="58"/>
      <c r="V358" s="58"/>
      <c r="W358" s="58"/>
      <c r="X358" s="58"/>
      <c r="Y358" s="58"/>
    </row>
    <row r="359">
      <c r="A359" s="58"/>
      <c r="B359" s="58"/>
      <c r="C359" s="58"/>
      <c r="D359" s="58"/>
      <c r="E359" s="58"/>
      <c r="F359" s="58"/>
      <c r="G359" s="58"/>
      <c r="H359" s="58"/>
      <c r="I359" s="58"/>
      <c r="J359" s="58"/>
      <c r="K359" s="58"/>
      <c r="L359" s="58"/>
      <c r="M359" s="58"/>
      <c r="N359" s="58"/>
      <c r="O359" s="58"/>
      <c r="P359" s="58"/>
      <c r="Q359" s="58"/>
      <c r="R359" s="58"/>
      <c r="S359" s="58"/>
      <c r="T359" s="58"/>
      <c r="U359" s="58"/>
      <c r="V359" s="58"/>
      <c r="W359" s="58"/>
      <c r="X359" s="58"/>
      <c r="Y359" s="58"/>
    </row>
    <row r="360">
      <c r="A360" s="58"/>
      <c r="B360" s="58"/>
      <c r="C360" s="58"/>
      <c r="D360" s="58"/>
      <c r="E360" s="58"/>
      <c r="F360" s="58"/>
      <c r="G360" s="58"/>
      <c r="H360" s="58"/>
      <c r="I360" s="58"/>
      <c r="J360" s="58"/>
      <c r="K360" s="58"/>
      <c r="L360" s="58"/>
      <c r="M360" s="58"/>
      <c r="N360" s="58"/>
      <c r="O360" s="58"/>
      <c r="P360" s="58"/>
      <c r="Q360" s="58"/>
      <c r="R360" s="58"/>
      <c r="S360" s="58"/>
      <c r="T360" s="58"/>
      <c r="U360" s="58"/>
      <c r="V360" s="58"/>
      <c r="W360" s="58"/>
      <c r="X360" s="58"/>
      <c r="Y360" s="58"/>
    </row>
    <row r="361">
      <c r="A361" s="58"/>
      <c r="B361" s="58"/>
      <c r="C361" s="58"/>
      <c r="D361" s="58"/>
      <c r="E361" s="58"/>
      <c r="F361" s="58"/>
      <c r="G361" s="58"/>
      <c r="H361" s="58"/>
      <c r="I361" s="58"/>
      <c r="J361" s="58"/>
      <c r="K361" s="58"/>
      <c r="L361" s="58"/>
      <c r="M361" s="58"/>
      <c r="N361" s="58"/>
      <c r="O361" s="58"/>
      <c r="P361" s="58"/>
      <c r="Q361" s="58"/>
      <c r="R361" s="58"/>
      <c r="S361" s="58"/>
      <c r="T361" s="58"/>
      <c r="U361" s="58"/>
      <c r="V361" s="58"/>
      <c r="W361" s="58"/>
      <c r="X361" s="58"/>
      <c r="Y361" s="58"/>
    </row>
    <row r="362">
      <c r="A362" s="58"/>
      <c r="B362" s="58"/>
      <c r="C362" s="58"/>
      <c r="D362" s="58"/>
      <c r="E362" s="58"/>
      <c r="F362" s="58"/>
      <c r="G362" s="58"/>
      <c r="H362" s="58"/>
      <c r="I362" s="58"/>
      <c r="J362" s="58"/>
      <c r="K362" s="58"/>
      <c r="L362" s="58"/>
      <c r="M362" s="58"/>
      <c r="N362" s="58"/>
      <c r="O362" s="58"/>
      <c r="P362" s="58"/>
      <c r="Q362" s="58"/>
      <c r="R362" s="58"/>
      <c r="S362" s="58"/>
      <c r="T362" s="58"/>
      <c r="U362" s="58"/>
      <c r="V362" s="58"/>
      <c r="W362" s="58"/>
      <c r="X362" s="58"/>
      <c r="Y362" s="58"/>
    </row>
    <row r="363">
      <c r="A363" s="58"/>
      <c r="B363" s="58"/>
      <c r="C363" s="58"/>
      <c r="D363" s="58"/>
      <c r="E363" s="58"/>
      <c r="F363" s="58"/>
      <c r="G363" s="58"/>
      <c r="H363" s="58"/>
      <c r="I363" s="58"/>
      <c r="J363" s="58"/>
      <c r="K363" s="58"/>
      <c r="L363" s="58"/>
      <c r="M363" s="58"/>
      <c r="N363" s="58"/>
      <c r="O363" s="58"/>
      <c r="P363" s="58"/>
      <c r="Q363" s="58"/>
      <c r="R363" s="58"/>
      <c r="S363" s="58"/>
      <c r="T363" s="58"/>
      <c r="U363" s="58"/>
      <c r="V363" s="58"/>
      <c r="W363" s="58"/>
      <c r="X363" s="58"/>
      <c r="Y363" s="58"/>
    </row>
    <row r="364">
      <c r="A364" s="58"/>
      <c r="B364" s="58"/>
      <c r="C364" s="58"/>
      <c r="D364" s="58"/>
      <c r="E364" s="58"/>
      <c r="F364" s="58"/>
      <c r="G364" s="58"/>
      <c r="H364" s="58"/>
      <c r="I364" s="58"/>
      <c r="J364" s="58"/>
      <c r="K364" s="58"/>
      <c r="L364" s="58"/>
      <c r="M364" s="58"/>
      <c r="N364" s="58"/>
      <c r="O364" s="58"/>
      <c r="P364" s="58"/>
      <c r="Q364" s="58"/>
      <c r="R364" s="58"/>
      <c r="S364" s="58"/>
      <c r="T364" s="58"/>
      <c r="U364" s="58"/>
      <c r="V364" s="58"/>
      <c r="W364" s="58"/>
      <c r="X364" s="58"/>
      <c r="Y364" s="58"/>
    </row>
    <row r="365">
      <c r="A365" s="58"/>
      <c r="B365" s="58"/>
      <c r="C365" s="58"/>
      <c r="D365" s="58"/>
      <c r="E365" s="58"/>
      <c r="F365" s="58"/>
      <c r="G365" s="58"/>
      <c r="H365" s="58"/>
      <c r="I365" s="58"/>
      <c r="J365" s="58"/>
      <c r="K365" s="58"/>
      <c r="L365" s="58"/>
      <c r="M365" s="58"/>
      <c r="N365" s="58"/>
      <c r="O365" s="58"/>
      <c r="P365" s="58"/>
      <c r="Q365" s="58"/>
      <c r="R365" s="58"/>
      <c r="S365" s="58"/>
      <c r="T365" s="58"/>
      <c r="U365" s="58"/>
      <c r="V365" s="58"/>
      <c r="W365" s="58"/>
      <c r="X365" s="58"/>
      <c r="Y365" s="58"/>
    </row>
    <row r="366">
      <c r="A366" s="58"/>
      <c r="B366" s="58"/>
      <c r="C366" s="58"/>
      <c r="D366" s="58"/>
      <c r="E366" s="58"/>
      <c r="F366" s="58"/>
      <c r="G366" s="58"/>
      <c r="H366" s="58"/>
      <c r="I366" s="58"/>
      <c r="J366" s="58"/>
      <c r="K366" s="58"/>
      <c r="L366" s="58"/>
      <c r="M366" s="58"/>
      <c r="N366" s="58"/>
      <c r="O366" s="58"/>
      <c r="P366" s="58"/>
      <c r="Q366" s="58"/>
      <c r="R366" s="58"/>
      <c r="S366" s="58"/>
      <c r="T366" s="58"/>
      <c r="U366" s="58"/>
      <c r="V366" s="58"/>
      <c r="W366" s="58"/>
      <c r="X366" s="58"/>
      <c r="Y366" s="58"/>
    </row>
    <row r="367">
      <c r="A367" s="58"/>
      <c r="B367" s="58"/>
      <c r="C367" s="58"/>
      <c r="D367" s="58"/>
      <c r="E367" s="58"/>
      <c r="F367" s="58"/>
      <c r="G367" s="58"/>
      <c r="H367" s="58"/>
      <c r="I367" s="58"/>
      <c r="J367" s="58"/>
      <c r="K367" s="58"/>
      <c r="L367" s="58"/>
      <c r="M367" s="58"/>
      <c r="N367" s="58"/>
      <c r="O367" s="58"/>
      <c r="P367" s="58"/>
      <c r="Q367" s="58"/>
      <c r="R367" s="58"/>
      <c r="S367" s="58"/>
      <c r="T367" s="58"/>
      <c r="U367" s="58"/>
      <c r="V367" s="58"/>
      <c r="W367" s="58"/>
      <c r="X367" s="58"/>
      <c r="Y367" s="58"/>
    </row>
    <row r="368">
      <c r="A368" s="58"/>
      <c r="B368" s="58"/>
      <c r="C368" s="58"/>
      <c r="D368" s="58"/>
      <c r="E368" s="58"/>
      <c r="F368" s="58"/>
      <c r="G368" s="58"/>
      <c r="H368" s="58"/>
      <c r="I368" s="58"/>
      <c r="J368" s="58"/>
      <c r="K368" s="58"/>
      <c r="L368" s="58"/>
      <c r="M368" s="58"/>
      <c r="N368" s="58"/>
      <c r="O368" s="58"/>
      <c r="P368" s="58"/>
      <c r="Q368" s="58"/>
      <c r="R368" s="58"/>
      <c r="S368" s="58"/>
      <c r="T368" s="58"/>
      <c r="U368" s="58"/>
      <c r="V368" s="58"/>
      <c r="W368" s="58"/>
      <c r="X368" s="58"/>
      <c r="Y368" s="58"/>
    </row>
    <row r="369">
      <c r="A369" s="58"/>
      <c r="B369" s="58"/>
      <c r="C369" s="58"/>
      <c r="D369" s="58"/>
      <c r="E369" s="58"/>
      <c r="F369" s="58"/>
      <c r="G369" s="58"/>
      <c r="H369" s="58"/>
      <c r="I369" s="58"/>
      <c r="J369" s="58"/>
      <c r="K369" s="58"/>
      <c r="L369" s="58"/>
      <c r="M369" s="58"/>
      <c r="N369" s="58"/>
      <c r="O369" s="58"/>
      <c r="P369" s="58"/>
      <c r="Q369" s="58"/>
      <c r="R369" s="58"/>
      <c r="S369" s="58"/>
      <c r="T369" s="58"/>
      <c r="U369" s="58"/>
      <c r="V369" s="58"/>
      <c r="W369" s="58"/>
      <c r="X369" s="58"/>
      <c r="Y369" s="58"/>
    </row>
    <row r="370">
      <c r="A370" s="58"/>
      <c r="B370" s="58"/>
      <c r="C370" s="58"/>
      <c r="D370" s="58"/>
      <c r="E370" s="58"/>
      <c r="F370" s="58"/>
      <c r="G370" s="58"/>
      <c r="H370" s="58"/>
      <c r="I370" s="58"/>
      <c r="J370" s="58"/>
      <c r="K370" s="58"/>
      <c r="L370" s="58"/>
      <c r="M370" s="58"/>
      <c r="N370" s="58"/>
      <c r="O370" s="58"/>
      <c r="P370" s="58"/>
      <c r="Q370" s="58"/>
      <c r="R370" s="58"/>
      <c r="S370" s="58"/>
      <c r="T370" s="58"/>
      <c r="U370" s="58"/>
      <c r="V370" s="58"/>
      <c r="W370" s="58"/>
      <c r="X370" s="58"/>
      <c r="Y370" s="58"/>
    </row>
    <row r="371">
      <c r="A371" s="58"/>
      <c r="B371" s="58"/>
      <c r="C371" s="58"/>
      <c r="D371" s="58"/>
      <c r="E371" s="58"/>
      <c r="F371" s="58"/>
      <c r="G371" s="58"/>
      <c r="H371" s="58"/>
      <c r="I371" s="58"/>
      <c r="J371" s="58"/>
      <c r="K371" s="58"/>
      <c r="L371" s="58"/>
      <c r="M371" s="58"/>
      <c r="N371" s="58"/>
      <c r="O371" s="58"/>
      <c r="P371" s="58"/>
      <c r="Q371" s="58"/>
      <c r="R371" s="58"/>
      <c r="S371" s="58"/>
      <c r="T371" s="58"/>
      <c r="U371" s="58"/>
      <c r="V371" s="58"/>
      <c r="W371" s="58"/>
      <c r="X371" s="58"/>
      <c r="Y371" s="58"/>
    </row>
    <row r="372">
      <c r="A372" s="58"/>
      <c r="B372" s="58"/>
      <c r="C372" s="58"/>
      <c r="D372" s="58"/>
      <c r="E372" s="58"/>
      <c r="F372" s="58"/>
      <c r="G372" s="58"/>
      <c r="H372" s="58"/>
      <c r="I372" s="58"/>
      <c r="J372" s="58"/>
      <c r="K372" s="58"/>
      <c r="L372" s="58"/>
      <c r="M372" s="58"/>
      <c r="N372" s="58"/>
      <c r="O372" s="58"/>
      <c r="P372" s="58"/>
      <c r="Q372" s="58"/>
      <c r="R372" s="58"/>
      <c r="S372" s="58"/>
      <c r="T372" s="58"/>
      <c r="U372" s="58"/>
      <c r="V372" s="58"/>
      <c r="W372" s="58"/>
      <c r="X372" s="58"/>
      <c r="Y372" s="58"/>
    </row>
    <row r="373">
      <c r="A373" s="58"/>
      <c r="B373" s="58"/>
      <c r="C373" s="58"/>
      <c r="D373" s="58"/>
      <c r="E373" s="58"/>
      <c r="F373" s="58"/>
      <c r="G373" s="58"/>
      <c r="H373" s="58"/>
      <c r="I373" s="58"/>
      <c r="J373" s="58"/>
      <c r="K373" s="58"/>
      <c r="L373" s="58"/>
      <c r="M373" s="58"/>
      <c r="N373" s="58"/>
      <c r="O373" s="58"/>
      <c r="P373" s="58"/>
      <c r="Q373" s="58"/>
      <c r="R373" s="58"/>
      <c r="S373" s="58"/>
      <c r="T373" s="58"/>
      <c r="U373" s="58"/>
      <c r="V373" s="58"/>
      <c r="W373" s="58"/>
      <c r="X373" s="58"/>
      <c r="Y373" s="58"/>
    </row>
    <row r="374">
      <c r="A374" s="58"/>
      <c r="B374" s="58"/>
      <c r="C374" s="58"/>
      <c r="D374" s="58"/>
      <c r="E374" s="58"/>
      <c r="F374" s="58"/>
      <c r="G374" s="58"/>
      <c r="H374" s="58"/>
      <c r="I374" s="58"/>
      <c r="J374" s="58"/>
      <c r="K374" s="58"/>
      <c r="L374" s="58"/>
      <c r="M374" s="58"/>
      <c r="N374" s="58"/>
      <c r="O374" s="58"/>
      <c r="P374" s="58"/>
      <c r="Q374" s="58"/>
      <c r="R374" s="58"/>
      <c r="S374" s="58"/>
      <c r="T374" s="58"/>
      <c r="U374" s="58"/>
      <c r="V374" s="58"/>
      <c r="W374" s="58"/>
      <c r="X374" s="58"/>
      <c r="Y374" s="58"/>
    </row>
    <row r="375">
      <c r="A375" s="58"/>
      <c r="B375" s="58"/>
      <c r="C375" s="58"/>
      <c r="D375" s="58"/>
      <c r="E375" s="58"/>
      <c r="F375" s="58"/>
      <c r="G375" s="58"/>
      <c r="H375" s="58"/>
      <c r="I375" s="58"/>
      <c r="J375" s="58"/>
      <c r="K375" s="58"/>
      <c r="L375" s="58"/>
      <c r="M375" s="58"/>
      <c r="N375" s="58"/>
      <c r="O375" s="58"/>
      <c r="P375" s="58"/>
      <c r="Q375" s="58"/>
      <c r="R375" s="58"/>
      <c r="S375" s="58"/>
      <c r="T375" s="58"/>
      <c r="U375" s="58"/>
      <c r="V375" s="58"/>
      <c r="W375" s="58"/>
      <c r="X375" s="58"/>
      <c r="Y375" s="58"/>
    </row>
    <row r="376">
      <c r="A376" s="58"/>
      <c r="B376" s="58"/>
      <c r="C376" s="58"/>
      <c r="D376" s="58"/>
      <c r="E376" s="58"/>
      <c r="F376" s="58"/>
      <c r="G376" s="58"/>
      <c r="H376" s="58"/>
      <c r="I376" s="58"/>
      <c r="J376" s="58"/>
      <c r="K376" s="58"/>
      <c r="L376" s="58"/>
      <c r="M376" s="58"/>
      <c r="N376" s="58"/>
      <c r="O376" s="58"/>
      <c r="P376" s="58"/>
      <c r="Q376" s="58"/>
      <c r="R376" s="58"/>
      <c r="S376" s="58"/>
      <c r="T376" s="58"/>
      <c r="U376" s="58"/>
      <c r="V376" s="58"/>
      <c r="W376" s="58"/>
      <c r="X376" s="58"/>
      <c r="Y376" s="58"/>
    </row>
    <row r="377">
      <c r="A377" s="58"/>
      <c r="B377" s="58"/>
      <c r="C377" s="58"/>
      <c r="D377" s="58"/>
      <c r="E377" s="58"/>
      <c r="F377" s="58"/>
      <c r="G377" s="58"/>
      <c r="H377" s="58"/>
      <c r="I377" s="58"/>
      <c r="J377" s="58"/>
      <c r="K377" s="58"/>
      <c r="L377" s="58"/>
      <c r="M377" s="58"/>
      <c r="N377" s="58"/>
      <c r="O377" s="58"/>
      <c r="P377" s="58"/>
      <c r="Q377" s="58"/>
      <c r="R377" s="58"/>
      <c r="S377" s="58"/>
      <c r="T377" s="58"/>
      <c r="U377" s="58"/>
      <c r="V377" s="58"/>
      <c r="W377" s="58"/>
      <c r="X377" s="58"/>
      <c r="Y377" s="58"/>
    </row>
    <row r="378">
      <c r="A378" s="58"/>
      <c r="B378" s="58"/>
      <c r="C378" s="58"/>
      <c r="D378" s="58"/>
      <c r="E378" s="58"/>
      <c r="F378" s="58"/>
      <c r="G378" s="58"/>
      <c r="H378" s="58"/>
      <c r="I378" s="58"/>
      <c r="J378" s="58"/>
      <c r="K378" s="58"/>
      <c r="L378" s="58"/>
      <c r="M378" s="58"/>
      <c r="N378" s="58"/>
      <c r="O378" s="58"/>
      <c r="P378" s="58"/>
      <c r="Q378" s="58"/>
      <c r="R378" s="58"/>
      <c r="S378" s="58"/>
      <c r="T378" s="58"/>
      <c r="U378" s="58"/>
      <c r="V378" s="58"/>
      <c r="W378" s="58"/>
      <c r="X378" s="58"/>
      <c r="Y378" s="58"/>
    </row>
    <row r="379">
      <c r="A379" s="58"/>
      <c r="B379" s="58"/>
      <c r="C379" s="58"/>
      <c r="D379" s="58"/>
      <c r="E379" s="58"/>
      <c r="F379" s="58"/>
      <c r="G379" s="58"/>
      <c r="H379" s="58"/>
      <c r="I379" s="58"/>
      <c r="J379" s="58"/>
      <c r="K379" s="58"/>
      <c r="L379" s="58"/>
      <c r="M379" s="58"/>
      <c r="N379" s="58"/>
      <c r="O379" s="58"/>
      <c r="P379" s="58"/>
      <c r="Q379" s="58"/>
      <c r="R379" s="58"/>
      <c r="S379" s="58"/>
      <c r="T379" s="58"/>
      <c r="U379" s="58"/>
      <c r="V379" s="58"/>
      <c r="W379" s="58"/>
      <c r="X379" s="58"/>
      <c r="Y379" s="58"/>
    </row>
    <row r="380">
      <c r="A380" s="58"/>
      <c r="B380" s="58"/>
      <c r="C380" s="58"/>
      <c r="D380" s="58"/>
      <c r="E380" s="58"/>
      <c r="F380" s="58"/>
      <c r="G380" s="58"/>
      <c r="H380" s="58"/>
      <c r="I380" s="58"/>
      <c r="J380" s="58"/>
      <c r="K380" s="58"/>
      <c r="L380" s="58"/>
      <c r="M380" s="58"/>
      <c r="N380" s="58"/>
      <c r="O380" s="58"/>
      <c r="P380" s="58"/>
      <c r="Q380" s="58"/>
      <c r="R380" s="58"/>
      <c r="S380" s="58"/>
      <c r="T380" s="58"/>
      <c r="U380" s="58"/>
      <c r="V380" s="58"/>
      <c r="W380" s="58"/>
      <c r="X380" s="58"/>
      <c r="Y380" s="58"/>
    </row>
    <row r="381">
      <c r="A381" s="58"/>
      <c r="B381" s="58"/>
      <c r="C381" s="58"/>
      <c r="D381" s="58"/>
      <c r="E381" s="58"/>
      <c r="F381" s="58"/>
      <c r="G381" s="58"/>
      <c r="H381" s="58"/>
      <c r="I381" s="58"/>
      <c r="J381" s="58"/>
      <c r="K381" s="58"/>
      <c r="L381" s="58"/>
      <c r="M381" s="58"/>
      <c r="N381" s="58"/>
      <c r="O381" s="58"/>
      <c r="P381" s="58"/>
      <c r="Q381" s="58"/>
      <c r="R381" s="58"/>
      <c r="S381" s="58"/>
      <c r="T381" s="58"/>
      <c r="U381" s="58"/>
      <c r="V381" s="58"/>
      <c r="W381" s="58"/>
      <c r="X381" s="58"/>
      <c r="Y381" s="58"/>
    </row>
    <row r="382">
      <c r="A382" s="58"/>
      <c r="B382" s="58"/>
      <c r="C382" s="58"/>
      <c r="D382" s="58"/>
      <c r="E382" s="58"/>
      <c r="F382" s="58"/>
      <c r="G382" s="58"/>
      <c r="H382" s="58"/>
      <c r="I382" s="58"/>
      <c r="J382" s="58"/>
      <c r="K382" s="58"/>
      <c r="L382" s="58"/>
      <c r="M382" s="58"/>
      <c r="N382" s="58"/>
      <c r="O382" s="58"/>
      <c r="P382" s="58"/>
      <c r="Q382" s="58"/>
      <c r="R382" s="58"/>
      <c r="S382" s="58"/>
      <c r="T382" s="58"/>
      <c r="U382" s="58"/>
      <c r="V382" s="58"/>
      <c r="W382" s="58"/>
      <c r="X382" s="58"/>
      <c r="Y382" s="58"/>
    </row>
    <row r="383">
      <c r="A383" s="58"/>
      <c r="B383" s="58"/>
      <c r="C383" s="58"/>
      <c r="D383" s="58"/>
      <c r="E383" s="58"/>
      <c r="F383" s="58"/>
      <c r="G383" s="58"/>
      <c r="H383" s="58"/>
      <c r="I383" s="58"/>
      <c r="J383" s="58"/>
      <c r="K383" s="58"/>
      <c r="L383" s="58"/>
      <c r="M383" s="58"/>
      <c r="N383" s="58"/>
      <c r="O383" s="58"/>
      <c r="P383" s="58"/>
      <c r="Q383" s="58"/>
      <c r="R383" s="58"/>
      <c r="S383" s="58"/>
      <c r="T383" s="58"/>
      <c r="U383" s="58"/>
      <c r="V383" s="58"/>
      <c r="W383" s="58"/>
      <c r="X383" s="58"/>
      <c r="Y383" s="58"/>
    </row>
    <row r="384">
      <c r="A384" s="58"/>
      <c r="B384" s="58"/>
      <c r="C384" s="58"/>
      <c r="D384" s="58"/>
      <c r="E384" s="58"/>
      <c r="F384" s="58"/>
      <c r="G384" s="58"/>
      <c r="H384" s="58"/>
      <c r="I384" s="58"/>
      <c r="J384" s="58"/>
      <c r="K384" s="58"/>
      <c r="L384" s="58"/>
      <c r="M384" s="58"/>
      <c r="N384" s="58"/>
      <c r="O384" s="58"/>
      <c r="P384" s="58"/>
      <c r="Q384" s="58"/>
      <c r="R384" s="58"/>
      <c r="S384" s="58"/>
      <c r="T384" s="58"/>
      <c r="U384" s="58"/>
      <c r="V384" s="58"/>
      <c r="W384" s="58"/>
      <c r="X384" s="58"/>
      <c r="Y384" s="58"/>
    </row>
    <row r="385">
      <c r="A385" s="58"/>
      <c r="B385" s="58"/>
      <c r="C385" s="58"/>
      <c r="D385" s="58"/>
      <c r="E385" s="58"/>
      <c r="F385" s="58"/>
      <c r="G385" s="58"/>
      <c r="H385" s="58"/>
      <c r="I385" s="58"/>
      <c r="J385" s="58"/>
      <c r="K385" s="58"/>
      <c r="L385" s="58"/>
      <c r="M385" s="58"/>
      <c r="N385" s="58"/>
      <c r="O385" s="58"/>
      <c r="P385" s="58"/>
      <c r="Q385" s="58"/>
      <c r="R385" s="58"/>
      <c r="S385" s="58"/>
      <c r="T385" s="58"/>
      <c r="U385" s="58"/>
      <c r="V385" s="58"/>
      <c r="W385" s="58"/>
      <c r="X385" s="58"/>
      <c r="Y385" s="58"/>
    </row>
    <row r="386">
      <c r="A386" s="58"/>
      <c r="B386" s="58"/>
      <c r="C386" s="58"/>
      <c r="D386" s="58"/>
      <c r="E386" s="58"/>
      <c r="F386" s="58"/>
      <c r="G386" s="58"/>
      <c r="H386" s="58"/>
      <c r="I386" s="58"/>
      <c r="J386" s="58"/>
      <c r="K386" s="58"/>
      <c r="L386" s="58"/>
      <c r="M386" s="58"/>
      <c r="N386" s="58"/>
      <c r="O386" s="58"/>
      <c r="P386" s="58"/>
      <c r="Q386" s="58"/>
      <c r="R386" s="58"/>
      <c r="S386" s="58"/>
      <c r="T386" s="58"/>
      <c r="U386" s="58"/>
      <c r="V386" s="58"/>
      <c r="W386" s="58"/>
      <c r="X386" s="58"/>
      <c r="Y386" s="58"/>
    </row>
    <row r="387">
      <c r="A387" s="58"/>
      <c r="B387" s="58"/>
      <c r="C387" s="58"/>
      <c r="D387" s="58"/>
      <c r="E387" s="58"/>
      <c r="F387" s="58"/>
      <c r="G387" s="58"/>
      <c r="H387" s="58"/>
      <c r="I387" s="58"/>
      <c r="J387" s="58"/>
      <c r="K387" s="58"/>
      <c r="L387" s="58"/>
      <c r="M387" s="58"/>
      <c r="N387" s="58"/>
      <c r="O387" s="58"/>
      <c r="P387" s="58"/>
      <c r="Q387" s="58"/>
      <c r="R387" s="58"/>
      <c r="S387" s="58"/>
      <c r="T387" s="58"/>
      <c r="U387" s="58"/>
      <c r="V387" s="58"/>
      <c r="W387" s="58"/>
      <c r="X387" s="58"/>
      <c r="Y387" s="58"/>
    </row>
    <row r="388">
      <c r="A388" s="58"/>
      <c r="B388" s="58"/>
      <c r="C388" s="58"/>
      <c r="D388" s="58"/>
      <c r="E388" s="58"/>
      <c r="F388" s="58"/>
      <c r="G388" s="58"/>
      <c r="H388" s="58"/>
      <c r="I388" s="58"/>
      <c r="J388" s="58"/>
      <c r="K388" s="58"/>
      <c r="L388" s="58"/>
      <c r="M388" s="58"/>
      <c r="N388" s="58"/>
      <c r="O388" s="58"/>
      <c r="P388" s="58"/>
      <c r="Q388" s="58"/>
      <c r="R388" s="58"/>
      <c r="S388" s="58"/>
      <c r="T388" s="58"/>
      <c r="U388" s="58"/>
      <c r="V388" s="58"/>
      <c r="W388" s="58"/>
      <c r="X388" s="58"/>
      <c r="Y388" s="58"/>
    </row>
    <row r="389">
      <c r="A389" s="58"/>
      <c r="B389" s="58"/>
      <c r="C389" s="58"/>
      <c r="D389" s="58"/>
      <c r="E389" s="58"/>
      <c r="F389" s="58"/>
      <c r="G389" s="58"/>
      <c r="H389" s="58"/>
      <c r="I389" s="58"/>
      <c r="J389" s="58"/>
      <c r="K389" s="58"/>
      <c r="L389" s="58"/>
      <c r="M389" s="58"/>
      <c r="N389" s="58"/>
      <c r="O389" s="58"/>
      <c r="P389" s="58"/>
      <c r="Q389" s="58"/>
      <c r="R389" s="58"/>
      <c r="S389" s="58"/>
      <c r="T389" s="58"/>
      <c r="U389" s="58"/>
      <c r="V389" s="58"/>
      <c r="W389" s="58"/>
      <c r="X389" s="58"/>
      <c r="Y389" s="58"/>
    </row>
    <row r="390">
      <c r="A390" s="58"/>
      <c r="B390" s="58"/>
      <c r="C390" s="58"/>
      <c r="D390" s="58"/>
      <c r="E390" s="58"/>
      <c r="F390" s="58"/>
      <c r="G390" s="58"/>
      <c r="H390" s="58"/>
      <c r="I390" s="58"/>
      <c r="J390" s="58"/>
      <c r="K390" s="58"/>
      <c r="L390" s="58"/>
      <c r="M390" s="58"/>
      <c r="N390" s="58"/>
      <c r="O390" s="58"/>
      <c r="P390" s="58"/>
      <c r="Q390" s="58"/>
      <c r="R390" s="58"/>
      <c r="S390" s="58"/>
      <c r="T390" s="58"/>
      <c r="U390" s="58"/>
      <c r="V390" s="58"/>
      <c r="W390" s="58"/>
      <c r="X390" s="58"/>
      <c r="Y390" s="58"/>
    </row>
    <row r="391">
      <c r="A391" s="58"/>
      <c r="B391" s="58"/>
      <c r="C391" s="58"/>
      <c r="D391" s="58"/>
      <c r="E391" s="58"/>
      <c r="F391" s="58"/>
      <c r="G391" s="58"/>
      <c r="H391" s="58"/>
      <c r="I391" s="58"/>
      <c r="J391" s="58"/>
      <c r="K391" s="58"/>
      <c r="L391" s="58"/>
      <c r="M391" s="58"/>
      <c r="N391" s="58"/>
      <c r="O391" s="58"/>
      <c r="P391" s="58"/>
      <c r="Q391" s="58"/>
      <c r="R391" s="58"/>
      <c r="S391" s="58"/>
      <c r="T391" s="58"/>
      <c r="U391" s="58"/>
      <c r="V391" s="58"/>
      <c r="W391" s="58"/>
      <c r="X391" s="58"/>
      <c r="Y391" s="58"/>
    </row>
    <row r="392">
      <c r="A392" s="58"/>
      <c r="B392" s="58"/>
      <c r="C392" s="58"/>
      <c r="D392" s="58"/>
      <c r="E392" s="58"/>
      <c r="F392" s="58"/>
      <c r="G392" s="58"/>
      <c r="H392" s="58"/>
      <c r="I392" s="58"/>
      <c r="J392" s="58"/>
      <c r="K392" s="58"/>
      <c r="L392" s="58"/>
      <c r="M392" s="58"/>
      <c r="N392" s="58"/>
      <c r="O392" s="58"/>
      <c r="P392" s="58"/>
      <c r="Q392" s="58"/>
      <c r="R392" s="58"/>
      <c r="S392" s="58"/>
      <c r="T392" s="58"/>
      <c r="U392" s="58"/>
      <c r="V392" s="58"/>
      <c r="W392" s="58"/>
      <c r="X392" s="58"/>
      <c r="Y392" s="58"/>
    </row>
    <row r="393">
      <c r="A393" s="58"/>
      <c r="B393" s="58"/>
      <c r="C393" s="58"/>
      <c r="D393" s="58"/>
      <c r="E393" s="58"/>
      <c r="F393" s="58"/>
      <c r="G393" s="58"/>
      <c r="H393" s="58"/>
      <c r="I393" s="58"/>
      <c r="J393" s="58"/>
      <c r="K393" s="58"/>
      <c r="L393" s="58"/>
      <c r="M393" s="58"/>
      <c r="N393" s="58"/>
      <c r="O393" s="58"/>
      <c r="P393" s="58"/>
      <c r="Q393" s="58"/>
      <c r="R393" s="58"/>
      <c r="S393" s="58"/>
      <c r="T393" s="58"/>
      <c r="U393" s="58"/>
      <c r="V393" s="58"/>
      <c r="W393" s="58"/>
      <c r="X393" s="58"/>
      <c r="Y393" s="58"/>
    </row>
    <row r="394">
      <c r="A394" s="58"/>
      <c r="B394" s="58"/>
      <c r="C394" s="58"/>
      <c r="D394" s="58"/>
      <c r="E394" s="58"/>
      <c r="F394" s="58"/>
      <c r="G394" s="58"/>
      <c r="H394" s="58"/>
      <c r="I394" s="58"/>
      <c r="J394" s="58"/>
      <c r="K394" s="58"/>
      <c r="L394" s="58"/>
      <c r="M394" s="58"/>
      <c r="N394" s="58"/>
      <c r="O394" s="58"/>
      <c r="P394" s="58"/>
      <c r="Q394" s="58"/>
      <c r="R394" s="58"/>
      <c r="S394" s="58"/>
      <c r="T394" s="58"/>
      <c r="U394" s="58"/>
      <c r="V394" s="58"/>
      <c r="W394" s="58"/>
      <c r="X394" s="58"/>
      <c r="Y394" s="58"/>
    </row>
    <row r="395">
      <c r="A395" s="58"/>
      <c r="B395" s="58"/>
      <c r="C395" s="58"/>
      <c r="D395" s="58"/>
      <c r="E395" s="58"/>
      <c r="F395" s="58"/>
      <c r="G395" s="58"/>
      <c r="H395" s="58"/>
      <c r="I395" s="58"/>
      <c r="J395" s="58"/>
      <c r="K395" s="58"/>
      <c r="L395" s="58"/>
      <c r="M395" s="58"/>
      <c r="N395" s="58"/>
      <c r="O395" s="58"/>
      <c r="P395" s="58"/>
      <c r="Q395" s="58"/>
      <c r="R395" s="58"/>
      <c r="S395" s="58"/>
      <c r="T395" s="58"/>
      <c r="U395" s="58"/>
      <c r="V395" s="58"/>
      <c r="W395" s="58"/>
      <c r="X395" s="58"/>
      <c r="Y395" s="58"/>
    </row>
    <row r="396">
      <c r="A396" s="58"/>
      <c r="B396" s="58"/>
      <c r="C396" s="58"/>
      <c r="D396" s="58"/>
      <c r="E396" s="58"/>
      <c r="F396" s="58"/>
      <c r="G396" s="58"/>
      <c r="H396" s="58"/>
      <c r="I396" s="58"/>
      <c r="J396" s="58"/>
      <c r="K396" s="58"/>
      <c r="L396" s="58"/>
      <c r="M396" s="58"/>
      <c r="N396" s="58"/>
      <c r="O396" s="58"/>
      <c r="P396" s="58"/>
      <c r="Q396" s="58"/>
      <c r="R396" s="58"/>
      <c r="S396" s="58"/>
      <c r="T396" s="58"/>
      <c r="U396" s="58"/>
      <c r="V396" s="58"/>
      <c r="W396" s="58"/>
      <c r="X396" s="58"/>
      <c r="Y396" s="58"/>
    </row>
    <row r="397">
      <c r="A397" s="58"/>
      <c r="B397" s="58"/>
      <c r="C397" s="58"/>
      <c r="D397" s="58"/>
      <c r="E397" s="58"/>
      <c r="F397" s="58"/>
      <c r="G397" s="58"/>
      <c r="H397" s="58"/>
      <c r="I397" s="58"/>
      <c r="J397" s="58"/>
      <c r="K397" s="58"/>
      <c r="L397" s="58"/>
      <c r="M397" s="58"/>
      <c r="N397" s="58"/>
      <c r="O397" s="58"/>
      <c r="P397" s="58"/>
      <c r="Q397" s="58"/>
      <c r="R397" s="58"/>
      <c r="S397" s="58"/>
      <c r="T397" s="58"/>
      <c r="U397" s="58"/>
      <c r="V397" s="58"/>
      <c r="W397" s="58"/>
      <c r="X397" s="58"/>
      <c r="Y397" s="58"/>
    </row>
    <row r="398">
      <c r="A398" s="58"/>
      <c r="B398" s="58"/>
      <c r="C398" s="58"/>
      <c r="D398" s="58"/>
      <c r="E398" s="58"/>
      <c r="F398" s="58"/>
      <c r="G398" s="58"/>
      <c r="H398" s="58"/>
      <c r="I398" s="58"/>
      <c r="J398" s="58"/>
      <c r="K398" s="58"/>
      <c r="L398" s="58"/>
      <c r="M398" s="58"/>
      <c r="N398" s="58"/>
      <c r="O398" s="58"/>
      <c r="P398" s="58"/>
      <c r="Q398" s="58"/>
      <c r="R398" s="58"/>
      <c r="S398" s="58"/>
      <c r="T398" s="58"/>
      <c r="U398" s="58"/>
      <c r="V398" s="58"/>
      <c r="W398" s="58"/>
      <c r="X398" s="58"/>
      <c r="Y398" s="58"/>
    </row>
    <row r="399">
      <c r="A399" s="58"/>
      <c r="B399" s="58"/>
      <c r="C399" s="58"/>
      <c r="D399" s="58"/>
      <c r="E399" s="58"/>
      <c r="F399" s="58"/>
      <c r="G399" s="58"/>
      <c r="H399" s="58"/>
      <c r="I399" s="58"/>
      <c r="J399" s="58"/>
      <c r="K399" s="58"/>
      <c r="L399" s="58"/>
      <c r="M399" s="58"/>
      <c r="N399" s="58"/>
      <c r="O399" s="58"/>
      <c r="P399" s="58"/>
      <c r="Q399" s="58"/>
      <c r="R399" s="58"/>
      <c r="S399" s="58"/>
      <c r="T399" s="58"/>
      <c r="U399" s="58"/>
      <c r="V399" s="58"/>
      <c r="W399" s="58"/>
      <c r="X399" s="58"/>
      <c r="Y399" s="58"/>
    </row>
    <row r="400">
      <c r="A400" s="58"/>
      <c r="B400" s="58"/>
      <c r="C400" s="58"/>
      <c r="D400" s="58"/>
      <c r="E400" s="58"/>
      <c r="F400" s="58"/>
      <c r="G400" s="58"/>
      <c r="H400" s="58"/>
      <c r="I400" s="58"/>
      <c r="J400" s="58"/>
      <c r="K400" s="58"/>
      <c r="L400" s="58"/>
      <c r="M400" s="58"/>
      <c r="N400" s="58"/>
      <c r="O400" s="58"/>
      <c r="P400" s="58"/>
      <c r="Q400" s="58"/>
      <c r="R400" s="58"/>
      <c r="S400" s="58"/>
      <c r="T400" s="58"/>
      <c r="U400" s="58"/>
      <c r="V400" s="58"/>
      <c r="W400" s="58"/>
      <c r="X400" s="58"/>
      <c r="Y400" s="58"/>
    </row>
    <row r="401">
      <c r="A401" s="58"/>
      <c r="B401" s="58"/>
      <c r="C401" s="58"/>
      <c r="D401" s="58"/>
      <c r="E401" s="58"/>
      <c r="F401" s="58"/>
      <c r="G401" s="58"/>
      <c r="H401" s="58"/>
      <c r="I401" s="58"/>
      <c r="J401" s="58"/>
      <c r="K401" s="58"/>
      <c r="L401" s="58"/>
      <c r="M401" s="58"/>
      <c r="N401" s="58"/>
      <c r="O401" s="58"/>
      <c r="P401" s="58"/>
      <c r="Q401" s="58"/>
      <c r="R401" s="58"/>
      <c r="S401" s="58"/>
      <c r="T401" s="58"/>
      <c r="U401" s="58"/>
      <c r="V401" s="58"/>
      <c r="W401" s="58"/>
      <c r="X401" s="58"/>
      <c r="Y401" s="58"/>
    </row>
    <row r="402">
      <c r="A402" s="58"/>
      <c r="B402" s="58"/>
      <c r="C402" s="58"/>
      <c r="D402" s="58"/>
      <c r="E402" s="58"/>
      <c r="F402" s="58"/>
      <c r="G402" s="58"/>
      <c r="H402" s="58"/>
      <c r="I402" s="58"/>
      <c r="J402" s="58"/>
      <c r="K402" s="58"/>
      <c r="L402" s="58"/>
      <c r="M402" s="58"/>
      <c r="N402" s="58"/>
      <c r="O402" s="58"/>
      <c r="P402" s="58"/>
      <c r="Q402" s="58"/>
      <c r="R402" s="58"/>
      <c r="S402" s="58"/>
      <c r="T402" s="58"/>
      <c r="U402" s="58"/>
      <c r="V402" s="58"/>
      <c r="W402" s="58"/>
      <c r="X402" s="58"/>
      <c r="Y402" s="58"/>
    </row>
    <row r="403">
      <c r="A403" s="58"/>
      <c r="B403" s="58"/>
      <c r="C403" s="58"/>
      <c r="D403" s="58"/>
      <c r="E403" s="58"/>
      <c r="F403" s="58"/>
      <c r="G403" s="58"/>
      <c r="H403" s="58"/>
      <c r="I403" s="58"/>
      <c r="J403" s="58"/>
      <c r="K403" s="58"/>
      <c r="L403" s="58"/>
      <c r="M403" s="58"/>
      <c r="N403" s="58"/>
      <c r="O403" s="58"/>
      <c r="P403" s="58"/>
      <c r="Q403" s="58"/>
      <c r="R403" s="58"/>
      <c r="S403" s="58"/>
      <c r="T403" s="58"/>
      <c r="U403" s="58"/>
      <c r="V403" s="58"/>
      <c r="W403" s="58"/>
      <c r="X403" s="58"/>
      <c r="Y403" s="58"/>
    </row>
    <row r="404">
      <c r="A404" s="58"/>
      <c r="B404" s="58"/>
      <c r="C404" s="58"/>
      <c r="D404" s="58"/>
      <c r="E404" s="58"/>
      <c r="F404" s="58"/>
      <c r="G404" s="58"/>
      <c r="H404" s="58"/>
      <c r="I404" s="58"/>
      <c r="J404" s="58"/>
      <c r="K404" s="58"/>
      <c r="L404" s="58"/>
      <c r="M404" s="58"/>
      <c r="N404" s="58"/>
      <c r="O404" s="58"/>
      <c r="P404" s="58"/>
      <c r="Q404" s="58"/>
      <c r="R404" s="58"/>
      <c r="S404" s="58"/>
      <c r="T404" s="58"/>
      <c r="U404" s="58"/>
      <c r="V404" s="58"/>
      <c r="W404" s="58"/>
      <c r="X404" s="58"/>
      <c r="Y404" s="58"/>
    </row>
    <row r="405">
      <c r="A405" s="58"/>
      <c r="B405" s="58"/>
      <c r="C405" s="58"/>
      <c r="D405" s="58"/>
      <c r="E405" s="58"/>
      <c r="F405" s="58"/>
      <c r="G405" s="58"/>
      <c r="H405" s="58"/>
      <c r="I405" s="58"/>
      <c r="J405" s="58"/>
      <c r="K405" s="58"/>
      <c r="L405" s="58"/>
      <c r="M405" s="58"/>
      <c r="N405" s="58"/>
      <c r="O405" s="58"/>
      <c r="P405" s="58"/>
      <c r="Q405" s="58"/>
      <c r="R405" s="58"/>
      <c r="S405" s="58"/>
      <c r="T405" s="58"/>
      <c r="U405" s="58"/>
      <c r="V405" s="58"/>
      <c r="W405" s="58"/>
      <c r="X405" s="58"/>
      <c r="Y405" s="58"/>
    </row>
    <row r="406">
      <c r="A406" s="58"/>
      <c r="B406" s="58"/>
      <c r="C406" s="58"/>
      <c r="D406" s="58"/>
      <c r="E406" s="58"/>
      <c r="F406" s="58"/>
      <c r="G406" s="58"/>
      <c r="H406" s="58"/>
      <c r="I406" s="58"/>
      <c r="J406" s="58"/>
      <c r="K406" s="58"/>
      <c r="L406" s="58"/>
      <c r="M406" s="58"/>
      <c r="N406" s="58"/>
      <c r="O406" s="58"/>
      <c r="P406" s="58"/>
      <c r="Q406" s="58"/>
      <c r="R406" s="58"/>
      <c r="S406" s="58"/>
      <c r="T406" s="58"/>
      <c r="U406" s="58"/>
      <c r="V406" s="58"/>
      <c r="W406" s="58"/>
      <c r="X406" s="58"/>
      <c r="Y406" s="58"/>
    </row>
    <row r="407">
      <c r="A407" s="58"/>
      <c r="B407" s="58"/>
      <c r="C407" s="58"/>
      <c r="D407" s="58"/>
      <c r="E407" s="58"/>
      <c r="F407" s="58"/>
      <c r="G407" s="58"/>
      <c r="H407" s="58"/>
      <c r="I407" s="58"/>
      <c r="J407" s="58"/>
      <c r="K407" s="58"/>
      <c r="L407" s="58"/>
      <c r="M407" s="58"/>
      <c r="N407" s="58"/>
      <c r="O407" s="58"/>
      <c r="P407" s="58"/>
      <c r="Q407" s="58"/>
      <c r="R407" s="58"/>
      <c r="S407" s="58"/>
      <c r="T407" s="58"/>
      <c r="U407" s="58"/>
      <c r="V407" s="58"/>
      <c r="W407" s="58"/>
      <c r="X407" s="58"/>
      <c r="Y407" s="58"/>
    </row>
    <row r="408">
      <c r="A408" s="58"/>
      <c r="B408" s="58"/>
      <c r="C408" s="58"/>
      <c r="D408" s="58"/>
      <c r="E408" s="58"/>
      <c r="F408" s="58"/>
      <c r="G408" s="58"/>
      <c r="H408" s="58"/>
      <c r="I408" s="58"/>
      <c r="J408" s="58"/>
      <c r="K408" s="58"/>
      <c r="L408" s="58"/>
      <c r="M408" s="58"/>
      <c r="N408" s="58"/>
      <c r="O408" s="58"/>
      <c r="P408" s="58"/>
      <c r="Q408" s="58"/>
      <c r="R408" s="58"/>
      <c r="S408" s="58"/>
      <c r="T408" s="58"/>
      <c r="U408" s="58"/>
      <c r="V408" s="58"/>
      <c r="W408" s="58"/>
      <c r="X408" s="58"/>
      <c r="Y408" s="58"/>
    </row>
    <row r="409">
      <c r="A409" s="58"/>
      <c r="B409" s="58"/>
      <c r="C409" s="58"/>
      <c r="D409" s="58"/>
      <c r="E409" s="58"/>
      <c r="F409" s="58"/>
      <c r="G409" s="58"/>
      <c r="H409" s="58"/>
      <c r="I409" s="58"/>
      <c r="J409" s="58"/>
      <c r="K409" s="58"/>
      <c r="L409" s="58"/>
      <c r="M409" s="58"/>
      <c r="N409" s="58"/>
      <c r="O409" s="58"/>
      <c r="P409" s="58"/>
      <c r="Q409" s="58"/>
      <c r="R409" s="58"/>
      <c r="S409" s="58"/>
      <c r="T409" s="58"/>
      <c r="U409" s="58"/>
      <c r="V409" s="58"/>
      <c r="W409" s="58"/>
      <c r="X409" s="58"/>
      <c r="Y409" s="58"/>
    </row>
    <row r="410">
      <c r="A410" s="58"/>
      <c r="B410" s="58"/>
      <c r="C410" s="58"/>
      <c r="D410" s="58"/>
      <c r="E410" s="58"/>
      <c r="F410" s="58"/>
      <c r="G410" s="58"/>
      <c r="H410" s="58"/>
      <c r="I410" s="58"/>
      <c r="J410" s="58"/>
      <c r="K410" s="58"/>
      <c r="L410" s="58"/>
      <c r="M410" s="58"/>
      <c r="N410" s="58"/>
      <c r="O410" s="58"/>
      <c r="P410" s="58"/>
      <c r="Q410" s="58"/>
      <c r="R410" s="58"/>
      <c r="S410" s="58"/>
      <c r="T410" s="58"/>
      <c r="U410" s="58"/>
      <c r="V410" s="58"/>
      <c r="W410" s="58"/>
      <c r="X410" s="58"/>
      <c r="Y410" s="58"/>
    </row>
    <row r="411">
      <c r="A411" s="58"/>
      <c r="B411" s="58"/>
      <c r="C411" s="58"/>
      <c r="D411" s="58"/>
      <c r="E411" s="58"/>
      <c r="F411" s="58"/>
      <c r="G411" s="58"/>
      <c r="H411" s="58"/>
      <c r="I411" s="58"/>
      <c r="J411" s="58"/>
      <c r="K411" s="58"/>
      <c r="L411" s="58"/>
      <c r="M411" s="58"/>
      <c r="N411" s="58"/>
      <c r="O411" s="58"/>
      <c r="P411" s="58"/>
      <c r="Q411" s="58"/>
      <c r="R411" s="58"/>
      <c r="S411" s="58"/>
      <c r="T411" s="58"/>
      <c r="U411" s="58"/>
      <c r="V411" s="58"/>
      <c r="W411" s="58"/>
      <c r="X411" s="58"/>
      <c r="Y411" s="58"/>
    </row>
    <row r="412">
      <c r="A412" s="58"/>
      <c r="B412" s="58"/>
      <c r="C412" s="58"/>
      <c r="D412" s="58"/>
      <c r="E412" s="58"/>
      <c r="F412" s="58"/>
      <c r="G412" s="58"/>
      <c r="H412" s="58"/>
      <c r="I412" s="58"/>
      <c r="J412" s="58"/>
      <c r="K412" s="58"/>
      <c r="L412" s="58"/>
      <c r="M412" s="58"/>
      <c r="N412" s="58"/>
      <c r="O412" s="58"/>
      <c r="P412" s="58"/>
      <c r="Q412" s="58"/>
      <c r="R412" s="58"/>
      <c r="S412" s="58"/>
      <c r="T412" s="58"/>
      <c r="U412" s="58"/>
      <c r="V412" s="58"/>
      <c r="W412" s="58"/>
      <c r="X412" s="58"/>
      <c r="Y412" s="58"/>
    </row>
    <row r="413">
      <c r="A413" s="58"/>
      <c r="B413" s="58"/>
      <c r="C413" s="58"/>
      <c r="D413" s="58"/>
      <c r="E413" s="58"/>
      <c r="F413" s="58"/>
      <c r="G413" s="58"/>
      <c r="H413" s="58"/>
      <c r="I413" s="58"/>
      <c r="J413" s="58"/>
      <c r="K413" s="58"/>
      <c r="L413" s="58"/>
      <c r="M413" s="58"/>
      <c r="N413" s="58"/>
      <c r="O413" s="58"/>
      <c r="P413" s="58"/>
      <c r="Q413" s="58"/>
      <c r="R413" s="58"/>
      <c r="S413" s="58"/>
      <c r="T413" s="58"/>
      <c r="U413" s="58"/>
      <c r="V413" s="58"/>
      <c r="W413" s="58"/>
      <c r="X413" s="58"/>
      <c r="Y413" s="58"/>
    </row>
    <row r="414">
      <c r="A414" s="58"/>
      <c r="B414" s="58"/>
      <c r="C414" s="58"/>
      <c r="D414" s="58"/>
      <c r="E414" s="58"/>
      <c r="F414" s="58"/>
      <c r="G414" s="58"/>
      <c r="H414" s="58"/>
      <c r="I414" s="58"/>
      <c r="J414" s="58"/>
      <c r="K414" s="58"/>
      <c r="L414" s="58"/>
      <c r="M414" s="58"/>
      <c r="N414" s="58"/>
      <c r="O414" s="58"/>
      <c r="P414" s="58"/>
      <c r="Q414" s="58"/>
      <c r="R414" s="58"/>
      <c r="S414" s="58"/>
      <c r="T414" s="58"/>
      <c r="U414" s="58"/>
      <c r="V414" s="58"/>
      <c r="W414" s="58"/>
      <c r="X414" s="58"/>
      <c r="Y414" s="58"/>
    </row>
    <row r="415">
      <c r="A415" s="58"/>
      <c r="B415" s="58"/>
      <c r="C415" s="58"/>
      <c r="D415" s="58"/>
      <c r="E415" s="58"/>
      <c r="F415" s="58"/>
      <c r="G415" s="58"/>
      <c r="H415" s="58"/>
      <c r="I415" s="58"/>
      <c r="J415" s="58"/>
      <c r="K415" s="58"/>
      <c r="L415" s="58"/>
      <c r="M415" s="58"/>
      <c r="N415" s="58"/>
      <c r="O415" s="58"/>
      <c r="P415" s="58"/>
      <c r="Q415" s="58"/>
      <c r="R415" s="58"/>
      <c r="S415" s="58"/>
      <c r="T415" s="58"/>
      <c r="U415" s="58"/>
      <c r="V415" s="58"/>
      <c r="W415" s="58"/>
      <c r="X415" s="58"/>
      <c r="Y415" s="58"/>
    </row>
    <row r="416">
      <c r="A416" s="58"/>
      <c r="B416" s="58"/>
      <c r="C416" s="58"/>
      <c r="D416" s="58"/>
      <c r="E416" s="58"/>
      <c r="F416" s="58"/>
      <c r="G416" s="58"/>
      <c r="H416" s="58"/>
      <c r="I416" s="58"/>
      <c r="J416" s="58"/>
      <c r="K416" s="58"/>
      <c r="L416" s="58"/>
      <c r="M416" s="58"/>
      <c r="N416" s="58"/>
      <c r="O416" s="58"/>
      <c r="P416" s="58"/>
      <c r="Q416" s="58"/>
      <c r="R416" s="58"/>
      <c r="S416" s="58"/>
      <c r="T416" s="58"/>
      <c r="U416" s="58"/>
      <c r="V416" s="58"/>
      <c r="W416" s="58"/>
      <c r="X416" s="58"/>
      <c r="Y416" s="58"/>
    </row>
    <row r="417">
      <c r="A417" s="58"/>
      <c r="B417" s="58"/>
      <c r="C417" s="58"/>
      <c r="D417" s="58"/>
      <c r="E417" s="58"/>
      <c r="F417" s="58"/>
      <c r="G417" s="58"/>
      <c r="H417" s="58"/>
      <c r="I417" s="58"/>
      <c r="J417" s="58"/>
      <c r="K417" s="58"/>
      <c r="L417" s="58"/>
      <c r="M417" s="58"/>
      <c r="N417" s="58"/>
      <c r="O417" s="58"/>
      <c r="P417" s="58"/>
      <c r="Q417" s="58"/>
      <c r="R417" s="58"/>
      <c r="S417" s="58"/>
      <c r="T417" s="58"/>
      <c r="U417" s="58"/>
      <c r="V417" s="58"/>
      <c r="W417" s="58"/>
      <c r="X417" s="58"/>
      <c r="Y417" s="58"/>
    </row>
    <row r="418">
      <c r="A418" s="58"/>
      <c r="B418" s="58"/>
      <c r="C418" s="58"/>
      <c r="D418" s="58"/>
      <c r="E418" s="58"/>
      <c r="F418" s="58"/>
      <c r="G418" s="58"/>
      <c r="H418" s="58"/>
      <c r="I418" s="58"/>
      <c r="J418" s="58"/>
      <c r="K418" s="58"/>
      <c r="L418" s="58"/>
      <c r="M418" s="58"/>
      <c r="N418" s="58"/>
      <c r="O418" s="58"/>
      <c r="P418" s="58"/>
      <c r="Q418" s="58"/>
      <c r="R418" s="58"/>
      <c r="S418" s="58"/>
      <c r="T418" s="58"/>
      <c r="U418" s="58"/>
      <c r="V418" s="58"/>
      <c r="W418" s="58"/>
      <c r="X418" s="58"/>
      <c r="Y418" s="58"/>
    </row>
    <row r="419">
      <c r="A419" s="58"/>
      <c r="B419" s="58"/>
      <c r="C419" s="58"/>
      <c r="D419" s="58"/>
      <c r="E419" s="58"/>
      <c r="F419" s="58"/>
      <c r="G419" s="58"/>
      <c r="H419" s="58"/>
      <c r="I419" s="58"/>
      <c r="J419" s="58"/>
      <c r="K419" s="58"/>
      <c r="L419" s="58"/>
      <c r="M419" s="58"/>
      <c r="N419" s="58"/>
      <c r="O419" s="58"/>
      <c r="P419" s="58"/>
      <c r="Q419" s="58"/>
      <c r="R419" s="58"/>
      <c r="S419" s="58"/>
      <c r="T419" s="58"/>
      <c r="U419" s="58"/>
      <c r="V419" s="58"/>
      <c r="W419" s="58"/>
      <c r="X419" s="58"/>
      <c r="Y419" s="58"/>
    </row>
    <row r="420">
      <c r="A420" s="58"/>
      <c r="B420" s="58"/>
      <c r="C420" s="58"/>
      <c r="D420" s="58"/>
      <c r="E420" s="58"/>
      <c r="F420" s="58"/>
      <c r="G420" s="58"/>
      <c r="H420" s="58"/>
      <c r="I420" s="58"/>
      <c r="J420" s="58"/>
      <c r="K420" s="58"/>
      <c r="L420" s="58"/>
      <c r="M420" s="58"/>
      <c r="N420" s="58"/>
      <c r="O420" s="58"/>
      <c r="P420" s="58"/>
      <c r="Q420" s="58"/>
      <c r="R420" s="58"/>
      <c r="S420" s="58"/>
      <c r="T420" s="58"/>
      <c r="U420" s="58"/>
      <c r="V420" s="58"/>
      <c r="W420" s="58"/>
      <c r="X420" s="58"/>
      <c r="Y420" s="58"/>
    </row>
    <row r="421">
      <c r="A421" s="58"/>
      <c r="B421" s="58"/>
      <c r="C421" s="58"/>
      <c r="D421" s="58"/>
      <c r="E421" s="58"/>
      <c r="F421" s="58"/>
      <c r="G421" s="58"/>
      <c r="H421" s="58"/>
      <c r="I421" s="58"/>
      <c r="J421" s="58"/>
      <c r="K421" s="58"/>
      <c r="L421" s="58"/>
      <c r="M421" s="58"/>
      <c r="N421" s="58"/>
      <c r="O421" s="58"/>
      <c r="P421" s="58"/>
      <c r="Q421" s="58"/>
      <c r="R421" s="58"/>
      <c r="S421" s="58"/>
      <c r="T421" s="58"/>
      <c r="U421" s="58"/>
      <c r="V421" s="58"/>
      <c r="W421" s="58"/>
      <c r="X421" s="58"/>
      <c r="Y421" s="58"/>
    </row>
    <row r="422">
      <c r="A422" s="58"/>
      <c r="B422" s="58"/>
      <c r="C422" s="58"/>
      <c r="D422" s="58"/>
      <c r="E422" s="58"/>
      <c r="F422" s="58"/>
      <c r="G422" s="58"/>
      <c r="H422" s="58"/>
      <c r="I422" s="58"/>
      <c r="J422" s="58"/>
      <c r="K422" s="58"/>
      <c r="L422" s="58"/>
      <c r="M422" s="58"/>
      <c r="N422" s="58"/>
      <c r="O422" s="58"/>
      <c r="P422" s="58"/>
      <c r="Q422" s="58"/>
      <c r="R422" s="58"/>
      <c r="S422" s="58"/>
      <c r="T422" s="58"/>
      <c r="U422" s="58"/>
      <c r="V422" s="58"/>
      <c r="W422" s="58"/>
      <c r="X422" s="58"/>
      <c r="Y422" s="58"/>
    </row>
    <row r="423">
      <c r="A423" s="58"/>
      <c r="B423" s="58"/>
      <c r="C423" s="58"/>
      <c r="D423" s="58"/>
      <c r="E423" s="58"/>
      <c r="F423" s="58"/>
      <c r="G423" s="58"/>
      <c r="H423" s="58"/>
      <c r="I423" s="58"/>
      <c r="J423" s="58"/>
      <c r="K423" s="58"/>
      <c r="L423" s="58"/>
      <c r="M423" s="58"/>
      <c r="N423" s="58"/>
      <c r="O423" s="58"/>
      <c r="P423" s="58"/>
      <c r="Q423" s="58"/>
      <c r="R423" s="58"/>
      <c r="S423" s="58"/>
      <c r="T423" s="58"/>
      <c r="U423" s="58"/>
      <c r="V423" s="58"/>
      <c r="W423" s="58"/>
      <c r="X423" s="58"/>
      <c r="Y423" s="58"/>
    </row>
    <row r="424">
      <c r="A424" s="58"/>
      <c r="B424" s="58"/>
      <c r="C424" s="58"/>
      <c r="D424" s="58"/>
      <c r="E424" s="58"/>
      <c r="F424" s="58"/>
      <c r="G424" s="58"/>
      <c r="H424" s="58"/>
      <c r="I424" s="58"/>
      <c r="J424" s="58"/>
      <c r="K424" s="58"/>
      <c r="L424" s="58"/>
      <c r="M424" s="58"/>
      <c r="N424" s="58"/>
      <c r="O424" s="58"/>
      <c r="P424" s="58"/>
      <c r="Q424" s="58"/>
      <c r="R424" s="58"/>
      <c r="S424" s="58"/>
      <c r="T424" s="58"/>
      <c r="U424" s="58"/>
      <c r="V424" s="58"/>
      <c r="W424" s="58"/>
      <c r="X424" s="58"/>
      <c r="Y424" s="58"/>
    </row>
    <row r="425">
      <c r="A425" s="58"/>
      <c r="B425" s="58"/>
      <c r="C425" s="58"/>
      <c r="D425" s="58"/>
      <c r="E425" s="58"/>
      <c r="F425" s="58"/>
      <c r="G425" s="58"/>
      <c r="H425" s="58"/>
      <c r="I425" s="58"/>
      <c r="J425" s="58"/>
      <c r="K425" s="58"/>
      <c r="L425" s="58"/>
      <c r="M425" s="58"/>
      <c r="N425" s="58"/>
      <c r="O425" s="58"/>
      <c r="P425" s="58"/>
      <c r="Q425" s="58"/>
      <c r="R425" s="58"/>
      <c r="S425" s="58"/>
      <c r="T425" s="58"/>
      <c r="U425" s="58"/>
      <c r="V425" s="58"/>
      <c r="W425" s="58"/>
      <c r="X425" s="58"/>
      <c r="Y425" s="58"/>
    </row>
    <row r="426">
      <c r="A426" s="58"/>
      <c r="B426" s="58"/>
      <c r="C426" s="58"/>
      <c r="D426" s="58"/>
      <c r="E426" s="58"/>
      <c r="F426" s="58"/>
      <c r="G426" s="58"/>
      <c r="H426" s="58"/>
      <c r="I426" s="58"/>
      <c r="J426" s="58"/>
      <c r="K426" s="58"/>
      <c r="L426" s="58"/>
      <c r="M426" s="58"/>
      <c r="N426" s="58"/>
      <c r="O426" s="58"/>
      <c r="P426" s="58"/>
      <c r="Q426" s="58"/>
      <c r="R426" s="58"/>
      <c r="S426" s="58"/>
      <c r="T426" s="58"/>
      <c r="U426" s="58"/>
      <c r="V426" s="58"/>
      <c r="W426" s="58"/>
      <c r="X426" s="58"/>
      <c r="Y426" s="58"/>
    </row>
    <row r="427">
      <c r="A427" s="58"/>
      <c r="B427" s="58"/>
      <c r="C427" s="58"/>
      <c r="D427" s="58"/>
      <c r="E427" s="58"/>
      <c r="F427" s="58"/>
      <c r="G427" s="58"/>
      <c r="H427" s="58"/>
      <c r="I427" s="58"/>
      <c r="J427" s="58"/>
      <c r="K427" s="58"/>
      <c r="L427" s="58"/>
      <c r="M427" s="58"/>
      <c r="N427" s="58"/>
      <c r="O427" s="58"/>
      <c r="P427" s="58"/>
      <c r="Q427" s="58"/>
      <c r="R427" s="58"/>
      <c r="S427" s="58"/>
      <c r="T427" s="58"/>
      <c r="U427" s="58"/>
      <c r="V427" s="58"/>
      <c r="W427" s="58"/>
      <c r="X427" s="58"/>
      <c r="Y427" s="58"/>
    </row>
    <row r="428">
      <c r="A428" s="58"/>
      <c r="B428" s="58"/>
      <c r="C428" s="58"/>
      <c r="D428" s="58"/>
      <c r="E428" s="58"/>
      <c r="F428" s="58"/>
      <c r="G428" s="58"/>
      <c r="H428" s="58"/>
      <c r="I428" s="58"/>
      <c r="J428" s="58"/>
      <c r="K428" s="58"/>
      <c r="L428" s="58"/>
      <c r="M428" s="58"/>
      <c r="N428" s="58"/>
      <c r="O428" s="58"/>
      <c r="P428" s="58"/>
      <c r="Q428" s="58"/>
      <c r="R428" s="58"/>
      <c r="S428" s="58"/>
      <c r="T428" s="58"/>
      <c r="U428" s="58"/>
      <c r="V428" s="58"/>
      <c r="W428" s="58"/>
      <c r="X428" s="58"/>
      <c r="Y428" s="58"/>
    </row>
    <row r="429">
      <c r="A429" s="58"/>
      <c r="B429" s="58"/>
      <c r="C429" s="58"/>
      <c r="D429" s="58"/>
      <c r="E429" s="58"/>
      <c r="F429" s="58"/>
      <c r="G429" s="58"/>
      <c r="H429" s="58"/>
      <c r="I429" s="58"/>
      <c r="J429" s="58"/>
      <c r="K429" s="58"/>
      <c r="L429" s="58"/>
      <c r="M429" s="58"/>
      <c r="N429" s="58"/>
      <c r="O429" s="58"/>
      <c r="P429" s="58"/>
      <c r="Q429" s="58"/>
      <c r="R429" s="58"/>
      <c r="S429" s="58"/>
      <c r="T429" s="58"/>
      <c r="U429" s="58"/>
      <c r="V429" s="58"/>
      <c r="W429" s="58"/>
      <c r="X429" s="58"/>
      <c r="Y429" s="58"/>
    </row>
    <row r="430">
      <c r="A430" s="58"/>
      <c r="B430" s="58"/>
      <c r="C430" s="58"/>
      <c r="D430" s="58"/>
      <c r="E430" s="58"/>
      <c r="F430" s="58"/>
      <c r="G430" s="58"/>
      <c r="H430" s="58"/>
      <c r="I430" s="58"/>
      <c r="J430" s="58"/>
      <c r="K430" s="58"/>
      <c r="L430" s="58"/>
      <c r="M430" s="58"/>
      <c r="N430" s="58"/>
      <c r="O430" s="58"/>
      <c r="P430" s="58"/>
      <c r="Q430" s="58"/>
      <c r="R430" s="58"/>
      <c r="S430" s="58"/>
      <c r="T430" s="58"/>
      <c r="U430" s="58"/>
      <c r="V430" s="58"/>
      <c r="W430" s="58"/>
      <c r="X430" s="58"/>
      <c r="Y430" s="58"/>
    </row>
    <row r="431">
      <c r="A431" s="58"/>
      <c r="B431" s="58"/>
      <c r="C431" s="58"/>
      <c r="D431" s="58"/>
      <c r="E431" s="58"/>
      <c r="F431" s="58"/>
      <c r="G431" s="58"/>
      <c r="H431" s="58"/>
      <c r="I431" s="58"/>
      <c r="J431" s="58"/>
      <c r="K431" s="58"/>
      <c r="L431" s="58"/>
      <c r="M431" s="58"/>
      <c r="N431" s="58"/>
      <c r="O431" s="58"/>
      <c r="P431" s="58"/>
      <c r="Q431" s="58"/>
      <c r="R431" s="58"/>
      <c r="S431" s="58"/>
      <c r="T431" s="58"/>
      <c r="U431" s="58"/>
      <c r="V431" s="58"/>
      <c r="W431" s="58"/>
      <c r="X431" s="58"/>
      <c r="Y431" s="58"/>
    </row>
    <row r="432">
      <c r="A432" s="58"/>
      <c r="B432" s="58"/>
      <c r="C432" s="58"/>
      <c r="D432" s="58"/>
      <c r="E432" s="58"/>
      <c r="F432" s="58"/>
      <c r="G432" s="58"/>
      <c r="H432" s="58"/>
      <c r="I432" s="58"/>
      <c r="J432" s="58"/>
      <c r="K432" s="58"/>
      <c r="L432" s="58"/>
      <c r="M432" s="58"/>
      <c r="N432" s="58"/>
      <c r="O432" s="58"/>
      <c r="P432" s="58"/>
      <c r="Q432" s="58"/>
      <c r="R432" s="58"/>
      <c r="S432" s="58"/>
      <c r="T432" s="58"/>
      <c r="U432" s="58"/>
      <c r="V432" s="58"/>
      <c r="W432" s="58"/>
      <c r="X432" s="58"/>
      <c r="Y432" s="58"/>
    </row>
    <row r="433">
      <c r="A433" s="58"/>
      <c r="B433" s="58"/>
      <c r="C433" s="58"/>
      <c r="D433" s="58"/>
      <c r="E433" s="58"/>
      <c r="F433" s="58"/>
      <c r="G433" s="58"/>
      <c r="H433" s="58"/>
      <c r="I433" s="58"/>
      <c r="J433" s="58"/>
      <c r="K433" s="58"/>
      <c r="L433" s="58"/>
      <c r="M433" s="58"/>
      <c r="N433" s="58"/>
      <c r="O433" s="58"/>
      <c r="P433" s="58"/>
      <c r="Q433" s="58"/>
      <c r="R433" s="58"/>
      <c r="S433" s="58"/>
      <c r="T433" s="58"/>
      <c r="U433" s="58"/>
      <c r="V433" s="58"/>
      <c r="W433" s="58"/>
      <c r="X433" s="58"/>
      <c r="Y433" s="58"/>
    </row>
    <row r="434">
      <c r="A434" s="58"/>
      <c r="B434" s="58"/>
      <c r="C434" s="58"/>
      <c r="D434" s="58"/>
      <c r="E434" s="58"/>
      <c r="F434" s="58"/>
      <c r="G434" s="58"/>
      <c r="H434" s="58"/>
      <c r="I434" s="58"/>
      <c r="J434" s="58"/>
      <c r="K434" s="58"/>
      <c r="L434" s="58"/>
      <c r="M434" s="58"/>
      <c r="N434" s="58"/>
      <c r="O434" s="58"/>
      <c r="P434" s="58"/>
      <c r="Q434" s="58"/>
      <c r="R434" s="58"/>
      <c r="S434" s="58"/>
      <c r="T434" s="58"/>
      <c r="U434" s="58"/>
      <c r="V434" s="58"/>
      <c r="W434" s="58"/>
      <c r="X434" s="58"/>
      <c r="Y434" s="58"/>
    </row>
    <row r="435">
      <c r="A435" s="58"/>
      <c r="B435" s="58"/>
      <c r="C435" s="58"/>
      <c r="D435" s="58"/>
      <c r="E435" s="58"/>
      <c r="F435" s="58"/>
      <c r="G435" s="58"/>
      <c r="H435" s="58"/>
      <c r="I435" s="58"/>
      <c r="J435" s="58"/>
      <c r="K435" s="58"/>
      <c r="L435" s="58"/>
      <c r="M435" s="58"/>
      <c r="N435" s="58"/>
      <c r="O435" s="58"/>
      <c r="P435" s="58"/>
      <c r="Q435" s="58"/>
      <c r="R435" s="58"/>
      <c r="S435" s="58"/>
      <c r="T435" s="58"/>
      <c r="U435" s="58"/>
      <c r="V435" s="58"/>
      <c r="W435" s="58"/>
      <c r="X435" s="58"/>
      <c r="Y435" s="58"/>
    </row>
    <row r="436">
      <c r="A436" s="58"/>
      <c r="B436" s="58"/>
      <c r="C436" s="58"/>
      <c r="D436" s="58"/>
      <c r="E436" s="58"/>
      <c r="F436" s="58"/>
      <c r="G436" s="58"/>
      <c r="H436" s="58"/>
      <c r="I436" s="58"/>
      <c r="J436" s="58"/>
      <c r="K436" s="58"/>
      <c r="L436" s="58"/>
      <c r="M436" s="58"/>
      <c r="N436" s="58"/>
      <c r="O436" s="58"/>
      <c r="P436" s="58"/>
      <c r="Q436" s="58"/>
      <c r="R436" s="58"/>
      <c r="S436" s="58"/>
      <c r="T436" s="58"/>
      <c r="U436" s="58"/>
      <c r="V436" s="58"/>
      <c r="W436" s="58"/>
      <c r="X436" s="58"/>
      <c r="Y436" s="58"/>
    </row>
    <row r="437">
      <c r="A437" s="58"/>
      <c r="B437" s="58"/>
      <c r="C437" s="58"/>
      <c r="D437" s="58"/>
      <c r="E437" s="58"/>
      <c r="F437" s="58"/>
      <c r="G437" s="58"/>
      <c r="H437" s="58"/>
      <c r="I437" s="58"/>
      <c r="J437" s="58"/>
      <c r="K437" s="58"/>
      <c r="L437" s="58"/>
      <c r="M437" s="58"/>
      <c r="N437" s="58"/>
      <c r="O437" s="58"/>
      <c r="P437" s="58"/>
      <c r="Q437" s="58"/>
      <c r="R437" s="58"/>
      <c r="S437" s="58"/>
      <c r="T437" s="58"/>
      <c r="U437" s="58"/>
      <c r="V437" s="58"/>
      <c r="W437" s="58"/>
      <c r="X437" s="58"/>
      <c r="Y437" s="58"/>
    </row>
    <row r="438">
      <c r="A438" s="58"/>
      <c r="B438" s="58"/>
      <c r="C438" s="58"/>
      <c r="D438" s="58"/>
      <c r="E438" s="58"/>
      <c r="F438" s="58"/>
      <c r="G438" s="58"/>
      <c r="H438" s="58"/>
      <c r="I438" s="58"/>
      <c r="J438" s="58"/>
      <c r="K438" s="58"/>
      <c r="L438" s="58"/>
      <c r="M438" s="58"/>
      <c r="N438" s="58"/>
      <c r="O438" s="58"/>
      <c r="P438" s="58"/>
      <c r="Q438" s="58"/>
      <c r="R438" s="58"/>
      <c r="S438" s="58"/>
      <c r="T438" s="58"/>
      <c r="U438" s="58"/>
      <c r="V438" s="58"/>
      <c r="W438" s="58"/>
      <c r="X438" s="58"/>
      <c r="Y438" s="58"/>
    </row>
    <row r="439">
      <c r="A439" s="58"/>
      <c r="B439" s="58"/>
      <c r="C439" s="58"/>
      <c r="D439" s="58"/>
      <c r="E439" s="58"/>
      <c r="F439" s="58"/>
      <c r="G439" s="58"/>
      <c r="H439" s="58"/>
      <c r="I439" s="58"/>
      <c r="J439" s="58"/>
      <c r="K439" s="58"/>
      <c r="L439" s="58"/>
      <c r="M439" s="58"/>
      <c r="N439" s="58"/>
      <c r="O439" s="58"/>
      <c r="P439" s="58"/>
      <c r="Q439" s="58"/>
      <c r="R439" s="58"/>
      <c r="S439" s="58"/>
      <c r="T439" s="58"/>
      <c r="U439" s="58"/>
      <c r="V439" s="58"/>
      <c r="W439" s="58"/>
      <c r="X439" s="58"/>
      <c r="Y439" s="58"/>
    </row>
    <row r="440">
      <c r="A440" s="58"/>
      <c r="B440" s="58"/>
      <c r="C440" s="58"/>
      <c r="D440" s="58"/>
      <c r="E440" s="58"/>
      <c r="F440" s="58"/>
      <c r="G440" s="58"/>
      <c r="H440" s="58"/>
      <c r="I440" s="58"/>
      <c r="J440" s="58"/>
      <c r="K440" s="58"/>
      <c r="L440" s="58"/>
      <c r="M440" s="58"/>
      <c r="N440" s="58"/>
      <c r="O440" s="58"/>
      <c r="P440" s="58"/>
      <c r="Q440" s="58"/>
      <c r="R440" s="58"/>
      <c r="S440" s="58"/>
      <c r="T440" s="58"/>
      <c r="U440" s="58"/>
      <c r="V440" s="58"/>
      <c r="W440" s="58"/>
      <c r="X440" s="58"/>
      <c r="Y440" s="58"/>
    </row>
    <row r="441">
      <c r="A441" s="58"/>
      <c r="B441" s="58"/>
      <c r="C441" s="58"/>
      <c r="D441" s="58"/>
      <c r="E441" s="58"/>
      <c r="F441" s="58"/>
      <c r="G441" s="58"/>
      <c r="H441" s="58"/>
      <c r="I441" s="58"/>
      <c r="J441" s="58"/>
      <c r="K441" s="58"/>
      <c r="L441" s="58"/>
      <c r="M441" s="58"/>
      <c r="N441" s="58"/>
      <c r="O441" s="58"/>
      <c r="P441" s="58"/>
      <c r="Q441" s="58"/>
      <c r="R441" s="58"/>
      <c r="S441" s="58"/>
      <c r="T441" s="58"/>
      <c r="U441" s="58"/>
      <c r="V441" s="58"/>
      <c r="W441" s="58"/>
      <c r="X441" s="58"/>
      <c r="Y441" s="58"/>
    </row>
    <row r="442">
      <c r="A442" s="58"/>
      <c r="B442" s="58"/>
      <c r="C442" s="58"/>
      <c r="D442" s="58"/>
      <c r="E442" s="58"/>
      <c r="F442" s="58"/>
      <c r="G442" s="58"/>
      <c r="H442" s="58"/>
      <c r="I442" s="58"/>
      <c r="J442" s="58"/>
      <c r="K442" s="58"/>
      <c r="L442" s="58"/>
      <c r="M442" s="58"/>
      <c r="N442" s="58"/>
      <c r="O442" s="58"/>
      <c r="P442" s="58"/>
      <c r="Q442" s="58"/>
      <c r="R442" s="58"/>
      <c r="S442" s="58"/>
      <c r="T442" s="58"/>
      <c r="U442" s="58"/>
      <c r="V442" s="58"/>
      <c r="W442" s="58"/>
      <c r="X442" s="58"/>
      <c r="Y442" s="58"/>
    </row>
    <row r="443">
      <c r="A443" s="58"/>
      <c r="B443" s="58"/>
      <c r="C443" s="58"/>
      <c r="D443" s="58"/>
      <c r="E443" s="58"/>
      <c r="F443" s="58"/>
      <c r="G443" s="58"/>
      <c r="H443" s="58"/>
      <c r="I443" s="58"/>
      <c r="J443" s="58"/>
      <c r="K443" s="58"/>
      <c r="L443" s="58"/>
      <c r="M443" s="58"/>
      <c r="N443" s="58"/>
      <c r="O443" s="58"/>
      <c r="P443" s="58"/>
      <c r="Q443" s="58"/>
      <c r="R443" s="58"/>
      <c r="S443" s="58"/>
      <c r="T443" s="58"/>
      <c r="U443" s="58"/>
      <c r="V443" s="58"/>
      <c r="W443" s="58"/>
      <c r="X443" s="58"/>
      <c r="Y443" s="58"/>
    </row>
    <row r="444">
      <c r="A444" s="58"/>
      <c r="B444" s="58"/>
      <c r="C444" s="58"/>
      <c r="D444" s="58"/>
      <c r="E444" s="58"/>
      <c r="F444" s="58"/>
      <c r="G444" s="58"/>
      <c r="H444" s="58"/>
      <c r="I444" s="58"/>
      <c r="J444" s="58"/>
      <c r="K444" s="58"/>
      <c r="L444" s="58"/>
      <c r="M444" s="58"/>
      <c r="N444" s="58"/>
      <c r="O444" s="58"/>
      <c r="P444" s="58"/>
      <c r="Q444" s="58"/>
      <c r="R444" s="58"/>
      <c r="S444" s="58"/>
      <c r="T444" s="58"/>
      <c r="U444" s="58"/>
      <c r="V444" s="58"/>
      <c r="W444" s="58"/>
      <c r="X444" s="58"/>
      <c r="Y444" s="58"/>
    </row>
    <row r="445">
      <c r="A445" s="58"/>
      <c r="B445" s="58"/>
      <c r="C445" s="58"/>
      <c r="D445" s="58"/>
      <c r="E445" s="58"/>
      <c r="F445" s="58"/>
      <c r="G445" s="58"/>
      <c r="H445" s="58"/>
      <c r="I445" s="58"/>
      <c r="J445" s="58"/>
      <c r="K445" s="58"/>
      <c r="L445" s="58"/>
      <c r="M445" s="58"/>
      <c r="N445" s="58"/>
      <c r="O445" s="58"/>
      <c r="P445" s="58"/>
      <c r="Q445" s="58"/>
      <c r="R445" s="58"/>
      <c r="S445" s="58"/>
      <c r="T445" s="58"/>
      <c r="U445" s="58"/>
      <c r="V445" s="58"/>
      <c r="W445" s="58"/>
      <c r="X445" s="58"/>
      <c r="Y445" s="58"/>
    </row>
    <row r="446">
      <c r="A446" s="58"/>
      <c r="B446" s="58"/>
      <c r="C446" s="58"/>
      <c r="D446" s="58"/>
      <c r="E446" s="58"/>
      <c r="F446" s="58"/>
      <c r="G446" s="58"/>
      <c r="H446" s="58"/>
      <c r="I446" s="58"/>
      <c r="J446" s="58"/>
      <c r="K446" s="58"/>
      <c r="L446" s="58"/>
      <c r="M446" s="58"/>
      <c r="N446" s="58"/>
      <c r="O446" s="58"/>
      <c r="P446" s="58"/>
      <c r="Q446" s="58"/>
      <c r="R446" s="58"/>
      <c r="S446" s="58"/>
      <c r="T446" s="58"/>
      <c r="U446" s="58"/>
      <c r="V446" s="58"/>
      <c r="W446" s="58"/>
      <c r="X446" s="58"/>
      <c r="Y446" s="58"/>
    </row>
    <row r="447">
      <c r="A447" s="58"/>
      <c r="B447" s="58"/>
      <c r="C447" s="58"/>
      <c r="D447" s="58"/>
      <c r="E447" s="58"/>
      <c r="F447" s="58"/>
      <c r="G447" s="58"/>
      <c r="H447" s="58"/>
      <c r="I447" s="58"/>
      <c r="J447" s="58"/>
      <c r="K447" s="58"/>
      <c r="L447" s="58"/>
      <c r="M447" s="58"/>
      <c r="N447" s="58"/>
      <c r="O447" s="58"/>
      <c r="P447" s="58"/>
      <c r="Q447" s="58"/>
      <c r="R447" s="58"/>
      <c r="S447" s="58"/>
      <c r="T447" s="58"/>
      <c r="U447" s="58"/>
      <c r="V447" s="58"/>
      <c r="W447" s="58"/>
      <c r="X447" s="58"/>
      <c r="Y447" s="58"/>
    </row>
    <row r="448">
      <c r="A448" s="58"/>
      <c r="B448" s="58"/>
      <c r="C448" s="58"/>
      <c r="D448" s="58"/>
      <c r="E448" s="58"/>
      <c r="F448" s="58"/>
      <c r="G448" s="58"/>
      <c r="H448" s="58"/>
      <c r="I448" s="58"/>
      <c r="J448" s="58"/>
      <c r="K448" s="58"/>
      <c r="L448" s="58"/>
      <c r="M448" s="58"/>
      <c r="N448" s="58"/>
      <c r="O448" s="58"/>
      <c r="P448" s="58"/>
      <c r="Q448" s="58"/>
      <c r="R448" s="58"/>
      <c r="S448" s="58"/>
      <c r="T448" s="58"/>
      <c r="U448" s="58"/>
      <c r="V448" s="58"/>
      <c r="W448" s="58"/>
      <c r="X448" s="58"/>
      <c r="Y448" s="58"/>
    </row>
    <row r="449">
      <c r="A449" s="58"/>
      <c r="B449" s="58"/>
      <c r="C449" s="58"/>
      <c r="D449" s="58"/>
      <c r="E449" s="58"/>
      <c r="F449" s="58"/>
      <c r="G449" s="58"/>
      <c r="H449" s="58"/>
      <c r="I449" s="58"/>
      <c r="J449" s="58"/>
      <c r="K449" s="58"/>
      <c r="L449" s="58"/>
      <c r="M449" s="58"/>
      <c r="N449" s="58"/>
      <c r="O449" s="58"/>
      <c r="P449" s="58"/>
      <c r="Q449" s="58"/>
      <c r="R449" s="58"/>
      <c r="S449" s="58"/>
      <c r="T449" s="58"/>
      <c r="U449" s="58"/>
      <c r="V449" s="58"/>
      <c r="W449" s="58"/>
      <c r="X449" s="58"/>
      <c r="Y449" s="58"/>
    </row>
    <row r="450">
      <c r="A450" s="58"/>
      <c r="B450" s="58"/>
      <c r="C450" s="58"/>
      <c r="D450" s="58"/>
      <c r="E450" s="58"/>
      <c r="F450" s="58"/>
      <c r="G450" s="58"/>
      <c r="H450" s="58"/>
      <c r="I450" s="58"/>
      <c r="J450" s="58"/>
      <c r="K450" s="58"/>
      <c r="L450" s="58"/>
      <c r="M450" s="58"/>
      <c r="N450" s="58"/>
      <c r="O450" s="58"/>
      <c r="P450" s="58"/>
      <c r="Q450" s="58"/>
      <c r="R450" s="58"/>
      <c r="S450" s="58"/>
      <c r="T450" s="58"/>
      <c r="U450" s="58"/>
      <c r="V450" s="58"/>
      <c r="W450" s="58"/>
      <c r="X450" s="58"/>
      <c r="Y450" s="58"/>
    </row>
    <row r="451">
      <c r="A451" s="58"/>
      <c r="B451" s="58"/>
      <c r="C451" s="58"/>
      <c r="D451" s="58"/>
      <c r="E451" s="58"/>
      <c r="F451" s="58"/>
      <c r="G451" s="58"/>
      <c r="H451" s="58"/>
      <c r="I451" s="58"/>
      <c r="J451" s="58"/>
      <c r="K451" s="58"/>
      <c r="L451" s="58"/>
      <c r="M451" s="58"/>
      <c r="N451" s="58"/>
      <c r="O451" s="58"/>
      <c r="P451" s="58"/>
      <c r="Q451" s="58"/>
      <c r="R451" s="58"/>
      <c r="S451" s="58"/>
      <c r="T451" s="58"/>
      <c r="U451" s="58"/>
      <c r="V451" s="58"/>
      <c r="W451" s="58"/>
      <c r="X451" s="58"/>
      <c r="Y451" s="58"/>
    </row>
    <row r="452">
      <c r="A452" s="58"/>
      <c r="B452" s="58"/>
      <c r="C452" s="58"/>
      <c r="D452" s="58"/>
      <c r="E452" s="58"/>
      <c r="F452" s="58"/>
      <c r="G452" s="58"/>
      <c r="H452" s="58"/>
      <c r="I452" s="58"/>
      <c r="J452" s="58"/>
      <c r="K452" s="58"/>
      <c r="L452" s="58"/>
      <c r="M452" s="58"/>
      <c r="N452" s="58"/>
      <c r="O452" s="58"/>
      <c r="P452" s="58"/>
      <c r="Q452" s="58"/>
      <c r="R452" s="58"/>
      <c r="S452" s="58"/>
      <c r="T452" s="58"/>
      <c r="U452" s="58"/>
      <c r="V452" s="58"/>
      <c r="W452" s="58"/>
      <c r="X452" s="58"/>
      <c r="Y452" s="58"/>
    </row>
    <row r="453">
      <c r="A453" s="58"/>
      <c r="B453" s="58"/>
      <c r="C453" s="58"/>
      <c r="D453" s="58"/>
      <c r="E453" s="58"/>
      <c r="F453" s="58"/>
      <c r="G453" s="58"/>
      <c r="H453" s="58"/>
      <c r="I453" s="58"/>
      <c r="J453" s="58"/>
      <c r="K453" s="58"/>
      <c r="L453" s="58"/>
      <c r="M453" s="58"/>
      <c r="N453" s="58"/>
      <c r="O453" s="58"/>
      <c r="P453" s="58"/>
      <c r="Q453" s="58"/>
      <c r="R453" s="58"/>
      <c r="S453" s="58"/>
      <c r="T453" s="58"/>
      <c r="U453" s="58"/>
      <c r="V453" s="58"/>
      <c r="W453" s="58"/>
      <c r="X453" s="58"/>
      <c r="Y453" s="58"/>
    </row>
    <row r="454">
      <c r="A454" s="58"/>
      <c r="B454" s="58"/>
      <c r="C454" s="58"/>
      <c r="D454" s="58"/>
      <c r="E454" s="58"/>
      <c r="F454" s="58"/>
      <c r="G454" s="58"/>
      <c r="H454" s="58"/>
      <c r="I454" s="58"/>
      <c r="J454" s="58"/>
      <c r="K454" s="58"/>
      <c r="L454" s="58"/>
      <c r="M454" s="58"/>
      <c r="N454" s="58"/>
      <c r="O454" s="58"/>
      <c r="P454" s="58"/>
      <c r="Q454" s="58"/>
      <c r="R454" s="58"/>
      <c r="S454" s="58"/>
      <c r="T454" s="58"/>
      <c r="U454" s="58"/>
      <c r="V454" s="58"/>
      <c r="W454" s="58"/>
      <c r="X454" s="58"/>
      <c r="Y454" s="58"/>
    </row>
    <row r="455">
      <c r="A455" s="58"/>
      <c r="B455" s="58"/>
      <c r="C455" s="58"/>
      <c r="D455" s="58"/>
      <c r="E455" s="58"/>
      <c r="F455" s="58"/>
      <c r="G455" s="58"/>
      <c r="H455" s="58"/>
      <c r="I455" s="58"/>
      <c r="J455" s="58"/>
      <c r="K455" s="58"/>
      <c r="L455" s="58"/>
      <c r="M455" s="58"/>
      <c r="N455" s="58"/>
      <c r="O455" s="58"/>
      <c r="P455" s="58"/>
      <c r="Q455" s="58"/>
      <c r="R455" s="58"/>
      <c r="S455" s="58"/>
      <c r="T455" s="58"/>
      <c r="U455" s="58"/>
      <c r="V455" s="58"/>
      <c r="W455" s="58"/>
      <c r="X455" s="58"/>
      <c r="Y455" s="58"/>
    </row>
    <row r="456">
      <c r="A456" s="58"/>
      <c r="B456" s="58"/>
      <c r="C456" s="58"/>
      <c r="D456" s="58"/>
      <c r="E456" s="58"/>
      <c r="F456" s="58"/>
      <c r="G456" s="58"/>
      <c r="H456" s="58"/>
      <c r="I456" s="58"/>
      <c r="J456" s="58"/>
      <c r="K456" s="58"/>
      <c r="L456" s="58"/>
      <c r="M456" s="58"/>
      <c r="N456" s="58"/>
      <c r="O456" s="58"/>
      <c r="P456" s="58"/>
      <c r="Q456" s="58"/>
      <c r="R456" s="58"/>
      <c r="S456" s="58"/>
      <c r="T456" s="58"/>
      <c r="U456" s="58"/>
      <c r="V456" s="58"/>
      <c r="W456" s="58"/>
      <c r="X456" s="58"/>
      <c r="Y456" s="58"/>
    </row>
    <row r="457">
      <c r="A457" s="58"/>
      <c r="B457" s="58"/>
      <c r="C457" s="58"/>
      <c r="D457" s="58"/>
      <c r="E457" s="58"/>
      <c r="F457" s="58"/>
      <c r="G457" s="58"/>
      <c r="H457" s="58"/>
      <c r="I457" s="58"/>
      <c r="J457" s="58"/>
      <c r="K457" s="58"/>
      <c r="L457" s="58"/>
      <c r="M457" s="58"/>
      <c r="N457" s="58"/>
      <c r="O457" s="58"/>
      <c r="P457" s="58"/>
      <c r="Q457" s="58"/>
      <c r="R457" s="58"/>
      <c r="S457" s="58"/>
      <c r="T457" s="58"/>
      <c r="U457" s="58"/>
      <c r="V457" s="58"/>
      <c r="W457" s="58"/>
      <c r="X457" s="58"/>
      <c r="Y457" s="58"/>
    </row>
    <row r="458">
      <c r="A458" s="58"/>
      <c r="B458" s="58"/>
      <c r="C458" s="58"/>
      <c r="D458" s="58"/>
      <c r="E458" s="58"/>
      <c r="F458" s="58"/>
      <c r="G458" s="58"/>
      <c r="H458" s="58"/>
      <c r="I458" s="58"/>
      <c r="J458" s="58"/>
      <c r="K458" s="58"/>
      <c r="L458" s="58"/>
      <c r="M458" s="58"/>
      <c r="N458" s="58"/>
      <c r="O458" s="58"/>
      <c r="P458" s="58"/>
      <c r="Q458" s="58"/>
      <c r="R458" s="58"/>
      <c r="S458" s="58"/>
      <c r="T458" s="58"/>
      <c r="U458" s="58"/>
      <c r="V458" s="58"/>
      <c r="W458" s="58"/>
      <c r="X458" s="58"/>
      <c r="Y458" s="58"/>
    </row>
    <row r="459">
      <c r="A459" s="58"/>
      <c r="B459" s="58"/>
      <c r="C459" s="58"/>
      <c r="D459" s="58"/>
      <c r="E459" s="58"/>
      <c r="F459" s="58"/>
      <c r="G459" s="58"/>
      <c r="H459" s="58"/>
      <c r="I459" s="58"/>
      <c r="J459" s="58"/>
      <c r="K459" s="58"/>
      <c r="L459" s="58"/>
      <c r="M459" s="58"/>
      <c r="N459" s="58"/>
      <c r="O459" s="58"/>
      <c r="P459" s="58"/>
      <c r="Q459" s="58"/>
      <c r="R459" s="58"/>
      <c r="S459" s="58"/>
      <c r="T459" s="58"/>
      <c r="U459" s="58"/>
      <c r="V459" s="58"/>
      <c r="W459" s="58"/>
      <c r="X459" s="58"/>
      <c r="Y459" s="58"/>
    </row>
    <row r="460">
      <c r="A460" s="58"/>
      <c r="B460" s="58"/>
      <c r="C460" s="58"/>
      <c r="D460" s="58"/>
      <c r="E460" s="58"/>
      <c r="F460" s="58"/>
      <c r="G460" s="58"/>
      <c r="H460" s="58"/>
      <c r="I460" s="58"/>
      <c r="J460" s="58"/>
      <c r="K460" s="58"/>
      <c r="L460" s="58"/>
      <c r="M460" s="58"/>
      <c r="N460" s="58"/>
      <c r="O460" s="58"/>
      <c r="P460" s="58"/>
      <c r="Q460" s="58"/>
      <c r="R460" s="58"/>
      <c r="S460" s="58"/>
      <c r="T460" s="58"/>
      <c r="U460" s="58"/>
      <c r="V460" s="58"/>
      <c r="W460" s="58"/>
      <c r="X460" s="58"/>
      <c r="Y460" s="58"/>
    </row>
    <row r="461">
      <c r="A461" s="58"/>
      <c r="B461" s="58"/>
      <c r="C461" s="58"/>
      <c r="D461" s="58"/>
      <c r="E461" s="58"/>
      <c r="F461" s="58"/>
      <c r="G461" s="58"/>
      <c r="H461" s="58"/>
      <c r="I461" s="58"/>
      <c r="J461" s="58"/>
      <c r="K461" s="58"/>
      <c r="L461" s="58"/>
      <c r="M461" s="58"/>
      <c r="N461" s="58"/>
      <c r="O461" s="58"/>
      <c r="P461" s="58"/>
      <c r="Q461" s="58"/>
      <c r="R461" s="58"/>
      <c r="S461" s="58"/>
      <c r="T461" s="58"/>
      <c r="U461" s="58"/>
      <c r="V461" s="58"/>
      <c r="W461" s="58"/>
      <c r="X461" s="58"/>
      <c r="Y461" s="58"/>
    </row>
    <row r="462">
      <c r="A462" s="58"/>
      <c r="B462" s="58"/>
      <c r="C462" s="58"/>
      <c r="D462" s="58"/>
      <c r="E462" s="58"/>
      <c r="F462" s="58"/>
      <c r="G462" s="58"/>
      <c r="H462" s="58"/>
      <c r="I462" s="58"/>
      <c r="J462" s="58"/>
      <c r="K462" s="58"/>
      <c r="L462" s="58"/>
      <c r="M462" s="58"/>
      <c r="N462" s="58"/>
      <c r="O462" s="58"/>
      <c r="P462" s="58"/>
      <c r="Q462" s="58"/>
      <c r="R462" s="58"/>
      <c r="S462" s="58"/>
      <c r="T462" s="58"/>
      <c r="U462" s="58"/>
      <c r="V462" s="58"/>
      <c r="W462" s="58"/>
      <c r="X462" s="58"/>
      <c r="Y462" s="58"/>
    </row>
    <row r="463">
      <c r="A463" s="58"/>
      <c r="B463" s="58"/>
      <c r="C463" s="58"/>
      <c r="D463" s="58"/>
      <c r="E463" s="58"/>
      <c r="F463" s="58"/>
      <c r="G463" s="58"/>
      <c r="H463" s="58"/>
      <c r="I463" s="58"/>
      <c r="J463" s="58"/>
      <c r="K463" s="58"/>
      <c r="L463" s="58"/>
      <c r="M463" s="58"/>
      <c r="N463" s="58"/>
      <c r="O463" s="58"/>
      <c r="P463" s="58"/>
      <c r="Q463" s="58"/>
      <c r="R463" s="58"/>
      <c r="S463" s="58"/>
      <c r="T463" s="58"/>
      <c r="U463" s="58"/>
      <c r="V463" s="58"/>
      <c r="W463" s="58"/>
      <c r="X463" s="58"/>
      <c r="Y463" s="58"/>
    </row>
    <row r="464">
      <c r="A464" s="58"/>
      <c r="B464" s="58"/>
      <c r="C464" s="58"/>
      <c r="D464" s="58"/>
      <c r="E464" s="58"/>
      <c r="F464" s="58"/>
      <c r="G464" s="58"/>
      <c r="H464" s="58"/>
      <c r="I464" s="58"/>
      <c r="J464" s="58"/>
      <c r="K464" s="58"/>
      <c r="L464" s="58"/>
      <c r="M464" s="58"/>
      <c r="N464" s="58"/>
      <c r="O464" s="58"/>
      <c r="P464" s="58"/>
      <c r="Q464" s="58"/>
      <c r="R464" s="58"/>
      <c r="S464" s="58"/>
      <c r="T464" s="58"/>
      <c r="U464" s="58"/>
      <c r="V464" s="58"/>
      <c r="W464" s="58"/>
      <c r="X464" s="58"/>
      <c r="Y464" s="58"/>
    </row>
    <row r="465">
      <c r="A465" s="58"/>
      <c r="B465" s="58"/>
      <c r="C465" s="58"/>
      <c r="D465" s="58"/>
      <c r="E465" s="58"/>
      <c r="F465" s="58"/>
      <c r="G465" s="58"/>
      <c r="H465" s="58"/>
      <c r="I465" s="58"/>
      <c r="J465" s="58"/>
      <c r="K465" s="58"/>
      <c r="L465" s="58"/>
      <c r="M465" s="58"/>
      <c r="N465" s="58"/>
      <c r="O465" s="58"/>
      <c r="P465" s="58"/>
      <c r="Q465" s="58"/>
      <c r="R465" s="58"/>
      <c r="S465" s="58"/>
      <c r="T465" s="58"/>
      <c r="U465" s="58"/>
      <c r="V465" s="58"/>
      <c r="W465" s="58"/>
      <c r="X465" s="58"/>
      <c r="Y465" s="58"/>
    </row>
    <row r="466">
      <c r="A466" s="58"/>
      <c r="B466" s="58"/>
      <c r="C466" s="58"/>
      <c r="D466" s="58"/>
      <c r="E466" s="58"/>
      <c r="F466" s="58"/>
      <c r="G466" s="58"/>
      <c r="H466" s="58"/>
      <c r="I466" s="58"/>
      <c r="J466" s="58"/>
      <c r="K466" s="58"/>
      <c r="L466" s="58"/>
      <c r="M466" s="58"/>
      <c r="N466" s="58"/>
      <c r="O466" s="58"/>
      <c r="P466" s="58"/>
      <c r="Q466" s="58"/>
      <c r="R466" s="58"/>
      <c r="S466" s="58"/>
      <c r="T466" s="58"/>
      <c r="U466" s="58"/>
      <c r="V466" s="58"/>
      <c r="W466" s="58"/>
      <c r="X466" s="58"/>
      <c r="Y466" s="58"/>
    </row>
    <row r="467">
      <c r="A467" s="58"/>
      <c r="B467" s="58"/>
      <c r="C467" s="58"/>
      <c r="D467" s="58"/>
      <c r="E467" s="58"/>
      <c r="F467" s="58"/>
      <c r="G467" s="58"/>
      <c r="H467" s="58"/>
      <c r="I467" s="58"/>
      <c r="J467" s="58"/>
      <c r="K467" s="58"/>
      <c r="L467" s="58"/>
      <c r="M467" s="58"/>
      <c r="N467" s="58"/>
      <c r="O467" s="58"/>
      <c r="P467" s="58"/>
      <c r="Q467" s="58"/>
      <c r="R467" s="58"/>
      <c r="S467" s="58"/>
      <c r="T467" s="58"/>
      <c r="U467" s="58"/>
      <c r="V467" s="58"/>
      <c r="W467" s="58"/>
      <c r="X467" s="58"/>
      <c r="Y467" s="58"/>
    </row>
    <row r="468">
      <c r="A468" s="58"/>
      <c r="B468" s="58"/>
      <c r="C468" s="58"/>
      <c r="D468" s="58"/>
      <c r="E468" s="58"/>
      <c r="F468" s="58"/>
      <c r="G468" s="58"/>
      <c r="H468" s="58"/>
      <c r="I468" s="58"/>
      <c r="J468" s="58"/>
      <c r="K468" s="58"/>
      <c r="L468" s="58"/>
      <c r="M468" s="58"/>
      <c r="N468" s="58"/>
      <c r="O468" s="58"/>
      <c r="P468" s="58"/>
      <c r="Q468" s="58"/>
      <c r="R468" s="58"/>
      <c r="S468" s="58"/>
      <c r="T468" s="58"/>
      <c r="U468" s="58"/>
      <c r="V468" s="58"/>
      <c r="W468" s="58"/>
      <c r="X468" s="58"/>
      <c r="Y468" s="58"/>
    </row>
    <row r="469">
      <c r="A469" s="58"/>
      <c r="B469" s="58"/>
      <c r="C469" s="58"/>
      <c r="D469" s="58"/>
      <c r="E469" s="58"/>
      <c r="F469" s="58"/>
      <c r="G469" s="58"/>
      <c r="H469" s="58"/>
      <c r="I469" s="58"/>
      <c r="J469" s="58"/>
      <c r="K469" s="58"/>
      <c r="L469" s="58"/>
      <c r="M469" s="58"/>
      <c r="N469" s="58"/>
      <c r="O469" s="58"/>
      <c r="P469" s="58"/>
      <c r="Q469" s="58"/>
      <c r="R469" s="58"/>
      <c r="S469" s="58"/>
      <c r="T469" s="58"/>
      <c r="U469" s="58"/>
      <c r="V469" s="58"/>
      <c r="W469" s="58"/>
      <c r="X469" s="58"/>
      <c r="Y469" s="58"/>
    </row>
    <row r="470">
      <c r="A470" s="58"/>
      <c r="B470" s="58"/>
      <c r="C470" s="58"/>
      <c r="D470" s="58"/>
      <c r="E470" s="58"/>
      <c r="F470" s="58"/>
      <c r="G470" s="58"/>
      <c r="H470" s="58"/>
      <c r="I470" s="58"/>
      <c r="J470" s="58"/>
      <c r="K470" s="58"/>
      <c r="L470" s="58"/>
      <c r="M470" s="58"/>
      <c r="N470" s="58"/>
      <c r="O470" s="58"/>
      <c r="P470" s="58"/>
      <c r="Q470" s="58"/>
      <c r="R470" s="58"/>
      <c r="S470" s="58"/>
      <c r="T470" s="58"/>
      <c r="U470" s="58"/>
      <c r="V470" s="58"/>
      <c r="W470" s="58"/>
      <c r="X470" s="58"/>
      <c r="Y470" s="58"/>
    </row>
    <row r="471">
      <c r="A471" s="58"/>
      <c r="B471" s="58"/>
      <c r="C471" s="58"/>
      <c r="D471" s="58"/>
      <c r="E471" s="58"/>
      <c r="F471" s="58"/>
      <c r="G471" s="58"/>
      <c r="H471" s="58"/>
      <c r="I471" s="58"/>
      <c r="J471" s="58"/>
      <c r="K471" s="58"/>
      <c r="L471" s="58"/>
      <c r="M471" s="58"/>
      <c r="N471" s="58"/>
      <c r="O471" s="58"/>
      <c r="P471" s="58"/>
      <c r="Q471" s="58"/>
      <c r="R471" s="58"/>
      <c r="S471" s="58"/>
      <c r="T471" s="58"/>
      <c r="U471" s="58"/>
      <c r="V471" s="58"/>
      <c r="W471" s="58"/>
      <c r="X471" s="58"/>
      <c r="Y471" s="58"/>
    </row>
    <row r="472">
      <c r="A472" s="58"/>
      <c r="B472" s="58"/>
      <c r="C472" s="58"/>
      <c r="D472" s="58"/>
      <c r="E472" s="58"/>
      <c r="F472" s="58"/>
      <c r="G472" s="58"/>
      <c r="H472" s="58"/>
      <c r="I472" s="58"/>
      <c r="J472" s="58"/>
      <c r="K472" s="58"/>
      <c r="L472" s="58"/>
      <c r="M472" s="58"/>
      <c r="N472" s="58"/>
      <c r="O472" s="58"/>
      <c r="P472" s="58"/>
      <c r="Q472" s="58"/>
      <c r="R472" s="58"/>
      <c r="S472" s="58"/>
      <c r="T472" s="58"/>
      <c r="U472" s="58"/>
      <c r="V472" s="58"/>
      <c r="W472" s="58"/>
      <c r="X472" s="58"/>
      <c r="Y472" s="58"/>
    </row>
    <row r="473">
      <c r="A473" s="58"/>
      <c r="B473" s="58"/>
      <c r="C473" s="58"/>
      <c r="D473" s="58"/>
      <c r="E473" s="58"/>
      <c r="F473" s="58"/>
      <c r="G473" s="58"/>
      <c r="H473" s="58"/>
      <c r="I473" s="58"/>
      <c r="J473" s="58"/>
      <c r="K473" s="58"/>
      <c r="L473" s="58"/>
      <c r="M473" s="58"/>
      <c r="N473" s="58"/>
      <c r="O473" s="58"/>
      <c r="P473" s="58"/>
      <c r="Q473" s="58"/>
      <c r="R473" s="58"/>
      <c r="S473" s="58"/>
      <c r="T473" s="58"/>
      <c r="U473" s="58"/>
      <c r="V473" s="58"/>
      <c r="W473" s="58"/>
      <c r="X473" s="58"/>
      <c r="Y473" s="58"/>
    </row>
    <row r="474">
      <c r="A474" s="58"/>
      <c r="B474" s="58"/>
      <c r="C474" s="58"/>
      <c r="D474" s="58"/>
      <c r="E474" s="58"/>
      <c r="F474" s="58"/>
      <c r="G474" s="58"/>
      <c r="H474" s="58"/>
      <c r="I474" s="58"/>
      <c r="J474" s="58"/>
      <c r="K474" s="58"/>
      <c r="L474" s="58"/>
      <c r="M474" s="58"/>
      <c r="N474" s="58"/>
      <c r="O474" s="58"/>
      <c r="P474" s="58"/>
      <c r="Q474" s="58"/>
      <c r="R474" s="58"/>
      <c r="S474" s="58"/>
      <c r="T474" s="58"/>
      <c r="U474" s="58"/>
      <c r="V474" s="58"/>
      <c r="W474" s="58"/>
      <c r="X474" s="58"/>
      <c r="Y474" s="58"/>
    </row>
    <row r="475">
      <c r="A475" s="58"/>
      <c r="B475" s="58"/>
      <c r="C475" s="58"/>
      <c r="D475" s="58"/>
      <c r="E475" s="58"/>
      <c r="F475" s="58"/>
      <c r="G475" s="58"/>
      <c r="H475" s="58"/>
      <c r="I475" s="58"/>
      <c r="J475" s="58"/>
      <c r="K475" s="58"/>
      <c r="L475" s="58"/>
      <c r="M475" s="58"/>
      <c r="N475" s="58"/>
      <c r="O475" s="58"/>
      <c r="P475" s="58"/>
      <c r="Q475" s="58"/>
      <c r="R475" s="58"/>
      <c r="S475" s="58"/>
      <c r="T475" s="58"/>
      <c r="U475" s="58"/>
      <c r="V475" s="58"/>
      <c r="W475" s="58"/>
      <c r="X475" s="58"/>
      <c r="Y475" s="58"/>
    </row>
    <row r="476">
      <c r="A476" s="58"/>
      <c r="B476" s="58"/>
      <c r="C476" s="58"/>
      <c r="D476" s="58"/>
      <c r="E476" s="58"/>
      <c r="F476" s="58"/>
      <c r="G476" s="58"/>
      <c r="H476" s="58"/>
      <c r="I476" s="58"/>
      <c r="J476" s="58"/>
      <c r="K476" s="58"/>
      <c r="L476" s="58"/>
      <c r="M476" s="58"/>
      <c r="N476" s="58"/>
      <c r="O476" s="58"/>
      <c r="P476" s="58"/>
      <c r="Q476" s="58"/>
      <c r="R476" s="58"/>
      <c r="S476" s="58"/>
      <c r="T476" s="58"/>
      <c r="U476" s="58"/>
      <c r="V476" s="58"/>
      <c r="W476" s="58"/>
      <c r="X476" s="58"/>
      <c r="Y476" s="58"/>
    </row>
    <row r="477">
      <c r="A477" s="58"/>
      <c r="B477" s="58"/>
      <c r="C477" s="58"/>
      <c r="D477" s="58"/>
      <c r="E477" s="58"/>
      <c r="F477" s="58"/>
      <c r="G477" s="58"/>
      <c r="H477" s="58"/>
      <c r="I477" s="58"/>
      <c r="J477" s="58"/>
      <c r="K477" s="58"/>
      <c r="L477" s="58"/>
      <c r="M477" s="58"/>
      <c r="N477" s="58"/>
      <c r="O477" s="58"/>
      <c r="P477" s="58"/>
      <c r="Q477" s="58"/>
      <c r="R477" s="58"/>
      <c r="S477" s="58"/>
      <c r="T477" s="58"/>
      <c r="U477" s="58"/>
      <c r="V477" s="58"/>
      <c r="W477" s="58"/>
      <c r="X477" s="58"/>
      <c r="Y477" s="58"/>
    </row>
    <row r="478">
      <c r="A478" s="58"/>
      <c r="B478" s="58"/>
      <c r="C478" s="58"/>
      <c r="D478" s="58"/>
      <c r="E478" s="58"/>
      <c r="F478" s="58"/>
      <c r="G478" s="58"/>
      <c r="H478" s="58"/>
      <c r="I478" s="58"/>
      <c r="J478" s="58"/>
      <c r="K478" s="58"/>
      <c r="L478" s="58"/>
      <c r="M478" s="58"/>
      <c r="N478" s="58"/>
      <c r="O478" s="58"/>
      <c r="P478" s="58"/>
      <c r="Q478" s="58"/>
      <c r="R478" s="58"/>
      <c r="S478" s="58"/>
      <c r="T478" s="58"/>
      <c r="U478" s="58"/>
      <c r="V478" s="58"/>
      <c r="W478" s="58"/>
      <c r="X478" s="58"/>
      <c r="Y478" s="58"/>
    </row>
    <row r="479">
      <c r="A479" s="58"/>
      <c r="B479" s="58"/>
      <c r="C479" s="58"/>
      <c r="D479" s="58"/>
      <c r="E479" s="58"/>
      <c r="F479" s="58"/>
      <c r="G479" s="58"/>
      <c r="H479" s="58"/>
      <c r="I479" s="58"/>
      <c r="J479" s="58"/>
      <c r="K479" s="58"/>
      <c r="L479" s="58"/>
      <c r="M479" s="58"/>
      <c r="N479" s="58"/>
      <c r="O479" s="58"/>
      <c r="P479" s="58"/>
      <c r="Q479" s="58"/>
      <c r="R479" s="58"/>
      <c r="S479" s="58"/>
      <c r="T479" s="58"/>
      <c r="U479" s="58"/>
      <c r="V479" s="58"/>
      <c r="W479" s="58"/>
      <c r="X479" s="58"/>
      <c r="Y479" s="58"/>
    </row>
    <row r="480">
      <c r="A480" s="58"/>
      <c r="B480" s="58"/>
      <c r="C480" s="58"/>
      <c r="D480" s="58"/>
      <c r="E480" s="58"/>
      <c r="F480" s="58"/>
      <c r="G480" s="58"/>
      <c r="H480" s="58"/>
      <c r="I480" s="58"/>
      <c r="J480" s="58"/>
      <c r="K480" s="58"/>
      <c r="L480" s="58"/>
      <c r="M480" s="58"/>
      <c r="N480" s="58"/>
      <c r="O480" s="58"/>
      <c r="P480" s="58"/>
      <c r="Q480" s="58"/>
      <c r="R480" s="58"/>
      <c r="S480" s="58"/>
      <c r="T480" s="58"/>
      <c r="U480" s="58"/>
      <c r="V480" s="58"/>
      <c r="W480" s="58"/>
      <c r="X480" s="58"/>
      <c r="Y480" s="58"/>
    </row>
    <row r="481">
      <c r="A481" s="58"/>
      <c r="B481" s="58"/>
      <c r="C481" s="58"/>
      <c r="D481" s="58"/>
      <c r="E481" s="58"/>
      <c r="F481" s="58"/>
      <c r="G481" s="58"/>
      <c r="H481" s="58"/>
      <c r="I481" s="58"/>
      <c r="J481" s="58"/>
      <c r="K481" s="58"/>
      <c r="L481" s="58"/>
      <c r="M481" s="58"/>
      <c r="N481" s="58"/>
      <c r="O481" s="58"/>
      <c r="P481" s="58"/>
      <c r="Q481" s="58"/>
      <c r="R481" s="58"/>
      <c r="S481" s="58"/>
      <c r="T481" s="58"/>
      <c r="U481" s="58"/>
      <c r="V481" s="58"/>
      <c r="W481" s="58"/>
      <c r="X481" s="58"/>
      <c r="Y481" s="58"/>
    </row>
    <row r="482">
      <c r="A482" s="58"/>
      <c r="B482" s="58"/>
      <c r="C482" s="58"/>
      <c r="D482" s="58"/>
      <c r="E482" s="58"/>
      <c r="F482" s="58"/>
      <c r="G482" s="58"/>
      <c r="H482" s="58"/>
      <c r="I482" s="58"/>
      <c r="J482" s="58"/>
      <c r="K482" s="58"/>
      <c r="L482" s="58"/>
      <c r="M482" s="58"/>
      <c r="N482" s="58"/>
      <c r="O482" s="58"/>
      <c r="P482" s="58"/>
      <c r="Q482" s="58"/>
      <c r="R482" s="58"/>
      <c r="S482" s="58"/>
      <c r="T482" s="58"/>
      <c r="U482" s="58"/>
      <c r="V482" s="58"/>
      <c r="W482" s="58"/>
      <c r="X482" s="58"/>
      <c r="Y482" s="58"/>
    </row>
    <row r="483">
      <c r="A483" s="58"/>
      <c r="B483" s="58"/>
      <c r="C483" s="58"/>
      <c r="D483" s="58"/>
      <c r="E483" s="58"/>
      <c r="F483" s="58"/>
      <c r="G483" s="58"/>
      <c r="H483" s="58"/>
      <c r="I483" s="58"/>
      <c r="J483" s="58"/>
      <c r="K483" s="58"/>
      <c r="L483" s="58"/>
      <c r="M483" s="58"/>
      <c r="N483" s="58"/>
      <c r="O483" s="58"/>
      <c r="P483" s="58"/>
      <c r="Q483" s="58"/>
      <c r="R483" s="58"/>
      <c r="S483" s="58"/>
      <c r="T483" s="58"/>
      <c r="U483" s="58"/>
      <c r="V483" s="58"/>
      <c r="W483" s="58"/>
      <c r="X483" s="58"/>
      <c r="Y483" s="58"/>
    </row>
    <row r="484">
      <c r="A484" s="58"/>
      <c r="B484" s="58"/>
      <c r="C484" s="58"/>
      <c r="D484" s="58"/>
      <c r="E484" s="58"/>
      <c r="F484" s="58"/>
      <c r="G484" s="58"/>
      <c r="H484" s="58"/>
      <c r="I484" s="58"/>
      <c r="J484" s="58"/>
      <c r="K484" s="58"/>
      <c r="L484" s="58"/>
      <c r="M484" s="58"/>
      <c r="N484" s="58"/>
      <c r="O484" s="58"/>
      <c r="P484" s="58"/>
      <c r="Q484" s="58"/>
      <c r="R484" s="58"/>
      <c r="S484" s="58"/>
      <c r="T484" s="58"/>
      <c r="U484" s="58"/>
      <c r="V484" s="58"/>
      <c r="W484" s="58"/>
      <c r="X484" s="58"/>
      <c r="Y484" s="58"/>
    </row>
    <row r="485">
      <c r="A485" s="58"/>
      <c r="B485" s="58"/>
      <c r="C485" s="58"/>
      <c r="D485" s="58"/>
      <c r="E485" s="58"/>
      <c r="F485" s="58"/>
      <c r="G485" s="58"/>
      <c r="H485" s="58"/>
      <c r="I485" s="58"/>
      <c r="J485" s="58"/>
      <c r="K485" s="58"/>
      <c r="L485" s="58"/>
      <c r="M485" s="58"/>
      <c r="N485" s="58"/>
      <c r="O485" s="58"/>
      <c r="P485" s="58"/>
      <c r="Q485" s="58"/>
      <c r="R485" s="58"/>
      <c r="S485" s="58"/>
      <c r="T485" s="58"/>
      <c r="U485" s="58"/>
      <c r="V485" s="58"/>
      <c r="W485" s="58"/>
      <c r="X485" s="58"/>
      <c r="Y485" s="58"/>
    </row>
    <row r="486">
      <c r="A486" s="58"/>
      <c r="B486" s="58"/>
      <c r="C486" s="58"/>
      <c r="D486" s="58"/>
      <c r="E486" s="58"/>
      <c r="F486" s="58"/>
      <c r="G486" s="58"/>
      <c r="H486" s="58"/>
      <c r="I486" s="58"/>
      <c r="J486" s="58"/>
      <c r="K486" s="58"/>
      <c r="L486" s="58"/>
      <c r="M486" s="58"/>
      <c r="N486" s="58"/>
      <c r="O486" s="58"/>
      <c r="P486" s="58"/>
      <c r="Q486" s="58"/>
      <c r="R486" s="58"/>
      <c r="S486" s="58"/>
      <c r="T486" s="58"/>
      <c r="U486" s="58"/>
      <c r="V486" s="58"/>
      <c r="W486" s="58"/>
      <c r="X486" s="58"/>
      <c r="Y486" s="58"/>
    </row>
    <row r="487">
      <c r="A487" s="58"/>
      <c r="B487" s="58"/>
      <c r="C487" s="58"/>
      <c r="D487" s="58"/>
      <c r="E487" s="58"/>
      <c r="F487" s="58"/>
      <c r="G487" s="58"/>
      <c r="H487" s="58"/>
      <c r="I487" s="58"/>
      <c r="J487" s="58"/>
      <c r="K487" s="58"/>
      <c r="L487" s="58"/>
      <c r="M487" s="58"/>
      <c r="N487" s="58"/>
      <c r="O487" s="58"/>
      <c r="P487" s="58"/>
      <c r="Q487" s="58"/>
      <c r="R487" s="58"/>
      <c r="S487" s="58"/>
      <c r="T487" s="58"/>
      <c r="U487" s="58"/>
      <c r="V487" s="58"/>
      <c r="W487" s="58"/>
      <c r="X487" s="58"/>
      <c r="Y487" s="58"/>
    </row>
    <row r="488">
      <c r="A488" s="58"/>
      <c r="B488" s="58"/>
      <c r="C488" s="58"/>
      <c r="D488" s="58"/>
      <c r="E488" s="58"/>
      <c r="F488" s="58"/>
      <c r="G488" s="58"/>
      <c r="H488" s="58"/>
      <c r="I488" s="58"/>
      <c r="J488" s="58"/>
      <c r="K488" s="58"/>
      <c r="L488" s="58"/>
      <c r="M488" s="58"/>
      <c r="N488" s="58"/>
      <c r="O488" s="58"/>
      <c r="P488" s="58"/>
      <c r="Q488" s="58"/>
      <c r="R488" s="58"/>
      <c r="S488" s="58"/>
      <c r="T488" s="58"/>
      <c r="U488" s="58"/>
      <c r="V488" s="58"/>
      <c r="W488" s="58"/>
      <c r="X488" s="58"/>
      <c r="Y488" s="58"/>
    </row>
    <row r="489">
      <c r="A489" s="58"/>
      <c r="B489" s="58"/>
      <c r="C489" s="58"/>
      <c r="D489" s="58"/>
      <c r="E489" s="58"/>
      <c r="F489" s="58"/>
      <c r="G489" s="58"/>
      <c r="H489" s="58"/>
      <c r="I489" s="58"/>
      <c r="J489" s="58"/>
      <c r="K489" s="58"/>
      <c r="L489" s="58"/>
      <c r="M489" s="58"/>
      <c r="N489" s="58"/>
      <c r="O489" s="58"/>
      <c r="P489" s="58"/>
      <c r="Q489" s="58"/>
      <c r="R489" s="58"/>
      <c r="S489" s="58"/>
      <c r="T489" s="58"/>
      <c r="U489" s="58"/>
      <c r="V489" s="58"/>
      <c r="W489" s="58"/>
      <c r="X489" s="58"/>
      <c r="Y489" s="58"/>
    </row>
    <row r="490">
      <c r="A490" s="58"/>
      <c r="B490" s="58"/>
      <c r="C490" s="58"/>
      <c r="D490" s="58"/>
      <c r="E490" s="58"/>
      <c r="F490" s="58"/>
      <c r="G490" s="58"/>
      <c r="H490" s="58"/>
      <c r="I490" s="58"/>
      <c r="J490" s="58"/>
      <c r="K490" s="58"/>
      <c r="L490" s="58"/>
      <c r="M490" s="58"/>
      <c r="N490" s="58"/>
      <c r="O490" s="58"/>
      <c r="P490" s="58"/>
      <c r="Q490" s="58"/>
      <c r="R490" s="58"/>
      <c r="S490" s="58"/>
      <c r="T490" s="58"/>
      <c r="U490" s="58"/>
      <c r="V490" s="58"/>
      <c r="W490" s="58"/>
      <c r="X490" s="58"/>
      <c r="Y490" s="58"/>
    </row>
    <row r="491">
      <c r="A491" s="58"/>
      <c r="B491" s="58"/>
      <c r="C491" s="58"/>
      <c r="D491" s="58"/>
      <c r="E491" s="58"/>
      <c r="F491" s="58"/>
      <c r="G491" s="58"/>
      <c r="H491" s="58"/>
      <c r="I491" s="58"/>
      <c r="J491" s="58"/>
      <c r="K491" s="58"/>
      <c r="L491" s="58"/>
      <c r="M491" s="58"/>
      <c r="N491" s="58"/>
      <c r="O491" s="58"/>
      <c r="P491" s="58"/>
      <c r="Q491" s="58"/>
      <c r="R491" s="58"/>
      <c r="S491" s="58"/>
      <c r="T491" s="58"/>
      <c r="U491" s="58"/>
      <c r="V491" s="58"/>
      <c r="W491" s="58"/>
      <c r="X491" s="58"/>
      <c r="Y491" s="58"/>
    </row>
    <row r="492">
      <c r="A492" s="58"/>
      <c r="B492" s="58"/>
      <c r="C492" s="58"/>
      <c r="D492" s="58"/>
      <c r="E492" s="58"/>
      <c r="F492" s="58"/>
      <c r="G492" s="58"/>
      <c r="H492" s="58"/>
      <c r="I492" s="58"/>
      <c r="J492" s="58"/>
      <c r="K492" s="58"/>
      <c r="L492" s="58"/>
      <c r="M492" s="58"/>
      <c r="N492" s="58"/>
      <c r="O492" s="58"/>
      <c r="P492" s="58"/>
      <c r="Q492" s="58"/>
      <c r="R492" s="58"/>
      <c r="S492" s="58"/>
      <c r="T492" s="58"/>
      <c r="U492" s="58"/>
      <c r="V492" s="58"/>
      <c r="W492" s="58"/>
      <c r="X492" s="58"/>
      <c r="Y492" s="58"/>
    </row>
    <row r="493">
      <c r="A493" s="58"/>
      <c r="B493" s="58"/>
      <c r="C493" s="58"/>
      <c r="D493" s="58"/>
      <c r="E493" s="58"/>
      <c r="F493" s="58"/>
      <c r="G493" s="58"/>
      <c r="H493" s="58"/>
      <c r="I493" s="58"/>
      <c r="J493" s="58"/>
      <c r="K493" s="58"/>
      <c r="L493" s="58"/>
      <c r="M493" s="58"/>
      <c r="N493" s="58"/>
      <c r="O493" s="58"/>
      <c r="P493" s="58"/>
      <c r="Q493" s="58"/>
      <c r="R493" s="58"/>
      <c r="S493" s="58"/>
      <c r="T493" s="58"/>
      <c r="U493" s="58"/>
      <c r="V493" s="58"/>
      <c r="W493" s="58"/>
      <c r="X493" s="58"/>
      <c r="Y493" s="58"/>
    </row>
    <row r="494">
      <c r="A494" s="58"/>
      <c r="B494" s="58"/>
      <c r="C494" s="58"/>
      <c r="D494" s="58"/>
      <c r="E494" s="58"/>
      <c r="F494" s="58"/>
      <c r="G494" s="58"/>
      <c r="H494" s="58"/>
      <c r="I494" s="58"/>
      <c r="J494" s="58"/>
      <c r="K494" s="58"/>
      <c r="L494" s="58"/>
      <c r="M494" s="58"/>
      <c r="N494" s="58"/>
      <c r="O494" s="58"/>
      <c r="P494" s="58"/>
      <c r="Q494" s="58"/>
      <c r="R494" s="58"/>
      <c r="S494" s="58"/>
      <c r="T494" s="58"/>
      <c r="U494" s="58"/>
      <c r="V494" s="58"/>
      <c r="W494" s="58"/>
      <c r="X494" s="58"/>
      <c r="Y494" s="58"/>
    </row>
    <row r="495">
      <c r="A495" s="58"/>
      <c r="B495" s="58"/>
      <c r="C495" s="58"/>
      <c r="D495" s="58"/>
      <c r="E495" s="58"/>
      <c r="F495" s="58"/>
      <c r="G495" s="58"/>
      <c r="H495" s="58"/>
      <c r="I495" s="58"/>
      <c r="J495" s="58"/>
      <c r="K495" s="58"/>
      <c r="L495" s="58"/>
      <c r="M495" s="58"/>
      <c r="N495" s="58"/>
      <c r="O495" s="58"/>
      <c r="P495" s="58"/>
      <c r="Q495" s="58"/>
      <c r="R495" s="58"/>
      <c r="S495" s="58"/>
      <c r="T495" s="58"/>
      <c r="U495" s="58"/>
      <c r="V495" s="58"/>
      <c r="W495" s="58"/>
      <c r="X495" s="58"/>
      <c r="Y495" s="58"/>
    </row>
    <row r="496">
      <c r="A496" s="58"/>
      <c r="B496" s="58"/>
      <c r="C496" s="58"/>
      <c r="D496" s="58"/>
      <c r="E496" s="58"/>
      <c r="F496" s="58"/>
      <c r="G496" s="58"/>
      <c r="H496" s="58"/>
      <c r="I496" s="58"/>
      <c r="J496" s="58"/>
      <c r="K496" s="58"/>
      <c r="L496" s="58"/>
      <c r="M496" s="58"/>
      <c r="N496" s="58"/>
      <c r="O496" s="58"/>
      <c r="P496" s="58"/>
      <c r="Q496" s="58"/>
      <c r="R496" s="58"/>
      <c r="S496" s="58"/>
      <c r="T496" s="58"/>
      <c r="U496" s="58"/>
      <c r="V496" s="58"/>
      <c r="W496" s="58"/>
      <c r="X496" s="58"/>
      <c r="Y496" s="58"/>
    </row>
    <row r="497">
      <c r="A497" s="58"/>
      <c r="B497" s="58"/>
      <c r="C497" s="58"/>
      <c r="D497" s="58"/>
      <c r="E497" s="58"/>
      <c r="F497" s="58"/>
      <c r="G497" s="58"/>
      <c r="H497" s="58"/>
      <c r="I497" s="58"/>
      <c r="J497" s="58"/>
      <c r="K497" s="58"/>
      <c r="L497" s="58"/>
      <c r="M497" s="58"/>
      <c r="N497" s="58"/>
      <c r="O497" s="58"/>
      <c r="P497" s="58"/>
      <c r="Q497" s="58"/>
      <c r="R497" s="58"/>
      <c r="S497" s="58"/>
      <c r="T497" s="58"/>
      <c r="U497" s="58"/>
      <c r="V497" s="58"/>
      <c r="W497" s="58"/>
      <c r="X497" s="58"/>
      <c r="Y497" s="58"/>
    </row>
    <row r="498">
      <c r="A498" s="58"/>
      <c r="B498" s="58"/>
      <c r="C498" s="58"/>
      <c r="D498" s="58"/>
      <c r="E498" s="58"/>
      <c r="F498" s="58"/>
      <c r="G498" s="58"/>
      <c r="H498" s="58"/>
      <c r="I498" s="58"/>
      <c r="J498" s="58"/>
      <c r="K498" s="58"/>
      <c r="L498" s="58"/>
      <c r="M498" s="58"/>
      <c r="N498" s="58"/>
      <c r="O498" s="58"/>
      <c r="P498" s="58"/>
      <c r="Q498" s="58"/>
      <c r="R498" s="58"/>
      <c r="S498" s="58"/>
      <c r="T498" s="58"/>
      <c r="U498" s="58"/>
      <c r="V498" s="58"/>
      <c r="W498" s="58"/>
      <c r="X498" s="58"/>
      <c r="Y498" s="58"/>
    </row>
    <row r="499">
      <c r="A499" s="58"/>
      <c r="B499" s="58"/>
      <c r="C499" s="58"/>
      <c r="D499" s="58"/>
      <c r="E499" s="58"/>
      <c r="F499" s="58"/>
      <c r="G499" s="58"/>
      <c r="H499" s="58"/>
      <c r="I499" s="58"/>
      <c r="J499" s="58"/>
      <c r="K499" s="58"/>
      <c r="L499" s="58"/>
      <c r="M499" s="58"/>
      <c r="N499" s="58"/>
      <c r="O499" s="58"/>
      <c r="P499" s="58"/>
      <c r="Q499" s="58"/>
      <c r="R499" s="58"/>
      <c r="S499" s="58"/>
      <c r="T499" s="58"/>
      <c r="U499" s="58"/>
      <c r="V499" s="58"/>
      <c r="W499" s="58"/>
      <c r="X499" s="58"/>
      <c r="Y499" s="58"/>
    </row>
    <row r="500">
      <c r="A500" s="58"/>
      <c r="B500" s="58"/>
      <c r="C500" s="58"/>
      <c r="D500" s="58"/>
      <c r="E500" s="58"/>
      <c r="F500" s="58"/>
      <c r="G500" s="58"/>
      <c r="H500" s="58"/>
      <c r="I500" s="58"/>
      <c r="J500" s="58"/>
      <c r="K500" s="58"/>
      <c r="L500" s="58"/>
      <c r="M500" s="58"/>
      <c r="N500" s="58"/>
      <c r="O500" s="58"/>
      <c r="P500" s="58"/>
      <c r="Q500" s="58"/>
      <c r="R500" s="58"/>
      <c r="S500" s="58"/>
      <c r="T500" s="58"/>
      <c r="U500" s="58"/>
      <c r="V500" s="58"/>
      <c r="W500" s="58"/>
      <c r="X500" s="58"/>
      <c r="Y500" s="58"/>
    </row>
    <row r="501">
      <c r="A501" s="58"/>
      <c r="B501" s="58"/>
      <c r="C501" s="58"/>
      <c r="D501" s="58"/>
      <c r="E501" s="58"/>
      <c r="F501" s="58"/>
      <c r="G501" s="58"/>
      <c r="H501" s="58"/>
      <c r="I501" s="58"/>
      <c r="J501" s="58"/>
      <c r="K501" s="58"/>
      <c r="L501" s="58"/>
      <c r="M501" s="58"/>
      <c r="N501" s="58"/>
      <c r="O501" s="58"/>
      <c r="P501" s="58"/>
      <c r="Q501" s="58"/>
      <c r="R501" s="58"/>
      <c r="S501" s="58"/>
      <c r="T501" s="58"/>
      <c r="U501" s="58"/>
      <c r="V501" s="58"/>
      <c r="W501" s="58"/>
      <c r="X501" s="58"/>
      <c r="Y501" s="58"/>
    </row>
    <row r="502">
      <c r="A502" s="58"/>
      <c r="B502" s="58"/>
      <c r="C502" s="58"/>
      <c r="D502" s="58"/>
      <c r="E502" s="58"/>
      <c r="F502" s="58"/>
      <c r="G502" s="58"/>
      <c r="H502" s="58"/>
      <c r="I502" s="58"/>
      <c r="J502" s="58"/>
      <c r="K502" s="58"/>
      <c r="L502" s="58"/>
      <c r="M502" s="58"/>
      <c r="N502" s="58"/>
      <c r="O502" s="58"/>
      <c r="P502" s="58"/>
      <c r="Q502" s="58"/>
      <c r="R502" s="58"/>
      <c r="S502" s="58"/>
      <c r="T502" s="58"/>
      <c r="U502" s="58"/>
      <c r="V502" s="58"/>
      <c r="W502" s="58"/>
      <c r="X502" s="58"/>
      <c r="Y502" s="58"/>
    </row>
    <row r="503">
      <c r="A503" s="58"/>
      <c r="B503" s="58"/>
      <c r="C503" s="58"/>
      <c r="D503" s="58"/>
      <c r="E503" s="58"/>
      <c r="F503" s="58"/>
      <c r="G503" s="58"/>
      <c r="H503" s="58"/>
      <c r="I503" s="58"/>
      <c r="J503" s="58"/>
      <c r="K503" s="58"/>
      <c r="L503" s="58"/>
      <c r="M503" s="58"/>
      <c r="N503" s="58"/>
      <c r="O503" s="58"/>
      <c r="P503" s="58"/>
      <c r="Q503" s="58"/>
      <c r="R503" s="58"/>
      <c r="S503" s="58"/>
      <c r="T503" s="58"/>
      <c r="U503" s="58"/>
      <c r="V503" s="58"/>
      <c r="W503" s="58"/>
      <c r="X503" s="58"/>
      <c r="Y503" s="58"/>
    </row>
    <row r="504">
      <c r="A504" s="58"/>
      <c r="B504" s="58"/>
      <c r="C504" s="58"/>
      <c r="D504" s="58"/>
      <c r="E504" s="58"/>
      <c r="F504" s="58"/>
      <c r="G504" s="58"/>
      <c r="H504" s="58"/>
      <c r="I504" s="58"/>
      <c r="J504" s="58"/>
      <c r="K504" s="58"/>
      <c r="L504" s="58"/>
      <c r="M504" s="58"/>
      <c r="N504" s="58"/>
      <c r="O504" s="58"/>
      <c r="P504" s="58"/>
      <c r="Q504" s="58"/>
      <c r="R504" s="58"/>
      <c r="S504" s="58"/>
      <c r="T504" s="58"/>
      <c r="U504" s="58"/>
      <c r="V504" s="58"/>
      <c r="W504" s="58"/>
      <c r="X504" s="58"/>
      <c r="Y504" s="58"/>
    </row>
    <row r="505">
      <c r="A505" s="58"/>
      <c r="B505" s="58"/>
      <c r="C505" s="58"/>
      <c r="D505" s="58"/>
      <c r="E505" s="58"/>
      <c r="F505" s="58"/>
      <c r="G505" s="58"/>
      <c r="H505" s="58"/>
      <c r="I505" s="58"/>
      <c r="J505" s="58"/>
      <c r="K505" s="58"/>
      <c r="L505" s="58"/>
      <c r="M505" s="58"/>
      <c r="N505" s="58"/>
      <c r="O505" s="58"/>
      <c r="P505" s="58"/>
      <c r="Q505" s="58"/>
      <c r="R505" s="58"/>
      <c r="S505" s="58"/>
      <c r="T505" s="58"/>
      <c r="U505" s="58"/>
      <c r="V505" s="58"/>
      <c r="W505" s="58"/>
      <c r="X505" s="58"/>
      <c r="Y505" s="58"/>
    </row>
    <row r="506">
      <c r="A506" s="58"/>
      <c r="B506" s="58"/>
      <c r="C506" s="58"/>
      <c r="D506" s="58"/>
      <c r="E506" s="58"/>
      <c r="F506" s="58"/>
      <c r="G506" s="58"/>
      <c r="H506" s="58"/>
      <c r="I506" s="58"/>
      <c r="J506" s="58"/>
      <c r="K506" s="58"/>
      <c r="L506" s="58"/>
      <c r="M506" s="58"/>
      <c r="N506" s="58"/>
      <c r="O506" s="58"/>
      <c r="P506" s="58"/>
      <c r="Q506" s="58"/>
      <c r="R506" s="58"/>
      <c r="S506" s="58"/>
      <c r="T506" s="58"/>
      <c r="U506" s="58"/>
      <c r="V506" s="58"/>
      <c r="W506" s="58"/>
      <c r="X506" s="58"/>
      <c r="Y506" s="58"/>
    </row>
    <row r="507">
      <c r="A507" s="58"/>
      <c r="B507" s="58"/>
      <c r="C507" s="58"/>
      <c r="D507" s="58"/>
      <c r="E507" s="58"/>
      <c r="F507" s="58"/>
      <c r="G507" s="58"/>
      <c r="H507" s="58"/>
      <c r="I507" s="58"/>
      <c r="J507" s="58"/>
      <c r="K507" s="58"/>
      <c r="L507" s="58"/>
      <c r="M507" s="58"/>
      <c r="N507" s="58"/>
      <c r="O507" s="58"/>
      <c r="P507" s="58"/>
      <c r="Q507" s="58"/>
      <c r="R507" s="58"/>
      <c r="S507" s="58"/>
      <c r="T507" s="58"/>
      <c r="U507" s="58"/>
      <c r="V507" s="58"/>
      <c r="W507" s="58"/>
      <c r="X507" s="58"/>
      <c r="Y507" s="58"/>
    </row>
    <row r="508">
      <c r="A508" s="58"/>
      <c r="B508" s="58"/>
      <c r="C508" s="58"/>
      <c r="D508" s="58"/>
      <c r="E508" s="58"/>
      <c r="F508" s="58"/>
      <c r="G508" s="58"/>
      <c r="H508" s="58"/>
      <c r="I508" s="58"/>
      <c r="J508" s="58"/>
      <c r="K508" s="58"/>
      <c r="L508" s="58"/>
      <c r="M508" s="58"/>
      <c r="N508" s="58"/>
      <c r="O508" s="58"/>
      <c r="P508" s="58"/>
      <c r="Q508" s="58"/>
      <c r="R508" s="58"/>
      <c r="S508" s="58"/>
      <c r="T508" s="58"/>
      <c r="U508" s="58"/>
      <c r="V508" s="58"/>
      <c r="W508" s="58"/>
      <c r="X508" s="58"/>
      <c r="Y508" s="58"/>
    </row>
    <row r="509">
      <c r="A509" s="58"/>
      <c r="B509" s="58"/>
      <c r="C509" s="58"/>
      <c r="D509" s="58"/>
      <c r="E509" s="58"/>
      <c r="F509" s="58"/>
      <c r="G509" s="58"/>
      <c r="H509" s="58"/>
      <c r="I509" s="58"/>
      <c r="J509" s="58"/>
      <c r="K509" s="58"/>
      <c r="L509" s="58"/>
      <c r="M509" s="58"/>
      <c r="N509" s="58"/>
      <c r="O509" s="58"/>
      <c r="P509" s="58"/>
      <c r="Q509" s="58"/>
      <c r="R509" s="58"/>
      <c r="S509" s="58"/>
      <c r="T509" s="58"/>
      <c r="U509" s="58"/>
      <c r="V509" s="58"/>
      <c r="W509" s="58"/>
      <c r="X509" s="58"/>
      <c r="Y509" s="58"/>
    </row>
    <row r="510">
      <c r="A510" s="58"/>
      <c r="B510" s="58"/>
      <c r="C510" s="58"/>
      <c r="D510" s="58"/>
      <c r="E510" s="58"/>
      <c r="F510" s="58"/>
      <c r="G510" s="58"/>
      <c r="H510" s="58"/>
      <c r="I510" s="58"/>
      <c r="J510" s="58"/>
      <c r="K510" s="58"/>
      <c r="L510" s="58"/>
      <c r="M510" s="58"/>
      <c r="N510" s="58"/>
      <c r="O510" s="58"/>
      <c r="P510" s="58"/>
      <c r="Q510" s="58"/>
      <c r="R510" s="58"/>
      <c r="S510" s="58"/>
      <c r="T510" s="58"/>
      <c r="U510" s="58"/>
      <c r="V510" s="58"/>
      <c r="W510" s="58"/>
      <c r="X510" s="58"/>
      <c r="Y510" s="58"/>
    </row>
    <row r="511">
      <c r="A511" s="58"/>
      <c r="B511" s="58"/>
      <c r="C511" s="58"/>
      <c r="D511" s="58"/>
      <c r="E511" s="58"/>
      <c r="F511" s="58"/>
      <c r="G511" s="58"/>
      <c r="H511" s="58"/>
      <c r="I511" s="58"/>
      <c r="J511" s="58"/>
      <c r="K511" s="58"/>
      <c r="L511" s="58"/>
      <c r="M511" s="58"/>
      <c r="N511" s="58"/>
      <c r="O511" s="58"/>
      <c r="P511" s="58"/>
      <c r="Q511" s="58"/>
      <c r="R511" s="58"/>
      <c r="S511" s="58"/>
      <c r="T511" s="58"/>
      <c r="U511" s="58"/>
      <c r="V511" s="58"/>
      <c r="W511" s="58"/>
      <c r="X511" s="58"/>
      <c r="Y511" s="58"/>
    </row>
    <row r="512">
      <c r="A512" s="58"/>
      <c r="B512" s="58"/>
      <c r="C512" s="58"/>
      <c r="D512" s="58"/>
      <c r="E512" s="58"/>
      <c r="F512" s="58"/>
      <c r="G512" s="58"/>
      <c r="H512" s="58"/>
      <c r="I512" s="58"/>
      <c r="J512" s="58"/>
      <c r="K512" s="58"/>
      <c r="L512" s="58"/>
      <c r="M512" s="58"/>
      <c r="N512" s="58"/>
      <c r="O512" s="58"/>
      <c r="P512" s="58"/>
      <c r="Q512" s="58"/>
      <c r="R512" s="58"/>
      <c r="S512" s="58"/>
      <c r="T512" s="58"/>
      <c r="U512" s="58"/>
      <c r="V512" s="58"/>
      <c r="W512" s="58"/>
      <c r="X512" s="58"/>
      <c r="Y512" s="58"/>
    </row>
    <row r="513">
      <c r="A513" s="58"/>
      <c r="B513" s="58"/>
      <c r="C513" s="58"/>
      <c r="D513" s="58"/>
      <c r="E513" s="58"/>
      <c r="F513" s="58"/>
      <c r="G513" s="58"/>
      <c r="H513" s="58"/>
      <c r="I513" s="58"/>
      <c r="J513" s="58"/>
      <c r="K513" s="58"/>
      <c r="L513" s="58"/>
      <c r="M513" s="58"/>
      <c r="N513" s="58"/>
      <c r="O513" s="58"/>
      <c r="P513" s="58"/>
      <c r="Q513" s="58"/>
      <c r="R513" s="58"/>
      <c r="S513" s="58"/>
      <c r="T513" s="58"/>
      <c r="U513" s="58"/>
      <c r="V513" s="58"/>
      <c r="W513" s="58"/>
      <c r="X513" s="58"/>
      <c r="Y513" s="58"/>
    </row>
    <row r="514">
      <c r="A514" s="58"/>
      <c r="B514" s="58"/>
      <c r="C514" s="58"/>
      <c r="D514" s="58"/>
      <c r="E514" s="58"/>
      <c r="F514" s="58"/>
      <c r="G514" s="58"/>
      <c r="H514" s="58"/>
      <c r="I514" s="58"/>
      <c r="J514" s="58"/>
      <c r="K514" s="58"/>
      <c r="L514" s="58"/>
      <c r="M514" s="58"/>
      <c r="N514" s="58"/>
      <c r="O514" s="58"/>
      <c r="P514" s="58"/>
      <c r="Q514" s="58"/>
      <c r="R514" s="58"/>
      <c r="S514" s="58"/>
      <c r="T514" s="58"/>
      <c r="U514" s="58"/>
      <c r="V514" s="58"/>
      <c r="W514" s="58"/>
      <c r="X514" s="58"/>
      <c r="Y514" s="58"/>
    </row>
    <row r="515">
      <c r="A515" s="58"/>
      <c r="B515" s="58"/>
      <c r="C515" s="58"/>
      <c r="D515" s="58"/>
      <c r="E515" s="58"/>
      <c r="F515" s="58"/>
      <c r="G515" s="58"/>
      <c r="H515" s="58"/>
      <c r="I515" s="58"/>
      <c r="J515" s="58"/>
      <c r="K515" s="58"/>
      <c r="L515" s="58"/>
      <c r="M515" s="58"/>
      <c r="N515" s="58"/>
      <c r="O515" s="58"/>
      <c r="P515" s="58"/>
      <c r="Q515" s="58"/>
      <c r="R515" s="58"/>
      <c r="S515" s="58"/>
      <c r="T515" s="58"/>
      <c r="U515" s="58"/>
      <c r="V515" s="58"/>
      <c r="W515" s="58"/>
      <c r="X515" s="58"/>
      <c r="Y515" s="58"/>
    </row>
    <row r="516">
      <c r="A516" s="58"/>
      <c r="B516" s="58"/>
      <c r="C516" s="58"/>
      <c r="D516" s="58"/>
      <c r="E516" s="58"/>
      <c r="F516" s="58"/>
      <c r="G516" s="58"/>
      <c r="H516" s="58"/>
      <c r="I516" s="58"/>
      <c r="J516" s="58"/>
      <c r="K516" s="58"/>
      <c r="L516" s="58"/>
      <c r="M516" s="58"/>
      <c r="N516" s="58"/>
      <c r="O516" s="58"/>
      <c r="P516" s="58"/>
      <c r="Q516" s="58"/>
      <c r="R516" s="58"/>
      <c r="S516" s="58"/>
      <c r="T516" s="58"/>
      <c r="U516" s="58"/>
      <c r="V516" s="58"/>
      <c r="W516" s="58"/>
      <c r="X516" s="58"/>
      <c r="Y516" s="58"/>
    </row>
    <row r="517">
      <c r="A517" s="58"/>
      <c r="B517" s="58"/>
      <c r="C517" s="58"/>
      <c r="D517" s="58"/>
      <c r="E517" s="58"/>
      <c r="F517" s="58"/>
      <c r="G517" s="58"/>
      <c r="H517" s="58"/>
      <c r="I517" s="58"/>
      <c r="J517" s="58"/>
      <c r="K517" s="58"/>
      <c r="L517" s="58"/>
      <c r="M517" s="58"/>
      <c r="N517" s="58"/>
      <c r="O517" s="58"/>
      <c r="P517" s="58"/>
      <c r="Q517" s="58"/>
      <c r="R517" s="58"/>
      <c r="S517" s="58"/>
      <c r="T517" s="58"/>
      <c r="U517" s="58"/>
      <c r="V517" s="58"/>
      <c r="W517" s="58"/>
      <c r="X517" s="58"/>
      <c r="Y517" s="58"/>
    </row>
    <row r="518">
      <c r="A518" s="58"/>
      <c r="B518" s="58"/>
      <c r="C518" s="58"/>
      <c r="D518" s="58"/>
      <c r="E518" s="58"/>
      <c r="F518" s="58"/>
      <c r="G518" s="58"/>
      <c r="H518" s="58"/>
      <c r="I518" s="58"/>
      <c r="J518" s="58"/>
      <c r="K518" s="58"/>
      <c r="L518" s="58"/>
      <c r="M518" s="58"/>
      <c r="N518" s="58"/>
      <c r="O518" s="58"/>
      <c r="P518" s="58"/>
      <c r="Q518" s="58"/>
      <c r="R518" s="58"/>
      <c r="S518" s="58"/>
      <c r="T518" s="58"/>
      <c r="U518" s="58"/>
      <c r="V518" s="58"/>
      <c r="W518" s="58"/>
      <c r="X518" s="58"/>
      <c r="Y518" s="58"/>
    </row>
    <row r="519">
      <c r="A519" s="58"/>
      <c r="B519" s="58"/>
      <c r="C519" s="58"/>
      <c r="D519" s="58"/>
      <c r="E519" s="58"/>
      <c r="F519" s="58"/>
      <c r="G519" s="58"/>
      <c r="H519" s="58"/>
      <c r="I519" s="58"/>
      <c r="J519" s="58"/>
      <c r="K519" s="58"/>
      <c r="L519" s="58"/>
      <c r="M519" s="58"/>
      <c r="N519" s="58"/>
      <c r="O519" s="58"/>
      <c r="P519" s="58"/>
      <c r="Q519" s="58"/>
      <c r="R519" s="58"/>
      <c r="S519" s="58"/>
      <c r="T519" s="58"/>
      <c r="U519" s="58"/>
      <c r="V519" s="58"/>
      <c r="W519" s="58"/>
      <c r="X519" s="58"/>
      <c r="Y519" s="58"/>
    </row>
    <row r="520">
      <c r="A520" s="58"/>
      <c r="B520" s="58"/>
      <c r="C520" s="58"/>
      <c r="D520" s="58"/>
      <c r="E520" s="58"/>
      <c r="F520" s="58"/>
      <c r="G520" s="58"/>
      <c r="H520" s="58"/>
      <c r="I520" s="58"/>
      <c r="J520" s="58"/>
      <c r="K520" s="58"/>
      <c r="L520" s="58"/>
      <c r="M520" s="58"/>
      <c r="N520" s="58"/>
      <c r="O520" s="58"/>
      <c r="P520" s="58"/>
      <c r="Q520" s="58"/>
      <c r="R520" s="58"/>
      <c r="S520" s="58"/>
      <c r="T520" s="58"/>
      <c r="U520" s="58"/>
      <c r="V520" s="58"/>
      <c r="W520" s="58"/>
      <c r="X520" s="58"/>
      <c r="Y520" s="58"/>
    </row>
    <row r="521">
      <c r="A521" s="58"/>
      <c r="B521" s="58"/>
      <c r="C521" s="58"/>
      <c r="D521" s="58"/>
      <c r="E521" s="58"/>
      <c r="F521" s="58"/>
      <c r="G521" s="58"/>
      <c r="H521" s="58"/>
      <c r="I521" s="58"/>
      <c r="J521" s="58"/>
      <c r="K521" s="58"/>
      <c r="L521" s="58"/>
      <c r="M521" s="58"/>
      <c r="N521" s="58"/>
      <c r="O521" s="58"/>
      <c r="P521" s="58"/>
      <c r="Q521" s="58"/>
      <c r="R521" s="58"/>
      <c r="S521" s="58"/>
      <c r="T521" s="58"/>
      <c r="U521" s="58"/>
      <c r="V521" s="58"/>
      <c r="W521" s="58"/>
      <c r="X521" s="58"/>
      <c r="Y521" s="58"/>
    </row>
    <row r="522">
      <c r="A522" s="58"/>
      <c r="B522" s="58"/>
      <c r="C522" s="58"/>
      <c r="D522" s="58"/>
      <c r="E522" s="58"/>
      <c r="F522" s="58"/>
      <c r="G522" s="58"/>
      <c r="H522" s="58"/>
      <c r="I522" s="58"/>
      <c r="J522" s="58"/>
      <c r="K522" s="58"/>
      <c r="L522" s="58"/>
      <c r="M522" s="58"/>
      <c r="N522" s="58"/>
      <c r="O522" s="58"/>
      <c r="P522" s="58"/>
      <c r="Q522" s="58"/>
      <c r="R522" s="58"/>
      <c r="S522" s="58"/>
      <c r="T522" s="58"/>
      <c r="U522" s="58"/>
      <c r="V522" s="58"/>
      <c r="W522" s="58"/>
      <c r="X522" s="58"/>
      <c r="Y522" s="58"/>
    </row>
    <row r="523">
      <c r="A523" s="58"/>
      <c r="B523" s="58"/>
      <c r="C523" s="58"/>
      <c r="D523" s="58"/>
      <c r="E523" s="58"/>
      <c r="F523" s="58"/>
      <c r="G523" s="58"/>
      <c r="H523" s="58"/>
      <c r="I523" s="58"/>
      <c r="J523" s="58"/>
      <c r="K523" s="58"/>
      <c r="L523" s="58"/>
      <c r="M523" s="58"/>
      <c r="N523" s="58"/>
      <c r="O523" s="58"/>
      <c r="P523" s="58"/>
      <c r="Q523" s="58"/>
      <c r="R523" s="58"/>
      <c r="S523" s="58"/>
      <c r="T523" s="58"/>
      <c r="U523" s="58"/>
      <c r="V523" s="58"/>
      <c r="W523" s="58"/>
      <c r="X523" s="58"/>
      <c r="Y523" s="58"/>
    </row>
    <row r="524">
      <c r="A524" s="58"/>
      <c r="B524" s="58"/>
      <c r="C524" s="58"/>
      <c r="D524" s="58"/>
      <c r="E524" s="58"/>
      <c r="F524" s="58"/>
      <c r="G524" s="58"/>
      <c r="H524" s="58"/>
      <c r="I524" s="58"/>
      <c r="J524" s="58"/>
      <c r="K524" s="58"/>
      <c r="L524" s="58"/>
      <c r="M524" s="58"/>
      <c r="N524" s="58"/>
      <c r="O524" s="58"/>
      <c r="P524" s="58"/>
      <c r="Q524" s="58"/>
      <c r="R524" s="58"/>
      <c r="S524" s="58"/>
      <c r="T524" s="58"/>
      <c r="U524" s="58"/>
      <c r="V524" s="58"/>
      <c r="W524" s="58"/>
      <c r="X524" s="58"/>
      <c r="Y524" s="58"/>
    </row>
    <row r="525">
      <c r="A525" s="58"/>
      <c r="B525" s="58"/>
      <c r="C525" s="58"/>
      <c r="D525" s="58"/>
      <c r="E525" s="58"/>
      <c r="F525" s="58"/>
      <c r="G525" s="58"/>
      <c r="H525" s="58"/>
      <c r="I525" s="58"/>
      <c r="J525" s="58"/>
      <c r="K525" s="58"/>
      <c r="L525" s="58"/>
      <c r="M525" s="58"/>
      <c r="N525" s="58"/>
      <c r="O525" s="58"/>
      <c r="P525" s="58"/>
      <c r="Q525" s="58"/>
      <c r="R525" s="58"/>
      <c r="S525" s="58"/>
      <c r="T525" s="58"/>
      <c r="U525" s="58"/>
      <c r="V525" s="58"/>
      <c r="W525" s="58"/>
      <c r="X525" s="58"/>
      <c r="Y525" s="58"/>
    </row>
    <row r="526">
      <c r="A526" s="58"/>
      <c r="B526" s="58"/>
      <c r="C526" s="58"/>
      <c r="D526" s="58"/>
      <c r="E526" s="58"/>
      <c r="F526" s="58"/>
      <c r="G526" s="58"/>
      <c r="H526" s="58"/>
      <c r="I526" s="58"/>
      <c r="J526" s="58"/>
      <c r="K526" s="58"/>
      <c r="L526" s="58"/>
      <c r="M526" s="58"/>
      <c r="N526" s="58"/>
      <c r="O526" s="58"/>
      <c r="P526" s="58"/>
      <c r="Q526" s="58"/>
      <c r="R526" s="58"/>
      <c r="S526" s="58"/>
      <c r="T526" s="58"/>
      <c r="U526" s="58"/>
      <c r="V526" s="58"/>
      <c r="W526" s="58"/>
      <c r="X526" s="58"/>
      <c r="Y526" s="58"/>
    </row>
    <row r="527">
      <c r="A527" s="58"/>
      <c r="B527" s="58"/>
      <c r="C527" s="58"/>
      <c r="D527" s="58"/>
      <c r="E527" s="58"/>
      <c r="F527" s="58"/>
      <c r="G527" s="58"/>
      <c r="H527" s="58"/>
      <c r="I527" s="58"/>
      <c r="J527" s="58"/>
      <c r="K527" s="58"/>
      <c r="L527" s="58"/>
      <c r="M527" s="58"/>
      <c r="N527" s="58"/>
      <c r="O527" s="58"/>
      <c r="P527" s="58"/>
      <c r="Q527" s="58"/>
      <c r="R527" s="58"/>
      <c r="S527" s="58"/>
      <c r="T527" s="58"/>
      <c r="U527" s="58"/>
      <c r="V527" s="58"/>
      <c r="W527" s="58"/>
      <c r="X527" s="58"/>
      <c r="Y527" s="58"/>
    </row>
    <row r="528">
      <c r="A528" s="58"/>
      <c r="B528" s="58"/>
      <c r="C528" s="58"/>
      <c r="D528" s="58"/>
      <c r="E528" s="58"/>
      <c r="F528" s="58"/>
      <c r="G528" s="58"/>
      <c r="H528" s="58"/>
      <c r="I528" s="58"/>
      <c r="J528" s="58"/>
      <c r="K528" s="58"/>
      <c r="L528" s="58"/>
      <c r="M528" s="58"/>
      <c r="N528" s="58"/>
      <c r="O528" s="58"/>
      <c r="P528" s="58"/>
      <c r="Q528" s="58"/>
      <c r="R528" s="58"/>
      <c r="S528" s="58"/>
      <c r="T528" s="58"/>
      <c r="U528" s="58"/>
      <c r="V528" s="58"/>
      <c r="W528" s="58"/>
      <c r="X528" s="58"/>
      <c r="Y528" s="58"/>
    </row>
    <row r="529">
      <c r="A529" s="58"/>
      <c r="B529" s="58"/>
      <c r="C529" s="58"/>
      <c r="D529" s="58"/>
      <c r="E529" s="58"/>
      <c r="F529" s="58"/>
      <c r="G529" s="58"/>
      <c r="H529" s="58"/>
      <c r="I529" s="58"/>
      <c r="J529" s="58"/>
      <c r="K529" s="58"/>
      <c r="L529" s="58"/>
      <c r="M529" s="58"/>
      <c r="N529" s="58"/>
      <c r="O529" s="58"/>
      <c r="P529" s="58"/>
      <c r="Q529" s="58"/>
      <c r="R529" s="58"/>
      <c r="S529" s="58"/>
      <c r="T529" s="58"/>
      <c r="U529" s="58"/>
      <c r="V529" s="58"/>
      <c r="W529" s="58"/>
      <c r="X529" s="58"/>
      <c r="Y529" s="58"/>
    </row>
    <row r="530">
      <c r="A530" s="58"/>
      <c r="B530" s="58"/>
      <c r="C530" s="58"/>
      <c r="D530" s="58"/>
      <c r="E530" s="58"/>
      <c r="F530" s="58"/>
      <c r="G530" s="58"/>
      <c r="H530" s="58"/>
      <c r="I530" s="58"/>
      <c r="J530" s="58"/>
      <c r="K530" s="58"/>
      <c r="L530" s="58"/>
      <c r="M530" s="58"/>
      <c r="N530" s="58"/>
      <c r="O530" s="58"/>
      <c r="P530" s="58"/>
      <c r="Q530" s="58"/>
      <c r="R530" s="58"/>
      <c r="S530" s="58"/>
      <c r="T530" s="58"/>
      <c r="U530" s="58"/>
      <c r="V530" s="58"/>
      <c r="W530" s="58"/>
      <c r="X530" s="58"/>
      <c r="Y530" s="58"/>
    </row>
    <row r="531">
      <c r="A531" s="58"/>
      <c r="B531" s="58"/>
      <c r="C531" s="58"/>
      <c r="D531" s="58"/>
      <c r="E531" s="58"/>
      <c r="F531" s="58"/>
      <c r="G531" s="58"/>
      <c r="H531" s="58"/>
      <c r="I531" s="58"/>
      <c r="J531" s="58"/>
      <c r="K531" s="58"/>
      <c r="L531" s="58"/>
      <c r="M531" s="58"/>
      <c r="N531" s="58"/>
      <c r="O531" s="58"/>
      <c r="P531" s="58"/>
      <c r="Q531" s="58"/>
      <c r="R531" s="58"/>
      <c r="S531" s="58"/>
      <c r="T531" s="58"/>
      <c r="U531" s="58"/>
      <c r="V531" s="58"/>
      <c r="W531" s="58"/>
      <c r="X531" s="58"/>
      <c r="Y531" s="58"/>
    </row>
    <row r="532">
      <c r="A532" s="58"/>
      <c r="B532" s="58"/>
      <c r="C532" s="58"/>
      <c r="D532" s="58"/>
      <c r="E532" s="58"/>
      <c r="F532" s="58"/>
      <c r="G532" s="58"/>
      <c r="H532" s="58"/>
      <c r="I532" s="58"/>
      <c r="J532" s="58"/>
      <c r="K532" s="58"/>
      <c r="L532" s="58"/>
      <c r="M532" s="58"/>
      <c r="N532" s="58"/>
      <c r="O532" s="58"/>
      <c r="P532" s="58"/>
      <c r="Q532" s="58"/>
      <c r="R532" s="58"/>
      <c r="S532" s="58"/>
      <c r="T532" s="58"/>
      <c r="U532" s="58"/>
      <c r="V532" s="58"/>
      <c r="W532" s="58"/>
      <c r="X532" s="58"/>
      <c r="Y532" s="58"/>
    </row>
    <row r="533">
      <c r="A533" s="58"/>
      <c r="B533" s="58"/>
      <c r="C533" s="58"/>
      <c r="D533" s="58"/>
      <c r="E533" s="58"/>
      <c r="F533" s="58"/>
      <c r="G533" s="58"/>
      <c r="H533" s="58"/>
      <c r="I533" s="58"/>
      <c r="J533" s="58"/>
      <c r="K533" s="58"/>
      <c r="L533" s="58"/>
      <c r="M533" s="58"/>
      <c r="N533" s="58"/>
      <c r="O533" s="58"/>
      <c r="P533" s="58"/>
      <c r="Q533" s="58"/>
      <c r="R533" s="58"/>
      <c r="S533" s="58"/>
      <c r="T533" s="58"/>
      <c r="U533" s="58"/>
      <c r="V533" s="58"/>
      <c r="W533" s="58"/>
      <c r="X533" s="58"/>
      <c r="Y533" s="58"/>
    </row>
    <row r="534">
      <c r="A534" s="58"/>
      <c r="B534" s="58"/>
      <c r="C534" s="58"/>
      <c r="D534" s="58"/>
      <c r="E534" s="58"/>
      <c r="F534" s="58"/>
      <c r="G534" s="58"/>
      <c r="H534" s="58"/>
      <c r="I534" s="58"/>
      <c r="J534" s="58"/>
      <c r="K534" s="58"/>
      <c r="L534" s="58"/>
      <c r="M534" s="58"/>
      <c r="N534" s="58"/>
      <c r="O534" s="58"/>
      <c r="P534" s="58"/>
      <c r="Q534" s="58"/>
      <c r="R534" s="58"/>
      <c r="S534" s="58"/>
      <c r="T534" s="58"/>
      <c r="U534" s="58"/>
      <c r="V534" s="58"/>
      <c r="W534" s="58"/>
      <c r="X534" s="58"/>
      <c r="Y534" s="58"/>
    </row>
    <row r="535">
      <c r="A535" s="58"/>
      <c r="B535" s="58"/>
      <c r="C535" s="58"/>
      <c r="D535" s="58"/>
      <c r="E535" s="58"/>
      <c r="F535" s="58"/>
      <c r="G535" s="58"/>
      <c r="H535" s="58"/>
      <c r="I535" s="58"/>
      <c r="J535" s="58"/>
      <c r="K535" s="58"/>
      <c r="L535" s="58"/>
      <c r="M535" s="58"/>
      <c r="N535" s="58"/>
      <c r="O535" s="58"/>
      <c r="P535" s="58"/>
      <c r="Q535" s="58"/>
      <c r="R535" s="58"/>
      <c r="S535" s="58"/>
      <c r="T535" s="58"/>
      <c r="U535" s="58"/>
      <c r="V535" s="58"/>
      <c r="W535" s="58"/>
      <c r="X535" s="58"/>
      <c r="Y535" s="58"/>
    </row>
    <row r="536">
      <c r="A536" s="58"/>
      <c r="B536" s="58"/>
      <c r="C536" s="58"/>
      <c r="D536" s="58"/>
      <c r="E536" s="58"/>
      <c r="F536" s="58"/>
      <c r="G536" s="58"/>
      <c r="H536" s="58"/>
      <c r="I536" s="58"/>
      <c r="J536" s="58"/>
      <c r="K536" s="58"/>
      <c r="L536" s="58"/>
      <c r="M536" s="58"/>
      <c r="N536" s="58"/>
      <c r="O536" s="58"/>
      <c r="P536" s="58"/>
      <c r="Q536" s="58"/>
      <c r="R536" s="58"/>
      <c r="S536" s="58"/>
      <c r="T536" s="58"/>
      <c r="U536" s="58"/>
      <c r="V536" s="58"/>
      <c r="W536" s="58"/>
      <c r="X536" s="58"/>
      <c r="Y536" s="58"/>
    </row>
    <row r="537">
      <c r="A537" s="58"/>
      <c r="B537" s="58"/>
      <c r="C537" s="58"/>
      <c r="D537" s="58"/>
      <c r="E537" s="58"/>
      <c r="F537" s="58"/>
      <c r="G537" s="58"/>
      <c r="H537" s="58"/>
      <c r="I537" s="58"/>
      <c r="J537" s="58"/>
      <c r="K537" s="58"/>
      <c r="L537" s="58"/>
      <c r="M537" s="58"/>
      <c r="N537" s="58"/>
      <c r="O537" s="58"/>
      <c r="P537" s="58"/>
      <c r="Q537" s="58"/>
      <c r="R537" s="58"/>
      <c r="S537" s="58"/>
      <c r="T537" s="58"/>
      <c r="U537" s="58"/>
      <c r="V537" s="58"/>
      <c r="W537" s="58"/>
      <c r="X537" s="58"/>
      <c r="Y537" s="58"/>
    </row>
    <row r="538">
      <c r="A538" s="58"/>
      <c r="B538" s="58"/>
      <c r="C538" s="58"/>
      <c r="D538" s="58"/>
      <c r="E538" s="58"/>
      <c r="F538" s="58"/>
      <c r="G538" s="58"/>
      <c r="H538" s="58"/>
      <c r="I538" s="58"/>
      <c r="J538" s="58"/>
      <c r="K538" s="58"/>
      <c r="L538" s="58"/>
      <c r="M538" s="58"/>
      <c r="N538" s="58"/>
      <c r="O538" s="58"/>
      <c r="P538" s="58"/>
      <c r="Q538" s="58"/>
      <c r="R538" s="58"/>
      <c r="S538" s="58"/>
      <c r="T538" s="58"/>
      <c r="U538" s="58"/>
      <c r="V538" s="58"/>
      <c r="W538" s="58"/>
      <c r="X538" s="58"/>
      <c r="Y538" s="58"/>
    </row>
    <row r="539">
      <c r="A539" s="58"/>
      <c r="B539" s="58"/>
      <c r="C539" s="58"/>
      <c r="D539" s="58"/>
      <c r="E539" s="58"/>
      <c r="F539" s="58"/>
      <c r="G539" s="58"/>
      <c r="H539" s="58"/>
      <c r="I539" s="58"/>
      <c r="J539" s="58"/>
      <c r="K539" s="58"/>
      <c r="L539" s="58"/>
      <c r="M539" s="58"/>
      <c r="N539" s="58"/>
      <c r="O539" s="58"/>
      <c r="P539" s="58"/>
      <c r="Q539" s="58"/>
      <c r="R539" s="58"/>
      <c r="S539" s="58"/>
      <c r="T539" s="58"/>
      <c r="U539" s="58"/>
      <c r="V539" s="58"/>
      <c r="W539" s="58"/>
      <c r="X539" s="58"/>
      <c r="Y539" s="58"/>
    </row>
    <row r="540">
      <c r="A540" s="58"/>
      <c r="B540" s="58"/>
      <c r="C540" s="58"/>
      <c r="D540" s="58"/>
      <c r="E540" s="58"/>
      <c r="F540" s="58"/>
      <c r="G540" s="58"/>
      <c r="H540" s="58"/>
      <c r="I540" s="58"/>
      <c r="J540" s="58"/>
      <c r="K540" s="58"/>
      <c r="L540" s="58"/>
      <c r="M540" s="58"/>
      <c r="N540" s="58"/>
      <c r="O540" s="58"/>
      <c r="P540" s="58"/>
      <c r="Q540" s="58"/>
      <c r="R540" s="58"/>
      <c r="S540" s="58"/>
      <c r="T540" s="58"/>
      <c r="U540" s="58"/>
      <c r="V540" s="58"/>
      <c r="W540" s="58"/>
      <c r="X540" s="58"/>
      <c r="Y540" s="58"/>
    </row>
    <row r="541">
      <c r="A541" s="58"/>
      <c r="B541" s="58"/>
      <c r="C541" s="58"/>
      <c r="D541" s="58"/>
      <c r="E541" s="58"/>
      <c r="F541" s="58"/>
      <c r="G541" s="58"/>
      <c r="H541" s="58"/>
      <c r="I541" s="58"/>
      <c r="J541" s="58"/>
      <c r="K541" s="58"/>
      <c r="L541" s="58"/>
      <c r="M541" s="58"/>
      <c r="N541" s="58"/>
      <c r="O541" s="58"/>
      <c r="P541" s="58"/>
      <c r="Q541" s="58"/>
      <c r="R541" s="58"/>
      <c r="S541" s="58"/>
      <c r="T541" s="58"/>
      <c r="U541" s="58"/>
      <c r="V541" s="58"/>
      <c r="W541" s="58"/>
      <c r="X541" s="58"/>
      <c r="Y541" s="58"/>
    </row>
    <row r="542">
      <c r="A542" s="58"/>
      <c r="B542" s="58"/>
      <c r="C542" s="58"/>
      <c r="D542" s="58"/>
      <c r="E542" s="58"/>
      <c r="F542" s="58"/>
      <c r="G542" s="58"/>
      <c r="H542" s="58"/>
      <c r="I542" s="58"/>
      <c r="J542" s="58"/>
      <c r="K542" s="58"/>
      <c r="L542" s="58"/>
      <c r="M542" s="58"/>
      <c r="N542" s="58"/>
      <c r="O542" s="58"/>
      <c r="P542" s="58"/>
      <c r="Q542" s="58"/>
      <c r="R542" s="58"/>
      <c r="S542" s="58"/>
      <c r="T542" s="58"/>
      <c r="U542" s="58"/>
      <c r="V542" s="58"/>
      <c r="W542" s="58"/>
      <c r="X542" s="58"/>
      <c r="Y542" s="58"/>
    </row>
    <row r="543">
      <c r="A543" s="58"/>
      <c r="B543" s="58"/>
      <c r="C543" s="58"/>
      <c r="D543" s="58"/>
      <c r="E543" s="58"/>
      <c r="F543" s="58"/>
      <c r="G543" s="58"/>
      <c r="H543" s="58"/>
      <c r="I543" s="58"/>
      <c r="J543" s="58"/>
      <c r="K543" s="58"/>
      <c r="L543" s="58"/>
      <c r="M543" s="58"/>
      <c r="N543" s="58"/>
      <c r="O543" s="58"/>
      <c r="P543" s="58"/>
      <c r="Q543" s="58"/>
      <c r="R543" s="58"/>
      <c r="S543" s="58"/>
      <c r="T543" s="58"/>
      <c r="U543" s="58"/>
      <c r="V543" s="58"/>
      <c r="W543" s="58"/>
      <c r="X543" s="58"/>
      <c r="Y543" s="58"/>
    </row>
    <row r="544">
      <c r="A544" s="58"/>
      <c r="B544" s="58"/>
      <c r="C544" s="58"/>
      <c r="D544" s="58"/>
      <c r="E544" s="58"/>
      <c r="F544" s="58"/>
      <c r="G544" s="58"/>
      <c r="H544" s="58"/>
      <c r="I544" s="58"/>
      <c r="J544" s="58"/>
      <c r="K544" s="58"/>
      <c r="L544" s="58"/>
      <c r="M544" s="58"/>
      <c r="N544" s="58"/>
      <c r="O544" s="58"/>
      <c r="P544" s="58"/>
      <c r="Q544" s="58"/>
      <c r="R544" s="58"/>
      <c r="S544" s="58"/>
      <c r="T544" s="58"/>
      <c r="U544" s="58"/>
      <c r="V544" s="58"/>
      <c r="W544" s="58"/>
      <c r="X544" s="58"/>
      <c r="Y544" s="58"/>
    </row>
    <row r="545">
      <c r="A545" s="58"/>
      <c r="B545" s="58"/>
      <c r="C545" s="58"/>
      <c r="D545" s="58"/>
      <c r="E545" s="58"/>
      <c r="F545" s="58"/>
      <c r="G545" s="58"/>
      <c r="H545" s="58"/>
      <c r="I545" s="58"/>
      <c r="J545" s="58"/>
      <c r="K545" s="58"/>
      <c r="L545" s="58"/>
      <c r="M545" s="58"/>
      <c r="N545" s="58"/>
      <c r="O545" s="58"/>
      <c r="P545" s="58"/>
      <c r="Q545" s="58"/>
      <c r="R545" s="58"/>
      <c r="S545" s="58"/>
      <c r="T545" s="58"/>
      <c r="U545" s="58"/>
      <c r="V545" s="58"/>
      <c r="W545" s="58"/>
      <c r="X545" s="58"/>
      <c r="Y545" s="58"/>
    </row>
    <row r="546">
      <c r="A546" s="58"/>
      <c r="B546" s="58"/>
      <c r="C546" s="58"/>
      <c r="D546" s="58"/>
      <c r="E546" s="58"/>
      <c r="F546" s="58"/>
      <c r="G546" s="58"/>
      <c r="H546" s="58"/>
      <c r="I546" s="58"/>
      <c r="J546" s="58"/>
      <c r="K546" s="58"/>
      <c r="L546" s="58"/>
      <c r="M546" s="58"/>
      <c r="N546" s="58"/>
      <c r="O546" s="58"/>
      <c r="P546" s="58"/>
      <c r="Q546" s="58"/>
      <c r="R546" s="58"/>
      <c r="S546" s="58"/>
      <c r="T546" s="58"/>
      <c r="U546" s="58"/>
      <c r="V546" s="58"/>
      <c r="W546" s="58"/>
      <c r="X546" s="58"/>
      <c r="Y546" s="58"/>
    </row>
    <row r="547">
      <c r="A547" s="58"/>
      <c r="B547" s="58"/>
      <c r="C547" s="58"/>
      <c r="D547" s="58"/>
      <c r="E547" s="58"/>
      <c r="F547" s="58"/>
      <c r="G547" s="58"/>
      <c r="H547" s="58"/>
      <c r="I547" s="58"/>
      <c r="J547" s="58"/>
      <c r="K547" s="58"/>
      <c r="L547" s="58"/>
      <c r="M547" s="58"/>
      <c r="N547" s="58"/>
      <c r="O547" s="58"/>
      <c r="P547" s="58"/>
      <c r="Q547" s="58"/>
      <c r="R547" s="58"/>
      <c r="S547" s="58"/>
      <c r="T547" s="58"/>
      <c r="U547" s="58"/>
      <c r="V547" s="58"/>
      <c r="W547" s="58"/>
      <c r="X547" s="58"/>
      <c r="Y547" s="58"/>
    </row>
    <row r="548">
      <c r="A548" s="58"/>
      <c r="B548" s="58"/>
      <c r="C548" s="58"/>
      <c r="D548" s="58"/>
      <c r="E548" s="58"/>
      <c r="F548" s="58"/>
      <c r="G548" s="58"/>
      <c r="H548" s="58"/>
      <c r="I548" s="58"/>
      <c r="J548" s="58"/>
      <c r="K548" s="58"/>
      <c r="L548" s="58"/>
      <c r="M548" s="58"/>
      <c r="N548" s="58"/>
      <c r="O548" s="58"/>
      <c r="P548" s="58"/>
      <c r="Q548" s="58"/>
      <c r="R548" s="58"/>
      <c r="S548" s="58"/>
      <c r="T548" s="58"/>
      <c r="U548" s="58"/>
      <c r="V548" s="58"/>
      <c r="W548" s="58"/>
      <c r="X548" s="58"/>
      <c r="Y548" s="58"/>
    </row>
    <row r="549">
      <c r="A549" s="58"/>
      <c r="B549" s="58"/>
      <c r="C549" s="58"/>
      <c r="D549" s="58"/>
      <c r="E549" s="58"/>
      <c r="F549" s="58"/>
      <c r="G549" s="58"/>
      <c r="H549" s="58"/>
      <c r="I549" s="58"/>
      <c r="J549" s="58"/>
      <c r="K549" s="58"/>
      <c r="L549" s="58"/>
      <c r="M549" s="58"/>
      <c r="N549" s="58"/>
      <c r="O549" s="58"/>
      <c r="P549" s="58"/>
      <c r="Q549" s="58"/>
      <c r="R549" s="58"/>
      <c r="S549" s="58"/>
      <c r="T549" s="58"/>
      <c r="U549" s="58"/>
      <c r="V549" s="58"/>
      <c r="W549" s="58"/>
      <c r="X549" s="58"/>
      <c r="Y549" s="58"/>
    </row>
    <row r="550">
      <c r="A550" s="58"/>
      <c r="B550" s="58"/>
      <c r="C550" s="58"/>
      <c r="D550" s="58"/>
      <c r="E550" s="58"/>
      <c r="F550" s="58"/>
      <c r="G550" s="58"/>
      <c r="H550" s="58"/>
      <c r="I550" s="58"/>
      <c r="J550" s="58"/>
      <c r="K550" s="58"/>
      <c r="L550" s="58"/>
      <c r="M550" s="58"/>
      <c r="N550" s="58"/>
      <c r="O550" s="58"/>
      <c r="P550" s="58"/>
      <c r="Q550" s="58"/>
      <c r="R550" s="58"/>
      <c r="S550" s="58"/>
      <c r="T550" s="58"/>
      <c r="U550" s="58"/>
      <c r="V550" s="58"/>
      <c r="W550" s="58"/>
      <c r="X550" s="58"/>
      <c r="Y550" s="58"/>
    </row>
    <row r="551">
      <c r="A551" s="58"/>
      <c r="B551" s="58"/>
      <c r="C551" s="58"/>
      <c r="D551" s="58"/>
      <c r="E551" s="58"/>
      <c r="F551" s="58"/>
      <c r="G551" s="58"/>
      <c r="H551" s="58"/>
      <c r="I551" s="58"/>
      <c r="J551" s="58"/>
      <c r="K551" s="58"/>
      <c r="L551" s="58"/>
      <c r="M551" s="58"/>
      <c r="N551" s="58"/>
      <c r="O551" s="58"/>
      <c r="P551" s="58"/>
      <c r="Q551" s="58"/>
      <c r="R551" s="58"/>
      <c r="S551" s="58"/>
      <c r="T551" s="58"/>
      <c r="U551" s="58"/>
      <c r="V551" s="58"/>
      <c r="W551" s="58"/>
      <c r="X551" s="58"/>
      <c r="Y551" s="58"/>
    </row>
    <row r="552">
      <c r="A552" s="58"/>
      <c r="B552" s="58"/>
      <c r="C552" s="58"/>
      <c r="D552" s="58"/>
      <c r="E552" s="58"/>
      <c r="F552" s="58"/>
      <c r="G552" s="58"/>
      <c r="H552" s="58"/>
      <c r="I552" s="58"/>
      <c r="J552" s="58"/>
      <c r="K552" s="58"/>
      <c r="L552" s="58"/>
      <c r="M552" s="58"/>
      <c r="N552" s="58"/>
      <c r="O552" s="58"/>
      <c r="P552" s="58"/>
      <c r="Q552" s="58"/>
      <c r="R552" s="58"/>
      <c r="S552" s="58"/>
      <c r="T552" s="58"/>
      <c r="U552" s="58"/>
      <c r="V552" s="58"/>
      <c r="W552" s="58"/>
      <c r="X552" s="58"/>
      <c r="Y552" s="58"/>
    </row>
    <row r="553">
      <c r="A553" s="58"/>
      <c r="B553" s="58"/>
      <c r="C553" s="58"/>
      <c r="D553" s="58"/>
      <c r="E553" s="58"/>
      <c r="F553" s="58"/>
      <c r="G553" s="58"/>
      <c r="H553" s="58"/>
      <c r="I553" s="58"/>
      <c r="J553" s="58"/>
      <c r="K553" s="58"/>
      <c r="L553" s="58"/>
      <c r="M553" s="58"/>
      <c r="N553" s="58"/>
      <c r="O553" s="58"/>
      <c r="P553" s="58"/>
      <c r="Q553" s="58"/>
      <c r="R553" s="58"/>
      <c r="S553" s="58"/>
      <c r="T553" s="58"/>
      <c r="U553" s="58"/>
      <c r="V553" s="58"/>
      <c r="W553" s="58"/>
      <c r="X553" s="58"/>
      <c r="Y553" s="58"/>
    </row>
    <row r="554">
      <c r="A554" s="58"/>
      <c r="B554" s="58"/>
      <c r="C554" s="58"/>
      <c r="D554" s="58"/>
      <c r="E554" s="58"/>
      <c r="F554" s="58"/>
      <c r="G554" s="58"/>
      <c r="H554" s="58"/>
      <c r="I554" s="58"/>
      <c r="J554" s="58"/>
      <c r="K554" s="58"/>
      <c r="L554" s="58"/>
      <c r="M554" s="58"/>
      <c r="N554" s="58"/>
      <c r="O554" s="58"/>
      <c r="P554" s="58"/>
      <c r="Q554" s="58"/>
      <c r="R554" s="58"/>
      <c r="S554" s="58"/>
      <c r="T554" s="58"/>
      <c r="U554" s="58"/>
      <c r="V554" s="58"/>
      <c r="W554" s="58"/>
      <c r="X554" s="58"/>
      <c r="Y554" s="58"/>
    </row>
    <row r="555">
      <c r="A555" s="58"/>
      <c r="B555" s="58"/>
      <c r="C555" s="58"/>
      <c r="D555" s="58"/>
      <c r="E555" s="58"/>
      <c r="F555" s="58"/>
      <c r="G555" s="58"/>
      <c r="H555" s="58"/>
      <c r="I555" s="58"/>
      <c r="J555" s="58"/>
      <c r="K555" s="58"/>
      <c r="L555" s="58"/>
      <c r="M555" s="58"/>
      <c r="N555" s="58"/>
      <c r="O555" s="58"/>
      <c r="P555" s="58"/>
      <c r="Q555" s="58"/>
      <c r="R555" s="58"/>
      <c r="S555" s="58"/>
      <c r="T555" s="58"/>
      <c r="U555" s="58"/>
      <c r="V555" s="58"/>
      <c r="W555" s="58"/>
      <c r="X555" s="58"/>
      <c r="Y555" s="58"/>
    </row>
    <row r="556">
      <c r="A556" s="58"/>
      <c r="B556" s="58"/>
      <c r="C556" s="58"/>
      <c r="D556" s="58"/>
      <c r="E556" s="58"/>
      <c r="F556" s="58"/>
      <c r="G556" s="58"/>
      <c r="H556" s="58"/>
      <c r="I556" s="58"/>
      <c r="J556" s="58"/>
      <c r="K556" s="58"/>
      <c r="L556" s="58"/>
      <c r="M556" s="58"/>
      <c r="N556" s="58"/>
      <c r="O556" s="58"/>
      <c r="P556" s="58"/>
      <c r="Q556" s="58"/>
      <c r="R556" s="58"/>
      <c r="S556" s="58"/>
      <c r="T556" s="58"/>
      <c r="U556" s="58"/>
      <c r="V556" s="58"/>
      <c r="W556" s="58"/>
      <c r="X556" s="58"/>
      <c r="Y556" s="58"/>
    </row>
    <row r="557">
      <c r="A557" s="58"/>
      <c r="B557" s="58"/>
      <c r="C557" s="58"/>
      <c r="D557" s="58"/>
      <c r="E557" s="58"/>
      <c r="F557" s="58"/>
      <c r="G557" s="58"/>
      <c r="H557" s="58"/>
      <c r="I557" s="58"/>
      <c r="J557" s="58"/>
      <c r="K557" s="58"/>
      <c r="L557" s="58"/>
      <c r="M557" s="58"/>
      <c r="N557" s="58"/>
      <c r="O557" s="58"/>
      <c r="P557" s="58"/>
      <c r="Q557" s="58"/>
      <c r="R557" s="58"/>
      <c r="S557" s="58"/>
      <c r="T557" s="58"/>
      <c r="U557" s="58"/>
      <c r="V557" s="58"/>
      <c r="W557" s="58"/>
      <c r="X557" s="58"/>
      <c r="Y557" s="58"/>
    </row>
    <row r="558">
      <c r="A558" s="58"/>
      <c r="B558" s="58"/>
      <c r="C558" s="58"/>
      <c r="D558" s="58"/>
      <c r="E558" s="58"/>
      <c r="F558" s="58"/>
      <c r="G558" s="58"/>
      <c r="H558" s="58"/>
      <c r="I558" s="58"/>
      <c r="J558" s="58"/>
      <c r="K558" s="58"/>
      <c r="L558" s="58"/>
      <c r="M558" s="58"/>
      <c r="N558" s="58"/>
      <c r="O558" s="58"/>
      <c r="P558" s="58"/>
      <c r="Q558" s="58"/>
      <c r="R558" s="58"/>
      <c r="S558" s="58"/>
      <c r="T558" s="58"/>
      <c r="U558" s="58"/>
      <c r="V558" s="58"/>
      <c r="W558" s="58"/>
      <c r="X558" s="58"/>
      <c r="Y558" s="58"/>
    </row>
    <row r="559">
      <c r="A559" s="58"/>
      <c r="B559" s="58"/>
      <c r="C559" s="58"/>
      <c r="D559" s="58"/>
      <c r="E559" s="58"/>
      <c r="F559" s="58"/>
      <c r="G559" s="58"/>
      <c r="H559" s="58"/>
      <c r="I559" s="58"/>
      <c r="J559" s="58"/>
      <c r="K559" s="58"/>
      <c r="L559" s="58"/>
      <c r="M559" s="58"/>
      <c r="N559" s="58"/>
      <c r="O559" s="58"/>
      <c r="P559" s="58"/>
      <c r="Q559" s="58"/>
      <c r="R559" s="58"/>
      <c r="S559" s="58"/>
      <c r="T559" s="58"/>
      <c r="U559" s="58"/>
      <c r="V559" s="58"/>
      <c r="W559" s="58"/>
      <c r="X559" s="58"/>
      <c r="Y559" s="58"/>
    </row>
    <row r="560">
      <c r="A560" s="58"/>
      <c r="B560" s="58"/>
      <c r="C560" s="58"/>
      <c r="D560" s="58"/>
      <c r="E560" s="58"/>
      <c r="F560" s="58"/>
      <c r="G560" s="58"/>
      <c r="H560" s="58"/>
      <c r="I560" s="58"/>
      <c r="J560" s="58"/>
      <c r="K560" s="58"/>
      <c r="L560" s="58"/>
      <c r="M560" s="58"/>
      <c r="N560" s="58"/>
      <c r="O560" s="58"/>
      <c r="P560" s="58"/>
      <c r="Q560" s="58"/>
      <c r="R560" s="58"/>
      <c r="S560" s="58"/>
      <c r="T560" s="58"/>
      <c r="U560" s="58"/>
      <c r="V560" s="58"/>
      <c r="W560" s="58"/>
      <c r="X560" s="58"/>
      <c r="Y560" s="58"/>
    </row>
    <row r="561">
      <c r="A561" s="58"/>
      <c r="B561" s="58"/>
      <c r="C561" s="58"/>
      <c r="D561" s="58"/>
      <c r="E561" s="58"/>
      <c r="F561" s="58"/>
      <c r="G561" s="58"/>
      <c r="H561" s="58"/>
      <c r="I561" s="58"/>
      <c r="J561" s="58"/>
      <c r="K561" s="58"/>
      <c r="L561" s="58"/>
      <c r="M561" s="58"/>
      <c r="N561" s="58"/>
      <c r="O561" s="58"/>
      <c r="P561" s="58"/>
      <c r="Q561" s="58"/>
      <c r="R561" s="58"/>
      <c r="S561" s="58"/>
      <c r="T561" s="58"/>
      <c r="U561" s="58"/>
      <c r="V561" s="58"/>
      <c r="W561" s="58"/>
      <c r="X561" s="58"/>
      <c r="Y561" s="58"/>
    </row>
    <row r="562">
      <c r="A562" s="58"/>
      <c r="B562" s="58"/>
      <c r="C562" s="58"/>
      <c r="D562" s="58"/>
      <c r="E562" s="58"/>
      <c r="F562" s="58"/>
      <c r="G562" s="58"/>
      <c r="H562" s="58"/>
      <c r="I562" s="58"/>
      <c r="J562" s="58"/>
      <c r="K562" s="58"/>
      <c r="L562" s="58"/>
      <c r="M562" s="58"/>
      <c r="N562" s="58"/>
      <c r="O562" s="58"/>
      <c r="P562" s="58"/>
      <c r="Q562" s="58"/>
      <c r="R562" s="58"/>
      <c r="S562" s="58"/>
      <c r="T562" s="58"/>
      <c r="U562" s="58"/>
      <c r="V562" s="58"/>
      <c r="W562" s="58"/>
      <c r="X562" s="58"/>
      <c r="Y562" s="58"/>
    </row>
    <row r="563">
      <c r="A563" s="58"/>
      <c r="B563" s="58"/>
      <c r="C563" s="58"/>
      <c r="D563" s="58"/>
      <c r="E563" s="58"/>
      <c r="F563" s="58"/>
      <c r="G563" s="58"/>
      <c r="H563" s="58"/>
      <c r="I563" s="58"/>
      <c r="J563" s="58"/>
      <c r="K563" s="58"/>
      <c r="L563" s="58"/>
      <c r="M563" s="58"/>
      <c r="N563" s="58"/>
      <c r="O563" s="58"/>
      <c r="P563" s="58"/>
      <c r="Q563" s="58"/>
      <c r="R563" s="58"/>
      <c r="S563" s="58"/>
      <c r="T563" s="58"/>
      <c r="U563" s="58"/>
      <c r="V563" s="58"/>
      <c r="W563" s="58"/>
      <c r="X563" s="58"/>
      <c r="Y563" s="58"/>
    </row>
    <row r="564">
      <c r="A564" s="58"/>
      <c r="B564" s="58"/>
      <c r="C564" s="58"/>
      <c r="D564" s="58"/>
      <c r="E564" s="58"/>
      <c r="F564" s="58"/>
      <c r="G564" s="58"/>
      <c r="H564" s="58"/>
      <c r="I564" s="58"/>
      <c r="J564" s="58"/>
      <c r="K564" s="58"/>
      <c r="L564" s="58"/>
      <c r="M564" s="58"/>
      <c r="N564" s="58"/>
      <c r="O564" s="58"/>
      <c r="P564" s="58"/>
      <c r="Q564" s="58"/>
      <c r="R564" s="58"/>
      <c r="S564" s="58"/>
      <c r="T564" s="58"/>
      <c r="U564" s="58"/>
      <c r="V564" s="58"/>
      <c r="W564" s="58"/>
      <c r="X564" s="58"/>
      <c r="Y564" s="58"/>
    </row>
    <row r="565">
      <c r="A565" s="58"/>
      <c r="B565" s="58"/>
      <c r="C565" s="58"/>
      <c r="D565" s="58"/>
      <c r="E565" s="58"/>
      <c r="F565" s="58"/>
      <c r="G565" s="58"/>
      <c r="H565" s="58"/>
      <c r="I565" s="58"/>
      <c r="J565" s="58"/>
      <c r="K565" s="58"/>
      <c r="L565" s="58"/>
      <c r="M565" s="58"/>
      <c r="N565" s="58"/>
      <c r="O565" s="58"/>
      <c r="P565" s="58"/>
      <c r="Q565" s="58"/>
      <c r="R565" s="58"/>
      <c r="S565" s="58"/>
      <c r="T565" s="58"/>
      <c r="U565" s="58"/>
      <c r="V565" s="58"/>
      <c r="W565" s="58"/>
      <c r="X565" s="58"/>
      <c r="Y565" s="58"/>
    </row>
    <row r="566">
      <c r="A566" s="58"/>
      <c r="B566" s="58"/>
      <c r="C566" s="58"/>
      <c r="D566" s="58"/>
      <c r="E566" s="58"/>
      <c r="F566" s="58"/>
      <c r="G566" s="58"/>
      <c r="H566" s="58"/>
      <c r="I566" s="58"/>
      <c r="J566" s="58"/>
      <c r="K566" s="58"/>
      <c r="L566" s="58"/>
      <c r="M566" s="58"/>
      <c r="N566" s="58"/>
      <c r="O566" s="58"/>
      <c r="P566" s="58"/>
      <c r="Q566" s="58"/>
      <c r="R566" s="58"/>
      <c r="S566" s="58"/>
      <c r="T566" s="58"/>
      <c r="U566" s="58"/>
      <c r="V566" s="58"/>
      <c r="W566" s="58"/>
      <c r="X566" s="58"/>
      <c r="Y566" s="58"/>
    </row>
    <row r="567">
      <c r="A567" s="58"/>
      <c r="B567" s="58"/>
      <c r="C567" s="58"/>
      <c r="D567" s="58"/>
      <c r="E567" s="58"/>
      <c r="F567" s="58"/>
      <c r="G567" s="58"/>
      <c r="H567" s="58"/>
      <c r="I567" s="58"/>
      <c r="J567" s="58"/>
      <c r="K567" s="58"/>
      <c r="L567" s="58"/>
      <c r="M567" s="58"/>
      <c r="N567" s="58"/>
      <c r="O567" s="58"/>
      <c r="P567" s="58"/>
      <c r="Q567" s="58"/>
      <c r="R567" s="58"/>
      <c r="S567" s="58"/>
      <c r="T567" s="58"/>
      <c r="U567" s="58"/>
      <c r="V567" s="58"/>
      <c r="W567" s="58"/>
      <c r="X567" s="58"/>
      <c r="Y567" s="58"/>
    </row>
    <row r="568">
      <c r="A568" s="58"/>
      <c r="B568" s="58"/>
      <c r="C568" s="58"/>
      <c r="D568" s="58"/>
      <c r="E568" s="58"/>
      <c r="F568" s="58"/>
      <c r="G568" s="58"/>
      <c r="H568" s="58"/>
      <c r="I568" s="58"/>
      <c r="J568" s="58"/>
      <c r="K568" s="58"/>
      <c r="L568" s="58"/>
      <c r="M568" s="58"/>
      <c r="N568" s="58"/>
      <c r="O568" s="58"/>
      <c r="P568" s="58"/>
      <c r="Q568" s="58"/>
      <c r="R568" s="58"/>
      <c r="S568" s="58"/>
      <c r="T568" s="58"/>
      <c r="U568" s="58"/>
      <c r="V568" s="58"/>
      <c r="W568" s="58"/>
      <c r="X568" s="58"/>
      <c r="Y568" s="58"/>
    </row>
    <row r="569">
      <c r="A569" s="58"/>
      <c r="B569" s="58"/>
      <c r="C569" s="58"/>
      <c r="D569" s="58"/>
      <c r="E569" s="58"/>
      <c r="F569" s="58"/>
      <c r="G569" s="58"/>
      <c r="H569" s="58"/>
      <c r="I569" s="58"/>
      <c r="J569" s="58"/>
      <c r="K569" s="58"/>
      <c r="L569" s="58"/>
      <c r="M569" s="58"/>
      <c r="N569" s="58"/>
      <c r="O569" s="58"/>
      <c r="P569" s="58"/>
      <c r="Q569" s="58"/>
      <c r="R569" s="58"/>
      <c r="S569" s="58"/>
      <c r="T569" s="58"/>
      <c r="U569" s="58"/>
      <c r="V569" s="58"/>
      <c r="W569" s="58"/>
      <c r="X569" s="58"/>
      <c r="Y569" s="58"/>
    </row>
    <row r="570">
      <c r="A570" s="58"/>
      <c r="B570" s="58"/>
      <c r="C570" s="58"/>
      <c r="D570" s="58"/>
      <c r="E570" s="58"/>
      <c r="F570" s="58"/>
      <c r="G570" s="58"/>
      <c r="H570" s="58"/>
      <c r="I570" s="58"/>
      <c r="J570" s="58"/>
      <c r="K570" s="58"/>
      <c r="L570" s="58"/>
      <c r="M570" s="58"/>
      <c r="N570" s="58"/>
      <c r="O570" s="58"/>
      <c r="P570" s="58"/>
      <c r="Q570" s="58"/>
      <c r="R570" s="58"/>
      <c r="S570" s="58"/>
      <c r="T570" s="58"/>
      <c r="U570" s="58"/>
      <c r="V570" s="58"/>
      <c r="W570" s="58"/>
      <c r="X570" s="58"/>
      <c r="Y570" s="58"/>
    </row>
    <row r="571">
      <c r="A571" s="58"/>
      <c r="B571" s="58"/>
      <c r="C571" s="58"/>
      <c r="D571" s="58"/>
      <c r="E571" s="58"/>
      <c r="F571" s="58"/>
      <c r="G571" s="58"/>
      <c r="H571" s="58"/>
      <c r="I571" s="58"/>
      <c r="J571" s="58"/>
      <c r="K571" s="58"/>
      <c r="L571" s="58"/>
      <c r="M571" s="58"/>
      <c r="N571" s="58"/>
      <c r="O571" s="58"/>
      <c r="P571" s="58"/>
      <c r="Q571" s="58"/>
      <c r="R571" s="58"/>
      <c r="S571" s="58"/>
      <c r="T571" s="58"/>
      <c r="U571" s="58"/>
      <c r="V571" s="58"/>
      <c r="W571" s="58"/>
      <c r="X571" s="58"/>
      <c r="Y571" s="58"/>
    </row>
    <row r="572">
      <c r="A572" s="58"/>
      <c r="B572" s="58"/>
      <c r="C572" s="58"/>
      <c r="D572" s="58"/>
      <c r="E572" s="58"/>
      <c r="F572" s="58"/>
      <c r="G572" s="58"/>
      <c r="H572" s="58"/>
      <c r="I572" s="58"/>
      <c r="J572" s="58"/>
      <c r="K572" s="58"/>
      <c r="L572" s="58"/>
      <c r="M572" s="58"/>
      <c r="N572" s="58"/>
      <c r="O572" s="58"/>
      <c r="P572" s="58"/>
      <c r="Q572" s="58"/>
      <c r="R572" s="58"/>
      <c r="S572" s="58"/>
      <c r="T572" s="58"/>
      <c r="U572" s="58"/>
      <c r="V572" s="58"/>
      <c r="W572" s="58"/>
      <c r="X572" s="58"/>
      <c r="Y572" s="58"/>
    </row>
    <row r="573">
      <c r="A573" s="58"/>
      <c r="B573" s="58"/>
      <c r="C573" s="58"/>
      <c r="D573" s="58"/>
      <c r="E573" s="58"/>
      <c r="F573" s="58"/>
      <c r="G573" s="58"/>
      <c r="H573" s="58"/>
      <c r="I573" s="58"/>
      <c r="J573" s="58"/>
      <c r="K573" s="58"/>
      <c r="L573" s="58"/>
      <c r="M573" s="58"/>
      <c r="N573" s="58"/>
      <c r="O573" s="58"/>
      <c r="P573" s="58"/>
      <c r="Q573" s="58"/>
      <c r="R573" s="58"/>
      <c r="S573" s="58"/>
      <c r="T573" s="58"/>
      <c r="U573" s="58"/>
      <c r="V573" s="58"/>
      <c r="W573" s="58"/>
      <c r="X573" s="58"/>
      <c r="Y573" s="58"/>
    </row>
    <row r="574">
      <c r="A574" s="58"/>
      <c r="B574" s="58"/>
      <c r="C574" s="58"/>
      <c r="D574" s="58"/>
      <c r="E574" s="58"/>
      <c r="F574" s="58"/>
      <c r="G574" s="58"/>
      <c r="H574" s="58"/>
      <c r="I574" s="58"/>
      <c r="J574" s="58"/>
      <c r="K574" s="58"/>
      <c r="L574" s="58"/>
      <c r="M574" s="58"/>
      <c r="N574" s="58"/>
      <c r="O574" s="58"/>
      <c r="P574" s="58"/>
      <c r="Q574" s="58"/>
      <c r="R574" s="58"/>
      <c r="S574" s="58"/>
      <c r="T574" s="58"/>
      <c r="U574" s="58"/>
      <c r="V574" s="58"/>
      <c r="W574" s="58"/>
      <c r="X574" s="58"/>
      <c r="Y574" s="58"/>
    </row>
    <row r="575">
      <c r="A575" s="58"/>
      <c r="B575" s="58"/>
      <c r="C575" s="58"/>
      <c r="D575" s="58"/>
      <c r="E575" s="58"/>
      <c r="F575" s="58"/>
      <c r="G575" s="58"/>
      <c r="H575" s="58"/>
      <c r="I575" s="58"/>
      <c r="J575" s="58"/>
      <c r="K575" s="58"/>
      <c r="L575" s="58"/>
      <c r="M575" s="58"/>
      <c r="N575" s="58"/>
      <c r="O575" s="58"/>
      <c r="P575" s="58"/>
      <c r="Q575" s="58"/>
      <c r="R575" s="58"/>
      <c r="S575" s="58"/>
      <c r="T575" s="58"/>
      <c r="U575" s="58"/>
      <c r="V575" s="58"/>
      <c r="W575" s="58"/>
      <c r="X575" s="58"/>
      <c r="Y575" s="58"/>
    </row>
    <row r="576">
      <c r="A576" s="58"/>
      <c r="B576" s="58"/>
      <c r="C576" s="58"/>
      <c r="D576" s="58"/>
      <c r="E576" s="58"/>
      <c r="F576" s="58"/>
      <c r="G576" s="58"/>
      <c r="H576" s="58"/>
      <c r="I576" s="58"/>
      <c r="J576" s="58"/>
      <c r="K576" s="58"/>
      <c r="L576" s="58"/>
      <c r="M576" s="58"/>
      <c r="N576" s="58"/>
      <c r="O576" s="58"/>
      <c r="P576" s="58"/>
      <c r="Q576" s="58"/>
      <c r="R576" s="58"/>
      <c r="S576" s="58"/>
      <c r="T576" s="58"/>
      <c r="U576" s="58"/>
      <c r="V576" s="58"/>
      <c r="W576" s="58"/>
      <c r="X576" s="58"/>
      <c r="Y576" s="58"/>
    </row>
    <row r="577">
      <c r="A577" s="58"/>
      <c r="B577" s="58"/>
      <c r="C577" s="58"/>
      <c r="D577" s="58"/>
      <c r="E577" s="58"/>
      <c r="F577" s="58"/>
      <c r="G577" s="58"/>
      <c r="H577" s="58"/>
      <c r="I577" s="58"/>
      <c r="J577" s="58"/>
      <c r="K577" s="58"/>
      <c r="L577" s="58"/>
      <c r="M577" s="58"/>
      <c r="N577" s="58"/>
      <c r="O577" s="58"/>
      <c r="P577" s="58"/>
      <c r="Q577" s="58"/>
      <c r="R577" s="58"/>
      <c r="S577" s="58"/>
      <c r="T577" s="58"/>
      <c r="U577" s="58"/>
      <c r="V577" s="58"/>
      <c r="W577" s="58"/>
      <c r="X577" s="58"/>
      <c r="Y577" s="58"/>
    </row>
    <row r="578">
      <c r="A578" s="58"/>
      <c r="B578" s="58"/>
      <c r="C578" s="58"/>
      <c r="D578" s="58"/>
      <c r="E578" s="58"/>
      <c r="F578" s="58"/>
      <c r="G578" s="58"/>
      <c r="H578" s="58"/>
      <c r="I578" s="58"/>
      <c r="J578" s="58"/>
      <c r="K578" s="58"/>
      <c r="L578" s="58"/>
      <c r="M578" s="58"/>
      <c r="N578" s="58"/>
      <c r="O578" s="58"/>
      <c r="P578" s="58"/>
      <c r="Q578" s="58"/>
      <c r="R578" s="58"/>
      <c r="S578" s="58"/>
      <c r="T578" s="58"/>
      <c r="U578" s="58"/>
      <c r="V578" s="58"/>
      <c r="W578" s="58"/>
      <c r="X578" s="58"/>
      <c r="Y578" s="58"/>
    </row>
    <row r="579">
      <c r="A579" s="58"/>
      <c r="B579" s="58"/>
      <c r="C579" s="58"/>
      <c r="D579" s="58"/>
      <c r="E579" s="58"/>
      <c r="F579" s="58"/>
      <c r="G579" s="58"/>
      <c r="H579" s="58"/>
      <c r="I579" s="58"/>
      <c r="J579" s="58"/>
      <c r="K579" s="58"/>
      <c r="L579" s="58"/>
      <c r="M579" s="58"/>
      <c r="N579" s="58"/>
      <c r="O579" s="58"/>
      <c r="P579" s="58"/>
      <c r="Q579" s="58"/>
      <c r="R579" s="58"/>
      <c r="S579" s="58"/>
      <c r="T579" s="58"/>
      <c r="U579" s="58"/>
      <c r="V579" s="58"/>
      <c r="W579" s="58"/>
      <c r="X579" s="58"/>
      <c r="Y579" s="58"/>
    </row>
    <row r="580">
      <c r="A580" s="58"/>
      <c r="B580" s="58"/>
      <c r="C580" s="58"/>
      <c r="D580" s="58"/>
      <c r="E580" s="58"/>
      <c r="F580" s="58"/>
      <c r="G580" s="58"/>
      <c r="H580" s="58"/>
      <c r="I580" s="58"/>
      <c r="J580" s="58"/>
      <c r="K580" s="58"/>
      <c r="L580" s="58"/>
      <c r="M580" s="58"/>
      <c r="N580" s="58"/>
      <c r="O580" s="58"/>
      <c r="P580" s="58"/>
      <c r="Q580" s="58"/>
      <c r="R580" s="58"/>
      <c r="S580" s="58"/>
      <c r="T580" s="58"/>
      <c r="U580" s="58"/>
      <c r="V580" s="58"/>
      <c r="W580" s="58"/>
      <c r="X580" s="58"/>
      <c r="Y580" s="58"/>
    </row>
    <row r="581">
      <c r="A581" s="58"/>
      <c r="B581" s="58"/>
      <c r="C581" s="58"/>
      <c r="D581" s="58"/>
      <c r="E581" s="58"/>
      <c r="F581" s="58"/>
      <c r="G581" s="58"/>
      <c r="H581" s="58"/>
      <c r="I581" s="58"/>
      <c r="J581" s="58"/>
      <c r="K581" s="58"/>
      <c r="L581" s="58"/>
      <c r="M581" s="58"/>
      <c r="N581" s="58"/>
      <c r="O581" s="58"/>
      <c r="P581" s="58"/>
      <c r="Q581" s="58"/>
      <c r="R581" s="58"/>
      <c r="S581" s="58"/>
      <c r="T581" s="58"/>
      <c r="U581" s="58"/>
      <c r="V581" s="58"/>
      <c r="W581" s="58"/>
      <c r="X581" s="58"/>
      <c r="Y581" s="58"/>
    </row>
    <row r="582">
      <c r="A582" s="58"/>
      <c r="B582" s="58"/>
      <c r="C582" s="58"/>
      <c r="D582" s="58"/>
      <c r="E582" s="58"/>
      <c r="F582" s="58"/>
      <c r="G582" s="58"/>
      <c r="H582" s="58"/>
      <c r="I582" s="58"/>
      <c r="J582" s="58"/>
      <c r="K582" s="58"/>
      <c r="L582" s="58"/>
      <c r="M582" s="58"/>
      <c r="N582" s="58"/>
      <c r="O582" s="58"/>
      <c r="P582" s="58"/>
      <c r="Q582" s="58"/>
      <c r="R582" s="58"/>
      <c r="S582" s="58"/>
      <c r="T582" s="58"/>
      <c r="U582" s="58"/>
      <c r="V582" s="58"/>
      <c r="W582" s="58"/>
      <c r="X582" s="58"/>
      <c r="Y582" s="58"/>
    </row>
    <row r="583">
      <c r="A583" s="58"/>
      <c r="B583" s="58"/>
      <c r="C583" s="58"/>
      <c r="D583" s="58"/>
      <c r="E583" s="58"/>
      <c r="F583" s="58"/>
      <c r="G583" s="58"/>
      <c r="H583" s="58"/>
      <c r="I583" s="58"/>
      <c r="J583" s="58"/>
      <c r="K583" s="58"/>
      <c r="L583" s="58"/>
      <c r="M583" s="58"/>
      <c r="N583" s="58"/>
      <c r="O583" s="58"/>
      <c r="P583" s="58"/>
      <c r="Q583" s="58"/>
      <c r="R583" s="58"/>
      <c r="S583" s="58"/>
      <c r="T583" s="58"/>
      <c r="U583" s="58"/>
      <c r="V583" s="58"/>
      <c r="W583" s="58"/>
      <c r="X583" s="58"/>
      <c r="Y583" s="58"/>
    </row>
    <row r="584">
      <c r="A584" s="58"/>
      <c r="B584" s="58"/>
      <c r="C584" s="58"/>
      <c r="D584" s="58"/>
      <c r="E584" s="58"/>
      <c r="F584" s="58"/>
      <c r="G584" s="58"/>
      <c r="H584" s="58"/>
      <c r="I584" s="58"/>
      <c r="J584" s="58"/>
      <c r="K584" s="58"/>
      <c r="L584" s="58"/>
      <c r="M584" s="58"/>
      <c r="N584" s="58"/>
      <c r="O584" s="58"/>
      <c r="P584" s="58"/>
      <c r="Q584" s="58"/>
      <c r="R584" s="58"/>
      <c r="S584" s="58"/>
      <c r="T584" s="58"/>
      <c r="U584" s="58"/>
      <c r="V584" s="58"/>
      <c r="W584" s="58"/>
      <c r="X584" s="58"/>
      <c r="Y584" s="58"/>
    </row>
    <row r="585">
      <c r="A585" s="58"/>
      <c r="B585" s="58"/>
      <c r="C585" s="58"/>
      <c r="D585" s="58"/>
      <c r="E585" s="58"/>
      <c r="F585" s="58"/>
      <c r="G585" s="58"/>
      <c r="H585" s="58"/>
      <c r="I585" s="58"/>
      <c r="J585" s="58"/>
      <c r="K585" s="58"/>
      <c r="L585" s="58"/>
      <c r="M585" s="58"/>
      <c r="N585" s="58"/>
      <c r="O585" s="58"/>
      <c r="P585" s="58"/>
      <c r="Q585" s="58"/>
      <c r="R585" s="58"/>
      <c r="S585" s="58"/>
      <c r="T585" s="58"/>
      <c r="U585" s="58"/>
      <c r="V585" s="58"/>
      <c r="W585" s="58"/>
      <c r="X585" s="58"/>
      <c r="Y585" s="58"/>
    </row>
    <row r="586">
      <c r="A586" s="58"/>
      <c r="B586" s="58"/>
      <c r="C586" s="58"/>
      <c r="D586" s="58"/>
      <c r="E586" s="58"/>
      <c r="F586" s="58"/>
      <c r="G586" s="58"/>
      <c r="H586" s="58"/>
      <c r="I586" s="58"/>
      <c r="J586" s="58"/>
      <c r="K586" s="58"/>
      <c r="L586" s="58"/>
      <c r="M586" s="58"/>
      <c r="N586" s="58"/>
      <c r="O586" s="58"/>
      <c r="P586" s="58"/>
      <c r="Q586" s="58"/>
      <c r="R586" s="58"/>
      <c r="S586" s="58"/>
      <c r="T586" s="58"/>
      <c r="U586" s="58"/>
      <c r="V586" s="58"/>
      <c r="W586" s="58"/>
      <c r="X586" s="58"/>
      <c r="Y586" s="58"/>
    </row>
    <row r="587">
      <c r="A587" s="58"/>
      <c r="B587" s="58"/>
      <c r="C587" s="58"/>
      <c r="D587" s="58"/>
      <c r="E587" s="58"/>
      <c r="F587" s="58"/>
      <c r="G587" s="58"/>
      <c r="H587" s="58"/>
      <c r="I587" s="58"/>
      <c r="J587" s="58"/>
      <c r="K587" s="58"/>
      <c r="L587" s="58"/>
      <c r="M587" s="58"/>
      <c r="N587" s="58"/>
      <c r="O587" s="58"/>
      <c r="P587" s="58"/>
      <c r="Q587" s="58"/>
      <c r="R587" s="58"/>
      <c r="S587" s="58"/>
      <c r="T587" s="58"/>
      <c r="U587" s="58"/>
      <c r="V587" s="58"/>
      <c r="W587" s="58"/>
      <c r="X587" s="58"/>
      <c r="Y587" s="58"/>
    </row>
    <row r="588">
      <c r="A588" s="58"/>
      <c r="B588" s="58"/>
      <c r="C588" s="58"/>
      <c r="D588" s="58"/>
      <c r="E588" s="58"/>
      <c r="F588" s="58"/>
      <c r="G588" s="58"/>
      <c r="H588" s="58"/>
      <c r="I588" s="58"/>
      <c r="J588" s="58"/>
      <c r="K588" s="58"/>
      <c r="L588" s="58"/>
      <c r="M588" s="58"/>
      <c r="N588" s="58"/>
      <c r="O588" s="58"/>
      <c r="P588" s="58"/>
      <c r="Q588" s="58"/>
      <c r="R588" s="58"/>
      <c r="S588" s="58"/>
      <c r="T588" s="58"/>
      <c r="U588" s="58"/>
      <c r="V588" s="58"/>
      <c r="W588" s="58"/>
      <c r="X588" s="58"/>
      <c r="Y588" s="58"/>
    </row>
    <row r="589">
      <c r="A589" s="58"/>
      <c r="B589" s="58"/>
      <c r="C589" s="58"/>
      <c r="D589" s="58"/>
      <c r="E589" s="58"/>
      <c r="F589" s="58"/>
      <c r="G589" s="58"/>
      <c r="H589" s="58"/>
      <c r="I589" s="58"/>
      <c r="J589" s="58"/>
      <c r="K589" s="58"/>
      <c r="L589" s="58"/>
      <c r="M589" s="58"/>
      <c r="N589" s="58"/>
      <c r="O589" s="58"/>
      <c r="P589" s="58"/>
      <c r="Q589" s="58"/>
      <c r="R589" s="58"/>
      <c r="S589" s="58"/>
      <c r="T589" s="58"/>
      <c r="U589" s="58"/>
      <c r="V589" s="58"/>
      <c r="W589" s="58"/>
      <c r="X589" s="58"/>
      <c r="Y589" s="58"/>
    </row>
    <row r="590">
      <c r="A590" s="58"/>
      <c r="B590" s="58"/>
      <c r="C590" s="58"/>
      <c r="D590" s="58"/>
      <c r="E590" s="58"/>
      <c r="F590" s="58"/>
      <c r="G590" s="58"/>
      <c r="H590" s="58"/>
      <c r="I590" s="58"/>
      <c r="J590" s="58"/>
      <c r="K590" s="58"/>
      <c r="L590" s="58"/>
      <c r="M590" s="58"/>
      <c r="N590" s="58"/>
      <c r="O590" s="58"/>
      <c r="P590" s="58"/>
      <c r="Q590" s="58"/>
      <c r="R590" s="58"/>
      <c r="S590" s="58"/>
      <c r="T590" s="58"/>
      <c r="U590" s="58"/>
      <c r="V590" s="58"/>
      <c r="W590" s="58"/>
      <c r="X590" s="58"/>
      <c r="Y590" s="58"/>
    </row>
    <row r="591">
      <c r="A591" s="58"/>
      <c r="B591" s="58"/>
      <c r="C591" s="58"/>
      <c r="D591" s="58"/>
      <c r="E591" s="58"/>
      <c r="F591" s="58"/>
      <c r="G591" s="58"/>
      <c r="H591" s="58"/>
      <c r="I591" s="58"/>
      <c r="J591" s="58"/>
      <c r="K591" s="58"/>
      <c r="L591" s="58"/>
      <c r="M591" s="58"/>
      <c r="N591" s="58"/>
      <c r="O591" s="58"/>
      <c r="P591" s="58"/>
      <c r="Q591" s="58"/>
      <c r="R591" s="58"/>
      <c r="S591" s="58"/>
      <c r="T591" s="58"/>
      <c r="U591" s="58"/>
      <c r="V591" s="58"/>
      <c r="W591" s="58"/>
      <c r="X591" s="58"/>
      <c r="Y591" s="58"/>
    </row>
    <row r="592">
      <c r="A592" s="58"/>
      <c r="B592" s="58"/>
      <c r="C592" s="58"/>
      <c r="D592" s="58"/>
      <c r="E592" s="58"/>
      <c r="F592" s="58"/>
      <c r="G592" s="58"/>
      <c r="H592" s="58"/>
      <c r="I592" s="58"/>
      <c r="J592" s="58"/>
      <c r="K592" s="58"/>
      <c r="L592" s="58"/>
      <c r="M592" s="58"/>
      <c r="N592" s="58"/>
      <c r="O592" s="58"/>
      <c r="P592" s="58"/>
      <c r="Q592" s="58"/>
      <c r="R592" s="58"/>
      <c r="S592" s="58"/>
      <c r="T592" s="58"/>
      <c r="U592" s="58"/>
      <c r="V592" s="58"/>
      <c r="W592" s="58"/>
      <c r="X592" s="58"/>
      <c r="Y592" s="58"/>
    </row>
    <row r="593">
      <c r="A593" s="58"/>
      <c r="B593" s="58"/>
      <c r="C593" s="58"/>
      <c r="D593" s="58"/>
      <c r="E593" s="58"/>
      <c r="F593" s="58"/>
      <c r="G593" s="58"/>
      <c r="H593" s="58"/>
      <c r="I593" s="58"/>
      <c r="J593" s="58"/>
      <c r="K593" s="58"/>
      <c r="L593" s="58"/>
      <c r="M593" s="58"/>
      <c r="N593" s="58"/>
      <c r="O593" s="58"/>
      <c r="P593" s="58"/>
      <c r="Q593" s="58"/>
      <c r="R593" s="58"/>
      <c r="S593" s="58"/>
      <c r="T593" s="58"/>
      <c r="U593" s="58"/>
      <c r="V593" s="58"/>
      <c r="W593" s="58"/>
      <c r="X593" s="58"/>
      <c r="Y593" s="58"/>
    </row>
    <row r="594">
      <c r="A594" s="58"/>
      <c r="B594" s="58"/>
      <c r="C594" s="58"/>
      <c r="D594" s="58"/>
      <c r="E594" s="58"/>
      <c r="F594" s="58"/>
      <c r="G594" s="58"/>
      <c r="H594" s="58"/>
      <c r="I594" s="58"/>
      <c r="J594" s="58"/>
      <c r="K594" s="58"/>
      <c r="L594" s="58"/>
      <c r="M594" s="58"/>
      <c r="N594" s="58"/>
      <c r="O594" s="58"/>
      <c r="P594" s="58"/>
      <c r="Q594" s="58"/>
      <c r="R594" s="58"/>
      <c r="S594" s="58"/>
      <c r="T594" s="58"/>
      <c r="U594" s="58"/>
      <c r="V594" s="58"/>
      <c r="W594" s="58"/>
      <c r="X594" s="58"/>
      <c r="Y594" s="58"/>
    </row>
    <row r="595">
      <c r="A595" s="58"/>
      <c r="B595" s="58"/>
      <c r="C595" s="58"/>
      <c r="D595" s="58"/>
      <c r="E595" s="58"/>
      <c r="F595" s="58"/>
      <c r="G595" s="58"/>
      <c r="H595" s="58"/>
      <c r="I595" s="58"/>
      <c r="J595" s="58"/>
      <c r="K595" s="58"/>
      <c r="L595" s="58"/>
      <c r="M595" s="58"/>
      <c r="N595" s="58"/>
      <c r="O595" s="58"/>
      <c r="P595" s="58"/>
      <c r="Q595" s="58"/>
      <c r="R595" s="58"/>
      <c r="S595" s="58"/>
      <c r="T595" s="58"/>
      <c r="U595" s="58"/>
      <c r="V595" s="58"/>
      <c r="W595" s="58"/>
      <c r="X595" s="58"/>
      <c r="Y595" s="58"/>
    </row>
    <row r="596">
      <c r="A596" s="58"/>
      <c r="B596" s="58"/>
      <c r="C596" s="58"/>
      <c r="D596" s="58"/>
      <c r="E596" s="58"/>
      <c r="F596" s="58"/>
      <c r="G596" s="58"/>
      <c r="H596" s="58"/>
      <c r="I596" s="58"/>
      <c r="J596" s="58"/>
      <c r="K596" s="58"/>
      <c r="L596" s="58"/>
      <c r="M596" s="58"/>
      <c r="N596" s="58"/>
      <c r="O596" s="58"/>
      <c r="P596" s="58"/>
      <c r="Q596" s="58"/>
      <c r="R596" s="58"/>
      <c r="S596" s="58"/>
      <c r="T596" s="58"/>
      <c r="U596" s="58"/>
      <c r="V596" s="58"/>
      <c r="W596" s="58"/>
      <c r="X596" s="58"/>
      <c r="Y596" s="58"/>
    </row>
    <row r="597">
      <c r="A597" s="58"/>
      <c r="B597" s="58"/>
      <c r="C597" s="58"/>
      <c r="D597" s="58"/>
      <c r="E597" s="58"/>
      <c r="F597" s="58"/>
      <c r="G597" s="58"/>
      <c r="H597" s="58"/>
      <c r="I597" s="58"/>
      <c r="J597" s="58"/>
      <c r="K597" s="58"/>
      <c r="L597" s="58"/>
      <c r="M597" s="58"/>
      <c r="N597" s="58"/>
      <c r="O597" s="58"/>
      <c r="P597" s="58"/>
      <c r="Q597" s="58"/>
      <c r="R597" s="58"/>
      <c r="S597" s="58"/>
      <c r="T597" s="58"/>
      <c r="U597" s="58"/>
      <c r="V597" s="58"/>
      <c r="W597" s="58"/>
      <c r="X597" s="58"/>
      <c r="Y597" s="58"/>
    </row>
    <row r="598">
      <c r="A598" s="58"/>
      <c r="B598" s="58"/>
      <c r="C598" s="58"/>
      <c r="D598" s="58"/>
      <c r="E598" s="58"/>
      <c r="F598" s="58"/>
      <c r="G598" s="58"/>
      <c r="H598" s="58"/>
      <c r="I598" s="58"/>
      <c r="J598" s="58"/>
      <c r="K598" s="58"/>
      <c r="L598" s="58"/>
      <c r="M598" s="58"/>
      <c r="N598" s="58"/>
      <c r="O598" s="58"/>
      <c r="P598" s="58"/>
      <c r="Q598" s="58"/>
      <c r="R598" s="58"/>
      <c r="S598" s="58"/>
      <c r="T598" s="58"/>
      <c r="U598" s="58"/>
      <c r="V598" s="58"/>
      <c r="W598" s="58"/>
      <c r="X598" s="58"/>
      <c r="Y598" s="58"/>
    </row>
    <row r="599">
      <c r="A599" s="58"/>
      <c r="B599" s="58"/>
      <c r="C599" s="58"/>
      <c r="D599" s="58"/>
      <c r="E599" s="58"/>
      <c r="F599" s="58"/>
      <c r="G599" s="58"/>
      <c r="H599" s="58"/>
      <c r="I599" s="58"/>
      <c r="J599" s="58"/>
      <c r="K599" s="58"/>
      <c r="L599" s="58"/>
      <c r="M599" s="58"/>
      <c r="N599" s="58"/>
      <c r="O599" s="58"/>
      <c r="P599" s="58"/>
      <c r="Q599" s="58"/>
      <c r="R599" s="58"/>
      <c r="S599" s="58"/>
      <c r="T599" s="58"/>
      <c r="U599" s="58"/>
      <c r="V599" s="58"/>
      <c r="W599" s="58"/>
      <c r="X599" s="58"/>
      <c r="Y599" s="58"/>
    </row>
    <row r="600">
      <c r="A600" s="58"/>
      <c r="B600" s="58"/>
      <c r="C600" s="58"/>
      <c r="D600" s="58"/>
      <c r="E600" s="58"/>
      <c r="F600" s="58"/>
      <c r="G600" s="58"/>
      <c r="H600" s="58"/>
      <c r="I600" s="58"/>
      <c r="J600" s="58"/>
      <c r="K600" s="58"/>
      <c r="L600" s="58"/>
      <c r="M600" s="58"/>
      <c r="N600" s="58"/>
      <c r="O600" s="58"/>
      <c r="P600" s="58"/>
      <c r="Q600" s="58"/>
      <c r="R600" s="58"/>
      <c r="S600" s="58"/>
      <c r="T600" s="58"/>
      <c r="U600" s="58"/>
      <c r="V600" s="58"/>
      <c r="W600" s="58"/>
      <c r="X600" s="58"/>
      <c r="Y600" s="58"/>
    </row>
    <row r="601">
      <c r="A601" s="58"/>
      <c r="B601" s="58"/>
      <c r="C601" s="58"/>
      <c r="D601" s="58"/>
      <c r="E601" s="58"/>
      <c r="F601" s="58"/>
      <c r="G601" s="58"/>
      <c r="H601" s="58"/>
      <c r="I601" s="58"/>
      <c r="J601" s="58"/>
      <c r="K601" s="58"/>
      <c r="L601" s="58"/>
      <c r="M601" s="58"/>
      <c r="N601" s="58"/>
      <c r="O601" s="58"/>
      <c r="P601" s="58"/>
      <c r="Q601" s="58"/>
      <c r="R601" s="58"/>
      <c r="S601" s="58"/>
      <c r="T601" s="58"/>
      <c r="U601" s="58"/>
      <c r="V601" s="58"/>
      <c r="W601" s="58"/>
      <c r="X601" s="58"/>
      <c r="Y601" s="58"/>
    </row>
    <row r="602">
      <c r="A602" s="58"/>
      <c r="B602" s="58"/>
      <c r="C602" s="58"/>
      <c r="D602" s="58"/>
      <c r="E602" s="58"/>
      <c r="F602" s="58"/>
      <c r="G602" s="58"/>
      <c r="H602" s="58"/>
      <c r="I602" s="58"/>
      <c r="J602" s="58"/>
      <c r="K602" s="58"/>
      <c r="L602" s="58"/>
      <c r="M602" s="58"/>
      <c r="N602" s="58"/>
      <c r="O602" s="58"/>
      <c r="P602" s="58"/>
      <c r="Q602" s="58"/>
      <c r="R602" s="58"/>
      <c r="S602" s="58"/>
      <c r="T602" s="58"/>
      <c r="U602" s="58"/>
      <c r="V602" s="58"/>
      <c r="W602" s="58"/>
      <c r="X602" s="58"/>
      <c r="Y602" s="58"/>
    </row>
    <row r="603">
      <c r="A603" s="58"/>
      <c r="B603" s="58"/>
      <c r="C603" s="58"/>
      <c r="D603" s="58"/>
      <c r="E603" s="58"/>
      <c r="F603" s="58"/>
      <c r="G603" s="58"/>
      <c r="H603" s="58"/>
      <c r="I603" s="58"/>
      <c r="J603" s="58"/>
      <c r="K603" s="58"/>
      <c r="L603" s="58"/>
      <c r="M603" s="58"/>
      <c r="N603" s="58"/>
      <c r="O603" s="58"/>
      <c r="P603" s="58"/>
      <c r="Q603" s="58"/>
      <c r="R603" s="58"/>
      <c r="S603" s="58"/>
      <c r="T603" s="58"/>
      <c r="U603" s="58"/>
      <c r="V603" s="58"/>
      <c r="W603" s="58"/>
      <c r="X603" s="58"/>
      <c r="Y603" s="58"/>
    </row>
    <row r="604">
      <c r="A604" s="58"/>
      <c r="B604" s="58"/>
      <c r="C604" s="58"/>
      <c r="D604" s="58"/>
      <c r="E604" s="58"/>
      <c r="F604" s="58"/>
      <c r="G604" s="58"/>
      <c r="H604" s="58"/>
      <c r="I604" s="58"/>
      <c r="J604" s="58"/>
      <c r="K604" s="58"/>
      <c r="L604" s="58"/>
      <c r="M604" s="58"/>
      <c r="N604" s="58"/>
      <c r="O604" s="58"/>
      <c r="P604" s="58"/>
      <c r="Q604" s="58"/>
      <c r="R604" s="58"/>
      <c r="S604" s="58"/>
      <c r="T604" s="58"/>
      <c r="U604" s="58"/>
      <c r="V604" s="58"/>
      <c r="W604" s="58"/>
      <c r="X604" s="58"/>
      <c r="Y604" s="58"/>
    </row>
    <row r="605">
      <c r="A605" s="58"/>
      <c r="B605" s="58"/>
      <c r="C605" s="58"/>
      <c r="D605" s="58"/>
      <c r="E605" s="58"/>
      <c r="F605" s="58"/>
      <c r="G605" s="58"/>
      <c r="H605" s="58"/>
      <c r="I605" s="58"/>
      <c r="J605" s="58"/>
      <c r="K605" s="58"/>
      <c r="L605" s="58"/>
      <c r="M605" s="58"/>
      <c r="N605" s="58"/>
      <c r="O605" s="58"/>
      <c r="P605" s="58"/>
      <c r="Q605" s="58"/>
      <c r="R605" s="58"/>
      <c r="S605" s="58"/>
      <c r="T605" s="58"/>
      <c r="U605" s="58"/>
      <c r="V605" s="58"/>
      <c r="W605" s="58"/>
      <c r="X605" s="58"/>
      <c r="Y605" s="58"/>
    </row>
    <row r="606">
      <c r="A606" s="58"/>
      <c r="B606" s="58"/>
      <c r="C606" s="58"/>
      <c r="D606" s="58"/>
      <c r="E606" s="58"/>
      <c r="F606" s="58"/>
      <c r="G606" s="58"/>
      <c r="H606" s="58"/>
      <c r="I606" s="58"/>
      <c r="J606" s="58"/>
      <c r="K606" s="58"/>
      <c r="L606" s="58"/>
      <c r="M606" s="58"/>
      <c r="N606" s="58"/>
      <c r="O606" s="58"/>
      <c r="P606" s="58"/>
      <c r="Q606" s="58"/>
      <c r="R606" s="58"/>
      <c r="S606" s="58"/>
      <c r="T606" s="58"/>
      <c r="U606" s="58"/>
      <c r="V606" s="58"/>
      <c r="W606" s="58"/>
      <c r="X606" s="58"/>
      <c r="Y606" s="58"/>
    </row>
    <row r="607">
      <c r="A607" s="58"/>
      <c r="B607" s="58"/>
      <c r="C607" s="58"/>
      <c r="D607" s="58"/>
      <c r="E607" s="58"/>
      <c r="F607" s="58"/>
      <c r="G607" s="58"/>
      <c r="H607" s="58"/>
      <c r="I607" s="58"/>
      <c r="J607" s="58"/>
      <c r="K607" s="58"/>
      <c r="L607" s="58"/>
      <c r="M607" s="58"/>
      <c r="N607" s="58"/>
      <c r="O607" s="58"/>
      <c r="P607" s="58"/>
      <c r="Q607" s="58"/>
      <c r="R607" s="58"/>
      <c r="S607" s="58"/>
      <c r="T607" s="58"/>
      <c r="U607" s="58"/>
      <c r="V607" s="58"/>
      <c r="W607" s="58"/>
      <c r="X607" s="58"/>
      <c r="Y607" s="58"/>
    </row>
    <row r="608">
      <c r="A608" s="58"/>
      <c r="B608" s="58"/>
      <c r="C608" s="58"/>
      <c r="D608" s="58"/>
      <c r="E608" s="58"/>
      <c r="F608" s="58"/>
      <c r="G608" s="58"/>
      <c r="H608" s="58"/>
      <c r="I608" s="58"/>
      <c r="J608" s="58"/>
      <c r="K608" s="58"/>
      <c r="L608" s="58"/>
      <c r="M608" s="58"/>
      <c r="N608" s="58"/>
      <c r="O608" s="58"/>
      <c r="P608" s="58"/>
      <c r="Q608" s="58"/>
      <c r="R608" s="58"/>
      <c r="S608" s="58"/>
      <c r="T608" s="58"/>
      <c r="U608" s="58"/>
      <c r="V608" s="58"/>
      <c r="W608" s="58"/>
      <c r="X608" s="58"/>
      <c r="Y608" s="58"/>
    </row>
    <row r="609">
      <c r="A609" s="58"/>
      <c r="B609" s="58"/>
      <c r="C609" s="58"/>
      <c r="D609" s="58"/>
      <c r="E609" s="58"/>
      <c r="F609" s="58"/>
      <c r="G609" s="58"/>
      <c r="H609" s="58"/>
      <c r="I609" s="58"/>
      <c r="J609" s="58"/>
      <c r="K609" s="58"/>
      <c r="L609" s="58"/>
      <c r="M609" s="58"/>
      <c r="N609" s="58"/>
      <c r="O609" s="58"/>
      <c r="P609" s="58"/>
      <c r="Q609" s="58"/>
      <c r="R609" s="58"/>
      <c r="S609" s="58"/>
      <c r="T609" s="58"/>
      <c r="U609" s="58"/>
      <c r="V609" s="58"/>
      <c r="W609" s="58"/>
      <c r="X609" s="58"/>
      <c r="Y609" s="58"/>
    </row>
    <row r="610">
      <c r="A610" s="58"/>
      <c r="B610" s="58"/>
      <c r="C610" s="58"/>
      <c r="D610" s="58"/>
      <c r="E610" s="58"/>
      <c r="F610" s="58"/>
      <c r="G610" s="58"/>
      <c r="H610" s="58"/>
      <c r="I610" s="58"/>
      <c r="J610" s="58"/>
      <c r="K610" s="58"/>
      <c r="L610" s="58"/>
      <c r="M610" s="58"/>
      <c r="N610" s="58"/>
      <c r="O610" s="58"/>
      <c r="P610" s="58"/>
      <c r="Q610" s="58"/>
      <c r="R610" s="58"/>
      <c r="S610" s="58"/>
      <c r="T610" s="58"/>
      <c r="U610" s="58"/>
      <c r="V610" s="58"/>
      <c r="W610" s="58"/>
      <c r="X610" s="58"/>
      <c r="Y610" s="58"/>
    </row>
    <row r="611">
      <c r="A611" s="58"/>
      <c r="B611" s="58"/>
      <c r="C611" s="58"/>
      <c r="D611" s="58"/>
      <c r="E611" s="58"/>
      <c r="F611" s="58"/>
      <c r="G611" s="58"/>
      <c r="H611" s="58"/>
      <c r="I611" s="58"/>
      <c r="J611" s="58"/>
      <c r="K611" s="58"/>
      <c r="L611" s="58"/>
      <c r="M611" s="58"/>
      <c r="N611" s="58"/>
      <c r="O611" s="58"/>
      <c r="P611" s="58"/>
      <c r="Q611" s="58"/>
      <c r="R611" s="58"/>
      <c r="S611" s="58"/>
      <c r="T611" s="58"/>
      <c r="U611" s="58"/>
      <c r="V611" s="58"/>
      <c r="W611" s="58"/>
      <c r="X611" s="58"/>
      <c r="Y611" s="58"/>
    </row>
    <row r="612">
      <c r="A612" s="58"/>
      <c r="B612" s="58"/>
      <c r="C612" s="58"/>
      <c r="D612" s="58"/>
      <c r="E612" s="58"/>
      <c r="F612" s="58"/>
      <c r="G612" s="58"/>
      <c r="H612" s="58"/>
      <c r="I612" s="58"/>
      <c r="J612" s="58"/>
      <c r="K612" s="58"/>
      <c r="L612" s="58"/>
      <c r="M612" s="58"/>
      <c r="N612" s="58"/>
      <c r="O612" s="58"/>
      <c r="P612" s="58"/>
      <c r="Q612" s="58"/>
      <c r="R612" s="58"/>
      <c r="S612" s="58"/>
      <c r="T612" s="58"/>
      <c r="U612" s="58"/>
      <c r="V612" s="58"/>
      <c r="W612" s="58"/>
      <c r="X612" s="58"/>
      <c r="Y612" s="58"/>
    </row>
    <row r="613">
      <c r="A613" s="58"/>
      <c r="B613" s="58"/>
      <c r="C613" s="58"/>
      <c r="D613" s="58"/>
      <c r="E613" s="58"/>
      <c r="F613" s="58"/>
      <c r="G613" s="58"/>
      <c r="H613" s="58"/>
      <c r="I613" s="58"/>
      <c r="J613" s="58"/>
      <c r="K613" s="58"/>
      <c r="L613" s="58"/>
      <c r="M613" s="58"/>
      <c r="N613" s="58"/>
      <c r="O613" s="58"/>
      <c r="P613" s="58"/>
      <c r="Q613" s="58"/>
      <c r="R613" s="58"/>
      <c r="S613" s="58"/>
      <c r="T613" s="58"/>
      <c r="U613" s="58"/>
      <c r="V613" s="58"/>
      <c r="W613" s="58"/>
      <c r="X613" s="58"/>
      <c r="Y613" s="58"/>
    </row>
    <row r="614">
      <c r="A614" s="58"/>
      <c r="B614" s="58"/>
      <c r="C614" s="58"/>
      <c r="D614" s="58"/>
      <c r="E614" s="58"/>
      <c r="F614" s="58"/>
      <c r="G614" s="58"/>
      <c r="H614" s="58"/>
      <c r="I614" s="58"/>
      <c r="J614" s="58"/>
      <c r="K614" s="58"/>
      <c r="L614" s="58"/>
      <c r="M614" s="58"/>
      <c r="N614" s="58"/>
      <c r="O614" s="58"/>
      <c r="P614" s="58"/>
      <c r="Q614" s="58"/>
      <c r="R614" s="58"/>
      <c r="S614" s="58"/>
      <c r="T614" s="58"/>
      <c r="U614" s="58"/>
      <c r="V614" s="58"/>
      <c r="W614" s="58"/>
      <c r="X614" s="58"/>
      <c r="Y614" s="58"/>
    </row>
    <row r="615">
      <c r="A615" s="58"/>
      <c r="B615" s="58"/>
      <c r="C615" s="58"/>
      <c r="D615" s="58"/>
      <c r="E615" s="58"/>
      <c r="F615" s="58"/>
      <c r="G615" s="58"/>
      <c r="H615" s="58"/>
      <c r="I615" s="58"/>
      <c r="J615" s="58"/>
      <c r="K615" s="58"/>
      <c r="L615" s="58"/>
      <c r="M615" s="58"/>
      <c r="N615" s="58"/>
      <c r="O615" s="58"/>
      <c r="P615" s="58"/>
      <c r="Q615" s="58"/>
      <c r="R615" s="58"/>
      <c r="S615" s="58"/>
      <c r="T615" s="58"/>
      <c r="U615" s="58"/>
      <c r="V615" s="58"/>
      <c r="W615" s="58"/>
      <c r="X615" s="58"/>
      <c r="Y615" s="58"/>
    </row>
    <row r="616">
      <c r="A616" s="58"/>
      <c r="B616" s="58"/>
      <c r="C616" s="58"/>
      <c r="D616" s="58"/>
      <c r="E616" s="58"/>
      <c r="F616" s="58"/>
      <c r="G616" s="58"/>
      <c r="H616" s="58"/>
      <c r="I616" s="58"/>
      <c r="J616" s="58"/>
      <c r="K616" s="58"/>
      <c r="L616" s="58"/>
      <c r="M616" s="58"/>
      <c r="N616" s="58"/>
      <c r="O616" s="58"/>
      <c r="P616" s="58"/>
      <c r="Q616" s="58"/>
      <c r="R616" s="58"/>
      <c r="S616" s="58"/>
      <c r="T616" s="58"/>
      <c r="U616" s="58"/>
      <c r="V616" s="58"/>
      <c r="W616" s="58"/>
      <c r="X616" s="58"/>
      <c r="Y616" s="58"/>
    </row>
    <row r="617">
      <c r="A617" s="58"/>
      <c r="B617" s="58"/>
      <c r="C617" s="58"/>
      <c r="D617" s="58"/>
      <c r="E617" s="58"/>
      <c r="F617" s="58"/>
      <c r="G617" s="58"/>
      <c r="H617" s="58"/>
      <c r="I617" s="58"/>
      <c r="J617" s="58"/>
      <c r="K617" s="58"/>
      <c r="L617" s="58"/>
      <c r="M617" s="58"/>
      <c r="N617" s="58"/>
      <c r="O617" s="58"/>
      <c r="P617" s="58"/>
      <c r="Q617" s="58"/>
      <c r="R617" s="58"/>
      <c r="S617" s="58"/>
      <c r="T617" s="58"/>
      <c r="U617" s="58"/>
      <c r="V617" s="58"/>
      <c r="W617" s="58"/>
      <c r="X617" s="58"/>
      <c r="Y617" s="58"/>
    </row>
    <row r="618">
      <c r="A618" s="58"/>
      <c r="B618" s="58"/>
      <c r="C618" s="58"/>
      <c r="D618" s="58"/>
      <c r="E618" s="58"/>
      <c r="F618" s="58"/>
      <c r="G618" s="58"/>
      <c r="H618" s="58"/>
      <c r="I618" s="58"/>
      <c r="J618" s="58"/>
      <c r="K618" s="58"/>
      <c r="L618" s="58"/>
      <c r="M618" s="58"/>
      <c r="N618" s="58"/>
      <c r="O618" s="58"/>
      <c r="P618" s="58"/>
      <c r="Q618" s="58"/>
      <c r="R618" s="58"/>
      <c r="S618" s="58"/>
      <c r="T618" s="58"/>
      <c r="U618" s="58"/>
      <c r="V618" s="58"/>
      <c r="W618" s="58"/>
      <c r="X618" s="58"/>
      <c r="Y618" s="58"/>
    </row>
    <row r="619">
      <c r="A619" s="58"/>
      <c r="B619" s="58"/>
      <c r="C619" s="58"/>
      <c r="D619" s="58"/>
      <c r="E619" s="58"/>
      <c r="F619" s="58"/>
      <c r="G619" s="58"/>
      <c r="H619" s="58"/>
      <c r="I619" s="58"/>
      <c r="J619" s="58"/>
      <c r="K619" s="58"/>
      <c r="L619" s="58"/>
      <c r="M619" s="58"/>
      <c r="N619" s="58"/>
      <c r="O619" s="58"/>
      <c r="P619" s="58"/>
      <c r="Q619" s="58"/>
      <c r="R619" s="58"/>
      <c r="S619" s="58"/>
      <c r="T619" s="58"/>
      <c r="U619" s="58"/>
      <c r="V619" s="58"/>
      <c r="W619" s="58"/>
      <c r="X619" s="58"/>
      <c r="Y619" s="58"/>
    </row>
    <row r="620">
      <c r="A620" s="58"/>
      <c r="B620" s="58"/>
      <c r="C620" s="58"/>
      <c r="D620" s="58"/>
      <c r="E620" s="58"/>
      <c r="F620" s="58"/>
      <c r="G620" s="58"/>
      <c r="H620" s="58"/>
      <c r="I620" s="58"/>
      <c r="J620" s="58"/>
      <c r="K620" s="58"/>
      <c r="L620" s="58"/>
      <c r="M620" s="58"/>
      <c r="N620" s="58"/>
      <c r="O620" s="58"/>
      <c r="P620" s="58"/>
      <c r="Q620" s="58"/>
      <c r="R620" s="58"/>
      <c r="S620" s="58"/>
      <c r="T620" s="58"/>
      <c r="U620" s="58"/>
      <c r="V620" s="58"/>
      <c r="W620" s="58"/>
      <c r="X620" s="58"/>
      <c r="Y620" s="58"/>
    </row>
    <row r="621">
      <c r="A621" s="58"/>
      <c r="B621" s="58"/>
      <c r="C621" s="58"/>
      <c r="D621" s="58"/>
      <c r="E621" s="58"/>
      <c r="F621" s="58"/>
      <c r="G621" s="58"/>
      <c r="H621" s="58"/>
      <c r="I621" s="58"/>
      <c r="J621" s="58"/>
      <c r="K621" s="58"/>
      <c r="L621" s="58"/>
      <c r="M621" s="58"/>
      <c r="N621" s="58"/>
      <c r="O621" s="58"/>
      <c r="P621" s="58"/>
      <c r="Q621" s="58"/>
      <c r="R621" s="58"/>
      <c r="S621" s="58"/>
      <c r="T621" s="58"/>
      <c r="U621" s="58"/>
      <c r="V621" s="58"/>
      <c r="W621" s="58"/>
      <c r="X621" s="58"/>
      <c r="Y621" s="58"/>
    </row>
    <row r="622">
      <c r="A622" s="58"/>
      <c r="B622" s="58"/>
      <c r="C622" s="58"/>
      <c r="D622" s="58"/>
      <c r="E622" s="58"/>
      <c r="F622" s="58"/>
      <c r="G622" s="58"/>
      <c r="H622" s="58"/>
      <c r="I622" s="58"/>
      <c r="J622" s="58"/>
      <c r="K622" s="58"/>
      <c r="L622" s="58"/>
      <c r="M622" s="58"/>
      <c r="N622" s="58"/>
      <c r="O622" s="58"/>
      <c r="P622" s="58"/>
      <c r="Q622" s="58"/>
      <c r="R622" s="58"/>
      <c r="S622" s="58"/>
      <c r="T622" s="58"/>
      <c r="U622" s="58"/>
      <c r="V622" s="58"/>
      <c r="W622" s="58"/>
      <c r="X622" s="58"/>
      <c r="Y622" s="58"/>
    </row>
    <row r="623">
      <c r="A623" s="58"/>
      <c r="B623" s="58"/>
      <c r="C623" s="58"/>
      <c r="D623" s="58"/>
      <c r="E623" s="58"/>
      <c r="F623" s="58"/>
      <c r="G623" s="58"/>
      <c r="H623" s="58"/>
      <c r="I623" s="58"/>
      <c r="J623" s="58"/>
      <c r="K623" s="58"/>
      <c r="L623" s="58"/>
      <c r="M623" s="58"/>
      <c r="N623" s="58"/>
      <c r="O623" s="58"/>
      <c r="P623" s="58"/>
      <c r="Q623" s="58"/>
      <c r="R623" s="58"/>
      <c r="S623" s="58"/>
      <c r="T623" s="58"/>
      <c r="U623" s="58"/>
      <c r="V623" s="58"/>
      <c r="W623" s="58"/>
      <c r="X623" s="58"/>
      <c r="Y623" s="58"/>
    </row>
    <row r="624">
      <c r="A624" s="58"/>
      <c r="B624" s="58"/>
      <c r="C624" s="58"/>
      <c r="D624" s="58"/>
      <c r="E624" s="58"/>
      <c r="F624" s="58"/>
      <c r="G624" s="58"/>
      <c r="H624" s="58"/>
      <c r="I624" s="58"/>
      <c r="J624" s="58"/>
      <c r="K624" s="58"/>
      <c r="L624" s="58"/>
      <c r="M624" s="58"/>
      <c r="N624" s="58"/>
      <c r="O624" s="58"/>
      <c r="P624" s="58"/>
      <c r="Q624" s="58"/>
      <c r="R624" s="58"/>
      <c r="S624" s="58"/>
      <c r="T624" s="58"/>
      <c r="U624" s="58"/>
      <c r="V624" s="58"/>
      <c r="W624" s="58"/>
      <c r="X624" s="58"/>
      <c r="Y624" s="58"/>
    </row>
    <row r="625">
      <c r="A625" s="58"/>
      <c r="B625" s="58"/>
      <c r="C625" s="58"/>
      <c r="D625" s="58"/>
      <c r="E625" s="58"/>
      <c r="F625" s="58"/>
      <c r="G625" s="58"/>
      <c r="H625" s="58"/>
      <c r="I625" s="58"/>
      <c r="J625" s="58"/>
      <c r="K625" s="58"/>
      <c r="L625" s="58"/>
      <c r="M625" s="58"/>
      <c r="N625" s="58"/>
      <c r="O625" s="58"/>
      <c r="P625" s="58"/>
      <c r="Q625" s="58"/>
      <c r="R625" s="58"/>
      <c r="S625" s="58"/>
      <c r="T625" s="58"/>
      <c r="U625" s="58"/>
      <c r="V625" s="58"/>
      <c r="W625" s="58"/>
      <c r="X625" s="58"/>
      <c r="Y625" s="58"/>
    </row>
    <row r="626">
      <c r="A626" s="58"/>
      <c r="B626" s="58"/>
      <c r="C626" s="58"/>
      <c r="D626" s="58"/>
      <c r="E626" s="58"/>
      <c r="F626" s="58"/>
      <c r="G626" s="58"/>
      <c r="H626" s="58"/>
      <c r="I626" s="58"/>
      <c r="J626" s="58"/>
      <c r="K626" s="58"/>
      <c r="L626" s="58"/>
      <c r="M626" s="58"/>
      <c r="N626" s="58"/>
      <c r="O626" s="58"/>
      <c r="P626" s="58"/>
      <c r="Q626" s="58"/>
      <c r="R626" s="58"/>
      <c r="S626" s="58"/>
      <c r="T626" s="58"/>
      <c r="U626" s="58"/>
      <c r="V626" s="58"/>
      <c r="W626" s="58"/>
      <c r="X626" s="58"/>
      <c r="Y626" s="58"/>
    </row>
    <row r="627">
      <c r="A627" s="58"/>
      <c r="B627" s="58"/>
      <c r="C627" s="58"/>
      <c r="D627" s="58"/>
      <c r="E627" s="58"/>
      <c r="F627" s="58"/>
      <c r="G627" s="58"/>
      <c r="H627" s="58"/>
      <c r="I627" s="58"/>
      <c r="J627" s="58"/>
      <c r="K627" s="58"/>
      <c r="L627" s="58"/>
      <c r="M627" s="58"/>
      <c r="N627" s="58"/>
      <c r="O627" s="58"/>
      <c r="P627" s="58"/>
      <c r="Q627" s="58"/>
      <c r="R627" s="58"/>
      <c r="S627" s="58"/>
      <c r="T627" s="58"/>
      <c r="U627" s="58"/>
      <c r="V627" s="58"/>
      <c r="W627" s="58"/>
      <c r="X627" s="58"/>
      <c r="Y627" s="58"/>
    </row>
    <row r="628">
      <c r="A628" s="58"/>
      <c r="B628" s="58"/>
      <c r="C628" s="58"/>
      <c r="D628" s="58"/>
      <c r="E628" s="58"/>
      <c r="F628" s="58"/>
      <c r="G628" s="58"/>
      <c r="H628" s="58"/>
      <c r="I628" s="58"/>
      <c r="J628" s="58"/>
      <c r="K628" s="58"/>
      <c r="L628" s="58"/>
      <c r="M628" s="58"/>
      <c r="N628" s="58"/>
      <c r="O628" s="58"/>
      <c r="P628" s="58"/>
      <c r="Q628" s="58"/>
      <c r="R628" s="58"/>
      <c r="S628" s="58"/>
      <c r="T628" s="58"/>
      <c r="U628" s="58"/>
      <c r="V628" s="58"/>
      <c r="W628" s="58"/>
      <c r="X628" s="58"/>
      <c r="Y628" s="58"/>
    </row>
    <row r="629">
      <c r="A629" s="58"/>
      <c r="B629" s="58"/>
      <c r="C629" s="58"/>
      <c r="D629" s="58"/>
      <c r="E629" s="58"/>
      <c r="F629" s="58"/>
      <c r="G629" s="58"/>
      <c r="H629" s="58"/>
      <c r="I629" s="58"/>
      <c r="J629" s="58"/>
      <c r="K629" s="58"/>
      <c r="L629" s="58"/>
      <c r="M629" s="58"/>
      <c r="N629" s="58"/>
      <c r="O629" s="58"/>
      <c r="P629" s="58"/>
      <c r="Q629" s="58"/>
      <c r="R629" s="58"/>
      <c r="S629" s="58"/>
      <c r="T629" s="58"/>
      <c r="U629" s="58"/>
      <c r="V629" s="58"/>
      <c r="W629" s="58"/>
      <c r="X629" s="58"/>
      <c r="Y629" s="58"/>
    </row>
    <row r="630">
      <c r="A630" s="58"/>
      <c r="B630" s="58"/>
      <c r="C630" s="58"/>
      <c r="D630" s="58"/>
      <c r="E630" s="58"/>
      <c r="F630" s="58"/>
      <c r="G630" s="58"/>
      <c r="H630" s="58"/>
      <c r="I630" s="58"/>
      <c r="J630" s="58"/>
      <c r="K630" s="58"/>
      <c r="L630" s="58"/>
      <c r="M630" s="58"/>
      <c r="N630" s="58"/>
      <c r="O630" s="58"/>
      <c r="P630" s="58"/>
      <c r="Q630" s="58"/>
      <c r="R630" s="58"/>
      <c r="S630" s="58"/>
      <c r="T630" s="58"/>
      <c r="U630" s="58"/>
      <c r="V630" s="58"/>
      <c r="W630" s="58"/>
      <c r="X630" s="58"/>
      <c r="Y630" s="58"/>
    </row>
    <row r="631">
      <c r="A631" s="58"/>
      <c r="B631" s="58"/>
      <c r="C631" s="58"/>
      <c r="D631" s="58"/>
      <c r="E631" s="58"/>
      <c r="F631" s="58"/>
      <c r="G631" s="58"/>
      <c r="H631" s="58"/>
      <c r="I631" s="58"/>
      <c r="J631" s="58"/>
      <c r="K631" s="58"/>
      <c r="L631" s="58"/>
      <c r="M631" s="58"/>
      <c r="N631" s="58"/>
      <c r="O631" s="58"/>
      <c r="P631" s="58"/>
      <c r="Q631" s="58"/>
      <c r="R631" s="58"/>
      <c r="S631" s="58"/>
      <c r="T631" s="58"/>
      <c r="U631" s="58"/>
      <c r="V631" s="58"/>
      <c r="W631" s="58"/>
      <c r="X631" s="58"/>
      <c r="Y631" s="58"/>
    </row>
    <row r="632">
      <c r="A632" s="58"/>
      <c r="B632" s="58"/>
      <c r="C632" s="58"/>
      <c r="D632" s="58"/>
      <c r="E632" s="58"/>
      <c r="F632" s="58"/>
      <c r="G632" s="58"/>
      <c r="H632" s="58"/>
      <c r="I632" s="58"/>
      <c r="J632" s="58"/>
      <c r="K632" s="58"/>
      <c r="L632" s="58"/>
      <c r="M632" s="58"/>
      <c r="N632" s="58"/>
      <c r="O632" s="58"/>
      <c r="P632" s="58"/>
      <c r="Q632" s="58"/>
      <c r="R632" s="58"/>
      <c r="S632" s="58"/>
      <c r="T632" s="58"/>
      <c r="U632" s="58"/>
      <c r="V632" s="58"/>
      <c r="W632" s="58"/>
      <c r="X632" s="58"/>
      <c r="Y632" s="58"/>
    </row>
    <row r="633">
      <c r="A633" s="58"/>
      <c r="B633" s="58"/>
      <c r="C633" s="58"/>
      <c r="D633" s="58"/>
      <c r="E633" s="58"/>
      <c r="F633" s="58"/>
      <c r="G633" s="58"/>
      <c r="H633" s="58"/>
      <c r="I633" s="58"/>
      <c r="J633" s="58"/>
      <c r="K633" s="58"/>
      <c r="L633" s="58"/>
      <c r="M633" s="58"/>
      <c r="N633" s="58"/>
      <c r="O633" s="58"/>
      <c r="P633" s="58"/>
      <c r="Q633" s="58"/>
      <c r="R633" s="58"/>
      <c r="S633" s="58"/>
      <c r="T633" s="58"/>
      <c r="U633" s="58"/>
      <c r="V633" s="58"/>
      <c r="W633" s="58"/>
      <c r="X633" s="58"/>
      <c r="Y633" s="58"/>
    </row>
    <row r="634">
      <c r="A634" s="58"/>
      <c r="B634" s="58"/>
      <c r="C634" s="58"/>
      <c r="D634" s="58"/>
      <c r="E634" s="58"/>
      <c r="F634" s="58"/>
      <c r="G634" s="58"/>
      <c r="H634" s="58"/>
      <c r="I634" s="58"/>
      <c r="J634" s="58"/>
      <c r="K634" s="58"/>
      <c r="L634" s="58"/>
      <c r="M634" s="58"/>
      <c r="N634" s="58"/>
      <c r="O634" s="58"/>
      <c r="P634" s="58"/>
      <c r="Q634" s="58"/>
      <c r="R634" s="58"/>
      <c r="S634" s="58"/>
      <c r="T634" s="58"/>
      <c r="U634" s="58"/>
      <c r="V634" s="58"/>
      <c r="W634" s="58"/>
      <c r="X634" s="58"/>
      <c r="Y634" s="58"/>
    </row>
    <row r="635">
      <c r="A635" s="58"/>
      <c r="B635" s="58"/>
      <c r="C635" s="58"/>
      <c r="D635" s="58"/>
      <c r="E635" s="58"/>
      <c r="F635" s="58"/>
      <c r="G635" s="58"/>
      <c r="H635" s="58"/>
      <c r="I635" s="58"/>
      <c r="J635" s="58"/>
      <c r="K635" s="58"/>
      <c r="L635" s="58"/>
      <c r="M635" s="58"/>
      <c r="N635" s="58"/>
      <c r="O635" s="58"/>
      <c r="P635" s="58"/>
      <c r="Q635" s="58"/>
      <c r="R635" s="58"/>
      <c r="S635" s="58"/>
      <c r="T635" s="58"/>
      <c r="U635" s="58"/>
      <c r="V635" s="58"/>
      <c r="W635" s="58"/>
      <c r="X635" s="58"/>
      <c r="Y635" s="58"/>
    </row>
    <row r="636">
      <c r="A636" s="58"/>
      <c r="B636" s="58"/>
      <c r="C636" s="58"/>
      <c r="D636" s="58"/>
      <c r="E636" s="58"/>
      <c r="F636" s="58"/>
      <c r="G636" s="58"/>
      <c r="H636" s="58"/>
      <c r="I636" s="58"/>
      <c r="J636" s="58"/>
      <c r="K636" s="58"/>
      <c r="L636" s="58"/>
      <c r="M636" s="58"/>
      <c r="N636" s="58"/>
      <c r="O636" s="58"/>
      <c r="P636" s="58"/>
      <c r="Q636" s="58"/>
      <c r="R636" s="58"/>
      <c r="S636" s="58"/>
      <c r="T636" s="58"/>
      <c r="U636" s="58"/>
      <c r="V636" s="58"/>
      <c r="W636" s="58"/>
      <c r="X636" s="58"/>
      <c r="Y636" s="58"/>
    </row>
    <row r="637">
      <c r="A637" s="58"/>
      <c r="B637" s="58"/>
      <c r="C637" s="58"/>
      <c r="D637" s="58"/>
      <c r="E637" s="58"/>
      <c r="F637" s="58"/>
      <c r="G637" s="58"/>
      <c r="H637" s="58"/>
      <c r="I637" s="58"/>
      <c r="J637" s="58"/>
      <c r="K637" s="58"/>
      <c r="L637" s="58"/>
      <c r="M637" s="58"/>
      <c r="N637" s="58"/>
      <c r="O637" s="58"/>
      <c r="P637" s="58"/>
      <c r="Q637" s="58"/>
      <c r="R637" s="58"/>
      <c r="S637" s="58"/>
      <c r="T637" s="58"/>
      <c r="U637" s="58"/>
      <c r="V637" s="58"/>
      <c r="W637" s="58"/>
      <c r="X637" s="58"/>
      <c r="Y637" s="58"/>
    </row>
    <row r="638">
      <c r="A638" s="58"/>
      <c r="B638" s="58"/>
      <c r="C638" s="58"/>
      <c r="D638" s="58"/>
      <c r="E638" s="58"/>
      <c r="F638" s="58"/>
      <c r="G638" s="58"/>
      <c r="H638" s="58"/>
      <c r="I638" s="58"/>
      <c r="J638" s="58"/>
      <c r="K638" s="58"/>
      <c r="L638" s="58"/>
      <c r="M638" s="58"/>
      <c r="N638" s="58"/>
      <c r="O638" s="58"/>
      <c r="P638" s="58"/>
      <c r="Q638" s="58"/>
      <c r="R638" s="58"/>
      <c r="S638" s="58"/>
      <c r="T638" s="58"/>
      <c r="U638" s="58"/>
      <c r="V638" s="58"/>
      <c r="W638" s="58"/>
      <c r="X638" s="58"/>
      <c r="Y638" s="58"/>
    </row>
    <row r="639">
      <c r="A639" s="58"/>
      <c r="B639" s="58"/>
      <c r="C639" s="58"/>
      <c r="D639" s="58"/>
      <c r="E639" s="58"/>
      <c r="F639" s="58"/>
      <c r="G639" s="58"/>
      <c r="H639" s="58"/>
      <c r="I639" s="58"/>
      <c r="J639" s="58"/>
      <c r="K639" s="58"/>
      <c r="L639" s="58"/>
      <c r="M639" s="58"/>
      <c r="N639" s="58"/>
      <c r="O639" s="58"/>
      <c r="P639" s="58"/>
      <c r="Q639" s="58"/>
      <c r="R639" s="58"/>
      <c r="S639" s="58"/>
      <c r="T639" s="58"/>
      <c r="U639" s="58"/>
      <c r="V639" s="58"/>
      <c r="W639" s="58"/>
      <c r="X639" s="58"/>
      <c r="Y639" s="58"/>
    </row>
    <row r="640">
      <c r="A640" s="58"/>
      <c r="B640" s="58"/>
      <c r="C640" s="58"/>
      <c r="D640" s="58"/>
      <c r="E640" s="58"/>
      <c r="F640" s="58"/>
      <c r="G640" s="58"/>
      <c r="H640" s="58"/>
      <c r="I640" s="58"/>
      <c r="J640" s="58"/>
      <c r="K640" s="58"/>
      <c r="L640" s="58"/>
      <c r="M640" s="58"/>
      <c r="N640" s="58"/>
      <c r="O640" s="58"/>
      <c r="P640" s="58"/>
      <c r="Q640" s="58"/>
      <c r="R640" s="58"/>
      <c r="S640" s="58"/>
      <c r="T640" s="58"/>
      <c r="U640" s="58"/>
      <c r="V640" s="58"/>
      <c r="W640" s="58"/>
      <c r="X640" s="58"/>
      <c r="Y640" s="58"/>
    </row>
    <row r="641">
      <c r="A641" s="58"/>
      <c r="B641" s="58"/>
      <c r="C641" s="58"/>
      <c r="D641" s="58"/>
      <c r="E641" s="58"/>
      <c r="F641" s="58"/>
      <c r="G641" s="58"/>
      <c r="H641" s="58"/>
      <c r="I641" s="58"/>
      <c r="J641" s="58"/>
      <c r="K641" s="58"/>
      <c r="L641" s="58"/>
      <c r="M641" s="58"/>
      <c r="N641" s="58"/>
      <c r="O641" s="58"/>
      <c r="P641" s="58"/>
      <c r="Q641" s="58"/>
      <c r="R641" s="58"/>
      <c r="S641" s="58"/>
      <c r="T641" s="58"/>
      <c r="U641" s="58"/>
      <c r="V641" s="58"/>
      <c r="W641" s="58"/>
      <c r="X641" s="58"/>
      <c r="Y641" s="58"/>
    </row>
    <row r="642">
      <c r="A642" s="58"/>
      <c r="B642" s="58"/>
      <c r="C642" s="58"/>
      <c r="D642" s="58"/>
      <c r="E642" s="58"/>
      <c r="F642" s="58"/>
      <c r="G642" s="58"/>
      <c r="H642" s="58"/>
      <c r="I642" s="58"/>
      <c r="J642" s="58"/>
      <c r="K642" s="58"/>
      <c r="L642" s="58"/>
      <c r="M642" s="58"/>
      <c r="N642" s="58"/>
      <c r="O642" s="58"/>
      <c r="P642" s="58"/>
      <c r="Q642" s="58"/>
      <c r="R642" s="58"/>
      <c r="S642" s="58"/>
      <c r="T642" s="58"/>
      <c r="U642" s="58"/>
      <c r="V642" s="58"/>
      <c r="W642" s="58"/>
      <c r="X642" s="58"/>
      <c r="Y642" s="58"/>
    </row>
    <row r="643">
      <c r="A643" s="58"/>
      <c r="B643" s="58"/>
      <c r="C643" s="58"/>
      <c r="D643" s="58"/>
      <c r="E643" s="58"/>
      <c r="F643" s="58"/>
      <c r="G643" s="58"/>
      <c r="H643" s="58"/>
      <c r="I643" s="58"/>
      <c r="J643" s="58"/>
      <c r="K643" s="58"/>
      <c r="L643" s="58"/>
      <c r="M643" s="58"/>
      <c r="N643" s="58"/>
      <c r="O643" s="58"/>
      <c r="P643" s="58"/>
      <c r="Q643" s="58"/>
      <c r="R643" s="58"/>
      <c r="S643" s="58"/>
      <c r="T643" s="58"/>
      <c r="U643" s="58"/>
      <c r="V643" s="58"/>
      <c r="W643" s="58"/>
      <c r="X643" s="58"/>
      <c r="Y643" s="58"/>
    </row>
    <row r="644">
      <c r="A644" s="58"/>
      <c r="B644" s="58"/>
      <c r="C644" s="58"/>
      <c r="D644" s="58"/>
      <c r="E644" s="58"/>
      <c r="F644" s="58"/>
      <c r="G644" s="58"/>
      <c r="H644" s="58"/>
      <c r="I644" s="58"/>
      <c r="J644" s="58"/>
      <c r="K644" s="58"/>
      <c r="L644" s="58"/>
      <c r="M644" s="58"/>
      <c r="N644" s="58"/>
      <c r="O644" s="58"/>
      <c r="P644" s="58"/>
      <c r="Q644" s="58"/>
      <c r="R644" s="58"/>
      <c r="S644" s="58"/>
      <c r="T644" s="58"/>
      <c r="U644" s="58"/>
      <c r="V644" s="58"/>
      <c r="W644" s="58"/>
      <c r="X644" s="58"/>
      <c r="Y644" s="58"/>
    </row>
    <row r="645">
      <c r="A645" s="58"/>
      <c r="B645" s="58"/>
      <c r="C645" s="58"/>
      <c r="D645" s="58"/>
      <c r="E645" s="58"/>
      <c r="F645" s="58"/>
      <c r="G645" s="58"/>
      <c r="H645" s="58"/>
      <c r="I645" s="58"/>
      <c r="J645" s="58"/>
      <c r="K645" s="58"/>
      <c r="L645" s="58"/>
      <c r="M645" s="58"/>
      <c r="N645" s="58"/>
      <c r="O645" s="58"/>
      <c r="P645" s="58"/>
      <c r="Q645" s="58"/>
      <c r="R645" s="58"/>
      <c r="S645" s="58"/>
      <c r="T645" s="58"/>
      <c r="U645" s="58"/>
      <c r="V645" s="58"/>
      <c r="W645" s="58"/>
      <c r="X645" s="58"/>
      <c r="Y645" s="58"/>
    </row>
    <row r="646">
      <c r="A646" s="58"/>
      <c r="B646" s="58"/>
      <c r="C646" s="58"/>
      <c r="D646" s="58"/>
      <c r="E646" s="58"/>
      <c r="F646" s="58"/>
      <c r="G646" s="58"/>
      <c r="H646" s="58"/>
      <c r="I646" s="58"/>
      <c r="J646" s="58"/>
      <c r="K646" s="58"/>
      <c r="L646" s="58"/>
      <c r="M646" s="58"/>
      <c r="N646" s="58"/>
      <c r="O646" s="58"/>
      <c r="P646" s="58"/>
      <c r="Q646" s="58"/>
      <c r="R646" s="58"/>
      <c r="S646" s="58"/>
      <c r="T646" s="58"/>
      <c r="U646" s="58"/>
      <c r="V646" s="58"/>
      <c r="W646" s="58"/>
      <c r="X646" s="58"/>
      <c r="Y646" s="58"/>
    </row>
    <row r="647">
      <c r="A647" s="58"/>
      <c r="B647" s="58"/>
      <c r="C647" s="58"/>
      <c r="D647" s="58"/>
      <c r="E647" s="58"/>
      <c r="F647" s="58"/>
      <c r="G647" s="58"/>
      <c r="H647" s="58"/>
      <c r="I647" s="58"/>
      <c r="J647" s="58"/>
      <c r="K647" s="58"/>
      <c r="L647" s="58"/>
      <c r="M647" s="58"/>
      <c r="N647" s="58"/>
      <c r="O647" s="58"/>
      <c r="P647" s="58"/>
      <c r="Q647" s="58"/>
      <c r="R647" s="58"/>
      <c r="S647" s="58"/>
      <c r="T647" s="58"/>
      <c r="U647" s="58"/>
      <c r="V647" s="58"/>
      <c r="W647" s="58"/>
      <c r="X647" s="58"/>
      <c r="Y647" s="58"/>
    </row>
    <row r="648">
      <c r="A648" s="58"/>
      <c r="B648" s="58"/>
      <c r="C648" s="58"/>
      <c r="D648" s="58"/>
      <c r="E648" s="58"/>
      <c r="F648" s="58"/>
      <c r="G648" s="58"/>
      <c r="H648" s="58"/>
      <c r="I648" s="58"/>
      <c r="J648" s="58"/>
      <c r="K648" s="58"/>
      <c r="L648" s="58"/>
      <c r="M648" s="58"/>
      <c r="N648" s="58"/>
      <c r="O648" s="58"/>
      <c r="P648" s="58"/>
      <c r="Q648" s="58"/>
      <c r="R648" s="58"/>
      <c r="S648" s="58"/>
      <c r="T648" s="58"/>
      <c r="U648" s="58"/>
      <c r="V648" s="58"/>
      <c r="W648" s="58"/>
      <c r="X648" s="58"/>
      <c r="Y648" s="58"/>
    </row>
    <row r="649">
      <c r="A649" s="58"/>
      <c r="B649" s="58"/>
      <c r="C649" s="58"/>
      <c r="D649" s="58"/>
      <c r="E649" s="58"/>
      <c r="F649" s="58"/>
      <c r="G649" s="58"/>
      <c r="H649" s="58"/>
      <c r="I649" s="58"/>
      <c r="J649" s="58"/>
      <c r="K649" s="58"/>
      <c r="L649" s="58"/>
      <c r="M649" s="58"/>
      <c r="N649" s="58"/>
      <c r="O649" s="58"/>
      <c r="P649" s="58"/>
      <c r="Q649" s="58"/>
      <c r="R649" s="58"/>
      <c r="S649" s="58"/>
      <c r="T649" s="58"/>
      <c r="U649" s="58"/>
      <c r="V649" s="58"/>
      <c r="W649" s="58"/>
      <c r="X649" s="58"/>
      <c r="Y649" s="58"/>
    </row>
    <row r="650">
      <c r="A650" s="58"/>
      <c r="B650" s="58"/>
      <c r="C650" s="58"/>
      <c r="D650" s="58"/>
      <c r="E650" s="58"/>
      <c r="F650" s="58"/>
      <c r="G650" s="58"/>
      <c r="H650" s="58"/>
      <c r="I650" s="58"/>
      <c r="J650" s="58"/>
      <c r="K650" s="58"/>
      <c r="L650" s="58"/>
      <c r="M650" s="58"/>
      <c r="N650" s="58"/>
      <c r="O650" s="58"/>
      <c r="P650" s="58"/>
      <c r="Q650" s="58"/>
      <c r="R650" s="58"/>
      <c r="S650" s="58"/>
      <c r="T650" s="58"/>
      <c r="U650" s="58"/>
      <c r="V650" s="58"/>
      <c r="W650" s="58"/>
      <c r="X650" s="58"/>
      <c r="Y650" s="58"/>
    </row>
    <row r="651">
      <c r="A651" s="58"/>
      <c r="B651" s="58"/>
      <c r="C651" s="58"/>
      <c r="D651" s="58"/>
      <c r="E651" s="58"/>
      <c r="F651" s="58"/>
      <c r="G651" s="58"/>
      <c r="H651" s="58"/>
      <c r="I651" s="58"/>
      <c r="J651" s="58"/>
      <c r="K651" s="58"/>
      <c r="L651" s="58"/>
      <c r="M651" s="58"/>
      <c r="N651" s="58"/>
      <c r="O651" s="58"/>
      <c r="P651" s="58"/>
      <c r="Q651" s="58"/>
      <c r="R651" s="58"/>
      <c r="S651" s="58"/>
      <c r="T651" s="58"/>
      <c r="U651" s="58"/>
      <c r="V651" s="58"/>
      <c r="W651" s="58"/>
      <c r="X651" s="58"/>
      <c r="Y651" s="58"/>
    </row>
    <row r="652">
      <c r="A652" s="58"/>
      <c r="B652" s="58"/>
      <c r="C652" s="58"/>
      <c r="D652" s="58"/>
      <c r="E652" s="58"/>
      <c r="F652" s="58"/>
      <c r="G652" s="58"/>
      <c r="H652" s="58"/>
      <c r="I652" s="58"/>
      <c r="J652" s="58"/>
      <c r="K652" s="58"/>
      <c r="L652" s="58"/>
      <c r="M652" s="58"/>
      <c r="N652" s="58"/>
      <c r="O652" s="58"/>
      <c r="P652" s="58"/>
      <c r="Q652" s="58"/>
      <c r="R652" s="58"/>
      <c r="S652" s="58"/>
      <c r="T652" s="58"/>
      <c r="U652" s="58"/>
      <c r="V652" s="58"/>
      <c r="W652" s="58"/>
      <c r="X652" s="58"/>
      <c r="Y652" s="58"/>
    </row>
    <row r="653">
      <c r="A653" s="58"/>
      <c r="B653" s="58"/>
      <c r="C653" s="58"/>
      <c r="D653" s="58"/>
      <c r="E653" s="58"/>
      <c r="F653" s="58"/>
      <c r="G653" s="58"/>
      <c r="H653" s="58"/>
      <c r="I653" s="58"/>
      <c r="J653" s="58"/>
      <c r="K653" s="58"/>
      <c r="L653" s="58"/>
      <c r="M653" s="58"/>
      <c r="N653" s="58"/>
      <c r="O653" s="58"/>
      <c r="P653" s="58"/>
      <c r="Q653" s="58"/>
      <c r="R653" s="58"/>
      <c r="S653" s="58"/>
      <c r="T653" s="58"/>
      <c r="U653" s="58"/>
      <c r="V653" s="58"/>
      <c r="W653" s="58"/>
      <c r="X653" s="58"/>
      <c r="Y653" s="58"/>
    </row>
    <row r="654">
      <c r="A654" s="58"/>
      <c r="B654" s="58"/>
      <c r="C654" s="58"/>
      <c r="D654" s="58"/>
      <c r="E654" s="58"/>
      <c r="F654" s="58"/>
      <c r="G654" s="58"/>
      <c r="H654" s="58"/>
      <c r="I654" s="58"/>
      <c r="J654" s="58"/>
      <c r="K654" s="58"/>
      <c r="L654" s="58"/>
      <c r="M654" s="58"/>
      <c r="N654" s="58"/>
      <c r="O654" s="58"/>
      <c r="P654" s="58"/>
      <c r="Q654" s="58"/>
      <c r="R654" s="58"/>
      <c r="S654" s="58"/>
      <c r="T654" s="58"/>
      <c r="U654" s="58"/>
      <c r="V654" s="58"/>
      <c r="W654" s="58"/>
      <c r="X654" s="58"/>
      <c r="Y654" s="58"/>
    </row>
    <row r="655">
      <c r="A655" s="58"/>
      <c r="B655" s="58"/>
      <c r="C655" s="58"/>
      <c r="D655" s="58"/>
      <c r="E655" s="58"/>
      <c r="F655" s="58"/>
      <c r="G655" s="58"/>
      <c r="H655" s="58"/>
      <c r="I655" s="58"/>
      <c r="J655" s="58"/>
      <c r="K655" s="58"/>
      <c r="L655" s="58"/>
      <c r="M655" s="58"/>
      <c r="N655" s="58"/>
      <c r="O655" s="58"/>
      <c r="P655" s="58"/>
      <c r="Q655" s="58"/>
      <c r="R655" s="58"/>
      <c r="S655" s="58"/>
      <c r="T655" s="58"/>
      <c r="U655" s="58"/>
      <c r="V655" s="58"/>
      <c r="W655" s="58"/>
      <c r="X655" s="58"/>
      <c r="Y655" s="58"/>
    </row>
    <row r="656">
      <c r="A656" s="58"/>
      <c r="B656" s="58"/>
      <c r="C656" s="58"/>
      <c r="D656" s="58"/>
      <c r="E656" s="58"/>
      <c r="F656" s="58"/>
      <c r="G656" s="58"/>
      <c r="H656" s="58"/>
      <c r="I656" s="58"/>
      <c r="J656" s="58"/>
      <c r="K656" s="58"/>
      <c r="L656" s="58"/>
      <c r="M656" s="58"/>
      <c r="N656" s="58"/>
      <c r="O656" s="58"/>
      <c r="P656" s="58"/>
      <c r="Q656" s="58"/>
      <c r="R656" s="58"/>
      <c r="S656" s="58"/>
      <c r="T656" s="58"/>
      <c r="U656" s="58"/>
      <c r="V656" s="58"/>
      <c r="W656" s="58"/>
      <c r="X656" s="58"/>
      <c r="Y656" s="58"/>
    </row>
    <row r="657">
      <c r="A657" s="58"/>
      <c r="B657" s="58"/>
      <c r="C657" s="58"/>
      <c r="D657" s="58"/>
      <c r="E657" s="58"/>
      <c r="F657" s="58"/>
      <c r="G657" s="58"/>
      <c r="H657" s="58"/>
      <c r="I657" s="58"/>
      <c r="J657" s="58"/>
      <c r="K657" s="58"/>
      <c r="L657" s="58"/>
      <c r="M657" s="58"/>
      <c r="N657" s="58"/>
      <c r="O657" s="58"/>
      <c r="P657" s="58"/>
      <c r="Q657" s="58"/>
      <c r="R657" s="58"/>
      <c r="S657" s="58"/>
      <c r="T657" s="58"/>
      <c r="U657" s="58"/>
      <c r="V657" s="58"/>
      <c r="W657" s="58"/>
      <c r="X657" s="58"/>
      <c r="Y657" s="58"/>
    </row>
    <row r="658">
      <c r="A658" s="58"/>
      <c r="B658" s="58"/>
      <c r="C658" s="58"/>
      <c r="D658" s="58"/>
      <c r="E658" s="58"/>
      <c r="F658" s="58"/>
      <c r="G658" s="58"/>
      <c r="H658" s="58"/>
      <c r="I658" s="58"/>
      <c r="J658" s="58"/>
      <c r="K658" s="58"/>
      <c r="L658" s="58"/>
      <c r="M658" s="58"/>
      <c r="N658" s="58"/>
      <c r="O658" s="58"/>
      <c r="P658" s="58"/>
      <c r="Q658" s="58"/>
      <c r="R658" s="58"/>
      <c r="S658" s="58"/>
      <c r="T658" s="58"/>
      <c r="U658" s="58"/>
      <c r="V658" s="58"/>
      <c r="W658" s="58"/>
      <c r="X658" s="58"/>
      <c r="Y658" s="58"/>
    </row>
    <row r="659">
      <c r="A659" s="58"/>
      <c r="B659" s="58"/>
      <c r="C659" s="58"/>
      <c r="D659" s="58"/>
      <c r="E659" s="58"/>
      <c r="F659" s="58"/>
      <c r="G659" s="58"/>
      <c r="H659" s="58"/>
      <c r="I659" s="58"/>
      <c r="J659" s="58"/>
      <c r="K659" s="58"/>
      <c r="L659" s="58"/>
      <c r="M659" s="58"/>
      <c r="N659" s="58"/>
      <c r="O659" s="58"/>
      <c r="P659" s="58"/>
      <c r="Q659" s="58"/>
      <c r="R659" s="58"/>
      <c r="S659" s="58"/>
      <c r="T659" s="58"/>
      <c r="U659" s="58"/>
      <c r="V659" s="58"/>
      <c r="W659" s="58"/>
      <c r="X659" s="58"/>
      <c r="Y659" s="58"/>
    </row>
    <row r="660">
      <c r="A660" s="58"/>
      <c r="B660" s="58"/>
      <c r="C660" s="58"/>
      <c r="D660" s="58"/>
      <c r="E660" s="58"/>
      <c r="F660" s="58"/>
      <c r="G660" s="58"/>
      <c r="H660" s="58"/>
      <c r="I660" s="58"/>
      <c r="J660" s="58"/>
      <c r="K660" s="58"/>
      <c r="L660" s="58"/>
      <c r="M660" s="58"/>
      <c r="N660" s="58"/>
      <c r="O660" s="58"/>
      <c r="P660" s="58"/>
      <c r="Q660" s="58"/>
      <c r="R660" s="58"/>
      <c r="S660" s="58"/>
      <c r="T660" s="58"/>
      <c r="U660" s="58"/>
      <c r="V660" s="58"/>
      <c r="W660" s="58"/>
      <c r="X660" s="58"/>
      <c r="Y660" s="58"/>
    </row>
    <row r="661">
      <c r="A661" s="58"/>
      <c r="B661" s="58"/>
      <c r="C661" s="58"/>
      <c r="D661" s="58"/>
      <c r="E661" s="58"/>
      <c r="F661" s="58"/>
      <c r="G661" s="58"/>
      <c r="H661" s="58"/>
      <c r="I661" s="58"/>
      <c r="J661" s="58"/>
      <c r="K661" s="58"/>
      <c r="L661" s="58"/>
      <c r="M661" s="58"/>
      <c r="N661" s="58"/>
      <c r="O661" s="58"/>
      <c r="P661" s="58"/>
      <c r="Q661" s="58"/>
      <c r="R661" s="58"/>
      <c r="S661" s="58"/>
      <c r="T661" s="58"/>
      <c r="U661" s="58"/>
      <c r="V661" s="58"/>
      <c r="W661" s="58"/>
      <c r="X661" s="58"/>
      <c r="Y661" s="58"/>
    </row>
    <row r="662">
      <c r="A662" s="58"/>
      <c r="B662" s="58"/>
      <c r="C662" s="58"/>
      <c r="D662" s="58"/>
      <c r="E662" s="58"/>
      <c r="F662" s="58"/>
      <c r="G662" s="58"/>
      <c r="H662" s="58"/>
      <c r="I662" s="58"/>
      <c r="J662" s="58"/>
      <c r="K662" s="58"/>
      <c r="L662" s="58"/>
      <c r="M662" s="58"/>
      <c r="N662" s="58"/>
      <c r="O662" s="58"/>
      <c r="P662" s="58"/>
      <c r="Q662" s="58"/>
      <c r="R662" s="58"/>
      <c r="S662" s="58"/>
      <c r="T662" s="58"/>
      <c r="U662" s="58"/>
      <c r="V662" s="58"/>
      <c r="W662" s="58"/>
      <c r="X662" s="58"/>
      <c r="Y662" s="58"/>
    </row>
    <row r="663">
      <c r="A663" s="58"/>
      <c r="B663" s="58"/>
      <c r="C663" s="58"/>
      <c r="D663" s="58"/>
      <c r="E663" s="58"/>
      <c r="F663" s="58"/>
      <c r="G663" s="58"/>
      <c r="H663" s="58"/>
      <c r="I663" s="58"/>
      <c r="J663" s="58"/>
      <c r="K663" s="58"/>
      <c r="L663" s="58"/>
      <c r="M663" s="58"/>
      <c r="N663" s="58"/>
      <c r="O663" s="58"/>
      <c r="P663" s="58"/>
      <c r="Q663" s="58"/>
      <c r="R663" s="58"/>
      <c r="S663" s="58"/>
      <c r="T663" s="58"/>
      <c r="U663" s="58"/>
      <c r="V663" s="58"/>
      <c r="W663" s="58"/>
      <c r="X663" s="58"/>
      <c r="Y663" s="58"/>
    </row>
    <row r="664">
      <c r="A664" s="58"/>
      <c r="B664" s="58"/>
      <c r="C664" s="58"/>
      <c r="D664" s="58"/>
      <c r="E664" s="58"/>
      <c r="F664" s="58"/>
      <c r="G664" s="58"/>
      <c r="H664" s="58"/>
      <c r="I664" s="58"/>
      <c r="J664" s="58"/>
      <c r="K664" s="58"/>
      <c r="L664" s="58"/>
      <c r="M664" s="58"/>
      <c r="N664" s="58"/>
      <c r="O664" s="58"/>
      <c r="P664" s="58"/>
      <c r="Q664" s="58"/>
      <c r="R664" s="58"/>
      <c r="S664" s="58"/>
      <c r="T664" s="58"/>
      <c r="U664" s="58"/>
      <c r="V664" s="58"/>
      <c r="W664" s="58"/>
      <c r="X664" s="58"/>
      <c r="Y664" s="58"/>
    </row>
    <row r="665">
      <c r="A665" s="58"/>
      <c r="B665" s="58"/>
      <c r="C665" s="58"/>
      <c r="D665" s="58"/>
      <c r="E665" s="58"/>
      <c r="F665" s="58"/>
      <c r="G665" s="58"/>
      <c r="H665" s="58"/>
      <c r="I665" s="58"/>
      <c r="J665" s="58"/>
      <c r="K665" s="58"/>
      <c r="L665" s="58"/>
      <c r="M665" s="58"/>
      <c r="N665" s="58"/>
      <c r="O665" s="58"/>
      <c r="P665" s="58"/>
      <c r="Q665" s="58"/>
      <c r="R665" s="58"/>
      <c r="S665" s="58"/>
      <c r="T665" s="58"/>
      <c r="U665" s="58"/>
      <c r="V665" s="58"/>
      <c r="W665" s="58"/>
      <c r="X665" s="58"/>
      <c r="Y665" s="58"/>
    </row>
    <row r="666">
      <c r="A666" s="58"/>
      <c r="B666" s="58"/>
      <c r="C666" s="58"/>
      <c r="D666" s="58"/>
      <c r="E666" s="58"/>
      <c r="F666" s="58"/>
      <c r="G666" s="58"/>
      <c r="H666" s="58"/>
      <c r="I666" s="58"/>
      <c r="J666" s="58"/>
      <c r="K666" s="58"/>
      <c r="L666" s="58"/>
      <c r="M666" s="58"/>
      <c r="N666" s="58"/>
      <c r="O666" s="58"/>
      <c r="P666" s="58"/>
      <c r="Q666" s="58"/>
      <c r="R666" s="58"/>
      <c r="S666" s="58"/>
      <c r="T666" s="58"/>
      <c r="U666" s="58"/>
      <c r="V666" s="58"/>
      <c r="W666" s="58"/>
      <c r="X666" s="58"/>
      <c r="Y666" s="58"/>
    </row>
    <row r="667">
      <c r="A667" s="58"/>
      <c r="B667" s="58"/>
      <c r="C667" s="58"/>
      <c r="D667" s="58"/>
      <c r="E667" s="58"/>
      <c r="F667" s="58"/>
      <c r="G667" s="58"/>
      <c r="H667" s="58"/>
      <c r="I667" s="58"/>
      <c r="J667" s="58"/>
      <c r="K667" s="58"/>
      <c r="L667" s="58"/>
      <c r="M667" s="58"/>
      <c r="N667" s="58"/>
      <c r="O667" s="58"/>
      <c r="P667" s="58"/>
      <c r="Q667" s="58"/>
      <c r="R667" s="58"/>
      <c r="S667" s="58"/>
      <c r="T667" s="58"/>
      <c r="U667" s="58"/>
      <c r="V667" s="58"/>
      <c r="W667" s="58"/>
      <c r="X667" s="58"/>
      <c r="Y667" s="58"/>
    </row>
    <row r="668">
      <c r="A668" s="58"/>
      <c r="B668" s="58"/>
      <c r="C668" s="58"/>
      <c r="D668" s="58"/>
      <c r="E668" s="58"/>
      <c r="F668" s="58"/>
      <c r="G668" s="58"/>
      <c r="H668" s="58"/>
      <c r="I668" s="58"/>
      <c r="J668" s="58"/>
      <c r="K668" s="58"/>
      <c r="L668" s="58"/>
      <c r="M668" s="58"/>
      <c r="N668" s="58"/>
      <c r="O668" s="58"/>
      <c r="P668" s="58"/>
      <c r="Q668" s="58"/>
      <c r="R668" s="58"/>
      <c r="S668" s="58"/>
      <c r="T668" s="58"/>
      <c r="U668" s="58"/>
      <c r="V668" s="58"/>
      <c r="W668" s="58"/>
      <c r="X668" s="58"/>
      <c r="Y668" s="58"/>
    </row>
    <row r="669">
      <c r="A669" s="58"/>
      <c r="B669" s="58"/>
      <c r="C669" s="58"/>
      <c r="D669" s="58"/>
      <c r="E669" s="58"/>
      <c r="F669" s="58"/>
      <c r="G669" s="58"/>
      <c r="H669" s="58"/>
      <c r="I669" s="58"/>
      <c r="J669" s="58"/>
      <c r="K669" s="58"/>
      <c r="L669" s="58"/>
      <c r="M669" s="58"/>
      <c r="N669" s="58"/>
      <c r="O669" s="58"/>
      <c r="P669" s="58"/>
      <c r="Q669" s="58"/>
      <c r="R669" s="58"/>
      <c r="S669" s="58"/>
      <c r="T669" s="58"/>
      <c r="U669" s="58"/>
      <c r="V669" s="58"/>
      <c r="W669" s="58"/>
      <c r="X669" s="58"/>
      <c r="Y669" s="58"/>
    </row>
    <row r="670">
      <c r="A670" s="58"/>
      <c r="B670" s="58"/>
      <c r="C670" s="58"/>
      <c r="D670" s="58"/>
      <c r="E670" s="58"/>
      <c r="F670" s="58"/>
      <c r="G670" s="58"/>
      <c r="H670" s="58"/>
      <c r="I670" s="58"/>
      <c r="J670" s="58"/>
      <c r="K670" s="58"/>
      <c r="L670" s="58"/>
      <c r="M670" s="58"/>
      <c r="N670" s="58"/>
      <c r="O670" s="58"/>
      <c r="P670" s="58"/>
      <c r="Q670" s="58"/>
      <c r="R670" s="58"/>
      <c r="S670" s="58"/>
      <c r="T670" s="58"/>
      <c r="U670" s="58"/>
      <c r="V670" s="58"/>
      <c r="W670" s="58"/>
      <c r="X670" s="58"/>
      <c r="Y670" s="58"/>
    </row>
    <row r="671">
      <c r="A671" s="58"/>
      <c r="B671" s="58"/>
      <c r="C671" s="58"/>
      <c r="D671" s="58"/>
      <c r="E671" s="58"/>
      <c r="F671" s="58"/>
      <c r="G671" s="58"/>
      <c r="H671" s="58"/>
      <c r="I671" s="58"/>
      <c r="J671" s="58"/>
      <c r="K671" s="58"/>
      <c r="L671" s="58"/>
      <c r="M671" s="58"/>
      <c r="N671" s="58"/>
      <c r="O671" s="58"/>
      <c r="P671" s="58"/>
      <c r="Q671" s="58"/>
      <c r="R671" s="58"/>
      <c r="S671" s="58"/>
      <c r="T671" s="58"/>
      <c r="U671" s="58"/>
      <c r="V671" s="58"/>
      <c r="W671" s="58"/>
      <c r="X671" s="58"/>
      <c r="Y671" s="58"/>
    </row>
    <row r="672">
      <c r="A672" s="58"/>
      <c r="B672" s="58"/>
      <c r="C672" s="58"/>
      <c r="D672" s="58"/>
      <c r="E672" s="58"/>
      <c r="F672" s="58"/>
      <c r="G672" s="58"/>
      <c r="H672" s="58"/>
      <c r="I672" s="58"/>
      <c r="J672" s="58"/>
      <c r="K672" s="58"/>
      <c r="L672" s="58"/>
      <c r="M672" s="58"/>
      <c r="N672" s="58"/>
      <c r="O672" s="58"/>
      <c r="P672" s="58"/>
      <c r="Q672" s="58"/>
      <c r="R672" s="58"/>
      <c r="S672" s="58"/>
      <c r="T672" s="58"/>
      <c r="U672" s="58"/>
      <c r="V672" s="58"/>
      <c r="W672" s="58"/>
      <c r="X672" s="58"/>
      <c r="Y672" s="58"/>
    </row>
    <row r="673">
      <c r="A673" s="58"/>
      <c r="B673" s="58"/>
      <c r="C673" s="58"/>
      <c r="D673" s="58"/>
      <c r="E673" s="58"/>
      <c r="F673" s="58"/>
      <c r="G673" s="58"/>
      <c r="H673" s="58"/>
      <c r="I673" s="58"/>
      <c r="J673" s="58"/>
      <c r="K673" s="58"/>
      <c r="L673" s="58"/>
      <c r="M673" s="58"/>
      <c r="N673" s="58"/>
      <c r="O673" s="58"/>
      <c r="P673" s="58"/>
      <c r="Q673" s="58"/>
      <c r="R673" s="58"/>
      <c r="S673" s="58"/>
      <c r="T673" s="58"/>
      <c r="U673" s="58"/>
      <c r="V673" s="58"/>
      <c r="W673" s="58"/>
      <c r="X673" s="58"/>
      <c r="Y673" s="58"/>
    </row>
    <row r="674">
      <c r="A674" s="58"/>
      <c r="B674" s="58"/>
      <c r="C674" s="58"/>
      <c r="D674" s="58"/>
      <c r="E674" s="58"/>
      <c r="F674" s="58"/>
      <c r="G674" s="58"/>
      <c r="H674" s="58"/>
      <c r="I674" s="58"/>
      <c r="J674" s="58"/>
      <c r="K674" s="58"/>
      <c r="L674" s="58"/>
      <c r="M674" s="58"/>
      <c r="N674" s="58"/>
      <c r="O674" s="58"/>
      <c r="P674" s="58"/>
      <c r="Q674" s="58"/>
      <c r="R674" s="58"/>
      <c r="S674" s="58"/>
      <c r="T674" s="58"/>
      <c r="U674" s="58"/>
      <c r="V674" s="58"/>
      <c r="W674" s="58"/>
      <c r="X674" s="58"/>
      <c r="Y674" s="58"/>
    </row>
    <row r="675">
      <c r="A675" s="58"/>
      <c r="B675" s="58"/>
      <c r="C675" s="58"/>
      <c r="D675" s="58"/>
      <c r="E675" s="58"/>
      <c r="F675" s="58"/>
      <c r="G675" s="58"/>
      <c r="H675" s="58"/>
      <c r="I675" s="58"/>
      <c r="J675" s="58"/>
      <c r="K675" s="58"/>
      <c r="L675" s="58"/>
      <c r="M675" s="58"/>
      <c r="N675" s="58"/>
      <c r="O675" s="58"/>
      <c r="P675" s="58"/>
      <c r="Q675" s="58"/>
      <c r="R675" s="58"/>
      <c r="S675" s="58"/>
      <c r="T675" s="58"/>
      <c r="U675" s="58"/>
      <c r="V675" s="58"/>
      <c r="W675" s="58"/>
      <c r="X675" s="58"/>
      <c r="Y675" s="58"/>
    </row>
    <row r="676">
      <c r="A676" s="58"/>
      <c r="B676" s="58"/>
      <c r="C676" s="58"/>
      <c r="D676" s="58"/>
      <c r="E676" s="58"/>
      <c r="F676" s="58"/>
      <c r="G676" s="58"/>
      <c r="H676" s="58"/>
      <c r="I676" s="58"/>
      <c r="J676" s="58"/>
      <c r="K676" s="58"/>
      <c r="L676" s="58"/>
      <c r="M676" s="58"/>
      <c r="N676" s="58"/>
      <c r="O676" s="58"/>
      <c r="P676" s="58"/>
      <c r="Q676" s="58"/>
      <c r="R676" s="58"/>
      <c r="S676" s="58"/>
      <c r="T676" s="58"/>
      <c r="U676" s="58"/>
      <c r="V676" s="58"/>
      <c r="W676" s="58"/>
      <c r="X676" s="58"/>
      <c r="Y676" s="58"/>
    </row>
    <row r="677">
      <c r="A677" s="58"/>
      <c r="B677" s="58"/>
      <c r="C677" s="58"/>
      <c r="D677" s="58"/>
      <c r="E677" s="58"/>
      <c r="F677" s="58"/>
      <c r="G677" s="58"/>
      <c r="H677" s="58"/>
      <c r="I677" s="58"/>
      <c r="J677" s="58"/>
      <c r="K677" s="58"/>
      <c r="L677" s="58"/>
      <c r="M677" s="58"/>
      <c r="N677" s="58"/>
      <c r="O677" s="58"/>
      <c r="P677" s="58"/>
      <c r="Q677" s="58"/>
      <c r="R677" s="58"/>
      <c r="S677" s="58"/>
      <c r="T677" s="58"/>
      <c r="U677" s="58"/>
      <c r="V677" s="58"/>
      <c r="W677" s="58"/>
      <c r="X677" s="58"/>
      <c r="Y677" s="58"/>
    </row>
    <row r="678">
      <c r="A678" s="58"/>
      <c r="B678" s="58"/>
      <c r="C678" s="58"/>
      <c r="D678" s="58"/>
      <c r="E678" s="58"/>
      <c r="F678" s="58"/>
      <c r="G678" s="58"/>
      <c r="H678" s="58"/>
      <c r="I678" s="58"/>
      <c r="J678" s="58"/>
      <c r="K678" s="58"/>
      <c r="L678" s="58"/>
      <c r="M678" s="58"/>
      <c r="N678" s="58"/>
      <c r="O678" s="58"/>
      <c r="P678" s="58"/>
      <c r="Q678" s="58"/>
      <c r="R678" s="58"/>
      <c r="S678" s="58"/>
      <c r="T678" s="58"/>
      <c r="U678" s="58"/>
      <c r="V678" s="58"/>
      <c r="W678" s="58"/>
      <c r="X678" s="58"/>
      <c r="Y678" s="58"/>
    </row>
    <row r="679">
      <c r="A679" s="58"/>
      <c r="B679" s="58"/>
      <c r="C679" s="58"/>
      <c r="D679" s="58"/>
      <c r="E679" s="58"/>
      <c r="F679" s="58"/>
      <c r="G679" s="58"/>
      <c r="H679" s="58"/>
      <c r="I679" s="58"/>
      <c r="J679" s="58"/>
      <c r="K679" s="58"/>
      <c r="L679" s="58"/>
      <c r="M679" s="58"/>
      <c r="N679" s="58"/>
      <c r="O679" s="58"/>
      <c r="P679" s="58"/>
      <c r="Q679" s="58"/>
      <c r="R679" s="58"/>
      <c r="S679" s="58"/>
      <c r="T679" s="58"/>
      <c r="U679" s="58"/>
      <c r="V679" s="58"/>
      <c r="W679" s="58"/>
      <c r="X679" s="58"/>
      <c r="Y679" s="58"/>
    </row>
    <row r="680">
      <c r="A680" s="58"/>
      <c r="B680" s="58"/>
      <c r="C680" s="58"/>
      <c r="D680" s="58"/>
      <c r="E680" s="58"/>
      <c r="F680" s="58"/>
      <c r="G680" s="58"/>
      <c r="H680" s="58"/>
      <c r="I680" s="58"/>
      <c r="J680" s="58"/>
      <c r="K680" s="58"/>
      <c r="L680" s="58"/>
      <c r="M680" s="58"/>
      <c r="N680" s="58"/>
      <c r="O680" s="58"/>
      <c r="P680" s="58"/>
      <c r="Q680" s="58"/>
      <c r="R680" s="58"/>
      <c r="S680" s="58"/>
      <c r="T680" s="58"/>
      <c r="U680" s="58"/>
      <c r="V680" s="58"/>
      <c r="W680" s="58"/>
      <c r="X680" s="58"/>
      <c r="Y680" s="58"/>
    </row>
    <row r="681">
      <c r="A681" s="58"/>
      <c r="B681" s="58"/>
      <c r="C681" s="58"/>
      <c r="D681" s="58"/>
      <c r="E681" s="58"/>
      <c r="F681" s="58"/>
      <c r="G681" s="58"/>
      <c r="H681" s="58"/>
      <c r="I681" s="58"/>
      <c r="J681" s="58"/>
      <c r="K681" s="58"/>
      <c r="L681" s="58"/>
      <c r="M681" s="58"/>
      <c r="N681" s="58"/>
      <c r="O681" s="58"/>
      <c r="P681" s="58"/>
      <c r="Q681" s="58"/>
      <c r="R681" s="58"/>
      <c r="S681" s="58"/>
      <c r="T681" s="58"/>
      <c r="U681" s="58"/>
      <c r="V681" s="58"/>
      <c r="W681" s="58"/>
      <c r="X681" s="58"/>
      <c r="Y681" s="58"/>
    </row>
    <row r="682">
      <c r="A682" s="58"/>
      <c r="B682" s="58"/>
      <c r="C682" s="58"/>
      <c r="D682" s="58"/>
      <c r="E682" s="58"/>
      <c r="F682" s="58"/>
      <c r="G682" s="58"/>
      <c r="H682" s="58"/>
      <c r="I682" s="58"/>
      <c r="J682" s="58"/>
      <c r="K682" s="58"/>
      <c r="L682" s="58"/>
      <c r="M682" s="58"/>
      <c r="N682" s="58"/>
      <c r="O682" s="58"/>
      <c r="P682" s="58"/>
      <c r="Q682" s="58"/>
      <c r="R682" s="58"/>
      <c r="S682" s="58"/>
      <c r="T682" s="58"/>
      <c r="U682" s="58"/>
      <c r="V682" s="58"/>
      <c r="W682" s="58"/>
      <c r="X682" s="58"/>
      <c r="Y682" s="58"/>
    </row>
    <row r="683">
      <c r="A683" s="58"/>
      <c r="B683" s="58"/>
      <c r="C683" s="58"/>
      <c r="D683" s="58"/>
      <c r="E683" s="58"/>
      <c r="F683" s="58"/>
      <c r="G683" s="58"/>
      <c r="H683" s="58"/>
      <c r="I683" s="58"/>
      <c r="J683" s="58"/>
      <c r="K683" s="58"/>
      <c r="L683" s="58"/>
      <c r="M683" s="58"/>
      <c r="N683" s="58"/>
      <c r="O683" s="58"/>
      <c r="P683" s="58"/>
      <c r="Q683" s="58"/>
      <c r="R683" s="58"/>
      <c r="S683" s="58"/>
      <c r="T683" s="58"/>
      <c r="U683" s="58"/>
      <c r="V683" s="58"/>
      <c r="W683" s="58"/>
      <c r="X683" s="58"/>
      <c r="Y683" s="58"/>
    </row>
    <row r="684">
      <c r="A684" s="58"/>
      <c r="B684" s="58"/>
      <c r="C684" s="58"/>
      <c r="D684" s="58"/>
      <c r="E684" s="58"/>
      <c r="F684" s="58"/>
      <c r="G684" s="58"/>
      <c r="H684" s="58"/>
      <c r="I684" s="58"/>
      <c r="J684" s="58"/>
      <c r="K684" s="58"/>
      <c r="L684" s="58"/>
      <c r="M684" s="58"/>
      <c r="N684" s="58"/>
      <c r="O684" s="58"/>
      <c r="P684" s="58"/>
      <c r="Q684" s="58"/>
      <c r="R684" s="58"/>
      <c r="S684" s="58"/>
      <c r="T684" s="58"/>
      <c r="U684" s="58"/>
      <c r="V684" s="58"/>
      <c r="W684" s="58"/>
      <c r="X684" s="58"/>
      <c r="Y684" s="58"/>
    </row>
    <row r="685">
      <c r="A685" s="58"/>
      <c r="B685" s="58"/>
      <c r="C685" s="58"/>
      <c r="D685" s="58"/>
      <c r="E685" s="58"/>
      <c r="F685" s="58"/>
      <c r="G685" s="58"/>
      <c r="H685" s="58"/>
      <c r="I685" s="58"/>
      <c r="J685" s="58"/>
      <c r="K685" s="58"/>
      <c r="L685" s="58"/>
      <c r="M685" s="58"/>
      <c r="N685" s="58"/>
      <c r="O685" s="58"/>
      <c r="P685" s="58"/>
      <c r="Q685" s="58"/>
      <c r="R685" s="58"/>
      <c r="S685" s="58"/>
      <c r="T685" s="58"/>
      <c r="U685" s="58"/>
      <c r="V685" s="58"/>
      <c r="W685" s="58"/>
      <c r="X685" s="58"/>
      <c r="Y685" s="58"/>
    </row>
    <row r="686">
      <c r="A686" s="58"/>
      <c r="B686" s="58"/>
      <c r="C686" s="58"/>
      <c r="D686" s="58"/>
      <c r="E686" s="58"/>
      <c r="F686" s="58"/>
      <c r="G686" s="58"/>
      <c r="H686" s="58"/>
      <c r="I686" s="58"/>
      <c r="J686" s="58"/>
      <c r="K686" s="58"/>
      <c r="L686" s="58"/>
      <c r="M686" s="58"/>
      <c r="N686" s="58"/>
      <c r="O686" s="58"/>
      <c r="P686" s="58"/>
      <c r="Q686" s="58"/>
      <c r="R686" s="58"/>
      <c r="S686" s="58"/>
      <c r="T686" s="58"/>
      <c r="U686" s="58"/>
      <c r="V686" s="58"/>
      <c r="W686" s="58"/>
      <c r="X686" s="58"/>
      <c r="Y686" s="58"/>
    </row>
    <row r="687">
      <c r="A687" s="58"/>
      <c r="B687" s="58"/>
      <c r="C687" s="58"/>
      <c r="D687" s="58"/>
      <c r="E687" s="58"/>
      <c r="F687" s="58"/>
      <c r="G687" s="58"/>
      <c r="H687" s="58"/>
      <c r="I687" s="58"/>
      <c r="J687" s="58"/>
      <c r="K687" s="58"/>
      <c r="L687" s="58"/>
      <c r="M687" s="58"/>
      <c r="N687" s="58"/>
      <c r="O687" s="58"/>
      <c r="P687" s="58"/>
      <c r="Q687" s="58"/>
      <c r="R687" s="58"/>
      <c r="S687" s="58"/>
      <c r="T687" s="58"/>
      <c r="U687" s="58"/>
      <c r="V687" s="58"/>
      <c r="W687" s="58"/>
      <c r="X687" s="58"/>
      <c r="Y687" s="58"/>
    </row>
    <row r="688">
      <c r="A688" s="58"/>
      <c r="B688" s="58"/>
      <c r="C688" s="58"/>
      <c r="D688" s="58"/>
      <c r="E688" s="58"/>
      <c r="F688" s="58"/>
      <c r="G688" s="58"/>
      <c r="H688" s="58"/>
      <c r="I688" s="58"/>
      <c r="J688" s="58"/>
      <c r="K688" s="58"/>
      <c r="L688" s="58"/>
      <c r="M688" s="58"/>
      <c r="N688" s="58"/>
      <c r="O688" s="58"/>
      <c r="P688" s="58"/>
      <c r="Q688" s="58"/>
      <c r="R688" s="58"/>
      <c r="S688" s="58"/>
      <c r="T688" s="58"/>
      <c r="U688" s="58"/>
      <c r="V688" s="58"/>
      <c r="W688" s="58"/>
      <c r="X688" s="58"/>
      <c r="Y688" s="58"/>
    </row>
    <row r="689">
      <c r="A689" s="58"/>
      <c r="B689" s="58"/>
      <c r="C689" s="58"/>
      <c r="D689" s="58"/>
      <c r="E689" s="58"/>
      <c r="F689" s="58"/>
      <c r="G689" s="58"/>
      <c r="H689" s="58"/>
      <c r="I689" s="58"/>
      <c r="J689" s="58"/>
      <c r="K689" s="58"/>
      <c r="L689" s="58"/>
      <c r="M689" s="58"/>
      <c r="N689" s="58"/>
      <c r="O689" s="58"/>
      <c r="P689" s="58"/>
      <c r="Q689" s="58"/>
      <c r="R689" s="58"/>
      <c r="S689" s="58"/>
      <c r="T689" s="58"/>
      <c r="U689" s="58"/>
      <c r="V689" s="58"/>
      <c r="W689" s="58"/>
      <c r="X689" s="58"/>
      <c r="Y689" s="58"/>
    </row>
    <row r="690">
      <c r="A690" s="58"/>
      <c r="B690" s="58"/>
      <c r="C690" s="58"/>
      <c r="D690" s="58"/>
      <c r="E690" s="58"/>
      <c r="F690" s="58"/>
      <c r="G690" s="58"/>
      <c r="H690" s="58"/>
      <c r="I690" s="58"/>
      <c r="J690" s="58"/>
      <c r="K690" s="58"/>
      <c r="L690" s="58"/>
      <c r="M690" s="58"/>
      <c r="N690" s="58"/>
      <c r="O690" s="58"/>
      <c r="P690" s="58"/>
      <c r="Q690" s="58"/>
      <c r="R690" s="58"/>
      <c r="S690" s="58"/>
      <c r="T690" s="58"/>
      <c r="U690" s="58"/>
      <c r="V690" s="58"/>
      <c r="W690" s="58"/>
      <c r="X690" s="58"/>
      <c r="Y690" s="58"/>
    </row>
    <row r="691">
      <c r="A691" s="58"/>
      <c r="B691" s="58"/>
      <c r="C691" s="58"/>
      <c r="D691" s="58"/>
      <c r="E691" s="58"/>
      <c r="F691" s="58"/>
      <c r="G691" s="58"/>
      <c r="H691" s="58"/>
      <c r="I691" s="58"/>
      <c r="J691" s="58"/>
      <c r="K691" s="58"/>
      <c r="L691" s="58"/>
      <c r="M691" s="58"/>
      <c r="N691" s="58"/>
      <c r="O691" s="58"/>
      <c r="P691" s="58"/>
      <c r="Q691" s="58"/>
      <c r="R691" s="58"/>
      <c r="S691" s="58"/>
      <c r="T691" s="58"/>
      <c r="U691" s="58"/>
      <c r="V691" s="58"/>
      <c r="W691" s="58"/>
      <c r="X691" s="58"/>
      <c r="Y691" s="58"/>
    </row>
    <row r="692">
      <c r="A692" s="58"/>
      <c r="B692" s="58"/>
      <c r="C692" s="58"/>
      <c r="D692" s="58"/>
      <c r="E692" s="58"/>
      <c r="F692" s="58"/>
      <c r="G692" s="58"/>
      <c r="H692" s="58"/>
      <c r="I692" s="58"/>
      <c r="J692" s="58"/>
      <c r="K692" s="58"/>
      <c r="L692" s="58"/>
      <c r="M692" s="58"/>
      <c r="N692" s="58"/>
      <c r="O692" s="58"/>
      <c r="P692" s="58"/>
      <c r="Q692" s="58"/>
      <c r="R692" s="58"/>
      <c r="S692" s="58"/>
      <c r="T692" s="58"/>
      <c r="U692" s="58"/>
      <c r="V692" s="58"/>
      <c r="W692" s="58"/>
      <c r="X692" s="58"/>
      <c r="Y692" s="58"/>
    </row>
    <row r="693">
      <c r="A693" s="58"/>
      <c r="B693" s="58"/>
      <c r="C693" s="58"/>
      <c r="D693" s="58"/>
      <c r="E693" s="58"/>
      <c r="F693" s="58"/>
      <c r="G693" s="58"/>
      <c r="H693" s="58"/>
      <c r="I693" s="58"/>
      <c r="J693" s="58"/>
      <c r="K693" s="58"/>
      <c r="L693" s="58"/>
      <c r="M693" s="58"/>
      <c r="N693" s="58"/>
      <c r="O693" s="58"/>
      <c r="P693" s="58"/>
      <c r="Q693" s="58"/>
      <c r="R693" s="58"/>
      <c r="S693" s="58"/>
      <c r="T693" s="58"/>
      <c r="U693" s="58"/>
      <c r="V693" s="58"/>
      <c r="W693" s="58"/>
      <c r="X693" s="58"/>
      <c r="Y693" s="58"/>
    </row>
    <row r="694">
      <c r="A694" s="58"/>
      <c r="B694" s="58"/>
      <c r="C694" s="58"/>
      <c r="D694" s="58"/>
      <c r="E694" s="58"/>
      <c r="F694" s="58"/>
      <c r="G694" s="58"/>
      <c r="H694" s="58"/>
      <c r="I694" s="58"/>
      <c r="J694" s="58"/>
      <c r="K694" s="58"/>
      <c r="L694" s="58"/>
      <c r="M694" s="58"/>
      <c r="N694" s="58"/>
      <c r="O694" s="58"/>
      <c r="P694" s="58"/>
      <c r="Q694" s="58"/>
      <c r="R694" s="58"/>
      <c r="S694" s="58"/>
      <c r="T694" s="58"/>
      <c r="U694" s="58"/>
      <c r="V694" s="58"/>
      <c r="W694" s="58"/>
      <c r="X694" s="58"/>
      <c r="Y694" s="58"/>
    </row>
    <row r="695">
      <c r="A695" s="58"/>
      <c r="B695" s="58"/>
      <c r="C695" s="58"/>
      <c r="D695" s="58"/>
      <c r="E695" s="58"/>
      <c r="F695" s="58"/>
      <c r="G695" s="58"/>
      <c r="H695" s="58"/>
      <c r="I695" s="58"/>
      <c r="J695" s="58"/>
      <c r="K695" s="58"/>
      <c r="L695" s="58"/>
      <c r="M695" s="58"/>
      <c r="N695" s="58"/>
      <c r="O695" s="58"/>
      <c r="P695" s="58"/>
      <c r="Q695" s="58"/>
      <c r="R695" s="58"/>
      <c r="S695" s="58"/>
      <c r="T695" s="58"/>
      <c r="U695" s="58"/>
      <c r="V695" s="58"/>
      <c r="W695" s="58"/>
      <c r="X695" s="58"/>
      <c r="Y695" s="58"/>
    </row>
    <row r="696">
      <c r="A696" s="58"/>
      <c r="B696" s="58"/>
      <c r="C696" s="58"/>
      <c r="D696" s="58"/>
      <c r="E696" s="58"/>
      <c r="F696" s="58"/>
      <c r="G696" s="58"/>
      <c r="H696" s="58"/>
      <c r="I696" s="58"/>
      <c r="J696" s="58"/>
      <c r="K696" s="58"/>
      <c r="L696" s="58"/>
      <c r="M696" s="58"/>
      <c r="N696" s="58"/>
      <c r="O696" s="58"/>
      <c r="P696" s="58"/>
      <c r="Q696" s="58"/>
      <c r="R696" s="58"/>
      <c r="S696" s="58"/>
      <c r="T696" s="58"/>
      <c r="U696" s="58"/>
      <c r="V696" s="58"/>
      <c r="W696" s="58"/>
      <c r="X696" s="58"/>
      <c r="Y696" s="58"/>
    </row>
    <row r="697">
      <c r="A697" s="58"/>
      <c r="B697" s="58"/>
      <c r="C697" s="58"/>
      <c r="D697" s="58"/>
      <c r="E697" s="58"/>
      <c r="F697" s="58"/>
      <c r="G697" s="58"/>
      <c r="H697" s="58"/>
      <c r="I697" s="58"/>
      <c r="J697" s="58"/>
      <c r="K697" s="58"/>
      <c r="L697" s="58"/>
      <c r="M697" s="58"/>
      <c r="N697" s="58"/>
      <c r="O697" s="58"/>
      <c r="P697" s="58"/>
      <c r="Q697" s="58"/>
      <c r="R697" s="58"/>
      <c r="S697" s="58"/>
      <c r="T697" s="58"/>
      <c r="U697" s="58"/>
      <c r="V697" s="58"/>
      <c r="W697" s="58"/>
      <c r="X697" s="58"/>
      <c r="Y697" s="58"/>
    </row>
    <row r="698">
      <c r="A698" s="58"/>
      <c r="B698" s="58"/>
      <c r="C698" s="58"/>
      <c r="D698" s="58"/>
      <c r="E698" s="58"/>
      <c r="F698" s="58"/>
      <c r="G698" s="58"/>
      <c r="H698" s="58"/>
      <c r="I698" s="58"/>
      <c r="J698" s="58"/>
      <c r="K698" s="58"/>
      <c r="L698" s="58"/>
      <c r="M698" s="58"/>
      <c r="N698" s="58"/>
      <c r="O698" s="58"/>
      <c r="P698" s="58"/>
      <c r="Q698" s="58"/>
      <c r="R698" s="58"/>
      <c r="S698" s="58"/>
      <c r="T698" s="58"/>
      <c r="U698" s="58"/>
      <c r="V698" s="58"/>
      <c r="W698" s="58"/>
      <c r="X698" s="58"/>
      <c r="Y698" s="58"/>
    </row>
    <row r="699">
      <c r="A699" s="58"/>
      <c r="B699" s="58"/>
      <c r="C699" s="58"/>
      <c r="D699" s="58"/>
      <c r="E699" s="58"/>
      <c r="F699" s="58"/>
      <c r="G699" s="58"/>
      <c r="H699" s="58"/>
      <c r="I699" s="58"/>
      <c r="J699" s="58"/>
      <c r="K699" s="58"/>
      <c r="L699" s="58"/>
      <c r="M699" s="58"/>
      <c r="N699" s="58"/>
      <c r="O699" s="58"/>
      <c r="P699" s="58"/>
      <c r="Q699" s="58"/>
      <c r="R699" s="58"/>
      <c r="S699" s="58"/>
      <c r="T699" s="58"/>
      <c r="U699" s="58"/>
      <c r="V699" s="58"/>
      <c r="W699" s="58"/>
      <c r="X699" s="58"/>
      <c r="Y699" s="58"/>
    </row>
    <row r="700">
      <c r="A700" s="58"/>
      <c r="B700" s="58"/>
      <c r="C700" s="58"/>
      <c r="D700" s="58"/>
      <c r="E700" s="58"/>
      <c r="F700" s="58"/>
      <c r="G700" s="58"/>
      <c r="H700" s="58"/>
      <c r="I700" s="58"/>
      <c r="J700" s="58"/>
      <c r="K700" s="58"/>
      <c r="L700" s="58"/>
      <c r="M700" s="58"/>
      <c r="N700" s="58"/>
      <c r="O700" s="58"/>
      <c r="P700" s="58"/>
      <c r="Q700" s="58"/>
      <c r="R700" s="58"/>
      <c r="S700" s="58"/>
      <c r="T700" s="58"/>
      <c r="U700" s="58"/>
      <c r="V700" s="58"/>
      <c r="W700" s="58"/>
      <c r="X700" s="58"/>
      <c r="Y700" s="58"/>
    </row>
    <row r="701">
      <c r="A701" s="58"/>
      <c r="B701" s="58"/>
      <c r="C701" s="58"/>
      <c r="D701" s="58"/>
      <c r="E701" s="58"/>
      <c r="F701" s="58"/>
      <c r="G701" s="58"/>
      <c r="H701" s="58"/>
      <c r="I701" s="58"/>
      <c r="J701" s="58"/>
      <c r="K701" s="58"/>
      <c r="L701" s="58"/>
      <c r="M701" s="58"/>
      <c r="N701" s="58"/>
      <c r="O701" s="58"/>
      <c r="P701" s="58"/>
      <c r="Q701" s="58"/>
      <c r="R701" s="58"/>
      <c r="S701" s="58"/>
      <c r="T701" s="58"/>
      <c r="U701" s="58"/>
      <c r="V701" s="58"/>
      <c r="W701" s="58"/>
      <c r="X701" s="58"/>
      <c r="Y701" s="58"/>
    </row>
    <row r="702">
      <c r="A702" s="58"/>
      <c r="B702" s="58"/>
      <c r="C702" s="58"/>
      <c r="D702" s="58"/>
      <c r="E702" s="58"/>
      <c r="F702" s="58"/>
      <c r="G702" s="58"/>
      <c r="H702" s="58"/>
      <c r="I702" s="58"/>
      <c r="J702" s="58"/>
      <c r="K702" s="58"/>
      <c r="L702" s="58"/>
      <c r="M702" s="58"/>
      <c r="N702" s="58"/>
      <c r="O702" s="58"/>
      <c r="P702" s="58"/>
      <c r="Q702" s="58"/>
      <c r="R702" s="58"/>
      <c r="S702" s="58"/>
      <c r="T702" s="58"/>
      <c r="U702" s="58"/>
      <c r="V702" s="58"/>
      <c r="W702" s="58"/>
      <c r="X702" s="58"/>
      <c r="Y702" s="58"/>
    </row>
    <row r="703">
      <c r="A703" s="58"/>
      <c r="B703" s="58"/>
      <c r="C703" s="58"/>
      <c r="D703" s="58"/>
      <c r="E703" s="58"/>
      <c r="F703" s="58"/>
      <c r="G703" s="58"/>
      <c r="H703" s="58"/>
      <c r="I703" s="58"/>
      <c r="J703" s="58"/>
      <c r="K703" s="58"/>
      <c r="L703" s="58"/>
      <c r="M703" s="58"/>
      <c r="N703" s="58"/>
      <c r="O703" s="58"/>
      <c r="P703" s="58"/>
      <c r="Q703" s="58"/>
      <c r="R703" s="58"/>
      <c r="S703" s="58"/>
      <c r="T703" s="58"/>
      <c r="U703" s="58"/>
      <c r="V703" s="58"/>
      <c r="W703" s="58"/>
      <c r="X703" s="58"/>
      <c r="Y703" s="58"/>
    </row>
    <row r="704">
      <c r="A704" s="58"/>
      <c r="B704" s="58"/>
      <c r="C704" s="58"/>
      <c r="D704" s="58"/>
      <c r="E704" s="58"/>
      <c r="F704" s="58"/>
      <c r="G704" s="58"/>
      <c r="H704" s="58"/>
      <c r="I704" s="58"/>
      <c r="J704" s="58"/>
      <c r="K704" s="58"/>
      <c r="L704" s="58"/>
      <c r="M704" s="58"/>
      <c r="N704" s="58"/>
      <c r="O704" s="58"/>
      <c r="P704" s="58"/>
      <c r="Q704" s="58"/>
      <c r="R704" s="58"/>
      <c r="S704" s="58"/>
      <c r="T704" s="58"/>
      <c r="U704" s="58"/>
      <c r="V704" s="58"/>
      <c r="W704" s="58"/>
      <c r="X704" s="58"/>
      <c r="Y704" s="58"/>
    </row>
    <row r="705">
      <c r="A705" s="58"/>
      <c r="B705" s="58"/>
      <c r="C705" s="58"/>
      <c r="D705" s="58"/>
      <c r="E705" s="58"/>
      <c r="F705" s="58"/>
      <c r="G705" s="58"/>
      <c r="H705" s="58"/>
      <c r="I705" s="58"/>
      <c r="J705" s="58"/>
      <c r="K705" s="58"/>
      <c r="L705" s="58"/>
      <c r="M705" s="58"/>
      <c r="N705" s="58"/>
      <c r="O705" s="58"/>
      <c r="P705" s="58"/>
      <c r="Q705" s="58"/>
      <c r="R705" s="58"/>
      <c r="S705" s="58"/>
      <c r="T705" s="58"/>
      <c r="U705" s="58"/>
      <c r="V705" s="58"/>
      <c r="W705" s="58"/>
      <c r="X705" s="58"/>
      <c r="Y705" s="58"/>
    </row>
    <row r="706">
      <c r="A706" s="58"/>
      <c r="B706" s="58"/>
      <c r="C706" s="58"/>
      <c r="D706" s="58"/>
      <c r="E706" s="58"/>
      <c r="F706" s="58"/>
      <c r="G706" s="58"/>
      <c r="H706" s="58"/>
      <c r="I706" s="58"/>
      <c r="J706" s="58"/>
      <c r="K706" s="58"/>
      <c r="L706" s="58"/>
      <c r="M706" s="58"/>
      <c r="N706" s="58"/>
      <c r="O706" s="58"/>
      <c r="P706" s="58"/>
      <c r="Q706" s="58"/>
      <c r="R706" s="58"/>
      <c r="S706" s="58"/>
      <c r="T706" s="58"/>
      <c r="U706" s="58"/>
      <c r="V706" s="58"/>
      <c r="W706" s="58"/>
      <c r="X706" s="58"/>
      <c r="Y706" s="58"/>
    </row>
    <row r="707">
      <c r="A707" s="58"/>
      <c r="B707" s="58"/>
      <c r="C707" s="58"/>
      <c r="D707" s="58"/>
      <c r="E707" s="58"/>
      <c r="F707" s="58"/>
      <c r="G707" s="58"/>
      <c r="H707" s="58"/>
      <c r="I707" s="58"/>
      <c r="J707" s="58"/>
      <c r="K707" s="58"/>
      <c r="L707" s="58"/>
      <c r="M707" s="58"/>
      <c r="N707" s="58"/>
      <c r="O707" s="58"/>
      <c r="P707" s="58"/>
      <c r="Q707" s="58"/>
      <c r="R707" s="58"/>
      <c r="S707" s="58"/>
      <c r="T707" s="58"/>
      <c r="U707" s="58"/>
      <c r="V707" s="58"/>
      <c r="W707" s="58"/>
      <c r="X707" s="58"/>
      <c r="Y707" s="58"/>
    </row>
    <row r="708">
      <c r="A708" s="58"/>
      <c r="B708" s="58"/>
      <c r="C708" s="58"/>
      <c r="D708" s="58"/>
      <c r="E708" s="58"/>
      <c r="F708" s="58"/>
      <c r="G708" s="58"/>
      <c r="H708" s="58"/>
      <c r="I708" s="58"/>
      <c r="J708" s="58"/>
      <c r="K708" s="58"/>
      <c r="L708" s="58"/>
      <c r="M708" s="58"/>
      <c r="N708" s="58"/>
      <c r="O708" s="58"/>
      <c r="P708" s="58"/>
      <c r="Q708" s="58"/>
      <c r="R708" s="58"/>
      <c r="S708" s="58"/>
      <c r="T708" s="58"/>
      <c r="U708" s="58"/>
      <c r="V708" s="58"/>
      <c r="W708" s="58"/>
      <c r="X708" s="58"/>
      <c r="Y708" s="58"/>
    </row>
    <row r="709">
      <c r="A709" s="58"/>
      <c r="B709" s="58"/>
      <c r="C709" s="58"/>
      <c r="D709" s="58"/>
      <c r="E709" s="58"/>
      <c r="F709" s="58"/>
      <c r="G709" s="58"/>
      <c r="H709" s="58"/>
      <c r="I709" s="58"/>
      <c r="J709" s="58"/>
      <c r="K709" s="58"/>
      <c r="L709" s="58"/>
      <c r="M709" s="58"/>
      <c r="N709" s="58"/>
      <c r="O709" s="58"/>
      <c r="P709" s="58"/>
      <c r="Q709" s="58"/>
      <c r="R709" s="58"/>
      <c r="S709" s="58"/>
      <c r="T709" s="58"/>
      <c r="U709" s="58"/>
      <c r="V709" s="58"/>
      <c r="W709" s="58"/>
      <c r="X709" s="58"/>
      <c r="Y709" s="58"/>
    </row>
    <row r="710">
      <c r="A710" s="58"/>
      <c r="B710" s="58"/>
      <c r="C710" s="58"/>
      <c r="D710" s="58"/>
      <c r="E710" s="58"/>
      <c r="F710" s="58"/>
      <c r="G710" s="58"/>
      <c r="H710" s="58"/>
      <c r="I710" s="58"/>
      <c r="J710" s="58"/>
      <c r="K710" s="58"/>
      <c r="L710" s="58"/>
      <c r="M710" s="58"/>
      <c r="N710" s="58"/>
      <c r="O710" s="58"/>
      <c r="P710" s="58"/>
      <c r="Q710" s="58"/>
      <c r="R710" s="58"/>
      <c r="S710" s="58"/>
      <c r="T710" s="58"/>
      <c r="U710" s="58"/>
      <c r="V710" s="58"/>
      <c r="W710" s="58"/>
      <c r="X710" s="58"/>
      <c r="Y710" s="58"/>
    </row>
    <row r="711">
      <c r="A711" s="58"/>
      <c r="B711" s="58"/>
      <c r="C711" s="58"/>
      <c r="D711" s="58"/>
      <c r="E711" s="58"/>
      <c r="F711" s="58"/>
      <c r="G711" s="58"/>
      <c r="H711" s="58"/>
      <c r="I711" s="58"/>
      <c r="J711" s="58"/>
      <c r="K711" s="58"/>
      <c r="L711" s="58"/>
      <c r="M711" s="58"/>
      <c r="N711" s="58"/>
      <c r="O711" s="58"/>
      <c r="P711" s="58"/>
      <c r="Q711" s="58"/>
      <c r="R711" s="58"/>
      <c r="S711" s="58"/>
      <c r="T711" s="58"/>
      <c r="U711" s="58"/>
      <c r="V711" s="58"/>
      <c r="W711" s="58"/>
      <c r="X711" s="58"/>
      <c r="Y711" s="58"/>
    </row>
    <row r="712">
      <c r="A712" s="58"/>
      <c r="B712" s="58"/>
      <c r="C712" s="58"/>
      <c r="D712" s="58"/>
      <c r="E712" s="58"/>
      <c r="F712" s="58"/>
      <c r="G712" s="58"/>
      <c r="H712" s="58"/>
      <c r="I712" s="58"/>
      <c r="J712" s="58"/>
      <c r="K712" s="58"/>
      <c r="L712" s="58"/>
      <c r="M712" s="58"/>
      <c r="N712" s="58"/>
      <c r="O712" s="58"/>
      <c r="P712" s="58"/>
      <c r="Q712" s="58"/>
      <c r="R712" s="58"/>
      <c r="S712" s="58"/>
      <c r="T712" s="58"/>
      <c r="U712" s="58"/>
      <c r="V712" s="58"/>
      <c r="W712" s="58"/>
      <c r="X712" s="58"/>
      <c r="Y712" s="58"/>
    </row>
    <row r="713">
      <c r="A713" s="58"/>
      <c r="B713" s="58"/>
      <c r="C713" s="58"/>
      <c r="D713" s="58"/>
      <c r="E713" s="58"/>
      <c r="F713" s="58"/>
      <c r="G713" s="58"/>
      <c r="H713" s="58"/>
      <c r="I713" s="58"/>
      <c r="J713" s="58"/>
      <c r="K713" s="58"/>
      <c r="L713" s="58"/>
      <c r="M713" s="58"/>
      <c r="N713" s="58"/>
      <c r="O713" s="58"/>
      <c r="P713" s="58"/>
      <c r="Q713" s="58"/>
      <c r="R713" s="58"/>
      <c r="S713" s="58"/>
      <c r="T713" s="58"/>
      <c r="U713" s="58"/>
      <c r="V713" s="58"/>
      <c r="W713" s="58"/>
      <c r="X713" s="58"/>
      <c r="Y713" s="58"/>
    </row>
    <row r="714">
      <c r="A714" s="58"/>
      <c r="B714" s="58"/>
      <c r="C714" s="58"/>
      <c r="D714" s="58"/>
      <c r="E714" s="58"/>
      <c r="F714" s="58"/>
      <c r="G714" s="58"/>
      <c r="H714" s="58"/>
      <c r="I714" s="58"/>
      <c r="J714" s="58"/>
      <c r="K714" s="58"/>
      <c r="L714" s="58"/>
      <c r="M714" s="58"/>
      <c r="N714" s="58"/>
      <c r="O714" s="58"/>
      <c r="P714" s="58"/>
      <c r="Q714" s="58"/>
      <c r="R714" s="58"/>
      <c r="S714" s="58"/>
      <c r="T714" s="58"/>
      <c r="U714" s="58"/>
      <c r="V714" s="58"/>
      <c r="W714" s="58"/>
      <c r="X714" s="58"/>
      <c r="Y714" s="58"/>
    </row>
    <row r="715">
      <c r="A715" s="58"/>
      <c r="B715" s="58"/>
      <c r="C715" s="58"/>
      <c r="D715" s="58"/>
      <c r="E715" s="58"/>
      <c r="F715" s="58"/>
      <c r="G715" s="58"/>
      <c r="H715" s="58"/>
      <c r="I715" s="58"/>
      <c r="J715" s="58"/>
      <c r="K715" s="58"/>
      <c r="L715" s="58"/>
      <c r="M715" s="58"/>
      <c r="N715" s="58"/>
      <c r="O715" s="58"/>
      <c r="P715" s="58"/>
      <c r="Q715" s="58"/>
      <c r="R715" s="58"/>
      <c r="S715" s="58"/>
      <c r="T715" s="58"/>
      <c r="U715" s="58"/>
      <c r="V715" s="58"/>
      <c r="W715" s="58"/>
      <c r="X715" s="58"/>
      <c r="Y715" s="58"/>
    </row>
    <row r="716">
      <c r="A716" s="58"/>
      <c r="B716" s="58"/>
      <c r="C716" s="58"/>
      <c r="D716" s="58"/>
      <c r="E716" s="58"/>
      <c r="F716" s="58"/>
      <c r="G716" s="58"/>
      <c r="H716" s="58"/>
      <c r="I716" s="58"/>
      <c r="J716" s="58"/>
      <c r="K716" s="58"/>
      <c r="L716" s="58"/>
      <c r="M716" s="58"/>
      <c r="N716" s="58"/>
      <c r="O716" s="58"/>
      <c r="P716" s="58"/>
      <c r="Q716" s="58"/>
      <c r="R716" s="58"/>
      <c r="S716" s="58"/>
      <c r="T716" s="58"/>
      <c r="U716" s="58"/>
      <c r="V716" s="58"/>
      <c r="W716" s="58"/>
      <c r="X716" s="58"/>
      <c r="Y716" s="58"/>
    </row>
    <row r="717">
      <c r="A717" s="58"/>
      <c r="B717" s="58"/>
      <c r="C717" s="58"/>
      <c r="D717" s="58"/>
      <c r="E717" s="58"/>
      <c r="F717" s="58"/>
      <c r="G717" s="58"/>
      <c r="H717" s="58"/>
      <c r="I717" s="58"/>
      <c r="J717" s="58"/>
      <c r="K717" s="58"/>
      <c r="L717" s="58"/>
      <c r="M717" s="58"/>
      <c r="N717" s="58"/>
      <c r="O717" s="58"/>
      <c r="P717" s="58"/>
      <c r="Q717" s="58"/>
      <c r="R717" s="58"/>
      <c r="S717" s="58"/>
      <c r="T717" s="58"/>
      <c r="U717" s="58"/>
      <c r="V717" s="58"/>
      <c r="W717" s="58"/>
      <c r="X717" s="58"/>
      <c r="Y717" s="58"/>
    </row>
    <row r="718">
      <c r="A718" s="58"/>
      <c r="B718" s="58"/>
      <c r="C718" s="58"/>
      <c r="D718" s="58"/>
      <c r="E718" s="58"/>
      <c r="F718" s="58"/>
      <c r="G718" s="58"/>
      <c r="H718" s="58"/>
      <c r="I718" s="58"/>
      <c r="J718" s="58"/>
      <c r="K718" s="58"/>
      <c r="L718" s="58"/>
      <c r="M718" s="58"/>
      <c r="N718" s="58"/>
      <c r="O718" s="58"/>
      <c r="P718" s="58"/>
      <c r="Q718" s="58"/>
      <c r="R718" s="58"/>
      <c r="S718" s="58"/>
      <c r="T718" s="58"/>
      <c r="U718" s="58"/>
      <c r="V718" s="58"/>
      <c r="W718" s="58"/>
      <c r="X718" s="58"/>
      <c r="Y718" s="58"/>
    </row>
    <row r="719">
      <c r="A719" s="58"/>
      <c r="B719" s="58"/>
      <c r="C719" s="58"/>
      <c r="D719" s="58"/>
      <c r="E719" s="58"/>
      <c r="F719" s="58"/>
      <c r="G719" s="58"/>
      <c r="H719" s="58"/>
      <c r="I719" s="58"/>
      <c r="J719" s="58"/>
      <c r="K719" s="58"/>
      <c r="L719" s="58"/>
      <c r="M719" s="58"/>
      <c r="N719" s="58"/>
      <c r="O719" s="58"/>
      <c r="P719" s="58"/>
      <c r="Q719" s="58"/>
      <c r="R719" s="58"/>
      <c r="S719" s="58"/>
      <c r="T719" s="58"/>
      <c r="U719" s="58"/>
      <c r="V719" s="58"/>
      <c r="W719" s="58"/>
      <c r="X719" s="58"/>
      <c r="Y719" s="58"/>
    </row>
    <row r="720">
      <c r="A720" s="58"/>
      <c r="B720" s="58"/>
      <c r="C720" s="58"/>
      <c r="D720" s="58"/>
      <c r="E720" s="58"/>
      <c r="F720" s="58"/>
      <c r="G720" s="58"/>
      <c r="H720" s="58"/>
      <c r="I720" s="58"/>
      <c r="J720" s="58"/>
      <c r="K720" s="58"/>
      <c r="L720" s="58"/>
      <c r="M720" s="58"/>
      <c r="N720" s="58"/>
      <c r="O720" s="58"/>
      <c r="P720" s="58"/>
      <c r="Q720" s="58"/>
      <c r="R720" s="58"/>
      <c r="S720" s="58"/>
      <c r="T720" s="58"/>
      <c r="U720" s="58"/>
      <c r="V720" s="58"/>
      <c r="W720" s="58"/>
      <c r="X720" s="58"/>
      <c r="Y720" s="58"/>
    </row>
    <row r="721">
      <c r="A721" s="58"/>
      <c r="B721" s="58"/>
      <c r="C721" s="58"/>
      <c r="D721" s="58"/>
      <c r="E721" s="58"/>
      <c r="F721" s="58"/>
      <c r="G721" s="58"/>
      <c r="H721" s="58"/>
      <c r="I721" s="58"/>
      <c r="J721" s="58"/>
      <c r="K721" s="58"/>
      <c r="L721" s="58"/>
      <c r="M721" s="58"/>
      <c r="N721" s="58"/>
      <c r="O721" s="58"/>
      <c r="P721" s="58"/>
      <c r="Q721" s="58"/>
      <c r="R721" s="58"/>
      <c r="S721" s="58"/>
      <c r="T721" s="58"/>
      <c r="U721" s="58"/>
      <c r="V721" s="58"/>
      <c r="W721" s="58"/>
      <c r="X721" s="58"/>
      <c r="Y721" s="58"/>
    </row>
    <row r="722">
      <c r="A722" s="58"/>
      <c r="B722" s="58"/>
      <c r="C722" s="58"/>
      <c r="D722" s="58"/>
      <c r="E722" s="58"/>
      <c r="F722" s="58"/>
      <c r="G722" s="58"/>
      <c r="H722" s="58"/>
      <c r="I722" s="58"/>
      <c r="J722" s="58"/>
      <c r="K722" s="58"/>
      <c r="L722" s="58"/>
      <c r="M722" s="58"/>
      <c r="N722" s="58"/>
      <c r="O722" s="58"/>
      <c r="P722" s="58"/>
      <c r="Q722" s="58"/>
      <c r="R722" s="58"/>
      <c r="S722" s="58"/>
      <c r="T722" s="58"/>
      <c r="U722" s="58"/>
      <c r="V722" s="58"/>
      <c r="W722" s="58"/>
      <c r="X722" s="58"/>
      <c r="Y722" s="58"/>
    </row>
    <row r="723">
      <c r="A723" s="58"/>
      <c r="B723" s="58"/>
      <c r="C723" s="58"/>
      <c r="D723" s="58"/>
      <c r="E723" s="58"/>
      <c r="F723" s="58"/>
      <c r="G723" s="58"/>
      <c r="H723" s="58"/>
      <c r="I723" s="58"/>
      <c r="J723" s="58"/>
      <c r="K723" s="58"/>
      <c r="L723" s="58"/>
      <c r="M723" s="58"/>
      <c r="N723" s="58"/>
      <c r="O723" s="58"/>
      <c r="P723" s="58"/>
      <c r="Q723" s="58"/>
      <c r="R723" s="58"/>
      <c r="S723" s="58"/>
      <c r="T723" s="58"/>
      <c r="U723" s="58"/>
      <c r="V723" s="58"/>
      <c r="W723" s="58"/>
      <c r="X723" s="58"/>
      <c r="Y723" s="58"/>
    </row>
    <row r="724">
      <c r="A724" s="58"/>
      <c r="B724" s="58"/>
      <c r="C724" s="58"/>
      <c r="D724" s="58"/>
      <c r="E724" s="58"/>
      <c r="F724" s="58"/>
      <c r="G724" s="58"/>
      <c r="H724" s="58"/>
      <c r="I724" s="58"/>
      <c r="J724" s="58"/>
      <c r="K724" s="58"/>
      <c r="L724" s="58"/>
      <c r="M724" s="58"/>
      <c r="N724" s="58"/>
      <c r="O724" s="58"/>
      <c r="P724" s="58"/>
      <c r="Q724" s="58"/>
      <c r="R724" s="58"/>
      <c r="S724" s="58"/>
      <c r="T724" s="58"/>
      <c r="U724" s="58"/>
      <c r="V724" s="58"/>
      <c r="W724" s="58"/>
      <c r="X724" s="58"/>
      <c r="Y724" s="58"/>
    </row>
    <row r="725">
      <c r="A725" s="58"/>
      <c r="B725" s="58"/>
      <c r="C725" s="58"/>
      <c r="D725" s="58"/>
      <c r="E725" s="58"/>
      <c r="F725" s="58"/>
      <c r="G725" s="58"/>
      <c r="H725" s="58"/>
      <c r="I725" s="58"/>
      <c r="J725" s="58"/>
      <c r="K725" s="58"/>
      <c r="L725" s="58"/>
      <c r="M725" s="58"/>
      <c r="N725" s="58"/>
      <c r="O725" s="58"/>
      <c r="P725" s="58"/>
      <c r="Q725" s="58"/>
      <c r="R725" s="58"/>
      <c r="S725" s="58"/>
      <c r="T725" s="58"/>
      <c r="U725" s="58"/>
      <c r="V725" s="58"/>
      <c r="W725" s="58"/>
      <c r="X725" s="58"/>
      <c r="Y725" s="58"/>
    </row>
    <row r="726">
      <c r="A726" s="58"/>
      <c r="B726" s="58"/>
      <c r="C726" s="58"/>
      <c r="D726" s="58"/>
      <c r="E726" s="58"/>
      <c r="F726" s="58"/>
      <c r="G726" s="58"/>
      <c r="H726" s="58"/>
      <c r="I726" s="58"/>
      <c r="J726" s="58"/>
      <c r="K726" s="58"/>
      <c r="L726" s="58"/>
      <c r="M726" s="58"/>
      <c r="N726" s="58"/>
      <c r="O726" s="58"/>
      <c r="P726" s="58"/>
      <c r="Q726" s="58"/>
      <c r="R726" s="58"/>
      <c r="S726" s="58"/>
      <c r="T726" s="58"/>
      <c r="U726" s="58"/>
      <c r="V726" s="58"/>
      <c r="W726" s="58"/>
      <c r="X726" s="58"/>
      <c r="Y726" s="58"/>
    </row>
    <row r="727">
      <c r="A727" s="58"/>
      <c r="B727" s="58"/>
      <c r="C727" s="58"/>
      <c r="D727" s="58"/>
      <c r="E727" s="58"/>
      <c r="F727" s="58"/>
      <c r="G727" s="58"/>
      <c r="H727" s="58"/>
      <c r="I727" s="58"/>
      <c r="J727" s="58"/>
      <c r="K727" s="58"/>
      <c r="L727" s="58"/>
      <c r="M727" s="58"/>
      <c r="N727" s="58"/>
      <c r="O727" s="58"/>
      <c r="P727" s="58"/>
      <c r="Q727" s="58"/>
      <c r="R727" s="58"/>
      <c r="S727" s="58"/>
      <c r="T727" s="58"/>
      <c r="U727" s="58"/>
      <c r="V727" s="58"/>
      <c r="W727" s="58"/>
      <c r="X727" s="58"/>
      <c r="Y727" s="58"/>
    </row>
    <row r="728">
      <c r="A728" s="58"/>
      <c r="B728" s="58"/>
      <c r="C728" s="58"/>
      <c r="D728" s="58"/>
      <c r="E728" s="58"/>
      <c r="F728" s="58"/>
      <c r="G728" s="58"/>
      <c r="H728" s="58"/>
      <c r="I728" s="58"/>
      <c r="J728" s="58"/>
      <c r="K728" s="58"/>
      <c r="L728" s="58"/>
      <c r="M728" s="58"/>
      <c r="N728" s="58"/>
      <c r="O728" s="58"/>
      <c r="P728" s="58"/>
      <c r="Q728" s="58"/>
      <c r="R728" s="58"/>
      <c r="S728" s="58"/>
      <c r="T728" s="58"/>
      <c r="U728" s="58"/>
      <c r="V728" s="58"/>
      <c r="W728" s="58"/>
      <c r="X728" s="58"/>
      <c r="Y728" s="58"/>
    </row>
    <row r="729">
      <c r="A729" s="58"/>
      <c r="B729" s="58"/>
      <c r="C729" s="58"/>
      <c r="D729" s="58"/>
      <c r="E729" s="58"/>
      <c r="F729" s="58"/>
      <c r="G729" s="58"/>
      <c r="H729" s="58"/>
      <c r="I729" s="58"/>
      <c r="J729" s="58"/>
      <c r="K729" s="58"/>
      <c r="L729" s="58"/>
      <c r="M729" s="58"/>
      <c r="N729" s="58"/>
      <c r="O729" s="58"/>
      <c r="P729" s="58"/>
      <c r="Q729" s="58"/>
      <c r="R729" s="58"/>
      <c r="S729" s="58"/>
      <c r="T729" s="58"/>
      <c r="U729" s="58"/>
      <c r="V729" s="58"/>
      <c r="W729" s="58"/>
      <c r="X729" s="58"/>
      <c r="Y729" s="58"/>
    </row>
    <row r="730">
      <c r="A730" s="58"/>
      <c r="B730" s="58"/>
      <c r="C730" s="58"/>
      <c r="D730" s="58"/>
      <c r="E730" s="58"/>
      <c r="F730" s="58"/>
      <c r="G730" s="58"/>
      <c r="H730" s="58"/>
      <c r="I730" s="58"/>
      <c r="J730" s="58"/>
      <c r="K730" s="58"/>
      <c r="L730" s="58"/>
      <c r="M730" s="58"/>
      <c r="N730" s="58"/>
      <c r="O730" s="58"/>
      <c r="P730" s="58"/>
      <c r="Q730" s="58"/>
      <c r="R730" s="58"/>
      <c r="S730" s="58"/>
      <c r="T730" s="58"/>
      <c r="U730" s="58"/>
      <c r="V730" s="58"/>
      <c r="W730" s="58"/>
      <c r="X730" s="58"/>
      <c r="Y730" s="58"/>
    </row>
    <row r="731">
      <c r="A731" s="58"/>
      <c r="B731" s="58"/>
      <c r="C731" s="58"/>
      <c r="D731" s="58"/>
      <c r="E731" s="58"/>
      <c r="F731" s="58"/>
      <c r="G731" s="58"/>
      <c r="H731" s="58"/>
      <c r="I731" s="58"/>
      <c r="J731" s="58"/>
      <c r="K731" s="58"/>
      <c r="L731" s="58"/>
      <c r="M731" s="58"/>
      <c r="N731" s="58"/>
      <c r="O731" s="58"/>
      <c r="P731" s="58"/>
      <c r="Q731" s="58"/>
      <c r="R731" s="58"/>
      <c r="S731" s="58"/>
      <c r="T731" s="58"/>
      <c r="U731" s="58"/>
      <c r="V731" s="58"/>
      <c r="W731" s="58"/>
      <c r="X731" s="58"/>
      <c r="Y731" s="58"/>
    </row>
    <row r="732">
      <c r="A732" s="58"/>
      <c r="B732" s="58"/>
      <c r="C732" s="58"/>
      <c r="D732" s="58"/>
      <c r="E732" s="58"/>
      <c r="F732" s="58"/>
      <c r="G732" s="58"/>
      <c r="H732" s="58"/>
      <c r="I732" s="58"/>
      <c r="J732" s="58"/>
      <c r="K732" s="58"/>
      <c r="L732" s="58"/>
      <c r="M732" s="58"/>
      <c r="N732" s="58"/>
      <c r="O732" s="58"/>
      <c r="P732" s="58"/>
      <c r="Q732" s="58"/>
      <c r="R732" s="58"/>
      <c r="S732" s="58"/>
      <c r="T732" s="58"/>
      <c r="U732" s="58"/>
      <c r="V732" s="58"/>
      <c r="W732" s="58"/>
      <c r="X732" s="58"/>
      <c r="Y732" s="58"/>
    </row>
    <row r="733">
      <c r="A733" s="58"/>
      <c r="B733" s="58"/>
      <c r="C733" s="58"/>
      <c r="D733" s="58"/>
      <c r="E733" s="58"/>
      <c r="F733" s="58"/>
      <c r="G733" s="58"/>
      <c r="H733" s="58"/>
      <c r="I733" s="58"/>
      <c r="J733" s="58"/>
      <c r="K733" s="58"/>
      <c r="L733" s="58"/>
      <c r="M733" s="58"/>
      <c r="N733" s="58"/>
      <c r="O733" s="58"/>
      <c r="P733" s="58"/>
      <c r="Q733" s="58"/>
      <c r="R733" s="58"/>
      <c r="S733" s="58"/>
      <c r="T733" s="58"/>
      <c r="U733" s="58"/>
      <c r="V733" s="58"/>
      <c r="W733" s="58"/>
      <c r="X733" s="58"/>
      <c r="Y733" s="58"/>
    </row>
    <row r="734">
      <c r="A734" s="58"/>
      <c r="B734" s="58"/>
      <c r="C734" s="58"/>
      <c r="D734" s="58"/>
      <c r="E734" s="58"/>
      <c r="F734" s="58"/>
      <c r="G734" s="58"/>
      <c r="H734" s="58"/>
      <c r="I734" s="58"/>
      <c r="J734" s="58"/>
      <c r="K734" s="58"/>
      <c r="L734" s="58"/>
      <c r="M734" s="58"/>
      <c r="N734" s="58"/>
      <c r="O734" s="58"/>
      <c r="P734" s="58"/>
      <c r="Q734" s="58"/>
      <c r="R734" s="58"/>
      <c r="S734" s="58"/>
      <c r="T734" s="58"/>
      <c r="U734" s="58"/>
      <c r="V734" s="58"/>
      <c r="W734" s="58"/>
      <c r="X734" s="58"/>
      <c r="Y734" s="58"/>
    </row>
    <row r="735">
      <c r="A735" s="58"/>
      <c r="B735" s="58"/>
      <c r="C735" s="58"/>
      <c r="D735" s="58"/>
      <c r="E735" s="58"/>
      <c r="F735" s="58"/>
      <c r="G735" s="58"/>
      <c r="H735" s="58"/>
      <c r="I735" s="58"/>
      <c r="J735" s="58"/>
      <c r="K735" s="58"/>
      <c r="L735" s="58"/>
      <c r="M735" s="58"/>
      <c r="N735" s="58"/>
      <c r="O735" s="58"/>
      <c r="P735" s="58"/>
      <c r="Q735" s="58"/>
      <c r="R735" s="58"/>
      <c r="S735" s="58"/>
      <c r="T735" s="58"/>
      <c r="U735" s="58"/>
      <c r="V735" s="58"/>
      <c r="W735" s="58"/>
      <c r="X735" s="58"/>
      <c r="Y735" s="58"/>
    </row>
    <row r="736">
      <c r="A736" s="58"/>
      <c r="B736" s="58"/>
      <c r="C736" s="58"/>
      <c r="D736" s="58"/>
      <c r="E736" s="58"/>
      <c r="F736" s="58"/>
      <c r="G736" s="58"/>
      <c r="H736" s="58"/>
      <c r="I736" s="58"/>
      <c r="J736" s="58"/>
      <c r="K736" s="58"/>
      <c r="L736" s="58"/>
      <c r="M736" s="58"/>
      <c r="N736" s="58"/>
      <c r="O736" s="58"/>
      <c r="P736" s="58"/>
      <c r="Q736" s="58"/>
      <c r="R736" s="58"/>
      <c r="S736" s="58"/>
      <c r="T736" s="58"/>
      <c r="U736" s="58"/>
      <c r="V736" s="58"/>
      <c r="W736" s="58"/>
      <c r="X736" s="58"/>
      <c r="Y736" s="58"/>
    </row>
    <row r="737">
      <c r="A737" s="58"/>
      <c r="B737" s="58"/>
      <c r="C737" s="58"/>
      <c r="D737" s="58"/>
      <c r="E737" s="58"/>
      <c r="F737" s="58"/>
      <c r="G737" s="58"/>
      <c r="H737" s="58"/>
      <c r="I737" s="58"/>
      <c r="J737" s="58"/>
      <c r="K737" s="58"/>
      <c r="L737" s="58"/>
      <c r="M737" s="58"/>
      <c r="N737" s="58"/>
      <c r="O737" s="58"/>
      <c r="P737" s="58"/>
      <c r="Q737" s="58"/>
      <c r="R737" s="58"/>
      <c r="S737" s="58"/>
      <c r="T737" s="58"/>
      <c r="U737" s="58"/>
      <c r="V737" s="58"/>
      <c r="W737" s="58"/>
      <c r="X737" s="58"/>
      <c r="Y737" s="58"/>
    </row>
    <row r="738">
      <c r="A738" s="58"/>
      <c r="B738" s="58"/>
      <c r="C738" s="58"/>
      <c r="D738" s="58"/>
      <c r="E738" s="58"/>
      <c r="F738" s="58"/>
      <c r="G738" s="58"/>
      <c r="H738" s="58"/>
      <c r="I738" s="58"/>
      <c r="J738" s="58"/>
      <c r="K738" s="58"/>
      <c r="L738" s="58"/>
      <c r="M738" s="58"/>
      <c r="N738" s="58"/>
      <c r="O738" s="58"/>
      <c r="P738" s="58"/>
      <c r="Q738" s="58"/>
      <c r="R738" s="58"/>
      <c r="S738" s="58"/>
      <c r="T738" s="58"/>
      <c r="U738" s="58"/>
      <c r="V738" s="58"/>
      <c r="W738" s="58"/>
      <c r="X738" s="58"/>
      <c r="Y738" s="58"/>
    </row>
    <row r="739">
      <c r="A739" s="58"/>
      <c r="B739" s="58"/>
      <c r="C739" s="58"/>
      <c r="D739" s="58"/>
      <c r="E739" s="58"/>
      <c r="F739" s="58"/>
      <c r="G739" s="58"/>
      <c r="H739" s="58"/>
      <c r="I739" s="58"/>
      <c r="J739" s="58"/>
      <c r="K739" s="58"/>
      <c r="L739" s="58"/>
      <c r="M739" s="58"/>
      <c r="N739" s="58"/>
      <c r="O739" s="58"/>
      <c r="P739" s="58"/>
      <c r="Q739" s="58"/>
      <c r="R739" s="58"/>
      <c r="S739" s="58"/>
      <c r="T739" s="58"/>
      <c r="U739" s="58"/>
      <c r="V739" s="58"/>
      <c r="W739" s="58"/>
      <c r="X739" s="58"/>
      <c r="Y739" s="58"/>
    </row>
    <row r="740">
      <c r="A740" s="58"/>
      <c r="B740" s="58"/>
      <c r="C740" s="58"/>
      <c r="D740" s="58"/>
      <c r="E740" s="58"/>
      <c r="F740" s="58"/>
      <c r="G740" s="58"/>
      <c r="H740" s="58"/>
      <c r="I740" s="58"/>
      <c r="J740" s="58"/>
      <c r="K740" s="58"/>
      <c r="L740" s="58"/>
      <c r="M740" s="58"/>
      <c r="N740" s="58"/>
      <c r="O740" s="58"/>
      <c r="P740" s="58"/>
      <c r="Q740" s="58"/>
      <c r="R740" s="58"/>
      <c r="S740" s="58"/>
      <c r="T740" s="58"/>
      <c r="U740" s="58"/>
      <c r="V740" s="58"/>
      <c r="W740" s="58"/>
      <c r="X740" s="58"/>
      <c r="Y740" s="58"/>
    </row>
    <row r="741">
      <c r="A741" s="58"/>
      <c r="B741" s="58"/>
      <c r="C741" s="58"/>
      <c r="D741" s="58"/>
      <c r="E741" s="58"/>
      <c r="F741" s="58"/>
      <c r="G741" s="58"/>
      <c r="H741" s="58"/>
      <c r="I741" s="58"/>
      <c r="J741" s="58"/>
      <c r="K741" s="58"/>
      <c r="L741" s="58"/>
      <c r="M741" s="58"/>
      <c r="N741" s="58"/>
      <c r="O741" s="58"/>
      <c r="P741" s="58"/>
      <c r="Q741" s="58"/>
      <c r="R741" s="58"/>
      <c r="S741" s="58"/>
      <c r="T741" s="58"/>
      <c r="U741" s="58"/>
      <c r="V741" s="58"/>
      <c r="W741" s="58"/>
      <c r="X741" s="58"/>
      <c r="Y741" s="58"/>
    </row>
    <row r="742">
      <c r="A742" s="58"/>
      <c r="B742" s="58"/>
      <c r="C742" s="58"/>
      <c r="D742" s="58"/>
      <c r="E742" s="58"/>
      <c r="F742" s="58"/>
      <c r="G742" s="58"/>
      <c r="H742" s="58"/>
      <c r="I742" s="58"/>
      <c r="J742" s="58"/>
      <c r="K742" s="58"/>
      <c r="L742" s="58"/>
      <c r="M742" s="58"/>
      <c r="N742" s="58"/>
      <c r="O742" s="58"/>
      <c r="P742" s="58"/>
      <c r="Q742" s="58"/>
      <c r="R742" s="58"/>
      <c r="S742" s="58"/>
      <c r="T742" s="58"/>
      <c r="U742" s="58"/>
      <c r="V742" s="58"/>
      <c r="W742" s="58"/>
      <c r="X742" s="58"/>
      <c r="Y742" s="58"/>
    </row>
    <row r="743">
      <c r="A743" s="58"/>
      <c r="B743" s="58"/>
      <c r="C743" s="58"/>
      <c r="D743" s="58"/>
      <c r="E743" s="58"/>
      <c r="F743" s="58"/>
      <c r="G743" s="58"/>
      <c r="H743" s="58"/>
      <c r="I743" s="58"/>
      <c r="J743" s="58"/>
      <c r="K743" s="58"/>
      <c r="L743" s="58"/>
      <c r="M743" s="58"/>
      <c r="N743" s="58"/>
      <c r="O743" s="58"/>
      <c r="P743" s="58"/>
      <c r="Q743" s="58"/>
      <c r="R743" s="58"/>
      <c r="S743" s="58"/>
      <c r="T743" s="58"/>
      <c r="U743" s="58"/>
      <c r="V743" s="58"/>
      <c r="W743" s="58"/>
      <c r="X743" s="58"/>
      <c r="Y743" s="58"/>
    </row>
    <row r="744">
      <c r="A744" s="58"/>
      <c r="B744" s="58"/>
      <c r="C744" s="58"/>
      <c r="D744" s="58"/>
      <c r="E744" s="58"/>
      <c r="F744" s="58"/>
      <c r="G744" s="58"/>
      <c r="H744" s="58"/>
      <c r="I744" s="58"/>
      <c r="J744" s="58"/>
      <c r="K744" s="58"/>
      <c r="L744" s="58"/>
      <c r="M744" s="58"/>
      <c r="N744" s="58"/>
      <c r="O744" s="58"/>
      <c r="P744" s="58"/>
      <c r="Q744" s="58"/>
      <c r="R744" s="58"/>
      <c r="S744" s="58"/>
      <c r="T744" s="58"/>
      <c r="U744" s="58"/>
      <c r="V744" s="58"/>
      <c r="W744" s="58"/>
      <c r="X744" s="58"/>
      <c r="Y744" s="58"/>
    </row>
    <row r="745">
      <c r="A745" s="58"/>
      <c r="B745" s="58"/>
      <c r="C745" s="58"/>
      <c r="D745" s="58"/>
      <c r="E745" s="58"/>
      <c r="F745" s="58"/>
      <c r="G745" s="58"/>
      <c r="H745" s="58"/>
      <c r="I745" s="58"/>
      <c r="J745" s="58"/>
      <c r="K745" s="58"/>
      <c r="L745" s="58"/>
      <c r="M745" s="58"/>
      <c r="N745" s="58"/>
      <c r="O745" s="58"/>
      <c r="P745" s="58"/>
      <c r="Q745" s="58"/>
      <c r="R745" s="58"/>
      <c r="S745" s="58"/>
      <c r="T745" s="58"/>
      <c r="U745" s="58"/>
      <c r="V745" s="58"/>
      <c r="W745" s="58"/>
      <c r="X745" s="58"/>
      <c r="Y745" s="58"/>
    </row>
    <row r="746">
      <c r="A746" s="58"/>
      <c r="B746" s="58"/>
      <c r="C746" s="58"/>
      <c r="D746" s="58"/>
      <c r="E746" s="58"/>
      <c r="F746" s="58"/>
      <c r="G746" s="58"/>
      <c r="H746" s="58"/>
      <c r="I746" s="58"/>
      <c r="J746" s="58"/>
      <c r="K746" s="58"/>
      <c r="L746" s="58"/>
      <c r="M746" s="58"/>
      <c r="N746" s="58"/>
      <c r="O746" s="58"/>
      <c r="P746" s="58"/>
      <c r="Q746" s="58"/>
      <c r="R746" s="58"/>
      <c r="S746" s="58"/>
      <c r="T746" s="58"/>
      <c r="U746" s="58"/>
      <c r="V746" s="58"/>
      <c r="W746" s="58"/>
      <c r="X746" s="58"/>
      <c r="Y746" s="58"/>
    </row>
    <row r="747">
      <c r="A747" s="58"/>
      <c r="B747" s="58"/>
      <c r="C747" s="58"/>
      <c r="D747" s="58"/>
      <c r="E747" s="58"/>
      <c r="F747" s="58"/>
      <c r="G747" s="58"/>
      <c r="H747" s="58"/>
      <c r="I747" s="58"/>
      <c r="J747" s="58"/>
      <c r="K747" s="58"/>
      <c r="L747" s="58"/>
      <c r="M747" s="58"/>
      <c r="N747" s="58"/>
      <c r="O747" s="58"/>
      <c r="P747" s="58"/>
      <c r="Q747" s="58"/>
      <c r="R747" s="58"/>
      <c r="S747" s="58"/>
      <c r="T747" s="58"/>
      <c r="U747" s="58"/>
      <c r="V747" s="58"/>
      <c r="W747" s="58"/>
      <c r="X747" s="58"/>
      <c r="Y747" s="58"/>
    </row>
    <row r="748">
      <c r="A748" s="58"/>
      <c r="B748" s="58"/>
      <c r="C748" s="58"/>
      <c r="D748" s="58"/>
      <c r="E748" s="58"/>
      <c r="F748" s="58"/>
      <c r="G748" s="58"/>
      <c r="H748" s="58"/>
      <c r="I748" s="58"/>
      <c r="J748" s="58"/>
      <c r="K748" s="58"/>
      <c r="L748" s="58"/>
      <c r="M748" s="58"/>
      <c r="N748" s="58"/>
      <c r="O748" s="58"/>
      <c r="P748" s="58"/>
      <c r="Q748" s="58"/>
      <c r="R748" s="58"/>
      <c r="S748" s="58"/>
      <c r="T748" s="58"/>
      <c r="U748" s="58"/>
      <c r="V748" s="58"/>
      <c r="W748" s="58"/>
      <c r="X748" s="58"/>
      <c r="Y748" s="58"/>
    </row>
    <row r="749">
      <c r="A749" s="58"/>
      <c r="B749" s="58"/>
      <c r="C749" s="58"/>
      <c r="D749" s="58"/>
      <c r="E749" s="58"/>
      <c r="F749" s="58"/>
      <c r="G749" s="58"/>
      <c r="H749" s="58"/>
      <c r="I749" s="58"/>
      <c r="J749" s="58"/>
      <c r="K749" s="58"/>
      <c r="L749" s="58"/>
      <c r="M749" s="58"/>
      <c r="N749" s="58"/>
      <c r="O749" s="58"/>
      <c r="P749" s="58"/>
      <c r="Q749" s="58"/>
      <c r="R749" s="58"/>
      <c r="S749" s="58"/>
      <c r="T749" s="58"/>
      <c r="U749" s="58"/>
      <c r="V749" s="58"/>
      <c r="W749" s="58"/>
      <c r="X749" s="58"/>
      <c r="Y749" s="58"/>
    </row>
    <row r="750">
      <c r="A750" s="58"/>
      <c r="B750" s="58"/>
      <c r="C750" s="58"/>
      <c r="D750" s="58"/>
      <c r="E750" s="58"/>
      <c r="F750" s="58"/>
      <c r="G750" s="58"/>
      <c r="H750" s="58"/>
      <c r="I750" s="58"/>
      <c r="J750" s="58"/>
      <c r="K750" s="58"/>
      <c r="L750" s="58"/>
      <c r="M750" s="58"/>
      <c r="N750" s="58"/>
      <c r="O750" s="58"/>
      <c r="P750" s="58"/>
      <c r="Q750" s="58"/>
      <c r="R750" s="58"/>
      <c r="S750" s="58"/>
      <c r="T750" s="58"/>
      <c r="U750" s="58"/>
      <c r="V750" s="58"/>
      <c r="W750" s="58"/>
      <c r="X750" s="58"/>
      <c r="Y750" s="58"/>
    </row>
    <row r="751">
      <c r="A751" s="58"/>
      <c r="B751" s="58"/>
      <c r="C751" s="58"/>
      <c r="D751" s="58"/>
      <c r="E751" s="58"/>
      <c r="F751" s="58"/>
      <c r="G751" s="58"/>
      <c r="H751" s="58"/>
      <c r="I751" s="58"/>
      <c r="J751" s="58"/>
      <c r="K751" s="58"/>
      <c r="L751" s="58"/>
      <c r="M751" s="58"/>
      <c r="N751" s="58"/>
      <c r="O751" s="58"/>
      <c r="P751" s="58"/>
      <c r="Q751" s="58"/>
      <c r="R751" s="58"/>
      <c r="S751" s="58"/>
      <c r="T751" s="58"/>
      <c r="U751" s="58"/>
      <c r="V751" s="58"/>
      <c r="W751" s="58"/>
      <c r="X751" s="58"/>
      <c r="Y751" s="58"/>
    </row>
    <row r="752">
      <c r="A752" s="58"/>
      <c r="B752" s="58"/>
      <c r="C752" s="58"/>
      <c r="D752" s="58"/>
      <c r="E752" s="58"/>
      <c r="F752" s="58"/>
      <c r="G752" s="58"/>
      <c r="H752" s="58"/>
      <c r="I752" s="58"/>
      <c r="J752" s="58"/>
      <c r="K752" s="58"/>
      <c r="L752" s="58"/>
      <c r="M752" s="58"/>
      <c r="N752" s="58"/>
      <c r="O752" s="58"/>
      <c r="P752" s="58"/>
      <c r="Q752" s="58"/>
      <c r="R752" s="58"/>
      <c r="S752" s="58"/>
      <c r="T752" s="58"/>
      <c r="U752" s="58"/>
      <c r="V752" s="58"/>
      <c r="W752" s="58"/>
      <c r="X752" s="58"/>
      <c r="Y752" s="58"/>
    </row>
    <row r="753">
      <c r="A753" s="58"/>
      <c r="B753" s="58"/>
      <c r="C753" s="58"/>
      <c r="D753" s="58"/>
      <c r="E753" s="58"/>
      <c r="F753" s="58"/>
      <c r="G753" s="58"/>
      <c r="H753" s="58"/>
      <c r="I753" s="58"/>
      <c r="J753" s="58"/>
      <c r="K753" s="58"/>
      <c r="L753" s="58"/>
      <c r="M753" s="58"/>
      <c r="N753" s="58"/>
      <c r="O753" s="58"/>
      <c r="P753" s="58"/>
      <c r="Q753" s="58"/>
      <c r="R753" s="58"/>
      <c r="S753" s="58"/>
      <c r="T753" s="58"/>
      <c r="U753" s="58"/>
      <c r="V753" s="58"/>
      <c r="W753" s="58"/>
      <c r="X753" s="58"/>
      <c r="Y753" s="58"/>
    </row>
    <row r="754">
      <c r="A754" s="58"/>
      <c r="B754" s="58"/>
      <c r="C754" s="58"/>
      <c r="D754" s="58"/>
      <c r="E754" s="58"/>
      <c r="F754" s="58"/>
      <c r="G754" s="58"/>
      <c r="H754" s="58"/>
      <c r="I754" s="58"/>
      <c r="J754" s="58"/>
      <c r="K754" s="58"/>
      <c r="L754" s="58"/>
      <c r="M754" s="58"/>
      <c r="N754" s="58"/>
      <c r="O754" s="58"/>
      <c r="P754" s="58"/>
      <c r="Q754" s="58"/>
      <c r="R754" s="58"/>
      <c r="S754" s="58"/>
      <c r="T754" s="58"/>
      <c r="U754" s="58"/>
      <c r="V754" s="58"/>
      <c r="W754" s="58"/>
      <c r="X754" s="58"/>
      <c r="Y754" s="58"/>
    </row>
    <row r="755">
      <c r="A755" s="58"/>
      <c r="B755" s="58"/>
      <c r="C755" s="58"/>
      <c r="D755" s="58"/>
      <c r="E755" s="58"/>
      <c r="F755" s="58"/>
      <c r="G755" s="58"/>
      <c r="H755" s="58"/>
      <c r="I755" s="58"/>
      <c r="J755" s="58"/>
      <c r="K755" s="58"/>
      <c r="L755" s="58"/>
      <c r="M755" s="58"/>
      <c r="N755" s="58"/>
      <c r="O755" s="58"/>
      <c r="P755" s="58"/>
      <c r="Q755" s="58"/>
      <c r="R755" s="58"/>
      <c r="S755" s="58"/>
      <c r="T755" s="58"/>
      <c r="U755" s="58"/>
      <c r="V755" s="58"/>
      <c r="W755" s="58"/>
      <c r="X755" s="58"/>
      <c r="Y755" s="58"/>
    </row>
    <row r="756">
      <c r="A756" s="58"/>
      <c r="B756" s="58"/>
      <c r="C756" s="58"/>
      <c r="D756" s="58"/>
      <c r="E756" s="58"/>
      <c r="F756" s="58"/>
      <c r="G756" s="58"/>
      <c r="H756" s="58"/>
      <c r="I756" s="58"/>
      <c r="J756" s="58"/>
      <c r="K756" s="58"/>
      <c r="L756" s="58"/>
      <c r="M756" s="58"/>
      <c r="N756" s="58"/>
      <c r="O756" s="58"/>
      <c r="P756" s="58"/>
      <c r="Q756" s="58"/>
      <c r="R756" s="58"/>
      <c r="S756" s="58"/>
      <c r="T756" s="58"/>
      <c r="U756" s="58"/>
      <c r="V756" s="58"/>
      <c r="W756" s="58"/>
      <c r="X756" s="58"/>
      <c r="Y756" s="58"/>
    </row>
    <row r="757">
      <c r="A757" s="58"/>
      <c r="B757" s="58"/>
      <c r="C757" s="58"/>
      <c r="D757" s="58"/>
      <c r="E757" s="58"/>
      <c r="F757" s="58"/>
      <c r="G757" s="58"/>
      <c r="H757" s="58"/>
      <c r="I757" s="58"/>
      <c r="J757" s="58"/>
      <c r="K757" s="58"/>
      <c r="L757" s="58"/>
      <c r="M757" s="58"/>
      <c r="N757" s="58"/>
      <c r="O757" s="58"/>
      <c r="P757" s="58"/>
      <c r="Q757" s="58"/>
      <c r="R757" s="58"/>
      <c r="S757" s="58"/>
      <c r="T757" s="58"/>
      <c r="U757" s="58"/>
      <c r="V757" s="58"/>
      <c r="W757" s="58"/>
      <c r="X757" s="58"/>
      <c r="Y757" s="58"/>
    </row>
    <row r="758">
      <c r="A758" s="58"/>
      <c r="B758" s="58"/>
      <c r="C758" s="58"/>
      <c r="D758" s="58"/>
      <c r="E758" s="58"/>
      <c r="F758" s="58"/>
      <c r="G758" s="58"/>
      <c r="H758" s="58"/>
      <c r="I758" s="58"/>
      <c r="J758" s="58"/>
      <c r="K758" s="58"/>
      <c r="L758" s="58"/>
      <c r="M758" s="58"/>
      <c r="N758" s="58"/>
      <c r="O758" s="58"/>
      <c r="P758" s="58"/>
      <c r="Q758" s="58"/>
      <c r="R758" s="58"/>
      <c r="S758" s="58"/>
      <c r="T758" s="58"/>
      <c r="U758" s="58"/>
      <c r="V758" s="58"/>
      <c r="W758" s="58"/>
      <c r="X758" s="58"/>
      <c r="Y758" s="58"/>
    </row>
    <row r="759">
      <c r="A759" s="58"/>
      <c r="B759" s="58"/>
      <c r="C759" s="58"/>
      <c r="D759" s="58"/>
      <c r="E759" s="58"/>
      <c r="F759" s="58"/>
      <c r="G759" s="58"/>
      <c r="H759" s="58"/>
      <c r="I759" s="58"/>
      <c r="J759" s="58"/>
      <c r="K759" s="58"/>
      <c r="L759" s="58"/>
      <c r="M759" s="58"/>
      <c r="N759" s="58"/>
      <c r="O759" s="58"/>
      <c r="P759" s="58"/>
      <c r="Q759" s="58"/>
      <c r="R759" s="58"/>
      <c r="S759" s="58"/>
      <c r="T759" s="58"/>
      <c r="U759" s="58"/>
      <c r="V759" s="58"/>
      <c r="W759" s="58"/>
      <c r="X759" s="58"/>
      <c r="Y759" s="58"/>
    </row>
    <row r="760">
      <c r="A760" s="58"/>
      <c r="B760" s="58"/>
      <c r="C760" s="58"/>
      <c r="D760" s="58"/>
      <c r="E760" s="58"/>
      <c r="F760" s="58"/>
      <c r="G760" s="58"/>
      <c r="H760" s="58"/>
      <c r="I760" s="58"/>
      <c r="J760" s="58"/>
      <c r="K760" s="58"/>
      <c r="L760" s="58"/>
      <c r="M760" s="58"/>
      <c r="N760" s="58"/>
      <c r="O760" s="58"/>
      <c r="P760" s="58"/>
      <c r="Q760" s="58"/>
      <c r="R760" s="58"/>
      <c r="S760" s="58"/>
      <c r="T760" s="58"/>
      <c r="U760" s="58"/>
      <c r="V760" s="58"/>
      <c r="W760" s="58"/>
      <c r="X760" s="58"/>
      <c r="Y760" s="58"/>
    </row>
    <row r="761">
      <c r="A761" s="58"/>
      <c r="B761" s="58"/>
      <c r="C761" s="58"/>
      <c r="D761" s="58"/>
      <c r="E761" s="58"/>
      <c r="F761" s="58"/>
      <c r="G761" s="58"/>
      <c r="H761" s="58"/>
      <c r="I761" s="58"/>
      <c r="J761" s="58"/>
      <c r="K761" s="58"/>
      <c r="L761" s="58"/>
      <c r="M761" s="58"/>
      <c r="N761" s="58"/>
      <c r="O761" s="58"/>
      <c r="P761" s="58"/>
      <c r="Q761" s="58"/>
      <c r="R761" s="58"/>
      <c r="S761" s="58"/>
      <c r="T761" s="58"/>
      <c r="U761" s="58"/>
      <c r="V761" s="58"/>
      <c r="W761" s="58"/>
      <c r="X761" s="58"/>
      <c r="Y761" s="58"/>
    </row>
    <row r="762">
      <c r="A762" s="58"/>
      <c r="B762" s="58"/>
      <c r="C762" s="58"/>
      <c r="D762" s="58"/>
      <c r="E762" s="58"/>
      <c r="F762" s="58"/>
      <c r="G762" s="58"/>
      <c r="H762" s="58"/>
      <c r="I762" s="58"/>
      <c r="J762" s="58"/>
      <c r="K762" s="58"/>
      <c r="L762" s="58"/>
      <c r="M762" s="58"/>
      <c r="N762" s="58"/>
      <c r="O762" s="58"/>
      <c r="P762" s="58"/>
      <c r="Q762" s="58"/>
      <c r="R762" s="58"/>
      <c r="S762" s="58"/>
      <c r="T762" s="58"/>
      <c r="U762" s="58"/>
      <c r="V762" s="58"/>
      <c r="W762" s="58"/>
      <c r="X762" s="58"/>
      <c r="Y762" s="58"/>
    </row>
    <row r="763">
      <c r="A763" s="58"/>
      <c r="B763" s="58"/>
      <c r="C763" s="58"/>
      <c r="D763" s="58"/>
      <c r="E763" s="58"/>
      <c r="F763" s="58"/>
      <c r="G763" s="58"/>
      <c r="H763" s="58"/>
      <c r="I763" s="58"/>
      <c r="J763" s="58"/>
      <c r="K763" s="58"/>
      <c r="L763" s="58"/>
      <c r="M763" s="58"/>
      <c r="N763" s="58"/>
      <c r="O763" s="58"/>
      <c r="P763" s="58"/>
      <c r="Q763" s="58"/>
      <c r="R763" s="58"/>
      <c r="S763" s="58"/>
      <c r="T763" s="58"/>
      <c r="U763" s="58"/>
      <c r="V763" s="58"/>
      <c r="W763" s="58"/>
      <c r="X763" s="58"/>
      <c r="Y763" s="58"/>
    </row>
    <row r="764">
      <c r="A764" s="58"/>
      <c r="B764" s="58"/>
      <c r="C764" s="58"/>
      <c r="D764" s="58"/>
      <c r="E764" s="58"/>
      <c r="F764" s="58"/>
      <c r="G764" s="58"/>
      <c r="H764" s="58"/>
      <c r="I764" s="58"/>
      <c r="J764" s="58"/>
      <c r="K764" s="58"/>
      <c r="L764" s="58"/>
      <c r="M764" s="58"/>
      <c r="N764" s="58"/>
      <c r="O764" s="58"/>
      <c r="P764" s="58"/>
      <c r="Q764" s="58"/>
      <c r="R764" s="58"/>
      <c r="S764" s="58"/>
      <c r="T764" s="58"/>
      <c r="U764" s="58"/>
      <c r="V764" s="58"/>
      <c r="W764" s="58"/>
      <c r="X764" s="58"/>
      <c r="Y764" s="58"/>
    </row>
    <row r="765">
      <c r="A765" s="58"/>
      <c r="B765" s="58"/>
      <c r="C765" s="58"/>
      <c r="D765" s="58"/>
      <c r="E765" s="58"/>
      <c r="F765" s="58"/>
      <c r="G765" s="58"/>
      <c r="H765" s="58"/>
      <c r="I765" s="58"/>
      <c r="J765" s="58"/>
      <c r="K765" s="58"/>
      <c r="L765" s="58"/>
      <c r="M765" s="58"/>
      <c r="N765" s="58"/>
      <c r="O765" s="58"/>
      <c r="P765" s="58"/>
      <c r="Q765" s="58"/>
      <c r="R765" s="58"/>
      <c r="S765" s="58"/>
      <c r="T765" s="58"/>
      <c r="U765" s="58"/>
      <c r="V765" s="58"/>
      <c r="W765" s="58"/>
      <c r="X765" s="58"/>
      <c r="Y765" s="58"/>
    </row>
    <row r="766">
      <c r="A766" s="58"/>
      <c r="B766" s="58"/>
      <c r="C766" s="58"/>
      <c r="D766" s="58"/>
      <c r="E766" s="58"/>
      <c r="F766" s="58"/>
      <c r="G766" s="58"/>
      <c r="H766" s="58"/>
      <c r="I766" s="58"/>
      <c r="J766" s="58"/>
      <c r="K766" s="58"/>
      <c r="L766" s="58"/>
      <c r="M766" s="58"/>
      <c r="N766" s="58"/>
      <c r="O766" s="58"/>
      <c r="P766" s="58"/>
      <c r="Q766" s="58"/>
      <c r="R766" s="58"/>
      <c r="S766" s="58"/>
      <c r="T766" s="58"/>
      <c r="U766" s="58"/>
      <c r="V766" s="58"/>
      <c r="W766" s="58"/>
      <c r="X766" s="58"/>
      <c r="Y766" s="58"/>
    </row>
    <row r="767">
      <c r="A767" s="58"/>
      <c r="B767" s="58"/>
      <c r="C767" s="58"/>
      <c r="D767" s="58"/>
      <c r="E767" s="58"/>
      <c r="F767" s="58"/>
      <c r="G767" s="58"/>
      <c r="H767" s="58"/>
      <c r="I767" s="58"/>
      <c r="J767" s="58"/>
      <c r="K767" s="58"/>
      <c r="L767" s="58"/>
      <c r="M767" s="58"/>
      <c r="N767" s="58"/>
      <c r="O767" s="58"/>
      <c r="P767" s="58"/>
      <c r="Q767" s="58"/>
      <c r="R767" s="58"/>
      <c r="S767" s="58"/>
      <c r="T767" s="58"/>
      <c r="U767" s="58"/>
      <c r="V767" s="58"/>
      <c r="W767" s="58"/>
      <c r="X767" s="58"/>
      <c r="Y767" s="58"/>
    </row>
    <row r="768">
      <c r="A768" s="58"/>
      <c r="B768" s="58"/>
      <c r="C768" s="58"/>
      <c r="D768" s="58"/>
      <c r="E768" s="58"/>
      <c r="F768" s="58"/>
      <c r="G768" s="58"/>
      <c r="H768" s="58"/>
      <c r="I768" s="58"/>
      <c r="J768" s="58"/>
      <c r="K768" s="58"/>
      <c r="L768" s="58"/>
      <c r="M768" s="58"/>
      <c r="N768" s="58"/>
      <c r="O768" s="58"/>
      <c r="P768" s="58"/>
      <c r="Q768" s="58"/>
      <c r="R768" s="58"/>
      <c r="S768" s="58"/>
      <c r="T768" s="58"/>
      <c r="U768" s="58"/>
      <c r="V768" s="58"/>
      <c r="W768" s="58"/>
      <c r="X768" s="58"/>
      <c r="Y768" s="58"/>
    </row>
    <row r="769">
      <c r="A769" s="58"/>
      <c r="B769" s="58"/>
      <c r="C769" s="58"/>
      <c r="D769" s="58"/>
      <c r="E769" s="58"/>
      <c r="F769" s="58"/>
      <c r="G769" s="58"/>
      <c r="H769" s="58"/>
      <c r="I769" s="58"/>
      <c r="J769" s="58"/>
      <c r="K769" s="58"/>
      <c r="L769" s="58"/>
      <c r="M769" s="58"/>
      <c r="N769" s="58"/>
      <c r="O769" s="58"/>
      <c r="P769" s="58"/>
      <c r="Q769" s="58"/>
      <c r="R769" s="58"/>
      <c r="S769" s="58"/>
      <c r="T769" s="58"/>
      <c r="U769" s="58"/>
      <c r="V769" s="58"/>
      <c r="W769" s="58"/>
      <c r="X769" s="58"/>
      <c r="Y769" s="58"/>
    </row>
    <row r="770">
      <c r="A770" s="58"/>
      <c r="B770" s="58"/>
      <c r="C770" s="58"/>
      <c r="D770" s="58"/>
      <c r="E770" s="58"/>
      <c r="F770" s="58"/>
      <c r="G770" s="58"/>
      <c r="H770" s="58"/>
      <c r="I770" s="58"/>
      <c r="J770" s="58"/>
      <c r="K770" s="58"/>
      <c r="L770" s="58"/>
      <c r="M770" s="58"/>
      <c r="N770" s="58"/>
      <c r="O770" s="58"/>
      <c r="P770" s="58"/>
      <c r="Q770" s="58"/>
      <c r="R770" s="58"/>
      <c r="S770" s="58"/>
      <c r="T770" s="58"/>
      <c r="U770" s="58"/>
      <c r="V770" s="58"/>
      <c r="W770" s="58"/>
      <c r="X770" s="58"/>
      <c r="Y770" s="58"/>
    </row>
    <row r="771">
      <c r="A771" s="58"/>
      <c r="B771" s="58"/>
      <c r="C771" s="58"/>
      <c r="D771" s="58"/>
      <c r="E771" s="58"/>
      <c r="F771" s="58"/>
      <c r="G771" s="58"/>
      <c r="H771" s="58"/>
      <c r="I771" s="58"/>
      <c r="J771" s="58"/>
      <c r="K771" s="58"/>
      <c r="L771" s="58"/>
      <c r="M771" s="58"/>
      <c r="N771" s="58"/>
      <c r="O771" s="58"/>
      <c r="P771" s="58"/>
      <c r="Q771" s="58"/>
      <c r="R771" s="58"/>
      <c r="S771" s="58"/>
      <c r="T771" s="58"/>
      <c r="U771" s="58"/>
      <c r="V771" s="58"/>
      <c r="W771" s="58"/>
      <c r="X771" s="58"/>
      <c r="Y771" s="58"/>
    </row>
    <row r="772">
      <c r="A772" s="58"/>
      <c r="B772" s="58"/>
      <c r="C772" s="58"/>
      <c r="D772" s="58"/>
      <c r="E772" s="58"/>
      <c r="F772" s="58"/>
      <c r="G772" s="58"/>
      <c r="H772" s="58"/>
      <c r="I772" s="58"/>
      <c r="J772" s="58"/>
      <c r="K772" s="58"/>
      <c r="L772" s="58"/>
      <c r="M772" s="58"/>
      <c r="N772" s="58"/>
      <c r="O772" s="58"/>
      <c r="P772" s="58"/>
      <c r="Q772" s="58"/>
      <c r="R772" s="58"/>
      <c r="S772" s="58"/>
      <c r="T772" s="58"/>
      <c r="U772" s="58"/>
      <c r="V772" s="58"/>
      <c r="W772" s="58"/>
      <c r="X772" s="58"/>
      <c r="Y772" s="58"/>
    </row>
    <row r="773">
      <c r="A773" s="58"/>
      <c r="B773" s="58"/>
      <c r="C773" s="58"/>
      <c r="D773" s="58"/>
      <c r="E773" s="58"/>
      <c r="F773" s="58"/>
      <c r="G773" s="58"/>
      <c r="H773" s="58"/>
      <c r="I773" s="58"/>
      <c r="J773" s="58"/>
      <c r="K773" s="58"/>
      <c r="L773" s="58"/>
      <c r="M773" s="58"/>
      <c r="N773" s="58"/>
      <c r="O773" s="58"/>
      <c r="P773" s="58"/>
      <c r="Q773" s="58"/>
      <c r="R773" s="58"/>
      <c r="S773" s="58"/>
      <c r="T773" s="58"/>
      <c r="U773" s="58"/>
      <c r="V773" s="58"/>
      <c r="W773" s="58"/>
      <c r="X773" s="58"/>
      <c r="Y773" s="58"/>
    </row>
    <row r="774">
      <c r="A774" s="58"/>
      <c r="B774" s="58"/>
      <c r="C774" s="58"/>
      <c r="D774" s="58"/>
      <c r="E774" s="58"/>
      <c r="F774" s="58"/>
      <c r="G774" s="58"/>
      <c r="H774" s="58"/>
      <c r="I774" s="58"/>
      <c r="J774" s="58"/>
      <c r="K774" s="58"/>
      <c r="L774" s="58"/>
      <c r="M774" s="58"/>
      <c r="N774" s="58"/>
      <c r="O774" s="58"/>
      <c r="P774" s="58"/>
      <c r="Q774" s="58"/>
      <c r="R774" s="58"/>
      <c r="S774" s="58"/>
      <c r="T774" s="58"/>
      <c r="U774" s="58"/>
      <c r="V774" s="58"/>
      <c r="W774" s="58"/>
      <c r="X774" s="58"/>
      <c r="Y774" s="58"/>
    </row>
    <row r="775">
      <c r="A775" s="58"/>
      <c r="B775" s="58"/>
      <c r="C775" s="58"/>
      <c r="D775" s="58"/>
      <c r="E775" s="58"/>
      <c r="F775" s="58"/>
      <c r="G775" s="58"/>
      <c r="H775" s="58"/>
      <c r="I775" s="58"/>
      <c r="J775" s="58"/>
      <c r="K775" s="58"/>
      <c r="L775" s="58"/>
      <c r="M775" s="58"/>
      <c r="N775" s="58"/>
      <c r="O775" s="58"/>
      <c r="P775" s="58"/>
      <c r="Q775" s="58"/>
      <c r="R775" s="58"/>
      <c r="S775" s="58"/>
      <c r="T775" s="58"/>
      <c r="U775" s="58"/>
      <c r="V775" s="58"/>
      <c r="W775" s="58"/>
      <c r="X775" s="58"/>
      <c r="Y775" s="58"/>
    </row>
    <row r="776">
      <c r="A776" s="58"/>
      <c r="B776" s="58"/>
      <c r="C776" s="58"/>
      <c r="D776" s="58"/>
      <c r="E776" s="58"/>
      <c r="F776" s="58"/>
      <c r="G776" s="58"/>
      <c r="H776" s="58"/>
      <c r="I776" s="58"/>
      <c r="J776" s="58"/>
      <c r="K776" s="58"/>
      <c r="L776" s="58"/>
      <c r="M776" s="58"/>
      <c r="N776" s="58"/>
      <c r="O776" s="58"/>
      <c r="P776" s="58"/>
      <c r="Q776" s="58"/>
      <c r="R776" s="58"/>
      <c r="S776" s="58"/>
      <c r="T776" s="58"/>
      <c r="U776" s="58"/>
      <c r="V776" s="58"/>
      <c r="W776" s="58"/>
      <c r="X776" s="58"/>
      <c r="Y776" s="58"/>
    </row>
    <row r="777">
      <c r="A777" s="58"/>
      <c r="B777" s="58"/>
      <c r="C777" s="58"/>
      <c r="D777" s="58"/>
      <c r="E777" s="58"/>
      <c r="F777" s="58"/>
      <c r="G777" s="58"/>
      <c r="H777" s="58"/>
      <c r="I777" s="58"/>
      <c r="J777" s="58"/>
      <c r="K777" s="58"/>
      <c r="L777" s="58"/>
      <c r="M777" s="58"/>
      <c r="N777" s="58"/>
      <c r="O777" s="58"/>
      <c r="P777" s="58"/>
      <c r="Q777" s="58"/>
      <c r="R777" s="58"/>
      <c r="S777" s="58"/>
      <c r="T777" s="58"/>
      <c r="U777" s="58"/>
      <c r="V777" s="58"/>
      <c r="W777" s="58"/>
      <c r="X777" s="58"/>
      <c r="Y777" s="58"/>
    </row>
    <row r="778">
      <c r="A778" s="58"/>
      <c r="B778" s="58"/>
      <c r="C778" s="58"/>
      <c r="D778" s="58"/>
      <c r="E778" s="58"/>
      <c r="F778" s="58"/>
      <c r="G778" s="58"/>
      <c r="H778" s="58"/>
      <c r="I778" s="58"/>
      <c r="J778" s="58"/>
      <c r="K778" s="58"/>
      <c r="L778" s="58"/>
      <c r="M778" s="58"/>
      <c r="N778" s="58"/>
      <c r="O778" s="58"/>
      <c r="P778" s="58"/>
      <c r="Q778" s="58"/>
      <c r="R778" s="58"/>
      <c r="S778" s="58"/>
      <c r="T778" s="58"/>
      <c r="U778" s="58"/>
      <c r="V778" s="58"/>
      <c r="W778" s="58"/>
      <c r="X778" s="58"/>
      <c r="Y778" s="58"/>
    </row>
    <row r="779">
      <c r="A779" s="58"/>
      <c r="B779" s="58"/>
      <c r="C779" s="58"/>
      <c r="D779" s="58"/>
      <c r="E779" s="58"/>
      <c r="F779" s="58"/>
      <c r="G779" s="58"/>
      <c r="H779" s="58"/>
      <c r="I779" s="58"/>
      <c r="J779" s="58"/>
      <c r="K779" s="58"/>
      <c r="L779" s="58"/>
      <c r="M779" s="58"/>
      <c r="N779" s="58"/>
      <c r="O779" s="58"/>
      <c r="P779" s="58"/>
      <c r="Q779" s="58"/>
      <c r="R779" s="58"/>
      <c r="S779" s="58"/>
      <c r="T779" s="58"/>
      <c r="U779" s="58"/>
      <c r="V779" s="58"/>
      <c r="W779" s="58"/>
      <c r="X779" s="58"/>
      <c r="Y779" s="58"/>
    </row>
    <row r="780">
      <c r="A780" s="58"/>
      <c r="B780" s="58"/>
      <c r="C780" s="58"/>
      <c r="D780" s="58"/>
      <c r="E780" s="58"/>
      <c r="F780" s="58"/>
      <c r="G780" s="58"/>
      <c r="H780" s="58"/>
      <c r="I780" s="58"/>
      <c r="J780" s="58"/>
      <c r="K780" s="58"/>
      <c r="L780" s="58"/>
      <c r="M780" s="58"/>
      <c r="N780" s="58"/>
      <c r="O780" s="58"/>
      <c r="P780" s="58"/>
      <c r="Q780" s="58"/>
      <c r="R780" s="58"/>
      <c r="S780" s="58"/>
      <c r="T780" s="58"/>
      <c r="U780" s="58"/>
      <c r="V780" s="58"/>
      <c r="W780" s="58"/>
      <c r="X780" s="58"/>
      <c r="Y780" s="58"/>
    </row>
    <row r="781">
      <c r="A781" s="58"/>
      <c r="B781" s="58"/>
      <c r="C781" s="58"/>
      <c r="D781" s="58"/>
      <c r="E781" s="58"/>
      <c r="F781" s="58"/>
      <c r="G781" s="58"/>
      <c r="H781" s="58"/>
      <c r="I781" s="58"/>
      <c r="J781" s="58"/>
      <c r="K781" s="58"/>
      <c r="L781" s="58"/>
      <c r="M781" s="58"/>
      <c r="N781" s="58"/>
      <c r="O781" s="58"/>
      <c r="P781" s="58"/>
      <c r="Q781" s="58"/>
      <c r="R781" s="58"/>
      <c r="S781" s="58"/>
      <c r="T781" s="58"/>
      <c r="U781" s="58"/>
      <c r="V781" s="58"/>
      <c r="W781" s="58"/>
      <c r="X781" s="58"/>
      <c r="Y781" s="58"/>
    </row>
    <row r="782">
      <c r="A782" s="58"/>
      <c r="B782" s="58"/>
      <c r="C782" s="58"/>
      <c r="D782" s="58"/>
      <c r="E782" s="58"/>
      <c r="F782" s="58"/>
      <c r="G782" s="58"/>
      <c r="H782" s="58"/>
      <c r="I782" s="58"/>
      <c r="J782" s="58"/>
      <c r="K782" s="58"/>
      <c r="L782" s="58"/>
      <c r="M782" s="58"/>
      <c r="N782" s="58"/>
      <c r="O782" s="58"/>
      <c r="P782" s="58"/>
      <c r="Q782" s="58"/>
      <c r="R782" s="58"/>
      <c r="S782" s="58"/>
      <c r="T782" s="58"/>
      <c r="U782" s="58"/>
      <c r="V782" s="58"/>
      <c r="W782" s="58"/>
      <c r="X782" s="58"/>
      <c r="Y782" s="58"/>
    </row>
    <row r="783">
      <c r="A783" s="58"/>
      <c r="B783" s="58"/>
      <c r="C783" s="58"/>
      <c r="D783" s="58"/>
      <c r="E783" s="58"/>
      <c r="F783" s="58"/>
      <c r="G783" s="58"/>
      <c r="H783" s="58"/>
      <c r="I783" s="58"/>
      <c r="J783" s="58"/>
      <c r="K783" s="58"/>
      <c r="L783" s="58"/>
      <c r="M783" s="58"/>
      <c r="N783" s="58"/>
      <c r="O783" s="58"/>
      <c r="P783" s="58"/>
      <c r="Q783" s="58"/>
      <c r="R783" s="58"/>
      <c r="S783" s="58"/>
      <c r="T783" s="58"/>
      <c r="U783" s="58"/>
      <c r="V783" s="58"/>
      <c r="W783" s="58"/>
      <c r="X783" s="58"/>
      <c r="Y783" s="58"/>
    </row>
    <row r="784">
      <c r="A784" s="58"/>
      <c r="B784" s="58"/>
      <c r="C784" s="58"/>
      <c r="D784" s="58"/>
      <c r="E784" s="58"/>
      <c r="F784" s="58"/>
      <c r="G784" s="58"/>
      <c r="H784" s="58"/>
      <c r="I784" s="58"/>
      <c r="J784" s="58"/>
      <c r="K784" s="58"/>
      <c r="L784" s="58"/>
      <c r="M784" s="58"/>
      <c r="N784" s="58"/>
      <c r="O784" s="58"/>
      <c r="P784" s="58"/>
      <c r="Q784" s="58"/>
      <c r="R784" s="58"/>
      <c r="S784" s="58"/>
      <c r="T784" s="58"/>
      <c r="U784" s="58"/>
      <c r="V784" s="58"/>
      <c r="W784" s="58"/>
      <c r="X784" s="58"/>
      <c r="Y784" s="58"/>
    </row>
    <row r="785">
      <c r="A785" s="58"/>
      <c r="B785" s="58"/>
      <c r="C785" s="58"/>
      <c r="D785" s="58"/>
      <c r="E785" s="58"/>
      <c r="F785" s="58"/>
      <c r="G785" s="58"/>
      <c r="H785" s="58"/>
      <c r="I785" s="58"/>
      <c r="J785" s="58"/>
      <c r="K785" s="58"/>
      <c r="L785" s="58"/>
      <c r="M785" s="58"/>
      <c r="N785" s="58"/>
      <c r="O785" s="58"/>
      <c r="P785" s="58"/>
      <c r="Q785" s="58"/>
      <c r="R785" s="58"/>
      <c r="S785" s="58"/>
      <c r="T785" s="58"/>
      <c r="U785" s="58"/>
      <c r="V785" s="58"/>
      <c r="W785" s="58"/>
      <c r="X785" s="58"/>
      <c r="Y785" s="58"/>
    </row>
    <row r="786">
      <c r="A786" s="58"/>
      <c r="B786" s="58"/>
      <c r="C786" s="58"/>
      <c r="D786" s="58"/>
      <c r="E786" s="58"/>
      <c r="F786" s="58"/>
      <c r="G786" s="58"/>
      <c r="H786" s="58"/>
      <c r="I786" s="58"/>
      <c r="J786" s="58"/>
      <c r="K786" s="58"/>
      <c r="L786" s="58"/>
      <c r="M786" s="58"/>
      <c r="N786" s="58"/>
      <c r="O786" s="58"/>
      <c r="P786" s="58"/>
      <c r="Q786" s="58"/>
      <c r="R786" s="58"/>
      <c r="S786" s="58"/>
      <c r="T786" s="58"/>
      <c r="U786" s="58"/>
      <c r="V786" s="58"/>
      <c r="W786" s="58"/>
      <c r="X786" s="58"/>
      <c r="Y786" s="58"/>
    </row>
    <row r="787">
      <c r="A787" s="58"/>
      <c r="B787" s="58"/>
      <c r="C787" s="58"/>
      <c r="D787" s="58"/>
      <c r="E787" s="58"/>
      <c r="F787" s="58"/>
      <c r="G787" s="58"/>
      <c r="H787" s="58"/>
      <c r="I787" s="58"/>
      <c r="J787" s="58"/>
      <c r="K787" s="58"/>
      <c r="L787" s="58"/>
      <c r="M787" s="58"/>
      <c r="N787" s="58"/>
      <c r="O787" s="58"/>
      <c r="P787" s="58"/>
      <c r="Q787" s="58"/>
      <c r="R787" s="58"/>
      <c r="S787" s="58"/>
      <c r="T787" s="58"/>
      <c r="U787" s="58"/>
      <c r="V787" s="58"/>
      <c r="W787" s="58"/>
      <c r="X787" s="58"/>
      <c r="Y787" s="58"/>
    </row>
    <row r="788">
      <c r="A788" s="58"/>
      <c r="B788" s="58"/>
      <c r="C788" s="58"/>
      <c r="D788" s="58"/>
      <c r="E788" s="58"/>
      <c r="F788" s="58"/>
      <c r="G788" s="58"/>
      <c r="H788" s="58"/>
      <c r="I788" s="58"/>
      <c r="J788" s="58"/>
      <c r="K788" s="58"/>
      <c r="L788" s="58"/>
      <c r="M788" s="58"/>
      <c r="N788" s="58"/>
      <c r="O788" s="58"/>
      <c r="P788" s="58"/>
      <c r="Q788" s="58"/>
      <c r="R788" s="58"/>
      <c r="S788" s="58"/>
      <c r="T788" s="58"/>
      <c r="U788" s="58"/>
      <c r="V788" s="58"/>
      <c r="W788" s="58"/>
      <c r="X788" s="58"/>
      <c r="Y788" s="58"/>
    </row>
    <row r="789">
      <c r="A789" s="58"/>
      <c r="B789" s="58"/>
      <c r="C789" s="58"/>
      <c r="D789" s="58"/>
      <c r="E789" s="58"/>
      <c r="F789" s="58"/>
      <c r="G789" s="58"/>
      <c r="H789" s="58"/>
      <c r="I789" s="58"/>
      <c r="J789" s="58"/>
      <c r="K789" s="58"/>
      <c r="L789" s="58"/>
      <c r="M789" s="58"/>
      <c r="N789" s="58"/>
      <c r="O789" s="58"/>
      <c r="P789" s="58"/>
      <c r="Q789" s="58"/>
      <c r="R789" s="58"/>
      <c r="S789" s="58"/>
      <c r="T789" s="58"/>
      <c r="U789" s="58"/>
      <c r="V789" s="58"/>
      <c r="W789" s="58"/>
      <c r="X789" s="58"/>
      <c r="Y789" s="58"/>
    </row>
    <row r="790">
      <c r="A790" s="58"/>
      <c r="B790" s="58"/>
      <c r="C790" s="58"/>
      <c r="D790" s="58"/>
      <c r="E790" s="58"/>
      <c r="F790" s="58"/>
      <c r="G790" s="58"/>
      <c r="H790" s="58"/>
      <c r="I790" s="58"/>
      <c r="J790" s="58"/>
      <c r="K790" s="58"/>
      <c r="L790" s="58"/>
      <c r="M790" s="58"/>
      <c r="N790" s="58"/>
      <c r="O790" s="58"/>
      <c r="P790" s="58"/>
      <c r="Q790" s="58"/>
      <c r="R790" s="58"/>
      <c r="S790" s="58"/>
      <c r="T790" s="58"/>
      <c r="U790" s="58"/>
      <c r="V790" s="58"/>
      <c r="W790" s="58"/>
      <c r="X790" s="58"/>
      <c r="Y790" s="58"/>
    </row>
    <row r="791">
      <c r="A791" s="58"/>
      <c r="B791" s="58"/>
      <c r="C791" s="58"/>
      <c r="D791" s="58"/>
      <c r="E791" s="58"/>
      <c r="F791" s="58"/>
      <c r="G791" s="58"/>
      <c r="H791" s="58"/>
      <c r="I791" s="58"/>
      <c r="J791" s="58"/>
      <c r="K791" s="58"/>
      <c r="L791" s="58"/>
      <c r="M791" s="58"/>
      <c r="N791" s="58"/>
      <c r="O791" s="58"/>
      <c r="P791" s="58"/>
      <c r="Q791" s="58"/>
      <c r="R791" s="58"/>
      <c r="S791" s="58"/>
      <c r="T791" s="58"/>
      <c r="U791" s="58"/>
      <c r="V791" s="58"/>
      <c r="W791" s="58"/>
      <c r="X791" s="58"/>
      <c r="Y791" s="58"/>
    </row>
    <row r="792">
      <c r="A792" s="58"/>
      <c r="B792" s="58"/>
      <c r="C792" s="58"/>
      <c r="D792" s="58"/>
      <c r="E792" s="58"/>
      <c r="F792" s="58"/>
      <c r="G792" s="58"/>
      <c r="H792" s="58"/>
      <c r="I792" s="58"/>
      <c r="J792" s="58"/>
      <c r="K792" s="58"/>
      <c r="L792" s="58"/>
      <c r="M792" s="58"/>
      <c r="N792" s="58"/>
      <c r="O792" s="58"/>
      <c r="P792" s="58"/>
      <c r="Q792" s="58"/>
      <c r="R792" s="58"/>
      <c r="S792" s="58"/>
      <c r="T792" s="58"/>
      <c r="U792" s="58"/>
      <c r="V792" s="58"/>
      <c r="W792" s="58"/>
      <c r="X792" s="58"/>
      <c r="Y792" s="58"/>
    </row>
    <row r="793">
      <c r="A793" s="58"/>
      <c r="B793" s="58"/>
      <c r="C793" s="58"/>
      <c r="D793" s="58"/>
      <c r="E793" s="58"/>
      <c r="F793" s="58"/>
      <c r="G793" s="58"/>
      <c r="H793" s="58"/>
      <c r="I793" s="58"/>
      <c r="J793" s="58"/>
      <c r="K793" s="58"/>
      <c r="L793" s="58"/>
      <c r="M793" s="58"/>
      <c r="N793" s="58"/>
      <c r="O793" s="58"/>
      <c r="P793" s="58"/>
      <c r="Q793" s="58"/>
      <c r="R793" s="58"/>
      <c r="S793" s="58"/>
      <c r="T793" s="58"/>
      <c r="U793" s="58"/>
      <c r="V793" s="58"/>
      <c r="W793" s="58"/>
      <c r="X793" s="58"/>
      <c r="Y793" s="58"/>
    </row>
    <row r="794">
      <c r="A794" s="58"/>
      <c r="B794" s="58"/>
      <c r="C794" s="58"/>
      <c r="D794" s="58"/>
      <c r="E794" s="58"/>
      <c r="F794" s="58"/>
      <c r="G794" s="58"/>
      <c r="H794" s="58"/>
      <c r="I794" s="58"/>
      <c r="J794" s="58"/>
      <c r="K794" s="58"/>
      <c r="L794" s="58"/>
      <c r="M794" s="58"/>
      <c r="N794" s="58"/>
      <c r="O794" s="58"/>
      <c r="P794" s="58"/>
      <c r="Q794" s="58"/>
      <c r="R794" s="58"/>
      <c r="S794" s="58"/>
      <c r="T794" s="58"/>
      <c r="U794" s="58"/>
      <c r="V794" s="58"/>
      <c r="W794" s="58"/>
      <c r="X794" s="58"/>
      <c r="Y794" s="58"/>
    </row>
    <row r="795">
      <c r="A795" s="58"/>
      <c r="B795" s="58"/>
      <c r="C795" s="58"/>
      <c r="D795" s="58"/>
      <c r="E795" s="58"/>
      <c r="F795" s="58"/>
      <c r="G795" s="58"/>
      <c r="H795" s="58"/>
      <c r="I795" s="58"/>
      <c r="J795" s="58"/>
      <c r="K795" s="58"/>
      <c r="L795" s="58"/>
      <c r="M795" s="58"/>
      <c r="N795" s="58"/>
      <c r="O795" s="58"/>
      <c r="P795" s="58"/>
      <c r="Q795" s="58"/>
      <c r="R795" s="58"/>
      <c r="S795" s="58"/>
      <c r="T795" s="58"/>
      <c r="U795" s="58"/>
      <c r="V795" s="58"/>
      <c r="W795" s="58"/>
      <c r="X795" s="58"/>
      <c r="Y795" s="58"/>
    </row>
    <row r="796">
      <c r="A796" s="58"/>
      <c r="B796" s="58"/>
      <c r="C796" s="58"/>
      <c r="D796" s="58"/>
      <c r="E796" s="58"/>
      <c r="F796" s="58"/>
      <c r="G796" s="58"/>
      <c r="H796" s="58"/>
      <c r="I796" s="58"/>
      <c r="J796" s="58"/>
      <c r="K796" s="58"/>
      <c r="L796" s="58"/>
      <c r="M796" s="58"/>
      <c r="N796" s="58"/>
      <c r="O796" s="58"/>
      <c r="P796" s="58"/>
      <c r="Q796" s="58"/>
      <c r="R796" s="58"/>
      <c r="S796" s="58"/>
      <c r="T796" s="58"/>
      <c r="U796" s="58"/>
      <c r="V796" s="58"/>
      <c r="W796" s="58"/>
      <c r="X796" s="58"/>
      <c r="Y796" s="58"/>
    </row>
    <row r="797">
      <c r="A797" s="58"/>
      <c r="B797" s="58"/>
      <c r="C797" s="58"/>
      <c r="D797" s="58"/>
      <c r="E797" s="58"/>
      <c r="F797" s="58"/>
      <c r="G797" s="58"/>
      <c r="H797" s="58"/>
      <c r="I797" s="58"/>
      <c r="J797" s="58"/>
      <c r="K797" s="58"/>
      <c r="L797" s="58"/>
      <c r="M797" s="58"/>
      <c r="N797" s="58"/>
      <c r="O797" s="58"/>
      <c r="P797" s="58"/>
      <c r="Q797" s="58"/>
      <c r="R797" s="58"/>
      <c r="S797" s="58"/>
      <c r="T797" s="58"/>
      <c r="U797" s="58"/>
      <c r="V797" s="58"/>
      <c r="W797" s="58"/>
      <c r="X797" s="58"/>
      <c r="Y797" s="58"/>
    </row>
    <row r="798">
      <c r="A798" s="58"/>
      <c r="B798" s="58"/>
      <c r="C798" s="58"/>
      <c r="D798" s="58"/>
      <c r="E798" s="58"/>
      <c r="F798" s="58"/>
      <c r="G798" s="58"/>
      <c r="H798" s="58"/>
      <c r="I798" s="58"/>
      <c r="J798" s="58"/>
      <c r="K798" s="58"/>
      <c r="L798" s="58"/>
      <c r="M798" s="58"/>
      <c r="N798" s="58"/>
      <c r="O798" s="58"/>
      <c r="P798" s="58"/>
      <c r="Q798" s="58"/>
      <c r="R798" s="58"/>
      <c r="S798" s="58"/>
      <c r="T798" s="58"/>
      <c r="U798" s="58"/>
      <c r="V798" s="58"/>
      <c r="W798" s="58"/>
      <c r="X798" s="58"/>
      <c r="Y798" s="58"/>
    </row>
    <row r="799">
      <c r="A799" s="58"/>
      <c r="B799" s="58"/>
      <c r="C799" s="58"/>
      <c r="D799" s="58"/>
      <c r="E799" s="58"/>
      <c r="F799" s="58"/>
      <c r="G799" s="58"/>
      <c r="H799" s="58"/>
      <c r="I799" s="58"/>
      <c r="J799" s="58"/>
      <c r="K799" s="58"/>
      <c r="L799" s="58"/>
      <c r="M799" s="58"/>
      <c r="N799" s="58"/>
      <c r="O799" s="58"/>
      <c r="P799" s="58"/>
      <c r="Q799" s="58"/>
      <c r="R799" s="58"/>
      <c r="S799" s="58"/>
      <c r="T799" s="58"/>
      <c r="U799" s="58"/>
      <c r="V799" s="58"/>
      <c r="W799" s="58"/>
      <c r="X799" s="58"/>
      <c r="Y799" s="58"/>
    </row>
    <row r="800">
      <c r="A800" s="58"/>
      <c r="B800" s="58"/>
      <c r="C800" s="58"/>
      <c r="D800" s="58"/>
      <c r="E800" s="58"/>
      <c r="F800" s="58"/>
      <c r="G800" s="58"/>
      <c r="H800" s="58"/>
      <c r="I800" s="58"/>
      <c r="J800" s="58"/>
      <c r="K800" s="58"/>
      <c r="L800" s="58"/>
      <c r="M800" s="58"/>
      <c r="N800" s="58"/>
      <c r="O800" s="58"/>
      <c r="P800" s="58"/>
      <c r="Q800" s="58"/>
      <c r="R800" s="58"/>
      <c r="S800" s="58"/>
      <c r="T800" s="58"/>
      <c r="U800" s="58"/>
      <c r="V800" s="58"/>
      <c r="W800" s="58"/>
      <c r="X800" s="58"/>
      <c r="Y800" s="58"/>
    </row>
    <row r="801">
      <c r="A801" s="58"/>
      <c r="B801" s="58"/>
      <c r="C801" s="58"/>
      <c r="D801" s="58"/>
      <c r="E801" s="58"/>
      <c r="F801" s="58"/>
      <c r="G801" s="58"/>
      <c r="H801" s="58"/>
      <c r="I801" s="58"/>
      <c r="J801" s="58"/>
      <c r="K801" s="58"/>
      <c r="L801" s="58"/>
      <c r="M801" s="58"/>
      <c r="N801" s="58"/>
      <c r="O801" s="58"/>
      <c r="P801" s="58"/>
      <c r="Q801" s="58"/>
      <c r="R801" s="58"/>
      <c r="S801" s="58"/>
      <c r="T801" s="58"/>
      <c r="U801" s="58"/>
      <c r="V801" s="58"/>
      <c r="W801" s="58"/>
      <c r="X801" s="58"/>
      <c r="Y801" s="58"/>
    </row>
    <row r="802">
      <c r="A802" s="58"/>
      <c r="B802" s="58"/>
      <c r="C802" s="58"/>
      <c r="D802" s="58"/>
      <c r="E802" s="58"/>
      <c r="F802" s="58"/>
      <c r="G802" s="58"/>
      <c r="H802" s="58"/>
      <c r="I802" s="58"/>
      <c r="J802" s="58"/>
      <c r="K802" s="58"/>
      <c r="L802" s="58"/>
      <c r="M802" s="58"/>
      <c r="N802" s="58"/>
      <c r="O802" s="58"/>
      <c r="P802" s="58"/>
      <c r="Q802" s="58"/>
      <c r="R802" s="58"/>
      <c r="S802" s="58"/>
      <c r="T802" s="58"/>
      <c r="U802" s="58"/>
      <c r="V802" s="58"/>
      <c r="W802" s="58"/>
      <c r="X802" s="58"/>
      <c r="Y802" s="58"/>
    </row>
    <row r="803">
      <c r="A803" s="58"/>
      <c r="B803" s="58"/>
      <c r="C803" s="58"/>
      <c r="D803" s="58"/>
      <c r="E803" s="58"/>
      <c r="F803" s="58"/>
      <c r="G803" s="58"/>
      <c r="H803" s="58"/>
      <c r="I803" s="58"/>
      <c r="J803" s="58"/>
      <c r="K803" s="58"/>
      <c r="L803" s="58"/>
      <c r="M803" s="58"/>
      <c r="N803" s="58"/>
      <c r="O803" s="58"/>
      <c r="P803" s="58"/>
      <c r="Q803" s="58"/>
      <c r="R803" s="58"/>
      <c r="S803" s="58"/>
      <c r="T803" s="58"/>
      <c r="U803" s="58"/>
      <c r="V803" s="58"/>
      <c r="W803" s="58"/>
      <c r="X803" s="58"/>
      <c r="Y803" s="58"/>
    </row>
    <row r="804">
      <c r="A804" s="58"/>
      <c r="B804" s="58"/>
      <c r="C804" s="58"/>
      <c r="D804" s="58"/>
      <c r="E804" s="58"/>
      <c r="F804" s="58"/>
      <c r="G804" s="58"/>
      <c r="H804" s="58"/>
      <c r="I804" s="58"/>
      <c r="J804" s="58"/>
      <c r="K804" s="58"/>
      <c r="L804" s="58"/>
      <c r="M804" s="58"/>
      <c r="N804" s="58"/>
      <c r="O804" s="58"/>
      <c r="P804" s="58"/>
      <c r="Q804" s="58"/>
      <c r="R804" s="58"/>
      <c r="S804" s="58"/>
      <c r="T804" s="58"/>
      <c r="U804" s="58"/>
      <c r="V804" s="58"/>
      <c r="W804" s="58"/>
      <c r="X804" s="58"/>
      <c r="Y804" s="58"/>
    </row>
    <row r="805">
      <c r="A805" s="58"/>
      <c r="B805" s="58"/>
      <c r="C805" s="58"/>
      <c r="D805" s="58"/>
      <c r="E805" s="58"/>
      <c r="F805" s="58"/>
      <c r="G805" s="58"/>
      <c r="H805" s="58"/>
      <c r="I805" s="58"/>
      <c r="J805" s="58"/>
      <c r="K805" s="58"/>
      <c r="L805" s="58"/>
      <c r="M805" s="58"/>
      <c r="N805" s="58"/>
      <c r="O805" s="58"/>
      <c r="P805" s="58"/>
      <c r="Q805" s="58"/>
      <c r="R805" s="58"/>
      <c r="S805" s="58"/>
      <c r="T805" s="58"/>
      <c r="U805" s="58"/>
      <c r="V805" s="58"/>
      <c r="W805" s="58"/>
      <c r="X805" s="58"/>
      <c r="Y805" s="58"/>
    </row>
    <row r="806">
      <c r="A806" s="58"/>
      <c r="B806" s="58"/>
      <c r="C806" s="58"/>
      <c r="D806" s="58"/>
      <c r="E806" s="58"/>
      <c r="F806" s="58"/>
      <c r="G806" s="58"/>
      <c r="H806" s="58"/>
      <c r="I806" s="58"/>
      <c r="J806" s="58"/>
      <c r="K806" s="58"/>
      <c r="L806" s="58"/>
      <c r="M806" s="58"/>
      <c r="N806" s="58"/>
      <c r="O806" s="58"/>
      <c r="P806" s="58"/>
      <c r="Q806" s="58"/>
      <c r="R806" s="58"/>
      <c r="S806" s="58"/>
      <c r="T806" s="58"/>
      <c r="U806" s="58"/>
      <c r="V806" s="58"/>
      <c r="W806" s="58"/>
      <c r="X806" s="58"/>
      <c r="Y806" s="58"/>
    </row>
    <row r="807">
      <c r="A807" s="58"/>
      <c r="B807" s="58"/>
      <c r="C807" s="58"/>
      <c r="D807" s="58"/>
      <c r="E807" s="58"/>
      <c r="F807" s="58"/>
      <c r="G807" s="58"/>
      <c r="H807" s="58"/>
      <c r="I807" s="58"/>
      <c r="J807" s="58"/>
      <c r="K807" s="58"/>
      <c r="L807" s="58"/>
      <c r="M807" s="58"/>
      <c r="N807" s="58"/>
      <c r="O807" s="58"/>
      <c r="P807" s="58"/>
      <c r="Q807" s="58"/>
      <c r="R807" s="58"/>
      <c r="S807" s="58"/>
      <c r="T807" s="58"/>
      <c r="U807" s="58"/>
      <c r="V807" s="58"/>
      <c r="W807" s="58"/>
      <c r="X807" s="58"/>
      <c r="Y807" s="58"/>
    </row>
    <row r="808">
      <c r="A808" s="58"/>
      <c r="B808" s="58"/>
      <c r="C808" s="58"/>
      <c r="D808" s="58"/>
      <c r="E808" s="58"/>
      <c r="F808" s="58"/>
      <c r="G808" s="58"/>
      <c r="H808" s="58"/>
      <c r="I808" s="58"/>
      <c r="J808" s="58"/>
      <c r="K808" s="58"/>
      <c r="L808" s="58"/>
      <c r="M808" s="58"/>
      <c r="N808" s="58"/>
      <c r="O808" s="58"/>
      <c r="P808" s="58"/>
      <c r="Q808" s="58"/>
      <c r="R808" s="58"/>
      <c r="S808" s="58"/>
      <c r="T808" s="58"/>
      <c r="U808" s="58"/>
      <c r="V808" s="58"/>
      <c r="W808" s="58"/>
      <c r="X808" s="58"/>
      <c r="Y808" s="58"/>
    </row>
    <row r="809">
      <c r="A809" s="58"/>
      <c r="B809" s="58"/>
      <c r="C809" s="58"/>
      <c r="D809" s="58"/>
      <c r="E809" s="58"/>
      <c r="F809" s="58"/>
      <c r="G809" s="58"/>
      <c r="H809" s="58"/>
      <c r="I809" s="58"/>
      <c r="J809" s="58"/>
      <c r="K809" s="58"/>
      <c r="L809" s="58"/>
      <c r="M809" s="58"/>
      <c r="N809" s="58"/>
      <c r="O809" s="58"/>
      <c r="P809" s="58"/>
      <c r="Q809" s="58"/>
      <c r="R809" s="58"/>
      <c r="S809" s="58"/>
      <c r="T809" s="58"/>
      <c r="U809" s="58"/>
      <c r="V809" s="58"/>
      <c r="W809" s="58"/>
      <c r="X809" s="58"/>
      <c r="Y809" s="58"/>
    </row>
    <row r="810">
      <c r="A810" s="58"/>
      <c r="B810" s="58"/>
      <c r="C810" s="58"/>
      <c r="D810" s="58"/>
      <c r="E810" s="58"/>
      <c r="F810" s="58"/>
      <c r="G810" s="58"/>
      <c r="H810" s="58"/>
      <c r="I810" s="58"/>
      <c r="J810" s="58"/>
      <c r="K810" s="58"/>
      <c r="L810" s="58"/>
      <c r="M810" s="58"/>
      <c r="N810" s="58"/>
      <c r="O810" s="58"/>
      <c r="P810" s="58"/>
      <c r="Q810" s="58"/>
      <c r="R810" s="58"/>
      <c r="S810" s="58"/>
      <c r="T810" s="58"/>
      <c r="U810" s="58"/>
      <c r="V810" s="58"/>
      <c r="W810" s="58"/>
      <c r="X810" s="58"/>
      <c r="Y810" s="58"/>
    </row>
    <row r="811">
      <c r="A811" s="58"/>
      <c r="B811" s="58"/>
      <c r="C811" s="58"/>
      <c r="D811" s="58"/>
      <c r="E811" s="58"/>
      <c r="F811" s="58"/>
      <c r="G811" s="58"/>
      <c r="H811" s="58"/>
      <c r="I811" s="58"/>
      <c r="J811" s="58"/>
      <c r="K811" s="58"/>
      <c r="L811" s="58"/>
      <c r="M811" s="58"/>
      <c r="N811" s="58"/>
      <c r="O811" s="58"/>
      <c r="P811" s="58"/>
      <c r="Q811" s="58"/>
      <c r="R811" s="58"/>
      <c r="S811" s="58"/>
      <c r="T811" s="58"/>
      <c r="U811" s="58"/>
      <c r="V811" s="58"/>
      <c r="W811" s="58"/>
      <c r="X811" s="58"/>
      <c r="Y811" s="58"/>
    </row>
    <row r="812">
      <c r="A812" s="58"/>
      <c r="B812" s="58"/>
      <c r="C812" s="58"/>
      <c r="D812" s="58"/>
      <c r="E812" s="58"/>
      <c r="F812" s="58"/>
      <c r="G812" s="58"/>
      <c r="H812" s="58"/>
      <c r="I812" s="58"/>
      <c r="J812" s="58"/>
      <c r="K812" s="58"/>
      <c r="L812" s="58"/>
      <c r="M812" s="58"/>
      <c r="N812" s="58"/>
      <c r="O812" s="58"/>
      <c r="P812" s="58"/>
      <c r="Q812" s="58"/>
      <c r="R812" s="58"/>
      <c r="S812" s="58"/>
      <c r="T812" s="58"/>
      <c r="U812" s="58"/>
      <c r="V812" s="58"/>
      <c r="W812" s="58"/>
      <c r="X812" s="58"/>
      <c r="Y812" s="58"/>
    </row>
    <row r="813">
      <c r="A813" s="58"/>
      <c r="B813" s="58"/>
      <c r="C813" s="58"/>
      <c r="D813" s="58"/>
      <c r="E813" s="58"/>
      <c r="F813" s="58"/>
      <c r="G813" s="58"/>
      <c r="H813" s="58"/>
      <c r="I813" s="58"/>
      <c r="J813" s="58"/>
      <c r="K813" s="58"/>
      <c r="L813" s="58"/>
      <c r="M813" s="58"/>
      <c r="N813" s="58"/>
      <c r="O813" s="58"/>
      <c r="P813" s="58"/>
      <c r="Q813" s="58"/>
      <c r="R813" s="58"/>
      <c r="S813" s="58"/>
      <c r="T813" s="58"/>
      <c r="U813" s="58"/>
      <c r="V813" s="58"/>
      <c r="W813" s="58"/>
      <c r="X813" s="58"/>
      <c r="Y813" s="58"/>
    </row>
    <row r="814">
      <c r="A814" s="58"/>
      <c r="B814" s="58"/>
      <c r="C814" s="58"/>
      <c r="D814" s="58"/>
      <c r="E814" s="58"/>
      <c r="F814" s="58"/>
      <c r="G814" s="58"/>
      <c r="H814" s="58"/>
      <c r="I814" s="58"/>
      <c r="J814" s="58"/>
      <c r="K814" s="58"/>
      <c r="L814" s="58"/>
      <c r="M814" s="58"/>
      <c r="N814" s="58"/>
      <c r="O814" s="58"/>
      <c r="P814" s="58"/>
      <c r="Q814" s="58"/>
      <c r="R814" s="58"/>
      <c r="S814" s="58"/>
      <c r="T814" s="58"/>
      <c r="U814" s="58"/>
      <c r="V814" s="58"/>
      <c r="W814" s="58"/>
      <c r="X814" s="58"/>
      <c r="Y814" s="58"/>
    </row>
    <row r="815">
      <c r="A815" s="58"/>
      <c r="B815" s="58"/>
      <c r="C815" s="58"/>
      <c r="D815" s="58"/>
      <c r="E815" s="58"/>
      <c r="F815" s="58"/>
      <c r="G815" s="58"/>
      <c r="H815" s="58"/>
      <c r="I815" s="58"/>
      <c r="J815" s="58"/>
      <c r="K815" s="58"/>
      <c r="L815" s="58"/>
      <c r="M815" s="58"/>
      <c r="N815" s="58"/>
      <c r="O815" s="58"/>
      <c r="P815" s="58"/>
      <c r="Q815" s="58"/>
      <c r="R815" s="58"/>
      <c r="S815" s="58"/>
      <c r="T815" s="58"/>
      <c r="U815" s="58"/>
      <c r="V815" s="58"/>
      <c r="W815" s="58"/>
      <c r="X815" s="58"/>
      <c r="Y815" s="58"/>
    </row>
    <row r="816">
      <c r="A816" s="58"/>
      <c r="B816" s="58"/>
      <c r="C816" s="58"/>
      <c r="D816" s="58"/>
      <c r="E816" s="58"/>
      <c r="F816" s="58"/>
      <c r="G816" s="58"/>
      <c r="H816" s="58"/>
      <c r="I816" s="58"/>
      <c r="J816" s="58"/>
      <c r="K816" s="58"/>
      <c r="L816" s="58"/>
      <c r="M816" s="58"/>
      <c r="N816" s="58"/>
      <c r="O816" s="58"/>
      <c r="P816" s="58"/>
      <c r="Q816" s="58"/>
      <c r="R816" s="58"/>
      <c r="S816" s="58"/>
      <c r="T816" s="58"/>
      <c r="U816" s="58"/>
      <c r="V816" s="58"/>
      <c r="W816" s="58"/>
      <c r="X816" s="58"/>
      <c r="Y816" s="58"/>
    </row>
    <row r="817">
      <c r="A817" s="58"/>
      <c r="B817" s="58"/>
      <c r="C817" s="58"/>
      <c r="D817" s="58"/>
      <c r="E817" s="58"/>
      <c r="F817" s="58"/>
      <c r="G817" s="58"/>
      <c r="H817" s="58"/>
      <c r="I817" s="58"/>
      <c r="J817" s="58"/>
      <c r="K817" s="58"/>
      <c r="L817" s="58"/>
      <c r="M817" s="58"/>
      <c r="N817" s="58"/>
      <c r="O817" s="58"/>
      <c r="P817" s="58"/>
      <c r="Q817" s="58"/>
      <c r="R817" s="58"/>
      <c r="S817" s="58"/>
      <c r="T817" s="58"/>
      <c r="U817" s="58"/>
      <c r="V817" s="58"/>
      <c r="W817" s="58"/>
      <c r="X817" s="58"/>
      <c r="Y817" s="58"/>
    </row>
    <row r="818">
      <c r="A818" s="58"/>
      <c r="B818" s="58"/>
      <c r="C818" s="58"/>
      <c r="D818" s="58"/>
      <c r="E818" s="58"/>
      <c r="F818" s="58"/>
      <c r="G818" s="58"/>
      <c r="H818" s="58"/>
      <c r="I818" s="58"/>
      <c r="J818" s="58"/>
      <c r="K818" s="58"/>
      <c r="L818" s="58"/>
      <c r="M818" s="58"/>
      <c r="N818" s="58"/>
      <c r="O818" s="58"/>
      <c r="P818" s="58"/>
      <c r="Q818" s="58"/>
      <c r="R818" s="58"/>
      <c r="S818" s="58"/>
      <c r="T818" s="58"/>
      <c r="U818" s="58"/>
      <c r="V818" s="58"/>
      <c r="W818" s="58"/>
      <c r="X818" s="58"/>
      <c r="Y818" s="58"/>
    </row>
    <row r="819">
      <c r="A819" s="58"/>
      <c r="B819" s="58"/>
      <c r="C819" s="58"/>
      <c r="D819" s="58"/>
      <c r="E819" s="58"/>
      <c r="F819" s="58"/>
      <c r="G819" s="58"/>
      <c r="H819" s="58"/>
      <c r="I819" s="58"/>
      <c r="J819" s="58"/>
      <c r="K819" s="58"/>
      <c r="L819" s="58"/>
      <c r="M819" s="58"/>
      <c r="N819" s="58"/>
      <c r="O819" s="58"/>
      <c r="P819" s="58"/>
      <c r="Q819" s="58"/>
      <c r="R819" s="58"/>
      <c r="S819" s="58"/>
      <c r="T819" s="58"/>
      <c r="U819" s="58"/>
      <c r="V819" s="58"/>
      <c r="W819" s="58"/>
      <c r="X819" s="58"/>
      <c r="Y819" s="58"/>
    </row>
    <row r="820">
      <c r="A820" s="58"/>
      <c r="B820" s="58"/>
      <c r="C820" s="58"/>
      <c r="D820" s="58"/>
      <c r="E820" s="58"/>
      <c r="F820" s="58"/>
      <c r="G820" s="58"/>
      <c r="H820" s="58"/>
      <c r="I820" s="58"/>
      <c r="J820" s="58"/>
      <c r="K820" s="58"/>
      <c r="L820" s="58"/>
      <c r="M820" s="58"/>
      <c r="N820" s="58"/>
      <c r="O820" s="58"/>
      <c r="P820" s="58"/>
      <c r="Q820" s="58"/>
      <c r="R820" s="58"/>
      <c r="S820" s="58"/>
      <c r="T820" s="58"/>
      <c r="U820" s="58"/>
      <c r="V820" s="58"/>
      <c r="W820" s="58"/>
      <c r="X820" s="58"/>
      <c r="Y820" s="58"/>
    </row>
    <row r="821">
      <c r="A821" s="58"/>
      <c r="B821" s="58"/>
      <c r="C821" s="58"/>
      <c r="D821" s="58"/>
      <c r="E821" s="58"/>
      <c r="F821" s="58"/>
      <c r="G821" s="58"/>
      <c r="H821" s="58"/>
      <c r="I821" s="58"/>
      <c r="J821" s="58"/>
      <c r="K821" s="58"/>
      <c r="L821" s="58"/>
      <c r="M821" s="58"/>
      <c r="N821" s="58"/>
      <c r="O821" s="58"/>
      <c r="P821" s="58"/>
      <c r="Q821" s="58"/>
      <c r="R821" s="58"/>
      <c r="S821" s="58"/>
      <c r="T821" s="58"/>
      <c r="U821" s="58"/>
      <c r="V821" s="58"/>
      <c r="W821" s="58"/>
      <c r="X821" s="58"/>
      <c r="Y821" s="58"/>
    </row>
    <row r="822">
      <c r="A822" s="58"/>
      <c r="B822" s="58"/>
      <c r="C822" s="58"/>
      <c r="D822" s="58"/>
      <c r="E822" s="58"/>
      <c r="F822" s="58"/>
      <c r="G822" s="58"/>
      <c r="H822" s="58"/>
      <c r="I822" s="58"/>
      <c r="J822" s="58"/>
      <c r="K822" s="58"/>
      <c r="L822" s="58"/>
      <c r="M822" s="58"/>
      <c r="N822" s="58"/>
      <c r="O822" s="58"/>
      <c r="P822" s="58"/>
      <c r="Q822" s="58"/>
      <c r="R822" s="58"/>
      <c r="S822" s="58"/>
      <c r="T822" s="58"/>
      <c r="U822" s="58"/>
      <c r="V822" s="58"/>
      <c r="W822" s="58"/>
      <c r="X822" s="58"/>
      <c r="Y822" s="58"/>
    </row>
    <row r="823">
      <c r="A823" s="58"/>
      <c r="B823" s="58"/>
      <c r="C823" s="58"/>
      <c r="D823" s="58"/>
      <c r="E823" s="58"/>
      <c r="F823" s="58"/>
      <c r="G823" s="58"/>
      <c r="H823" s="58"/>
      <c r="I823" s="58"/>
      <c r="J823" s="58"/>
      <c r="K823" s="58"/>
      <c r="L823" s="58"/>
      <c r="M823" s="58"/>
      <c r="N823" s="58"/>
      <c r="O823" s="58"/>
      <c r="P823" s="58"/>
      <c r="Q823" s="58"/>
      <c r="R823" s="58"/>
      <c r="S823" s="58"/>
      <c r="T823" s="58"/>
      <c r="U823" s="58"/>
      <c r="V823" s="58"/>
      <c r="W823" s="58"/>
      <c r="X823" s="58"/>
      <c r="Y823" s="58"/>
    </row>
    <row r="824">
      <c r="A824" s="58"/>
      <c r="B824" s="58"/>
      <c r="C824" s="58"/>
      <c r="D824" s="58"/>
      <c r="E824" s="58"/>
      <c r="F824" s="58"/>
      <c r="G824" s="58"/>
      <c r="H824" s="58"/>
      <c r="I824" s="58"/>
      <c r="J824" s="58"/>
      <c r="K824" s="58"/>
      <c r="L824" s="58"/>
      <c r="M824" s="58"/>
      <c r="N824" s="58"/>
      <c r="O824" s="58"/>
      <c r="P824" s="58"/>
      <c r="Q824" s="58"/>
      <c r="R824" s="58"/>
      <c r="S824" s="58"/>
      <c r="T824" s="58"/>
      <c r="U824" s="58"/>
      <c r="V824" s="58"/>
      <c r="W824" s="58"/>
      <c r="X824" s="58"/>
      <c r="Y824" s="58"/>
    </row>
    <row r="825">
      <c r="A825" s="58"/>
      <c r="B825" s="58"/>
      <c r="C825" s="58"/>
      <c r="D825" s="58"/>
      <c r="E825" s="58"/>
      <c r="F825" s="58"/>
      <c r="G825" s="58"/>
      <c r="H825" s="58"/>
      <c r="I825" s="58"/>
      <c r="J825" s="58"/>
      <c r="K825" s="58"/>
      <c r="L825" s="58"/>
      <c r="M825" s="58"/>
      <c r="N825" s="58"/>
      <c r="O825" s="58"/>
      <c r="P825" s="58"/>
      <c r="Q825" s="58"/>
      <c r="R825" s="58"/>
      <c r="S825" s="58"/>
      <c r="T825" s="58"/>
      <c r="U825" s="58"/>
      <c r="V825" s="58"/>
      <c r="W825" s="58"/>
      <c r="X825" s="58"/>
      <c r="Y825" s="58"/>
    </row>
    <row r="826">
      <c r="A826" s="58"/>
      <c r="B826" s="58"/>
      <c r="C826" s="58"/>
      <c r="D826" s="58"/>
      <c r="E826" s="58"/>
      <c r="F826" s="58"/>
      <c r="G826" s="58"/>
      <c r="H826" s="58"/>
      <c r="I826" s="58"/>
      <c r="J826" s="58"/>
      <c r="K826" s="58"/>
      <c r="L826" s="58"/>
      <c r="M826" s="58"/>
      <c r="N826" s="58"/>
      <c r="O826" s="58"/>
      <c r="P826" s="58"/>
      <c r="Q826" s="58"/>
      <c r="R826" s="58"/>
      <c r="S826" s="58"/>
      <c r="T826" s="58"/>
      <c r="U826" s="58"/>
      <c r="V826" s="58"/>
      <c r="W826" s="58"/>
      <c r="X826" s="58"/>
      <c r="Y826" s="58"/>
    </row>
    <row r="827">
      <c r="A827" s="58"/>
      <c r="B827" s="58"/>
      <c r="C827" s="58"/>
      <c r="D827" s="58"/>
      <c r="E827" s="58"/>
      <c r="F827" s="58"/>
      <c r="G827" s="58"/>
      <c r="H827" s="58"/>
      <c r="I827" s="58"/>
      <c r="J827" s="58"/>
      <c r="K827" s="58"/>
      <c r="L827" s="58"/>
      <c r="M827" s="58"/>
      <c r="N827" s="58"/>
      <c r="O827" s="58"/>
      <c r="P827" s="58"/>
      <c r="Q827" s="58"/>
      <c r="R827" s="58"/>
      <c r="S827" s="58"/>
      <c r="T827" s="58"/>
      <c r="U827" s="58"/>
      <c r="V827" s="58"/>
      <c r="W827" s="58"/>
      <c r="X827" s="58"/>
      <c r="Y827" s="58"/>
    </row>
    <row r="828">
      <c r="A828" s="58"/>
      <c r="B828" s="58"/>
      <c r="C828" s="58"/>
      <c r="D828" s="58"/>
      <c r="E828" s="58"/>
      <c r="F828" s="58"/>
      <c r="G828" s="58"/>
      <c r="H828" s="58"/>
      <c r="I828" s="58"/>
      <c r="J828" s="58"/>
      <c r="K828" s="58"/>
      <c r="L828" s="58"/>
      <c r="M828" s="58"/>
      <c r="N828" s="58"/>
      <c r="O828" s="58"/>
      <c r="P828" s="58"/>
      <c r="Q828" s="58"/>
      <c r="R828" s="58"/>
      <c r="S828" s="58"/>
      <c r="T828" s="58"/>
      <c r="U828" s="58"/>
      <c r="V828" s="58"/>
      <c r="W828" s="58"/>
      <c r="X828" s="58"/>
      <c r="Y828" s="58"/>
    </row>
    <row r="829">
      <c r="A829" s="58"/>
      <c r="B829" s="58"/>
      <c r="C829" s="58"/>
      <c r="D829" s="58"/>
      <c r="E829" s="58"/>
      <c r="F829" s="58"/>
      <c r="G829" s="58"/>
      <c r="H829" s="58"/>
      <c r="I829" s="58"/>
      <c r="J829" s="58"/>
      <c r="K829" s="58"/>
      <c r="L829" s="58"/>
      <c r="M829" s="58"/>
      <c r="N829" s="58"/>
      <c r="O829" s="58"/>
      <c r="P829" s="58"/>
      <c r="Q829" s="58"/>
      <c r="R829" s="58"/>
      <c r="S829" s="58"/>
      <c r="T829" s="58"/>
      <c r="U829" s="58"/>
      <c r="V829" s="58"/>
      <c r="W829" s="58"/>
      <c r="X829" s="58"/>
      <c r="Y829" s="58"/>
    </row>
    <row r="830">
      <c r="A830" s="58"/>
      <c r="B830" s="58"/>
      <c r="C830" s="58"/>
      <c r="D830" s="58"/>
      <c r="E830" s="58"/>
      <c r="F830" s="58"/>
      <c r="G830" s="58"/>
      <c r="H830" s="58"/>
      <c r="I830" s="58"/>
      <c r="J830" s="58"/>
      <c r="K830" s="58"/>
      <c r="L830" s="58"/>
      <c r="M830" s="58"/>
      <c r="N830" s="58"/>
      <c r="O830" s="58"/>
      <c r="P830" s="58"/>
      <c r="Q830" s="58"/>
      <c r="R830" s="58"/>
      <c r="S830" s="58"/>
      <c r="T830" s="58"/>
      <c r="U830" s="58"/>
      <c r="V830" s="58"/>
      <c r="W830" s="58"/>
      <c r="X830" s="58"/>
      <c r="Y830" s="58"/>
    </row>
    <row r="831">
      <c r="A831" s="58"/>
      <c r="B831" s="58"/>
      <c r="C831" s="58"/>
      <c r="D831" s="58"/>
      <c r="E831" s="58"/>
      <c r="F831" s="58"/>
      <c r="G831" s="58"/>
      <c r="H831" s="58"/>
      <c r="I831" s="58"/>
      <c r="J831" s="58"/>
      <c r="K831" s="58"/>
      <c r="L831" s="58"/>
      <c r="M831" s="58"/>
      <c r="N831" s="58"/>
      <c r="O831" s="58"/>
      <c r="P831" s="58"/>
      <c r="Q831" s="58"/>
      <c r="R831" s="58"/>
      <c r="S831" s="58"/>
      <c r="T831" s="58"/>
      <c r="U831" s="58"/>
      <c r="V831" s="58"/>
      <c r="W831" s="58"/>
      <c r="X831" s="58"/>
      <c r="Y831" s="58"/>
    </row>
    <row r="832">
      <c r="A832" s="58"/>
      <c r="B832" s="58"/>
      <c r="C832" s="58"/>
      <c r="D832" s="58"/>
      <c r="E832" s="58"/>
      <c r="F832" s="58"/>
      <c r="G832" s="58"/>
      <c r="H832" s="58"/>
      <c r="I832" s="58"/>
      <c r="J832" s="58"/>
      <c r="K832" s="58"/>
      <c r="L832" s="58"/>
      <c r="M832" s="58"/>
      <c r="N832" s="58"/>
      <c r="O832" s="58"/>
      <c r="P832" s="58"/>
      <c r="Q832" s="58"/>
      <c r="R832" s="58"/>
      <c r="S832" s="58"/>
      <c r="T832" s="58"/>
      <c r="U832" s="58"/>
      <c r="V832" s="58"/>
      <c r="W832" s="58"/>
      <c r="X832" s="58"/>
      <c r="Y832" s="58"/>
    </row>
    <row r="833">
      <c r="A833" s="58"/>
      <c r="B833" s="58"/>
      <c r="C833" s="58"/>
      <c r="D833" s="58"/>
      <c r="E833" s="58"/>
      <c r="F833" s="58"/>
      <c r="G833" s="58"/>
      <c r="H833" s="58"/>
      <c r="I833" s="58"/>
      <c r="J833" s="58"/>
      <c r="K833" s="58"/>
      <c r="L833" s="58"/>
      <c r="M833" s="58"/>
      <c r="N833" s="58"/>
      <c r="O833" s="58"/>
      <c r="P833" s="58"/>
      <c r="Q833" s="58"/>
      <c r="R833" s="58"/>
      <c r="S833" s="58"/>
      <c r="T833" s="58"/>
      <c r="U833" s="58"/>
      <c r="V833" s="58"/>
      <c r="W833" s="58"/>
      <c r="X833" s="58"/>
      <c r="Y833" s="58"/>
    </row>
    <row r="834">
      <c r="A834" s="58"/>
      <c r="B834" s="58"/>
      <c r="C834" s="58"/>
      <c r="D834" s="58"/>
      <c r="E834" s="58"/>
      <c r="F834" s="58"/>
      <c r="G834" s="58"/>
      <c r="H834" s="58"/>
      <c r="I834" s="58"/>
      <c r="J834" s="58"/>
      <c r="K834" s="58"/>
      <c r="L834" s="58"/>
      <c r="M834" s="58"/>
      <c r="N834" s="58"/>
      <c r="O834" s="58"/>
      <c r="P834" s="58"/>
      <c r="Q834" s="58"/>
      <c r="R834" s="58"/>
      <c r="S834" s="58"/>
      <c r="T834" s="58"/>
      <c r="U834" s="58"/>
      <c r="V834" s="58"/>
      <c r="W834" s="58"/>
      <c r="X834" s="58"/>
      <c r="Y834" s="58"/>
    </row>
    <row r="835">
      <c r="A835" s="58"/>
      <c r="B835" s="58"/>
      <c r="C835" s="58"/>
      <c r="D835" s="58"/>
      <c r="E835" s="58"/>
      <c r="F835" s="58"/>
      <c r="G835" s="58"/>
      <c r="H835" s="58"/>
      <c r="I835" s="58"/>
      <c r="J835" s="58"/>
      <c r="K835" s="58"/>
      <c r="L835" s="58"/>
      <c r="M835" s="58"/>
      <c r="N835" s="58"/>
      <c r="O835" s="58"/>
      <c r="P835" s="58"/>
      <c r="Q835" s="58"/>
      <c r="R835" s="58"/>
      <c r="S835" s="58"/>
      <c r="T835" s="58"/>
      <c r="U835" s="58"/>
      <c r="V835" s="58"/>
      <c r="W835" s="58"/>
      <c r="X835" s="58"/>
      <c r="Y835" s="58"/>
    </row>
    <row r="836">
      <c r="A836" s="58"/>
      <c r="B836" s="58"/>
      <c r="C836" s="58"/>
      <c r="D836" s="58"/>
      <c r="E836" s="58"/>
      <c r="F836" s="58"/>
      <c r="G836" s="58"/>
      <c r="H836" s="58"/>
      <c r="I836" s="58"/>
      <c r="J836" s="58"/>
      <c r="K836" s="58"/>
      <c r="L836" s="58"/>
      <c r="M836" s="58"/>
      <c r="N836" s="58"/>
      <c r="O836" s="58"/>
      <c r="P836" s="58"/>
      <c r="Q836" s="58"/>
      <c r="R836" s="58"/>
      <c r="S836" s="58"/>
      <c r="T836" s="58"/>
      <c r="U836" s="58"/>
      <c r="V836" s="58"/>
      <c r="W836" s="58"/>
      <c r="X836" s="58"/>
      <c r="Y836" s="58"/>
    </row>
    <row r="837">
      <c r="A837" s="58"/>
      <c r="B837" s="58"/>
      <c r="C837" s="58"/>
      <c r="D837" s="58"/>
      <c r="E837" s="58"/>
      <c r="F837" s="58"/>
      <c r="G837" s="58"/>
      <c r="H837" s="58"/>
      <c r="I837" s="58"/>
      <c r="J837" s="58"/>
      <c r="K837" s="58"/>
      <c r="L837" s="58"/>
      <c r="M837" s="58"/>
      <c r="N837" s="58"/>
      <c r="O837" s="58"/>
      <c r="P837" s="58"/>
      <c r="Q837" s="58"/>
      <c r="R837" s="58"/>
      <c r="S837" s="58"/>
      <c r="T837" s="58"/>
      <c r="U837" s="58"/>
      <c r="V837" s="58"/>
      <c r="W837" s="58"/>
      <c r="X837" s="58"/>
      <c r="Y837" s="58"/>
    </row>
    <row r="838">
      <c r="A838" s="58"/>
      <c r="B838" s="58"/>
      <c r="C838" s="58"/>
      <c r="D838" s="58"/>
      <c r="E838" s="58"/>
      <c r="F838" s="58"/>
      <c r="G838" s="58"/>
      <c r="H838" s="58"/>
      <c r="I838" s="58"/>
      <c r="J838" s="58"/>
      <c r="K838" s="58"/>
      <c r="L838" s="58"/>
      <c r="M838" s="58"/>
      <c r="N838" s="58"/>
      <c r="O838" s="58"/>
      <c r="P838" s="58"/>
      <c r="Q838" s="58"/>
      <c r="R838" s="58"/>
      <c r="S838" s="58"/>
      <c r="T838" s="58"/>
      <c r="U838" s="58"/>
      <c r="V838" s="58"/>
      <c r="W838" s="58"/>
      <c r="X838" s="58"/>
      <c r="Y838" s="58"/>
    </row>
    <row r="839">
      <c r="A839" s="58"/>
      <c r="B839" s="58"/>
      <c r="C839" s="58"/>
      <c r="D839" s="58"/>
      <c r="E839" s="58"/>
      <c r="F839" s="58"/>
      <c r="G839" s="58"/>
      <c r="H839" s="58"/>
      <c r="I839" s="58"/>
      <c r="J839" s="58"/>
      <c r="K839" s="58"/>
      <c r="L839" s="58"/>
      <c r="M839" s="58"/>
      <c r="N839" s="58"/>
      <c r="O839" s="58"/>
      <c r="P839" s="58"/>
      <c r="Q839" s="58"/>
      <c r="R839" s="58"/>
      <c r="S839" s="58"/>
      <c r="T839" s="58"/>
      <c r="U839" s="58"/>
      <c r="V839" s="58"/>
      <c r="W839" s="58"/>
      <c r="X839" s="58"/>
      <c r="Y839" s="58"/>
    </row>
    <row r="840">
      <c r="A840" s="58"/>
      <c r="B840" s="58"/>
      <c r="C840" s="58"/>
      <c r="D840" s="58"/>
      <c r="E840" s="58"/>
      <c r="F840" s="58"/>
      <c r="G840" s="58"/>
      <c r="H840" s="58"/>
      <c r="I840" s="58"/>
      <c r="J840" s="58"/>
      <c r="K840" s="58"/>
      <c r="L840" s="58"/>
      <c r="M840" s="58"/>
      <c r="N840" s="58"/>
      <c r="O840" s="58"/>
      <c r="P840" s="58"/>
      <c r="Q840" s="58"/>
      <c r="R840" s="58"/>
      <c r="S840" s="58"/>
      <c r="T840" s="58"/>
      <c r="U840" s="58"/>
      <c r="V840" s="58"/>
      <c r="W840" s="58"/>
      <c r="X840" s="58"/>
      <c r="Y840" s="58"/>
    </row>
    <row r="841">
      <c r="A841" s="58"/>
      <c r="B841" s="58"/>
      <c r="C841" s="58"/>
      <c r="D841" s="58"/>
      <c r="E841" s="58"/>
      <c r="F841" s="58"/>
      <c r="G841" s="58"/>
      <c r="H841" s="58"/>
      <c r="I841" s="58"/>
      <c r="J841" s="58"/>
      <c r="K841" s="58"/>
      <c r="L841" s="58"/>
      <c r="M841" s="58"/>
      <c r="N841" s="58"/>
      <c r="O841" s="58"/>
      <c r="P841" s="58"/>
      <c r="Q841" s="58"/>
      <c r="R841" s="58"/>
      <c r="S841" s="58"/>
      <c r="T841" s="58"/>
      <c r="U841" s="58"/>
      <c r="V841" s="58"/>
      <c r="W841" s="58"/>
      <c r="X841" s="58"/>
      <c r="Y841" s="58"/>
    </row>
    <row r="842">
      <c r="A842" s="58"/>
      <c r="B842" s="58"/>
      <c r="C842" s="58"/>
      <c r="D842" s="58"/>
      <c r="E842" s="58"/>
      <c r="F842" s="58"/>
      <c r="G842" s="58"/>
      <c r="H842" s="58"/>
      <c r="I842" s="58"/>
      <c r="J842" s="58"/>
      <c r="K842" s="58"/>
      <c r="L842" s="58"/>
      <c r="M842" s="58"/>
      <c r="N842" s="58"/>
      <c r="O842" s="58"/>
      <c r="P842" s="58"/>
      <c r="Q842" s="58"/>
      <c r="R842" s="58"/>
      <c r="S842" s="58"/>
      <c r="T842" s="58"/>
      <c r="U842" s="58"/>
      <c r="V842" s="58"/>
      <c r="W842" s="58"/>
      <c r="X842" s="58"/>
      <c r="Y842" s="58"/>
    </row>
    <row r="843">
      <c r="A843" s="58"/>
      <c r="B843" s="58"/>
      <c r="C843" s="58"/>
      <c r="D843" s="58"/>
      <c r="E843" s="58"/>
      <c r="F843" s="58"/>
      <c r="G843" s="58"/>
      <c r="H843" s="58"/>
      <c r="I843" s="58"/>
      <c r="J843" s="58"/>
      <c r="K843" s="58"/>
      <c r="L843" s="58"/>
      <c r="M843" s="58"/>
      <c r="N843" s="58"/>
      <c r="O843" s="58"/>
      <c r="P843" s="58"/>
      <c r="Q843" s="58"/>
      <c r="R843" s="58"/>
      <c r="S843" s="58"/>
      <c r="T843" s="58"/>
      <c r="U843" s="58"/>
      <c r="V843" s="58"/>
      <c r="W843" s="58"/>
      <c r="X843" s="58"/>
      <c r="Y843" s="58"/>
    </row>
    <row r="844">
      <c r="A844" s="58"/>
      <c r="B844" s="58"/>
      <c r="C844" s="58"/>
      <c r="D844" s="58"/>
      <c r="E844" s="58"/>
      <c r="F844" s="58"/>
      <c r="G844" s="58"/>
      <c r="H844" s="58"/>
      <c r="I844" s="58"/>
      <c r="J844" s="58"/>
      <c r="K844" s="58"/>
      <c r="L844" s="58"/>
      <c r="M844" s="58"/>
      <c r="N844" s="58"/>
      <c r="O844" s="58"/>
      <c r="P844" s="58"/>
      <c r="Q844" s="58"/>
      <c r="R844" s="58"/>
      <c r="S844" s="58"/>
      <c r="T844" s="58"/>
      <c r="U844" s="58"/>
      <c r="V844" s="58"/>
      <c r="W844" s="58"/>
      <c r="X844" s="58"/>
      <c r="Y844" s="58"/>
    </row>
    <row r="845">
      <c r="A845" s="58"/>
      <c r="B845" s="58"/>
      <c r="C845" s="58"/>
      <c r="D845" s="58"/>
      <c r="E845" s="58"/>
      <c r="F845" s="58"/>
      <c r="G845" s="58"/>
      <c r="H845" s="58"/>
      <c r="I845" s="58"/>
      <c r="J845" s="58"/>
      <c r="K845" s="58"/>
      <c r="L845" s="58"/>
      <c r="M845" s="58"/>
      <c r="N845" s="58"/>
      <c r="O845" s="58"/>
      <c r="P845" s="58"/>
      <c r="Q845" s="58"/>
      <c r="R845" s="58"/>
      <c r="S845" s="58"/>
      <c r="T845" s="58"/>
      <c r="U845" s="58"/>
      <c r="V845" s="58"/>
      <c r="W845" s="58"/>
      <c r="X845" s="58"/>
      <c r="Y845" s="58"/>
    </row>
    <row r="846">
      <c r="A846" s="58"/>
      <c r="B846" s="58"/>
      <c r="C846" s="58"/>
      <c r="D846" s="58"/>
      <c r="E846" s="58"/>
      <c r="F846" s="58"/>
      <c r="G846" s="58"/>
      <c r="H846" s="58"/>
      <c r="I846" s="58"/>
      <c r="J846" s="58"/>
      <c r="K846" s="58"/>
      <c r="L846" s="58"/>
      <c r="M846" s="58"/>
      <c r="N846" s="58"/>
      <c r="O846" s="58"/>
      <c r="P846" s="58"/>
      <c r="Q846" s="58"/>
      <c r="R846" s="58"/>
      <c r="S846" s="58"/>
      <c r="T846" s="58"/>
      <c r="U846" s="58"/>
      <c r="V846" s="58"/>
      <c r="W846" s="58"/>
      <c r="X846" s="58"/>
      <c r="Y846" s="58"/>
    </row>
    <row r="847">
      <c r="A847" s="58"/>
      <c r="B847" s="58"/>
      <c r="C847" s="58"/>
      <c r="D847" s="58"/>
      <c r="E847" s="58"/>
      <c r="F847" s="58"/>
      <c r="G847" s="58"/>
      <c r="H847" s="58"/>
      <c r="I847" s="58"/>
      <c r="J847" s="58"/>
      <c r="K847" s="58"/>
      <c r="L847" s="58"/>
      <c r="M847" s="58"/>
      <c r="N847" s="58"/>
      <c r="O847" s="58"/>
      <c r="P847" s="58"/>
      <c r="Q847" s="58"/>
      <c r="R847" s="58"/>
      <c r="S847" s="58"/>
      <c r="T847" s="58"/>
      <c r="U847" s="58"/>
      <c r="V847" s="58"/>
      <c r="W847" s="58"/>
      <c r="X847" s="58"/>
      <c r="Y847" s="58"/>
    </row>
    <row r="848">
      <c r="A848" s="58"/>
      <c r="B848" s="58"/>
      <c r="C848" s="58"/>
      <c r="D848" s="58"/>
      <c r="E848" s="58"/>
      <c r="F848" s="58"/>
      <c r="G848" s="58"/>
      <c r="H848" s="58"/>
      <c r="I848" s="58"/>
      <c r="J848" s="58"/>
      <c r="K848" s="58"/>
      <c r="L848" s="58"/>
      <c r="M848" s="58"/>
      <c r="N848" s="58"/>
      <c r="O848" s="58"/>
      <c r="P848" s="58"/>
      <c r="Q848" s="58"/>
      <c r="R848" s="58"/>
      <c r="S848" s="58"/>
      <c r="T848" s="58"/>
      <c r="U848" s="58"/>
      <c r="V848" s="58"/>
      <c r="W848" s="58"/>
      <c r="X848" s="58"/>
      <c r="Y848" s="58"/>
    </row>
    <row r="849">
      <c r="A849" s="58"/>
      <c r="B849" s="58"/>
      <c r="C849" s="58"/>
      <c r="D849" s="58"/>
      <c r="E849" s="58"/>
      <c r="F849" s="58"/>
      <c r="G849" s="58"/>
      <c r="H849" s="58"/>
      <c r="I849" s="58"/>
      <c r="J849" s="58"/>
      <c r="K849" s="58"/>
      <c r="L849" s="58"/>
      <c r="M849" s="58"/>
      <c r="N849" s="58"/>
      <c r="O849" s="58"/>
      <c r="P849" s="58"/>
      <c r="Q849" s="58"/>
      <c r="R849" s="58"/>
      <c r="S849" s="58"/>
      <c r="T849" s="58"/>
      <c r="U849" s="58"/>
      <c r="V849" s="58"/>
      <c r="W849" s="58"/>
      <c r="X849" s="58"/>
      <c r="Y849" s="58"/>
    </row>
    <row r="850">
      <c r="A850" s="58"/>
      <c r="B850" s="58"/>
      <c r="C850" s="58"/>
      <c r="D850" s="58"/>
      <c r="E850" s="58"/>
      <c r="F850" s="58"/>
      <c r="G850" s="58"/>
      <c r="H850" s="58"/>
      <c r="I850" s="58"/>
      <c r="J850" s="58"/>
      <c r="K850" s="58"/>
      <c r="L850" s="58"/>
      <c r="M850" s="58"/>
      <c r="N850" s="58"/>
      <c r="O850" s="58"/>
      <c r="P850" s="58"/>
      <c r="Q850" s="58"/>
      <c r="R850" s="58"/>
      <c r="S850" s="58"/>
      <c r="T850" s="58"/>
      <c r="U850" s="58"/>
      <c r="V850" s="58"/>
      <c r="W850" s="58"/>
      <c r="X850" s="58"/>
      <c r="Y850" s="58"/>
    </row>
    <row r="851">
      <c r="A851" s="58"/>
      <c r="B851" s="58"/>
      <c r="C851" s="58"/>
      <c r="D851" s="58"/>
      <c r="E851" s="58"/>
      <c r="F851" s="58"/>
      <c r="G851" s="58"/>
      <c r="H851" s="58"/>
      <c r="I851" s="58"/>
      <c r="J851" s="58"/>
      <c r="K851" s="58"/>
      <c r="L851" s="58"/>
      <c r="M851" s="58"/>
      <c r="N851" s="58"/>
      <c r="O851" s="58"/>
      <c r="P851" s="58"/>
      <c r="Q851" s="58"/>
      <c r="R851" s="58"/>
      <c r="S851" s="58"/>
      <c r="T851" s="58"/>
      <c r="U851" s="58"/>
      <c r="V851" s="58"/>
      <c r="W851" s="58"/>
      <c r="X851" s="58"/>
      <c r="Y851" s="58"/>
    </row>
    <row r="852">
      <c r="A852" s="58"/>
      <c r="B852" s="58"/>
      <c r="C852" s="58"/>
      <c r="D852" s="58"/>
      <c r="E852" s="58"/>
      <c r="F852" s="58"/>
      <c r="G852" s="58"/>
      <c r="H852" s="58"/>
      <c r="I852" s="58"/>
      <c r="J852" s="58"/>
      <c r="K852" s="58"/>
      <c r="L852" s="58"/>
      <c r="M852" s="58"/>
      <c r="N852" s="58"/>
      <c r="O852" s="58"/>
      <c r="P852" s="58"/>
      <c r="Q852" s="58"/>
      <c r="R852" s="58"/>
      <c r="S852" s="58"/>
      <c r="T852" s="58"/>
      <c r="U852" s="58"/>
      <c r="V852" s="58"/>
      <c r="W852" s="58"/>
      <c r="X852" s="58"/>
      <c r="Y852" s="58"/>
    </row>
    <row r="853">
      <c r="A853" s="58"/>
      <c r="B853" s="58"/>
      <c r="C853" s="58"/>
      <c r="D853" s="58"/>
      <c r="E853" s="58"/>
      <c r="F853" s="58"/>
      <c r="G853" s="58"/>
      <c r="H853" s="58"/>
      <c r="I853" s="58"/>
      <c r="J853" s="58"/>
      <c r="K853" s="58"/>
      <c r="L853" s="58"/>
      <c r="M853" s="58"/>
      <c r="N853" s="58"/>
      <c r="O853" s="58"/>
      <c r="P853" s="58"/>
      <c r="Q853" s="58"/>
      <c r="R853" s="58"/>
      <c r="S853" s="58"/>
      <c r="T853" s="58"/>
      <c r="U853" s="58"/>
      <c r="V853" s="58"/>
      <c r="W853" s="58"/>
      <c r="X853" s="58"/>
      <c r="Y853" s="58"/>
    </row>
    <row r="854">
      <c r="A854" s="58"/>
      <c r="B854" s="58"/>
      <c r="C854" s="58"/>
      <c r="D854" s="58"/>
      <c r="E854" s="58"/>
      <c r="F854" s="58"/>
      <c r="G854" s="58"/>
      <c r="H854" s="58"/>
      <c r="I854" s="58"/>
      <c r="J854" s="58"/>
      <c r="K854" s="58"/>
      <c r="L854" s="58"/>
      <c r="M854" s="58"/>
      <c r="N854" s="58"/>
      <c r="O854" s="58"/>
      <c r="P854" s="58"/>
      <c r="Q854" s="58"/>
      <c r="R854" s="58"/>
      <c r="S854" s="58"/>
      <c r="T854" s="58"/>
      <c r="U854" s="58"/>
      <c r="V854" s="58"/>
      <c r="W854" s="58"/>
      <c r="X854" s="58"/>
      <c r="Y854" s="58"/>
    </row>
    <row r="855">
      <c r="A855" s="58"/>
      <c r="B855" s="58"/>
      <c r="C855" s="58"/>
      <c r="D855" s="58"/>
      <c r="E855" s="58"/>
      <c r="F855" s="58"/>
      <c r="G855" s="58"/>
      <c r="H855" s="58"/>
      <c r="I855" s="58"/>
      <c r="J855" s="58"/>
      <c r="K855" s="58"/>
      <c r="L855" s="58"/>
      <c r="M855" s="58"/>
      <c r="N855" s="58"/>
      <c r="O855" s="58"/>
      <c r="P855" s="58"/>
      <c r="Q855" s="58"/>
      <c r="R855" s="58"/>
      <c r="S855" s="58"/>
      <c r="T855" s="58"/>
      <c r="U855" s="58"/>
      <c r="V855" s="58"/>
      <c r="W855" s="58"/>
      <c r="X855" s="58"/>
      <c r="Y855" s="58"/>
    </row>
    <row r="856">
      <c r="A856" s="58"/>
      <c r="B856" s="58"/>
      <c r="C856" s="58"/>
      <c r="D856" s="58"/>
      <c r="E856" s="58"/>
      <c r="F856" s="58"/>
      <c r="G856" s="58"/>
      <c r="H856" s="58"/>
      <c r="I856" s="58"/>
      <c r="J856" s="58"/>
      <c r="K856" s="58"/>
      <c r="L856" s="58"/>
      <c r="M856" s="58"/>
      <c r="N856" s="58"/>
      <c r="O856" s="58"/>
      <c r="P856" s="58"/>
      <c r="Q856" s="58"/>
      <c r="R856" s="58"/>
      <c r="S856" s="58"/>
      <c r="T856" s="58"/>
      <c r="U856" s="58"/>
      <c r="V856" s="58"/>
      <c r="W856" s="58"/>
      <c r="X856" s="58"/>
      <c r="Y856" s="58"/>
    </row>
    <row r="857">
      <c r="A857" s="58"/>
      <c r="B857" s="58"/>
      <c r="C857" s="58"/>
      <c r="D857" s="58"/>
      <c r="E857" s="58"/>
      <c r="F857" s="58"/>
      <c r="G857" s="58"/>
      <c r="H857" s="58"/>
      <c r="I857" s="58"/>
      <c r="J857" s="58"/>
      <c r="K857" s="58"/>
      <c r="L857" s="58"/>
      <c r="M857" s="58"/>
      <c r="N857" s="58"/>
      <c r="O857" s="58"/>
      <c r="P857" s="58"/>
      <c r="Q857" s="58"/>
      <c r="R857" s="58"/>
      <c r="S857" s="58"/>
      <c r="T857" s="58"/>
      <c r="U857" s="58"/>
      <c r="V857" s="58"/>
      <c r="W857" s="58"/>
      <c r="X857" s="58"/>
      <c r="Y857" s="58"/>
    </row>
    <row r="858">
      <c r="A858" s="58"/>
      <c r="B858" s="58"/>
      <c r="C858" s="58"/>
      <c r="D858" s="58"/>
      <c r="E858" s="58"/>
      <c r="F858" s="58"/>
      <c r="G858" s="58"/>
      <c r="H858" s="58"/>
      <c r="I858" s="58"/>
      <c r="J858" s="58"/>
      <c r="K858" s="58"/>
      <c r="L858" s="58"/>
      <c r="M858" s="58"/>
      <c r="N858" s="58"/>
      <c r="O858" s="58"/>
      <c r="P858" s="58"/>
      <c r="Q858" s="58"/>
      <c r="R858" s="58"/>
      <c r="S858" s="58"/>
      <c r="T858" s="58"/>
      <c r="U858" s="58"/>
      <c r="V858" s="58"/>
      <c r="W858" s="58"/>
      <c r="X858" s="58"/>
      <c r="Y858" s="58"/>
    </row>
    <row r="859">
      <c r="A859" s="58"/>
      <c r="B859" s="58"/>
      <c r="C859" s="58"/>
      <c r="D859" s="58"/>
      <c r="E859" s="58"/>
      <c r="F859" s="58"/>
      <c r="G859" s="58"/>
      <c r="H859" s="58"/>
      <c r="I859" s="58"/>
      <c r="J859" s="58"/>
      <c r="K859" s="58"/>
      <c r="L859" s="58"/>
      <c r="M859" s="58"/>
      <c r="N859" s="58"/>
      <c r="O859" s="58"/>
      <c r="P859" s="58"/>
      <c r="Q859" s="58"/>
      <c r="R859" s="58"/>
      <c r="S859" s="58"/>
      <c r="T859" s="58"/>
      <c r="U859" s="58"/>
      <c r="V859" s="58"/>
      <c r="W859" s="58"/>
      <c r="X859" s="58"/>
      <c r="Y859" s="58"/>
    </row>
    <row r="860">
      <c r="A860" s="58"/>
      <c r="B860" s="58"/>
      <c r="C860" s="58"/>
      <c r="D860" s="58"/>
      <c r="E860" s="58"/>
      <c r="F860" s="58"/>
      <c r="G860" s="58"/>
      <c r="H860" s="58"/>
      <c r="I860" s="58"/>
      <c r="J860" s="58"/>
      <c r="K860" s="58"/>
      <c r="L860" s="58"/>
      <c r="M860" s="58"/>
      <c r="N860" s="58"/>
      <c r="O860" s="58"/>
      <c r="P860" s="58"/>
      <c r="Q860" s="58"/>
      <c r="R860" s="58"/>
      <c r="S860" s="58"/>
      <c r="T860" s="58"/>
      <c r="U860" s="58"/>
      <c r="V860" s="58"/>
      <c r="W860" s="58"/>
      <c r="X860" s="58"/>
      <c r="Y860" s="58"/>
    </row>
    <row r="861">
      <c r="A861" s="58"/>
      <c r="B861" s="58"/>
      <c r="C861" s="58"/>
      <c r="D861" s="58"/>
      <c r="E861" s="58"/>
      <c r="F861" s="58"/>
      <c r="G861" s="58"/>
      <c r="H861" s="58"/>
      <c r="I861" s="58"/>
      <c r="J861" s="58"/>
      <c r="K861" s="58"/>
      <c r="L861" s="58"/>
      <c r="M861" s="58"/>
      <c r="N861" s="58"/>
      <c r="O861" s="58"/>
      <c r="P861" s="58"/>
      <c r="Q861" s="58"/>
      <c r="R861" s="58"/>
      <c r="S861" s="58"/>
      <c r="T861" s="58"/>
      <c r="U861" s="58"/>
      <c r="V861" s="58"/>
      <c r="W861" s="58"/>
      <c r="X861" s="58"/>
      <c r="Y861" s="58"/>
    </row>
    <row r="862">
      <c r="A862" s="58"/>
      <c r="B862" s="58"/>
      <c r="C862" s="58"/>
      <c r="D862" s="58"/>
      <c r="E862" s="58"/>
      <c r="F862" s="58"/>
      <c r="G862" s="58"/>
      <c r="H862" s="58"/>
      <c r="I862" s="58"/>
      <c r="J862" s="58"/>
      <c r="K862" s="58"/>
      <c r="L862" s="58"/>
      <c r="M862" s="58"/>
      <c r="N862" s="58"/>
      <c r="O862" s="58"/>
      <c r="P862" s="58"/>
      <c r="Q862" s="58"/>
      <c r="R862" s="58"/>
      <c r="S862" s="58"/>
      <c r="T862" s="58"/>
      <c r="U862" s="58"/>
      <c r="V862" s="58"/>
      <c r="W862" s="58"/>
      <c r="X862" s="58"/>
      <c r="Y862" s="58"/>
    </row>
    <row r="863">
      <c r="A863" s="58"/>
      <c r="B863" s="58"/>
      <c r="C863" s="58"/>
      <c r="D863" s="58"/>
      <c r="E863" s="58"/>
      <c r="F863" s="58"/>
      <c r="G863" s="58"/>
      <c r="H863" s="58"/>
      <c r="I863" s="58"/>
      <c r="J863" s="58"/>
      <c r="K863" s="58"/>
      <c r="L863" s="58"/>
      <c r="M863" s="58"/>
      <c r="N863" s="58"/>
      <c r="O863" s="58"/>
      <c r="P863" s="58"/>
      <c r="Q863" s="58"/>
      <c r="R863" s="58"/>
      <c r="S863" s="58"/>
      <c r="T863" s="58"/>
      <c r="U863" s="58"/>
      <c r="V863" s="58"/>
      <c r="W863" s="58"/>
      <c r="X863" s="58"/>
      <c r="Y863" s="58"/>
    </row>
    <row r="864">
      <c r="A864" s="58"/>
      <c r="B864" s="58"/>
      <c r="C864" s="58"/>
      <c r="D864" s="58"/>
      <c r="E864" s="58"/>
      <c r="F864" s="58"/>
      <c r="G864" s="58"/>
      <c r="H864" s="58"/>
      <c r="I864" s="58"/>
      <c r="J864" s="58"/>
      <c r="K864" s="58"/>
      <c r="L864" s="58"/>
      <c r="M864" s="58"/>
      <c r="N864" s="58"/>
      <c r="O864" s="58"/>
      <c r="P864" s="58"/>
      <c r="Q864" s="58"/>
      <c r="R864" s="58"/>
      <c r="S864" s="58"/>
      <c r="T864" s="58"/>
      <c r="U864" s="58"/>
      <c r="V864" s="58"/>
      <c r="W864" s="58"/>
      <c r="X864" s="58"/>
      <c r="Y864" s="58"/>
    </row>
    <row r="865">
      <c r="A865" s="58"/>
      <c r="B865" s="58"/>
      <c r="C865" s="58"/>
      <c r="D865" s="58"/>
      <c r="E865" s="58"/>
      <c r="F865" s="58"/>
      <c r="G865" s="58"/>
      <c r="H865" s="58"/>
      <c r="I865" s="58"/>
      <c r="J865" s="58"/>
      <c r="K865" s="58"/>
      <c r="L865" s="58"/>
      <c r="M865" s="58"/>
      <c r="N865" s="58"/>
      <c r="O865" s="58"/>
      <c r="P865" s="58"/>
      <c r="Q865" s="58"/>
      <c r="R865" s="58"/>
      <c r="S865" s="58"/>
      <c r="T865" s="58"/>
      <c r="U865" s="58"/>
      <c r="V865" s="58"/>
      <c r="W865" s="58"/>
      <c r="X865" s="58"/>
      <c r="Y865" s="58"/>
    </row>
    <row r="866">
      <c r="A866" s="58"/>
      <c r="B866" s="58"/>
      <c r="C866" s="58"/>
      <c r="D866" s="58"/>
      <c r="E866" s="58"/>
      <c r="F866" s="58"/>
      <c r="G866" s="58"/>
      <c r="H866" s="58"/>
      <c r="I866" s="58"/>
      <c r="J866" s="58"/>
      <c r="K866" s="58"/>
      <c r="L866" s="58"/>
      <c r="M866" s="58"/>
      <c r="N866" s="58"/>
      <c r="O866" s="58"/>
      <c r="P866" s="58"/>
      <c r="Q866" s="58"/>
      <c r="R866" s="58"/>
      <c r="S866" s="58"/>
      <c r="T866" s="58"/>
      <c r="U866" s="58"/>
      <c r="V866" s="58"/>
      <c r="W866" s="58"/>
      <c r="X866" s="58"/>
      <c r="Y866" s="58"/>
    </row>
    <row r="867">
      <c r="A867" s="58"/>
      <c r="B867" s="58"/>
      <c r="C867" s="58"/>
      <c r="D867" s="58"/>
      <c r="E867" s="58"/>
      <c r="F867" s="58"/>
      <c r="G867" s="58"/>
      <c r="H867" s="58"/>
      <c r="I867" s="58"/>
      <c r="J867" s="58"/>
      <c r="K867" s="58"/>
      <c r="L867" s="58"/>
      <c r="M867" s="58"/>
      <c r="N867" s="58"/>
      <c r="O867" s="58"/>
      <c r="P867" s="58"/>
      <c r="Q867" s="58"/>
      <c r="R867" s="58"/>
      <c r="S867" s="58"/>
      <c r="T867" s="58"/>
      <c r="U867" s="58"/>
      <c r="V867" s="58"/>
      <c r="W867" s="58"/>
      <c r="X867" s="58"/>
      <c r="Y867" s="58"/>
    </row>
    <row r="868">
      <c r="A868" s="58"/>
      <c r="B868" s="58"/>
      <c r="C868" s="58"/>
      <c r="D868" s="58"/>
      <c r="E868" s="58"/>
      <c r="F868" s="58"/>
      <c r="G868" s="58"/>
      <c r="H868" s="58"/>
      <c r="I868" s="58"/>
      <c r="J868" s="58"/>
      <c r="K868" s="58"/>
      <c r="L868" s="58"/>
      <c r="M868" s="58"/>
      <c r="N868" s="58"/>
      <c r="O868" s="58"/>
      <c r="P868" s="58"/>
      <c r="Q868" s="58"/>
      <c r="R868" s="58"/>
      <c r="S868" s="58"/>
      <c r="T868" s="58"/>
      <c r="U868" s="58"/>
      <c r="V868" s="58"/>
      <c r="W868" s="58"/>
      <c r="X868" s="58"/>
      <c r="Y868" s="58"/>
    </row>
    <row r="869">
      <c r="A869" s="58"/>
      <c r="B869" s="58"/>
      <c r="C869" s="58"/>
      <c r="D869" s="58"/>
      <c r="E869" s="58"/>
      <c r="F869" s="58"/>
      <c r="G869" s="58"/>
      <c r="H869" s="58"/>
      <c r="I869" s="58"/>
      <c r="J869" s="58"/>
      <c r="K869" s="58"/>
      <c r="L869" s="58"/>
      <c r="M869" s="58"/>
      <c r="N869" s="58"/>
      <c r="O869" s="58"/>
      <c r="P869" s="58"/>
      <c r="Q869" s="58"/>
      <c r="R869" s="58"/>
      <c r="S869" s="58"/>
      <c r="T869" s="58"/>
      <c r="U869" s="58"/>
      <c r="V869" s="58"/>
      <c r="W869" s="58"/>
      <c r="X869" s="58"/>
      <c r="Y869" s="58"/>
    </row>
    <row r="870">
      <c r="A870" s="58"/>
      <c r="B870" s="58"/>
      <c r="C870" s="58"/>
      <c r="D870" s="58"/>
      <c r="E870" s="58"/>
      <c r="F870" s="58"/>
      <c r="G870" s="58"/>
      <c r="H870" s="58"/>
      <c r="I870" s="58"/>
      <c r="J870" s="58"/>
      <c r="K870" s="58"/>
      <c r="L870" s="58"/>
      <c r="M870" s="58"/>
      <c r="N870" s="58"/>
      <c r="O870" s="58"/>
      <c r="P870" s="58"/>
      <c r="Q870" s="58"/>
      <c r="R870" s="58"/>
      <c r="S870" s="58"/>
      <c r="T870" s="58"/>
      <c r="U870" s="58"/>
      <c r="V870" s="58"/>
      <c r="W870" s="58"/>
      <c r="X870" s="58"/>
      <c r="Y870" s="58"/>
    </row>
    <row r="871">
      <c r="A871" s="58"/>
      <c r="B871" s="58"/>
      <c r="C871" s="58"/>
      <c r="D871" s="58"/>
      <c r="E871" s="58"/>
      <c r="F871" s="58"/>
      <c r="G871" s="58"/>
      <c r="H871" s="58"/>
      <c r="I871" s="58"/>
      <c r="J871" s="58"/>
      <c r="K871" s="58"/>
      <c r="L871" s="58"/>
      <c r="M871" s="58"/>
      <c r="N871" s="58"/>
      <c r="O871" s="58"/>
      <c r="P871" s="58"/>
      <c r="Q871" s="58"/>
      <c r="R871" s="58"/>
      <c r="S871" s="58"/>
      <c r="T871" s="58"/>
      <c r="U871" s="58"/>
      <c r="V871" s="58"/>
      <c r="W871" s="58"/>
      <c r="X871" s="58"/>
      <c r="Y871" s="58"/>
    </row>
    <row r="872">
      <c r="A872" s="58"/>
      <c r="B872" s="58"/>
      <c r="C872" s="58"/>
      <c r="D872" s="58"/>
      <c r="E872" s="58"/>
      <c r="F872" s="58"/>
      <c r="G872" s="58"/>
      <c r="H872" s="58"/>
      <c r="I872" s="58"/>
      <c r="J872" s="58"/>
      <c r="K872" s="58"/>
      <c r="L872" s="58"/>
      <c r="M872" s="58"/>
      <c r="N872" s="58"/>
      <c r="O872" s="58"/>
      <c r="P872" s="58"/>
      <c r="Q872" s="58"/>
      <c r="R872" s="58"/>
      <c r="S872" s="58"/>
      <c r="T872" s="58"/>
      <c r="U872" s="58"/>
      <c r="V872" s="58"/>
      <c r="W872" s="58"/>
      <c r="X872" s="58"/>
      <c r="Y872" s="58"/>
    </row>
    <row r="873">
      <c r="A873" s="58"/>
      <c r="B873" s="58"/>
      <c r="C873" s="58"/>
      <c r="D873" s="58"/>
      <c r="E873" s="58"/>
      <c r="F873" s="58"/>
      <c r="G873" s="58"/>
      <c r="H873" s="58"/>
      <c r="I873" s="58"/>
      <c r="J873" s="58"/>
      <c r="K873" s="58"/>
      <c r="L873" s="58"/>
      <c r="M873" s="58"/>
      <c r="N873" s="58"/>
      <c r="O873" s="58"/>
      <c r="P873" s="58"/>
      <c r="Q873" s="58"/>
      <c r="R873" s="58"/>
      <c r="S873" s="58"/>
      <c r="T873" s="58"/>
      <c r="U873" s="58"/>
      <c r="V873" s="58"/>
      <c r="W873" s="58"/>
      <c r="X873" s="58"/>
      <c r="Y873" s="58"/>
    </row>
    <row r="874">
      <c r="A874" s="58"/>
      <c r="B874" s="58"/>
      <c r="C874" s="58"/>
      <c r="D874" s="58"/>
      <c r="E874" s="58"/>
      <c r="F874" s="58"/>
      <c r="G874" s="58"/>
      <c r="H874" s="58"/>
      <c r="I874" s="58"/>
      <c r="J874" s="58"/>
      <c r="K874" s="58"/>
      <c r="L874" s="58"/>
      <c r="M874" s="58"/>
      <c r="N874" s="58"/>
      <c r="O874" s="58"/>
      <c r="P874" s="58"/>
      <c r="Q874" s="58"/>
      <c r="R874" s="58"/>
      <c r="S874" s="58"/>
      <c r="T874" s="58"/>
      <c r="U874" s="58"/>
      <c r="V874" s="58"/>
      <c r="W874" s="58"/>
      <c r="X874" s="58"/>
      <c r="Y874" s="58"/>
    </row>
    <row r="875">
      <c r="A875" s="58"/>
      <c r="B875" s="58"/>
      <c r="C875" s="58"/>
      <c r="D875" s="58"/>
      <c r="E875" s="58"/>
      <c r="F875" s="58"/>
      <c r="G875" s="58"/>
      <c r="H875" s="58"/>
      <c r="I875" s="58"/>
      <c r="J875" s="58"/>
      <c r="K875" s="58"/>
      <c r="L875" s="58"/>
      <c r="M875" s="58"/>
      <c r="N875" s="58"/>
      <c r="O875" s="58"/>
      <c r="P875" s="58"/>
      <c r="Q875" s="58"/>
      <c r="R875" s="58"/>
      <c r="S875" s="58"/>
      <c r="T875" s="58"/>
      <c r="U875" s="58"/>
      <c r="V875" s="58"/>
      <c r="W875" s="58"/>
      <c r="X875" s="58"/>
      <c r="Y875" s="58"/>
    </row>
    <row r="876">
      <c r="A876" s="58"/>
      <c r="B876" s="58"/>
      <c r="C876" s="58"/>
      <c r="D876" s="58"/>
      <c r="E876" s="58"/>
      <c r="F876" s="58"/>
      <c r="G876" s="58"/>
      <c r="H876" s="58"/>
      <c r="I876" s="58"/>
      <c r="J876" s="58"/>
      <c r="K876" s="58"/>
      <c r="L876" s="58"/>
      <c r="M876" s="58"/>
      <c r="N876" s="58"/>
      <c r="O876" s="58"/>
      <c r="P876" s="58"/>
      <c r="Q876" s="58"/>
      <c r="R876" s="58"/>
      <c r="S876" s="58"/>
      <c r="T876" s="58"/>
      <c r="U876" s="58"/>
      <c r="V876" s="58"/>
      <c r="W876" s="58"/>
      <c r="X876" s="58"/>
      <c r="Y876" s="58"/>
    </row>
    <row r="877">
      <c r="A877" s="58"/>
      <c r="B877" s="58"/>
      <c r="C877" s="58"/>
      <c r="D877" s="58"/>
      <c r="E877" s="58"/>
      <c r="F877" s="58"/>
      <c r="G877" s="58"/>
      <c r="H877" s="58"/>
      <c r="I877" s="58"/>
      <c r="J877" s="58"/>
      <c r="K877" s="58"/>
      <c r="L877" s="58"/>
      <c r="M877" s="58"/>
      <c r="N877" s="58"/>
      <c r="O877" s="58"/>
      <c r="P877" s="58"/>
      <c r="Q877" s="58"/>
      <c r="R877" s="58"/>
      <c r="S877" s="58"/>
      <c r="T877" s="58"/>
      <c r="U877" s="58"/>
      <c r="V877" s="58"/>
      <c r="W877" s="58"/>
      <c r="X877" s="58"/>
      <c r="Y877" s="58"/>
    </row>
    <row r="878">
      <c r="A878" s="58"/>
      <c r="B878" s="58"/>
      <c r="C878" s="58"/>
      <c r="D878" s="58"/>
      <c r="E878" s="58"/>
      <c r="F878" s="58"/>
      <c r="G878" s="58"/>
      <c r="H878" s="58"/>
      <c r="I878" s="58"/>
      <c r="J878" s="58"/>
      <c r="K878" s="58"/>
      <c r="L878" s="58"/>
      <c r="M878" s="58"/>
      <c r="N878" s="58"/>
      <c r="O878" s="58"/>
      <c r="P878" s="58"/>
      <c r="Q878" s="58"/>
      <c r="R878" s="58"/>
      <c r="S878" s="58"/>
      <c r="T878" s="58"/>
      <c r="U878" s="58"/>
      <c r="V878" s="58"/>
      <c r="W878" s="58"/>
      <c r="X878" s="58"/>
      <c r="Y878" s="58"/>
    </row>
    <row r="879">
      <c r="A879" s="58"/>
      <c r="B879" s="58"/>
      <c r="C879" s="58"/>
      <c r="D879" s="58"/>
      <c r="E879" s="58"/>
      <c r="F879" s="58"/>
      <c r="G879" s="58"/>
      <c r="H879" s="58"/>
      <c r="I879" s="58"/>
      <c r="J879" s="58"/>
      <c r="K879" s="58"/>
      <c r="L879" s="58"/>
      <c r="M879" s="58"/>
      <c r="N879" s="58"/>
      <c r="O879" s="58"/>
      <c r="P879" s="58"/>
      <c r="Q879" s="58"/>
      <c r="R879" s="58"/>
      <c r="S879" s="58"/>
      <c r="T879" s="58"/>
      <c r="U879" s="58"/>
      <c r="V879" s="58"/>
      <c r="W879" s="58"/>
      <c r="X879" s="58"/>
      <c r="Y879" s="58"/>
    </row>
    <row r="880">
      <c r="A880" s="58"/>
      <c r="B880" s="58"/>
      <c r="C880" s="58"/>
      <c r="D880" s="58"/>
      <c r="E880" s="58"/>
      <c r="F880" s="58"/>
      <c r="G880" s="58"/>
      <c r="H880" s="58"/>
      <c r="I880" s="58"/>
      <c r="J880" s="58"/>
      <c r="K880" s="58"/>
      <c r="L880" s="58"/>
      <c r="M880" s="58"/>
      <c r="N880" s="58"/>
      <c r="O880" s="58"/>
      <c r="P880" s="58"/>
      <c r="Q880" s="58"/>
      <c r="R880" s="58"/>
      <c r="S880" s="58"/>
      <c r="T880" s="58"/>
      <c r="U880" s="58"/>
      <c r="V880" s="58"/>
      <c r="W880" s="58"/>
      <c r="X880" s="58"/>
      <c r="Y880" s="58"/>
    </row>
    <row r="881">
      <c r="A881" s="58"/>
      <c r="B881" s="58"/>
      <c r="C881" s="58"/>
      <c r="D881" s="58"/>
      <c r="E881" s="58"/>
      <c r="F881" s="58"/>
      <c r="G881" s="58"/>
      <c r="H881" s="58"/>
      <c r="I881" s="58"/>
      <c r="J881" s="58"/>
      <c r="K881" s="58"/>
      <c r="L881" s="58"/>
      <c r="M881" s="58"/>
      <c r="N881" s="58"/>
      <c r="O881" s="58"/>
      <c r="P881" s="58"/>
      <c r="Q881" s="58"/>
      <c r="R881" s="58"/>
      <c r="S881" s="58"/>
      <c r="T881" s="58"/>
      <c r="U881" s="58"/>
      <c r="V881" s="58"/>
      <c r="W881" s="58"/>
      <c r="X881" s="58"/>
      <c r="Y881" s="58"/>
    </row>
    <row r="882">
      <c r="A882" s="58"/>
      <c r="B882" s="58"/>
      <c r="C882" s="58"/>
      <c r="D882" s="58"/>
      <c r="E882" s="58"/>
      <c r="F882" s="58"/>
      <c r="G882" s="58"/>
      <c r="H882" s="58"/>
      <c r="I882" s="58"/>
      <c r="J882" s="58"/>
      <c r="K882" s="58"/>
      <c r="L882" s="58"/>
      <c r="M882" s="58"/>
      <c r="N882" s="58"/>
      <c r="O882" s="58"/>
      <c r="P882" s="58"/>
      <c r="Q882" s="58"/>
      <c r="R882" s="58"/>
      <c r="S882" s="58"/>
      <c r="T882" s="58"/>
      <c r="U882" s="58"/>
      <c r="V882" s="58"/>
      <c r="W882" s="58"/>
      <c r="X882" s="58"/>
      <c r="Y882" s="58"/>
    </row>
    <row r="883">
      <c r="A883" s="58"/>
      <c r="B883" s="58"/>
      <c r="C883" s="58"/>
      <c r="D883" s="58"/>
      <c r="E883" s="58"/>
      <c r="F883" s="58"/>
      <c r="G883" s="58"/>
      <c r="H883" s="58"/>
      <c r="I883" s="58"/>
      <c r="J883" s="58"/>
      <c r="K883" s="58"/>
      <c r="L883" s="58"/>
      <c r="M883" s="58"/>
      <c r="N883" s="58"/>
      <c r="O883" s="58"/>
      <c r="P883" s="58"/>
      <c r="Q883" s="58"/>
      <c r="R883" s="58"/>
      <c r="S883" s="58"/>
      <c r="T883" s="58"/>
      <c r="U883" s="58"/>
      <c r="V883" s="58"/>
      <c r="W883" s="58"/>
      <c r="X883" s="58"/>
      <c r="Y883" s="58"/>
    </row>
    <row r="884">
      <c r="A884" s="58"/>
      <c r="B884" s="58"/>
      <c r="C884" s="58"/>
      <c r="D884" s="58"/>
      <c r="E884" s="58"/>
      <c r="F884" s="58"/>
      <c r="G884" s="58"/>
      <c r="H884" s="58"/>
      <c r="I884" s="58"/>
      <c r="J884" s="58"/>
      <c r="K884" s="58"/>
      <c r="L884" s="58"/>
      <c r="M884" s="58"/>
      <c r="N884" s="58"/>
      <c r="O884" s="58"/>
      <c r="P884" s="58"/>
      <c r="Q884" s="58"/>
      <c r="R884" s="58"/>
      <c r="S884" s="58"/>
      <c r="T884" s="58"/>
      <c r="U884" s="58"/>
      <c r="V884" s="58"/>
      <c r="W884" s="58"/>
      <c r="X884" s="58"/>
      <c r="Y884" s="58"/>
    </row>
    <row r="885">
      <c r="A885" s="58"/>
      <c r="B885" s="58"/>
      <c r="C885" s="58"/>
      <c r="D885" s="58"/>
      <c r="E885" s="58"/>
      <c r="F885" s="58"/>
      <c r="G885" s="58"/>
      <c r="H885" s="58"/>
      <c r="I885" s="58"/>
      <c r="J885" s="58"/>
      <c r="K885" s="58"/>
      <c r="L885" s="58"/>
      <c r="M885" s="58"/>
      <c r="N885" s="58"/>
      <c r="O885" s="58"/>
      <c r="P885" s="58"/>
      <c r="Q885" s="58"/>
      <c r="R885" s="58"/>
      <c r="S885" s="58"/>
      <c r="T885" s="58"/>
      <c r="U885" s="58"/>
      <c r="V885" s="58"/>
      <c r="W885" s="58"/>
      <c r="X885" s="58"/>
      <c r="Y885" s="58"/>
    </row>
    <row r="886">
      <c r="A886" s="58"/>
      <c r="B886" s="58"/>
      <c r="C886" s="58"/>
      <c r="D886" s="58"/>
      <c r="E886" s="58"/>
      <c r="F886" s="58"/>
      <c r="G886" s="58"/>
      <c r="H886" s="58"/>
      <c r="I886" s="58"/>
      <c r="J886" s="58"/>
      <c r="K886" s="58"/>
      <c r="L886" s="58"/>
      <c r="M886" s="58"/>
      <c r="N886" s="58"/>
      <c r="O886" s="58"/>
      <c r="P886" s="58"/>
      <c r="Q886" s="58"/>
      <c r="R886" s="58"/>
      <c r="S886" s="58"/>
      <c r="T886" s="58"/>
      <c r="U886" s="58"/>
      <c r="V886" s="58"/>
      <c r="W886" s="58"/>
      <c r="X886" s="58"/>
      <c r="Y886" s="58"/>
    </row>
    <row r="887">
      <c r="A887" s="58"/>
      <c r="B887" s="58"/>
      <c r="C887" s="58"/>
      <c r="D887" s="58"/>
      <c r="E887" s="58"/>
      <c r="F887" s="58"/>
      <c r="G887" s="58"/>
      <c r="H887" s="58"/>
      <c r="I887" s="58"/>
      <c r="J887" s="58"/>
      <c r="K887" s="58"/>
      <c r="L887" s="58"/>
      <c r="M887" s="58"/>
      <c r="N887" s="58"/>
      <c r="O887" s="58"/>
      <c r="P887" s="58"/>
      <c r="Q887" s="58"/>
      <c r="R887" s="58"/>
      <c r="S887" s="58"/>
      <c r="T887" s="58"/>
      <c r="U887" s="58"/>
      <c r="V887" s="58"/>
      <c r="W887" s="58"/>
      <c r="X887" s="58"/>
      <c r="Y887" s="58"/>
    </row>
    <row r="888">
      <c r="A888" s="58"/>
      <c r="B888" s="58"/>
      <c r="C888" s="58"/>
      <c r="D888" s="58"/>
      <c r="E888" s="58"/>
      <c r="F888" s="58"/>
      <c r="G888" s="58"/>
      <c r="H888" s="58"/>
      <c r="I888" s="58"/>
      <c r="J888" s="58"/>
      <c r="K888" s="58"/>
      <c r="L888" s="58"/>
      <c r="M888" s="58"/>
      <c r="N888" s="58"/>
      <c r="O888" s="58"/>
      <c r="P888" s="58"/>
      <c r="Q888" s="58"/>
      <c r="R888" s="58"/>
      <c r="S888" s="58"/>
      <c r="T888" s="58"/>
      <c r="U888" s="58"/>
      <c r="V888" s="58"/>
      <c r="W888" s="58"/>
      <c r="X888" s="58"/>
      <c r="Y888" s="58"/>
    </row>
    <row r="889">
      <c r="A889" s="58"/>
      <c r="B889" s="58"/>
      <c r="C889" s="58"/>
      <c r="D889" s="58"/>
      <c r="E889" s="58"/>
      <c r="F889" s="58"/>
      <c r="G889" s="58"/>
      <c r="H889" s="58"/>
      <c r="I889" s="58"/>
      <c r="J889" s="58"/>
      <c r="K889" s="58"/>
      <c r="L889" s="58"/>
      <c r="M889" s="58"/>
      <c r="N889" s="58"/>
      <c r="O889" s="58"/>
      <c r="P889" s="58"/>
      <c r="Q889" s="58"/>
      <c r="R889" s="58"/>
      <c r="S889" s="58"/>
      <c r="T889" s="58"/>
      <c r="U889" s="58"/>
      <c r="V889" s="58"/>
      <c r="W889" s="58"/>
      <c r="X889" s="58"/>
      <c r="Y889" s="58"/>
    </row>
    <row r="890">
      <c r="A890" s="58"/>
      <c r="B890" s="58"/>
      <c r="C890" s="58"/>
      <c r="D890" s="58"/>
      <c r="E890" s="58"/>
      <c r="F890" s="58"/>
      <c r="G890" s="58"/>
      <c r="H890" s="58"/>
      <c r="I890" s="58"/>
      <c r="J890" s="58"/>
      <c r="K890" s="58"/>
      <c r="L890" s="58"/>
      <c r="M890" s="58"/>
      <c r="N890" s="58"/>
      <c r="O890" s="58"/>
      <c r="P890" s="58"/>
      <c r="Q890" s="58"/>
      <c r="R890" s="58"/>
      <c r="S890" s="58"/>
      <c r="T890" s="58"/>
      <c r="U890" s="58"/>
      <c r="V890" s="58"/>
      <c r="W890" s="58"/>
      <c r="X890" s="58"/>
      <c r="Y890" s="58"/>
    </row>
    <row r="891">
      <c r="A891" s="58"/>
      <c r="B891" s="58"/>
      <c r="C891" s="58"/>
      <c r="D891" s="58"/>
      <c r="E891" s="58"/>
      <c r="F891" s="58"/>
      <c r="G891" s="58"/>
      <c r="H891" s="58"/>
      <c r="I891" s="58"/>
      <c r="J891" s="58"/>
      <c r="K891" s="58"/>
      <c r="L891" s="58"/>
      <c r="M891" s="58"/>
      <c r="N891" s="58"/>
      <c r="O891" s="58"/>
      <c r="P891" s="58"/>
      <c r="Q891" s="58"/>
      <c r="R891" s="58"/>
      <c r="S891" s="58"/>
      <c r="T891" s="58"/>
      <c r="U891" s="58"/>
      <c r="V891" s="58"/>
      <c r="W891" s="58"/>
      <c r="X891" s="58"/>
      <c r="Y891" s="58"/>
    </row>
    <row r="892">
      <c r="A892" s="58"/>
      <c r="B892" s="58"/>
      <c r="C892" s="58"/>
      <c r="D892" s="58"/>
      <c r="E892" s="58"/>
      <c r="F892" s="58"/>
      <c r="G892" s="58"/>
      <c r="H892" s="58"/>
      <c r="I892" s="58"/>
      <c r="J892" s="58"/>
      <c r="K892" s="58"/>
      <c r="L892" s="58"/>
      <c r="M892" s="58"/>
      <c r="N892" s="58"/>
      <c r="O892" s="58"/>
      <c r="P892" s="58"/>
      <c r="Q892" s="58"/>
      <c r="R892" s="58"/>
      <c r="S892" s="58"/>
      <c r="T892" s="58"/>
      <c r="U892" s="58"/>
      <c r="V892" s="58"/>
      <c r="W892" s="58"/>
      <c r="X892" s="58"/>
      <c r="Y892" s="58"/>
    </row>
    <row r="893">
      <c r="A893" s="58"/>
      <c r="B893" s="58"/>
      <c r="C893" s="58"/>
      <c r="D893" s="58"/>
      <c r="E893" s="58"/>
      <c r="F893" s="58"/>
      <c r="G893" s="58"/>
      <c r="H893" s="58"/>
      <c r="I893" s="58"/>
      <c r="J893" s="58"/>
      <c r="K893" s="58"/>
      <c r="L893" s="58"/>
      <c r="M893" s="58"/>
      <c r="N893" s="58"/>
      <c r="O893" s="58"/>
      <c r="P893" s="58"/>
      <c r="Q893" s="58"/>
      <c r="R893" s="58"/>
      <c r="S893" s="58"/>
      <c r="T893" s="58"/>
      <c r="U893" s="58"/>
      <c r="V893" s="58"/>
      <c r="W893" s="58"/>
      <c r="X893" s="58"/>
      <c r="Y893" s="58"/>
    </row>
    <row r="894">
      <c r="A894" s="58"/>
      <c r="B894" s="58"/>
      <c r="C894" s="58"/>
      <c r="D894" s="58"/>
      <c r="E894" s="58"/>
      <c r="F894" s="58"/>
      <c r="G894" s="58"/>
      <c r="H894" s="58"/>
      <c r="I894" s="58"/>
      <c r="J894" s="58"/>
      <c r="K894" s="58"/>
      <c r="L894" s="58"/>
      <c r="M894" s="58"/>
      <c r="N894" s="58"/>
      <c r="O894" s="58"/>
      <c r="P894" s="58"/>
      <c r="Q894" s="58"/>
      <c r="R894" s="58"/>
      <c r="S894" s="58"/>
      <c r="T894" s="58"/>
      <c r="U894" s="58"/>
      <c r="V894" s="58"/>
      <c r="W894" s="58"/>
      <c r="X894" s="58"/>
      <c r="Y894" s="58"/>
    </row>
    <row r="895">
      <c r="A895" s="58"/>
      <c r="B895" s="58"/>
      <c r="C895" s="58"/>
      <c r="D895" s="58"/>
      <c r="E895" s="58"/>
      <c r="F895" s="58"/>
      <c r="G895" s="58"/>
      <c r="H895" s="58"/>
      <c r="I895" s="58"/>
      <c r="J895" s="58"/>
      <c r="K895" s="58"/>
      <c r="L895" s="58"/>
      <c r="M895" s="58"/>
      <c r="N895" s="58"/>
      <c r="O895" s="58"/>
      <c r="P895" s="58"/>
      <c r="Q895" s="58"/>
      <c r="R895" s="58"/>
      <c r="S895" s="58"/>
      <c r="T895" s="58"/>
      <c r="U895" s="58"/>
      <c r="V895" s="58"/>
      <c r="W895" s="58"/>
      <c r="X895" s="58"/>
      <c r="Y895" s="58"/>
    </row>
    <row r="896">
      <c r="A896" s="58"/>
      <c r="B896" s="58"/>
      <c r="C896" s="58"/>
      <c r="D896" s="58"/>
      <c r="E896" s="58"/>
      <c r="F896" s="58"/>
      <c r="G896" s="58"/>
      <c r="H896" s="58"/>
      <c r="I896" s="58"/>
      <c r="J896" s="58"/>
      <c r="K896" s="58"/>
      <c r="L896" s="58"/>
      <c r="M896" s="58"/>
      <c r="N896" s="58"/>
      <c r="O896" s="58"/>
      <c r="P896" s="58"/>
      <c r="Q896" s="58"/>
      <c r="R896" s="58"/>
      <c r="S896" s="58"/>
      <c r="T896" s="58"/>
      <c r="U896" s="58"/>
      <c r="V896" s="58"/>
      <c r="W896" s="58"/>
      <c r="X896" s="58"/>
      <c r="Y896" s="58"/>
    </row>
    <row r="897">
      <c r="A897" s="58"/>
      <c r="B897" s="58"/>
      <c r="C897" s="58"/>
      <c r="D897" s="58"/>
      <c r="E897" s="58"/>
      <c r="F897" s="58"/>
      <c r="G897" s="58"/>
      <c r="H897" s="58"/>
      <c r="I897" s="58"/>
      <c r="J897" s="58"/>
      <c r="K897" s="58"/>
      <c r="L897" s="58"/>
      <c r="M897" s="58"/>
      <c r="N897" s="58"/>
      <c r="O897" s="58"/>
      <c r="P897" s="58"/>
      <c r="Q897" s="58"/>
      <c r="R897" s="58"/>
      <c r="S897" s="58"/>
      <c r="T897" s="58"/>
      <c r="U897" s="58"/>
      <c r="V897" s="58"/>
      <c r="W897" s="58"/>
      <c r="X897" s="58"/>
      <c r="Y897" s="58"/>
    </row>
    <row r="898">
      <c r="A898" s="58"/>
      <c r="B898" s="58"/>
      <c r="C898" s="58"/>
      <c r="D898" s="58"/>
      <c r="E898" s="58"/>
      <c r="F898" s="58"/>
      <c r="G898" s="58"/>
      <c r="H898" s="58"/>
      <c r="I898" s="58"/>
      <c r="J898" s="58"/>
      <c r="K898" s="58"/>
      <c r="L898" s="58"/>
      <c r="M898" s="58"/>
      <c r="N898" s="58"/>
      <c r="O898" s="58"/>
      <c r="P898" s="58"/>
      <c r="Q898" s="58"/>
      <c r="R898" s="58"/>
      <c r="S898" s="58"/>
      <c r="T898" s="58"/>
      <c r="U898" s="58"/>
      <c r="V898" s="58"/>
      <c r="W898" s="58"/>
      <c r="X898" s="58"/>
      <c r="Y898" s="58"/>
    </row>
    <row r="899">
      <c r="A899" s="58"/>
      <c r="B899" s="58"/>
      <c r="C899" s="58"/>
      <c r="D899" s="58"/>
      <c r="E899" s="58"/>
      <c r="F899" s="58"/>
      <c r="G899" s="58"/>
      <c r="H899" s="58"/>
      <c r="I899" s="58"/>
      <c r="J899" s="58"/>
      <c r="K899" s="58"/>
      <c r="L899" s="58"/>
      <c r="M899" s="58"/>
      <c r="N899" s="58"/>
      <c r="O899" s="58"/>
      <c r="P899" s="58"/>
      <c r="Q899" s="58"/>
      <c r="R899" s="58"/>
      <c r="S899" s="58"/>
      <c r="T899" s="58"/>
      <c r="U899" s="58"/>
      <c r="V899" s="58"/>
      <c r="W899" s="58"/>
      <c r="X899" s="58"/>
      <c r="Y899" s="58"/>
    </row>
    <row r="900">
      <c r="A900" s="58"/>
      <c r="B900" s="58"/>
      <c r="C900" s="58"/>
      <c r="D900" s="58"/>
      <c r="E900" s="58"/>
      <c r="F900" s="58"/>
      <c r="G900" s="58"/>
      <c r="H900" s="58"/>
      <c r="I900" s="58"/>
      <c r="J900" s="58"/>
      <c r="K900" s="58"/>
      <c r="L900" s="58"/>
      <c r="M900" s="58"/>
      <c r="N900" s="58"/>
      <c r="O900" s="58"/>
      <c r="P900" s="58"/>
      <c r="Q900" s="58"/>
      <c r="R900" s="58"/>
      <c r="S900" s="58"/>
      <c r="T900" s="58"/>
      <c r="U900" s="58"/>
      <c r="V900" s="58"/>
      <c r="W900" s="58"/>
      <c r="X900" s="58"/>
      <c r="Y900" s="58"/>
    </row>
    <row r="901">
      <c r="A901" s="58"/>
      <c r="B901" s="58"/>
      <c r="C901" s="58"/>
      <c r="D901" s="58"/>
      <c r="E901" s="58"/>
      <c r="F901" s="58"/>
      <c r="G901" s="58"/>
      <c r="H901" s="58"/>
      <c r="I901" s="58"/>
      <c r="J901" s="58"/>
      <c r="K901" s="58"/>
      <c r="L901" s="58"/>
      <c r="M901" s="58"/>
      <c r="N901" s="58"/>
      <c r="O901" s="58"/>
      <c r="P901" s="58"/>
      <c r="Q901" s="58"/>
      <c r="R901" s="58"/>
      <c r="S901" s="58"/>
      <c r="T901" s="58"/>
      <c r="U901" s="58"/>
      <c r="V901" s="58"/>
      <c r="W901" s="58"/>
      <c r="X901" s="58"/>
      <c r="Y901" s="58"/>
    </row>
    <row r="902">
      <c r="A902" s="58"/>
      <c r="B902" s="58"/>
      <c r="C902" s="58"/>
      <c r="D902" s="58"/>
      <c r="E902" s="58"/>
      <c r="F902" s="58"/>
      <c r="G902" s="58"/>
      <c r="H902" s="58"/>
      <c r="I902" s="58"/>
      <c r="J902" s="58"/>
      <c r="K902" s="58"/>
      <c r="L902" s="58"/>
      <c r="M902" s="58"/>
      <c r="N902" s="58"/>
      <c r="O902" s="58"/>
      <c r="P902" s="58"/>
      <c r="Q902" s="58"/>
      <c r="R902" s="58"/>
      <c r="S902" s="58"/>
      <c r="T902" s="58"/>
      <c r="U902" s="58"/>
      <c r="V902" s="58"/>
      <c r="W902" s="58"/>
      <c r="X902" s="58"/>
      <c r="Y902" s="58"/>
    </row>
    <row r="903">
      <c r="A903" s="58"/>
      <c r="B903" s="58"/>
      <c r="C903" s="58"/>
      <c r="D903" s="58"/>
      <c r="E903" s="58"/>
      <c r="F903" s="58"/>
      <c r="G903" s="58"/>
      <c r="H903" s="58"/>
      <c r="I903" s="58"/>
      <c r="J903" s="58"/>
      <c r="K903" s="58"/>
      <c r="L903" s="58"/>
      <c r="M903" s="58"/>
      <c r="N903" s="58"/>
      <c r="O903" s="58"/>
      <c r="P903" s="58"/>
      <c r="Q903" s="58"/>
      <c r="R903" s="58"/>
      <c r="S903" s="58"/>
      <c r="T903" s="58"/>
      <c r="U903" s="58"/>
      <c r="V903" s="58"/>
      <c r="W903" s="58"/>
      <c r="X903" s="58"/>
      <c r="Y903" s="58"/>
    </row>
    <row r="904">
      <c r="A904" s="58"/>
      <c r="B904" s="58"/>
      <c r="C904" s="58"/>
      <c r="D904" s="58"/>
      <c r="E904" s="58"/>
      <c r="F904" s="58"/>
      <c r="G904" s="58"/>
      <c r="H904" s="58"/>
      <c r="I904" s="58"/>
      <c r="J904" s="58"/>
      <c r="K904" s="58"/>
      <c r="L904" s="58"/>
      <c r="M904" s="58"/>
      <c r="N904" s="58"/>
      <c r="O904" s="58"/>
      <c r="P904" s="58"/>
      <c r="Q904" s="58"/>
      <c r="R904" s="58"/>
      <c r="S904" s="58"/>
      <c r="T904" s="58"/>
      <c r="U904" s="58"/>
      <c r="V904" s="58"/>
      <c r="W904" s="58"/>
      <c r="X904" s="58"/>
      <c r="Y904" s="58"/>
    </row>
    <row r="905">
      <c r="A905" s="58"/>
      <c r="B905" s="58"/>
      <c r="C905" s="58"/>
      <c r="D905" s="58"/>
      <c r="E905" s="58"/>
      <c r="F905" s="58"/>
      <c r="G905" s="58"/>
      <c r="H905" s="58"/>
      <c r="I905" s="58"/>
      <c r="J905" s="58"/>
      <c r="K905" s="58"/>
      <c r="L905" s="58"/>
      <c r="M905" s="58"/>
      <c r="N905" s="58"/>
      <c r="O905" s="58"/>
      <c r="P905" s="58"/>
      <c r="Q905" s="58"/>
      <c r="R905" s="58"/>
      <c r="S905" s="58"/>
      <c r="T905" s="58"/>
      <c r="U905" s="58"/>
      <c r="V905" s="58"/>
      <c r="W905" s="58"/>
      <c r="X905" s="58"/>
      <c r="Y905" s="58"/>
    </row>
    <row r="906">
      <c r="A906" s="58"/>
      <c r="B906" s="58"/>
      <c r="C906" s="58"/>
      <c r="D906" s="58"/>
      <c r="E906" s="58"/>
      <c r="F906" s="58"/>
      <c r="G906" s="58"/>
      <c r="H906" s="58"/>
      <c r="I906" s="58"/>
      <c r="J906" s="58"/>
      <c r="K906" s="58"/>
      <c r="L906" s="58"/>
      <c r="M906" s="58"/>
      <c r="N906" s="58"/>
      <c r="O906" s="58"/>
      <c r="P906" s="58"/>
      <c r="Q906" s="58"/>
      <c r="R906" s="58"/>
      <c r="S906" s="58"/>
      <c r="T906" s="58"/>
      <c r="U906" s="58"/>
      <c r="V906" s="58"/>
      <c r="W906" s="58"/>
      <c r="X906" s="58"/>
      <c r="Y906" s="58"/>
    </row>
    <row r="907">
      <c r="A907" s="58"/>
      <c r="B907" s="58"/>
      <c r="C907" s="58"/>
      <c r="D907" s="58"/>
      <c r="E907" s="58"/>
      <c r="F907" s="58"/>
      <c r="G907" s="58"/>
      <c r="H907" s="58"/>
      <c r="I907" s="58"/>
      <c r="J907" s="58"/>
      <c r="K907" s="58"/>
      <c r="L907" s="58"/>
      <c r="M907" s="58"/>
      <c r="N907" s="58"/>
      <c r="O907" s="58"/>
      <c r="P907" s="58"/>
      <c r="Q907" s="58"/>
      <c r="R907" s="58"/>
      <c r="S907" s="58"/>
      <c r="T907" s="58"/>
      <c r="U907" s="58"/>
      <c r="V907" s="58"/>
      <c r="W907" s="58"/>
      <c r="X907" s="58"/>
      <c r="Y907" s="58"/>
    </row>
    <row r="908">
      <c r="A908" s="58"/>
      <c r="B908" s="58"/>
      <c r="C908" s="58"/>
      <c r="D908" s="58"/>
      <c r="E908" s="58"/>
      <c r="F908" s="58"/>
      <c r="G908" s="58"/>
      <c r="H908" s="58"/>
      <c r="I908" s="58"/>
      <c r="J908" s="58"/>
      <c r="K908" s="58"/>
      <c r="L908" s="58"/>
      <c r="M908" s="58"/>
      <c r="N908" s="58"/>
      <c r="O908" s="58"/>
      <c r="P908" s="58"/>
      <c r="Q908" s="58"/>
      <c r="R908" s="58"/>
      <c r="S908" s="58"/>
      <c r="T908" s="58"/>
      <c r="U908" s="58"/>
      <c r="V908" s="58"/>
      <c r="W908" s="58"/>
      <c r="X908" s="58"/>
      <c r="Y908" s="58"/>
    </row>
    <row r="909">
      <c r="A909" s="58"/>
      <c r="B909" s="58"/>
      <c r="C909" s="58"/>
      <c r="D909" s="58"/>
      <c r="E909" s="58"/>
      <c r="F909" s="58"/>
      <c r="G909" s="58"/>
      <c r="H909" s="58"/>
      <c r="I909" s="58"/>
      <c r="J909" s="58"/>
      <c r="K909" s="58"/>
      <c r="L909" s="58"/>
      <c r="M909" s="58"/>
      <c r="N909" s="58"/>
      <c r="O909" s="58"/>
      <c r="P909" s="58"/>
      <c r="Q909" s="58"/>
      <c r="R909" s="58"/>
      <c r="S909" s="58"/>
      <c r="T909" s="58"/>
      <c r="U909" s="58"/>
      <c r="V909" s="58"/>
      <c r="W909" s="58"/>
      <c r="X909" s="58"/>
      <c r="Y909" s="58"/>
    </row>
    <row r="910">
      <c r="A910" s="58"/>
      <c r="B910" s="58"/>
      <c r="C910" s="58"/>
      <c r="D910" s="58"/>
      <c r="E910" s="58"/>
      <c r="F910" s="58"/>
      <c r="G910" s="58"/>
      <c r="H910" s="58"/>
      <c r="I910" s="58"/>
      <c r="J910" s="58"/>
      <c r="K910" s="58"/>
      <c r="L910" s="58"/>
      <c r="M910" s="58"/>
      <c r="N910" s="58"/>
      <c r="O910" s="58"/>
      <c r="P910" s="58"/>
      <c r="Q910" s="58"/>
      <c r="R910" s="58"/>
      <c r="S910" s="58"/>
      <c r="T910" s="58"/>
      <c r="U910" s="58"/>
      <c r="V910" s="58"/>
      <c r="W910" s="58"/>
      <c r="X910" s="58"/>
      <c r="Y910" s="58"/>
    </row>
    <row r="911">
      <c r="A911" s="58"/>
      <c r="B911" s="58"/>
      <c r="C911" s="58"/>
      <c r="D911" s="58"/>
      <c r="E911" s="58"/>
      <c r="F911" s="58"/>
      <c r="G911" s="58"/>
      <c r="H911" s="58"/>
      <c r="I911" s="58"/>
      <c r="J911" s="58"/>
      <c r="K911" s="58"/>
      <c r="L911" s="58"/>
      <c r="M911" s="58"/>
      <c r="N911" s="58"/>
      <c r="O911" s="58"/>
      <c r="P911" s="58"/>
      <c r="Q911" s="58"/>
      <c r="R911" s="58"/>
      <c r="S911" s="58"/>
      <c r="T911" s="58"/>
      <c r="U911" s="58"/>
      <c r="V911" s="58"/>
      <c r="W911" s="58"/>
      <c r="X911" s="58"/>
      <c r="Y911" s="58"/>
    </row>
    <row r="912">
      <c r="A912" s="58"/>
      <c r="B912" s="58"/>
      <c r="C912" s="58"/>
      <c r="D912" s="58"/>
      <c r="E912" s="58"/>
      <c r="F912" s="58"/>
      <c r="G912" s="58"/>
      <c r="H912" s="58"/>
      <c r="I912" s="58"/>
      <c r="J912" s="58"/>
      <c r="K912" s="58"/>
      <c r="L912" s="58"/>
      <c r="M912" s="58"/>
      <c r="N912" s="58"/>
      <c r="O912" s="58"/>
      <c r="P912" s="58"/>
      <c r="Q912" s="58"/>
      <c r="R912" s="58"/>
      <c r="S912" s="58"/>
      <c r="T912" s="58"/>
      <c r="U912" s="58"/>
      <c r="V912" s="58"/>
      <c r="W912" s="58"/>
      <c r="X912" s="58"/>
      <c r="Y912" s="58"/>
    </row>
    <row r="913">
      <c r="A913" s="58"/>
      <c r="B913" s="58"/>
      <c r="C913" s="58"/>
      <c r="D913" s="58"/>
      <c r="E913" s="58"/>
      <c r="F913" s="58"/>
      <c r="G913" s="58"/>
      <c r="H913" s="58"/>
      <c r="I913" s="58"/>
      <c r="J913" s="58"/>
      <c r="K913" s="58"/>
      <c r="L913" s="58"/>
      <c r="M913" s="58"/>
      <c r="N913" s="58"/>
      <c r="O913" s="58"/>
      <c r="P913" s="58"/>
      <c r="Q913" s="58"/>
      <c r="R913" s="58"/>
      <c r="S913" s="58"/>
      <c r="T913" s="58"/>
      <c r="U913" s="58"/>
      <c r="V913" s="58"/>
      <c r="W913" s="58"/>
      <c r="X913" s="58"/>
      <c r="Y913" s="58"/>
    </row>
    <row r="914">
      <c r="A914" s="58"/>
      <c r="B914" s="58"/>
      <c r="C914" s="58"/>
      <c r="D914" s="58"/>
      <c r="E914" s="58"/>
      <c r="F914" s="58"/>
      <c r="G914" s="58"/>
      <c r="H914" s="58"/>
      <c r="I914" s="58"/>
      <c r="J914" s="58"/>
      <c r="K914" s="58"/>
      <c r="L914" s="58"/>
      <c r="M914" s="58"/>
      <c r="N914" s="58"/>
      <c r="O914" s="58"/>
      <c r="P914" s="58"/>
      <c r="Q914" s="58"/>
      <c r="R914" s="58"/>
      <c r="S914" s="58"/>
      <c r="T914" s="58"/>
      <c r="U914" s="58"/>
      <c r="V914" s="58"/>
      <c r="W914" s="58"/>
      <c r="X914" s="58"/>
      <c r="Y914" s="58"/>
    </row>
    <row r="915">
      <c r="A915" s="58"/>
      <c r="B915" s="58"/>
      <c r="C915" s="58"/>
      <c r="D915" s="58"/>
      <c r="E915" s="58"/>
      <c r="F915" s="58"/>
      <c r="G915" s="58"/>
      <c r="H915" s="58"/>
      <c r="I915" s="58"/>
      <c r="J915" s="58"/>
      <c r="K915" s="58"/>
      <c r="L915" s="58"/>
      <c r="M915" s="58"/>
      <c r="N915" s="58"/>
      <c r="O915" s="58"/>
      <c r="P915" s="58"/>
      <c r="Q915" s="58"/>
      <c r="R915" s="58"/>
      <c r="S915" s="58"/>
      <c r="T915" s="58"/>
      <c r="U915" s="58"/>
      <c r="V915" s="58"/>
      <c r="W915" s="58"/>
      <c r="X915" s="58"/>
      <c r="Y915" s="58"/>
    </row>
    <row r="916">
      <c r="A916" s="58"/>
      <c r="B916" s="58"/>
      <c r="C916" s="58"/>
      <c r="D916" s="58"/>
      <c r="E916" s="58"/>
      <c r="F916" s="58"/>
      <c r="G916" s="58"/>
      <c r="H916" s="58"/>
      <c r="I916" s="58"/>
      <c r="J916" s="58"/>
      <c r="K916" s="58"/>
      <c r="L916" s="58"/>
      <c r="M916" s="58"/>
      <c r="N916" s="58"/>
      <c r="O916" s="58"/>
      <c r="P916" s="58"/>
      <c r="Q916" s="58"/>
      <c r="R916" s="58"/>
      <c r="S916" s="58"/>
      <c r="T916" s="58"/>
      <c r="U916" s="58"/>
      <c r="V916" s="58"/>
      <c r="W916" s="58"/>
      <c r="X916" s="58"/>
      <c r="Y916" s="58"/>
    </row>
    <row r="917">
      <c r="A917" s="58"/>
      <c r="B917" s="58"/>
      <c r="C917" s="58"/>
      <c r="D917" s="58"/>
      <c r="E917" s="58"/>
      <c r="F917" s="58"/>
      <c r="G917" s="58"/>
      <c r="H917" s="58"/>
      <c r="I917" s="58"/>
      <c r="J917" s="58"/>
      <c r="K917" s="58"/>
      <c r="L917" s="58"/>
      <c r="M917" s="58"/>
      <c r="N917" s="58"/>
      <c r="O917" s="58"/>
      <c r="P917" s="58"/>
      <c r="Q917" s="58"/>
      <c r="R917" s="58"/>
      <c r="S917" s="58"/>
      <c r="T917" s="58"/>
      <c r="U917" s="58"/>
      <c r="V917" s="58"/>
      <c r="W917" s="58"/>
      <c r="X917" s="58"/>
      <c r="Y917" s="58"/>
    </row>
    <row r="918">
      <c r="A918" s="58"/>
      <c r="B918" s="58"/>
      <c r="C918" s="58"/>
      <c r="D918" s="58"/>
      <c r="E918" s="58"/>
      <c r="F918" s="58"/>
      <c r="G918" s="58"/>
      <c r="H918" s="58"/>
      <c r="I918" s="58"/>
      <c r="J918" s="58"/>
      <c r="K918" s="58"/>
      <c r="L918" s="58"/>
      <c r="M918" s="58"/>
      <c r="N918" s="58"/>
      <c r="O918" s="58"/>
      <c r="P918" s="58"/>
      <c r="Q918" s="58"/>
      <c r="R918" s="58"/>
      <c r="S918" s="58"/>
      <c r="T918" s="58"/>
      <c r="U918" s="58"/>
      <c r="V918" s="58"/>
      <c r="W918" s="58"/>
      <c r="X918" s="58"/>
      <c r="Y918" s="58"/>
    </row>
    <row r="919">
      <c r="A919" s="58"/>
      <c r="B919" s="58"/>
      <c r="C919" s="58"/>
      <c r="D919" s="58"/>
      <c r="E919" s="58"/>
      <c r="F919" s="58"/>
      <c r="G919" s="58"/>
      <c r="H919" s="58"/>
      <c r="I919" s="58"/>
      <c r="J919" s="58"/>
      <c r="K919" s="58"/>
      <c r="L919" s="58"/>
      <c r="M919" s="58"/>
      <c r="N919" s="58"/>
      <c r="O919" s="58"/>
      <c r="P919" s="58"/>
      <c r="Q919" s="58"/>
      <c r="R919" s="58"/>
      <c r="S919" s="58"/>
      <c r="T919" s="58"/>
      <c r="U919" s="58"/>
      <c r="V919" s="58"/>
      <c r="W919" s="58"/>
      <c r="X919" s="58"/>
      <c r="Y919" s="58"/>
    </row>
    <row r="920">
      <c r="A920" s="58"/>
      <c r="B920" s="58"/>
      <c r="C920" s="58"/>
      <c r="D920" s="58"/>
      <c r="E920" s="58"/>
      <c r="F920" s="58"/>
      <c r="G920" s="58"/>
      <c r="H920" s="58"/>
      <c r="I920" s="58"/>
      <c r="J920" s="58"/>
      <c r="K920" s="58"/>
      <c r="L920" s="58"/>
      <c r="M920" s="58"/>
      <c r="N920" s="58"/>
      <c r="O920" s="58"/>
      <c r="P920" s="58"/>
      <c r="Q920" s="58"/>
      <c r="R920" s="58"/>
      <c r="S920" s="58"/>
      <c r="T920" s="58"/>
      <c r="U920" s="58"/>
      <c r="V920" s="58"/>
      <c r="W920" s="58"/>
      <c r="X920" s="58"/>
      <c r="Y920" s="58"/>
    </row>
    <row r="921">
      <c r="A921" s="58"/>
      <c r="B921" s="58"/>
      <c r="C921" s="58"/>
      <c r="D921" s="58"/>
      <c r="E921" s="58"/>
      <c r="F921" s="58"/>
      <c r="G921" s="58"/>
      <c r="H921" s="58"/>
      <c r="I921" s="58"/>
      <c r="J921" s="58"/>
      <c r="K921" s="58"/>
      <c r="L921" s="58"/>
      <c r="M921" s="58"/>
      <c r="N921" s="58"/>
      <c r="O921" s="58"/>
      <c r="P921" s="58"/>
      <c r="Q921" s="58"/>
      <c r="R921" s="58"/>
      <c r="S921" s="58"/>
      <c r="T921" s="58"/>
      <c r="U921" s="58"/>
      <c r="V921" s="58"/>
      <c r="W921" s="58"/>
      <c r="X921" s="58"/>
      <c r="Y921" s="58"/>
    </row>
    <row r="922">
      <c r="A922" s="58"/>
      <c r="B922" s="58"/>
      <c r="C922" s="58"/>
      <c r="D922" s="58"/>
      <c r="E922" s="58"/>
      <c r="F922" s="58"/>
      <c r="G922" s="58"/>
      <c r="H922" s="58"/>
      <c r="I922" s="58"/>
      <c r="J922" s="58"/>
      <c r="K922" s="58"/>
      <c r="L922" s="58"/>
      <c r="M922" s="58"/>
      <c r="N922" s="58"/>
      <c r="O922" s="58"/>
      <c r="P922" s="58"/>
      <c r="Q922" s="58"/>
      <c r="R922" s="58"/>
      <c r="S922" s="58"/>
      <c r="T922" s="58"/>
      <c r="U922" s="58"/>
      <c r="V922" s="58"/>
      <c r="W922" s="58"/>
      <c r="X922" s="58"/>
      <c r="Y922" s="58"/>
    </row>
    <row r="923">
      <c r="A923" s="58"/>
      <c r="B923" s="58"/>
      <c r="C923" s="58"/>
      <c r="D923" s="58"/>
      <c r="E923" s="58"/>
      <c r="F923" s="58"/>
      <c r="G923" s="58"/>
      <c r="H923" s="58"/>
      <c r="I923" s="58"/>
      <c r="J923" s="58"/>
      <c r="K923" s="58"/>
      <c r="L923" s="58"/>
      <c r="M923" s="58"/>
      <c r="N923" s="58"/>
      <c r="O923" s="58"/>
      <c r="P923" s="58"/>
      <c r="Q923" s="58"/>
      <c r="R923" s="58"/>
      <c r="S923" s="58"/>
      <c r="T923" s="58"/>
      <c r="U923" s="58"/>
      <c r="V923" s="58"/>
      <c r="W923" s="58"/>
      <c r="X923" s="58"/>
      <c r="Y923" s="58"/>
    </row>
    <row r="924">
      <c r="A924" s="58"/>
      <c r="B924" s="58"/>
      <c r="C924" s="58"/>
      <c r="D924" s="58"/>
      <c r="E924" s="58"/>
      <c r="F924" s="58"/>
      <c r="G924" s="58"/>
      <c r="H924" s="58"/>
      <c r="I924" s="58"/>
      <c r="J924" s="58"/>
      <c r="K924" s="58"/>
      <c r="L924" s="58"/>
      <c r="M924" s="58"/>
      <c r="N924" s="58"/>
      <c r="O924" s="58"/>
      <c r="P924" s="58"/>
      <c r="Q924" s="58"/>
      <c r="R924" s="58"/>
      <c r="S924" s="58"/>
      <c r="T924" s="58"/>
      <c r="U924" s="58"/>
      <c r="V924" s="58"/>
      <c r="W924" s="58"/>
      <c r="X924" s="58"/>
      <c r="Y924" s="58"/>
    </row>
    <row r="925">
      <c r="A925" s="58"/>
      <c r="B925" s="58"/>
      <c r="C925" s="58"/>
      <c r="D925" s="58"/>
      <c r="E925" s="58"/>
      <c r="F925" s="58"/>
      <c r="G925" s="58"/>
      <c r="H925" s="58"/>
      <c r="I925" s="58"/>
      <c r="J925" s="58"/>
      <c r="K925" s="58"/>
      <c r="L925" s="58"/>
      <c r="M925" s="58"/>
      <c r="N925" s="58"/>
      <c r="O925" s="58"/>
      <c r="P925" s="58"/>
      <c r="Q925" s="58"/>
      <c r="R925" s="58"/>
      <c r="S925" s="58"/>
      <c r="T925" s="58"/>
      <c r="U925" s="58"/>
      <c r="V925" s="58"/>
      <c r="W925" s="58"/>
      <c r="X925" s="58"/>
      <c r="Y925" s="58"/>
    </row>
    <row r="926">
      <c r="A926" s="58"/>
      <c r="B926" s="58"/>
      <c r="C926" s="58"/>
      <c r="D926" s="58"/>
      <c r="E926" s="58"/>
      <c r="F926" s="58"/>
      <c r="G926" s="58"/>
      <c r="H926" s="58"/>
      <c r="I926" s="58"/>
      <c r="J926" s="58"/>
      <c r="K926" s="58"/>
      <c r="L926" s="58"/>
      <c r="M926" s="58"/>
      <c r="N926" s="58"/>
      <c r="O926" s="58"/>
      <c r="P926" s="58"/>
      <c r="Q926" s="58"/>
      <c r="R926" s="58"/>
      <c r="S926" s="58"/>
      <c r="T926" s="58"/>
      <c r="U926" s="58"/>
      <c r="V926" s="58"/>
      <c r="W926" s="58"/>
      <c r="X926" s="58"/>
      <c r="Y926" s="58"/>
    </row>
    <row r="927">
      <c r="A927" s="58"/>
      <c r="B927" s="58"/>
      <c r="C927" s="58"/>
      <c r="D927" s="58"/>
      <c r="E927" s="58"/>
      <c r="F927" s="58"/>
      <c r="G927" s="58"/>
      <c r="H927" s="58"/>
      <c r="I927" s="58"/>
      <c r="J927" s="58"/>
      <c r="K927" s="58"/>
      <c r="L927" s="58"/>
      <c r="M927" s="58"/>
      <c r="N927" s="58"/>
      <c r="O927" s="58"/>
      <c r="P927" s="58"/>
      <c r="Q927" s="58"/>
      <c r="R927" s="58"/>
      <c r="S927" s="58"/>
      <c r="T927" s="58"/>
      <c r="U927" s="58"/>
      <c r="V927" s="58"/>
      <c r="W927" s="58"/>
      <c r="X927" s="58"/>
      <c r="Y927" s="58"/>
    </row>
    <row r="928">
      <c r="A928" s="58"/>
      <c r="B928" s="58"/>
      <c r="C928" s="58"/>
      <c r="D928" s="58"/>
      <c r="E928" s="58"/>
      <c r="F928" s="58"/>
      <c r="G928" s="58"/>
      <c r="H928" s="58"/>
      <c r="I928" s="58"/>
      <c r="J928" s="58"/>
      <c r="K928" s="58"/>
      <c r="L928" s="58"/>
      <c r="M928" s="58"/>
      <c r="N928" s="58"/>
      <c r="O928" s="58"/>
      <c r="P928" s="58"/>
      <c r="Q928" s="58"/>
      <c r="R928" s="58"/>
      <c r="S928" s="58"/>
      <c r="T928" s="58"/>
      <c r="U928" s="58"/>
      <c r="V928" s="58"/>
      <c r="W928" s="58"/>
      <c r="X928" s="58"/>
      <c r="Y928" s="58"/>
    </row>
    <row r="929">
      <c r="A929" s="58"/>
      <c r="B929" s="58"/>
      <c r="C929" s="58"/>
      <c r="D929" s="58"/>
      <c r="E929" s="58"/>
      <c r="F929" s="58"/>
      <c r="G929" s="58"/>
      <c r="H929" s="58"/>
      <c r="I929" s="58"/>
      <c r="J929" s="58"/>
      <c r="K929" s="58"/>
      <c r="L929" s="58"/>
      <c r="M929" s="58"/>
      <c r="N929" s="58"/>
      <c r="O929" s="58"/>
      <c r="P929" s="58"/>
      <c r="Q929" s="58"/>
      <c r="R929" s="58"/>
      <c r="S929" s="58"/>
      <c r="T929" s="58"/>
      <c r="U929" s="58"/>
      <c r="V929" s="58"/>
      <c r="W929" s="58"/>
      <c r="X929" s="58"/>
      <c r="Y929" s="58"/>
    </row>
    <row r="930">
      <c r="A930" s="58"/>
      <c r="B930" s="58"/>
      <c r="C930" s="58"/>
      <c r="D930" s="58"/>
      <c r="E930" s="58"/>
      <c r="F930" s="58"/>
      <c r="G930" s="58"/>
      <c r="H930" s="58"/>
      <c r="I930" s="58"/>
      <c r="J930" s="58"/>
      <c r="K930" s="58"/>
      <c r="L930" s="58"/>
      <c r="M930" s="58"/>
      <c r="N930" s="58"/>
      <c r="O930" s="58"/>
      <c r="P930" s="58"/>
      <c r="Q930" s="58"/>
      <c r="R930" s="58"/>
      <c r="S930" s="58"/>
      <c r="T930" s="58"/>
      <c r="U930" s="58"/>
      <c r="V930" s="58"/>
      <c r="W930" s="58"/>
      <c r="X930" s="58"/>
      <c r="Y930" s="58"/>
    </row>
    <row r="931">
      <c r="A931" s="58"/>
      <c r="B931" s="58"/>
      <c r="C931" s="58"/>
      <c r="D931" s="58"/>
      <c r="E931" s="58"/>
      <c r="F931" s="58"/>
      <c r="G931" s="58"/>
      <c r="H931" s="58"/>
      <c r="I931" s="58"/>
      <c r="J931" s="58"/>
      <c r="K931" s="58"/>
      <c r="L931" s="58"/>
      <c r="M931" s="58"/>
      <c r="N931" s="58"/>
      <c r="O931" s="58"/>
      <c r="P931" s="58"/>
      <c r="Q931" s="58"/>
      <c r="R931" s="58"/>
      <c r="S931" s="58"/>
      <c r="T931" s="58"/>
      <c r="U931" s="58"/>
      <c r="V931" s="58"/>
      <c r="W931" s="58"/>
      <c r="X931" s="58"/>
      <c r="Y931" s="58"/>
    </row>
    <row r="932">
      <c r="A932" s="58"/>
      <c r="B932" s="58"/>
      <c r="C932" s="58"/>
      <c r="D932" s="58"/>
      <c r="E932" s="58"/>
      <c r="F932" s="58"/>
      <c r="G932" s="58"/>
      <c r="H932" s="58"/>
      <c r="I932" s="58"/>
      <c r="J932" s="58"/>
      <c r="K932" s="58"/>
      <c r="L932" s="58"/>
      <c r="M932" s="58"/>
      <c r="N932" s="58"/>
      <c r="O932" s="58"/>
      <c r="P932" s="58"/>
      <c r="Q932" s="58"/>
      <c r="R932" s="58"/>
      <c r="S932" s="58"/>
      <c r="T932" s="58"/>
      <c r="U932" s="58"/>
      <c r="V932" s="58"/>
      <c r="W932" s="58"/>
      <c r="X932" s="58"/>
      <c r="Y932" s="58"/>
    </row>
    <row r="933">
      <c r="A933" s="58"/>
      <c r="B933" s="58"/>
      <c r="C933" s="58"/>
      <c r="D933" s="58"/>
      <c r="E933" s="58"/>
      <c r="F933" s="58"/>
      <c r="G933" s="58"/>
      <c r="H933" s="58"/>
      <c r="I933" s="58"/>
      <c r="J933" s="58"/>
      <c r="K933" s="58"/>
      <c r="L933" s="58"/>
      <c r="M933" s="58"/>
      <c r="N933" s="58"/>
      <c r="O933" s="58"/>
      <c r="P933" s="58"/>
      <c r="Q933" s="58"/>
      <c r="R933" s="58"/>
      <c r="S933" s="58"/>
      <c r="T933" s="58"/>
      <c r="U933" s="58"/>
      <c r="V933" s="58"/>
      <c r="W933" s="58"/>
      <c r="X933" s="58"/>
      <c r="Y933" s="58"/>
    </row>
    <row r="934">
      <c r="A934" s="58"/>
      <c r="B934" s="58"/>
      <c r="C934" s="58"/>
      <c r="D934" s="58"/>
      <c r="E934" s="58"/>
      <c r="F934" s="58"/>
      <c r="G934" s="58"/>
      <c r="H934" s="58"/>
      <c r="I934" s="58"/>
      <c r="J934" s="58"/>
      <c r="K934" s="58"/>
      <c r="L934" s="58"/>
      <c r="M934" s="58"/>
      <c r="N934" s="58"/>
      <c r="O934" s="58"/>
      <c r="P934" s="58"/>
      <c r="Q934" s="58"/>
      <c r="R934" s="58"/>
      <c r="S934" s="58"/>
      <c r="T934" s="58"/>
      <c r="U934" s="58"/>
      <c r="V934" s="58"/>
      <c r="W934" s="58"/>
      <c r="X934" s="58"/>
      <c r="Y934" s="58"/>
    </row>
    <row r="935">
      <c r="A935" s="58"/>
      <c r="B935" s="58"/>
      <c r="C935" s="58"/>
      <c r="D935" s="58"/>
      <c r="E935" s="58"/>
      <c r="F935" s="58"/>
      <c r="G935" s="58"/>
      <c r="H935" s="58"/>
      <c r="I935" s="58"/>
      <c r="J935" s="58"/>
      <c r="K935" s="58"/>
      <c r="L935" s="58"/>
      <c r="M935" s="58"/>
      <c r="N935" s="58"/>
      <c r="O935" s="58"/>
      <c r="P935" s="58"/>
      <c r="Q935" s="58"/>
      <c r="R935" s="58"/>
      <c r="S935" s="58"/>
      <c r="T935" s="58"/>
      <c r="U935" s="58"/>
      <c r="V935" s="58"/>
      <c r="W935" s="58"/>
      <c r="X935" s="58"/>
      <c r="Y935" s="58"/>
    </row>
    <row r="936">
      <c r="A936" s="58"/>
      <c r="B936" s="58"/>
      <c r="C936" s="58"/>
      <c r="D936" s="58"/>
      <c r="E936" s="58"/>
      <c r="F936" s="58"/>
      <c r="G936" s="58"/>
      <c r="H936" s="58"/>
      <c r="I936" s="58"/>
      <c r="J936" s="58"/>
      <c r="K936" s="58"/>
      <c r="L936" s="58"/>
      <c r="M936" s="58"/>
      <c r="N936" s="58"/>
      <c r="O936" s="58"/>
      <c r="P936" s="58"/>
      <c r="Q936" s="58"/>
      <c r="R936" s="58"/>
      <c r="S936" s="58"/>
      <c r="T936" s="58"/>
      <c r="U936" s="58"/>
      <c r="V936" s="58"/>
      <c r="W936" s="58"/>
      <c r="X936" s="58"/>
      <c r="Y936" s="58"/>
    </row>
    <row r="937">
      <c r="A937" s="58"/>
      <c r="B937" s="58"/>
      <c r="C937" s="58"/>
      <c r="D937" s="58"/>
      <c r="E937" s="58"/>
      <c r="F937" s="58"/>
      <c r="G937" s="58"/>
      <c r="H937" s="58"/>
      <c r="I937" s="58"/>
      <c r="J937" s="58"/>
      <c r="K937" s="58"/>
      <c r="L937" s="58"/>
      <c r="M937" s="58"/>
      <c r="N937" s="58"/>
      <c r="O937" s="58"/>
      <c r="P937" s="58"/>
      <c r="Q937" s="58"/>
      <c r="R937" s="58"/>
      <c r="S937" s="58"/>
      <c r="T937" s="58"/>
      <c r="U937" s="58"/>
      <c r="V937" s="58"/>
      <c r="W937" s="58"/>
      <c r="X937" s="58"/>
      <c r="Y937" s="58"/>
    </row>
    <row r="938">
      <c r="A938" s="58"/>
      <c r="B938" s="58"/>
      <c r="C938" s="58"/>
      <c r="D938" s="58"/>
      <c r="E938" s="58"/>
      <c r="F938" s="58"/>
      <c r="G938" s="58"/>
      <c r="H938" s="58"/>
      <c r="I938" s="58"/>
      <c r="J938" s="58"/>
      <c r="K938" s="58"/>
      <c r="L938" s="58"/>
      <c r="M938" s="58"/>
      <c r="N938" s="58"/>
      <c r="O938" s="58"/>
      <c r="P938" s="58"/>
      <c r="Q938" s="58"/>
      <c r="R938" s="58"/>
      <c r="S938" s="58"/>
      <c r="T938" s="58"/>
      <c r="U938" s="58"/>
      <c r="V938" s="58"/>
      <c r="W938" s="58"/>
      <c r="X938" s="58"/>
      <c r="Y938" s="58"/>
    </row>
    <row r="939">
      <c r="A939" s="58"/>
      <c r="B939" s="58"/>
      <c r="C939" s="58"/>
      <c r="D939" s="58"/>
      <c r="E939" s="58"/>
      <c r="F939" s="58"/>
      <c r="G939" s="58"/>
      <c r="H939" s="58"/>
      <c r="I939" s="58"/>
      <c r="J939" s="58"/>
      <c r="K939" s="58"/>
      <c r="L939" s="58"/>
      <c r="M939" s="58"/>
      <c r="N939" s="58"/>
      <c r="O939" s="58"/>
      <c r="P939" s="58"/>
      <c r="Q939" s="58"/>
      <c r="R939" s="58"/>
      <c r="S939" s="58"/>
      <c r="T939" s="58"/>
      <c r="U939" s="58"/>
      <c r="V939" s="58"/>
      <c r="W939" s="58"/>
      <c r="X939" s="58"/>
      <c r="Y939" s="58"/>
    </row>
    <row r="940">
      <c r="A940" s="58"/>
      <c r="B940" s="58"/>
      <c r="C940" s="58"/>
      <c r="D940" s="58"/>
      <c r="E940" s="58"/>
      <c r="F940" s="58"/>
      <c r="G940" s="58"/>
      <c r="H940" s="58"/>
      <c r="I940" s="58"/>
      <c r="J940" s="58"/>
      <c r="K940" s="58"/>
      <c r="L940" s="58"/>
      <c r="M940" s="58"/>
      <c r="N940" s="58"/>
      <c r="O940" s="58"/>
      <c r="P940" s="58"/>
      <c r="Q940" s="58"/>
      <c r="R940" s="58"/>
      <c r="S940" s="58"/>
      <c r="T940" s="58"/>
      <c r="U940" s="58"/>
      <c r="V940" s="58"/>
      <c r="W940" s="58"/>
      <c r="X940" s="58"/>
      <c r="Y940" s="58"/>
    </row>
    <row r="941">
      <c r="A941" s="58"/>
      <c r="B941" s="58"/>
      <c r="C941" s="58"/>
      <c r="D941" s="58"/>
      <c r="E941" s="58"/>
      <c r="F941" s="58"/>
      <c r="G941" s="58"/>
      <c r="H941" s="58"/>
      <c r="I941" s="58"/>
      <c r="J941" s="58"/>
      <c r="K941" s="58"/>
      <c r="L941" s="58"/>
      <c r="M941" s="58"/>
      <c r="N941" s="58"/>
      <c r="O941" s="58"/>
      <c r="P941" s="58"/>
      <c r="Q941" s="58"/>
      <c r="R941" s="58"/>
      <c r="S941" s="58"/>
      <c r="T941" s="58"/>
      <c r="U941" s="58"/>
      <c r="V941" s="58"/>
      <c r="W941" s="58"/>
      <c r="X941" s="58"/>
      <c r="Y941" s="58"/>
    </row>
    <row r="942">
      <c r="A942" s="58"/>
      <c r="B942" s="58"/>
      <c r="C942" s="58"/>
      <c r="D942" s="58"/>
      <c r="E942" s="58"/>
      <c r="F942" s="58"/>
      <c r="G942" s="58"/>
      <c r="H942" s="58"/>
      <c r="I942" s="58"/>
      <c r="J942" s="58"/>
      <c r="K942" s="58"/>
      <c r="L942" s="58"/>
      <c r="M942" s="58"/>
      <c r="N942" s="58"/>
      <c r="O942" s="58"/>
      <c r="P942" s="58"/>
      <c r="Q942" s="58"/>
      <c r="R942" s="58"/>
      <c r="S942" s="58"/>
      <c r="T942" s="58"/>
      <c r="U942" s="58"/>
      <c r="V942" s="58"/>
      <c r="W942" s="58"/>
      <c r="X942" s="58"/>
      <c r="Y942" s="58"/>
    </row>
    <row r="943">
      <c r="A943" s="58"/>
      <c r="B943" s="58"/>
      <c r="C943" s="58"/>
      <c r="D943" s="58"/>
      <c r="E943" s="58"/>
      <c r="F943" s="58"/>
      <c r="G943" s="58"/>
      <c r="H943" s="58"/>
      <c r="I943" s="58"/>
      <c r="J943" s="58"/>
      <c r="K943" s="58"/>
      <c r="L943" s="58"/>
      <c r="M943" s="58"/>
      <c r="N943" s="58"/>
      <c r="O943" s="58"/>
      <c r="P943" s="58"/>
      <c r="Q943" s="58"/>
      <c r="R943" s="58"/>
      <c r="S943" s="58"/>
      <c r="T943" s="58"/>
      <c r="U943" s="58"/>
      <c r="V943" s="58"/>
      <c r="W943" s="58"/>
      <c r="X943" s="58"/>
      <c r="Y943" s="58"/>
    </row>
    <row r="944">
      <c r="A944" s="58"/>
      <c r="B944" s="58"/>
      <c r="C944" s="58"/>
      <c r="D944" s="58"/>
      <c r="E944" s="58"/>
      <c r="F944" s="58"/>
      <c r="G944" s="58"/>
      <c r="H944" s="58"/>
      <c r="I944" s="58"/>
      <c r="J944" s="58"/>
      <c r="K944" s="58"/>
      <c r="L944" s="58"/>
      <c r="M944" s="58"/>
      <c r="N944" s="58"/>
      <c r="O944" s="58"/>
      <c r="P944" s="58"/>
      <c r="Q944" s="58"/>
      <c r="R944" s="58"/>
      <c r="S944" s="58"/>
      <c r="T944" s="58"/>
      <c r="U944" s="58"/>
      <c r="V944" s="58"/>
      <c r="W944" s="58"/>
      <c r="X944" s="58"/>
      <c r="Y944" s="58"/>
    </row>
    <row r="945">
      <c r="A945" s="58"/>
      <c r="B945" s="58"/>
      <c r="C945" s="58"/>
      <c r="D945" s="58"/>
      <c r="E945" s="58"/>
      <c r="F945" s="58"/>
      <c r="G945" s="58"/>
      <c r="H945" s="58"/>
      <c r="I945" s="58"/>
      <c r="J945" s="58"/>
      <c r="K945" s="58"/>
      <c r="L945" s="58"/>
      <c r="M945" s="58"/>
      <c r="N945" s="58"/>
      <c r="O945" s="58"/>
      <c r="P945" s="58"/>
      <c r="Q945" s="58"/>
      <c r="R945" s="58"/>
      <c r="S945" s="58"/>
      <c r="T945" s="58"/>
      <c r="U945" s="58"/>
      <c r="V945" s="58"/>
      <c r="W945" s="58"/>
      <c r="X945" s="58"/>
      <c r="Y945" s="58"/>
    </row>
    <row r="946">
      <c r="A946" s="58"/>
      <c r="B946" s="58"/>
      <c r="C946" s="58"/>
      <c r="D946" s="58"/>
      <c r="E946" s="58"/>
      <c r="F946" s="58"/>
      <c r="G946" s="58"/>
      <c r="H946" s="58"/>
      <c r="I946" s="58"/>
      <c r="J946" s="58"/>
      <c r="K946" s="58"/>
      <c r="L946" s="58"/>
      <c r="M946" s="58"/>
      <c r="N946" s="58"/>
      <c r="O946" s="58"/>
      <c r="P946" s="58"/>
      <c r="Q946" s="58"/>
      <c r="R946" s="58"/>
      <c r="S946" s="58"/>
      <c r="T946" s="58"/>
      <c r="U946" s="58"/>
      <c r="V946" s="58"/>
      <c r="W946" s="58"/>
      <c r="X946" s="58"/>
      <c r="Y946" s="58"/>
    </row>
    <row r="947">
      <c r="A947" s="58"/>
      <c r="B947" s="58"/>
      <c r="C947" s="58"/>
      <c r="D947" s="58"/>
      <c r="E947" s="58"/>
      <c r="F947" s="58"/>
      <c r="G947" s="58"/>
      <c r="H947" s="58"/>
      <c r="I947" s="58"/>
      <c r="J947" s="58"/>
      <c r="K947" s="58"/>
      <c r="L947" s="58"/>
      <c r="M947" s="58"/>
      <c r="N947" s="58"/>
      <c r="O947" s="58"/>
      <c r="P947" s="58"/>
      <c r="Q947" s="58"/>
      <c r="R947" s="58"/>
      <c r="S947" s="58"/>
      <c r="T947" s="58"/>
      <c r="U947" s="58"/>
      <c r="V947" s="58"/>
      <c r="W947" s="58"/>
      <c r="X947" s="58"/>
      <c r="Y947" s="58"/>
    </row>
    <row r="948">
      <c r="A948" s="58"/>
      <c r="B948" s="58"/>
      <c r="C948" s="58"/>
      <c r="D948" s="58"/>
      <c r="E948" s="58"/>
      <c r="F948" s="58"/>
      <c r="G948" s="58"/>
      <c r="H948" s="58"/>
      <c r="I948" s="58"/>
      <c r="J948" s="58"/>
      <c r="K948" s="58"/>
      <c r="L948" s="58"/>
      <c r="M948" s="58"/>
      <c r="N948" s="58"/>
      <c r="O948" s="58"/>
      <c r="P948" s="58"/>
      <c r="Q948" s="58"/>
      <c r="R948" s="58"/>
      <c r="S948" s="58"/>
      <c r="T948" s="58"/>
      <c r="U948" s="58"/>
      <c r="V948" s="58"/>
      <c r="W948" s="58"/>
      <c r="X948" s="58"/>
      <c r="Y948" s="58"/>
    </row>
    <row r="949">
      <c r="A949" s="58"/>
      <c r="B949" s="58"/>
      <c r="C949" s="58"/>
      <c r="D949" s="58"/>
      <c r="E949" s="58"/>
      <c r="F949" s="58"/>
      <c r="G949" s="58"/>
      <c r="H949" s="58"/>
      <c r="I949" s="58"/>
      <c r="J949" s="58"/>
      <c r="K949" s="58"/>
      <c r="L949" s="58"/>
      <c r="M949" s="58"/>
      <c r="N949" s="58"/>
      <c r="O949" s="58"/>
      <c r="P949" s="58"/>
      <c r="Q949" s="58"/>
      <c r="R949" s="58"/>
      <c r="S949" s="58"/>
      <c r="T949" s="58"/>
      <c r="U949" s="58"/>
      <c r="V949" s="58"/>
      <c r="W949" s="58"/>
      <c r="X949" s="58"/>
      <c r="Y949" s="58"/>
    </row>
    <row r="950">
      <c r="A950" s="58"/>
      <c r="B950" s="58"/>
      <c r="C950" s="58"/>
      <c r="D950" s="58"/>
      <c r="E950" s="58"/>
      <c r="F950" s="58"/>
      <c r="G950" s="58"/>
      <c r="H950" s="58"/>
      <c r="I950" s="58"/>
      <c r="J950" s="58"/>
      <c r="K950" s="58"/>
      <c r="L950" s="58"/>
      <c r="M950" s="58"/>
      <c r="N950" s="58"/>
      <c r="O950" s="58"/>
      <c r="P950" s="58"/>
      <c r="Q950" s="58"/>
      <c r="R950" s="58"/>
      <c r="S950" s="58"/>
      <c r="T950" s="58"/>
      <c r="U950" s="58"/>
      <c r="V950" s="58"/>
      <c r="W950" s="58"/>
      <c r="X950" s="58"/>
      <c r="Y950" s="58"/>
    </row>
    <row r="951">
      <c r="A951" s="58"/>
      <c r="B951" s="58"/>
      <c r="C951" s="58"/>
      <c r="D951" s="58"/>
      <c r="E951" s="58"/>
      <c r="F951" s="58"/>
      <c r="G951" s="58"/>
      <c r="H951" s="58"/>
      <c r="I951" s="58"/>
      <c r="J951" s="58"/>
      <c r="K951" s="58"/>
      <c r="L951" s="58"/>
      <c r="M951" s="58"/>
      <c r="N951" s="58"/>
      <c r="O951" s="58"/>
      <c r="P951" s="58"/>
      <c r="Q951" s="58"/>
      <c r="R951" s="58"/>
      <c r="S951" s="58"/>
      <c r="T951" s="58"/>
      <c r="U951" s="58"/>
      <c r="V951" s="58"/>
      <c r="W951" s="58"/>
      <c r="X951" s="58"/>
      <c r="Y951" s="58"/>
    </row>
    <row r="952">
      <c r="A952" s="58"/>
      <c r="B952" s="58"/>
      <c r="C952" s="58"/>
      <c r="D952" s="58"/>
      <c r="E952" s="58"/>
      <c r="F952" s="58"/>
      <c r="G952" s="58"/>
      <c r="H952" s="58"/>
      <c r="I952" s="58"/>
      <c r="J952" s="58"/>
      <c r="K952" s="58"/>
      <c r="L952" s="58"/>
      <c r="M952" s="58"/>
      <c r="N952" s="58"/>
      <c r="O952" s="58"/>
      <c r="P952" s="58"/>
      <c r="Q952" s="58"/>
      <c r="R952" s="58"/>
      <c r="S952" s="58"/>
      <c r="T952" s="58"/>
      <c r="U952" s="58"/>
      <c r="V952" s="58"/>
      <c r="W952" s="58"/>
      <c r="X952" s="58"/>
      <c r="Y952" s="58"/>
    </row>
    <row r="953">
      <c r="A953" s="58"/>
      <c r="B953" s="58"/>
      <c r="C953" s="58"/>
      <c r="D953" s="58"/>
      <c r="E953" s="58"/>
      <c r="F953" s="58"/>
      <c r="G953" s="58"/>
      <c r="H953" s="58"/>
      <c r="I953" s="58"/>
      <c r="J953" s="58"/>
      <c r="K953" s="58"/>
      <c r="L953" s="58"/>
      <c r="M953" s="58"/>
      <c r="N953" s="58"/>
      <c r="O953" s="58"/>
      <c r="P953" s="58"/>
      <c r="Q953" s="58"/>
      <c r="R953" s="58"/>
      <c r="S953" s="58"/>
      <c r="T953" s="58"/>
      <c r="U953" s="58"/>
      <c r="V953" s="58"/>
      <c r="W953" s="58"/>
      <c r="X953" s="58"/>
      <c r="Y953" s="58"/>
    </row>
    <row r="954">
      <c r="A954" s="58"/>
      <c r="B954" s="58"/>
      <c r="C954" s="58"/>
      <c r="D954" s="58"/>
      <c r="E954" s="58"/>
      <c r="F954" s="58"/>
      <c r="G954" s="58"/>
      <c r="H954" s="58"/>
      <c r="I954" s="58"/>
      <c r="J954" s="58"/>
      <c r="K954" s="58"/>
      <c r="L954" s="58"/>
      <c r="M954" s="58"/>
      <c r="N954" s="58"/>
      <c r="O954" s="58"/>
      <c r="P954" s="58"/>
      <c r="Q954" s="58"/>
      <c r="R954" s="58"/>
      <c r="S954" s="58"/>
      <c r="T954" s="58"/>
      <c r="U954" s="58"/>
      <c r="V954" s="58"/>
      <c r="W954" s="58"/>
      <c r="X954" s="58"/>
      <c r="Y954" s="58"/>
    </row>
    <row r="955">
      <c r="A955" s="58"/>
      <c r="B955" s="58"/>
      <c r="C955" s="58"/>
      <c r="D955" s="58"/>
      <c r="E955" s="58"/>
      <c r="F955" s="58"/>
      <c r="G955" s="58"/>
      <c r="H955" s="58"/>
      <c r="I955" s="58"/>
      <c r="J955" s="58"/>
      <c r="K955" s="58"/>
      <c r="L955" s="58"/>
      <c r="M955" s="58"/>
      <c r="N955" s="58"/>
      <c r="O955" s="58"/>
      <c r="P955" s="58"/>
      <c r="Q955" s="58"/>
      <c r="R955" s="58"/>
      <c r="S955" s="58"/>
      <c r="T955" s="58"/>
      <c r="U955" s="58"/>
      <c r="V955" s="58"/>
      <c r="W955" s="58"/>
      <c r="X955" s="58"/>
      <c r="Y955" s="58"/>
    </row>
    <row r="956">
      <c r="A956" s="58"/>
      <c r="B956" s="58"/>
      <c r="C956" s="58"/>
      <c r="D956" s="58"/>
      <c r="E956" s="58"/>
      <c r="F956" s="58"/>
      <c r="G956" s="58"/>
      <c r="H956" s="58"/>
      <c r="I956" s="58"/>
      <c r="J956" s="58"/>
      <c r="K956" s="58"/>
      <c r="L956" s="58"/>
      <c r="M956" s="58"/>
      <c r="N956" s="58"/>
      <c r="O956" s="58"/>
      <c r="P956" s="58"/>
      <c r="Q956" s="58"/>
      <c r="R956" s="58"/>
      <c r="S956" s="58"/>
      <c r="T956" s="58"/>
      <c r="U956" s="58"/>
      <c r="V956" s="58"/>
      <c r="W956" s="58"/>
      <c r="X956" s="58"/>
      <c r="Y956" s="58"/>
    </row>
    <row r="957">
      <c r="A957" s="58"/>
      <c r="B957" s="58"/>
      <c r="C957" s="58"/>
      <c r="D957" s="58"/>
      <c r="E957" s="58"/>
      <c r="F957" s="58"/>
      <c r="G957" s="58"/>
      <c r="H957" s="58"/>
      <c r="I957" s="58"/>
      <c r="J957" s="58"/>
      <c r="K957" s="58"/>
      <c r="L957" s="58"/>
      <c r="M957" s="58"/>
      <c r="N957" s="58"/>
      <c r="O957" s="58"/>
      <c r="P957" s="58"/>
      <c r="Q957" s="58"/>
      <c r="R957" s="58"/>
      <c r="S957" s="58"/>
      <c r="T957" s="58"/>
      <c r="U957" s="58"/>
      <c r="V957" s="58"/>
      <c r="W957" s="58"/>
      <c r="X957" s="58"/>
      <c r="Y957" s="58"/>
    </row>
    <row r="958">
      <c r="A958" s="58"/>
      <c r="B958" s="58"/>
      <c r="C958" s="58"/>
      <c r="D958" s="58"/>
      <c r="E958" s="58"/>
      <c r="F958" s="58"/>
      <c r="G958" s="58"/>
      <c r="H958" s="58"/>
      <c r="I958" s="58"/>
      <c r="J958" s="58"/>
      <c r="K958" s="58"/>
      <c r="L958" s="58"/>
      <c r="M958" s="58"/>
      <c r="N958" s="58"/>
      <c r="O958" s="58"/>
      <c r="P958" s="58"/>
      <c r="Q958" s="58"/>
      <c r="R958" s="58"/>
      <c r="S958" s="58"/>
      <c r="T958" s="58"/>
      <c r="U958" s="58"/>
      <c r="V958" s="58"/>
      <c r="W958" s="58"/>
      <c r="X958" s="58"/>
      <c r="Y958" s="58"/>
    </row>
    <row r="959">
      <c r="A959" s="58"/>
      <c r="B959" s="58"/>
      <c r="C959" s="58"/>
      <c r="D959" s="58"/>
      <c r="E959" s="58"/>
      <c r="F959" s="58"/>
      <c r="G959" s="58"/>
      <c r="H959" s="58"/>
      <c r="I959" s="58"/>
      <c r="J959" s="58"/>
      <c r="K959" s="58"/>
      <c r="L959" s="58"/>
      <c r="M959" s="58"/>
      <c r="N959" s="58"/>
      <c r="O959" s="58"/>
      <c r="P959" s="58"/>
      <c r="Q959" s="58"/>
      <c r="R959" s="58"/>
      <c r="S959" s="58"/>
      <c r="T959" s="58"/>
      <c r="U959" s="58"/>
      <c r="V959" s="58"/>
      <c r="W959" s="58"/>
      <c r="X959" s="58"/>
      <c r="Y959" s="58"/>
    </row>
    <row r="960">
      <c r="A960" s="58"/>
      <c r="B960" s="58"/>
      <c r="C960" s="58"/>
      <c r="D960" s="58"/>
      <c r="E960" s="58"/>
      <c r="F960" s="58"/>
      <c r="G960" s="58"/>
      <c r="H960" s="58"/>
      <c r="I960" s="58"/>
      <c r="J960" s="58"/>
      <c r="K960" s="58"/>
      <c r="L960" s="58"/>
      <c r="M960" s="58"/>
      <c r="N960" s="58"/>
      <c r="O960" s="58"/>
      <c r="P960" s="58"/>
      <c r="Q960" s="58"/>
      <c r="R960" s="58"/>
      <c r="S960" s="58"/>
      <c r="T960" s="58"/>
      <c r="U960" s="58"/>
      <c r="V960" s="58"/>
      <c r="W960" s="58"/>
      <c r="X960" s="58"/>
      <c r="Y960" s="58"/>
    </row>
    <row r="961">
      <c r="A961" s="58"/>
      <c r="B961" s="58"/>
      <c r="C961" s="58"/>
      <c r="D961" s="58"/>
      <c r="E961" s="58"/>
      <c r="F961" s="58"/>
      <c r="G961" s="58"/>
      <c r="H961" s="58"/>
      <c r="I961" s="58"/>
      <c r="J961" s="58"/>
      <c r="K961" s="58"/>
      <c r="L961" s="58"/>
      <c r="M961" s="58"/>
      <c r="N961" s="58"/>
      <c r="O961" s="58"/>
      <c r="P961" s="58"/>
      <c r="Q961" s="58"/>
      <c r="R961" s="58"/>
      <c r="S961" s="58"/>
      <c r="T961" s="58"/>
      <c r="U961" s="58"/>
      <c r="V961" s="58"/>
      <c r="W961" s="58"/>
      <c r="X961" s="58"/>
      <c r="Y961" s="58"/>
    </row>
    <row r="962">
      <c r="A962" s="58"/>
      <c r="B962" s="58"/>
      <c r="C962" s="58"/>
      <c r="D962" s="58"/>
      <c r="E962" s="58"/>
      <c r="F962" s="58"/>
      <c r="G962" s="58"/>
      <c r="H962" s="58"/>
      <c r="I962" s="58"/>
      <c r="J962" s="58"/>
      <c r="K962" s="58"/>
      <c r="L962" s="58"/>
      <c r="M962" s="58"/>
      <c r="N962" s="58"/>
      <c r="O962" s="58"/>
      <c r="P962" s="58"/>
      <c r="Q962" s="58"/>
      <c r="R962" s="58"/>
      <c r="S962" s="58"/>
      <c r="T962" s="58"/>
      <c r="U962" s="58"/>
      <c r="V962" s="58"/>
      <c r="W962" s="58"/>
      <c r="X962" s="58"/>
      <c r="Y962" s="58"/>
    </row>
    <row r="963">
      <c r="A963" s="58"/>
      <c r="B963" s="58"/>
      <c r="C963" s="58"/>
      <c r="D963" s="58"/>
      <c r="E963" s="58"/>
      <c r="F963" s="58"/>
      <c r="G963" s="58"/>
      <c r="H963" s="58"/>
      <c r="I963" s="58"/>
      <c r="J963" s="58"/>
      <c r="K963" s="58"/>
      <c r="L963" s="58"/>
      <c r="M963" s="58"/>
      <c r="N963" s="58"/>
      <c r="O963" s="58"/>
      <c r="P963" s="58"/>
      <c r="Q963" s="58"/>
      <c r="R963" s="58"/>
      <c r="S963" s="58"/>
      <c r="T963" s="58"/>
      <c r="U963" s="58"/>
      <c r="V963" s="58"/>
      <c r="W963" s="58"/>
      <c r="X963" s="58"/>
      <c r="Y963" s="58"/>
    </row>
    <row r="964">
      <c r="A964" s="58"/>
      <c r="B964" s="58"/>
      <c r="C964" s="58"/>
      <c r="D964" s="58"/>
      <c r="E964" s="58"/>
      <c r="F964" s="58"/>
      <c r="G964" s="58"/>
      <c r="H964" s="58"/>
      <c r="I964" s="58"/>
      <c r="J964" s="58"/>
      <c r="K964" s="58"/>
      <c r="L964" s="58"/>
      <c r="M964" s="58"/>
      <c r="N964" s="58"/>
      <c r="O964" s="58"/>
      <c r="P964" s="58"/>
      <c r="Q964" s="58"/>
      <c r="R964" s="58"/>
      <c r="S964" s="58"/>
      <c r="T964" s="58"/>
      <c r="U964" s="58"/>
      <c r="V964" s="58"/>
      <c r="W964" s="58"/>
      <c r="X964" s="58"/>
      <c r="Y964" s="58"/>
    </row>
    <row r="965">
      <c r="A965" s="58"/>
      <c r="B965" s="58"/>
      <c r="C965" s="58"/>
      <c r="D965" s="58"/>
      <c r="E965" s="58"/>
      <c r="F965" s="58"/>
      <c r="G965" s="58"/>
      <c r="H965" s="58"/>
      <c r="I965" s="58"/>
      <c r="J965" s="58"/>
      <c r="K965" s="58"/>
      <c r="L965" s="58"/>
      <c r="M965" s="58"/>
      <c r="N965" s="58"/>
      <c r="O965" s="58"/>
      <c r="P965" s="58"/>
      <c r="Q965" s="58"/>
      <c r="R965" s="58"/>
      <c r="S965" s="58"/>
      <c r="T965" s="58"/>
      <c r="U965" s="58"/>
      <c r="V965" s="58"/>
      <c r="W965" s="58"/>
      <c r="X965" s="58"/>
      <c r="Y965" s="58"/>
    </row>
    <row r="966">
      <c r="A966" s="58"/>
      <c r="B966" s="58"/>
      <c r="C966" s="58"/>
      <c r="D966" s="58"/>
      <c r="E966" s="58"/>
      <c r="F966" s="58"/>
      <c r="G966" s="58"/>
      <c r="H966" s="58"/>
      <c r="I966" s="58"/>
      <c r="J966" s="58"/>
      <c r="K966" s="58"/>
      <c r="L966" s="58"/>
      <c r="M966" s="58"/>
      <c r="N966" s="58"/>
      <c r="O966" s="58"/>
      <c r="P966" s="58"/>
      <c r="Q966" s="58"/>
      <c r="R966" s="58"/>
      <c r="S966" s="58"/>
      <c r="T966" s="58"/>
      <c r="U966" s="58"/>
      <c r="V966" s="58"/>
      <c r="W966" s="58"/>
      <c r="X966" s="58"/>
      <c r="Y966" s="58"/>
    </row>
    <row r="967">
      <c r="A967" s="58"/>
      <c r="B967" s="58"/>
      <c r="C967" s="58"/>
      <c r="D967" s="58"/>
      <c r="E967" s="58"/>
      <c r="F967" s="58"/>
      <c r="G967" s="58"/>
      <c r="H967" s="58"/>
      <c r="I967" s="58"/>
      <c r="J967" s="58"/>
      <c r="K967" s="58"/>
      <c r="L967" s="58"/>
      <c r="M967" s="58"/>
      <c r="N967" s="58"/>
      <c r="O967" s="58"/>
      <c r="P967" s="58"/>
      <c r="Q967" s="58"/>
      <c r="R967" s="58"/>
      <c r="S967" s="58"/>
      <c r="T967" s="58"/>
      <c r="U967" s="58"/>
      <c r="V967" s="58"/>
      <c r="W967" s="58"/>
      <c r="X967" s="58"/>
      <c r="Y967" s="58"/>
    </row>
    <row r="968">
      <c r="A968" s="58"/>
      <c r="B968" s="58"/>
      <c r="C968" s="58"/>
      <c r="D968" s="58"/>
      <c r="E968" s="58"/>
      <c r="F968" s="58"/>
      <c r="G968" s="58"/>
      <c r="H968" s="58"/>
      <c r="I968" s="58"/>
      <c r="J968" s="58"/>
      <c r="K968" s="58"/>
      <c r="L968" s="58"/>
      <c r="M968" s="58"/>
      <c r="N968" s="58"/>
      <c r="O968" s="58"/>
      <c r="P968" s="58"/>
      <c r="Q968" s="58"/>
      <c r="R968" s="58"/>
      <c r="S968" s="58"/>
      <c r="T968" s="58"/>
      <c r="U968" s="58"/>
      <c r="V968" s="58"/>
      <c r="W968" s="58"/>
      <c r="X968" s="58"/>
      <c r="Y968" s="58"/>
    </row>
    <row r="969">
      <c r="A969" s="58"/>
      <c r="B969" s="58"/>
      <c r="C969" s="58"/>
      <c r="D969" s="58"/>
      <c r="E969" s="58"/>
      <c r="F969" s="58"/>
      <c r="G969" s="58"/>
      <c r="H969" s="58"/>
      <c r="I969" s="58"/>
      <c r="J969" s="58"/>
      <c r="K969" s="58"/>
      <c r="L969" s="58"/>
      <c r="M969" s="58"/>
      <c r="N969" s="58"/>
      <c r="O969" s="58"/>
      <c r="P969" s="58"/>
      <c r="Q969" s="58"/>
      <c r="R969" s="58"/>
      <c r="S969" s="58"/>
      <c r="T969" s="58"/>
      <c r="U969" s="58"/>
      <c r="V969" s="58"/>
      <c r="W969" s="58"/>
      <c r="X969" s="58"/>
      <c r="Y969" s="58"/>
    </row>
    <row r="970">
      <c r="A970" s="58"/>
      <c r="B970" s="58"/>
      <c r="C970" s="58"/>
      <c r="D970" s="58"/>
      <c r="E970" s="58"/>
      <c r="F970" s="58"/>
      <c r="G970" s="58"/>
      <c r="H970" s="58"/>
      <c r="I970" s="58"/>
      <c r="J970" s="58"/>
      <c r="K970" s="58"/>
      <c r="L970" s="58"/>
      <c r="M970" s="58"/>
      <c r="N970" s="58"/>
      <c r="O970" s="58"/>
      <c r="P970" s="58"/>
      <c r="Q970" s="58"/>
      <c r="R970" s="58"/>
      <c r="S970" s="58"/>
      <c r="T970" s="58"/>
      <c r="U970" s="58"/>
      <c r="V970" s="58"/>
      <c r="W970" s="58"/>
      <c r="X970" s="58"/>
      <c r="Y970" s="58"/>
    </row>
    <row r="971">
      <c r="A971" s="58"/>
      <c r="B971" s="58"/>
      <c r="C971" s="58"/>
      <c r="D971" s="58"/>
      <c r="E971" s="58"/>
      <c r="F971" s="58"/>
      <c r="G971" s="58"/>
      <c r="H971" s="58"/>
      <c r="I971" s="58"/>
      <c r="J971" s="58"/>
      <c r="K971" s="58"/>
      <c r="L971" s="58"/>
      <c r="M971" s="58"/>
      <c r="N971" s="58"/>
      <c r="O971" s="58"/>
      <c r="P971" s="58"/>
      <c r="Q971" s="58"/>
      <c r="R971" s="58"/>
      <c r="S971" s="58"/>
      <c r="T971" s="58"/>
      <c r="U971" s="58"/>
      <c r="V971" s="58"/>
      <c r="W971" s="58"/>
      <c r="X971" s="58"/>
      <c r="Y971" s="58"/>
    </row>
    <row r="972">
      <c r="A972" s="58"/>
      <c r="B972" s="58"/>
      <c r="C972" s="58"/>
      <c r="D972" s="58"/>
      <c r="E972" s="58"/>
      <c r="F972" s="58"/>
      <c r="G972" s="58"/>
      <c r="H972" s="58"/>
      <c r="I972" s="58"/>
      <c r="J972" s="58"/>
      <c r="K972" s="58"/>
      <c r="L972" s="58"/>
      <c r="M972" s="58"/>
      <c r="N972" s="58"/>
      <c r="O972" s="58"/>
      <c r="P972" s="58"/>
      <c r="Q972" s="58"/>
      <c r="R972" s="58"/>
      <c r="S972" s="58"/>
      <c r="T972" s="58"/>
      <c r="U972" s="58"/>
      <c r="V972" s="58"/>
      <c r="W972" s="58"/>
      <c r="X972" s="58"/>
      <c r="Y972" s="58"/>
    </row>
    <row r="973">
      <c r="A973" s="58"/>
      <c r="B973" s="58"/>
      <c r="C973" s="58"/>
      <c r="D973" s="58"/>
      <c r="E973" s="58"/>
      <c r="F973" s="58"/>
      <c r="G973" s="58"/>
      <c r="H973" s="58"/>
      <c r="I973" s="58"/>
      <c r="J973" s="58"/>
      <c r="K973" s="58"/>
      <c r="L973" s="58"/>
      <c r="M973" s="58"/>
      <c r="N973" s="58"/>
      <c r="O973" s="58"/>
      <c r="P973" s="58"/>
      <c r="Q973" s="58"/>
      <c r="R973" s="58"/>
      <c r="S973" s="58"/>
      <c r="T973" s="58"/>
      <c r="U973" s="58"/>
      <c r="V973" s="58"/>
      <c r="W973" s="58"/>
      <c r="X973" s="58"/>
      <c r="Y973" s="58"/>
    </row>
    <row r="974">
      <c r="A974" s="58"/>
      <c r="B974" s="58"/>
      <c r="C974" s="58"/>
      <c r="D974" s="58"/>
      <c r="E974" s="58"/>
      <c r="F974" s="58"/>
      <c r="G974" s="58"/>
      <c r="H974" s="58"/>
      <c r="I974" s="58"/>
      <c r="J974" s="58"/>
      <c r="K974" s="58"/>
      <c r="L974" s="58"/>
      <c r="M974" s="58"/>
      <c r="N974" s="58"/>
      <c r="O974" s="58"/>
      <c r="P974" s="58"/>
      <c r="Q974" s="58"/>
      <c r="R974" s="58"/>
      <c r="S974" s="58"/>
      <c r="T974" s="58"/>
      <c r="U974" s="58"/>
      <c r="V974" s="58"/>
      <c r="W974" s="58"/>
      <c r="X974" s="58"/>
      <c r="Y974" s="58"/>
    </row>
    <row r="975">
      <c r="A975" s="58"/>
      <c r="B975" s="58"/>
      <c r="C975" s="58"/>
      <c r="D975" s="58"/>
      <c r="E975" s="58"/>
      <c r="F975" s="58"/>
      <c r="G975" s="58"/>
      <c r="H975" s="58"/>
      <c r="I975" s="58"/>
      <c r="J975" s="58"/>
      <c r="K975" s="58"/>
      <c r="L975" s="58"/>
      <c r="M975" s="58"/>
      <c r="N975" s="58"/>
      <c r="O975" s="58"/>
      <c r="P975" s="58"/>
      <c r="Q975" s="58"/>
      <c r="R975" s="58"/>
      <c r="S975" s="58"/>
      <c r="T975" s="58"/>
      <c r="U975" s="58"/>
      <c r="V975" s="58"/>
      <c r="W975" s="58"/>
      <c r="X975" s="58"/>
      <c r="Y975" s="58"/>
    </row>
    <row r="976">
      <c r="A976" s="58"/>
      <c r="B976" s="58"/>
      <c r="C976" s="58"/>
      <c r="D976" s="58"/>
      <c r="E976" s="58"/>
      <c r="F976" s="58"/>
      <c r="G976" s="58"/>
      <c r="H976" s="58"/>
      <c r="I976" s="58"/>
      <c r="J976" s="58"/>
      <c r="K976" s="58"/>
      <c r="L976" s="58"/>
      <c r="M976" s="58"/>
      <c r="N976" s="58"/>
      <c r="O976" s="58"/>
      <c r="P976" s="58"/>
      <c r="Q976" s="58"/>
      <c r="R976" s="58"/>
      <c r="S976" s="58"/>
      <c r="T976" s="58"/>
      <c r="U976" s="58"/>
      <c r="V976" s="58"/>
      <c r="W976" s="58"/>
      <c r="X976" s="58"/>
      <c r="Y976" s="58"/>
    </row>
    <row r="977">
      <c r="A977" s="58"/>
      <c r="B977" s="58"/>
      <c r="C977" s="58"/>
      <c r="D977" s="58"/>
      <c r="E977" s="58"/>
      <c r="F977" s="58"/>
      <c r="G977" s="58"/>
      <c r="H977" s="58"/>
      <c r="I977" s="58"/>
      <c r="J977" s="58"/>
      <c r="K977" s="58"/>
      <c r="L977" s="58"/>
      <c r="M977" s="58"/>
      <c r="N977" s="58"/>
      <c r="O977" s="58"/>
      <c r="P977" s="58"/>
      <c r="Q977" s="58"/>
      <c r="R977" s="58"/>
      <c r="S977" s="58"/>
      <c r="T977" s="58"/>
      <c r="U977" s="58"/>
      <c r="V977" s="58"/>
      <c r="W977" s="58"/>
      <c r="X977" s="58"/>
      <c r="Y977" s="58"/>
    </row>
    <row r="978">
      <c r="A978" s="58"/>
      <c r="B978" s="58"/>
      <c r="C978" s="58"/>
      <c r="D978" s="58"/>
      <c r="E978" s="58"/>
      <c r="F978" s="58"/>
      <c r="G978" s="58"/>
      <c r="H978" s="58"/>
      <c r="I978" s="58"/>
      <c r="J978" s="58"/>
      <c r="K978" s="58"/>
      <c r="L978" s="58"/>
      <c r="M978" s="58"/>
      <c r="N978" s="58"/>
      <c r="O978" s="58"/>
      <c r="P978" s="58"/>
      <c r="Q978" s="58"/>
      <c r="R978" s="58"/>
      <c r="S978" s="58"/>
      <c r="T978" s="58"/>
      <c r="U978" s="58"/>
      <c r="V978" s="58"/>
      <c r="W978" s="58"/>
      <c r="X978" s="58"/>
      <c r="Y978" s="58"/>
    </row>
    <row r="979">
      <c r="A979" s="58"/>
      <c r="B979" s="58"/>
      <c r="C979" s="58"/>
      <c r="D979" s="58"/>
      <c r="E979" s="58"/>
      <c r="F979" s="58"/>
      <c r="G979" s="58"/>
      <c r="H979" s="58"/>
      <c r="I979" s="58"/>
      <c r="J979" s="58"/>
      <c r="K979" s="58"/>
      <c r="L979" s="58"/>
      <c r="M979" s="58"/>
      <c r="N979" s="58"/>
      <c r="O979" s="58"/>
      <c r="P979" s="58"/>
      <c r="Q979" s="58"/>
      <c r="R979" s="58"/>
      <c r="S979" s="58"/>
      <c r="T979" s="58"/>
      <c r="U979" s="58"/>
      <c r="V979" s="58"/>
      <c r="W979" s="58"/>
      <c r="X979" s="58"/>
      <c r="Y979" s="58"/>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1.25"/>
    <col customWidth="1" min="2" max="2" width="10.88"/>
    <col customWidth="1" min="3" max="3" width="16.0"/>
    <col customWidth="1" min="5" max="5" width="8.25"/>
    <col customWidth="1" min="6" max="6" width="22.38"/>
    <col customWidth="1" min="7" max="7" width="49.25"/>
    <col customWidth="1" min="10" max="10" width="5.88"/>
    <col customWidth="1" min="11" max="11" width="4.38"/>
    <col customWidth="1" min="16" max="16" width="44.38"/>
  </cols>
  <sheetData>
    <row r="1">
      <c r="A1" s="67" t="s">
        <v>78</v>
      </c>
      <c r="B1" s="68" t="s">
        <v>95</v>
      </c>
      <c r="C1" s="69" t="s">
        <v>1819</v>
      </c>
      <c r="D1" s="69" t="s">
        <v>87</v>
      </c>
      <c r="E1" s="70" t="s">
        <v>88</v>
      </c>
      <c r="F1" s="69" t="s">
        <v>89</v>
      </c>
      <c r="G1" s="71" t="s">
        <v>90</v>
      </c>
      <c r="H1" s="71" t="s">
        <v>91</v>
      </c>
      <c r="I1" s="3"/>
      <c r="K1" s="11" t="s">
        <v>94</v>
      </c>
      <c r="L1" s="68" t="s">
        <v>95</v>
      </c>
      <c r="M1" s="69" t="s">
        <v>1819</v>
      </c>
      <c r="N1" s="69" t="s">
        <v>87</v>
      </c>
      <c r="O1" s="69" t="s">
        <v>96</v>
      </c>
      <c r="P1" s="69" t="s">
        <v>97</v>
      </c>
      <c r="Q1" s="72" t="s">
        <v>98</v>
      </c>
      <c r="R1" s="3"/>
      <c r="S1" s="3"/>
      <c r="T1" s="3"/>
      <c r="U1" s="3"/>
      <c r="V1" s="3"/>
      <c r="W1" s="3"/>
      <c r="X1" s="3"/>
      <c r="Y1" s="3"/>
      <c r="Z1" s="3"/>
      <c r="AA1" s="3"/>
    </row>
    <row r="2">
      <c r="A2" s="73"/>
      <c r="B2" s="73"/>
      <c r="C2" s="73"/>
      <c r="D2" s="73"/>
      <c r="E2" s="73"/>
      <c r="F2" s="73"/>
      <c r="G2" s="73"/>
      <c r="H2" s="73"/>
      <c r="I2" s="3"/>
      <c r="J2" s="3"/>
      <c r="K2" s="3"/>
      <c r="L2" s="3"/>
      <c r="M2" s="3"/>
      <c r="N2" s="3"/>
      <c r="O2" s="3"/>
      <c r="P2" s="3"/>
      <c r="Q2" s="3"/>
      <c r="R2" s="3"/>
      <c r="S2" s="3"/>
      <c r="T2" s="3"/>
      <c r="U2" s="3"/>
      <c r="V2" s="3"/>
      <c r="W2" s="3"/>
      <c r="X2" s="3"/>
      <c r="Y2" s="3"/>
      <c r="Z2" s="3"/>
      <c r="AA2" s="3"/>
    </row>
    <row r="3" ht="13.5" customHeight="1">
      <c r="A3" s="11" t="s">
        <v>100</v>
      </c>
      <c r="C3" s="74" t="s">
        <v>1830</v>
      </c>
      <c r="I3" s="3"/>
      <c r="J3" s="3"/>
      <c r="K3" s="3"/>
      <c r="L3" s="3"/>
      <c r="M3" s="3"/>
      <c r="N3" s="3"/>
      <c r="O3" s="3"/>
      <c r="P3" s="74" t="s">
        <v>1831</v>
      </c>
      <c r="Q3" s="3"/>
      <c r="R3" s="3"/>
      <c r="S3" s="3"/>
      <c r="T3" s="3"/>
      <c r="U3" s="3"/>
      <c r="V3" s="3"/>
      <c r="W3" s="3"/>
      <c r="X3" s="3"/>
      <c r="Y3" s="3"/>
      <c r="Z3" s="3"/>
      <c r="AA3" s="3"/>
    </row>
    <row r="4" ht="13.5" customHeight="1">
      <c r="A4" s="11" t="s">
        <v>100</v>
      </c>
      <c r="C4" s="75" t="s">
        <v>104</v>
      </c>
      <c r="I4" s="3"/>
      <c r="J4" s="3"/>
      <c r="K4" s="3"/>
      <c r="L4" s="3"/>
      <c r="M4" s="3"/>
      <c r="N4" s="3"/>
      <c r="O4" s="3"/>
      <c r="P4" s="75" t="s">
        <v>1832</v>
      </c>
      <c r="Q4" s="3"/>
      <c r="R4" s="3"/>
      <c r="S4" s="3"/>
      <c r="T4" s="3"/>
      <c r="U4" s="3"/>
      <c r="V4" s="3"/>
      <c r="W4" s="3"/>
      <c r="X4" s="3"/>
      <c r="Y4" s="3"/>
      <c r="Z4" s="3"/>
      <c r="AA4" s="3"/>
    </row>
    <row r="5" ht="13.5" customHeight="1">
      <c r="A5" s="11" t="s">
        <v>100</v>
      </c>
      <c r="C5" s="75" t="s">
        <v>109</v>
      </c>
      <c r="I5" s="3"/>
      <c r="J5" s="3"/>
      <c r="K5" s="3"/>
      <c r="L5" s="3"/>
      <c r="M5" s="3"/>
      <c r="N5" s="3"/>
      <c r="O5" s="3"/>
      <c r="P5" s="76" t="s">
        <v>1833</v>
      </c>
      <c r="Q5" s="3"/>
      <c r="R5" s="3"/>
      <c r="S5" s="3"/>
      <c r="T5" s="3"/>
      <c r="U5" s="3"/>
      <c r="V5" s="3"/>
      <c r="W5" s="3"/>
      <c r="X5" s="3"/>
      <c r="Y5" s="3"/>
      <c r="Z5" s="3"/>
      <c r="AA5" s="3"/>
    </row>
    <row r="6" ht="13.5" customHeight="1">
      <c r="A6" s="11" t="s">
        <v>100</v>
      </c>
      <c r="C6" s="75" t="s">
        <v>113</v>
      </c>
      <c r="I6" s="3"/>
      <c r="J6" s="3"/>
      <c r="K6" s="3"/>
      <c r="L6" s="3"/>
      <c r="M6" s="3"/>
      <c r="N6" s="3"/>
      <c r="O6" s="3"/>
      <c r="P6" s="76" t="s">
        <v>1834</v>
      </c>
      <c r="Q6" s="3"/>
      <c r="R6" s="3"/>
      <c r="S6" s="3"/>
      <c r="T6" s="3"/>
      <c r="U6" s="3"/>
      <c r="V6" s="3"/>
      <c r="W6" s="3"/>
      <c r="X6" s="3"/>
      <c r="Y6" s="3"/>
      <c r="Z6" s="3"/>
      <c r="AA6" s="3"/>
    </row>
    <row r="7" ht="13.5" customHeight="1">
      <c r="A7" s="11" t="s">
        <v>100</v>
      </c>
      <c r="C7" s="75" t="s">
        <v>117</v>
      </c>
      <c r="I7" s="3"/>
      <c r="J7" s="3"/>
      <c r="K7" s="3"/>
      <c r="L7" s="3"/>
      <c r="M7" s="3"/>
      <c r="N7" s="3"/>
      <c r="O7" s="3"/>
      <c r="P7" s="75" t="s">
        <v>1835</v>
      </c>
      <c r="Q7" s="3"/>
      <c r="R7" s="3"/>
      <c r="S7" s="3"/>
      <c r="T7" s="3"/>
      <c r="U7" s="3"/>
      <c r="V7" s="3"/>
      <c r="W7" s="3"/>
      <c r="X7" s="3"/>
      <c r="Y7" s="3"/>
      <c r="Z7" s="3"/>
      <c r="AA7" s="3"/>
    </row>
    <row r="8" ht="13.5" customHeight="1">
      <c r="A8" s="11" t="s">
        <v>100</v>
      </c>
      <c r="C8" s="75" t="s">
        <v>121</v>
      </c>
      <c r="I8" s="3"/>
      <c r="J8" s="3"/>
      <c r="K8" s="3"/>
      <c r="L8" s="3"/>
      <c r="M8" s="3"/>
      <c r="N8" s="3"/>
      <c r="O8" s="3"/>
      <c r="P8" s="76" t="s">
        <v>1836</v>
      </c>
      <c r="Q8" s="3"/>
      <c r="R8" s="3"/>
      <c r="S8" s="3"/>
      <c r="T8" s="3"/>
      <c r="U8" s="3"/>
      <c r="V8" s="3"/>
      <c r="W8" s="3"/>
      <c r="X8" s="3"/>
      <c r="Y8" s="3"/>
      <c r="Z8" s="3"/>
      <c r="AA8" s="3"/>
    </row>
    <row r="9" ht="13.5" customHeight="1">
      <c r="A9" s="11" t="s">
        <v>100</v>
      </c>
      <c r="C9" s="75" t="s">
        <v>125</v>
      </c>
      <c r="I9" s="3"/>
      <c r="J9" s="3"/>
      <c r="K9" s="3"/>
      <c r="L9" s="3"/>
      <c r="M9" s="3"/>
      <c r="N9" s="3"/>
      <c r="O9" s="3"/>
      <c r="P9" s="76" t="s">
        <v>1837</v>
      </c>
      <c r="Q9" s="3"/>
      <c r="R9" s="3"/>
      <c r="S9" s="3"/>
      <c r="T9" s="3"/>
      <c r="U9" s="3"/>
      <c r="V9" s="3"/>
      <c r="W9" s="3"/>
      <c r="X9" s="3"/>
      <c r="Y9" s="3"/>
      <c r="Z9" s="3"/>
      <c r="AA9" s="3"/>
    </row>
    <row r="10">
      <c r="A10" s="77"/>
      <c r="B10" s="78"/>
      <c r="C10" s="78"/>
      <c r="D10" s="78"/>
      <c r="E10" s="78"/>
      <c r="F10" s="78"/>
      <c r="G10" s="78"/>
      <c r="H10" s="78"/>
      <c r="I10" s="3"/>
      <c r="J10" s="3"/>
      <c r="K10" s="3"/>
      <c r="L10" s="3"/>
      <c r="M10" s="3"/>
      <c r="N10" s="3"/>
      <c r="O10" s="3"/>
      <c r="P10" s="3"/>
      <c r="Q10" s="3"/>
      <c r="R10" s="3"/>
      <c r="S10" s="3"/>
      <c r="T10" s="3"/>
      <c r="U10" s="3"/>
      <c r="V10" s="3"/>
      <c r="W10" s="3"/>
      <c r="X10" s="3"/>
      <c r="Y10" s="3"/>
      <c r="Z10" s="3"/>
      <c r="AA10" s="3"/>
    </row>
    <row r="11">
      <c r="A11" s="77" t="s">
        <v>127</v>
      </c>
      <c r="B11" s="73"/>
      <c r="C11" s="73"/>
      <c r="D11" s="73"/>
      <c r="E11" s="73"/>
      <c r="F11" s="73"/>
      <c r="G11" s="73"/>
      <c r="H11" s="73"/>
      <c r="I11" s="3"/>
      <c r="J11" s="3"/>
      <c r="K11" s="3"/>
      <c r="L11" s="3"/>
      <c r="M11" s="3"/>
      <c r="N11" s="3"/>
      <c r="O11" s="3"/>
      <c r="P11" s="3"/>
      <c r="Q11" s="3"/>
      <c r="R11" s="3"/>
      <c r="S11" s="3"/>
      <c r="T11" s="3"/>
      <c r="U11" s="3"/>
      <c r="V11" s="3"/>
      <c r="W11" s="3"/>
      <c r="X11" s="3"/>
      <c r="Y11" s="3"/>
      <c r="Z11" s="3"/>
      <c r="AA11" s="3"/>
    </row>
    <row r="12">
      <c r="A12" s="77" t="s">
        <v>127</v>
      </c>
      <c r="B12" s="68" t="s">
        <v>95</v>
      </c>
      <c r="C12" s="69" t="s">
        <v>1819</v>
      </c>
      <c r="D12" s="69" t="s">
        <v>87</v>
      </c>
      <c r="E12" s="70" t="s">
        <v>88</v>
      </c>
      <c r="F12" s="69" t="s">
        <v>89</v>
      </c>
      <c r="G12" s="71" t="s">
        <v>90</v>
      </c>
      <c r="H12" s="71" t="s">
        <v>91</v>
      </c>
      <c r="I12" s="3"/>
      <c r="K12" s="79" t="s">
        <v>94</v>
      </c>
      <c r="L12" s="68" t="s">
        <v>95</v>
      </c>
      <c r="M12" s="69" t="s">
        <v>1819</v>
      </c>
      <c r="N12" s="69" t="s">
        <v>87</v>
      </c>
      <c r="O12" s="69" t="s">
        <v>96</v>
      </c>
      <c r="P12" s="69" t="s">
        <v>97</v>
      </c>
      <c r="Q12" s="72" t="s">
        <v>98</v>
      </c>
      <c r="R12" s="3"/>
      <c r="S12" s="3"/>
      <c r="T12" s="3"/>
      <c r="U12" s="3"/>
      <c r="V12" s="3"/>
      <c r="W12" s="3"/>
      <c r="X12" s="3"/>
      <c r="Y12" s="3"/>
      <c r="Z12" s="3"/>
      <c r="AA12" s="3"/>
    </row>
    <row r="13">
      <c r="A13" s="77" t="s">
        <v>127</v>
      </c>
      <c r="B13" s="80" t="s">
        <v>1838</v>
      </c>
      <c r="C13" s="81" t="s">
        <v>129</v>
      </c>
      <c r="D13" s="81" t="s">
        <v>132</v>
      </c>
      <c r="E13" s="82">
        <v>1.0</v>
      </c>
      <c r="F13" s="81" t="s">
        <v>133</v>
      </c>
      <c r="G13" s="83" t="s">
        <v>134</v>
      </c>
      <c r="H13" s="83" t="s">
        <v>135</v>
      </c>
      <c r="I13" s="20" t="str">
        <f>C13&amp;D13&amp;H13</f>
        <v>Visión EstratégicaVisiónInsuficiente</v>
      </c>
      <c r="J13" s="1">
        <v>1.0</v>
      </c>
      <c r="K13" s="79">
        <v>1.0</v>
      </c>
      <c r="L13" s="80" t="s">
        <v>136</v>
      </c>
      <c r="M13" s="81" t="s">
        <v>129</v>
      </c>
      <c r="N13" s="81" t="s">
        <v>132</v>
      </c>
      <c r="O13" s="81" t="s">
        <v>137</v>
      </c>
      <c r="P13" s="81" t="s">
        <v>138</v>
      </c>
      <c r="Q13" s="73" t="str">
        <f t="shared" ref="Q13:Q21" si="1">VLOOKUP(L13,$I$13:$J$207,2,0)</f>
        <v>#N/A</v>
      </c>
      <c r="R13" s="3"/>
      <c r="S13" s="3"/>
      <c r="T13" s="3"/>
      <c r="U13" s="3"/>
      <c r="V13" s="3"/>
      <c r="W13" s="3"/>
      <c r="X13" s="3"/>
      <c r="Y13" s="3"/>
      <c r="Z13" s="3"/>
      <c r="AA13" s="3"/>
    </row>
    <row r="14">
      <c r="A14" s="77" t="s">
        <v>127</v>
      </c>
      <c r="K14" s="79">
        <v>43.0</v>
      </c>
      <c r="L14" s="80" t="s">
        <v>139</v>
      </c>
      <c r="M14" s="81" t="s">
        <v>129</v>
      </c>
      <c r="N14" s="81" t="s">
        <v>132</v>
      </c>
      <c r="O14" s="81" t="s">
        <v>140</v>
      </c>
      <c r="P14" s="81" t="s">
        <v>138</v>
      </c>
      <c r="Q14" s="73" t="str">
        <f t="shared" si="1"/>
        <v>#N/A</v>
      </c>
      <c r="R14" s="3"/>
      <c r="S14" s="3"/>
      <c r="T14" s="3"/>
      <c r="U14" s="3"/>
      <c r="V14" s="3"/>
      <c r="W14" s="3"/>
      <c r="X14" s="3"/>
      <c r="Y14" s="3"/>
      <c r="Z14" s="3"/>
      <c r="AA14" s="3"/>
    </row>
    <row r="15">
      <c r="A15" s="77" t="s">
        <v>127</v>
      </c>
      <c r="B15" s="80" t="s">
        <v>1839</v>
      </c>
      <c r="C15" s="81" t="s">
        <v>129</v>
      </c>
      <c r="D15" s="81" t="s">
        <v>132</v>
      </c>
      <c r="E15" s="82">
        <v>1.0</v>
      </c>
      <c r="F15" s="81" t="s">
        <v>133</v>
      </c>
      <c r="G15" s="83" t="s">
        <v>142</v>
      </c>
      <c r="H15" s="83" t="s">
        <v>143</v>
      </c>
      <c r="I15" s="20" t="str">
        <f t="shared" ref="I15:I207" si="2">C15&amp;D15&amp;H15</f>
        <v>Visión EstratégicaVisiónAvanzado</v>
      </c>
      <c r="J15" s="3">
        <v>2.0</v>
      </c>
      <c r="K15" s="79">
        <v>85.0</v>
      </c>
      <c r="L15" s="80" t="s">
        <v>144</v>
      </c>
      <c r="M15" s="81" t="s">
        <v>129</v>
      </c>
      <c r="N15" s="81" t="s">
        <v>132</v>
      </c>
      <c r="O15" s="81" t="s">
        <v>143</v>
      </c>
      <c r="P15" s="81" t="s">
        <v>138</v>
      </c>
      <c r="Q15" s="73">
        <f t="shared" si="1"/>
        <v>2</v>
      </c>
      <c r="R15" s="3"/>
      <c r="S15" s="3"/>
      <c r="T15" s="3"/>
      <c r="U15" s="3"/>
      <c r="V15" s="3"/>
      <c r="W15" s="3"/>
      <c r="X15" s="3"/>
      <c r="Y15" s="3"/>
      <c r="Z15" s="3"/>
      <c r="AA15" s="3"/>
    </row>
    <row r="16">
      <c r="A16" s="77" t="s">
        <v>127</v>
      </c>
      <c r="B16" s="80" t="s">
        <v>1840</v>
      </c>
      <c r="C16" s="81" t="s">
        <v>129</v>
      </c>
      <c r="D16" s="81" t="s">
        <v>146</v>
      </c>
      <c r="E16" s="82">
        <v>2.0</v>
      </c>
      <c r="F16" s="81" t="s">
        <v>147</v>
      </c>
      <c r="G16" s="83" t="s">
        <v>134</v>
      </c>
      <c r="H16" s="83" t="s">
        <v>135</v>
      </c>
      <c r="I16" s="20" t="str">
        <f t="shared" si="2"/>
        <v>Visión EstratégicaEstrategiaInsuficiente</v>
      </c>
      <c r="J16" s="3">
        <v>3.0</v>
      </c>
      <c r="K16" s="79">
        <v>44.0</v>
      </c>
      <c r="L16" s="80" t="s">
        <v>148</v>
      </c>
      <c r="M16" s="81" t="s">
        <v>129</v>
      </c>
      <c r="N16" s="81" t="s">
        <v>146</v>
      </c>
      <c r="O16" s="81" t="s">
        <v>140</v>
      </c>
      <c r="P16" s="81" t="s">
        <v>149</v>
      </c>
      <c r="Q16" s="73" t="str">
        <f t="shared" si="1"/>
        <v>#N/A</v>
      </c>
      <c r="R16" s="3"/>
      <c r="S16" s="3"/>
      <c r="T16" s="3"/>
      <c r="U16" s="3"/>
      <c r="V16" s="3"/>
      <c r="W16" s="3"/>
      <c r="X16" s="3"/>
      <c r="Y16" s="3"/>
      <c r="Z16" s="3"/>
      <c r="AA16" s="3"/>
    </row>
    <row r="17">
      <c r="A17" s="77" t="s">
        <v>127</v>
      </c>
      <c r="B17" s="80" t="s">
        <v>1841</v>
      </c>
      <c r="C17" s="81" t="s">
        <v>129</v>
      </c>
      <c r="D17" s="81" t="s">
        <v>146</v>
      </c>
      <c r="E17" s="82">
        <v>2.0</v>
      </c>
      <c r="F17" s="81" t="s">
        <v>147</v>
      </c>
      <c r="G17" s="83" t="s">
        <v>150</v>
      </c>
      <c r="H17" s="83" t="s">
        <v>137</v>
      </c>
      <c r="I17" s="20" t="str">
        <f t="shared" si="2"/>
        <v>Visión EstratégicaEstrategiaBásico</v>
      </c>
      <c r="J17" s="3">
        <v>4.0</v>
      </c>
      <c r="K17" s="79">
        <v>2.0</v>
      </c>
      <c r="L17" s="80" t="s">
        <v>151</v>
      </c>
      <c r="M17" s="81" t="s">
        <v>129</v>
      </c>
      <c r="N17" s="81" t="s">
        <v>146</v>
      </c>
      <c r="O17" s="81" t="s">
        <v>137</v>
      </c>
      <c r="P17" s="81" t="s">
        <v>149</v>
      </c>
      <c r="Q17" s="73">
        <f t="shared" si="1"/>
        <v>4</v>
      </c>
      <c r="R17" s="3"/>
      <c r="S17" s="3"/>
      <c r="T17" s="3"/>
      <c r="U17" s="3"/>
      <c r="V17" s="3"/>
      <c r="W17" s="3"/>
      <c r="X17" s="3"/>
      <c r="Y17" s="3"/>
      <c r="Z17" s="3"/>
      <c r="AA17" s="3"/>
    </row>
    <row r="18">
      <c r="A18" s="77" t="s">
        <v>127</v>
      </c>
      <c r="B18" s="80" t="s">
        <v>1842</v>
      </c>
      <c r="C18" s="81" t="s">
        <v>129</v>
      </c>
      <c r="D18" s="81" t="s">
        <v>146</v>
      </c>
      <c r="E18" s="82">
        <v>2.0</v>
      </c>
      <c r="F18" s="81" t="s">
        <v>147</v>
      </c>
      <c r="G18" s="83" t="s">
        <v>152</v>
      </c>
      <c r="H18" s="83" t="s">
        <v>143</v>
      </c>
      <c r="I18" s="20" t="str">
        <f t="shared" si="2"/>
        <v>Visión EstratégicaEstrategiaAvanzado</v>
      </c>
      <c r="J18" s="3">
        <v>5.0</v>
      </c>
      <c r="K18" s="79">
        <v>86.0</v>
      </c>
      <c r="L18" s="80" t="s">
        <v>153</v>
      </c>
      <c r="M18" s="81" t="s">
        <v>129</v>
      </c>
      <c r="N18" s="81" t="s">
        <v>146</v>
      </c>
      <c r="O18" s="81" t="s">
        <v>143</v>
      </c>
      <c r="P18" s="81" t="s">
        <v>149</v>
      </c>
      <c r="Q18" s="73">
        <f t="shared" si="1"/>
        <v>5</v>
      </c>
      <c r="R18" s="3"/>
      <c r="S18" s="3"/>
      <c r="T18" s="3"/>
      <c r="U18" s="3"/>
      <c r="V18" s="3"/>
      <c r="W18" s="3"/>
      <c r="X18" s="3"/>
      <c r="Y18" s="3"/>
      <c r="Z18" s="3"/>
      <c r="AA18" s="3"/>
    </row>
    <row r="19">
      <c r="A19" s="77" t="s">
        <v>127</v>
      </c>
      <c r="B19" s="80" t="s">
        <v>1843</v>
      </c>
      <c r="C19" s="81" t="s">
        <v>129</v>
      </c>
      <c r="D19" s="81" t="s">
        <v>155</v>
      </c>
      <c r="E19" s="82">
        <v>3.0</v>
      </c>
      <c r="F19" s="81" t="s">
        <v>156</v>
      </c>
      <c r="G19" s="83" t="s">
        <v>157</v>
      </c>
      <c r="H19" s="83" t="s">
        <v>135</v>
      </c>
      <c r="I19" s="20" t="str">
        <f t="shared" si="2"/>
        <v>Visión EstratégicaPresupuesto y RecursosInsuficiente</v>
      </c>
      <c r="J19" s="3">
        <v>6.0</v>
      </c>
      <c r="K19" s="79">
        <v>3.0</v>
      </c>
      <c r="L19" s="80" t="s">
        <v>158</v>
      </c>
      <c r="M19" s="81" t="s">
        <v>129</v>
      </c>
      <c r="N19" s="81" t="s">
        <v>155</v>
      </c>
      <c r="O19" s="81" t="s">
        <v>137</v>
      </c>
      <c r="P19" s="81" t="s">
        <v>159</v>
      </c>
      <c r="Q19" s="73" t="str">
        <f t="shared" si="1"/>
        <v>#N/A</v>
      </c>
      <c r="R19" s="3"/>
      <c r="S19" s="3"/>
      <c r="T19" s="3"/>
      <c r="U19" s="3"/>
      <c r="V19" s="3"/>
      <c r="W19" s="3"/>
      <c r="X19" s="3"/>
      <c r="Y19" s="3"/>
      <c r="Z19" s="3"/>
      <c r="AA19" s="3"/>
    </row>
    <row r="20">
      <c r="A20" s="77" t="s">
        <v>127</v>
      </c>
      <c r="B20" s="80" t="s">
        <v>1844</v>
      </c>
      <c r="C20" s="81" t="s">
        <v>129</v>
      </c>
      <c r="D20" s="81" t="s">
        <v>155</v>
      </c>
      <c r="E20" s="82">
        <v>3.0</v>
      </c>
      <c r="F20" s="81" t="s">
        <v>156</v>
      </c>
      <c r="G20" s="83" t="s">
        <v>134</v>
      </c>
      <c r="H20" s="83" t="s">
        <v>135</v>
      </c>
      <c r="I20" s="20" t="str">
        <f t="shared" si="2"/>
        <v>Visión EstratégicaPresupuesto y RecursosInsuficiente</v>
      </c>
      <c r="J20" s="3">
        <v>7.0</v>
      </c>
      <c r="K20" s="79">
        <v>45.0</v>
      </c>
      <c r="L20" s="80" t="s">
        <v>160</v>
      </c>
      <c r="M20" s="81" t="s">
        <v>129</v>
      </c>
      <c r="N20" s="81" t="s">
        <v>155</v>
      </c>
      <c r="O20" s="81" t="s">
        <v>140</v>
      </c>
      <c r="P20" s="81" t="s">
        <v>159</v>
      </c>
      <c r="Q20" s="73" t="str">
        <f t="shared" si="1"/>
        <v>#N/A</v>
      </c>
      <c r="R20" s="3"/>
      <c r="S20" s="3"/>
      <c r="T20" s="3"/>
      <c r="U20" s="3"/>
      <c r="V20" s="3"/>
      <c r="W20" s="3"/>
      <c r="X20" s="3"/>
      <c r="Y20" s="3"/>
      <c r="Z20" s="3"/>
      <c r="AA20" s="3"/>
    </row>
    <row r="21">
      <c r="A21" s="77" t="s">
        <v>127</v>
      </c>
      <c r="B21" s="80" t="s">
        <v>1845</v>
      </c>
      <c r="C21" s="81" t="s">
        <v>129</v>
      </c>
      <c r="D21" s="81" t="s">
        <v>155</v>
      </c>
      <c r="E21" s="82">
        <v>3.0</v>
      </c>
      <c r="F21" s="81" t="s">
        <v>156</v>
      </c>
      <c r="G21" s="83" t="s">
        <v>142</v>
      </c>
      <c r="H21" s="83" t="s">
        <v>143</v>
      </c>
      <c r="I21" s="20" t="str">
        <f t="shared" si="2"/>
        <v>Visión EstratégicaPresupuesto y RecursosAvanzado</v>
      </c>
      <c r="J21" s="3">
        <v>8.0</v>
      </c>
      <c r="K21" s="79">
        <v>87.0</v>
      </c>
      <c r="L21" s="80" t="s">
        <v>161</v>
      </c>
      <c r="M21" s="81" t="s">
        <v>129</v>
      </c>
      <c r="N21" s="81" t="s">
        <v>155</v>
      </c>
      <c r="O21" s="81" t="s">
        <v>143</v>
      </c>
      <c r="P21" s="81" t="s">
        <v>159</v>
      </c>
      <c r="Q21" s="73">
        <f t="shared" si="1"/>
        <v>8</v>
      </c>
      <c r="R21" s="3"/>
      <c r="S21" s="3"/>
      <c r="T21" s="3"/>
      <c r="U21" s="3"/>
      <c r="V21" s="3"/>
      <c r="W21" s="3"/>
      <c r="X21" s="3"/>
      <c r="Y21" s="3"/>
      <c r="Z21" s="3"/>
      <c r="AA21" s="3"/>
    </row>
    <row r="22">
      <c r="A22" s="77" t="s">
        <v>127</v>
      </c>
      <c r="B22" s="80" t="s">
        <v>1846</v>
      </c>
      <c r="C22" s="81" t="s">
        <v>129</v>
      </c>
      <c r="D22" s="81" t="s">
        <v>163</v>
      </c>
      <c r="E22" s="82">
        <v>4.0</v>
      </c>
      <c r="F22" s="81" t="s">
        <v>164</v>
      </c>
      <c r="G22" s="83" t="s">
        <v>134</v>
      </c>
      <c r="H22" s="83" t="s">
        <v>135</v>
      </c>
      <c r="I22" s="20" t="str">
        <f t="shared" si="2"/>
        <v>Visión EstratégicaCapacidadesInsuficiente</v>
      </c>
      <c r="J22" s="3">
        <v>9.0</v>
      </c>
      <c r="K22" s="84"/>
      <c r="R22" s="3"/>
      <c r="S22" s="3"/>
      <c r="T22" s="3"/>
      <c r="U22" s="3"/>
      <c r="V22" s="3"/>
      <c r="W22" s="3"/>
      <c r="X22" s="3"/>
      <c r="Y22" s="3"/>
      <c r="Z22" s="3"/>
      <c r="AA22" s="3"/>
    </row>
    <row r="23">
      <c r="A23" s="77" t="s">
        <v>127</v>
      </c>
      <c r="B23" s="80" t="s">
        <v>1847</v>
      </c>
      <c r="C23" s="81" t="s">
        <v>129</v>
      </c>
      <c r="D23" s="81" t="s">
        <v>163</v>
      </c>
      <c r="E23" s="82">
        <v>4.0</v>
      </c>
      <c r="F23" s="81" t="s">
        <v>164</v>
      </c>
      <c r="G23" s="83" t="s">
        <v>165</v>
      </c>
      <c r="H23" s="83" t="s">
        <v>137</v>
      </c>
      <c r="I23" s="20" t="str">
        <f t="shared" si="2"/>
        <v>Visión EstratégicaCapacidadesBásico</v>
      </c>
      <c r="J23" s="3">
        <v>10.0</v>
      </c>
      <c r="K23" s="79">
        <v>4.0</v>
      </c>
      <c r="L23" s="80" t="s">
        <v>166</v>
      </c>
      <c r="M23" s="81" t="s">
        <v>129</v>
      </c>
      <c r="N23" s="81" t="s">
        <v>163</v>
      </c>
      <c r="O23" s="81" t="s">
        <v>137</v>
      </c>
      <c r="P23" s="81" t="s">
        <v>167</v>
      </c>
      <c r="Q23" s="73">
        <f t="shared" ref="Q23:Q28" si="3">VLOOKUP(L23,$I$13:$J$207,2,0)</f>
        <v>10</v>
      </c>
      <c r="R23" s="3"/>
      <c r="S23" s="3"/>
      <c r="T23" s="3"/>
      <c r="U23" s="3"/>
      <c r="V23" s="3"/>
      <c r="W23" s="3"/>
      <c r="X23" s="3"/>
      <c r="Y23" s="3"/>
      <c r="Z23" s="3"/>
      <c r="AA23" s="3"/>
    </row>
    <row r="24">
      <c r="A24" s="77" t="s">
        <v>127</v>
      </c>
      <c r="B24" s="80" t="s">
        <v>1848</v>
      </c>
      <c r="C24" s="81" t="s">
        <v>129</v>
      </c>
      <c r="D24" s="81" t="s">
        <v>163</v>
      </c>
      <c r="E24" s="82">
        <v>4.0</v>
      </c>
      <c r="F24" s="81" t="s">
        <v>164</v>
      </c>
      <c r="G24" s="83" t="s">
        <v>168</v>
      </c>
      <c r="H24" s="83" t="s">
        <v>140</v>
      </c>
      <c r="I24" s="20" t="str">
        <f t="shared" si="2"/>
        <v>Visión EstratégicaCapacidadesMedio</v>
      </c>
      <c r="J24" s="3">
        <v>11.0</v>
      </c>
      <c r="K24" s="79">
        <v>46.0</v>
      </c>
      <c r="L24" s="80" t="s">
        <v>169</v>
      </c>
      <c r="M24" s="81" t="s">
        <v>129</v>
      </c>
      <c r="N24" s="81" t="s">
        <v>163</v>
      </c>
      <c r="O24" s="81" t="s">
        <v>140</v>
      </c>
      <c r="P24" s="81" t="s">
        <v>170</v>
      </c>
      <c r="Q24" s="73">
        <f t="shared" si="3"/>
        <v>11</v>
      </c>
      <c r="R24" s="3"/>
      <c r="S24" s="3"/>
      <c r="T24" s="3"/>
      <c r="U24" s="3"/>
      <c r="V24" s="3"/>
      <c r="W24" s="3"/>
      <c r="X24" s="3"/>
      <c r="Y24" s="3"/>
      <c r="Z24" s="3"/>
      <c r="AA24" s="3"/>
    </row>
    <row r="25">
      <c r="A25" s="77" t="s">
        <v>127</v>
      </c>
      <c r="B25" s="80" t="s">
        <v>1849</v>
      </c>
      <c r="C25" s="81" t="s">
        <v>129</v>
      </c>
      <c r="D25" s="81" t="s">
        <v>163</v>
      </c>
      <c r="E25" s="82">
        <v>4.0</v>
      </c>
      <c r="F25" s="81" t="s">
        <v>164</v>
      </c>
      <c r="G25" s="83" t="s">
        <v>171</v>
      </c>
      <c r="H25" s="83" t="s">
        <v>143</v>
      </c>
      <c r="I25" s="20" t="str">
        <f t="shared" si="2"/>
        <v>Visión EstratégicaCapacidadesAvanzado</v>
      </c>
      <c r="J25" s="3">
        <v>12.0</v>
      </c>
      <c r="K25" s="79">
        <v>88.0</v>
      </c>
      <c r="L25" s="80" t="s">
        <v>172</v>
      </c>
      <c r="M25" s="81" t="s">
        <v>129</v>
      </c>
      <c r="N25" s="81" t="s">
        <v>163</v>
      </c>
      <c r="O25" s="81" t="s">
        <v>143</v>
      </c>
      <c r="P25" s="81" t="s">
        <v>173</v>
      </c>
      <c r="Q25" s="73">
        <f t="shared" si="3"/>
        <v>12</v>
      </c>
      <c r="R25" s="3"/>
      <c r="S25" s="3"/>
      <c r="T25" s="3"/>
      <c r="U25" s="3"/>
      <c r="V25" s="3"/>
      <c r="W25" s="3"/>
      <c r="X25" s="3"/>
      <c r="Y25" s="3"/>
      <c r="Z25" s="3"/>
      <c r="AA25" s="3"/>
    </row>
    <row r="26">
      <c r="A26" s="77" t="s">
        <v>127</v>
      </c>
      <c r="B26" s="80" t="s">
        <v>1850</v>
      </c>
      <c r="C26" s="81" t="s">
        <v>129</v>
      </c>
      <c r="D26" s="81" t="s">
        <v>175</v>
      </c>
      <c r="E26" s="82">
        <v>5.0</v>
      </c>
      <c r="F26" s="81" t="s">
        <v>176</v>
      </c>
      <c r="G26" s="83" t="s">
        <v>134</v>
      </c>
      <c r="H26" s="83" t="s">
        <v>135</v>
      </c>
      <c r="I26" s="20" t="str">
        <f t="shared" si="2"/>
        <v>Visión EstratégicaGestión del CambioInsuficiente</v>
      </c>
      <c r="J26" s="3">
        <v>13.0</v>
      </c>
      <c r="K26" s="79">
        <v>5.0</v>
      </c>
      <c r="L26" s="80" t="s">
        <v>177</v>
      </c>
      <c r="M26" s="81" t="s">
        <v>129</v>
      </c>
      <c r="N26" s="81" t="s">
        <v>175</v>
      </c>
      <c r="O26" s="81" t="s">
        <v>137</v>
      </c>
      <c r="P26" s="81" t="s">
        <v>178</v>
      </c>
      <c r="Q26" s="73">
        <f t="shared" si="3"/>
        <v>14</v>
      </c>
      <c r="R26" s="3"/>
      <c r="S26" s="3"/>
      <c r="T26" s="3"/>
      <c r="U26" s="3"/>
      <c r="V26" s="3"/>
      <c r="W26" s="3"/>
      <c r="X26" s="3"/>
      <c r="Y26" s="3"/>
      <c r="Z26" s="3"/>
      <c r="AA26" s="3"/>
    </row>
    <row r="27">
      <c r="A27" s="77" t="s">
        <v>127</v>
      </c>
      <c r="B27" s="80" t="s">
        <v>1851</v>
      </c>
      <c r="C27" s="81" t="s">
        <v>129</v>
      </c>
      <c r="D27" s="81" t="s">
        <v>175</v>
      </c>
      <c r="E27" s="82">
        <v>5.0</v>
      </c>
      <c r="F27" s="81" t="s">
        <v>176</v>
      </c>
      <c r="G27" s="83" t="s">
        <v>179</v>
      </c>
      <c r="H27" s="83" t="s">
        <v>137</v>
      </c>
      <c r="I27" s="20" t="str">
        <f t="shared" si="2"/>
        <v>Visión EstratégicaGestión del CambioBásico</v>
      </c>
      <c r="J27" s="3">
        <v>14.0</v>
      </c>
      <c r="K27" s="79">
        <v>47.0</v>
      </c>
      <c r="L27" s="80" t="s">
        <v>180</v>
      </c>
      <c r="M27" s="81" t="s">
        <v>129</v>
      </c>
      <c r="N27" s="81" t="s">
        <v>175</v>
      </c>
      <c r="O27" s="81" t="s">
        <v>140</v>
      </c>
      <c r="P27" s="81" t="s">
        <v>181</v>
      </c>
      <c r="Q27" s="73">
        <f t="shared" si="3"/>
        <v>15</v>
      </c>
      <c r="R27" s="3"/>
      <c r="S27" s="3"/>
      <c r="T27" s="3"/>
      <c r="U27" s="3"/>
      <c r="V27" s="3"/>
      <c r="W27" s="3"/>
      <c r="X27" s="3"/>
      <c r="Y27" s="3"/>
      <c r="Z27" s="3"/>
      <c r="AA27" s="3"/>
    </row>
    <row r="28">
      <c r="A28" s="77" t="s">
        <v>127</v>
      </c>
      <c r="B28" s="80" t="s">
        <v>1852</v>
      </c>
      <c r="C28" s="81" t="s">
        <v>129</v>
      </c>
      <c r="D28" s="81" t="s">
        <v>175</v>
      </c>
      <c r="E28" s="82">
        <v>5.0</v>
      </c>
      <c r="F28" s="81" t="s">
        <v>176</v>
      </c>
      <c r="G28" s="83" t="s">
        <v>182</v>
      </c>
      <c r="H28" s="83" t="s">
        <v>140</v>
      </c>
      <c r="I28" s="20" t="str">
        <f t="shared" si="2"/>
        <v>Visión EstratégicaGestión del CambioMedio</v>
      </c>
      <c r="J28" s="3">
        <v>15.0</v>
      </c>
      <c r="K28" s="79">
        <v>89.0</v>
      </c>
      <c r="L28" s="80" t="s">
        <v>183</v>
      </c>
      <c r="M28" s="81" t="s">
        <v>129</v>
      </c>
      <c r="N28" s="81" t="s">
        <v>175</v>
      </c>
      <c r="O28" s="81" t="s">
        <v>143</v>
      </c>
      <c r="P28" s="81" t="s">
        <v>184</v>
      </c>
      <c r="Q28" s="73">
        <f t="shared" si="3"/>
        <v>16</v>
      </c>
      <c r="R28" s="3"/>
      <c r="S28" s="3"/>
      <c r="T28" s="3"/>
      <c r="U28" s="3"/>
      <c r="V28" s="3"/>
      <c r="W28" s="3"/>
      <c r="X28" s="3"/>
      <c r="Y28" s="3"/>
      <c r="Z28" s="3"/>
      <c r="AA28" s="3"/>
    </row>
    <row r="29">
      <c r="A29" s="77" t="s">
        <v>127</v>
      </c>
      <c r="B29" s="80" t="s">
        <v>1853</v>
      </c>
      <c r="C29" s="81" t="s">
        <v>129</v>
      </c>
      <c r="D29" s="81" t="s">
        <v>175</v>
      </c>
      <c r="E29" s="82">
        <v>5.0</v>
      </c>
      <c r="F29" s="81" t="s">
        <v>176</v>
      </c>
      <c r="G29" s="83" t="s">
        <v>185</v>
      </c>
      <c r="H29" s="83" t="s">
        <v>143</v>
      </c>
      <c r="I29" s="20" t="str">
        <f t="shared" si="2"/>
        <v>Visión EstratégicaGestión del CambioAvanzado</v>
      </c>
      <c r="J29" s="3">
        <v>16.0</v>
      </c>
      <c r="K29" s="84"/>
      <c r="R29" s="3"/>
      <c r="S29" s="3"/>
      <c r="T29" s="3"/>
      <c r="U29" s="3"/>
      <c r="V29" s="3"/>
      <c r="W29" s="3"/>
      <c r="X29" s="3"/>
      <c r="Y29" s="3"/>
      <c r="Z29" s="3"/>
      <c r="AA29" s="3"/>
    </row>
    <row r="30">
      <c r="A30" s="77" t="s">
        <v>127</v>
      </c>
      <c r="B30" s="80" t="s">
        <v>1854</v>
      </c>
      <c r="C30" s="81" t="s">
        <v>129</v>
      </c>
      <c r="D30" s="81" t="s">
        <v>187</v>
      </c>
      <c r="E30" s="82">
        <v>6.0</v>
      </c>
      <c r="F30" s="81" t="s">
        <v>188</v>
      </c>
      <c r="G30" s="83" t="s">
        <v>134</v>
      </c>
      <c r="H30" s="83" t="s">
        <v>135</v>
      </c>
      <c r="I30" s="20" t="str">
        <f t="shared" si="2"/>
        <v>Visión EstratégicaAlianzas y ColaboracionesInsuficiente</v>
      </c>
      <c r="J30" s="3">
        <v>17.0</v>
      </c>
      <c r="R30" s="3"/>
      <c r="S30" s="3"/>
      <c r="T30" s="3"/>
      <c r="U30" s="3"/>
      <c r="V30" s="3"/>
      <c r="W30" s="3"/>
      <c r="X30" s="3"/>
      <c r="Y30" s="3"/>
      <c r="Z30" s="3"/>
      <c r="AA30" s="3"/>
    </row>
    <row r="31">
      <c r="A31" s="77" t="s">
        <v>127</v>
      </c>
      <c r="B31" s="80" t="s">
        <v>1855</v>
      </c>
      <c r="C31" s="81" t="s">
        <v>129</v>
      </c>
      <c r="D31" s="81" t="s">
        <v>187</v>
      </c>
      <c r="E31" s="82">
        <v>6.0</v>
      </c>
      <c r="F31" s="81" t="s">
        <v>188</v>
      </c>
      <c r="G31" s="83" t="s">
        <v>189</v>
      </c>
      <c r="H31" s="83" t="s">
        <v>137</v>
      </c>
      <c r="I31" s="20" t="str">
        <f t="shared" si="2"/>
        <v>Visión EstratégicaAlianzas y ColaboracionesBásico</v>
      </c>
      <c r="J31" s="3">
        <v>18.0</v>
      </c>
      <c r="K31" s="79">
        <v>6.0</v>
      </c>
      <c r="L31" s="80" t="s">
        <v>190</v>
      </c>
      <c r="M31" s="81" t="s">
        <v>129</v>
      </c>
      <c r="N31" s="81" t="s">
        <v>187</v>
      </c>
      <c r="O31" s="81" t="s">
        <v>137</v>
      </c>
      <c r="P31" s="81" t="s">
        <v>191</v>
      </c>
      <c r="Q31" s="73">
        <f t="shared" ref="Q31:Q33" si="4">VLOOKUP(L31,$I$13:$J$207,2,0)</f>
        <v>18</v>
      </c>
      <c r="R31" s="3"/>
      <c r="S31" s="3"/>
      <c r="T31" s="3"/>
      <c r="U31" s="3"/>
      <c r="V31" s="3"/>
      <c r="W31" s="3"/>
      <c r="X31" s="3"/>
      <c r="Y31" s="3"/>
      <c r="Z31" s="3"/>
      <c r="AA31" s="3"/>
    </row>
    <row r="32">
      <c r="A32" s="77" t="s">
        <v>127</v>
      </c>
      <c r="B32" s="80" t="s">
        <v>1856</v>
      </c>
      <c r="C32" s="81" t="s">
        <v>129</v>
      </c>
      <c r="D32" s="81" t="s">
        <v>187</v>
      </c>
      <c r="E32" s="82">
        <v>6.0</v>
      </c>
      <c r="F32" s="81" t="s">
        <v>188</v>
      </c>
      <c r="G32" s="83" t="s">
        <v>192</v>
      </c>
      <c r="H32" s="83" t="s">
        <v>140</v>
      </c>
      <c r="I32" s="20" t="str">
        <f t="shared" si="2"/>
        <v>Visión EstratégicaAlianzas y ColaboracionesMedio</v>
      </c>
      <c r="J32" s="3">
        <v>19.0</v>
      </c>
      <c r="K32" s="79">
        <v>48.0</v>
      </c>
      <c r="L32" s="80" t="s">
        <v>193</v>
      </c>
      <c r="M32" s="81" t="s">
        <v>129</v>
      </c>
      <c r="N32" s="81" t="s">
        <v>187</v>
      </c>
      <c r="O32" s="81" t="s">
        <v>140</v>
      </c>
      <c r="P32" s="81" t="s">
        <v>194</v>
      </c>
      <c r="Q32" s="73">
        <f t="shared" si="4"/>
        <v>19</v>
      </c>
      <c r="R32" s="3"/>
      <c r="S32" s="3"/>
      <c r="T32" s="3"/>
      <c r="U32" s="3"/>
      <c r="V32" s="3"/>
      <c r="W32" s="3"/>
      <c r="X32" s="3"/>
      <c r="Y32" s="3"/>
      <c r="Z32" s="3"/>
      <c r="AA32" s="3"/>
    </row>
    <row r="33">
      <c r="A33" s="77" t="s">
        <v>127</v>
      </c>
      <c r="B33" s="80" t="s">
        <v>1856</v>
      </c>
      <c r="C33" s="81" t="s">
        <v>129</v>
      </c>
      <c r="D33" s="81" t="s">
        <v>187</v>
      </c>
      <c r="E33" s="82">
        <v>6.0</v>
      </c>
      <c r="F33" s="81" t="s">
        <v>188</v>
      </c>
      <c r="G33" s="83" t="s">
        <v>195</v>
      </c>
      <c r="H33" s="83" t="s">
        <v>143</v>
      </c>
      <c r="I33" s="20" t="str">
        <f t="shared" si="2"/>
        <v>Visión EstratégicaAlianzas y ColaboracionesAvanzado</v>
      </c>
      <c r="J33" s="3">
        <v>20.0</v>
      </c>
      <c r="K33" s="79">
        <v>90.0</v>
      </c>
      <c r="L33" s="80" t="s">
        <v>196</v>
      </c>
      <c r="M33" s="81" t="s">
        <v>129</v>
      </c>
      <c r="N33" s="81" t="s">
        <v>187</v>
      </c>
      <c r="O33" s="81" t="s">
        <v>143</v>
      </c>
      <c r="P33" s="81" t="s">
        <v>197</v>
      </c>
      <c r="Q33" s="73">
        <f t="shared" si="4"/>
        <v>20</v>
      </c>
      <c r="R33" s="3"/>
      <c r="S33" s="3"/>
      <c r="T33" s="3"/>
      <c r="U33" s="3"/>
      <c r="V33" s="3"/>
      <c r="W33" s="3"/>
      <c r="X33" s="3"/>
      <c r="Y33" s="3"/>
      <c r="Z33" s="3"/>
      <c r="AA33" s="3"/>
    </row>
    <row r="34">
      <c r="A34" s="77" t="s">
        <v>127</v>
      </c>
      <c r="B34" s="80" t="s">
        <v>1857</v>
      </c>
      <c r="C34" s="81" t="s">
        <v>129</v>
      </c>
      <c r="D34" s="81" t="s">
        <v>199</v>
      </c>
      <c r="E34" s="82">
        <v>7.0</v>
      </c>
      <c r="F34" s="81" t="s">
        <v>200</v>
      </c>
      <c r="G34" s="83" t="s">
        <v>134</v>
      </c>
      <c r="H34" s="83" t="s">
        <v>135</v>
      </c>
      <c r="I34" s="20" t="str">
        <f t="shared" si="2"/>
        <v>Visión EstratégicaMedición y SeguimientoInsuficiente</v>
      </c>
      <c r="J34" s="3">
        <v>21.0</v>
      </c>
      <c r="R34" s="3"/>
      <c r="S34" s="3"/>
      <c r="T34" s="3"/>
      <c r="U34" s="3"/>
      <c r="V34" s="3"/>
      <c r="W34" s="3"/>
      <c r="X34" s="3"/>
      <c r="Y34" s="3"/>
      <c r="Z34" s="3"/>
      <c r="AA34" s="3"/>
    </row>
    <row r="35">
      <c r="A35" s="77" t="s">
        <v>127</v>
      </c>
      <c r="B35" s="80" t="s">
        <v>1858</v>
      </c>
      <c r="C35" s="81" t="s">
        <v>129</v>
      </c>
      <c r="D35" s="81" t="s">
        <v>199</v>
      </c>
      <c r="E35" s="82">
        <v>7.0</v>
      </c>
      <c r="F35" s="81" t="s">
        <v>200</v>
      </c>
      <c r="G35" s="83" t="s">
        <v>201</v>
      </c>
      <c r="H35" s="83" t="s">
        <v>137</v>
      </c>
      <c r="I35" s="20" t="str">
        <f t="shared" si="2"/>
        <v>Visión EstratégicaMedición y SeguimientoBásico</v>
      </c>
      <c r="J35" s="3">
        <v>22.0</v>
      </c>
      <c r="K35" s="79">
        <v>7.0</v>
      </c>
      <c r="L35" s="80" t="s">
        <v>202</v>
      </c>
      <c r="M35" s="81" t="s">
        <v>129</v>
      </c>
      <c r="N35" s="81" t="s">
        <v>199</v>
      </c>
      <c r="O35" s="81" t="s">
        <v>137</v>
      </c>
      <c r="P35" s="81" t="s">
        <v>203</v>
      </c>
      <c r="Q35" s="73">
        <f t="shared" ref="Q35:Q37" si="5">VLOOKUP(L35,$I$13:$J$207,2,0)</f>
        <v>22</v>
      </c>
      <c r="R35" s="3"/>
      <c r="S35" s="3"/>
      <c r="T35" s="3"/>
      <c r="U35" s="3"/>
      <c r="V35" s="3"/>
      <c r="W35" s="3"/>
      <c r="X35" s="3"/>
      <c r="Y35" s="3"/>
      <c r="Z35" s="3"/>
      <c r="AA35" s="3"/>
    </row>
    <row r="36">
      <c r="A36" s="77" t="s">
        <v>127</v>
      </c>
      <c r="B36" s="80" t="s">
        <v>1859</v>
      </c>
      <c r="C36" s="81" t="s">
        <v>129</v>
      </c>
      <c r="D36" s="81" t="s">
        <v>199</v>
      </c>
      <c r="E36" s="82">
        <v>7.0</v>
      </c>
      <c r="F36" s="81" t="s">
        <v>200</v>
      </c>
      <c r="G36" s="83" t="s">
        <v>204</v>
      </c>
      <c r="H36" s="83" t="s">
        <v>140</v>
      </c>
      <c r="I36" s="20" t="str">
        <f t="shared" si="2"/>
        <v>Visión EstratégicaMedición y SeguimientoMedio</v>
      </c>
      <c r="J36" s="3">
        <v>23.0</v>
      </c>
      <c r="K36" s="79">
        <v>49.0</v>
      </c>
      <c r="L36" s="80" t="s">
        <v>205</v>
      </c>
      <c r="M36" s="81" t="s">
        <v>129</v>
      </c>
      <c r="N36" s="81" t="s">
        <v>199</v>
      </c>
      <c r="O36" s="81" t="s">
        <v>140</v>
      </c>
      <c r="P36" s="81" t="s">
        <v>206</v>
      </c>
      <c r="Q36" s="73">
        <f t="shared" si="5"/>
        <v>23</v>
      </c>
      <c r="R36" s="3"/>
      <c r="S36" s="3"/>
      <c r="T36" s="3"/>
      <c r="U36" s="3"/>
      <c r="V36" s="3"/>
      <c r="W36" s="3"/>
      <c r="X36" s="3"/>
      <c r="Y36" s="3"/>
      <c r="Z36" s="3"/>
      <c r="AA36" s="3"/>
    </row>
    <row r="37">
      <c r="A37" s="77" t="s">
        <v>127</v>
      </c>
      <c r="B37" s="80" t="s">
        <v>1859</v>
      </c>
      <c r="C37" s="81" t="s">
        <v>129</v>
      </c>
      <c r="D37" s="81" t="s">
        <v>199</v>
      </c>
      <c r="E37" s="82">
        <v>7.0</v>
      </c>
      <c r="F37" s="81" t="s">
        <v>200</v>
      </c>
      <c r="G37" s="83" t="s">
        <v>207</v>
      </c>
      <c r="H37" s="83" t="s">
        <v>143</v>
      </c>
      <c r="I37" s="20" t="str">
        <f t="shared" si="2"/>
        <v>Visión EstratégicaMedición y SeguimientoAvanzado</v>
      </c>
      <c r="J37" s="3">
        <v>24.0</v>
      </c>
      <c r="K37" s="79">
        <v>91.0</v>
      </c>
      <c r="L37" s="80" t="s">
        <v>208</v>
      </c>
      <c r="M37" s="81" t="s">
        <v>129</v>
      </c>
      <c r="N37" s="81" t="s">
        <v>199</v>
      </c>
      <c r="O37" s="81" t="s">
        <v>143</v>
      </c>
      <c r="P37" s="81" t="s">
        <v>209</v>
      </c>
      <c r="Q37" s="73">
        <f t="shared" si="5"/>
        <v>24</v>
      </c>
      <c r="R37" s="3"/>
      <c r="S37" s="3"/>
      <c r="T37" s="3"/>
      <c r="U37" s="3"/>
      <c r="V37" s="3"/>
      <c r="W37" s="3"/>
      <c r="X37" s="3"/>
      <c r="Y37" s="3"/>
      <c r="Z37" s="3"/>
      <c r="AA37" s="3"/>
    </row>
    <row r="38">
      <c r="A38" s="77" t="s">
        <v>127</v>
      </c>
      <c r="B38" s="80" t="s">
        <v>1860</v>
      </c>
      <c r="C38" s="81" t="s">
        <v>210</v>
      </c>
      <c r="D38" s="81" t="s">
        <v>213</v>
      </c>
      <c r="E38" s="82">
        <v>8.0</v>
      </c>
      <c r="F38" s="81" t="s">
        <v>214</v>
      </c>
      <c r="G38" s="83" t="s">
        <v>134</v>
      </c>
      <c r="H38" s="83" t="s">
        <v>135</v>
      </c>
      <c r="I38" s="20" t="str">
        <f t="shared" si="2"/>
        <v>Gobernanza de DatosPolítica de gobernanza de datosInsuficiente</v>
      </c>
      <c r="J38" s="3">
        <v>25.0</v>
      </c>
      <c r="R38" s="3"/>
      <c r="S38" s="3"/>
      <c r="T38" s="3"/>
      <c r="U38" s="3"/>
      <c r="V38" s="3"/>
      <c r="W38" s="3"/>
      <c r="X38" s="3"/>
      <c r="Y38" s="3"/>
      <c r="Z38" s="3"/>
      <c r="AA38" s="3"/>
    </row>
    <row r="39">
      <c r="A39" s="77" t="s">
        <v>127</v>
      </c>
      <c r="B39" s="80" t="s">
        <v>1861</v>
      </c>
      <c r="C39" s="81" t="s">
        <v>210</v>
      </c>
      <c r="D39" s="81" t="s">
        <v>213</v>
      </c>
      <c r="E39" s="82">
        <v>8.0</v>
      </c>
      <c r="F39" s="81" t="s">
        <v>214</v>
      </c>
      <c r="G39" s="83" t="s">
        <v>215</v>
      </c>
      <c r="H39" s="83" t="s">
        <v>137</v>
      </c>
      <c r="I39" s="20" t="str">
        <f t="shared" si="2"/>
        <v>Gobernanza de DatosPolítica de gobernanza de datosBásico</v>
      </c>
      <c r="J39" s="3">
        <v>26.0</v>
      </c>
      <c r="K39" s="79">
        <v>8.0</v>
      </c>
      <c r="L39" s="80" t="s">
        <v>216</v>
      </c>
      <c r="M39" s="81" t="s">
        <v>210</v>
      </c>
      <c r="N39" s="81" t="s">
        <v>213</v>
      </c>
      <c r="O39" s="81" t="s">
        <v>137</v>
      </c>
      <c r="P39" s="81" t="s">
        <v>217</v>
      </c>
      <c r="Q39" s="73">
        <f t="shared" ref="Q39:Q41" si="6">VLOOKUP(L39,$I$13:$J$207,2,0)</f>
        <v>26</v>
      </c>
      <c r="R39" s="3"/>
      <c r="S39" s="3"/>
      <c r="T39" s="3"/>
      <c r="U39" s="3"/>
      <c r="V39" s="3"/>
      <c r="W39" s="3"/>
      <c r="X39" s="3"/>
      <c r="Y39" s="3"/>
      <c r="Z39" s="3"/>
      <c r="AA39" s="3"/>
    </row>
    <row r="40">
      <c r="A40" s="77" t="s">
        <v>127</v>
      </c>
      <c r="B40" s="80" t="s">
        <v>1862</v>
      </c>
      <c r="C40" s="81" t="s">
        <v>210</v>
      </c>
      <c r="D40" s="81" t="s">
        <v>213</v>
      </c>
      <c r="E40" s="82">
        <v>8.0</v>
      </c>
      <c r="F40" s="81" t="s">
        <v>214</v>
      </c>
      <c r="G40" s="83" t="s">
        <v>218</v>
      </c>
      <c r="H40" s="83" t="s">
        <v>140</v>
      </c>
      <c r="I40" s="20" t="str">
        <f t="shared" si="2"/>
        <v>Gobernanza de DatosPolítica de gobernanza de datosMedio</v>
      </c>
      <c r="J40" s="3">
        <v>27.0</v>
      </c>
      <c r="K40" s="79">
        <v>50.0</v>
      </c>
      <c r="L40" s="80" t="s">
        <v>219</v>
      </c>
      <c r="M40" s="81" t="s">
        <v>210</v>
      </c>
      <c r="N40" s="81" t="s">
        <v>213</v>
      </c>
      <c r="O40" s="81" t="s">
        <v>140</v>
      </c>
      <c r="P40" s="81" t="s">
        <v>220</v>
      </c>
      <c r="Q40" s="73">
        <f t="shared" si="6"/>
        <v>27</v>
      </c>
      <c r="R40" s="3"/>
      <c r="S40" s="3"/>
      <c r="T40" s="3"/>
      <c r="U40" s="3"/>
      <c r="V40" s="3"/>
      <c r="W40" s="3"/>
      <c r="X40" s="3"/>
      <c r="Y40" s="3"/>
      <c r="Z40" s="3"/>
      <c r="AA40" s="3"/>
    </row>
    <row r="41">
      <c r="A41" s="77" t="s">
        <v>127</v>
      </c>
      <c r="B41" s="80" t="s">
        <v>1862</v>
      </c>
      <c r="C41" s="81" t="s">
        <v>210</v>
      </c>
      <c r="D41" s="81" t="s">
        <v>213</v>
      </c>
      <c r="E41" s="82">
        <v>8.0</v>
      </c>
      <c r="F41" s="81" t="s">
        <v>214</v>
      </c>
      <c r="G41" s="83" t="s">
        <v>221</v>
      </c>
      <c r="H41" s="83" t="s">
        <v>143</v>
      </c>
      <c r="I41" s="20" t="str">
        <f t="shared" si="2"/>
        <v>Gobernanza de DatosPolítica de gobernanza de datosAvanzado</v>
      </c>
      <c r="J41" s="3">
        <v>28.0</v>
      </c>
      <c r="K41" s="79">
        <v>92.0</v>
      </c>
      <c r="L41" s="80" t="s">
        <v>222</v>
      </c>
      <c r="M41" s="81" t="s">
        <v>210</v>
      </c>
      <c r="N41" s="81" t="s">
        <v>213</v>
      </c>
      <c r="O41" s="81" t="s">
        <v>143</v>
      </c>
      <c r="P41" s="81" t="s">
        <v>223</v>
      </c>
      <c r="Q41" s="73">
        <f t="shared" si="6"/>
        <v>28</v>
      </c>
      <c r="R41" s="3"/>
      <c r="S41" s="3"/>
      <c r="T41" s="3"/>
      <c r="U41" s="3"/>
      <c r="V41" s="3"/>
      <c r="W41" s="3"/>
      <c r="X41" s="3"/>
      <c r="Y41" s="3"/>
      <c r="Z41" s="3"/>
      <c r="AA41" s="3"/>
    </row>
    <row r="42">
      <c r="A42" s="77" t="s">
        <v>127</v>
      </c>
      <c r="B42" s="80" t="s">
        <v>1863</v>
      </c>
      <c r="C42" s="81" t="s">
        <v>210</v>
      </c>
      <c r="D42" s="81" t="s">
        <v>225</v>
      </c>
      <c r="E42" s="82">
        <v>9.0</v>
      </c>
      <c r="F42" s="81" t="s">
        <v>226</v>
      </c>
      <c r="G42" s="83" t="s">
        <v>134</v>
      </c>
      <c r="H42" s="83" t="s">
        <v>135</v>
      </c>
      <c r="I42" s="20" t="str">
        <f t="shared" si="2"/>
        <v>Gobernanza de DatosOrganizaciónInsuficiente</v>
      </c>
      <c r="J42" s="3">
        <v>29.0</v>
      </c>
      <c r="R42" s="3"/>
      <c r="S42" s="3"/>
      <c r="T42" s="3"/>
      <c r="U42" s="3"/>
      <c r="V42" s="3"/>
      <c r="W42" s="3"/>
      <c r="X42" s="3"/>
      <c r="Y42" s="3"/>
      <c r="Z42" s="3"/>
      <c r="AA42" s="3"/>
    </row>
    <row r="43">
      <c r="A43" s="77" t="s">
        <v>127</v>
      </c>
      <c r="B43" s="80" t="s">
        <v>1864</v>
      </c>
      <c r="C43" s="81" t="s">
        <v>210</v>
      </c>
      <c r="D43" s="81" t="s">
        <v>225</v>
      </c>
      <c r="E43" s="82">
        <v>9.0</v>
      </c>
      <c r="F43" s="81" t="s">
        <v>226</v>
      </c>
      <c r="G43" s="83" t="s">
        <v>227</v>
      </c>
      <c r="H43" s="83" t="s">
        <v>137</v>
      </c>
      <c r="I43" s="20" t="str">
        <f t="shared" si="2"/>
        <v>Gobernanza de DatosOrganizaciónBásico</v>
      </c>
      <c r="J43" s="3">
        <v>30.0</v>
      </c>
      <c r="K43" s="79">
        <v>9.0</v>
      </c>
      <c r="L43" s="80" t="s">
        <v>228</v>
      </c>
      <c r="M43" s="81" t="s">
        <v>210</v>
      </c>
      <c r="N43" s="81" t="s">
        <v>225</v>
      </c>
      <c r="O43" s="81" t="s">
        <v>137</v>
      </c>
      <c r="P43" s="81" t="s">
        <v>229</v>
      </c>
      <c r="Q43" s="73">
        <f t="shared" ref="Q43:Q45" si="7">VLOOKUP(L43,$I$13:$J$207,2,0)</f>
        <v>30</v>
      </c>
      <c r="R43" s="3"/>
      <c r="S43" s="3"/>
      <c r="T43" s="3"/>
      <c r="U43" s="3"/>
      <c r="V43" s="3"/>
      <c r="W43" s="3"/>
      <c r="X43" s="3"/>
      <c r="Y43" s="3"/>
      <c r="Z43" s="3"/>
      <c r="AA43" s="3"/>
    </row>
    <row r="44">
      <c r="A44" s="77" t="s">
        <v>127</v>
      </c>
      <c r="B44" s="80" t="s">
        <v>1865</v>
      </c>
      <c r="C44" s="81" t="s">
        <v>210</v>
      </c>
      <c r="D44" s="81" t="s">
        <v>225</v>
      </c>
      <c r="E44" s="82">
        <v>9.0</v>
      </c>
      <c r="F44" s="81" t="s">
        <v>226</v>
      </c>
      <c r="G44" s="83" t="s">
        <v>230</v>
      </c>
      <c r="H44" s="83" t="s">
        <v>140</v>
      </c>
      <c r="I44" s="20" t="str">
        <f t="shared" si="2"/>
        <v>Gobernanza de DatosOrganizaciónMedio</v>
      </c>
      <c r="J44" s="3">
        <v>31.0</v>
      </c>
      <c r="K44" s="79">
        <v>51.0</v>
      </c>
      <c r="L44" s="80" t="s">
        <v>231</v>
      </c>
      <c r="M44" s="81" t="s">
        <v>210</v>
      </c>
      <c r="N44" s="81" t="s">
        <v>225</v>
      </c>
      <c r="O44" s="81" t="s">
        <v>140</v>
      </c>
      <c r="P44" s="81" t="s">
        <v>232</v>
      </c>
      <c r="Q44" s="73">
        <f t="shared" si="7"/>
        <v>31</v>
      </c>
      <c r="R44" s="3"/>
      <c r="S44" s="3"/>
      <c r="T44" s="3"/>
      <c r="U44" s="3"/>
      <c r="V44" s="3"/>
      <c r="W44" s="3"/>
      <c r="X44" s="3"/>
      <c r="Y44" s="3"/>
      <c r="Z44" s="3"/>
      <c r="AA44" s="3"/>
    </row>
    <row r="45">
      <c r="A45" s="77" t="s">
        <v>127</v>
      </c>
      <c r="B45" s="80" t="s">
        <v>1866</v>
      </c>
      <c r="C45" s="81" t="s">
        <v>210</v>
      </c>
      <c r="D45" s="81" t="s">
        <v>225</v>
      </c>
      <c r="E45" s="82">
        <v>9.0</v>
      </c>
      <c r="F45" s="81" t="s">
        <v>226</v>
      </c>
      <c r="G45" s="83" t="s">
        <v>233</v>
      </c>
      <c r="H45" s="83" t="s">
        <v>143</v>
      </c>
      <c r="I45" s="20" t="str">
        <f t="shared" si="2"/>
        <v>Gobernanza de DatosOrganizaciónAvanzado</v>
      </c>
      <c r="J45" s="3">
        <v>32.0</v>
      </c>
      <c r="K45" s="79">
        <v>93.0</v>
      </c>
      <c r="L45" s="80" t="s">
        <v>234</v>
      </c>
      <c r="M45" s="81" t="s">
        <v>210</v>
      </c>
      <c r="N45" s="81" t="s">
        <v>225</v>
      </c>
      <c r="O45" s="81" t="s">
        <v>143</v>
      </c>
      <c r="P45" s="81" t="s">
        <v>235</v>
      </c>
      <c r="Q45" s="73">
        <f t="shared" si="7"/>
        <v>32</v>
      </c>
      <c r="R45" s="3"/>
      <c r="S45" s="3"/>
      <c r="T45" s="3"/>
      <c r="U45" s="3"/>
      <c r="V45" s="3"/>
      <c r="W45" s="3"/>
      <c r="X45" s="3"/>
      <c r="Y45" s="3"/>
      <c r="Z45" s="3"/>
      <c r="AA45" s="3"/>
    </row>
    <row r="46">
      <c r="A46" s="77" t="s">
        <v>127</v>
      </c>
      <c r="B46" s="80" t="s">
        <v>1867</v>
      </c>
      <c r="C46" s="81" t="s">
        <v>210</v>
      </c>
      <c r="D46" s="81" t="s">
        <v>237</v>
      </c>
      <c r="E46" s="82">
        <v>10.0</v>
      </c>
      <c r="F46" s="81" t="s">
        <v>238</v>
      </c>
      <c r="G46" s="83" t="s">
        <v>134</v>
      </c>
      <c r="H46" s="83" t="s">
        <v>135</v>
      </c>
      <c r="I46" s="20" t="str">
        <f t="shared" si="2"/>
        <v>Gobernanza de DatosImplementaciónInsuficiente</v>
      </c>
      <c r="J46" s="3">
        <v>33.0</v>
      </c>
      <c r="R46" s="3"/>
      <c r="S46" s="3"/>
      <c r="T46" s="3"/>
      <c r="U46" s="3"/>
      <c r="V46" s="3"/>
      <c r="W46" s="3"/>
      <c r="X46" s="3"/>
      <c r="Y46" s="3"/>
      <c r="Z46" s="3"/>
      <c r="AA46" s="3"/>
    </row>
    <row r="47">
      <c r="A47" s="77" t="s">
        <v>127</v>
      </c>
      <c r="B47" s="80" t="s">
        <v>1868</v>
      </c>
      <c r="C47" s="81" t="s">
        <v>210</v>
      </c>
      <c r="D47" s="81" t="s">
        <v>237</v>
      </c>
      <c r="E47" s="82">
        <v>10.0</v>
      </c>
      <c r="F47" s="81" t="s">
        <v>238</v>
      </c>
      <c r="G47" s="83" t="s">
        <v>239</v>
      </c>
      <c r="H47" s="83" t="s">
        <v>137</v>
      </c>
      <c r="I47" s="20" t="str">
        <f t="shared" si="2"/>
        <v>Gobernanza de DatosImplementaciónBásico</v>
      </c>
      <c r="J47" s="3">
        <v>34.0</v>
      </c>
      <c r="K47" s="79">
        <v>10.0</v>
      </c>
      <c r="L47" s="80" t="s">
        <v>240</v>
      </c>
      <c r="M47" s="81" t="s">
        <v>210</v>
      </c>
      <c r="N47" s="81" t="s">
        <v>237</v>
      </c>
      <c r="O47" s="81" t="s">
        <v>137</v>
      </c>
      <c r="P47" s="81" t="s">
        <v>241</v>
      </c>
      <c r="Q47" s="73">
        <f t="shared" ref="Q47:Q49" si="8">VLOOKUP(L47,$I$13:$J$207,2,0)</f>
        <v>34</v>
      </c>
      <c r="R47" s="3"/>
      <c r="S47" s="3"/>
      <c r="T47" s="3"/>
      <c r="U47" s="3"/>
      <c r="V47" s="3"/>
      <c r="W47" s="3"/>
      <c r="X47" s="3"/>
      <c r="Y47" s="3"/>
      <c r="Z47" s="3"/>
      <c r="AA47" s="3"/>
    </row>
    <row r="48">
      <c r="A48" s="77" t="s">
        <v>127</v>
      </c>
      <c r="B48" s="80" t="s">
        <v>1869</v>
      </c>
      <c r="C48" s="81" t="s">
        <v>210</v>
      </c>
      <c r="D48" s="81" t="s">
        <v>237</v>
      </c>
      <c r="E48" s="82">
        <v>10.0</v>
      </c>
      <c r="F48" s="81" t="s">
        <v>238</v>
      </c>
      <c r="G48" s="83" t="s">
        <v>242</v>
      </c>
      <c r="H48" s="83" t="s">
        <v>140</v>
      </c>
      <c r="I48" s="20" t="str">
        <f t="shared" si="2"/>
        <v>Gobernanza de DatosImplementaciónMedio</v>
      </c>
      <c r="J48" s="3">
        <v>35.0</v>
      </c>
      <c r="K48" s="79">
        <v>52.0</v>
      </c>
      <c r="L48" s="80" t="s">
        <v>243</v>
      </c>
      <c r="M48" s="81" t="s">
        <v>210</v>
      </c>
      <c r="N48" s="81" t="s">
        <v>237</v>
      </c>
      <c r="O48" s="81" t="s">
        <v>140</v>
      </c>
      <c r="P48" s="81" t="s">
        <v>244</v>
      </c>
      <c r="Q48" s="73">
        <f t="shared" si="8"/>
        <v>35</v>
      </c>
      <c r="R48" s="3"/>
      <c r="S48" s="3"/>
      <c r="T48" s="3"/>
      <c r="U48" s="3"/>
      <c r="V48" s="3"/>
      <c r="W48" s="3"/>
      <c r="X48" s="3"/>
      <c r="Y48" s="3"/>
      <c r="Z48" s="3"/>
      <c r="AA48" s="3"/>
    </row>
    <row r="49">
      <c r="A49" s="77" t="s">
        <v>127</v>
      </c>
      <c r="B49" s="80" t="s">
        <v>1870</v>
      </c>
      <c r="C49" s="81" t="s">
        <v>210</v>
      </c>
      <c r="D49" s="81" t="s">
        <v>237</v>
      </c>
      <c r="E49" s="82">
        <v>10.0</v>
      </c>
      <c r="F49" s="81" t="s">
        <v>238</v>
      </c>
      <c r="G49" s="83" t="s">
        <v>185</v>
      </c>
      <c r="H49" s="83" t="s">
        <v>143</v>
      </c>
      <c r="I49" s="20" t="str">
        <f t="shared" si="2"/>
        <v>Gobernanza de DatosImplementaciónAvanzado</v>
      </c>
      <c r="J49" s="3">
        <v>36.0</v>
      </c>
      <c r="K49" s="79">
        <v>94.0</v>
      </c>
      <c r="L49" s="80" t="s">
        <v>245</v>
      </c>
      <c r="M49" s="81" t="s">
        <v>210</v>
      </c>
      <c r="N49" s="81" t="s">
        <v>237</v>
      </c>
      <c r="O49" s="81" t="s">
        <v>143</v>
      </c>
      <c r="P49" s="81" t="s">
        <v>246</v>
      </c>
      <c r="Q49" s="73">
        <f t="shared" si="8"/>
        <v>36</v>
      </c>
      <c r="R49" s="3"/>
      <c r="S49" s="3"/>
      <c r="T49" s="3"/>
      <c r="U49" s="3"/>
      <c r="V49" s="3"/>
      <c r="W49" s="3"/>
      <c r="X49" s="3"/>
      <c r="Y49" s="3"/>
      <c r="Z49" s="3"/>
      <c r="AA49" s="3"/>
    </row>
    <row r="50">
      <c r="A50" s="77" t="s">
        <v>127</v>
      </c>
      <c r="B50" s="80" t="s">
        <v>1871</v>
      </c>
      <c r="C50" s="81" t="s">
        <v>210</v>
      </c>
      <c r="D50" s="81" t="s">
        <v>248</v>
      </c>
      <c r="E50" s="82">
        <v>11.0</v>
      </c>
      <c r="F50" s="81" t="s">
        <v>249</v>
      </c>
      <c r="G50" s="83" t="s">
        <v>134</v>
      </c>
      <c r="H50" s="83" t="s">
        <v>135</v>
      </c>
      <c r="I50" s="20" t="str">
        <f t="shared" si="2"/>
        <v>Gobernanza de DatosHerramientasInsuficiente</v>
      </c>
      <c r="J50" s="3">
        <v>37.0</v>
      </c>
      <c r="R50" s="3"/>
      <c r="S50" s="3"/>
      <c r="T50" s="3"/>
      <c r="U50" s="3"/>
      <c r="V50" s="3"/>
      <c r="W50" s="3"/>
      <c r="X50" s="3"/>
      <c r="Y50" s="3"/>
      <c r="Z50" s="3"/>
      <c r="AA50" s="3"/>
    </row>
    <row r="51">
      <c r="A51" s="77" t="s">
        <v>127</v>
      </c>
      <c r="B51" s="80" t="s">
        <v>1872</v>
      </c>
      <c r="C51" s="81" t="s">
        <v>210</v>
      </c>
      <c r="D51" s="81" t="s">
        <v>248</v>
      </c>
      <c r="E51" s="82">
        <v>11.0</v>
      </c>
      <c r="F51" s="81" t="s">
        <v>249</v>
      </c>
      <c r="G51" s="83" t="s">
        <v>250</v>
      </c>
      <c r="H51" s="83" t="s">
        <v>137</v>
      </c>
      <c r="I51" s="20" t="str">
        <f t="shared" si="2"/>
        <v>Gobernanza de DatosHerramientasBásico</v>
      </c>
      <c r="J51" s="3">
        <v>38.0</v>
      </c>
      <c r="K51" s="79">
        <v>11.0</v>
      </c>
      <c r="L51" s="80" t="s">
        <v>251</v>
      </c>
      <c r="M51" s="81" t="s">
        <v>210</v>
      </c>
      <c r="N51" s="81" t="s">
        <v>248</v>
      </c>
      <c r="O51" s="81" t="s">
        <v>137</v>
      </c>
      <c r="P51" s="81" t="s">
        <v>252</v>
      </c>
      <c r="Q51" s="73">
        <f t="shared" ref="Q51:Q53" si="9">VLOOKUP(L51,$I$13:$J$207,2,0)</f>
        <v>38</v>
      </c>
      <c r="R51" s="3"/>
      <c r="S51" s="3"/>
      <c r="T51" s="3"/>
      <c r="U51" s="3"/>
      <c r="V51" s="3"/>
      <c r="W51" s="3"/>
      <c r="X51" s="3"/>
      <c r="Y51" s="3"/>
      <c r="Z51" s="3"/>
      <c r="AA51" s="3"/>
    </row>
    <row r="52">
      <c r="A52" s="77" t="s">
        <v>127</v>
      </c>
      <c r="B52" s="80" t="s">
        <v>1873</v>
      </c>
      <c r="C52" s="81" t="s">
        <v>210</v>
      </c>
      <c r="D52" s="81" t="s">
        <v>248</v>
      </c>
      <c r="E52" s="82">
        <v>11.0</v>
      </c>
      <c r="F52" s="81" t="s">
        <v>249</v>
      </c>
      <c r="G52" s="83" t="s">
        <v>253</v>
      </c>
      <c r="H52" s="83" t="s">
        <v>140</v>
      </c>
      <c r="I52" s="20" t="str">
        <f t="shared" si="2"/>
        <v>Gobernanza de DatosHerramientasMedio</v>
      </c>
      <c r="J52" s="3">
        <v>39.0</v>
      </c>
      <c r="K52" s="79">
        <v>53.0</v>
      </c>
      <c r="L52" s="80" t="s">
        <v>254</v>
      </c>
      <c r="M52" s="81" t="s">
        <v>210</v>
      </c>
      <c r="N52" s="81" t="s">
        <v>248</v>
      </c>
      <c r="O52" s="81" t="s">
        <v>140</v>
      </c>
      <c r="P52" s="81" t="s">
        <v>255</v>
      </c>
      <c r="Q52" s="73">
        <f t="shared" si="9"/>
        <v>39</v>
      </c>
      <c r="R52" s="3"/>
      <c r="S52" s="3"/>
      <c r="T52" s="3"/>
      <c r="U52" s="3"/>
      <c r="V52" s="3"/>
      <c r="W52" s="3"/>
      <c r="X52" s="3"/>
      <c r="Y52" s="3"/>
      <c r="Z52" s="3"/>
      <c r="AA52" s="3"/>
    </row>
    <row r="53">
      <c r="A53" s="77" t="s">
        <v>127</v>
      </c>
      <c r="B53" s="80" t="s">
        <v>1874</v>
      </c>
      <c r="C53" s="81" t="s">
        <v>210</v>
      </c>
      <c r="D53" s="81" t="s">
        <v>248</v>
      </c>
      <c r="E53" s="82">
        <v>11.0</v>
      </c>
      <c r="F53" s="81" t="s">
        <v>249</v>
      </c>
      <c r="G53" s="83" t="s">
        <v>256</v>
      </c>
      <c r="H53" s="83" t="s">
        <v>143</v>
      </c>
      <c r="I53" s="20" t="str">
        <f t="shared" si="2"/>
        <v>Gobernanza de DatosHerramientasAvanzado</v>
      </c>
      <c r="J53" s="3">
        <v>40.0</v>
      </c>
      <c r="K53" s="79">
        <v>95.0</v>
      </c>
      <c r="L53" s="80" t="s">
        <v>257</v>
      </c>
      <c r="M53" s="81" t="s">
        <v>210</v>
      </c>
      <c r="N53" s="81" t="s">
        <v>248</v>
      </c>
      <c r="O53" s="81" t="s">
        <v>143</v>
      </c>
      <c r="P53" s="81" t="s">
        <v>258</v>
      </c>
      <c r="Q53" s="73">
        <f t="shared" si="9"/>
        <v>40</v>
      </c>
      <c r="R53" s="3"/>
      <c r="S53" s="3"/>
      <c r="T53" s="3"/>
      <c r="U53" s="3"/>
      <c r="V53" s="3"/>
      <c r="W53" s="3"/>
      <c r="X53" s="3"/>
      <c r="Y53" s="3"/>
      <c r="Z53" s="3"/>
      <c r="AA53" s="3"/>
    </row>
    <row r="54">
      <c r="A54" s="77" t="s">
        <v>127</v>
      </c>
      <c r="B54" s="80" t="s">
        <v>1875</v>
      </c>
      <c r="C54" s="81" t="s">
        <v>210</v>
      </c>
      <c r="D54" s="81" t="s">
        <v>260</v>
      </c>
      <c r="E54" s="82">
        <v>12.0</v>
      </c>
      <c r="F54" s="81" t="s">
        <v>261</v>
      </c>
      <c r="G54" s="83" t="s">
        <v>134</v>
      </c>
      <c r="H54" s="83" t="s">
        <v>135</v>
      </c>
      <c r="I54" s="20" t="str">
        <f t="shared" si="2"/>
        <v>Gobernanza de DatosCapacitaciónInsuficiente</v>
      </c>
      <c r="J54" s="3">
        <v>41.0</v>
      </c>
      <c r="R54" s="3"/>
      <c r="S54" s="3"/>
      <c r="T54" s="3"/>
      <c r="U54" s="3"/>
      <c r="V54" s="3"/>
      <c r="W54" s="3"/>
      <c r="X54" s="3"/>
      <c r="Y54" s="3"/>
      <c r="Z54" s="3"/>
      <c r="AA54" s="3"/>
    </row>
    <row r="55">
      <c r="A55" s="77" t="s">
        <v>127</v>
      </c>
      <c r="B55" s="80" t="s">
        <v>1876</v>
      </c>
      <c r="C55" s="81" t="s">
        <v>210</v>
      </c>
      <c r="D55" s="81" t="s">
        <v>260</v>
      </c>
      <c r="E55" s="82">
        <v>12.0</v>
      </c>
      <c r="F55" s="81" t="s">
        <v>261</v>
      </c>
      <c r="G55" s="83" t="s">
        <v>262</v>
      </c>
      <c r="H55" s="83" t="s">
        <v>137</v>
      </c>
      <c r="I55" s="20" t="str">
        <f t="shared" si="2"/>
        <v>Gobernanza de DatosCapacitaciónBásico</v>
      </c>
      <c r="J55" s="3">
        <v>42.0</v>
      </c>
      <c r="K55" s="79">
        <v>12.0</v>
      </c>
      <c r="L55" s="80" t="s">
        <v>263</v>
      </c>
      <c r="M55" s="81" t="s">
        <v>210</v>
      </c>
      <c r="N55" s="81" t="s">
        <v>260</v>
      </c>
      <c r="O55" s="81" t="s">
        <v>137</v>
      </c>
      <c r="P55" s="81" t="s">
        <v>264</v>
      </c>
      <c r="Q55" s="73">
        <f t="shared" ref="Q55:Q57" si="10">VLOOKUP(L55,$I$13:$J$207,2,0)</f>
        <v>42</v>
      </c>
      <c r="R55" s="3"/>
      <c r="S55" s="3"/>
      <c r="T55" s="3"/>
      <c r="U55" s="3"/>
      <c r="V55" s="3"/>
      <c r="W55" s="3"/>
      <c r="X55" s="3"/>
      <c r="Y55" s="3"/>
      <c r="Z55" s="3"/>
      <c r="AA55" s="3"/>
    </row>
    <row r="56">
      <c r="A56" s="77" t="s">
        <v>127</v>
      </c>
      <c r="B56" s="80" t="s">
        <v>1877</v>
      </c>
      <c r="C56" s="81" t="s">
        <v>210</v>
      </c>
      <c r="D56" s="81" t="s">
        <v>260</v>
      </c>
      <c r="E56" s="82">
        <v>12.0</v>
      </c>
      <c r="F56" s="81" t="s">
        <v>261</v>
      </c>
      <c r="G56" s="83" t="s">
        <v>265</v>
      </c>
      <c r="H56" s="83" t="s">
        <v>140</v>
      </c>
      <c r="I56" s="20" t="str">
        <f t="shared" si="2"/>
        <v>Gobernanza de DatosCapacitaciónMedio</v>
      </c>
      <c r="J56" s="3">
        <v>43.0</v>
      </c>
      <c r="K56" s="79">
        <v>54.0</v>
      </c>
      <c r="L56" s="80" t="s">
        <v>266</v>
      </c>
      <c r="M56" s="81" t="s">
        <v>210</v>
      </c>
      <c r="N56" s="81" t="s">
        <v>260</v>
      </c>
      <c r="O56" s="81" t="s">
        <v>140</v>
      </c>
      <c r="P56" s="81" t="s">
        <v>267</v>
      </c>
      <c r="Q56" s="73">
        <f t="shared" si="10"/>
        <v>43</v>
      </c>
      <c r="R56" s="3"/>
      <c r="S56" s="3"/>
      <c r="T56" s="3"/>
      <c r="U56" s="3"/>
      <c r="V56" s="3"/>
      <c r="W56" s="3"/>
      <c r="X56" s="3"/>
      <c r="Y56" s="3"/>
      <c r="Z56" s="3"/>
      <c r="AA56" s="3"/>
    </row>
    <row r="57">
      <c r="A57" s="77" t="s">
        <v>127</v>
      </c>
      <c r="B57" s="80" t="s">
        <v>1878</v>
      </c>
      <c r="C57" s="81" t="s">
        <v>210</v>
      </c>
      <c r="D57" s="81" t="s">
        <v>260</v>
      </c>
      <c r="E57" s="82">
        <v>12.0</v>
      </c>
      <c r="F57" s="81" t="s">
        <v>261</v>
      </c>
      <c r="G57" s="83" t="s">
        <v>268</v>
      </c>
      <c r="H57" s="83" t="s">
        <v>143</v>
      </c>
      <c r="I57" s="20" t="str">
        <f t="shared" si="2"/>
        <v>Gobernanza de DatosCapacitaciónAvanzado</v>
      </c>
      <c r="J57" s="3">
        <v>44.0</v>
      </c>
      <c r="K57" s="79">
        <v>96.0</v>
      </c>
      <c r="L57" s="80" t="s">
        <v>269</v>
      </c>
      <c r="M57" s="81" t="s">
        <v>210</v>
      </c>
      <c r="N57" s="81" t="s">
        <v>260</v>
      </c>
      <c r="O57" s="81" t="s">
        <v>143</v>
      </c>
      <c r="P57" s="81" t="s">
        <v>270</v>
      </c>
      <c r="Q57" s="73">
        <f t="shared" si="10"/>
        <v>44</v>
      </c>
      <c r="R57" s="3"/>
      <c r="S57" s="3"/>
      <c r="T57" s="3"/>
      <c r="U57" s="3"/>
      <c r="V57" s="3"/>
      <c r="W57" s="3"/>
      <c r="X57" s="3"/>
      <c r="Y57" s="3"/>
      <c r="Z57" s="3"/>
      <c r="AA57" s="3"/>
    </row>
    <row r="58">
      <c r="A58" s="77" t="s">
        <v>127</v>
      </c>
      <c r="B58" s="80" t="s">
        <v>1879</v>
      </c>
      <c r="C58" s="81" t="s">
        <v>210</v>
      </c>
      <c r="D58" s="81" t="s">
        <v>272</v>
      </c>
      <c r="E58" s="82">
        <v>13.0</v>
      </c>
      <c r="F58" s="81" t="s">
        <v>273</v>
      </c>
      <c r="G58" s="83" t="s">
        <v>134</v>
      </c>
      <c r="H58" s="83" t="s">
        <v>135</v>
      </c>
      <c r="I58" s="20" t="str">
        <f t="shared" si="2"/>
        <v>Gobernanza de DatosGestión de RiesgosInsuficiente</v>
      </c>
      <c r="J58" s="3">
        <v>45.0</v>
      </c>
      <c r="R58" s="3"/>
      <c r="S58" s="3"/>
      <c r="T58" s="3"/>
      <c r="U58" s="3"/>
      <c r="V58" s="3"/>
      <c r="W58" s="3"/>
      <c r="X58" s="3"/>
      <c r="Y58" s="3"/>
      <c r="Z58" s="3"/>
      <c r="AA58" s="3"/>
    </row>
    <row r="59">
      <c r="A59" s="77" t="s">
        <v>127</v>
      </c>
      <c r="B59" s="80" t="s">
        <v>1880</v>
      </c>
      <c r="C59" s="81" t="s">
        <v>210</v>
      </c>
      <c r="D59" s="81" t="s">
        <v>272</v>
      </c>
      <c r="E59" s="82">
        <v>13.0</v>
      </c>
      <c r="F59" s="81" t="s">
        <v>273</v>
      </c>
      <c r="G59" s="83" t="s">
        <v>274</v>
      </c>
      <c r="H59" s="83" t="s">
        <v>137</v>
      </c>
      <c r="I59" s="20" t="str">
        <f t="shared" si="2"/>
        <v>Gobernanza de DatosGestión de RiesgosBásico</v>
      </c>
      <c r="J59" s="3">
        <v>46.0</v>
      </c>
      <c r="K59" s="79">
        <v>13.0</v>
      </c>
      <c r="L59" s="80" t="s">
        <v>275</v>
      </c>
      <c r="M59" s="81" t="s">
        <v>210</v>
      </c>
      <c r="N59" s="81" t="s">
        <v>272</v>
      </c>
      <c r="O59" s="81" t="s">
        <v>137</v>
      </c>
      <c r="P59" s="81" t="s">
        <v>276</v>
      </c>
      <c r="Q59" s="73">
        <f t="shared" ref="Q59:Q63" si="11">VLOOKUP(L59,$I$13:$J$207,2,0)</f>
        <v>46</v>
      </c>
      <c r="R59" s="3"/>
      <c r="S59" s="3"/>
      <c r="T59" s="3"/>
      <c r="U59" s="3"/>
      <c r="V59" s="3"/>
      <c r="W59" s="3"/>
      <c r="X59" s="3"/>
      <c r="Y59" s="3"/>
      <c r="Z59" s="3"/>
      <c r="AA59" s="3"/>
    </row>
    <row r="60">
      <c r="A60" s="77" t="s">
        <v>127</v>
      </c>
      <c r="B60" s="80" t="s">
        <v>1881</v>
      </c>
      <c r="C60" s="81" t="s">
        <v>210</v>
      </c>
      <c r="D60" s="81" t="s">
        <v>272</v>
      </c>
      <c r="E60" s="82">
        <v>13.0</v>
      </c>
      <c r="F60" s="81" t="s">
        <v>273</v>
      </c>
      <c r="G60" s="83" t="s">
        <v>277</v>
      </c>
      <c r="H60" s="83" t="s">
        <v>140</v>
      </c>
      <c r="I60" s="20" t="str">
        <f t="shared" si="2"/>
        <v>Gobernanza de DatosGestión de RiesgosMedio</v>
      </c>
      <c r="J60" s="3">
        <v>47.0</v>
      </c>
      <c r="K60" s="79">
        <v>55.0</v>
      </c>
      <c r="L60" s="80" t="s">
        <v>278</v>
      </c>
      <c r="M60" s="81" t="s">
        <v>210</v>
      </c>
      <c r="N60" s="81" t="s">
        <v>272</v>
      </c>
      <c r="O60" s="81" t="s">
        <v>140</v>
      </c>
      <c r="P60" s="81" t="s">
        <v>279</v>
      </c>
      <c r="Q60" s="73">
        <f t="shared" si="11"/>
        <v>47</v>
      </c>
      <c r="R60" s="3"/>
      <c r="S60" s="3"/>
      <c r="T60" s="3"/>
      <c r="U60" s="3"/>
      <c r="V60" s="3"/>
      <c r="W60" s="3"/>
      <c r="X60" s="3"/>
      <c r="Y60" s="3"/>
      <c r="Z60" s="3"/>
      <c r="AA60" s="3"/>
    </row>
    <row r="61">
      <c r="A61" s="77" t="s">
        <v>127</v>
      </c>
      <c r="B61" s="80" t="s">
        <v>1882</v>
      </c>
      <c r="C61" s="81" t="s">
        <v>210</v>
      </c>
      <c r="D61" s="81" t="s">
        <v>272</v>
      </c>
      <c r="E61" s="82">
        <v>13.0</v>
      </c>
      <c r="F61" s="81" t="s">
        <v>273</v>
      </c>
      <c r="G61" s="83" t="s">
        <v>280</v>
      </c>
      <c r="H61" s="83" t="s">
        <v>143</v>
      </c>
      <c r="I61" s="20" t="str">
        <f t="shared" si="2"/>
        <v>Gobernanza de DatosGestión de RiesgosAvanzado</v>
      </c>
      <c r="J61" s="3">
        <v>48.0</v>
      </c>
      <c r="K61" s="79">
        <v>97.0</v>
      </c>
      <c r="L61" s="80" t="s">
        <v>281</v>
      </c>
      <c r="M61" s="81" t="s">
        <v>210</v>
      </c>
      <c r="N61" s="81" t="s">
        <v>272</v>
      </c>
      <c r="O61" s="81" t="s">
        <v>143</v>
      </c>
      <c r="P61" s="81" t="s">
        <v>282</v>
      </c>
      <c r="Q61" s="73">
        <f t="shared" si="11"/>
        <v>48</v>
      </c>
      <c r="R61" s="3"/>
      <c r="S61" s="3"/>
      <c r="T61" s="3"/>
      <c r="U61" s="3"/>
      <c r="V61" s="3"/>
      <c r="W61" s="3"/>
      <c r="X61" s="3"/>
      <c r="Y61" s="3"/>
      <c r="Z61" s="3"/>
      <c r="AA61" s="3"/>
    </row>
    <row r="62">
      <c r="A62" s="77" t="s">
        <v>127</v>
      </c>
      <c r="B62" s="80" t="s">
        <v>1883</v>
      </c>
      <c r="C62" s="81" t="s">
        <v>210</v>
      </c>
      <c r="D62" s="81" t="s">
        <v>284</v>
      </c>
      <c r="E62" s="82">
        <v>14.0</v>
      </c>
      <c r="F62" s="81" t="s">
        <v>285</v>
      </c>
      <c r="G62" s="83" t="s">
        <v>134</v>
      </c>
      <c r="H62" s="83" t="s">
        <v>135</v>
      </c>
      <c r="I62" s="20" t="str">
        <f t="shared" si="2"/>
        <v>Gobernanza de DatosGestión ética de datosInsuficiente</v>
      </c>
      <c r="J62" s="3">
        <v>49.0</v>
      </c>
      <c r="K62" s="79">
        <v>56.0</v>
      </c>
      <c r="L62" s="80" t="s">
        <v>286</v>
      </c>
      <c r="M62" s="81" t="s">
        <v>210</v>
      </c>
      <c r="N62" s="81" t="s">
        <v>284</v>
      </c>
      <c r="O62" s="81" t="s">
        <v>140</v>
      </c>
      <c r="P62" s="81" t="s">
        <v>287</v>
      </c>
      <c r="Q62" s="73" t="str">
        <f t="shared" si="11"/>
        <v>#N/A</v>
      </c>
      <c r="R62" s="3"/>
      <c r="S62" s="3"/>
      <c r="T62" s="3"/>
      <c r="U62" s="3"/>
      <c r="V62" s="3"/>
      <c r="W62" s="3"/>
      <c r="X62" s="3"/>
      <c r="Y62" s="3"/>
      <c r="Z62" s="3"/>
      <c r="AA62" s="3"/>
    </row>
    <row r="63">
      <c r="A63" s="77" t="s">
        <v>127</v>
      </c>
      <c r="B63" s="80" t="s">
        <v>1884</v>
      </c>
      <c r="C63" s="81" t="s">
        <v>210</v>
      </c>
      <c r="D63" s="81" t="s">
        <v>284</v>
      </c>
      <c r="E63" s="82">
        <v>14.0</v>
      </c>
      <c r="F63" s="81" t="s">
        <v>285</v>
      </c>
      <c r="G63" s="83" t="s">
        <v>142</v>
      </c>
      <c r="H63" s="83" t="s">
        <v>143</v>
      </c>
      <c r="I63" s="20" t="str">
        <f t="shared" si="2"/>
        <v>Gobernanza de DatosGestión ética de datosAvanzado</v>
      </c>
      <c r="J63" s="3">
        <v>50.0</v>
      </c>
      <c r="K63" s="79">
        <v>98.0</v>
      </c>
      <c r="L63" s="80" t="s">
        <v>288</v>
      </c>
      <c r="M63" s="81" t="s">
        <v>210</v>
      </c>
      <c r="N63" s="81" t="s">
        <v>284</v>
      </c>
      <c r="O63" s="81" t="s">
        <v>143</v>
      </c>
      <c r="P63" s="81" t="s">
        <v>287</v>
      </c>
      <c r="Q63" s="73">
        <f t="shared" si="11"/>
        <v>50</v>
      </c>
      <c r="R63" s="3"/>
      <c r="S63" s="3"/>
      <c r="T63" s="3"/>
      <c r="U63" s="3"/>
      <c r="V63" s="3"/>
      <c r="W63" s="3"/>
      <c r="X63" s="3"/>
      <c r="Y63" s="3"/>
      <c r="Z63" s="3"/>
      <c r="AA63" s="3"/>
    </row>
    <row r="64">
      <c r="A64" s="77" t="s">
        <v>127</v>
      </c>
      <c r="B64" s="80" t="s">
        <v>1885</v>
      </c>
      <c r="C64" s="81" t="s">
        <v>289</v>
      </c>
      <c r="D64" s="81" t="s">
        <v>292</v>
      </c>
      <c r="E64" s="82">
        <v>15.0</v>
      </c>
      <c r="F64" s="81" t="s">
        <v>293</v>
      </c>
      <c r="G64" s="83" t="s">
        <v>134</v>
      </c>
      <c r="H64" s="83" t="s">
        <v>135</v>
      </c>
      <c r="I64" s="20" t="str">
        <f t="shared" si="2"/>
        <v>Arquitectura, Diseño y DocumentaciónArquitectura Institucional de datosInsuficiente</v>
      </c>
      <c r="J64" s="3">
        <v>51.0</v>
      </c>
      <c r="R64" s="3"/>
      <c r="S64" s="3"/>
      <c r="T64" s="3"/>
      <c r="U64" s="3"/>
      <c r="V64" s="3"/>
      <c r="W64" s="3"/>
      <c r="X64" s="3"/>
      <c r="Y64" s="3"/>
      <c r="Z64" s="3"/>
      <c r="AA64" s="3"/>
    </row>
    <row r="65">
      <c r="A65" s="77" t="s">
        <v>127</v>
      </c>
      <c r="B65" s="80" t="s">
        <v>1886</v>
      </c>
      <c r="C65" s="81" t="s">
        <v>289</v>
      </c>
      <c r="D65" s="81" t="s">
        <v>292</v>
      </c>
      <c r="E65" s="82">
        <v>15.0</v>
      </c>
      <c r="F65" s="81" t="s">
        <v>293</v>
      </c>
      <c r="G65" s="83" t="s">
        <v>294</v>
      </c>
      <c r="H65" s="83" t="s">
        <v>137</v>
      </c>
      <c r="I65" s="20" t="str">
        <f t="shared" si="2"/>
        <v>Arquitectura, Diseño y DocumentaciónArquitectura Institucional de datosBásico</v>
      </c>
      <c r="J65" s="3">
        <v>52.0</v>
      </c>
      <c r="K65" s="79">
        <v>15.0</v>
      </c>
      <c r="L65" s="80" t="s">
        <v>295</v>
      </c>
      <c r="M65" s="81" t="s">
        <v>289</v>
      </c>
      <c r="N65" s="81" t="s">
        <v>292</v>
      </c>
      <c r="O65" s="81" t="s">
        <v>137</v>
      </c>
      <c r="P65" s="81" t="s">
        <v>296</v>
      </c>
      <c r="Q65" s="73">
        <f t="shared" ref="Q65:Q67" si="12">VLOOKUP(L65,$I$13:$J$207,2,0)</f>
        <v>52</v>
      </c>
      <c r="R65" s="3"/>
      <c r="S65" s="3"/>
      <c r="T65" s="3"/>
      <c r="U65" s="3"/>
      <c r="V65" s="3"/>
      <c r="W65" s="3"/>
      <c r="X65" s="3"/>
      <c r="Y65" s="3"/>
      <c r="Z65" s="3"/>
      <c r="AA65" s="3"/>
    </row>
    <row r="66">
      <c r="A66" s="77" t="s">
        <v>127</v>
      </c>
      <c r="B66" s="80" t="s">
        <v>1887</v>
      </c>
      <c r="C66" s="81" t="s">
        <v>289</v>
      </c>
      <c r="D66" s="81" t="s">
        <v>292</v>
      </c>
      <c r="E66" s="82">
        <v>15.0</v>
      </c>
      <c r="F66" s="81" t="s">
        <v>293</v>
      </c>
      <c r="G66" s="83" t="s">
        <v>297</v>
      </c>
      <c r="H66" s="83" t="s">
        <v>140</v>
      </c>
      <c r="I66" s="20" t="str">
        <f t="shared" si="2"/>
        <v>Arquitectura, Diseño y DocumentaciónArquitectura Institucional de datosMedio</v>
      </c>
      <c r="J66" s="3">
        <v>53.0</v>
      </c>
      <c r="K66" s="79">
        <v>57.0</v>
      </c>
      <c r="L66" s="80" t="s">
        <v>298</v>
      </c>
      <c r="M66" s="81" t="s">
        <v>289</v>
      </c>
      <c r="N66" s="81" t="s">
        <v>292</v>
      </c>
      <c r="O66" s="81" t="s">
        <v>140</v>
      </c>
      <c r="P66" s="81" t="s">
        <v>299</v>
      </c>
      <c r="Q66" s="73">
        <f t="shared" si="12"/>
        <v>53</v>
      </c>
      <c r="R66" s="3"/>
      <c r="S66" s="3"/>
      <c r="T66" s="3"/>
      <c r="U66" s="3"/>
      <c r="V66" s="3"/>
      <c r="W66" s="3"/>
      <c r="X66" s="3"/>
      <c r="Y66" s="3"/>
      <c r="Z66" s="3"/>
      <c r="AA66" s="3"/>
    </row>
    <row r="67">
      <c r="A67" s="77" t="s">
        <v>127</v>
      </c>
      <c r="B67" s="80" t="s">
        <v>1888</v>
      </c>
      <c r="C67" s="81" t="s">
        <v>289</v>
      </c>
      <c r="D67" s="81" t="s">
        <v>292</v>
      </c>
      <c r="E67" s="82">
        <v>15.0</v>
      </c>
      <c r="F67" s="81" t="s">
        <v>293</v>
      </c>
      <c r="G67" s="83" t="s">
        <v>300</v>
      </c>
      <c r="H67" s="83" t="s">
        <v>143</v>
      </c>
      <c r="I67" s="20" t="str">
        <f t="shared" si="2"/>
        <v>Arquitectura, Diseño y DocumentaciónArquitectura Institucional de datosAvanzado</v>
      </c>
      <c r="J67" s="3">
        <v>54.0</v>
      </c>
      <c r="K67" s="79">
        <v>99.0</v>
      </c>
      <c r="L67" s="80" t="s">
        <v>301</v>
      </c>
      <c r="M67" s="81" t="s">
        <v>289</v>
      </c>
      <c r="N67" s="81" t="s">
        <v>292</v>
      </c>
      <c r="O67" s="81" t="s">
        <v>143</v>
      </c>
      <c r="P67" s="81" t="s">
        <v>302</v>
      </c>
      <c r="Q67" s="73">
        <f t="shared" si="12"/>
        <v>54</v>
      </c>
      <c r="R67" s="3"/>
      <c r="S67" s="3"/>
      <c r="T67" s="3"/>
      <c r="U67" s="3"/>
      <c r="V67" s="3"/>
      <c r="W67" s="3"/>
      <c r="X67" s="3"/>
      <c r="Y67" s="3"/>
      <c r="Z67" s="3"/>
      <c r="AA67" s="3"/>
    </row>
    <row r="68">
      <c r="A68" s="77" t="s">
        <v>127</v>
      </c>
      <c r="B68" s="80" t="s">
        <v>1889</v>
      </c>
      <c r="C68" s="81" t="s">
        <v>289</v>
      </c>
      <c r="D68" s="81" t="s">
        <v>304</v>
      </c>
      <c r="E68" s="82">
        <v>16.0</v>
      </c>
      <c r="F68" s="81" t="s">
        <v>305</v>
      </c>
      <c r="G68" s="83" t="s">
        <v>134</v>
      </c>
      <c r="H68" s="83" t="s">
        <v>135</v>
      </c>
      <c r="I68" s="20" t="str">
        <f t="shared" si="2"/>
        <v>Arquitectura, Diseño y DocumentaciónCatálogoInsuficiente</v>
      </c>
      <c r="J68" s="3">
        <v>55.0</v>
      </c>
      <c r="R68" s="3"/>
      <c r="S68" s="3"/>
      <c r="T68" s="3"/>
      <c r="U68" s="3"/>
      <c r="V68" s="3"/>
      <c r="W68" s="3"/>
      <c r="X68" s="3"/>
      <c r="Y68" s="3"/>
      <c r="Z68" s="3"/>
      <c r="AA68" s="3"/>
    </row>
    <row r="69">
      <c r="A69" s="77" t="s">
        <v>127</v>
      </c>
      <c r="B69" s="80" t="s">
        <v>1890</v>
      </c>
      <c r="C69" s="81" t="s">
        <v>289</v>
      </c>
      <c r="D69" s="81" t="s">
        <v>304</v>
      </c>
      <c r="E69" s="82">
        <v>16.0</v>
      </c>
      <c r="F69" s="81" t="s">
        <v>305</v>
      </c>
      <c r="G69" s="83" t="s">
        <v>306</v>
      </c>
      <c r="H69" s="83" t="s">
        <v>137</v>
      </c>
      <c r="I69" s="20" t="str">
        <f t="shared" si="2"/>
        <v>Arquitectura, Diseño y DocumentaciónCatálogoBásico</v>
      </c>
      <c r="J69" s="3">
        <v>56.0</v>
      </c>
      <c r="K69" s="79">
        <v>16.0</v>
      </c>
      <c r="L69" s="80" t="s">
        <v>307</v>
      </c>
      <c r="M69" s="81" t="s">
        <v>289</v>
      </c>
      <c r="N69" s="81" t="s">
        <v>304</v>
      </c>
      <c r="O69" s="81" t="s">
        <v>137</v>
      </c>
      <c r="P69" s="81" t="s">
        <v>308</v>
      </c>
      <c r="Q69" s="73">
        <f t="shared" ref="Q69:Q71" si="13">VLOOKUP(L69,$I$13:$J$207,2,0)</f>
        <v>56</v>
      </c>
      <c r="R69" s="3"/>
      <c r="S69" s="3"/>
      <c r="T69" s="3"/>
      <c r="U69" s="3"/>
      <c r="V69" s="3"/>
      <c r="W69" s="3"/>
      <c r="X69" s="3"/>
      <c r="Y69" s="3"/>
      <c r="Z69" s="3"/>
      <c r="AA69" s="3"/>
    </row>
    <row r="70">
      <c r="A70" s="77" t="s">
        <v>127</v>
      </c>
      <c r="B70" s="80" t="s">
        <v>1891</v>
      </c>
      <c r="C70" s="81" t="s">
        <v>289</v>
      </c>
      <c r="D70" s="81" t="s">
        <v>304</v>
      </c>
      <c r="E70" s="82">
        <v>16.0</v>
      </c>
      <c r="F70" s="81" t="s">
        <v>305</v>
      </c>
      <c r="G70" s="83" t="s">
        <v>309</v>
      </c>
      <c r="H70" s="83" t="s">
        <v>140</v>
      </c>
      <c r="I70" s="20" t="str">
        <f t="shared" si="2"/>
        <v>Arquitectura, Diseño y DocumentaciónCatálogoMedio</v>
      </c>
      <c r="J70" s="3">
        <v>57.0</v>
      </c>
      <c r="K70" s="79">
        <v>58.0</v>
      </c>
      <c r="L70" s="80" t="s">
        <v>310</v>
      </c>
      <c r="M70" s="81" t="s">
        <v>289</v>
      </c>
      <c r="N70" s="81" t="s">
        <v>304</v>
      </c>
      <c r="O70" s="81" t="s">
        <v>140</v>
      </c>
      <c r="P70" s="81" t="s">
        <v>311</v>
      </c>
      <c r="Q70" s="73">
        <f t="shared" si="13"/>
        <v>57</v>
      </c>
      <c r="R70" s="3"/>
      <c r="S70" s="3"/>
      <c r="T70" s="3"/>
      <c r="U70" s="3"/>
      <c r="V70" s="3"/>
      <c r="W70" s="3"/>
      <c r="X70" s="3"/>
      <c r="Y70" s="3"/>
      <c r="Z70" s="3"/>
      <c r="AA70" s="3"/>
    </row>
    <row r="71">
      <c r="A71" s="77" t="s">
        <v>127</v>
      </c>
      <c r="B71" s="80" t="s">
        <v>1892</v>
      </c>
      <c r="C71" s="81" t="s">
        <v>289</v>
      </c>
      <c r="D71" s="81" t="s">
        <v>304</v>
      </c>
      <c r="E71" s="82">
        <v>16.0</v>
      </c>
      <c r="F71" s="81" t="s">
        <v>305</v>
      </c>
      <c r="G71" s="83" t="s">
        <v>312</v>
      </c>
      <c r="H71" s="83" t="s">
        <v>143</v>
      </c>
      <c r="I71" s="20" t="str">
        <f t="shared" si="2"/>
        <v>Arquitectura, Diseño y DocumentaciónCatálogoAvanzado</v>
      </c>
      <c r="J71" s="3">
        <v>58.0</v>
      </c>
      <c r="K71" s="79">
        <v>100.0</v>
      </c>
      <c r="L71" s="80" t="s">
        <v>313</v>
      </c>
      <c r="M71" s="81" t="s">
        <v>289</v>
      </c>
      <c r="N71" s="81" t="s">
        <v>304</v>
      </c>
      <c r="O71" s="81" t="s">
        <v>143</v>
      </c>
      <c r="P71" s="81" t="s">
        <v>314</v>
      </c>
      <c r="Q71" s="73">
        <f t="shared" si="13"/>
        <v>58</v>
      </c>
      <c r="R71" s="3"/>
      <c r="S71" s="3"/>
      <c r="T71" s="3"/>
      <c r="U71" s="3"/>
      <c r="V71" s="3"/>
      <c r="W71" s="3"/>
      <c r="X71" s="3"/>
      <c r="Y71" s="3"/>
      <c r="Z71" s="3"/>
      <c r="AA71" s="3"/>
    </row>
    <row r="72">
      <c r="A72" s="77" t="s">
        <v>127</v>
      </c>
      <c r="B72" s="80" t="s">
        <v>1893</v>
      </c>
      <c r="C72" s="81" t="s">
        <v>289</v>
      </c>
      <c r="D72" s="81" t="s">
        <v>304</v>
      </c>
      <c r="E72" s="82">
        <v>17.0</v>
      </c>
      <c r="F72" s="81" t="s">
        <v>315</v>
      </c>
      <c r="G72" s="83" t="s">
        <v>134</v>
      </c>
      <c r="H72" s="83" t="s">
        <v>135</v>
      </c>
      <c r="I72" s="20" t="str">
        <f t="shared" si="2"/>
        <v>Arquitectura, Diseño y DocumentaciónCatálogoInsuficiente</v>
      </c>
      <c r="J72" s="3">
        <v>59.0</v>
      </c>
      <c r="R72" s="3"/>
      <c r="S72" s="3"/>
      <c r="T72" s="3"/>
      <c r="U72" s="3"/>
      <c r="V72" s="3"/>
      <c r="W72" s="3"/>
      <c r="X72" s="3"/>
      <c r="Y72" s="3"/>
      <c r="Z72" s="3"/>
      <c r="AA72" s="3"/>
    </row>
    <row r="73">
      <c r="A73" s="77" t="s">
        <v>127</v>
      </c>
      <c r="B73" s="80" t="s">
        <v>1894</v>
      </c>
      <c r="C73" s="81" t="s">
        <v>289</v>
      </c>
      <c r="D73" s="81" t="s">
        <v>304</v>
      </c>
      <c r="E73" s="82">
        <v>17.0</v>
      </c>
      <c r="F73" s="81" t="s">
        <v>315</v>
      </c>
      <c r="G73" s="83" t="s">
        <v>316</v>
      </c>
      <c r="H73" s="83" t="s">
        <v>137</v>
      </c>
      <c r="I73" s="20" t="str">
        <f t="shared" si="2"/>
        <v>Arquitectura, Diseño y DocumentaciónCatálogoBásico</v>
      </c>
      <c r="J73" s="3">
        <v>60.0</v>
      </c>
      <c r="K73" s="79">
        <v>17.0</v>
      </c>
      <c r="L73" s="80" t="s">
        <v>317</v>
      </c>
      <c r="M73" s="81" t="s">
        <v>289</v>
      </c>
      <c r="N73" s="81" t="s">
        <v>326</v>
      </c>
      <c r="O73" s="81" t="s">
        <v>137</v>
      </c>
      <c r="P73" s="81" t="s">
        <v>318</v>
      </c>
      <c r="Q73" s="73">
        <f t="shared" ref="Q73:Q75" si="14">VLOOKUP(L73,$I$13:$J$207,2,0)</f>
        <v>64</v>
      </c>
      <c r="R73" s="3"/>
      <c r="S73" s="3"/>
      <c r="T73" s="3"/>
      <c r="U73" s="3"/>
      <c r="V73" s="3"/>
      <c r="W73" s="3"/>
      <c r="X73" s="3"/>
      <c r="Y73" s="3"/>
      <c r="Z73" s="3"/>
      <c r="AA73" s="3"/>
    </row>
    <row r="74">
      <c r="A74" s="77" t="s">
        <v>127</v>
      </c>
      <c r="B74" s="80" t="s">
        <v>1895</v>
      </c>
      <c r="C74" s="81" t="s">
        <v>289</v>
      </c>
      <c r="D74" s="81" t="s">
        <v>304</v>
      </c>
      <c r="E74" s="82">
        <v>17.0</v>
      </c>
      <c r="F74" s="81" t="s">
        <v>315</v>
      </c>
      <c r="G74" s="83" t="s">
        <v>319</v>
      </c>
      <c r="H74" s="83" t="s">
        <v>140</v>
      </c>
      <c r="I74" s="20" t="str">
        <f t="shared" si="2"/>
        <v>Arquitectura, Diseño y DocumentaciónCatálogoMedio</v>
      </c>
      <c r="J74" s="3">
        <v>61.0</v>
      </c>
      <c r="K74" s="79">
        <v>59.0</v>
      </c>
      <c r="L74" s="80" t="s">
        <v>320</v>
      </c>
      <c r="M74" s="81" t="s">
        <v>289</v>
      </c>
      <c r="N74" s="81" t="s">
        <v>326</v>
      </c>
      <c r="O74" s="81" t="s">
        <v>140</v>
      </c>
      <c r="P74" s="81" t="s">
        <v>321</v>
      </c>
      <c r="Q74" s="73">
        <f t="shared" si="14"/>
        <v>65</v>
      </c>
      <c r="R74" s="3"/>
      <c r="S74" s="3"/>
      <c r="T74" s="3"/>
      <c r="U74" s="3"/>
      <c r="V74" s="3"/>
      <c r="W74" s="3"/>
      <c r="X74" s="3"/>
      <c r="Y74" s="3"/>
      <c r="Z74" s="3"/>
      <c r="AA74" s="3"/>
    </row>
    <row r="75">
      <c r="A75" s="77" t="s">
        <v>127</v>
      </c>
      <c r="B75" s="80" t="s">
        <v>1896</v>
      </c>
      <c r="C75" s="81" t="s">
        <v>289</v>
      </c>
      <c r="D75" s="81" t="s">
        <v>304</v>
      </c>
      <c r="E75" s="82">
        <v>17.0</v>
      </c>
      <c r="F75" s="81" t="s">
        <v>315</v>
      </c>
      <c r="G75" s="83" t="s">
        <v>322</v>
      </c>
      <c r="H75" s="83" t="s">
        <v>143</v>
      </c>
      <c r="I75" s="20" t="str">
        <f t="shared" si="2"/>
        <v>Arquitectura, Diseño y DocumentaciónCatálogoAvanzado</v>
      </c>
      <c r="J75" s="3">
        <v>62.0</v>
      </c>
      <c r="K75" s="79">
        <v>101.0</v>
      </c>
      <c r="L75" s="80" t="s">
        <v>323</v>
      </c>
      <c r="M75" s="81" t="s">
        <v>289</v>
      </c>
      <c r="N75" s="81" t="s">
        <v>326</v>
      </c>
      <c r="O75" s="81" t="s">
        <v>143</v>
      </c>
      <c r="P75" s="81" t="s">
        <v>324</v>
      </c>
      <c r="Q75" s="73">
        <f t="shared" si="14"/>
        <v>66</v>
      </c>
      <c r="R75" s="3"/>
      <c r="S75" s="3"/>
      <c r="T75" s="3"/>
      <c r="U75" s="3"/>
      <c r="V75" s="3"/>
      <c r="W75" s="3"/>
      <c r="X75" s="3"/>
      <c r="Y75" s="3"/>
      <c r="Z75" s="3"/>
      <c r="AA75" s="3"/>
    </row>
    <row r="76">
      <c r="A76" s="77" t="s">
        <v>127</v>
      </c>
      <c r="B76" s="80" t="s">
        <v>1897</v>
      </c>
      <c r="C76" s="81" t="s">
        <v>289</v>
      </c>
      <c r="D76" s="81" t="s">
        <v>326</v>
      </c>
      <c r="E76" s="82">
        <v>18.0</v>
      </c>
      <c r="F76" s="81" t="s">
        <v>327</v>
      </c>
      <c r="G76" s="83" t="s">
        <v>134</v>
      </c>
      <c r="H76" s="83" t="s">
        <v>135</v>
      </c>
      <c r="I76" s="20" t="str">
        <f t="shared" si="2"/>
        <v>Arquitectura, Diseño y DocumentaciónModelos y DocumentaciónInsuficiente</v>
      </c>
      <c r="J76" s="3">
        <v>63.0</v>
      </c>
      <c r="K76" s="84"/>
      <c r="R76" s="3"/>
      <c r="S76" s="3"/>
      <c r="T76" s="3"/>
      <c r="U76" s="3"/>
      <c r="V76" s="3"/>
      <c r="W76" s="3"/>
      <c r="X76" s="3"/>
      <c r="Y76" s="3"/>
      <c r="Z76" s="3"/>
      <c r="AA76" s="3"/>
    </row>
    <row r="77">
      <c r="A77" s="77" t="s">
        <v>127</v>
      </c>
      <c r="B77" s="80" t="s">
        <v>1898</v>
      </c>
      <c r="C77" s="81" t="s">
        <v>289</v>
      </c>
      <c r="D77" s="81" t="s">
        <v>326</v>
      </c>
      <c r="E77" s="82">
        <v>18.0</v>
      </c>
      <c r="F77" s="81" t="s">
        <v>327</v>
      </c>
      <c r="G77" s="83" t="s">
        <v>328</v>
      </c>
      <c r="H77" s="83" t="s">
        <v>137</v>
      </c>
      <c r="I77" s="20" t="str">
        <f t="shared" si="2"/>
        <v>Arquitectura, Diseño y DocumentaciónModelos y DocumentaciónBásico</v>
      </c>
      <c r="J77" s="3">
        <v>64.0</v>
      </c>
      <c r="K77" s="84"/>
      <c r="R77" s="3"/>
      <c r="S77" s="3"/>
      <c r="T77" s="3"/>
      <c r="U77" s="3"/>
      <c r="V77" s="3"/>
      <c r="W77" s="3"/>
      <c r="X77" s="3"/>
      <c r="Y77" s="3"/>
      <c r="Z77" s="3"/>
      <c r="AA77" s="3"/>
    </row>
    <row r="78">
      <c r="A78" s="77" t="s">
        <v>127</v>
      </c>
      <c r="B78" s="80" t="s">
        <v>1899</v>
      </c>
      <c r="C78" s="81" t="s">
        <v>289</v>
      </c>
      <c r="D78" s="81" t="s">
        <v>326</v>
      </c>
      <c r="E78" s="82">
        <v>18.0</v>
      </c>
      <c r="F78" s="81" t="s">
        <v>327</v>
      </c>
      <c r="G78" s="83" t="s">
        <v>329</v>
      </c>
      <c r="H78" s="83" t="s">
        <v>140</v>
      </c>
      <c r="I78" s="20" t="str">
        <f t="shared" si="2"/>
        <v>Arquitectura, Diseño y DocumentaciónModelos y DocumentaciónMedio</v>
      </c>
      <c r="J78" s="3">
        <v>65.0</v>
      </c>
      <c r="K78" s="84"/>
      <c r="R78" s="3"/>
      <c r="S78" s="3"/>
      <c r="T78" s="3"/>
      <c r="U78" s="3"/>
      <c r="V78" s="3"/>
      <c r="W78" s="3"/>
      <c r="X78" s="3"/>
      <c r="Y78" s="3"/>
      <c r="Z78" s="3"/>
      <c r="AA78" s="3"/>
    </row>
    <row r="79">
      <c r="A79" s="77" t="s">
        <v>127</v>
      </c>
      <c r="B79" s="80" t="s">
        <v>1900</v>
      </c>
      <c r="C79" s="81" t="s">
        <v>289</v>
      </c>
      <c r="D79" s="81" t="s">
        <v>326</v>
      </c>
      <c r="E79" s="82">
        <v>18.0</v>
      </c>
      <c r="F79" s="81" t="s">
        <v>327</v>
      </c>
      <c r="G79" s="83" t="s">
        <v>330</v>
      </c>
      <c r="H79" s="83" t="s">
        <v>143</v>
      </c>
      <c r="I79" s="20" t="str">
        <f t="shared" si="2"/>
        <v>Arquitectura, Diseño y DocumentaciónModelos y DocumentaciónAvanzado</v>
      </c>
      <c r="J79" s="3">
        <v>66.0</v>
      </c>
      <c r="R79" s="3"/>
      <c r="S79" s="3"/>
      <c r="T79" s="3"/>
      <c r="U79" s="3"/>
      <c r="V79" s="3"/>
      <c r="W79" s="3"/>
      <c r="X79" s="3"/>
      <c r="Y79" s="3"/>
      <c r="Z79" s="3"/>
      <c r="AA79" s="3"/>
    </row>
    <row r="80">
      <c r="A80" s="77" t="s">
        <v>127</v>
      </c>
      <c r="B80" s="80" t="s">
        <v>1901</v>
      </c>
      <c r="C80" s="81" t="s">
        <v>289</v>
      </c>
      <c r="D80" s="81" t="s">
        <v>332</v>
      </c>
      <c r="E80" s="82">
        <v>19.0</v>
      </c>
      <c r="F80" s="81" t="s">
        <v>333</v>
      </c>
      <c r="G80" s="83" t="s">
        <v>134</v>
      </c>
      <c r="H80" s="83" t="s">
        <v>135</v>
      </c>
      <c r="I80" s="20" t="str">
        <f t="shared" si="2"/>
        <v>Arquitectura, Diseño y DocumentaciónMetadatosInsuficiente</v>
      </c>
      <c r="J80" s="3">
        <v>67.0</v>
      </c>
      <c r="R80" s="3"/>
      <c r="S80" s="3"/>
      <c r="T80" s="3"/>
      <c r="U80" s="3"/>
      <c r="V80" s="3"/>
      <c r="W80" s="3"/>
      <c r="X80" s="3"/>
      <c r="Y80" s="3"/>
      <c r="Z80" s="3"/>
      <c r="AA80" s="3"/>
    </row>
    <row r="81">
      <c r="A81" s="77" t="s">
        <v>127</v>
      </c>
      <c r="B81" s="80" t="s">
        <v>1902</v>
      </c>
      <c r="C81" s="81" t="s">
        <v>289</v>
      </c>
      <c r="D81" s="81" t="s">
        <v>332</v>
      </c>
      <c r="E81" s="82">
        <v>19.0</v>
      </c>
      <c r="F81" s="81" t="s">
        <v>333</v>
      </c>
      <c r="G81" s="83" t="s">
        <v>316</v>
      </c>
      <c r="H81" s="83" t="s">
        <v>137</v>
      </c>
      <c r="I81" s="20" t="str">
        <f t="shared" si="2"/>
        <v>Arquitectura, Diseño y DocumentaciónMetadatosBásico</v>
      </c>
      <c r="J81" s="3">
        <v>68.0</v>
      </c>
      <c r="R81" s="3"/>
      <c r="S81" s="3"/>
      <c r="T81" s="3"/>
      <c r="U81" s="3"/>
      <c r="V81" s="3"/>
      <c r="W81" s="3"/>
      <c r="X81" s="3"/>
      <c r="Y81" s="3"/>
      <c r="Z81" s="3"/>
      <c r="AA81" s="3"/>
    </row>
    <row r="82">
      <c r="A82" s="77" t="s">
        <v>127</v>
      </c>
      <c r="B82" s="80" t="s">
        <v>1903</v>
      </c>
      <c r="C82" s="81" t="s">
        <v>289</v>
      </c>
      <c r="D82" s="81" t="s">
        <v>332</v>
      </c>
      <c r="E82" s="82">
        <v>19.0</v>
      </c>
      <c r="F82" s="81" t="s">
        <v>333</v>
      </c>
      <c r="G82" s="83" t="s">
        <v>334</v>
      </c>
      <c r="H82" s="83" t="s">
        <v>140</v>
      </c>
      <c r="I82" s="20" t="str">
        <f t="shared" si="2"/>
        <v>Arquitectura, Diseño y DocumentaciónMetadatosMedio</v>
      </c>
      <c r="J82" s="3">
        <v>69.0</v>
      </c>
      <c r="R82" s="3"/>
      <c r="S82" s="3"/>
      <c r="T82" s="3"/>
      <c r="U82" s="3"/>
      <c r="V82" s="3"/>
      <c r="W82" s="3"/>
      <c r="X82" s="3"/>
      <c r="Y82" s="3"/>
      <c r="Z82" s="3"/>
      <c r="AA82" s="3"/>
    </row>
    <row r="83">
      <c r="A83" s="77" t="s">
        <v>127</v>
      </c>
      <c r="B83" s="80" t="s">
        <v>1904</v>
      </c>
      <c r="C83" s="81" t="s">
        <v>289</v>
      </c>
      <c r="D83" s="81" t="s">
        <v>332</v>
      </c>
      <c r="E83" s="82">
        <v>19.0</v>
      </c>
      <c r="F83" s="81" t="s">
        <v>333</v>
      </c>
      <c r="G83" s="83" t="s">
        <v>335</v>
      </c>
      <c r="H83" s="83" t="s">
        <v>143</v>
      </c>
      <c r="I83" s="20" t="str">
        <f t="shared" si="2"/>
        <v>Arquitectura, Diseño y DocumentaciónMetadatosAvanzado</v>
      </c>
      <c r="J83" s="3">
        <v>70.0</v>
      </c>
      <c r="R83" s="3"/>
      <c r="S83" s="3"/>
      <c r="T83" s="3"/>
      <c r="U83" s="3"/>
      <c r="V83" s="3"/>
      <c r="W83" s="3"/>
      <c r="X83" s="3"/>
      <c r="Y83" s="3"/>
      <c r="Z83" s="3"/>
      <c r="AA83" s="3"/>
    </row>
    <row r="84">
      <c r="A84" s="77" t="s">
        <v>127</v>
      </c>
      <c r="B84" s="80" t="s">
        <v>1905</v>
      </c>
      <c r="C84" s="81" t="s">
        <v>289</v>
      </c>
      <c r="D84" s="81" t="s">
        <v>332</v>
      </c>
      <c r="E84" s="82">
        <v>20.0</v>
      </c>
      <c r="F84" s="81" t="s">
        <v>336</v>
      </c>
      <c r="G84" s="83" t="s">
        <v>134</v>
      </c>
      <c r="H84" s="83" t="s">
        <v>135</v>
      </c>
      <c r="I84" s="20" t="str">
        <f t="shared" si="2"/>
        <v>Arquitectura, Diseño y DocumentaciónMetadatosInsuficiente</v>
      </c>
      <c r="J84" s="3">
        <v>71.0</v>
      </c>
      <c r="R84" s="3"/>
      <c r="S84" s="3"/>
      <c r="T84" s="3"/>
      <c r="U84" s="3"/>
      <c r="V84" s="3"/>
      <c r="W84" s="3"/>
      <c r="X84" s="3"/>
      <c r="Y84" s="3"/>
      <c r="Z84" s="3"/>
      <c r="AA84" s="3"/>
    </row>
    <row r="85">
      <c r="A85" s="77" t="s">
        <v>127</v>
      </c>
      <c r="B85" s="80" t="s">
        <v>1906</v>
      </c>
      <c r="C85" s="81" t="s">
        <v>289</v>
      </c>
      <c r="D85" s="81" t="s">
        <v>332</v>
      </c>
      <c r="E85" s="82">
        <v>20.0</v>
      </c>
      <c r="F85" s="81" t="s">
        <v>336</v>
      </c>
      <c r="G85" s="83" t="s">
        <v>337</v>
      </c>
      <c r="H85" s="83" t="s">
        <v>137</v>
      </c>
      <c r="I85" s="20" t="str">
        <f t="shared" si="2"/>
        <v>Arquitectura, Diseño y DocumentaciónMetadatosBásico</v>
      </c>
      <c r="J85" s="3">
        <v>72.0</v>
      </c>
      <c r="K85" s="79">
        <v>18.0</v>
      </c>
      <c r="L85" s="80" t="s">
        <v>338</v>
      </c>
      <c r="M85" s="81" t="s">
        <v>289</v>
      </c>
      <c r="N85" s="81" t="s">
        <v>332</v>
      </c>
      <c r="O85" s="81" t="s">
        <v>137</v>
      </c>
      <c r="P85" s="81" t="s">
        <v>339</v>
      </c>
      <c r="Q85" s="73">
        <f t="shared" ref="Q85:Q87" si="15">VLOOKUP(L85,$I$13:$J$207,2,0)</f>
        <v>68</v>
      </c>
      <c r="R85" s="3"/>
      <c r="S85" s="3"/>
      <c r="T85" s="3"/>
      <c r="U85" s="3"/>
      <c r="V85" s="3"/>
      <c r="W85" s="3"/>
      <c r="X85" s="3"/>
      <c r="Y85" s="3"/>
      <c r="Z85" s="3"/>
      <c r="AA85" s="3"/>
    </row>
    <row r="86">
      <c r="A86" s="77" t="s">
        <v>127</v>
      </c>
      <c r="B86" s="80" t="s">
        <v>1907</v>
      </c>
      <c r="C86" s="81" t="s">
        <v>289</v>
      </c>
      <c r="D86" s="81" t="s">
        <v>332</v>
      </c>
      <c r="E86" s="82">
        <v>20.0</v>
      </c>
      <c r="F86" s="81" t="s">
        <v>336</v>
      </c>
      <c r="G86" s="83" t="s">
        <v>340</v>
      </c>
      <c r="H86" s="83" t="s">
        <v>140</v>
      </c>
      <c r="I86" s="20" t="str">
        <f t="shared" si="2"/>
        <v>Arquitectura, Diseño y DocumentaciónMetadatosMedio</v>
      </c>
      <c r="J86" s="3">
        <v>73.0</v>
      </c>
      <c r="K86" s="79">
        <v>60.0</v>
      </c>
      <c r="L86" s="80" t="s">
        <v>341</v>
      </c>
      <c r="M86" s="81" t="s">
        <v>289</v>
      </c>
      <c r="N86" s="81" t="s">
        <v>332</v>
      </c>
      <c r="O86" s="81" t="s">
        <v>140</v>
      </c>
      <c r="P86" s="81" t="s">
        <v>342</v>
      </c>
      <c r="Q86" s="73">
        <f t="shared" si="15"/>
        <v>69</v>
      </c>
      <c r="R86" s="3"/>
      <c r="S86" s="3"/>
      <c r="T86" s="3"/>
      <c r="U86" s="3"/>
      <c r="V86" s="3"/>
      <c r="W86" s="3"/>
      <c r="X86" s="3"/>
      <c r="Y86" s="3"/>
      <c r="Z86" s="3"/>
      <c r="AA86" s="3"/>
    </row>
    <row r="87">
      <c r="A87" s="77" t="s">
        <v>127</v>
      </c>
      <c r="B87" s="80" t="s">
        <v>1908</v>
      </c>
      <c r="C87" s="81" t="s">
        <v>289</v>
      </c>
      <c r="D87" s="81" t="s">
        <v>332</v>
      </c>
      <c r="E87" s="82">
        <v>20.0</v>
      </c>
      <c r="F87" s="81" t="s">
        <v>336</v>
      </c>
      <c r="G87" s="83" t="s">
        <v>343</v>
      </c>
      <c r="H87" s="83" t="s">
        <v>143</v>
      </c>
      <c r="I87" s="20" t="str">
        <f t="shared" si="2"/>
        <v>Arquitectura, Diseño y DocumentaciónMetadatosAvanzado</v>
      </c>
      <c r="J87" s="3">
        <v>74.0</v>
      </c>
      <c r="K87" s="79">
        <v>102.0</v>
      </c>
      <c r="L87" s="80" t="s">
        <v>344</v>
      </c>
      <c r="M87" s="81" t="s">
        <v>289</v>
      </c>
      <c r="N87" s="81" t="s">
        <v>332</v>
      </c>
      <c r="O87" s="81" t="s">
        <v>143</v>
      </c>
      <c r="P87" s="81" t="s">
        <v>345</v>
      </c>
      <c r="Q87" s="73">
        <f t="shared" si="15"/>
        <v>70</v>
      </c>
      <c r="R87" s="3"/>
      <c r="S87" s="3"/>
      <c r="T87" s="3"/>
      <c r="U87" s="3"/>
      <c r="V87" s="3"/>
      <c r="W87" s="3"/>
      <c r="X87" s="3"/>
      <c r="Y87" s="3"/>
      <c r="Z87" s="3"/>
      <c r="AA87" s="3"/>
    </row>
    <row r="88">
      <c r="A88" s="77" t="s">
        <v>127</v>
      </c>
      <c r="B88" s="80" t="s">
        <v>1909</v>
      </c>
      <c r="C88" s="81" t="s">
        <v>346</v>
      </c>
      <c r="D88" s="81" t="s">
        <v>349</v>
      </c>
      <c r="E88" s="82">
        <v>21.0</v>
      </c>
      <c r="F88" s="81" t="s">
        <v>350</v>
      </c>
      <c r="G88" s="83" t="s">
        <v>134</v>
      </c>
      <c r="H88" s="83" t="s">
        <v>135</v>
      </c>
      <c r="I88" s="20" t="str">
        <f t="shared" si="2"/>
        <v>Almacenamiento y OperaciónGestión de la operación y almacenamientoInsuficiente</v>
      </c>
      <c r="J88" s="3">
        <v>75.0</v>
      </c>
      <c r="R88" s="3"/>
      <c r="S88" s="3"/>
      <c r="T88" s="3"/>
      <c r="U88" s="3"/>
      <c r="V88" s="3"/>
      <c r="W88" s="3"/>
      <c r="X88" s="3"/>
      <c r="Y88" s="3"/>
      <c r="Z88" s="3"/>
      <c r="AA88" s="3"/>
    </row>
    <row r="89">
      <c r="A89" s="77" t="s">
        <v>127</v>
      </c>
      <c r="B89" s="80" t="s">
        <v>1910</v>
      </c>
      <c r="C89" s="81" t="s">
        <v>346</v>
      </c>
      <c r="D89" s="81" t="s">
        <v>349</v>
      </c>
      <c r="E89" s="82">
        <v>21.0</v>
      </c>
      <c r="F89" s="81" t="s">
        <v>350</v>
      </c>
      <c r="G89" s="83" t="s">
        <v>351</v>
      </c>
      <c r="H89" s="83" t="s">
        <v>137</v>
      </c>
      <c r="I89" s="20" t="str">
        <f t="shared" si="2"/>
        <v>Almacenamiento y OperaciónGestión de la operación y almacenamientoBásico</v>
      </c>
      <c r="J89" s="3">
        <v>76.0</v>
      </c>
      <c r="K89" s="79">
        <v>19.0</v>
      </c>
      <c r="L89" s="80" t="s">
        <v>352</v>
      </c>
      <c r="M89" s="81" t="s">
        <v>346</v>
      </c>
      <c r="N89" s="81" t="s">
        <v>349</v>
      </c>
      <c r="O89" s="81" t="s">
        <v>137</v>
      </c>
      <c r="P89" s="81" t="s">
        <v>353</v>
      </c>
      <c r="Q89" s="73">
        <f t="shared" ref="Q89:Q91" si="16">VLOOKUP(L89,$I$13:$J$207,2,0)</f>
        <v>76</v>
      </c>
      <c r="R89" s="3"/>
      <c r="S89" s="3"/>
      <c r="T89" s="3"/>
      <c r="U89" s="3"/>
      <c r="V89" s="3"/>
      <c r="W89" s="3"/>
      <c r="X89" s="3"/>
      <c r="Y89" s="3"/>
      <c r="Z89" s="3"/>
      <c r="AA89" s="3"/>
    </row>
    <row r="90">
      <c r="A90" s="77" t="s">
        <v>127</v>
      </c>
      <c r="B90" s="80" t="s">
        <v>1911</v>
      </c>
      <c r="C90" s="81" t="s">
        <v>346</v>
      </c>
      <c r="D90" s="81" t="s">
        <v>349</v>
      </c>
      <c r="E90" s="82">
        <v>21.0</v>
      </c>
      <c r="F90" s="81" t="s">
        <v>350</v>
      </c>
      <c r="G90" s="83" t="s">
        <v>354</v>
      </c>
      <c r="H90" s="83" t="s">
        <v>140</v>
      </c>
      <c r="I90" s="20" t="str">
        <f t="shared" si="2"/>
        <v>Almacenamiento y OperaciónGestión de la operación y almacenamientoMedio</v>
      </c>
      <c r="J90" s="3">
        <v>77.0</v>
      </c>
      <c r="K90" s="79">
        <v>61.0</v>
      </c>
      <c r="L90" s="80" t="s">
        <v>355</v>
      </c>
      <c r="M90" s="81" t="s">
        <v>346</v>
      </c>
      <c r="N90" s="81" t="s">
        <v>349</v>
      </c>
      <c r="O90" s="81" t="s">
        <v>140</v>
      </c>
      <c r="P90" s="81" t="s">
        <v>356</v>
      </c>
      <c r="Q90" s="73">
        <f t="shared" si="16"/>
        <v>77</v>
      </c>
      <c r="R90" s="3"/>
      <c r="S90" s="3"/>
      <c r="T90" s="3"/>
      <c r="U90" s="3"/>
      <c r="V90" s="3"/>
      <c r="W90" s="3"/>
      <c r="X90" s="3"/>
      <c r="Y90" s="3"/>
      <c r="Z90" s="3"/>
      <c r="AA90" s="3"/>
    </row>
    <row r="91">
      <c r="A91" s="77" t="s">
        <v>127</v>
      </c>
      <c r="B91" s="80" t="s">
        <v>1912</v>
      </c>
      <c r="C91" s="81" t="s">
        <v>346</v>
      </c>
      <c r="D91" s="81" t="s">
        <v>349</v>
      </c>
      <c r="E91" s="82">
        <v>21.0</v>
      </c>
      <c r="F91" s="81" t="s">
        <v>350</v>
      </c>
      <c r="G91" s="83" t="s">
        <v>357</v>
      </c>
      <c r="H91" s="83" t="s">
        <v>143</v>
      </c>
      <c r="I91" s="20" t="str">
        <f t="shared" si="2"/>
        <v>Almacenamiento y OperaciónGestión de la operación y almacenamientoAvanzado</v>
      </c>
      <c r="J91" s="3">
        <v>78.0</v>
      </c>
      <c r="K91" s="79">
        <v>103.0</v>
      </c>
      <c r="L91" s="80" t="s">
        <v>358</v>
      </c>
      <c r="M91" s="81" t="s">
        <v>346</v>
      </c>
      <c r="N91" s="81" t="s">
        <v>349</v>
      </c>
      <c r="O91" s="81" t="s">
        <v>143</v>
      </c>
      <c r="P91" s="81" t="s">
        <v>359</v>
      </c>
      <c r="Q91" s="73">
        <f t="shared" si="16"/>
        <v>78</v>
      </c>
      <c r="R91" s="3"/>
      <c r="S91" s="3"/>
      <c r="T91" s="3"/>
      <c r="U91" s="3"/>
      <c r="V91" s="3"/>
      <c r="W91" s="3"/>
      <c r="X91" s="3"/>
      <c r="Y91" s="3"/>
      <c r="Z91" s="3"/>
      <c r="AA91" s="3"/>
    </row>
    <row r="92">
      <c r="A92" s="77" t="s">
        <v>127</v>
      </c>
      <c r="B92" s="80" t="s">
        <v>1913</v>
      </c>
      <c r="C92" s="81" t="s">
        <v>360</v>
      </c>
      <c r="D92" s="81" t="s">
        <v>34</v>
      </c>
      <c r="E92" s="82">
        <v>22.0</v>
      </c>
      <c r="F92" s="81" t="s">
        <v>363</v>
      </c>
      <c r="G92" s="83" t="s">
        <v>134</v>
      </c>
      <c r="H92" s="83" t="s">
        <v>135</v>
      </c>
      <c r="I92" s="20" t="str">
        <f t="shared" si="2"/>
        <v>Seguridad y Ciberseguridad de DatosSeguridadInsuficiente</v>
      </c>
      <c r="J92" s="3">
        <v>79.0</v>
      </c>
      <c r="R92" s="3"/>
      <c r="S92" s="3"/>
      <c r="T92" s="3"/>
      <c r="U92" s="3"/>
      <c r="V92" s="3"/>
      <c r="W92" s="3"/>
      <c r="X92" s="3"/>
      <c r="Y92" s="3"/>
      <c r="Z92" s="3"/>
      <c r="AA92" s="3"/>
    </row>
    <row r="93">
      <c r="A93" s="77" t="s">
        <v>127</v>
      </c>
      <c r="B93" s="80" t="s">
        <v>1914</v>
      </c>
      <c r="C93" s="81" t="s">
        <v>360</v>
      </c>
      <c r="D93" s="81" t="s">
        <v>34</v>
      </c>
      <c r="E93" s="82">
        <v>22.0</v>
      </c>
      <c r="F93" s="81" t="s">
        <v>363</v>
      </c>
      <c r="G93" s="83" t="s">
        <v>364</v>
      </c>
      <c r="H93" s="83" t="s">
        <v>137</v>
      </c>
      <c r="I93" s="20" t="str">
        <f t="shared" si="2"/>
        <v>Seguridad y Ciberseguridad de DatosSeguridadBásico</v>
      </c>
      <c r="J93" s="3">
        <v>80.0</v>
      </c>
      <c r="K93" s="79">
        <v>20.0</v>
      </c>
      <c r="L93" s="80" t="s">
        <v>365</v>
      </c>
      <c r="M93" s="81" t="s">
        <v>360</v>
      </c>
      <c r="N93" s="81" t="s">
        <v>34</v>
      </c>
      <c r="O93" s="81" t="s">
        <v>137</v>
      </c>
      <c r="P93" s="81" t="s">
        <v>366</v>
      </c>
      <c r="Q93" s="73">
        <f t="shared" ref="Q93:Q95" si="17">VLOOKUP(L93,$I$13:$J$207,2,0)</f>
        <v>80</v>
      </c>
      <c r="R93" s="3"/>
      <c r="S93" s="3"/>
      <c r="T93" s="3"/>
      <c r="U93" s="3"/>
      <c r="V93" s="3"/>
      <c r="W93" s="3"/>
      <c r="X93" s="3"/>
      <c r="Y93" s="3"/>
      <c r="Z93" s="3"/>
      <c r="AA93" s="3"/>
    </row>
    <row r="94">
      <c r="A94" s="77" t="s">
        <v>127</v>
      </c>
      <c r="B94" s="80" t="s">
        <v>1915</v>
      </c>
      <c r="C94" s="81" t="s">
        <v>360</v>
      </c>
      <c r="D94" s="81" t="s">
        <v>34</v>
      </c>
      <c r="E94" s="82">
        <v>22.0</v>
      </c>
      <c r="F94" s="81" t="s">
        <v>363</v>
      </c>
      <c r="G94" s="83" t="s">
        <v>367</v>
      </c>
      <c r="H94" s="83" t="s">
        <v>140</v>
      </c>
      <c r="I94" s="20" t="str">
        <f t="shared" si="2"/>
        <v>Seguridad y Ciberseguridad de DatosSeguridadMedio</v>
      </c>
      <c r="J94" s="3">
        <v>81.0</v>
      </c>
      <c r="K94" s="79">
        <v>62.0</v>
      </c>
      <c r="L94" s="80" t="s">
        <v>368</v>
      </c>
      <c r="M94" s="81" t="s">
        <v>360</v>
      </c>
      <c r="N94" s="81" t="s">
        <v>34</v>
      </c>
      <c r="O94" s="81" t="s">
        <v>140</v>
      </c>
      <c r="P94" s="81" t="s">
        <v>369</v>
      </c>
      <c r="Q94" s="73">
        <f t="shared" si="17"/>
        <v>81</v>
      </c>
      <c r="R94" s="3"/>
      <c r="S94" s="3"/>
      <c r="T94" s="3"/>
      <c r="U94" s="3"/>
      <c r="V94" s="3"/>
      <c r="W94" s="3"/>
      <c r="X94" s="3"/>
      <c r="Y94" s="3"/>
      <c r="Z94" s="3"/>
      <c r="AA94" s="3"/>
    </row>
    <row r="95">
      <c r="A95" s="77" t="s">
        <v>127</v>
      </c>
      <c r="B95" s="80" t="s">
        <v>1915</v>
      </c>
      <c r="C95" s="81" t="s">
        <v>360</v>
      </c>
      <c r="D95" s="81" t="s">
        <v>34</v>
      </c>
      <c r="E95" s="82">
        <v>22.0</v>
      </c>
      <c r="F95" s="81" t="s">
        <v>363</v>
      </c>
      <c r="G95" s="83" t="s">
        <v>370</v>
      </c>
      <c r="H95" s="83" t="s">
        <v>143</v>
      </c>
      <c r="I95" s="20" t="str">
        <f t="shared" si="2"/>
        <v>Seguridad y Ciberseguridad de DatosSeguridadAvanzado</v>
      </c>
      <c r="J95" s="3">
        <v>82.0</v>
      </c>
      <c r="K95" s="79">
        <v>104.0</v>
      </c>
      <c r="L95" s="80" t="s">
        <v>371</v>
      </c>
      <c r="M95" s="81" t="s">
        <v>360</v>
      </c>
      <c r="N95" s="81" t="s">
        <v>34</v>
      </c>
      <c r="O95" s="81" t="s">
        <v>143</v>
      </c>
      <c r="P95" s="81" t="s">
        <v>372</v>
      </c>
      <c r="Q95" s="73">
        <f t="shared" si="17"/>
        <v>82</v>
      </c>
      <c r="R95" s="3"/>
      <c r="S95" s="3"/>
      <c r="T95" s="3"/>
      <c r="U95" s="3"/>
      <c r="V95" s="3"/>
      <c r="W95" s="3"/>
      <c r="X95" s="3"/>
      <c r="Y95" s="3"/>
      <c r="Z95" s="3"/>
      <c r="AA95" s="3"/>
    </row>
    <row r="96">
      <c r="A96" s="77" t="s">
        <v>127</v>
      </c>
      <c r="B96" s="80" t="s">
        <v>1916</v>
      </c>
      <c r="C96" s="81" t="s">
        <v>360</v>
      </c>
      <c r="D96" s="81" t="s">
        <v>374</v>
      </c>
      <c r="E96" s="82">
        <v>23.0</v>
      </c>
      <c r="F96" s="81" t="s">
        <v>375</v>
      </c>
      <c r="G96" s="83" t="s">
        <v>134</v>
      </c>
      <c r="H96" s="83" t="s">
        <v>135</v>
      </c>
      <c r="I96" s="20" t="str">
        <f t="shared" si="2"/>
        <v>Seguridad y Ciberseguridad de DatosCiberseguridadInsuficiente</v>
      </c>
      <c r="J96" s="3">
        <v>83.0</v>
      </c>
      <c r="R96" s="3"/>
      <c r="S96" s="3"/>
      <c r="T96" s="3"/>
      <c r="U96" s="3"/>
      <c r="V96" s="3"/>
      <c r="W96" s="3"/>
      <c r="X96" s="3"/>
      <c r="Y96" s="3"/>
      <c r="Z96" s="3"/>
      <c r="AA96" s="3"/>
    </row>
    <row r="97">
      <c r="A97" s="77" t="s">
        <v>127</v>
      </c>
      <c r="B97" s="80" t="s">
        <v>1917</v>
      </c>
      <c r="C97" s="81" t="s">
        <v>360</v>
      </c>
      <c r="D97" s="81" t="s">
        <v>374</v>
      </c>
      <c r="E97" s="82">
        <v>23.0</v>
      </c>
      <c r="F97" s="81" t="s">
        <v>375</v>
      </c>
      <c r="G97" s="83" t="s">
        <v>142</v>
      </c>
      <c r="H97" s="83" t="s">
        <v>137</v>
      </c>
      <c r="I97" s="20" t="str">
        <f t="shared" si="2"/>
        <v>Seguridad y Ciberseguridad de DatosCiberseguridadBásico</v>
      </c>
      <c r="J97" s="3">
        <v>84.0</v>
      </c>
      <c r="K97" s="79">
        <v>21.0</v>
      </c>
      <c r="L97" s="80" t="s">
        <v>376</v>
      </c>
      <c r="M97" s="81" t="s">
        <v>360</v>
      </c>
      <c r="N97" s="81" t="s">
        <v>374</v>
      </c>
      <c r="O97" s="81" t="s">
        <v>137</v>
      </c>
      <c r="P97" s="81" t="s">
        <v>377</v>
      </c>
      <c r="Q97" s="73">
        <f t="shared" ref="Q97:Q99" si="18">VLOOKUP(L97,$I$13:$J$207,2,0)</f>
        <v>84</v>
      </c>
      <c r="R97" s="3"/>
      <c r="S97" s="3"/>
      <c r="T97" s="3"/>
      <c r="U97" s="3"/>
      <c r="V97" s="3"/>
      <c r="W97" s="3"/>
      <c r="X97" s="3"/>
      <c r="Y97" s="3"/>
      <c r="Z97" s="3"/>
      <c r="AA97" s="3"/>
    </row>
    <row r="98">
      <c r="A98" s="77" t="s">
        <v>127</v>
      </c>
      <c r="B98" s="80" t="s">
        <v>1918</v>
      </c>
      <c r="C98" s="81" t="s">
        <v>360</v>
      </c>
      <c r="D98" s="81" t="s">
        <v>374</v>
      </c>
      <c r="E98" s="82">
        <v>23.0</v>
      </c>
      <c r="F98" s="81" t="s">
        <v>375</v>
      </c>
      <c r="G98" s="83" t="s">
        <v>378</v>
      </c>
      <c r="H98" s="83" t="s">
        <v>140</v>
      </c>
      <c r="I98" s="20" t="str">
        <f t="shared" si="2"/>
        <v>Seguridad y Ciberseguridad de DatosCiberseguridadMedio</v>
      </c>
      <c r="J98" s="3">
        <v>85.0</v>
      </c>
      <c r="K98" s="79">
        <v>63.0</v>
      </c>
      <c r="L98" s="80" t="s">
        <v>379</v>
      </c>
      <c r="M98" s="81" t="s">
        <v>360</v>
      </c>
      <c r="N98" s="81" t="s">
        <v>374</v>
      </c>
      <c r="O98" s="81" t="s">
        <v>140</v>
      </c>
      <c r="P98" s="81" t="s">
        <v>380</v>
      </c>
      <c r="Q98" s="73">
        <f t="shared" si="18"/>
        <v>85</v>
      </c>
      <c r="R98" s="3"/>
      <c r="S98" s="3"/>
      <c r="T98" s="3"/>
      <c r="U98" s="3"/>
      <c r="V98" s="3"/>
      <c r="W98" s="3"/>
      <c r="X98" s="3"/>
      <c r="Y98" s="3"/>
      <c r="Z98" s="3"/>
      <c r="AA98" s="3"/>
    </row>
    <row r="99">
      <c r="A99" s="77" t="s">
        <v>127</v>
      </c>
      <c r="B99" s="80" t="s">
        <v>1919</v>
      </c>
      <c r="C99" s="81" t="s">
        <v>360</v>
      </c>
      <c r="D99" s="81" t="s">
        <v>374</v>
      </c>
      <c r="E99" s="82">
        <v>23.0</v>
      </c>
      <c r="F99" s="81" t="s">
        <v>375</v>
      </c>
      <c r="G99" s="83" t="s">
        <v>381</v>
      </c>
      <c r="H99" s="83" t="s">
        <v>143</v>
      </c>
      <c r="I99" s="20" t="str">
        <f t="shared" si="2"/>
        <v>Seguridad y Ciberseguridad de DatosCiberseguridadAvanzado</v>
      </c>
      <c r="J99" s="3">
        <v>86.0</v>
      </c>
      <c r="K99" s="79">
        <v>105.0</v>
      </c>
      <c r="L99" s="80" t="s">
        <v>382</v>
      </c>
      <c r="M99" s="81" t="s">
        <v>360</v>
      </c>
      <c r="N99" s="81" t="s">
        <v>374</v>
      </c>
      <c r="O99" s="81" t="s">
        <v>143</v>
      </c>
      <c r="P99" s="81" t="s">
        <v>383</v>
      </c>
      <c r="Q99" s="73">
        <f t="shared" si="18"/>
        <v>86</v>
      </c>
      <c r="R99" s="3"/>
      <c r="S99" s="3"/>
      <c r="T99" s="3"/>
      <c r="U99" s="3"/>
      <c r="V99" s="3"/>
      <c r="W99" s="3"/>
      <c r="X99" s="3"/>
      <c r="Y99" s="3"/>
      <c r="Z99" s="3"/>
      <c r="AA99" s="3"/>
    </row>
    <row r="100">
      <c r="A100" s="77" t="s">
        <v>127</v>
      </c>
      <c r="B100" s="80" t="s">
        <v>1920</v>
      </c>
      <c r="C100" s="81" t="s">
        <v>360</v>
      </c>
      <c r="D100" s="81" t="s">
        <v>385</v>
      </c>
      <c r="E100" s="82">
        <v>24.0</v>
      </c>
      <c r="F100" s="81" t="s">
        <v>386</v>
      </c>
      <c r="G100" s="83" t="s">
        <v>134</v>
      </c>
      <c r="H100" s="83" t="s">
        <v>135</v>
      </c>
      <c r="I100" s="20" t="str">
        <f t="shared" si="2"/>
        <v>Seguridad y Ciberseguridad de DatosProtección de Datos PersonalesInsuficiente</v>
      </c>
      <c r="J100" s="3">
        <v>87.0</v>
      </c>
      <c r="R100" s="3"/>
      <c r="S100" s="3"/>
      <c r="T100" s="3"/>
      <c r="U100" s="3"/>
      <c r="V100" s="3"/>
      <c r="W100" s="3"/>
      <c r="X100" s="3"/>
      <c r="Y100" s="3"/>
      <c r="Z100" s="3"/>
      <c r="AA100" s="3"/>
    </row>
    <row r="101">
      <c r="A101" s="77" t="s">
        <v>127</v>
      </c>
      <c r="B101" s="80" t="s">
        <v>1921</v>
      </c>
      <c r="C101" s="81" t="s">
        <v>360</v>
      </c>
      <c r="D101" s="81" t="s">
        <v>385</v>
      </c>
      <c r="E101" s="82">
        <v>24.0</v>
      </c>
      <c r="F101" s="81" t="s">
        <v>386</v>
      </c>
      <c r="G101" s="83" t="s">
        <v>142</v>
      </c>
      <c r="H101" s="83" t="s">
        <v>143</v>
      </c>
      <c r="I101" s="20" t="str">
        <f t="shared" si="2"/>
        <v>Seguridad y Ciberseguridad de DatosProtección de Datos PersonalesAvanzado</v>
      </c>
      <c r="J101" s="3">
        <v>88.0</v>
      </c>
      <c r="K101" s="79">
        <v>106.0</v>
      </c>
      <c r="L101" s="80" t="s">
        <v>387</v>
      </c>
      <c r="M101" s="81" t="s">
        <v>360</v>
      </c>
      <c r="N101" s="81" t="s">
        <v>385</v>
      </c>
      <c r="O101" s="81" t="s">
        <v>143</v>
      </c>
      <c r="P101" s="81" t="s">
        <v>388</v>
      </c>
      <c r="Q101" s="73">
        <f t="shared" ref="Q101:Q103" si="19">VLOOKUP(L101,$I$13:$J$207,2,0)</f>
        <v>88</v>
      </c>
      <c r="R101" s="3"/>
      <c r="S101" s="3"/>
      <c r="T101" s="3"/>
      <c r="U101" s="3"/>
      <c r="V101" s="3"/>
      <c r="W101" s="3"/>
      <c r="X101" s="3"/>
      <c r="Y101" s="3"/>
      <c r="Z101" s="3"/>
      <c r="AA101" s="3"/>
    </row>
    <row r="102">
      <c r="A102" s="77" t="s">
        <v>127</v>
      </c>
      <c r="B102" s="80" t="s">
        <v>1922</v>
      </c>
      <c r="C102" s="81" t="s">
        <v>360</v>
      </c>
      <c r="D102" s="81" t="s">
        <v>385</v>
      </c>
      <c r="E102" s="82">
        <v>25.0</v>
      </c>
      <c r="F102" s="81" t="s">
        <v>389</v>
      </c>
      <c r="G102" s="83" t="s">
        <v>134</v>
      </c>
      <c r="H102" s="83" t="s">
        <v>135</v>
      </c>
      <c r="I102" s="20" t="str">
        <f t="shared" si="2"/>
        <v>Seguridad y Ciberseguridad de DatosProtección de Datos PersonalesInsuficiente</v>
      </c>
      <c r="J102" s="3">
        <v>89.0</v>
      </c>
      <c r="K102" s="79">
        <v>22.0</v>
      </c>
      <c r="L102" s="80" t="s">
        <v>390</v>
      </c>
      <c r="M102" s="81" t="s">
        <v>360</v>
      </c>
      <c r="N102" s="81" t="s">
        <v>385</v>
      </c>
      <c r="O102" s="81" t="s">
        <v>137</v>
      </c>
      <c r="P102" s="81" t="s">
        <v>388</v>
      </c>
      <c r="Q102" s="73">
        <f t="shared" si="19"/>
        <v>90</v>
      </c>
      <c r="R102" s="3"/>
      <c r="S102" s="3"/>
      <c r="T102" s="3"/>
      <c r="U102" s="3"/>
      <c r="V102" s="3"/>
      <c r="W102" s="3"/>
      <c r="X102" s="3"/>
      <c r="Y102" s="3"/>
      <c r="Z102" s="3"/>
      <c r="AA102" s="3"/>
    </row>
    <row r="103">
      <c r="A103" s="77" t="s">
        <v>127</v>
      </c>
      <c r="B103" s="80" t="s">
        <v>1923</v>
      </c>
      <c r="C103" s="81" t="s">
        <v>360</v>
      </c>
      <c r="D103" s="81" t="s">
        <v>385</v>
      </c>
      <c r="E103" s="82">
        <v>25.0</v>
      </c>
      <c r="F103" s="81" t="s">
        <v>389</v>
      </c>
      <c r="G103" s="83" t="s">
        <v>142</v>
      </c>
      <c r="H103" s="83" t="s">
        <v>137</v>
      </c>
      <c r="I103" s="20" t="str">
        <f t="shared" si="2"/>
        <v>Seguridad y Ciberseguridad de DatosProtección de Datos PersonalesBásico</v>
      </c>
      <c r="J103" s="3">
        <v>90.0</v>
      </c>
      <c r="K103" s="79">
        <v>64.0</v>
      </c>
      <c r="L103" s="80" t="s">
        <v>391</v>
      </c>
      <c r="M103" s="81" t="s">
        <v>360</v>
      </c>
      <c r="N103" s="81" t="s">
        <v>385</v>
      </c>
      <c r="O103" s="81" t="s">
        <v>140</v>
      </c>
      <c r="P103" s="81" t="s">
        <v>388</v>
      </c>
      <c r="Q103" s="73">
        <f t="shared" si="19"/>
        <v>91</v>
      </c>
      <c r="R103" s="3"/>
      <c r="S103" s="3"/>
      <c r="T103" s="3"/>
      <c r="U103" s="3"/>
      <c r="V103" s="3"/>
      <c r="W103" s="3"/>
      <c r="X103" s="3"/>
      <c r="Y103" s="3"/>
      <c r="Z103" s="3"/>
      <c r="AA103" s="3"/>
    </row>
    <row r="104">
      <c r="A104" s="77" t="s">
        <v>127</v>
      </c>
      <c r="B104" s="80" t="s">
        <v>1924</v>
      </c>
      <c r="C104" s="81" t="s">
        <v>360</v>
      </c>
      <c r="D104" s="81" t="s">
        <v>385</v>
      </c>
      <c r="E104" s="82">
        <v>25.0</v>
      </c>
      <c r="F104" s="81" t="s">
        <v>389</v>
      </c>
      <c r="G104" s="83" t="s">
        <v>392</v>
      </c>
      <c r="H104" s="83" t="s">
        <v>140</v>
      </c>
      <c r="I104" s="20" t="str">
        <f t="shared" si="2"/>
        <v>Seguridad y Ciberseguridad de DatosProtección de Datos PersonalesMedio</v>
      </c>
      <c r="J104" s="3">
        <v>91.0</v>
      </c>
      <c r="R104" s="3"/>
      <c r="S104" s="3"/>
      <c r="T104" s="3"/>
      <c r="U104" s="3"/>
      <c r="V104" s="3"/>
      <c r="W104" s="3"/>
      <c r="X104" s="3"/>
      <c r="Y104" s="3"/>
      <c r="Z104" s="3"/>
      <c r="AA104" s="3"/>
    </row>
    <row r="105">
      <c r="A105" s="77" t="s">
        <v>127</v>
      </c>
      <c r="B105" s="80" t="s">
        <v>1925</v>
      </c>
      <c r="C105" s="81" t="s">
        <v>360</v>
      </c>
      <c r="D105" s="81" t="s">
        <v>385</v>
      </c>
      <c r="E105" s="82">
        <v>25.0</v>
      </c>
      <c r="F105" s="81" t="s">
        <v>389</v>
      </c>
      <c r="G105" s="83" t="s">
        <v>393</v>
      </c>
      <c r="H105" s="83" t="s">
        <v>143</v>
      </c>
      <c r="I105" s="20" t="str">
        <f t="shared" si="2"/>
        <v>Seguridad y Ciberseguridad de DatosProtección de Datos PersonalesAvanzado</v>
      </c>
      <c r="J105" s="3">
        <v>92.0</v>
      </c>
      <c r="R105" s="3"/>
      <c r="S105" s="3"/>
      <c r="T105" s="3"/>
      <c r="U105" s="3"/>
      <c r="V105" s="3"/>
      <c r="W105" s="3"/>
      <c r="X105" s="3"/>
      <c r="Y105" s="3"/>
      <c r="Z105" s="3"/>
      <c r="AA105" s="3"/>
    </row>
    <row r="106">
      <c r="A106" s="77" t="s">
        <v>127</v>
      </c>
      <c r="B106" s="80" t="s">
        <v>1926</v>
      </c>
      <c r="C106" s="81" t="s">
        <v>360</v>
      </c>
      <c r="D106" s="81" t="s">
        <v>385</v>
      </c>
      <c r="E106" s="82">
        <v>26.0</v>
      </c>
      <c r="F106" s="81" t="s">
        <v>394</v>
      </c>
      <c r="G106" s="83" t="s">
        <v>134</v>
      </c>
      <c r="H106" s="83" t="s">
        <v>135</v>
      </c>
      <c r="I106" s="20" t="str">
        <f t="shared" si="2"/>
        <v>Seguridad y Ciberseguridad de DatosProtección de Datos PersonalesInsuficiente</v>
      </c>
      <c r="J106" s="3">
        <v>93.0</v>
      </c>
      <c r="R106" s="3"/>
      <c r="S106" s="3"/>
      <c r="T106" s="3"/>
      <c r="U106" s="3"/>
      <c r="V106" s="3"/>
      <c r="W106" s="3"/>
      <c r="X106" s="3"/>
      <c r="Y106" s="3"/>
      <c r="Z106" s="3"/>
      <c r="AA106" s="3"/>
    </row>
    <row r="107">
      <c r="A107" s="77" t="s">
        <v>127</v>
      </c>
      <c r="B107" s="80" t="s">
        <v>1927</v>
      </c>
      <c r="C107" s="81" t="s">
        <v>360</v>
      </c>
      <c r="D107" s="81" t="s">
        <v>385</v>
      </c>
      <c r="E107" s="82">
        <v>26.0</v>
      </c>
      <c r="F107" s="81" t="s">
        <v>394</v>
      </c>
      <c r="G107" s="83" t="s">
        <v>142</v>
      </c>
      <c r="H107" s="83" t="s">
        <v>143</v>
      </c>
      <c r="I107" s="20" t="str">
        <f t="shared" si="2"/>
        <v>Seguridad y Ciberseguridad de DatosProtección de Datos PersonalesAvanzado</v>
      </c>
      <c r="J107" s="3">
        <v>94.0</v>
      </c>
      <c r="R107" s="3"/>
      <c r="S107" s="3"/>
      <c r="T107" s="3"/>
      <c r="U107" s="3"/>
      <c r="V107" s="3"/>
      <c r="W107" s="3"/>
      <c r="X107" s="3"/>
      <c r="Y107" s="3"/>
      <c r="Z107" s="3"/>
      <c r="AA107" s="3"/>
    </row>
    <row r="108">
      <c r="A108" s="77" t="s">
        <v>127</v>
      </c>
      <c r="B108" s="80" t="s">
        <v>1928</v>
      </c>
      <c r="C108" s="81" t="s">
        <v>360</v>
      </c>
      <c r="D108" s="81" t="s">
        <v>396</v>
      </c>
      <c r="E108" s="82">
        <v>27.0</v>
      </c>
      <c r="F108" s="81" t="s">
        <v>397</v>
      </c>
      <c r="G108" s="83" t="s">
        <v>134</v>
      </c>
      <c r="H108" s="83" t="s">
        <v>135</v>
      </c>
      <c r="I108" s="20" t="str">
        <f t="shared" si="2"/>
        <v>Seguridad y Ciberseguridad de DatosRecuperación ante desastresInsuficiente</v>
      </c>
      <c r="J108" s="3">
        <v>95.0</v>
      </c>
      <c r="R108" s="3"/>
      <c r="S108" s="3"/>
      <c r="T108" s="3"/>
      <c r="U108" s="3"/>
      <c r="V108" s="3"/>
      <c r="W108" s="3"/>
      <c r="X108" s="3"/>
      <c r="Y108" s="3"/>
      <c r="Z108" s="3"/>
      <c r="AA108" s="3"/>
    </row>
    <row r="109">
      <c r="A109" s="77" t="s">
        <v>127</v>
      </c>
      <c r="B109" s="80" t="s">
        <v>1929</v>
      </c>
      <c r="C109" s="81" t="s">
        <v>360</v>
      </c>
      <c r="D109" s="81" t="s">
        <v>396</v>
      </c>
      <c r="E109" s="82">
        <v>27.0</v>
      </c>
      <c r="F109" s="81" t="s">
        <v>397</v>
      </c>
      <c r="G109" s="83" t="s">
        <v>398</v>
      </c>
      <c r="H109" s="83" t="s">
        <v>137</v>
      </c>
      <c r="I109" s="20" t="str">
        <f t="shared" si="2"/>
        <v>Seguridad y Ciberseguridad de DatosRecuperación ante desastresBásico</v>
      </c>
      <c r="J109" s="3">
        <v>96.0</v>
      </c>
      <c r="K109" s="79">
        <v>23.0</v>
      </c>
      <c r="L109" s="80" t="s">
        <v>399</v>
      </c>
      <c r="M109" s="81" t="s">
        <v>360</v>
      </c>
      <c r="N109" s="81" t="s">
        <v>396</v>
      </c>
      <c r="O109" s="81" t="s">
        <v>137</v>
      </c>
      <c r="P109" s="81" t="s">
        <v>400</v>
      </c>
      <c r="Q109" s="73">
        <f t="shared" ref="Q109:Q111" si="20">VLOOKUP(L109,$I$13:$J$207,2,0)</f>
        <v>96</v>
      </c>
      <c r="R109" s="3"/>
      <c r="S109" s="3"/>
      <c r="T109" s="3"/>
      <c r="U109" s="3"/>
      <c r="V109" s="3"/>
      <c r="W109" s="3"/>
      <c r="X109" s="3"/>
      <c r="Y109" s="3"/>
      <c r="Z109" s="3"/>
      <c r="AA109" s="3"/>
    </row>
    <row r="110">
      <c r="A110" s="77" t="s">
        <v>127</v>
      </c>
      <c r="B110" s="80" t="s">
        <v>1930</v>
      </c>
      <c r="C110" s="81" t="s">
        <v>360</v>
      </c>
      <c r="D110" s="81" t="s">
        <v>396</v>
      </c>
      <c r="E110" s="82">
        <v>27.0</v>
      </c>
      <c r="F110" s="81" t="s">
        <v>397</v>
      </c>
      <c r="G110" s="83" t="s">
        <v>401</v>
      </c>
      <c r="H110" s="83" t="s">
        <v>140</v>
      </c>
      <c r="I110" s="20" t="str">
        <f t="shared" si="2"/>
        <v>Seguridad y Ciberseguridad de DatosRecuperación ante desastresMedio</v>
      </c>
      <c r="J110" s="3">
        <v>97.0</v>
      </c>
      <c r="K110" s="79">
        <v>65.0</v>
      </c>
      <c r="L110" s="80" t="s">
        <v>402</v>
      </c>
      <c r="M110" s="81" t="s">
        <v>360</v>
      </c>
      <c r="N110" s="81" t="s">
        <v>396</v>
      </c>
      <c r="O110" s="81" t="s">
        <v>140</v>
      </c>
      <c r="P110" s="81" t="s">
        <v>403</v>
      </c>
      <c r="Q110" s="73">
        <f t="shared" si="20"/>
        <v>97</v>
      </c>
      <c r="R110" s="3"/>
      <c r="S110" s="3"/>
      <c r="T110" s="3"/>
      <c r="U110" s="3"/>
      <c r="V110" s="3"/>
      <c r="W110" s="3"/>
      <c r="X110" s="3"/>
      <c r="Y110" s="3"/>
      <c r="Z110" s="3"/>
      <c r="AA110" s="3"/>
    </row>
    <row r="111">
      <c r="A111" s="77" t="s">
        <v>127</v>
      </c>
      <c r="B111" s="80" t="s">
        <v>1930</v>
      </c>
      <c r="C111" s="81" t="s">
        <v>360</v>
      </c>
      <c r="D111" s="81" t="s">
        <v>396</v>
      </c>
      <c r="E111" s="82">
        <v>27.0</v>
      </c>
      <c r="F111" s="81" t="s">
        <v>397</v>
      </c>
      <c r="G111" s="83" t="s">
        <v>404</v>
      </c>
      <c r="H111" s="83" t="s">
        <v>143</v>
      </c>
      <c r="I111" s="20" t="str">
        <f t="shared" si="2"/>
        <v>Seguridad y Ciberseguridad de DatosRecuperación ante desastresAvanzado</v>
      </c>
      <c r="J111" s="3">
        <v>98.0</v>
      </c>
      <c r="K111" s="79">
        <v>107.0</v>
      </c>
      <c r="L111" s="80" t="s">
        <v>405</v>
      </c>
      <c r="M111" s="81" t="s">
        <v>360</v>
      </c>
      <c r="N111" s="81" t="s">
        <v>396</v>
      </c>
      <c r="O111" s="81" t="s">
        <v>143</v>
      </c>
      <c r="P111" s="81" t="s">
        <v>406</v>
      </c>
      <c r="Q111" s="73">
        <f t="shared" si="20"/>
        <v>98</v>
      </c>
      <c r="R111" s="3"/>
      <c r="S111" s="3"/>
      <c r="T111" s="3"/>
      <c r="U111" s="3"/>
      <c r="V111" s="3"/>
      <c r="W111" s="3"/>
      <c r="X111" s="3"/>
      <c r="Y111" s="3"/>
      <c r="Z111" s="3"/>
      <c r="AA111" s="3"/>
    </row>
    <row r="112">
      <c r="A112" s="77" t="s">
        <v>127</v>
      </c>
      <c r="B112" s="80" t="s">
        <v>1931</v>
      </c>
      <c r="C112" s="81" t="s">
        <v>407</v>
      </c>
      <c r="D112" s="81" t="s">
        <v>410</v>
      </c>
      <c r="E112" s="82">
        <v>28.0</v>
      </c>
      <c r="F112" s="81" t="s">
        <v>411</v>
      </c>
      <c r="G112" s="83" t="s">
        <v>134</v>
      </c>
      <c r="H112" s="83" t="s">
        <v>135</v>
      </c>
      <c r="I112" s="20" t="str">
        <f t="shared" si="2"/>
        <v>Integración e InteroperabilidadIntegraciónInsuficiente</v>
      </c>
      <c r="J112" s="3">
        <v>99.0</v>
      </c>
      <c r="R112" s="3"/>
      <c r="S112" s="3"/>
      <c r="T112" s="3"/>
      <c r="U112" s="3"/>
      <c r="V112" s="3"/>
      <c r="W112" s="3"/>
      <c r="X112" s="3"/>
      <c r="Y112" s="3"/>
      <c r="Z112" s="3"/>
      <c r="AA112" s="3"/>
    </row>
    <row r="113">
      <c r="A113" s="77" t="s">
        <v>127</v>
      </c>
      <c r="B113" s="80" t="s">
        <v>1932</v>
      </c>
      <c r="C113" s="81" t="s">
        <v>407</v>
      </c>
      <c r="D113" s="81" t="s">
        <v>410</v>
      </c>
      <c r="E113" s="82">
        <v>28.0</v>
      </c>
      <c r="F113" s="81" t="s">
        <v>411</v>
      </c>
      <c r="G113" s="83" t="s">
        <v>412</v>
      </c>
      <c r="H113" s="83" t="s">
        <v>137</v>
      </c>
      <c r="I113" s="20" t="str">
        <f t="shared" si="2"/>
        <v>Integración e InteroperabilidadIntegraciónBásico</v>
      </c>
      <c r="J113" s="3">
        <v>100.0</v>
      </c>
      <c r="K113" s="79">
        <v>24.0</v>
      </c>
      <c r="L113" s="80" t="s">
        <v>413</v>
      </c>
      <c r="M113" s="81" t="s">
        <v>407</v>
      </c>
      <c r="N113" s="81" t="s">
        <v>410</v>
      </c>
      <c r="O113" s="81" t="s">
        <v>137</v>
      </c>
      <c r="P113" s="81" t="s">
        <v>414</v>
      </c>
      <c r="Q113" s="73">
        <f t="shared" ref="Q113:Q115" si="21">VLOOKUP(L113,$I$13:$J$207,2,0)</f>
        <v>100</v>
      </c>
      <c r="R113" s="3"/>
      <c r="S113" s="3"/>
      <c r="T113" s="3"/>
      <c r="U113" s="3"/>
      <c r="V113" s="3"/>
      <c r="W113" s="3"/>
      <c r="X113" s="3"/>
      <c r="Y113" s="3"/>
      <c r="Z113" s="3"/>
      <c r="AA113" s="3"/>
    </row>
    <row r="114">
      <c r="A114" s="77" t="s">
        <v>127</v>
      </c>
      <c r="B114" s="80" t="s">
        <v>1933</v>
      </c>
      <c r="C114" s="81" t="s">
        <v>407</v>
      </c>
      <c r="D114" s="81" t="s">
        <v>410</v>
      </c>
      <c r="E114" s="82">
        <v>28.0</v>
      </c>
      <c r="F114" s="81" t="s">
        <v>411</v>
      </c>
      <c r="G114" s="83" t="s">
        <v>351</v>
      </c>
      <c r="H114" s="83" t="s">
        <v>140</v>
      </c>
      <c r="I114" s="20" t="str">
        <f t="shared" si="2"/>
        <v>Integración e InteroperabilidadIntegraciónMedio</v>
      </c>
      <c r="J114" s="3">
        <v>101.0</v>
      </c>
      <c r="K114" s="79">
        <v>66.0</v>
      </c>
      <c r="L114" s="80" t="s">
        <v>415</v>
      </c>
      <c r="M114" s="81" t="s">
        <v>407</v>
      </c>
      <c r="N114" s="81" t="s">
        <v>410</v>
      </c>
      <c r="O114" s="81" t="s">
        <v>140</v>
      </c>
      <c r="P114" s="81" t="s">
        <v>416</v>
      </c>
      <c r="Q114" s="73">
        <f t="shared" si="21"/>
        <v>101</v>
      </c>
      <c r="R114" s="3"/>
      <c r="S114" s="3"/>
      <c r="T114" s="3"/>
      <c r="U114" s="3"/>
      <c r="V114" s="3"/>
      <c r="W114" s="3"/>
      <c r="X114" s="3"/>
      <c r="Y114" s="3"/>
      <c r="Z114" s="3"/>
      <c r="AA114" s="3"/>
    </row>
    <row r="115">
      <c r="A115" s="77" t="s">
        <v>127</v>
      </c>
      <c r="B115" s="80" t="s">
        <v>1934</v>
      </c>
      <c r="C115" s="81" t="s">
        <v>407</v>
      </c>
      <c r="D115" s="81" t="s">
        <v>410</v>
      </c>
      <c r="E115" s="82">
        <v>28.0</v>
      </c>
      <c r="F115" s="81" t="s">
        <v>411</v>
      </c>
      <c r="G115" s="83" t="s">
        <v>417</v>
      </c>
      <c r="H115" s="83" t="s">
        <v>143</v>
      </c>
      <c r="I115" s="20" t="str">
        <f t="shared" si="2"/>
        <v>Integración e InteroperabilidadIntegraciónAvanzado</v>
      </c>
      <c r="J115" s="3">
        <v>102.0</v>
      </c>
      <c r="K115" s="79">
        <v>108.0</v>
      </c>
      <c r="L115" s="80" t="s">
        <v>418</v>
      </c>
      <c r="M115" s="81" t="s">
        <v>407</v>
      </c>
      <c r="N115" s="81" t="s">
        <v>410</v>
      </c>
      <c r="O115" s="81" t="s">
        <v>143</v>
      </c>
      <c r="P115" s="81" t="s">
        <v>419</v>
      </c>
      <c r="Q115" s="73">
        <f t="shared" si="21"/>
        <v>102</v>
      </c>
      <c r="R115" s="3"/>
      <c r="S115" s="3"/>
      <c r="T115" s="3"/>
      <c r="U115" s="3"/>
      <c r="V115" s="3"/>
      <c r="W115" s="3"/>
      <c r="X115" s="3"/>
      <c r="Y115" s="3"/>
      <c r="Z115" s="3"/>
      <c r="AA115" s="3"/>
    </row>
    <row r="116">
      <c r="A116" s="77" t="s">
        <v>127</v>
      </c>
      <c r="B116" s="80" t="s">
        <v>1935</v>
      </c>
      <c r="C116" s="81" t="s">
        <v>407</v>
      </c>
      <c r="D116" s="81" t="s">
        <v>60</v>
      </c>
      <c r="E116" s="82">
        <v>29.0</v>
      </c>
      <c r="F116" s="81" t="s">
        <v>421</v>
      </c>
      <c r="G116" s="83" t="s">
        <v>134</v>
      </c>
      <c r="H116" s="83" t="s">
        <v>135</v>
      </c>
      <c r="I116" s="20" t="str">
        <f t="shared" si="2"/>
        <v>Integración e InteroperabilidadInteroperabilidadInsuficiente</v>
      </c>
      <c r="J116" s="3">
        <v>103.0</v>
      </c>
      <c r="R116" s="3"/>
      <c r="S116" s="3"/>
      <c r="T116" s="3"/>
      <c r="U116" s="3"/>
      <c r="V116" s="3"/>
      <c r="W116" s="3"/>
      <c r="X116" s="3"/>
      <c r="Y116" s="3"/>
      <c r="Z116" s="3"/>
      <c r="AA116" s="3"/>
    </row>
    <row r="117">
      <c r="A117" s="77" t="s">
        <v>127</v>
      </c>
      <c r="B117" s="80" t="s">
        <v>1936</v>
      </c>
      <c r="C117" s="81" t="s">
        <v>407</v>
      </c>
      <c r="D117" s="81" t="s">
        <v>60</v>
      </c>
      <c r="E117" s="82">
        <v>29.0</v>
      </c>
      <c r="F117" s="81" t="s">
        <v>421</v>
      </c>
      <c r="G117" s="83" t="s">
        <v>422</v>
      </c>
      <c r="H117" s="83" t="s">
        <v>137</v>
      </c>
      <c r="I117" s="20" t="str">
        <f t="shared" si="2"/>
        <v>Integración e InteroperabilidadInteroperabilidadBásico</v>
      </c>
      <c r="J117" s="3">
        <v>104.0</v>
      </c>
      <c r="K117" s="79">
        <v>25.0</v>
      </c>
      <c r="L117" s="80" t="s">
        <v>423</v>
      </c>
      <c r="M117" s="81" t="s">
        <v>407</v>
      </c>
      <c r="N117" s="81" t="s">
        <v>60</v>
      </c>
      <c r="O117" s="81" t="s">
        <v>137</v>
      </c>
      <c r="P117" s="81" t="s">
        <v>424</v>
      </c>
      <c r="Q117" s="73">
        <f t="shared" ref="Q117:Q119" si="22">VLOOKUP(L117,$I$13:$J$207,2,0)</f>
        <v>104</v>
      </c>
      <c r="R117" s="3"/>
      <c r="S117" s="3"/>
      <c r="T117" s="3"/>
      <c r="U117" s="3"/>
      <c r="V117" s="3"/>
      <c r="W117" s="3"/>
      <c r="X117" s="3"/>
      <c r="Y117" s="3"/>
      <c r="Z117" s="3"/>
      <c r="AA117" s="3"/>
    </row>
    <row r="118">
      <c r="A118" s="77" t="s">
        <v>127</v>
      </c>
      <c r="B118" s="80" t="s">
        <v>1937</v>
      </c>
      <c r="C118" s="81" t="s">
        <v>407</v>
      </c>
      <c r="D118" s="81" t="s">
        <v>60</v>
      </c>
      <c r="E118" s="82">
        <v>29.0</v>
      </c>
      <c r="F118" s="81" t="s">
        <v>421</v>
      </c>
      <c r="G118" s="83" t="s">
        <v>425</v>
      </c>
      <c r="H118" s="83" t="s">
        <v>140</v>
      </c>
      <c r="I118" s="20" t="str">
        <f t="shared" si="2"/>
        <v>Integración e InteroperabilidadInteroperabilidadMedio</v>
      </c>
      <c r="J118" s="3">
        <v>105.0</v>
      </c>
      <c r="K118" s="79">
        <v>67.0</v>
      </c>
      <c r="L118" s="80" t="s">
        <v>426</v>
      </c>
      <c r="M118" s="81" t="s">
        <v>407</v>
      </c>
      <c r="N118" s="81" t="s">
        <v>60</v>
      </c>
      <c r="O118" s="81" t="s">
        <v>140</v>
      </c>
      <c r="P118" s="81" t="s">
        <v>427</v>
      </c>
      <c r="Q118" s="73">
        <f t="shared" si="22"/>
        <v>105</v>
      </c>
      <c r="R118" s="3"/>
      <c r="S118" s="3"/>
      <c r="T118" s="3"/>
      <c r="U118" s="3"/>
      <c r="V118" s="3"/>
      <c r="W118" s="3"/>
      <c r="X118" s="3"/>
      <c r="Y118" s="3"/>
      <c r="Z118" s="3"/>
      <c r="AA118" s="3"/>
    </row>
    <row r="119">
      <c r="A119" s="77" t="s">
        <v>127</v>
      </c>
      <c r="B119" s="80" t="s">
        <v>1938</v>
      </c>
      <c r="C119" s="81" t="s">
        <v>407</v>
      </c>
      <c r="D119" s="81" t="s">
        <v>60</v>
      </c>
      <c r="E119" s="82">
        <v>29.0</v>
      </c>
      <c r="F119" s="81" t="s">
        <v>421</v>
      </c>
      <c r="G119" s="83" t="s">
        <v>428</v>
      </c>
      <c r="H119" s="83" t="s">
        <v>143</v>
      </c>
      <c r="I119" s="20" t="str">
        <f t="shared" si="2"/>
        <v>Integración e InteroperabilidadInteroperabilidadAvanzado</v>
      </c>
      <c r="J119" s="3">
        <v>106.0</v>
      </c>
      <c r="K119" s="79">
        <v>109.0</v>
      </c>
      <c r="L119" s="80" t="s">
        <v>429</v>
      </c>
      <c r="M119" s="81" t="s">
        <v>407</v>
      </c>
      <c r="N119" s="81" t="s">
        <v>60</v>
      </c>
      <c r="O119" s="81" t="s">
        <v>143</v>
      </c>
      <c r="P119" s="81" t="s">
        <v>430</v>
      </c>
      <c r="Q119" s="73">
        <f t="shared" si="22"/>
        <v>106</v>
      </c>
      <c r="R119" s="3"/>
      <c r="S119" s="3"/>
      <c r="T119" s="3"/>
      <c r="U119" s="3"/>
      <c r="V119" s="3"/>
      <c r="W119" s="3"/>
      <c r="X119" s="3"/>
      <c r="Y119" s="3"/>
      <c r="Z119" s="3"/>
      <c r="AA119" s="3"/>
    </row>
    <row r="120">
      <c r="A120" s="77" t="s">
        <v>127</v>
      </c>
      <c r="B120" s="80" t="s">
        <v>1939</v>
      </c>
      <c r="C120" s="81" t="s">
        <v>407</v>
      </c>
      <c r="D120" s="81" t="s">
        <v>60</v>
      </c>
      <c r="E120" s="82">
        <v>30.0</v>
      </c>
      <c r="F120" s="81" t="s">
        <v>431</v>
      </c>
      <c r="G120" s="83" t="s">
        <v>134</v>
      </c>
      <c r="H120" s="83" t="s">
        <v>135</v>
      </c>
      <c r="I120" s="20" t="str">
        <f t="shared" si="2"/>
        <v>Integración e InteroperabilidadInteroperabilidadInsuficiente</v>
      </c>
      <c r="J120" s="3">
        <v>107.0</v>
      </c>
      <c r="R120" s="3"/>
      <c r="S120" s="3"/>
      <c r="T120" s="3"/>
      <c r="U120" s="3"/>
      <c r="V120" s="3"/>
      <c r="W120" s="3"/>
      <c r="X120" s="3"/>
      <c r="Y120" s="3"/>
      <c r="Z120" s="3"/>
      <c r="AA120" s="3"/>
    </row>
    <row r="121">
      <c r="A121" s="77" t="s">
        <v>127</v>
      </c>
      <c r="B121" s="80" t="s">
        <v>1940</v>
      </c>
      <c r="C121" s="81" t="s">
        <v>407</v>
      </c>
      <c r="D121" s="81" t="s">
        <v>60</v>
      </c>
      <c r="E121" s="82">
        <v>30.0</v>
      </c>
      <c r="F121" s="81" t="s">
        <v>431</v>
      </c>
      <c r="G121" s="83" t="s">
        <v>432</v>
      </c>
      <c r="H121" s="83" t="s">
        <v>137</v>
      </c>
      <c r="I121" s="20" t="str">
        <f t="shared" si="2"/>
        <v>Integración e InteroperabilidadInteroperabilidadBásico</v>
      </c>
      <c r="J121" s="3">
        <v>108.0</v>
      </c>
      <c r="K121" s="79">
        <v>26.0</v>
      </c>
      <c r="L121" s="80" t="s">
        <v>433</v>
      </c>
      <c r="M121" s="81" t="s">
        <v>442</v>
      </c>
      <c r="N121" s="81" t="s">
        <v>445</v>
      </c>
      <c r="O121" s="81" t="s">
        <v>137</v>
      </c>
      <c r="P121" s="81" t="s">
        <v>434</v>
      </c>
      <c r="Q121" s="73">
        <f t="shared" ref="Q121:Q123" si="23">VLOOKUP(L121,$I$13:$J$207,2,0)</f>
        <v>114</v>
      </c>
      <c r="R121" s="3"/>
      <c r="S121" s="3"/>
      <c r="T121" s="3"/>
      <c r="U121" s="3"/>
      <c r="V121" s="3"/>
      <c r="W121" s="3"/>
      <c r="X121" s="3"/>
      <c r="Y121" s="3"/>
      <c r="Z121" s="3"/>
      <c r="AA121" s="3"/>
    </row>
    <row r="122">
      <c r="A122" s="77" t="s">
        <v>127</v>
      </c>
      <c r="B122" s="80" t="s">
        <v>1941</v>
      </c>
      <c r="C122" s="81" t="s">
        <v>407</v>
      </c>
      <c r="D122" s="81" t="s">
        <v>60</v>
      </c>
      <c r="E122" s="82">
        <v>30.0</v>
      </c>
      <c r="F122" s="81" t="s">
        <v>431</v>
      </c>
      <c r="G122" s="83" t="s">
        <v>435</v>
      </c>
      <c r="H122" s="83" t="s">
        <v>140</v>
      </c>
      <c r="I122" s="20" t="str">
        <f t="shared" si="2"/>
        <v>Integración e InteroperabilidadInteroperabilidadMedio</v>
      </c>
      <c r="J122" s="3">
        <v>109.0</v>
      </c>
      <c r="K122" s="79">
        <v>68.0</v>
      </c>
      <c r="L122" s="80" t="s">
        <v>436</v>
      </c>
      <c r="M122" s="81" t="s">
        <v>442</v>
      </c>
      <c r="N122" s="81" t="s">
        <v>445</v>
      </c>
      <c r="O122" s="81" t="s">
        <v>140</v>
      </c>
      <c r="P122" s="81" t="s">
        <v>437</v>
      </c>
      <c r="Q122" s="73">
        <f t="shared" si="23"/>
        <v>115</v>
      </c>
      <c r="R122" s="3"/>
      <c r="S122" s="3"/>
      <c r="T122" s="3"/>
      <c r="U122" s="3"/>
      <c r="V122" s="3"/>
      <c r="W122" s="3"/>
      <c r="X122" s="3"/>
      <c r="Y122" s="3"/>
      <c r="Z122" s="3"/>
      <c r="AA122" s="3"/>
    </row>
    <row r="123">
      <c r="A123" s="77" t="s">
        <v>127</v>
      </c>
      <c r="B123" s="80" t="s">
        <v>1942</v>
      </c>
      <c r="C123" s="81" t="s">
        <v>407</v>
      </c>
      <c r="D123" s="81" t="s">
        <v>60</v>
      </c>
      <c r="E123" s="82">
        <v>30.0</v>
      </c>
      <c r="F123" s="81" t="s">
        <v>431</v>
      </c>
      <c r="G123" s="83" t="s">
        <v>438</v>
      </c>
      <c r="H123" s="83" t="s">
        <v>143</v>
      </c>
      <c r="I123" s="20" t="str">
        <f t="shared" si="2"/>
        <v>Integración e InteroperabilidadInteroperabilidadAvanzado</v>
      </c>
      <c r="J123" s="3">
        <v>110.0</v>
      </c>
      <c r="K123" s="79">
        <v>110.0</v>
      </c>
      <c r="L123" s="80" t="s">
        <v>439</v>
      </c>
      <c r="M123" s="81" t="s">
        <v>442</v>
      </c>
      <c r="N123" s="81" t="s">
        <v>445</v>
      </c>
      <c r="O123" s="81" t="s">
        <v>143</v>
      </c>
      <c r="P123" s="81" t="s">
        <v>440</v>
      </c>
      <c r="Q123" s="73">
        <f t="shared" si="23"/>
        <v>116</v>
      </c>
      <c r="R123" s="3"/>
      <c r="S123" s="3"/>
      <c r="T123" s="3"/>
      <c r="U123" s="3"/>
      <c r="V123" s="3"/>
      <c r="W123" s="3"/>
      <c r="X123" s="3"/>
      <c r="Y123" s="3"/>
      <c r="Z123" s="3"/>
      <c r="AA123" s="3"/>
    </row>
    <row r="124">
      <c r="A124" s="77" t="s">
        <v>127</v>
      </c>
      <c r="B124" s="80" t="s">
        <v>1943</v>
      </c>
      <c r="C124" s="81" t="s">
        <v>407</v>
      </c>
      <c r="D124" s="81" t="s">
        <v>60</v>
      </c>
      <c r="E124" s="82">
        <v>31.0</v>
      </c>
      <c r="F124" s="81" t="s">
        <v>441</v>
      </c>
      <c r="G124" s="83" t="s">
        <v>134</v>
      </c>
      <c r="H124" s="83" t="s">
        <v>135</v>
      </c>
      <c r="I124" s="20" t="str">
        <f t="shared" si="2"/>
        <v>Integración e InteroperabilidadInteroperabilidadInsuficiente</v>
      </c>
      <c r="J124" s="3">
        <v>111.0</v>
      </c>
      <c r="R124" s="3"/>
      <c r="S124" s="3"/>
      <c r="T124" s="3"/>
      <c r="U124" s="3"/>
      <c r="V124" s="3"/>
      <c r="W124" s="3"/>
      <c r="X124" s="3"/>
      <c r="Y124" s="3"/>
      <c r="Z124" s="3"/>
      <c r="AA124" s="3"/>
    </row>
    <row r="125">
      <c r="A125" s="77" t="s">
        <v>127</v>
      </c>
      <c r="B125" s="80" t="s">
        <v>1944</v>
      </c>
      <c r="C125" s="81" t="s">
        <v>407</v>
      </c>
      <c r="D125" s="81" t="s">
        <v>60</v>
      </c>
      <c r="E125" s="82">
        <v>31.0</v>
      </c>
      <c r="F125" s="81" t="s">
        <v>441</v>
      </c>
      <c r="G125" s="83" t="s">
        <v>142</v>
      </c>
      <c r="H125" s="83" t="s">
        <v>143</v>
      </c>
      <c r="I125" s="20" t="str">
        <f t="shared" si="2"/>
        <v>Integración e InteroperabilidadInteroperabilidadAvanzado</v>
      </c>
      <c r="J125" s="3">
        <v>112.0</v>
      </c>
      <c r="R125" s="3"/>
      <c r="S125" s="3"/>
      <c r="T125" s="3"/>
      <c r="U125" s="3"/>
      <c r="V125" s="3"/>
      <c r="W125" s="3"/>
      <c r="X125" s="3"/>
      <c r="Y125" s="3"/>
      <c r="Z125" s="3"/>
      <c r="AA125" s="3"/>
    </row>
    <row r="126">
      <c r="A126" s="77" t="s">
        <v>127</v>
      </c>
      <c r="B126" s="80" t="s">
        <v>1945</v>
      </c>
      <c r="C126" s="81" t="s">
        <v>442</v>
      </c>
      <c r="D126" s="81" t="s">
        <v>445</v>
      </c>
      <c r="E126" s="82">
        <v>32.0</v>
      </c>
      <c r="F126" s="81" t="s">
        <v>446</v>
      </c>
      <c r="G126" s="83" t="s">
        <v>134</v>
      </c>
      <c r="H126" s="83" t="s">
        <v>135</v>
      </c>
      <c r="I126" s="20" t="str">
        <f t="shared" si="2"/>
        <v>Documentos y ContenidosDefinicionesInsuficiente</v>
      </c>
      <c r="J126" s="3">
        <v>113.0</v>
      </c>
      <c r="R126" s="3"/>
      <c r="S126" s="3"/>
      <c r="T126" s="3"/>
      <c r="U126" s="3"/>
      <c r="V126" s="3"/>
      <c r="W126" s="3"/>
      <c r="X126" s="3"/>
      <c r="Y126" s="3"/>
      <c r="Z126" s="3"/>
      <c r="AA126" s="3"/>
    </row>
    <row r="127">
      <c r="A127" s="77" t="s">
        <v>127</v>
      </c>
      <c r="B127" s="80" t="s">
        <v>1946</v>
      </c>
      <c r="C127" s="81" t="s">
        <v>442</v>
      </c>
      <c r="D127" s="81" t="s">
        <v>445</v>
      </c>
      <c r="E127" s="82">
        <v>32.0</v>
      </c>
      <c r="F127" s="81" t="s">
        <v>446</v>
      </c>
      <c r="G127" s="83" t="s">
        <v>447</v>
      </c>
      <c r="H127" s="83" t="s">
        <v>137</v>
      </c>
      <c r="I127" s="20" t="str">
        <f t="shared" si="2"/>
        <v>Documentos y ContenidosDefinicionesBásico</v>
      </c>
      <c r="J127" s="3">
        <v>114.0</v>
      </c>
      <c r="R127" s="3"/>
      <c r="S127" s="3"/>
      <c r="T127" s="3"/>
      <c r="U127" s="3"/>
      <c r="V127" s="3"/>
      <c r="W127" s="3"/>
      <c r="X127" s="3"/>
      <c r="Y127" s="3"/>
      <c r="Z127" s="3"/>
      <c r="AA127" s="3"/>
    </row>
    <row r="128">
      <c r="A128" s="77" t="s">
        <v>127</v>
      </c>
      <c r="B128" s="80" t="s">
        <v>1947</v>
      </c>
      <c r="C128" s="81" t="s">
        <v>442</v>
      </c>
      <c r="D128" s="81" t="s">
        <v>445</v>
      </c>
      <c r="E128" s="82">
        <v>32.0</v>
      </c>
      <c r="F128" s="81" t="s">
        <v>446</v>
      </c>
      <c r="G128" s="83" t="s">
        <v>448</v>
      </c>
      <c r="H128" s="83" t="s">
        <v>140</v>
      </c>
      <c r="I128" s="20" t="str">
        <f t="shared" si="2"/>
        <v>Documentos y ContenidosDefinicionesMedio</v>
      </c>
      <c r="J128" s="3">
        <v>115.0</v>
      </c>
      <c r="R128" s="3"/>
      <c r="S128" s="3"/>
      <c r="T128" s="3"/>
      <c r="U128" s="3"/>
      <c r="V128" s="3"/>
      <c r="W128" s="3"/>
      <c r="X128" s="3"/>
      <c r="Y128" s="3"/>
      <c r="Z128" s="3"/>
      <c r="AA128" s="3"/>
    </row>
    <row r="129">
      <c r="A129" s="77" t="s">
        <v>127</v>
      </c>
      <c r="B129" s="80" t="s">
        <v>1948</v>
      </c>
      <c r="C129" s="81" t="s">
        <v>442</v>
      </c>
      <c r="D129" s="81" t="s">
        <v>445</v>
      </c>
      <c r="E129" s="82">
        <v>32.0</v>
      </c>
      <c r="F129" s="81" t="s">
        <v>446</v>
      </c>
      <c r="G129" s="83" t="s">
        <v>449</v>
      </c>
      <c r="H129" s="83" t="s">
        <v>143</v>
      </c>
      <c r="I129" s="20" t="str">
        <f t="shared" si="2"/>
        <v>Documentos y ContenidosDefinicionesAvanzado</v>
      </c>
      <c r="J129" s="3">
        <v>116.0</v>
      </c>
      <c r="R129" s="3"/>
      <c r="S129" s="3"/>
      <c r="T129" s="3"/>
      <c r="U129" s="3"/>
      <c r="V129" s="3"/>
      <c r="W129" s="3"/>
      <c r="X129" s="3"/>
      <c r="Y129" s="3"/>
      <c r="Z129" s="3"/>
      <c r="AA129" s="3"/>
    </row>
    <row r="130">
      <c r="A130" s="77" t="s">
        <v>127</v>
      </c>
      <c r="B130" s="80" t="s">
        <v>1949</v>
      </c>
      <c r="C130" s="81" t="s">
        <v>442</v>
      </c>
      <c r="D130" s="81" t="s">
        <v>332</v>
      </c>
      <c r="E130" s="82">
        <v>33.0</v>
      </c>
      <c r="F130" s="81" t="s">
        <v>451</v>
      </c>
      <c r="G130" s="83" t="s">
        <v>134</v>
      </c>
      <c r="H130" s="83" t="s">
        <v>135</v>
      </c>
      <c r="I130" s="20" t="str">
        <f t="shared" si="2"/>
        <v>Documentos y ContenidosMetadatosInsuficiente</v>
      </c>
      <c r="J130" s="3">
        <v>117.0</v>
      </c>
      <c r="R130" s="3"/>
      <c r="S130" s="3"/>
      <c r="T130" s="3"/>
      <c r="U130" s="3"/>
      <c r="V130" s="3"/>
      <c r="W130" s="3"/>
      <c r="X130" s="3"/>
      <c r="Y130" s="3"/>
      <c r="Z130" s="3"/>
      <c r="AA130" s="3"/>
    </row>
    <row r="131">
      <c r="A131" s="77" t="s">
        <v>127</v>
      </c>
      <c r="B131" s="80" t="s">
        <v>1950</v>
      </c>
      <c r="C131" s="81" t="s">
        <v>442</v>
      </c>
      <c r="D131" s="81" t="s">
        <v>332</v>
      </c>
      <c r="E131" s="82">
        <v>33.0</v>
      </c>
      <c r="F131" s="81" t="s">
        <v>451</v>
      </c>
      <c r="G131" s="83" t="s">
        <v>142</v>
      </c>
      <c r="H131" s="83" t="s">
        <v>137</v>
      </c>
      <c r="I131" s="20" t="str">
        <f t="shared" si="2"/>
        <v>Documentos y ContenidosMetadatosBásico</v>
      </c>
      <c r="J131" s="3">
        <v>118.0</v>
      </c>
      <c r="K131" s="79">
        <v>27.0</v>
      </c>
      <c r="L131" s="80" t="s">
        <v>452</v>
      </c>
      <c r="M131" s="81" t="s">
        <v>442</v>
      </c>
      <c r="N131" s="81" t="s">
        <v>332</v>
      </c>
      <c r="O131" s="81" t="s">
        <v>137</v>
      </c>
      <c r="P131" s="81" t="s">
        <v>453</v>
      </c>
      <c r="Q131" s="73">
        <f t="shared" ref="Q131:Q133" si="24">VLOOKUP(L131,$I$13:$J$207,2,0)</f>
        <v>118</v>
      </c>
      <c r="R131" s="3"/>
      <c r="S131" s="3"/>
      <c r="T131" s="3"/>
      <c r="U131" s="3"/>
      <c r="V131" s="3"/>
      <c r="W131" s="3"/>
      <c r="X131" s="3"/>
      <c r="Y131" s="3"/>
      <c r="Z131" s="3"/>
      <c r="AA131" s="3"/>
    </row>
    <row r="132">
      <c r="A132" s="77" t="s">
        <v>127</v>
      </c>
      <c r="B132" s="80" t="s">
        <v>1951</v>
      </c>
      <c r="C132" s="81" t="s">
        <v>442</v>
      </c>
      <c r="D132" s="81" t="s">
        <v>332</v>
      </c>
      <c r="E132" s="82">
        <v>33.0</v>
      </c>
      <c r="F132" s="81" t="s">
        <v>451</v>
      </c>
      <c r="G132" s="83" t="s">
        <v>454</v>
      </c>
      <c r="H132" s="83" t="s">
        <v>140</v>
      </c>
      <c r="I132" s="20" t="str">
        <f t="shared" si="2"/>
        <v>Documentos y ContenidosMetadatosMedio</v>
      </c>
      <c r="J132" s="3">
        <v>119.0</v>
      </c>
      <c r="K132" s="79">
        <v>69.0</v>
      </c>
      <c r="L132" s="80" t="s">
        <v>455</v>
      </c>
      <c r="M132" s="81" t="s">
        <v>442</v>
      </c>
      <c r="N132" s="81" t="s">
        <v>332</v>
      </c>
      <c r="O132" s="81" t="s">
        <v>140</v>
      </c>
      <c r="P132" s="81" t="s">
        <v>456</v>
      </c>
      <c r="Q132" s="73">
        <f t="shared" si="24"/>
        <v>119</v>
      </c>
      <c r="R132" s="3"/>
      <c r="S132" s="3"/>
      <c r="T132" s="3"/>
      <c r="U132" s="3"/>
      <c r="V132" s="3"/>
      <c r="W132" s="3"/>
      <c r="X132" s="3"/>
      <c r="Y132" s="3"/>
      <c r="Z132" s="3"/>
      <c r="AA132" s="3"/>
    </row>
    <row r="133">
      <c r="A133" s="77" t="s">
        <v>127</v>
      </c>
      <c r="B133" s="80" t="s">
        <v>1952</v>
      </c>
      <c r="C133" s="81" t="s">
        <v>442</v>
      </c>
      <c r="D133" s="81" t="s">
        <v>332</v>
      </c>
      <c r="E133" s="82">
        <v>33.0</v>
      </c>
      <c r="F133" s="81" t="s">
        <v>451</v>
      </c>
      <c r="G133" s="83" t="s">
        <v>457</v>
      </c>
      <c r="H133" s="83" t="s">
        <v>143</v>
      </c>
      <c r="I133" s="20" t="str">
        <f t="shared" si="2"/>
        <v>Documentos y ContenidosMetadatosAvanzado</v>
      </c>
      <c r="J133" s="3">
        <v>120.0</v>
      </c>
      <c r="K133" s="79">
        <v>111.0</v>
      </c>
      <c r="L133" s="80" t="s">
        <v>458</v>
      </c>
      <c r="M133" s="81" t="s">
        <v>442</v>
      </c>
      <c r="N133" s="81" t="s">
        <v>332</v>
      </c>
      <c r="O133" s="81" t="s">
        <v>143</v>
      </c>
      <c r="P133" s="81" t="s">
        <v>459</v>
      </c>
      <c r="Q133" s="73">
        <f t="shared" si="24"/>
        <v>120</v>
      </c>
      <c r="R133" s="3"/>
      <c r="S133" s="3"/>
      <c r="T133" s="3"/>
      <c r="U133" s="3"/>
      <c r="V133" s="3"/>
      <c r="W133" s="3"/>
      <c r="X133" s="3"/>
      <c r="Y133" s="3"/>
      <c r="Z133" s="3"/>
      <c r="AA133" s="3"/>
    </row>
    <row r="134">
      <c r="A134" s="77" t="s">
        <v>127</v>
      </c>
      <c r="B134" s="80" t="s">
        <v>1953</v>
      </c>
      <c r="C134" s="81" t="s">
        <v>442</v>
      </c>
      <c r="D134" s="81" t="s">
        <v>461</v>
      </c>
      <c r="E134" s="82">
        <v>34.0</v>
      </c>
      <c r="F134" s="81" t="s">
        <v>462</v>
      </c>
      <c r="G134" s="83" t="s">
        <v>134</v>
      </c>
      <c r="H134" s="83" t="s">
        <v>135</v>
      </c>
      <c r="I134" s="20" t="str">
        <f t="shared" si="2"/>
        <v>Documentos y ContenidosExpediente ElectrónicoInsuficiente</v>
      </c>
      <c r="J134" s="3">
        <v>121.0</v>
      </c>
      <c r="R134" s="3"/>
      <c r="S134" s="3"/>
      <c r="T134" s="3"/>
      <c r="U134" s="3"/>
      <c r="V134" s="3"/>
      <c r="W134" s="3"/>
      <c r="X134" s="3"/>
      <c r="Y134" s="3"/>
      <c r="Z134" s="3"/>
      <c r="AA134" s="3"/>
    </row>
    <row r="135">
      <c r="A135" s="77" t="s">
        <v>127</v>
      </c>
      <c r="B135" s="80" t="s">
        <v>1954</v>
      </c>
      <c r="C135" s="81" t="s">
        <v>442</v>
      </c>
      <c r="D135" s="81" t="s">
        <v>461</v>
      </c>
      <c r="E135" s="82">
        <v>34.0</v>
      </c>
      <c r="F135" s="81" t="s">
        <v>462</v>
      </c>
      <c r="G135" s="83" t="s">
        <v>142</v>
      </c>
      <c r="H135" s="83" t="s">
        <v>137</v>
      </c>
      <c r="I135" s="20" t="str">
        <f t="shared" si="2"/>
        <v>Documentos y ContenidosExpediente ElectrónicoBásico</v>
      </c>
      <c r="J135" s="3">
        <v>122.0</v>
      </c>
      <c r="K135" s="79">
        <v>28.0</v>
      </c>
      <c r="L135" s="80" t="s">
        <v>463</v>
      </c>
      <c r="M135" s="81" t="s">
        <v>442</v>
      </c>
      <c r="N135" s="81" t="s">
        <v>461</v>
      </c>
      <c r="O135" s="81" t="s">
        <v>137</v>
      </c>
      <c r="P135" s="81" t="s">
        <v>464</v>
      </c>
      <c r="Q135" s="73">
        <f t="shared" ref="Q135:Q137" si="25">VLOOKUP(L135,$I$13:$J$207,2,0)</f>
        <v>122</v>
      </c>
      <c r="R135" s="3"/>
      <c r="S135" s="3"/>
      <c r="T135" s="3"/>
      <c r="U135" s="3"/>
      <c r="V135" s="3"/>
      <c r="W135" s="3"/>
      <c r="X135" s="3"/>
      <c r="Y135" s="3"/>
      <c r="Z135" s="3"/>
      <c r="AA135" s="3"/>
    </row>
    <row r="136">
      <c r="A136" s="77" t="s">
        <v>127</v>
      </c>
      <c r="B136" s="80" t="s">
        <v>1955</v>
      </c>
      <c r="C136" s="81" t="s">
        <v>442</v>
      </c>
      <c r="D136" s="81" t="s">
        <v>461</v>
      </c>
      <c r="E136" s="82">
        <v>34.0</v>
      </c>
      <c r="F136" s="81" t="s">
        <v>462</v>
      </c>
      <c r="G136" s="83" t="s">
        <v>465</v>
      </c>
      <c r="H136" s="83" t="s">
        <v>140</v>
      </c>
      <c r="I136" s="20" t="str">
        <f t="shared" si="2"/>
        <v>Documentos y ContenidosExpediente ElectrónicoMedio</v>
      </c>
      <c r="J136" s="3">
        <v>123.0</v>
      </c>
      <c r="K136" s="79">
        <v>70.0</v>
      </c>
      <c r="L136" s="80" t="s">
        <v>466</v>
      </c>
      <c r="M136" s="81" t="s">
        <v>442</v>
      </c>
      <c r="N136" s="81" t="s">
        <v>461</v>
      </c>
      <c r="O136" s="81" t="s">
        <v>140</v>
      </c>
      <c r="P136" s="81" t="s">
        <v>467</v>
      </c>
      <c r="Q136" s="73">
        <f t="shared" si="25"/>
        <v>123</v>
      </c>
      <c r="R136" s="3"/>
      <c r="S136" s="3"/>
      <c r="T136" s="3"/>
      <c r="U136" s="3"/>
      <c r="V136" s="3"/>
      <c r="W136" s="3"/>
      <c r="X136" s="3"/>
      <c r="Y136" s="3"/>
      <c r="Z136" s="3"/>
      <c r="AA136" s="3"/>
    </row>
    <row r="137">
      <c r="A137" s="77" t="s">
        <v>127</v>
      </c>
      <c r="B137" s="80" t="s">
        <v>1956</v>
      </c>
      <c r="C137" s="81" t="s">
        <v>442</v>
      </c>
      <c r="D137" s="81" t="s">
        <v>461</v>
      </c>
      <c r="E137" s="82">
        <v>34.0</v>
      </c>
      <c r="F137" s="81" t="s">
        <v>462</v>
      </c>
      <c r="G137" s="83" t="s">
        <v>468</v>
      </c>
      <c r="H137" s="83" t="s">
        <v>143</v>
      </c>
      <c r="I137" s="20" t="str">
        <f t="shared" si="2"/>
        <v>Documentos y ContenidosExpediente ElectrónicoAvanzado</v>
      </c>
      <c r="J137" s="3">
        <v>124.0</v>
      </c>
      <c r="K137" s="79">
        <v>112.0</v>
      </c>
      <c r="L137" s="80" t="s">
        <v>469</v>
      </c>
      <c r="M137" s="81" t="s">
        <v>442</v>
      </c>
      <c r="N137" s="81" t="s">
        <v>461</v>
      </c>
      <c r="O137" s="81" t="s">
        <v>143</v>
      </c>
      <c r="P137" s="81" t="s">
        <v>470</v>
      </c>
      <c r="Q137" s="73">
        <f t="shared" si="25"/>
        <v>124</v>
      </c>
      <c r="R137" s="3"/>
      <c r="S137" s="3"/>
      <c r="T137" s="3"/>
      <c r="U137" s="3"/>
      <c r="V137" s="3"/>
      <c r="W137" s="3"/>
      <c r="X137" s="3"/>
      <c r="Y137" s="3"/>
      <c r="Z137" s="3"/>
      <c r="AA137" s="3"/>
    </row>
    <row r="138">
      <c r="A138" s="77" t="s">
        <v>127</v>
      </c>
      <c r="B138" s="80" t="s">
        <v>1957</v>
      </c>
      <c r="C138" s="81" t="s">
        <v>442</v>
      </c>
      <c r="D138" s="81" t="s">
        <v>472</v>
      </c>
      <c r="E138" s="82">
        <v>35.0</v>
      </c>
      <c r="F138" s="81" t="s">
        <v>473</v>
      </c>
      <c r="G138" s="83" t="s">
        <v>134</v>
      </c>
      <c r="H138" s="83" t="s">
        <v>135</v>
      </c>
      <c r="I138" s="20" t="str">
        <f t="shared" si="2"/>
        <v>Documentos y ContenidosRepositorio DocumentalInsuficiente</v>
      </c>
      <c r="J138" s="3">
        <v>125.0</v>
      </c>
      <c r="R138" s="3"/>
      <c r="S138" s="3"/>
      <c r="T138" s="3"/>
      <c r="U138" s="3"/>
      <c r="V138" s="3"/>
      <c r="W138" s="3"/>
      <c r="X138" s="3"/>
      <c r="Y138" s="3"/>
      <c r="Z138" s="3"/>
      <c r="AA138" s="3"/>
    </row>
    <row r="139">
      <c r="A139" s="77" t="s">
        <v>127</v>
      </c>
      <c r="B139" s="80" t="s">
        <v>1958</v>
      </c>
      <c r="C139" s="81" t="s">
        <v>442</v>
      </c>
      <c r="D139" s="81" t="s">
        <v>472</v>
      </c>
      <c r="E139" s="82">
        <v>35.0</v>
      </c>
      <c r="F139" s="81" t="s">
        <v>473</v>
      </c>
      <c r="G139" s="83" t="s">
        <v>474</v>
      </c>
      <c r="H139" s="83" t="s">
        <v>137</v>
      </c>
      <c r="I139" s="20" t="str">
        <f t="shared" si="2"/>
        <v>Documentos y ContenidosRepositorio DocumentalBásico</v>
      </c>
      <c r="J139" s="3">
        <v>126.0</v>
      </c>
      <c r="K139" s="79">
        <v>29.0</v>
      </c>
      <c r="L139" s="80" t="s">
        <v>475</v>
      </c>
      <c r="M139" s="81" t="s">
        <v>442</v>
      </c>
      <c r="N139" s="81" t="s">
        <v>472</v>
      </c>
      <c r="O139" s="81" t="s">
        <v>137</v>
      </c>
      <c r="P139" s="81" t="s">
        <v>476</v>
      </c>
      <c r="Q139" s="73">
        <f t="shared" ref="Q139:Q141" si="26">VLOOKUP(L139,$I$13:$J$207,2,0)</f>
        <v>126</v>
      </c>
      <c r="R139" s="3"/>
      <c r="S139" s="3"/>
      <c r="T139" s="3"/>
      <c r="U139" s="3"/>
      <c r="V139" s="3"/>
      <c r="W139" s="3"/>
      <c r="X139" s="3"/>
      <c r="Y139" s="3"/>
      <c r="Z139" s="3"/>
      <c r="AA139" s="3"/>
    </row>
    <row r="140">
      <c r="A140" s="77" t="s">
        <v>127</v>
      </c>
      <c r="B140" s="80" t="s">
        <v>1959</v>
      </c>
      <c r="C140" s="81" t="s">
        <v>442</v>
      </c>
      <c r="D140" s="81" t="s">
        <v>472</v>
      </c>
      <c r="E140" s="82">
        <v>35.0</v>
      </c>
      <c r="F140" s="81" t="s">
        <v>473</v>
      </c>
      <c r="G140" s="83" t="s">
        <v>477</v>
      </c>
      <c r="H140" s="83" t="s">
        <v>140</v>
      </c>
      <c r="I140" s="20" t="str">
        <f t="shared" si="2"/>
        <v>Documentos y ContenidosRepositorio DocumentalMedio</v>
      </c>
      <c r="J140" s="3">
        <v>127.0</v>
      </c>
      <c r="K140" s="79">
        <v>71.0</v>
      </c>
      <c r="L140" s="80" t="s">
        <v>478</v>
      </c>
      <c r="M140" s="81" t="s">
        <v>442</v>
      </c>
      <c r="N140" s="81" t="s">
        <v>472</v>
      </c>
      <c r="O140" s="81" t="s">
        <v>140</v>
      </c>
      <c r="P140" s="81" t="s">
        <v>479</v>
      </c>
      <c r="Q140" s="73">
        <f t="shared" si="26"/>
        <v>127</v>
      </c>
      <c r="R140" s="3"/>
      <c r="S140" s="3"/>
      <c r="T140" s="3"/>
      <c r="U140" s="3"/>
      <c r="V140" s="3"/>
      <c r="W140" s="3"/>
      <c r="X140" s="3"/>
      <c r="Y140" s="3"/>
      <c r="Z140" s="3"/>
      <c r="AA140" s="3"/>
    </row>
    <row r="141">
      <c r="A141" s="77" t="s">
        <v>127</v>
      </c>
      <c r="B141" s="80" t="s">
        <v>1960</v>
      </c>
      <c r="C141" s="81" t="s">
        <v>442</v>
      </c>
      <c r="D141" s="81" t="s">
        <v>472</v>
      </c>
      <c r="E141" s="82">
        <v>35.0</v>
      </c>
      <c r="F141" s="81" t="s">
        <v>473</v>
      </c>
      <c r="G141" s="83" t="s">
        <v>480</v>
      </c>
      <c r="H141" s="83" t="s">
        <v>143</v>
      </c>
      <c r="I141" s="20" t="str">
        <f t="shared" si="2"/>
        <v>Documentos y ContenidosRepositorio DocumentalAvanzado</v>
      </c>
      <c r="J141" s="3">
        <v>128.0</v>
      </c>
      <c r="K141" s="79">
        <v>113.0</v>
      </c>
      <c r="L141" s="80" t="s">
        <v>481</v>
      </c>
      <c r="M141" s="81" t="s">
        <v>442</v>
      </c>
      <c r="N141" s="81" t="s">
        <v>472</v>
      </c>
      <c r="O141" s="81" t="s">
        <v>143</v>
      </c>
      <c r="P141" s="81" t="s">
        <v>482</v>
      </c>
      <c r="Q141" s="73">
        <f t="shared" si="26"/>
        <v>128</v>
      </c>
      <c r="R141" s="3"/>
      <c r="S141" s="3"/>
      <c r="T141" s="3"/>
      <c r="U141" s="3"/>
      <c r="V141" s="3"/>
      <c r="W141" s="3"/>
      <c r="X141" s="3"/>
      <c r="Y141" s="3"/>
      <c r="Z141" s="3"/>
      <c r="AA141" s="3"/>
    </row>
    <row r="142">
      <c r="A142" s="77" t="s">
        <v>127</v>
      </c>
      <c r="B142" s="80" t="s">
        <v>1961</v>
      </c>
      <c r="C142" s="81" t="s">
        <v>483</v>
      </c>
      <c r="D142" s="81" t="s">
        <v>486</v>
      </c>
      <c r="E142" s="82">
        <v>36.0</v>
      </c>
      <c r="F142" s="81" t="s">
        <v>487</v>
      </c>
      <c r="G142" s="83" t="s">
        <v>134</v>
      </c>
      <c r="H142" s="83" t="s">
        <v>135</v>
      </c>
      <c r="I142" s="20" t="str">
        <f t="shared" si="2"/>
        <v>Datos Maestros y de ReferenciaDatos referencialesInsuficiente</v>
      </c>
      <c r="J142" s="3">
        <v>129.0</v>
      </c>
      <c r="R142" s="3"/>
      <c r="S142" s="3"/>
      <c r="T142" s="3"/>
      <c r="U142" s="3"/>
      <c r="V142" s="3"/>
      <c r="W142" s="3"/>
      <c r="X142" s="3"/>
      <c r="Y142" s="3"/>
      <c r="Z142" s="3"/>
      <c r="AA142" s="3"/>
    </row>
    <row r="143">
      <c r="A143" s="77" t="s">
        <v>127</v>
      </c>
      <c r="B143" s="80" t="s">
        <v>1962</v>
      </c>
      <c r="C143" s="81" t="s">
        <v>483</v>
      </c>
      <c r="D143" s="81" t="s">
        <v>486</v>
      </c>
      <c r="E143" s="82">
        <v>36.0</v>
      </c>
      <c r="F143" s="81" t="s">
        <v>487</v>
      </c>
      <c r="G143" s="83" t="s">
        <v>488</v>
      </c>
      <c r="H143" s="83" t="s">
        <v>137</v>
      </c>
      <c r="I143" s="20" t="str">
        <f t="shared" si="2"/>
        <v>Datos Maestros y de ReferenciaDatos referencialesBásico</v>
      </c>
      <c r="J143" s="3">
        <v>130.0</v>
      </c>
      <c r="K143" s="79">
        <v>30.0</v>
      </c>
      <c r="L143" s="80" t="s">
        <v>489</v>
      </c>
      <c r="M143" s="81" t="s">
        <v>483</v>
      </c>
      <c r="N143" s="81" t="s">
        <v>486</v>
      </c>
      <c r="O143" s="81" t="s">
        <v>137</v>
      </c>
      <c r="P143" s="81" t="s">
        <v>490</v>
      </c>
      <c r="Q143" s="73">
        <f t="shared" ref="Q143:Q145" si="27">VLOOKUP(L143,$I$13:$J$207,2,0)</f>
        <v>130</v>
      </c>
      <c r="R143" s="3"/>
      <c r="S143" s="3"/>
      <c r="T143" s="3"/>
      <c r="U143" s="3"/>
      <c r="V143" s="3"/>
      <c r="W143" s="3"/>
      <c r="X143" s="3"/>
      <c r="Y143" s="3"/>
      <c r="Z143" s="3"/>
      <c r="AA143" s="3"/>
    </row>
    <row r="144">
      <c r="A144" s="77" t="s">
        <v>127</v>
      </c>
      <c r="B144" s="80" t="s">
        <v>1963</v>
      </c>
      <c r="C144" s="81" t="s">
        <v>483</v>
      </c>
      <c r="D144" s="81" t="s">
        <v>486</v>
      </c>
      <c r="E144" s="82">
        <v>36.0</v>
      </c>
      <c r="F144" s="81" t="s">
        <v>487</v>
      </c>
      <c r="G144" s="83" t="s">
        <v>491</v>
      </c>
      <c r="H144" s="83" t="s">
        <v>140</v>
      </c>
      <c r="I144" s="20" t="str">
        <f t="shared" si="2"/>
        <v>Datos Maestros y de ReferenciaDatos referencialesMedio</v>
      </c>
      <c r="J144" s="3">
        <v>131.0</v>
      </c>
      <c r="K144" s="79">
        <v>72.0</v>
      </c>
      <c r="L144" s="80" t="s">
        <v>492</v>
      </c>
      <c r="M144" s="81" t="s">
        <v>483</v>
      </c>
      <c r="N144" s="81" t="s">
        <v>486</v>
      </c>
      <c r="O144" s="81" t="s">
        <v>140</v>
      </c>
      <c r="P144" s="81" t="s">
        <v>493</v>
      </c>
      <c r="Q144" s="73">
        <f t="shared" si="27"/>
        <v>131</v>
      </c>
      <c r="R144" s="3"/>
      <c r="S144" s="3"/>
      <c r="T144" s="3"/>
      <c r="U144" s="3"/>
      <c r="V144" s="3"/>
      <c r="W144" s="3"/>
      <c r="X144" s="3"/>
      <c r="Y144" s="3"/>
      <c r="Z144" s="3"/>
      <c r="AA144" s="3"/>
    </row>
    <row r="145">
      <c r="A145" s="77" t="s">
        <v>127</v>
      </c>
      <c r="B145" s="80" t="s">
        <v>1964</v>
      </c>
      <c r="C145" s="81" t="s">
        <v>483</v>
      </c>
      <c r="D145" s="81" t="s">
        <v>486</v>
      </c>
      <c r="E145" s="82">
        <v>36.0</v>
      </c>
      <c r="F145" s="81" t="s">
        <v>487</v>
      </c>
      <c r="G145" s="83" t="s">
        <v>494</v>
      </c>
      <c r="H145" s="83" t="s">
        <v>143</v>
      </c>
      <c r="I145" s="20" t="str">
        <f t="shared" si="2"/>
        <v>Datos Maestros y de ReferenciaDatos referencialesAvanzado</v>
      </c>
      <c r="J145" s="3">
        <v>132.0</v>
      </c>
      <c r="K145" s="79">
        <v>114.0</v>
      </c>
      <c r="L145" s="80" t="s">
        <v>495</v>
      </c>
      <c r="M145" s="81" t="s">
        <v>483</v>
      </c>
      <c r="N145" s="81" t="s">
        <v>486</v>
      </c>
      <c r="O145" s="81" t="s">
        <v>143</v>
      </c>
      <c r="P145" s="81" t="s">
        <v>496</v>
      </c>
      <c r="Q145" s="73">
        <f t="shared" si="27"/>
        <v>132</v>
      </c>
      <c r="R145" s="3"/>
      <c r="S145" s="3"/>
      <c r="T145" s="3"/>
      <c r="U145" s="3"/>
      <c r="V145" s="3"/>
      <c r="W145" s="3"/>
      <c r="X145" s="3"/>
      <c r="Y145" s="3"/>
      <c r="Z145" s="3"/>
      <c r="AA145" s="3"/>
    </row>
    <row r="146">
      <c r="A146" s="77" t="s">
        <v>127</v>
      </c>
      <c r="B146" s="80" t="s">
        <v>1965</v>
      </c>
      <c r="C146" s="81" t="s">
        <v>483</v>
      </c>
      <c r="D146" s="81" t="s">
        <v>498</v>
      </c>
      <c r="E146" s="82">
        <v>37.0</v>
      </c>
      <c r="F146" s="81" t="s">
        <v>499</v>
      </c>
      <c r="G146" s="83" t="s">
        <v>134</v>
      </c>
      <c r="H146" s="83" t="s">
        <v>135</v>
      </c>
      <c r="I146" s="20" t="str">
        <f t="shared" si="2"/>
        <v>Datos Maestros y de ReferenciaDatos maestrosInsuficiente</v>
      </c>
      <c r="J146" s="3">
        <v>133.0</v>
      </c>
      <c r="R146" s="3"/>
      <c r="S146" s="3"/>
      <c r="T146" s="3"/>
      <c r="U146" s="3"/>
      <c r="V146" s="3"/>
      <c r="W146" s="3"/>
      <c r="X146" s="3"/>
      <c r="Y146" s="3"/>
      <c r="Z146" s="3"/>
      <c r="AA146" s="3"/>
    </row>
    <row r="147">
      <c r="A147" s="77" t="s">
        <v>127</v>
      </c>
      <c r="B147" s="80" t="s">
        <v>1966</v>
      </c>
      <c r="C147" s="81" t="s">
        <v>483</v>
      </c>
      <c r="D147" s="81" t="s">
        <v>498</v>
      </c>
      <c r="E147" s="82">
        <v>37.0</v>
      </c>
      <c r="F147" s="81" t="s">
        <v>499</v>
      </c>
      <c r="G147" s="83" t="s">
        <v>500</v>
      </c>
      <c r="H147" s="83" t="s">
        <v>137</v>
      </c>
      <c r="I147" s="20" t="str">
        <f t="shared" si="2"/>
        <v>Datos Maestros y de ReferenciaDatos maestrosBásico</v>
      </c>
      <c r="J147" s="3">
        <v>134.0</v>
      </c>
      <c r="K147" s="79">
        <v>31.0</v>
      </c>
      <c r="L147" s="80" t="s">
        <v>501</v>
      </c>
      <c r="M147" s="81" t="s">
        <v>483</v>
      </c>
      <c r="N147" s="81" t="s">
        <v>498</v>
      </c>
      <c r="O147" s="81" t="s">
        <v>137</v>
      </c>
      <c r="P147" s="81" t="s">
        <v>502</v>
      </c>
      <c r="Q147" s="73">
        <f t="shared" ref="Q147:Q149" si="28">VLOOKUP(L147,$I$13:$J$207,2,0)</f>
        <v>134</v>
      </c>
      <c r="R147" s="3"/>
      <c r="S147" s="3"/>
      <c r="T147" s="3"/>
      <c r="U147" s="3"/>
      <c r="V147" s="3"/>
      <c r="W147" s="3"/>
      <c r="X147" s="3"/>
      <c r="Y147" s="3"/>
      <c r="Z147" s="3"/>
      <c r="AA147" s="3"/>
    </row>
    <row r="148">
      <c r="A148" s="77" t="s">
        <v>127</v>
      </c>
      <c r="B148" s="80" t="s">
        <v>1967</v>
      </c>
      <c r="C148" s="81" t="s">
        <v>483</v>
      </c>
      <c r="D148" s="81" t="s">
        <v>498</v>
      </c>
      <c r="E148" s="82">
        <v>37.0</v>
      </c>
      <c r="F148" s="81" t="s">
        <v>499</v>
      </c>
      <c r="G148" s="83" t="s">
        <v>503</v>
      </c>
      <c r="H148" s="83" t="s">
        <v>140</v>
      </c>
      <c r="I148" s="20" t="str">
        <f t="shared" si="2"/>
        <v>Datos Maestros y de ReferenciaDatos maestrosMedio</v>
      </c>
      <c r="J148" s="3">
        <v>135.0</v>
      </c>
      <c r="K148" s="79">
        <v>73.0</v>
      </c>
      <c r="L148" s="80" t="s">
        <v>504</v>
      </c>
      <c r="M148" s="81" t="s">
        <v>483</v>
      </c>
      <c r="N148" s="81" t="s">
        <v>498</v>
      </c>
      <c r="O148" s="81" t="s">
        <v>140</v>
      </c>
      <c r="P148" s="81" t="s">
        <v>505</v>
      </c>
      <c r="Q148" s="73">
        <f t="shared" si="28"/>
        <v>135</v>
      </c>
      <c r="R148" s="3"/>
      <c r="S148" s="3"/>
      <c r="T148" s="3"/>
      <c r="U148" s="3"/>
      <c r="V148" s="3"/>
      <c r="W148" s="3"/>
      <c r="X148" s="3"/>
      <c r="Y148" s="3"/>
      <c r="Z148" s="3"/>
      <c r="AA148" s="3"/>
    </row>
    <row r="149">
      <c r="A149" s="77" t="s">
        <v>127</v>
      </c>
      <c r="B149" s="80" t="s">
        <v>1968</v>
      </c>
      <c r="C149" s="81" t="s">
        <v>483</v>
      </c>
      <c r="D149" s="81" t="s">
        <v>498</v>
      </c>
      <c r="E149" s="82">
        <v>37.0</v>
      </c>
      <c r="F149" s="81" t="s">
        <v>499</v>
      </c>
      <c r="G149" s="83" t="s">
        <v>506</v>
      </c>
      <c r="H149" s="83" t="s">
        <v>143</v>
      </c>
      <c r="I149" s="20" t="str">
        <f t="shared" si="2"/>
        <v>Datos Maestros y de ReferenciaDatos maestrosAvanzado</v>
      </c>
      <c r="J149" s="3">
        <v>136.0</v>
      </c>
      <c r="K149" s="79">
        <v>115.0</v>
      </c>
      <c r="L149" s="80" t="s">
        <v>507</v>
      </c>
      <c r="M149" s="81" t="s">
        <v>483</v>
      </c>
      <c r="N149" s="81" t="s">
        <v>498</v>
      </c>
      <c r="O149" s="81" t="s">
        <v>143</v>
      </c>
      <c r="P149" s="81" t="s">
        <v>508</v>
      </c>
      <c r="Q149" s="73">
        <f t="shared" si="28"/>
        <v>136</v>
      </c>
      <c r="R149" s="3"/>
      <c r="S149" s="3"/>
      <c r="T149" s="3"/>
      <c r="U149" s="3"/>
      <c r="V149" s="3"/>
      <c r="W149" s="3"/>
      <c r="X149" s="3"/>
      <c r="Y149" s="3"/>
      <c r="Z149" s="3"/>
      <c r="AA149" s="3"/>
    </row>
    <row r="150">
      <c r="A150" s="77" t="s">
        <v>127</v>
      </c>
      <c r="B150" s="80" t="s">
        <v>1969</v>
      </c>
      <c r="C150" s="81" t="s">
        <v>483</v>
      </c>
      <c r="D150" s="81" t="s">
        <v>248</v>
      </c>
      <c r="E150" s="82">
        <v>38.0</v>
      </c>
      <c r="F150" s="81" t="s">
        <v>510</v>
      </c>
      <c r="G150" s="83" t="s">
        <v>134</v>
      </c>
      <c r="H150" s="83" t="s">
        <v>135</v>
      </c>
      <c r="I150" s="20" t="str">
        <f t="shared" si="2"/>
        <v>Datos Maestros y de ReferenciaHerramientasInsuficiente</v>
      </c>
      <c r="J150" s="3">
        <v>137.0</v>
      </c>
      <c r="R150" s="3"/>
      <c r="S150" s="3"/>
      <c r="T150" s="3"/>
      <c r="U150" s="3"/>
      <c r="V150" s="3"/>
      <c r="W150" s="3"/>
      <c r="X150" s="3"/>
      <c r="Y150" s="3"/>
      <c r="Z150" s="3"/>
      <c r="AA150" s="3"/>
    </row>
    <row r="151">
      <c r="A151" s="77" t="s">
        <v>127</v>
      </c>
      <c r="B151" s="80" t="s">
        <v>1970</v>
      </c>
      <c r="C151" s="81" t="s">
        <v>483</v>
      </c>
      <c r="D151" s="81" t="s">
        <v>248</v>
      </c>
      <c r="E151" s="82">
        <v>38.0</v>
      </c>
      <c r="F151" s="81" t="s">
        <v>510</v>
      </c>
      <c r="G151" s="83" t="s">
        <v>511</v>
      </c>
      <c r="H151" s="83" t="s">
        <v>137</v>
      </c>
      <c r="I151" s="20" t="str">
        <f t="shared" si="2"/>
        <v>Datos Maestros y de ReferenciaHerramientasBásico</v>
      </c>
      <c r="J151" s="3">
        <v>138.0</v>
      </c>
      <c r="K151" s="79">
        <v>32.0</v>
      </c>
      <c r="L151" s="80" t="s">
        <v>512</v>
      </c>
      <c r="M151" s="81" t="s">
        <v>483</v>
      </c>
      <c r="N151" s="81" t="s">
        <v>248</v>
      </c>
      <c r="O151" s="81" t="s">
        <v>137</v>
      </c>
      <c r="P151" s="81" t="s">
        <v>513</v>
      </c>
      <c r="Q151" s="73">
        <f t="shared" ref="Q151:Q153" si="29">VLOOKUP(L151,$I$13:$J$207,2,0)</f>
        <v>138</v>
      </c>
      <c r="R151" s="3"/>
      <c r="S151" s="3"/>
      <c r="T151" s="3"/>
      <c r="U151" s="3"/>
      <c r="V151" s="3"/>
      <c r="W151" s="3"/>
      <c r="X151" s="3"/>
      <c r="Y151" s="3"/>
      <c r="Z151" s="3"/>
      <c r="AA151" s="3"/>
    </row>
    <row r="152">
      <c r="A152" s="77" t="s">
        <v>127</v>
      </c>
      <c r="B152" s="80" t="s">
        <v>1971</v>
      </c>
      <c r="C152" s="81" t="s">
        <v>483</v>
      </c>
      <c r="D152" s="81" t="s">
        <v>248</v>
      </c>
      <c r="E152" s="82">
        <v>38.0</v>
      </c>
      <c r="F152" s="81" t="s">
        <v>510</v>
      </c>
      <c r="G152" s="83" t="s">
        <v>514</v>
      </c>
      <c r="H152" s="83" t="s">
        <v>140</v>
      </c>
      <c r="I152" s="20" t="str">
        <f t="shared" si="2"/>
        <v>Datos Maestros y de ReferenciaHerramientasMedio</v>
      </c>
      <c r="J152" s="3">
        <v>139.0</v>
      </c>
      <c r="K152" s="79">
        <v>74.0</v>
      </c>
      <c r="L152" s="80" t="s">
        <v>515</v>
      </c>
      <c r="M152" s="81" t="s">
        <v>483</v>
      </c>
      <c r="N152" s="81" t="s">
        <v>248</v>
      </c>
      <c r="O152" s="81" t="s">
        <v>140</v>
      </c>
      <c r="P152" s="81" t="s">
        <v>516</v>
      </c>
      <c r="Q152" s="73">
        <f t="shared" si="29"/>
        <v>139</v>
      </c>
      <c r="R152" s="3"/>
      <c r="S152" s="3"/>
      <c r="T152" s="3"/>
      <c r="U152" s="3"/>
      <c r="V152" s="3"/>
      <c r="W152" s="3"/>
      <c r="X152" s="3"/>
      <c r="Y152" s="3"/>
      <c r="Z152" s="3"/>
      <c r="AA152" s="3"/>
    </row>
    <row r="153">
      <c r="A153" s="77" t="s">
        <v>127</v>
      </c>
      <c r="B153" s="80" t="s">
        <v>1972</v>
      </c>
      <c r="C153" s="81" t="s">
        <v>483</v>
      </c>
      <c r="D153" s="81" t="s">
        <v>248</v>
      </c>
      <c r="E153" s="82">
        <v>38.0</v>
      </c>
      <c r="F153" s="81" t="s">
        <v>510</v>
      </c>
      <c r="G153" s="83" t="s">
        <v>517</v>
      </c>
      <c r="H153" s="83" t="s">
        <v>143</v>
      </c>
      <c r="I153" s="20" t="str">
        <f t="shared" si="2"/>
        <v>Datos Maestros y de ReferenciaHerramientasAvanzado</v>
      </c>
      <c r="J153" s="3">
        <v>140.0</v>
      </c>
      <c r="K153" s="79">
        <v>116.0</v>
      </c>
      <c r="L153" s="80" t="s">
        <v>518</v>
      </c>
      <c r="M153" s="81" t="s">
        <v>483</v>
      </c>
      <c r="N153" s="81" t="s">
        <v>248</v>
      </c>
      <c r="O153" s="81" t="s">
        <v>143</v>
      </c>
      <c r="P153" s="81" t="s">
        <v>519</v>
      </c>
      <c r="Q153" s="73">
        <f t="shared" si="29"/>
        <v>140</v>
      </c>
      <c r="R153" s="3"/>
      <c r="S153" s="3"/>
      <c r="T153" s="3"/>
      <c r="U153" s="3"/>
      <c r="V153" s="3"/>
      <c r="W153" s="3"/>
      <c r="X153" s="3"/>
      <c r="Y153" s="3"/>
      <c r="Z153" s="3"/>
      <c r="AA153" s="3"/>
    </row>
    <row r="154">
      <c r="A154" s="77" t="s">
        <v>127</v>
      </c>
      <c r="B154" s="80" t="s">
        <v>1973</v>
      </c>
      <c r="C154" s="81" t="s">
        <v>520</v>
      </c>
      <c r="D154" s="81" t="s">
        <v>523</v>
      </c>
      <c r="E154" s="82">
        <v>39.0</v>
      </c>
      <c r="F154" s="81" t="s">
        <v>524</v>
      </c>
      <c r="G154" s="83" t="s">
        <v>134</v>
      </c>
      <c r="H154" s="83" t="s">
        <v>135</v>
      </c>
      <c r="I154" s="20" t="str">
        <f t="shared" si="2"/>
        <v>Analítica e Inteligencia de NegociosToma de decisiones basada en informaciónInsuficiente</v>
      </c>
      <c r="J154" s="3">
        <v>141.0</v>
      </c>
      <c r="R154" s="3"/>
      <c r="S154" s="3"/>
      <c r="T154" s="3"/>
      <c r="U154" s="3"/>
      <c r="V154" s="3"/>
      <c r="W154" s="3"/>
      <c r="X154" s="3"/>
      <c r="Y154" s="3"/>
      <c r="Z154" s="3"/>
      <c r="AA154" s="3"/>
    </row>
    <row r="155">
      <c r="A155" s="77" t="s">
        <v>127</v>
      </c>
      <c r="B155" s="80" t="s">
        <v>1974</v>
      </c>
      <c r="C155" s="81" t="s">
        <v>520</v>
      </c>
      <c r="D155" s="81" t="s">
        <v>523</v>
      </c>
      <c r="E155" s="82">
        <v>39.0</v>
      </c>
      <c r="F155" s="81" t="s">
        <v>524</v>
      </c>
      <c r="G155" s="83" t="s">
        <v>525</v>
      </c>
      <c r="H155" s="83" t="s">
        <v>137</v>
      </c>
      <c r="I155" s="20" t="str">
        <f t="shared" si="2"/>
        <v>Analítica e Inteligencia de NegociosToma de decisiones basada en informaciónBásico</v>
      </c>
      <c r="J155" s="3">
        <v>142.0</v>
      </c>
      <c r="K155" s="79">
        <v>33.0</v>
      </c>
      <c r="L155" s="80" t="s">
        <v>526</v>
      </c>
      <c r="M155" s="81" t="s">
        <v>520</v>
      </c>
      <c r="N155" s="81" t="s">
        <v>523</v>
      </c>
      <c r="O155" s="81" t="s">
        <v>137</v>
      </c>
      <c r="P155" s="81" t="s">
        <v>527</v>
      </c>
      <c r="Q155" s="73">
        <f t="shared" ref="Q155:Q157" si="30">VLOOKUP(L155,$I$13:$J$207,2,0)</f>
        <v>142</v>
      </c>
      <c r="R155" s="3"/>
      <c r="S155" s="3"/>
      <c r="T155" s="3"/>
      <c r="U155" s="3"/>
      <c r="V155" s="3"/>
      <c r="W155" s="3"/>
      <c r="X155" s="3"/>
      <c r="Y155" s="3"/>
      <c r="Z155" s="3"/>
      <c r="AA155" s="3"/>
    </row>
    <row r="156">
      <c r="A156" s="77" t="s">
        <v>127</v>
      </c>
      <c r="B156" s="80" t="s">
        <v>1975</v>
      </c>
      <c r="C156" s="81" t="s">
        <v>520</v>
      </c>
      <c r="D156" s="81" t="s">
        <v>523</v>
      </c>
      <c r="E156" s="82">
        <v>39.0</v>
      </c>
      <c r="F156" s="81" t="s">
        <v>524</v>
      </c>
      <c r="G156" s="83" t="s">
        <v>528</v>
      </c>
      <c r="H156" s="83" t="s">
        <v>140</v>
      </c>
      <c r="I156" s="20" t="str">
        <f t="shared" si="2"/>
        <v>Analítica e Inteligencia de NegociosToma de decisiones basada en informaciónMedio</v>
      </c>
      <c r="J156" s="3">
        <v>143.0</v>
      </c>
      <c r="K156" s="79">
        <v>75.0</v>
      </c>
      <c r="L156" s="80" t="s">
        <v>529</v>
      </c>
      <c r="M156" s="81" t="s">
        <v>520</v>
      </c>
      <c r="N156" s="81" t="s">
        <v>523</v>
      </c>
      <c r="O156" s="81" t="s">
        <v>140</v>
      </c>
      <c r="P156" s="81" t="s">
        <v>530</v>
      </c>
      <c r="Q156" s="73">
        <f t="shared" si="30"/>
        <v>143</v>
      </c>
      <c r="R156" s="3"/>
      <c r="S156" s="3"/>
      <c r="T156" s="3"/>
      <c r="U156" s="3"/>
      <c r="V156" s="3"/>
      <c r="W156" s="3"/>
      <c r="X156" s="3"/>
      <c r="Y156" s="3"/>
      <c r="Z156" s="3"/>
      <c r="AA156" s="3"/>
    </row>
    <row r="157">
      <c r="A157" s="77" t="s">
        <v>127</v>
      </c>
      <c r="B157" s="80" t="s">
        <v>1976</v>
      </c>
      <c r="C157" s="81" t="s">
        <v>520</v>
      </c>
      <c r="D157" s="81" t="s">
        <v>523</v>
      </c>
      <c r="E157" s="82">
        <v>39.0</v>
      </c>
      <c r="F157" s="81" t="s">
        <v>524</v>
      </c>
      <c r="G157" s="83" t="s">
        <v>531</v>
      </c>
      <c r="H157" s="83" t="s">
        <v>143</v>
      </c>
      <c r="I157" s="20" t="str">
        <f t="shared" si="2"/>
        <v>Analítica e Inteligencia de NegociosToma de decisiones basada en informaciónAvanzado</v>
      </c>
      <c r="J157" s="3">
        <v>144.0</v>
      </c>
      <c r="K157" s="79">
        <v>117.0</v>
      </c>
      <c r="L157" s="80" t="s">
        <v>532</v>
      </c>
      <c r="M157" s="81" t="s">
        <v>520</v>
      </c>
      <c r="N157" s="81" t="s">
        <v>523</v>
      </c>
      <c r="O157" s="81" t="s">
        <v>143</v>
      </c>
      <c r="P157" s="81" t="s">
        <v>533</v>
      </c>
      <c r="Q157" s="73">
        <f t="shared" si="30"/>
        <v>144</v>
      </c>
      <c r="R157" s="3"/>
      <c r="S157" s="3"/>
      <c r="T157" s="3"/>
      <c r="U157" s="3"/>
      <c r="V157" s="3"/>
      <c r="W157" s="3"/>
      <c r="X157" s="3"/>
      <c r="Y157" s="3"/>
      <c r="Z157" s="3"/>
      <c r="AA157" s="3"/>
    </row>
    <row r="158">
      <c r="A158" s="77" t="s">
        <v>127</v>
      </c>
      <c r="B158" s="80" t="s">
        <v>1977</v>
      </c>
      <c r="C158" s="81" t="s">
        <v>520</v>
      </c>
      <c r="D158" s="81" t="s">
        <v>535</v>
      </c>
      <c r="E158" s="82">
        <v>40.0</v>
      </c>
      <c r="F158" s="81" t="s">
        <v>536</v>
      </c>
      <c r="G158" s="83" t="s">
        <v>134</v>
      </c>
      <c r="H158" s="83" t="s">
        <v>135</v>
      </c>
      <c r="I158" s="20" t="str">
        <f t="shared" si="2"/>
        <v>Analítica e Inteligencia de NegociosInformación de gestiónInsuficiente</v>
      </c>
      <c r="J158" s="3">
        <v>145.0</v>
      </c>
      <c r="R158" s="3"/>
      <c r="S158" s="3"/>
      <c r="T158" s="3"/>
      <c r="U158" s="3"/>
      <c r="V158" s="3"/>
      <c r="W158" s="3"/>
      <c r="X158" s="3"/>
      <c r="Y158" s="3"/>
      <c r="Z158" s="3"/>
      <c r="AA158" s="3"/>
    </row>
    <row r="159">
      <c r="A159" s="77" t="s">
        <v>127</v>
      </c>
      <c r="B159" s="80" t="s">
        <v>1978</v>
      </c>
      <c r="C159" s="81" t="s">
        <v>520</v>
      </c>
      <c r="D159" s="81" t="s">
        <v>535</v>
      </c>
      <c r="E159" s="82">
        <v>40.0</v>
      </c>
      <c r="F159" s="81" t="s">
        <v>536</v>
      </c>
      <c r="G159" s="83" t="s">
        <v>537</v>
      </c>
      <c r="H159" s="83" t="s">
        <v>137</v>
      </c>
      <c r="I159" s="20" t="str">
        <f t="shared" si="2"/>
        <v>Analítica e Inteligencia de NegociosInformación de gestiónBásico</v>
      </c>
      <c r="J159" s="3">
        <v>146.0</v>
      </c>
      <c r="K159" s="79">
        <v>34.0</v>
      </c>
      <c r="L159" s="80" t="s">
        <v>538</v>
      </c>
      <c r="M159" s="81" t="s">
        <v>520</v>
      </c>
      <c r="N159" s="81" t="s">
        <v>535</v>
      </c>
      <c r="O159" s="81" t="s">
        <v>137</v>
      </c>
      <c r="P159" s="81" t="s">
        <v>539</v>
      </c>
      <c r="Q159" s="73">
        <f t="shared" ref="Q159:Q161" si="31">VLOOKUP(L159,$I$13:$J$207,2,0)</f>
        <v>146</v>
      </c>
      <c r="R159" s="3"/>
      <c r="S159" s="3"/>
      <c r="T159" s="3"/>
      <c r="U159" s="3"/>
      <c r="V159" s="3"/>
      <c r="W159" s="3"/>
      <c r="X159" s="3"/>
      <c r="Y159" s="3"/>
      <c r="Z159" s="3"/>
      <c r="AA159" s="3"/>
    </row>
    <row r="160">
      <c r="A160" s="77" t="s">
        <v>127</v>
      </c>
      <c r="B160" s="80" t="s">
        <v>1979</v>
      </c>
      <c r="C160" s="81" t="s">
        <v>520</v>
      </c>
      <c r="D160" s="81" t="s">
        <v>535</v>
      </c>
      <c r="E160" s="82">
        <v>40.0</v>
      </c>
      <c r="F160" s="81" t="s">
        <v>536</v>
      </c>
      <c r="G160" s="83" t="s">
        <v>540</v>
      </c>
      <c r="H160" s="83" t="s">
        <v>140</v>
      </c>
      <c r="I160" s="20" t="str">
        <f t="shared" si="2"/>
        <v>Analítica e Inteligencia de NegociosInformación de gestiónMedio</v>
      </c>
      <c r="J160" s="3">
        <v>147.0</v>
      </c>
      <c r="K160" s="79">
        <v>76.0</v>
      </c>
      <c r="L160" s="80" t="s">
        <v>541</v>
      </c>
      <c r="M160" s="81" t="s">
        <v>520</v>
      </c>
      <c r="N160" s="81" t="s">
        <v>535</v>
      </c>
      <c r="O160" s="81" t="s">
        <v>140</v>
      </c>
      <c r="P160" s="81" t="s">
        <v>542</v>
      </c>
      <c r="Q160" s="73">
        <f t="shared" si="31"/>
        <v>147</v>
      </c>
      <c r="R160" s="3"/>
      <c r="S160" s="3"/>
      <c r="T160" s="3"/>
      <c r="U160" s="3"/>
      <c r="V160" s="3"/>
      <c r="W160" s="3"/>
      <c r="X160" s="3"/>
      <c r="Y160" s="3"/>
      <c r="Z160" s="3"/>
      <c r="AA160" s="3"/>
    </row>
    <row r="161">
      <c r="A161" s="77" t="s">
        <v>127</v>
      </c>
      <c r="B161" s="80" t="s">
        <v>1980</v>
      </c>
      <c r="C161" s="81" t="s">
        <v>520</v>
      </c>
      <c r="D161" s="81" t="s">
        <v>535</v>
      </c>
      <c r="E161" s="82">
        <v>40.0</v>
      </c>
      <c r="F161" s="81" t="s">
        <v>536</v>
      </c>
      <c r="G161" s="83" t="s">
        <v>543</v>
      </c>
      <c r="H161" s="83" t="s">
        <v>143</v>
      </c>
      <c r="I161" s="20" t="str">
        <f t="shared" si="2"/>
        <v>Analítica e Inteligencia de NegociosInformación de gestiónAvanzado</v>
      </c>
      <c r="J161" s="3">
        <v>148.0</v>
      </c>
      <c r="K161" s="79">
        <v>118.0</v>
      </c>
      <c r="L161" s="80" t="s">
        <v>544</v>
      </c>
      <c r="M161" s="81" t="s">
        <v>520</v>
      </c>
      <c r="N161" s="81" t="s">
        <v>535</v>
      </c>
      <c r="O161" s="81" t="s">
        <v>143</v>
      </c>
      <c r="P161" s="81" t="s">
        <v>545</v>
      </c>
      <c r="Q161" s="73">
        <f t="shared" si="31"/>
        <v>148</v>
      </c>
      <c r="R161" s="3"/>
      <c r="S161" s="3"/>
      <c r="T161" s="3"/>
      <c r="U161" s="3"/>
      <c r="V161" s="3"/>
      <c r="W161" s="3"/>
      <c r="X161" s="3"/>
      <c r="Y161" s="3"/>
      <c r="Z161" s="3"/>
      <c r="AA161" s="3"/>
    </row>
    <row r="162">
      <c r="A162" s="77" t="s">
        <v>127</v>
      </c>
      <c r="B162" s="80" t="s">
        <v>1981</v>
      </c>
      <c r="C162" s="81" t="s">
        <v>520</v>
      </c>
      <c r="D162" s="81" t="s">
        <v>248</v>
      </c>
      <c r="E162" s="82">
        <v>41.0</v>
      </c>
      <c r="F162" s="81" t="s">
        <v>547</v>
      </c>
      <c r="G162" s="83" t="s">
        <v>134</v>
      </c>
      <c r="H162" s="83" t="s">
        <v>135</v>
      </c>
      <c r="I162" s="20" t="str">
        <f t="shared" si="2"/>
        <v>Analítica e Inteligencia de NegociosHerramientasInsuficiente</v>
      </c>
      <c r="J162" s="3">
        <v>149.0</v>
      </c>
      <c r="R162" s="3"/>
      <c r="S162" s="3"/>
      <c r="T162" s="3"/>
      <c r="U162" s="3"/>
      <c r="V162" s="3"/>
      <c r="W162" s="3"/>
      <c r="X162" s="3"/>
      <c r="Y162" s="3"/>
      <c r="Z162" s="3"/>
      <c r="AA162" s="3"/>
    </row>
    <row r="163">
      <c r="A163" s="77" t="s">
        <v>127</v>
      </c>
      <c r="B163" s="80" t="s">
        <v>1982</v>
      </c>
      <c r="C163" s="81" t="s">
        <v>520</v>
      </c>
      <c r="D163" s="81" t="s">
        <v>248</v>
      </c>
      <c r="E163" s="82">
        <v>41.0</v>
      </c>
      <c r="F163" s="81" t="s">
        <v>547</v>
      </c>
      <c r="G163" s="83" t="s">
        <v>548</v>
      </c>
      <c r="H163" s="83" t="s">
        <v>137</v>
      </c>
      <c r="I163" s="20" t="str">
        <f t="shared" si="2"/>
        <v>Analítica e Inteligencia de NegociosHerramientasBásico</v>
      </c>
      <c r="J163" s="3">
        <v>150.0</v>
      </c>
      <c r="K163" s="79">
        <v>35.0</v>
      </c>
      <c r="L163" s="80" t="s">
        <v>549</v>
      </c>
      <c r="M163" s="81" t="s">
        <v>520</v>
      </c>
      <c r="N163" s="81" t="s">
        <v>248</v>
      </c>
      <c r="O163" s="81" t="s">
        <v>137</v>
      </c>
      <c r="P163" s="81" t="s">
        <v>550</v>
      </c>
      <c r="Q163" s="73">
        <f t="shared" ref="Q163:Q165" si="32">VLOOKUP(L163,$I$13:$J$207,2,0)</f>
        <v>150</v>
      </c>
      <c r="R163" s="3"/>
      <c r="S163" s="3"/>
      <c r="T163" s="3"/>
      <c r="U163" s="3"/>
      <c r="V163" s="3"/>
      <c r="W163" s="3"/>
      <c r="X163" s="3"/>
      <c r="Y163" s="3"/>
      <c r="Z163" s="3"/>
      <c r="AA163" s="3"/>
    </row>
    <row r="164">
      <c r="A164" s="77" t="s">
        <v>127</v>
      </c>
      <c r="B164" s="80" t="s">
        <v>1983</v>
      </c>
      <c r="C164" s="81" t="s">
        <v>520</v>
      </c>
      <c r="D164" s="81" t="s">
        <v>248</v>
      </c>
      <c r="E164" s="82">
        <v>41.0</v>
      </c>
      <c r="F164" s="81" t="s">
        <v>547</v>
      </c>
      <c r="G164" s="83" t="s">
        <v>551</v>
      </c>
      <c r="H164" s="83" t="s">
        <v>140</v>
      </c>
      <c r="I164" s="20" t="str">
        <f t="shared" si="2"/>
        <v>Analítica e Inteligencia de NegociosHerramientasMedio</v>
      </c>
      <c r="J164" s="3">
        <v>151.0</v>
      </c>
      <c r="K164" s="79">
        <v>77.0</v>
      </c>
      <c r="L164" s="80" t="s">
        <v>552</v>
      </c>
      <c r="M164" s="81" t="s">
        <v>520</v>
      </c>
      <c r="N164" s="81" t="s">
        <v>248</v>
      </c>
      <c r="O164" s="81" t="s">
        <v>140</v>
      </c>
      <c r="P164" s="81" t="s">
        <v>553</v>
      </c>
      <c r="Q164" s="73">
        <f t="shared" si="32"/>
        <v>151</v>
      </c>
      <c r="R164" s="3"/>
      <c r="S164" s="3"/>
      <c r="T164" s="3"/>
      <c r="U164" s="3"/>
      <c r="V164" s="3"/>
      <c r="W164" s="3"/>
      <c r="X164" s="3"/>
      <c r="Y164" s="3"/>
      <c r="Z164" s="3"/>
      <c r="AA164" s="3"/>
    </row>
    <row r="165">
      <c r="A165" s="77" t="s">
        <v>127</v>
      </c>
      <c r="B165" s="80" t="s">
        <v>1983</v>
      </c>
      <c r="C165" s="81" t="s">
        <v>520</v>
      </c>
      <c r="D165" s="81" t="s">
        <v>248</v>
      </c>
      <c r="E165" s="82">
        <v>41.0</v>
      </c>
      <c r="F165" s="81" t="s">
        <v>547</v>
      </c>
      <c r="G165" s="83" t="s">
        <v>554</v>
      </c>
      <c r="H165" s="83" t="s">
        <v>143</v>
      </c>
      <c r="I165" s="20" t="str">
        <f t="shared" si="2"/>
        <v>Analítica e Inteligencia de NegociosHerramientasAvanzado</v>
      </c>
      <c r="J165" s="3">
        <v>152.0</v>
      </c>
      <c r="K165" s="79">
        <v>119.0</v>
      </c>
      <c r="L165" s="80" t="s">
        <v>555</v>
      </c>
      <c r="M165" s="81" t="s">
        <v>520</v>
      </c>
      <c r="N165" s="81" t="s">
        <v>248</v>
      </c>
      <c r="O165" s="81" t="s">
        <v>143</v>
      </c>
      <c r="P165" s="81" t="s">
        <v>556</v>
      </c>
      <c r="Q165" s="73">
        <f t="shared" si="32"/>
        <v>152</v>
      </c>
      <c r="R165" s="3"/>
      <c r="S165" s="3"/>
      <c r="T165" s="3"/>
      <c r="U165" s="3"/>
      <c r="V165" s="3"/>
      <c r="W165" s="3"/>
      <c r="X165" s="3"/>
      <c r="Y165" s="3"/>
      <c r="Z165" s="3"/>
      <c r="AA165" s="3"/>
    </row>
    <row r="166">
      <c r="A166" s="77" t="s">
        <v>127</v>
      </c>
      <c r="B166" s="80" t="s">
        <v>1984</v>
      </c>
      <c r="C166" s="81" t="s">
        <v>557</v>
      </c>
      <c r="D166" s="81" t="s">
        <v>560</v>
      </c>
      <c r="E166" s="82">
        <v>42.0</v>
      </c>
      <c r="F166" s="81" t="s">
        <v>561</v>
      </c>
      <c r="G166" s="83" t="s">
        <v>134</v>
      </c>
      <c r="H166" s="83" t="s">
        <v>135</v>
      </c>
      <c r="I166" s="20" t="str">
        <f t="shared" si="2"/>
        <v>Calidad de DatosDefiniciónInsuficiente</v>
      </c>
      <c r="J166" s="3">
        <v>153.0</v>
      </c>
      <c r="R166" s="3"/>
      <c r="S166" s="3"/>
      <c r="T166" s="3"/>
      <c r="U166" s="3"/>
      <c r="V166" s="3"/>
      <c r="W166" s="3"/>
      <c r="X166" s="3"/>
      <c r="Y166" s="3"/>
      <c r="Z166" s="3"/>
      <c r="AA166" s="3"/>
    </row>
    <row r="167">
      <c r="A167" s="77" t="s">
        <v>127</v>
      </c>
      <c r="B167" s="80" t="s">
        <v>1985</v>
      </c>
      <c r="C167" s="81" t="s">
        <v>557</v>
      </c>
      <c r="D167" s="81" t="s">
        <v>560</v>
      </c>
      <c r="E167" s="82">
        <v>42.0</v>
      </c>
      <c r="F167" s="81" t="s">
        <v>561</v>
      </c>
      <c r="G167" s="83" t="s">
        <v>562</v>
      </c>
      <c r="H167" s="83" t="s">
        <v>137</v>
      </c>
      <c r="I167" s="20" t="str">
        <f t="shared" si="2"/>
        <v>Calidad de DatosDefiniciónBásico</v>
      </c>
      <c r="J167" s="3">
        <v>154.0</v>
      </c>
      <c r="K167" s="79">
        <v>36.0</v>
      </c>
      <c r="L167" s="80" t="s">
        <v>563</v>
      </c>
      <c r="M167" s="81" t="s">
        <v>557</v>
      </c>
      <c r="N167" s="81" t="s">
        <v>560</v>
      </c>
      <c r="O167" s="81" t="s">
        <v>137</v>
      </c>
      <c r="P167" s="81" t="s">
        <v>564</v>
      </c>
      <c r="Q167" s="73">
        <f t="shared" ref="Q167:Q169" si="33">VLOOKUP(L167,$I$13:$J$207,2,0)</f>
        <v>154</v>
      </c>
      <c r="R167" s="3"/>
      <c r="S167" s="3"/>
      <c r="T167" s="3"/>
      <c r="U167" s="3"/>
      <c r="V167" s="3"/>
      <c r="W167" s="3"/>
      <c r="X167" s="3"/>
      <c r="Y167" s="3"/>
      <c r="Z167" s="3"/>
      <c r="AA167" s="3"/>
    </row>
    <row r="168">
      <c r="A168" s="77" t="s">
        <v>127</v>
      </c>
      <c r="B168" s="80" t="s">
        <v>1986</v>
      </c>
      <c r="C168" s="81" t="s">
        <v>557</v>
      </c>
      <c r="D168" s="81" t="s">
        <v>560</v>
      </c>
      <c r="E168" s="82">
        <v>42.0</v>
      </c>
      <c r="F168" s="81" t="s">
        <v>561</v>
      </c>
      <c r="G168" s="83" t="s">
        <v>565</v>
      </c>
      <c r="H168" s="83" t="s">
        <v>140</v>
      </c>
      <c r="I168" s="20" t="str">
        <f t="shared" si="2"/>
        <v>Calidad de DatosDefiniciónMedio</v>
      </c>
      <c r="J168" s="3">
        <v>155.0</v>
      </c>
      <c r="K168" s="79">
        <v>78.0</v>
      </c>
      <c r="L168" s="80" t="s">
        <v>566</v>
      </c>
      <c r="M168" s="81" t="s">
        <v>557</v>
      </c>
      <c r="N168" s="81" t="s">
        <v>560</v>
      </c>
      <c r="O168" s="81" t="s">
        <v>140</v>
      </c>
      <c r="P168" s="81" t="s">
        <v>567</v>
      </c>
      <c r="Q168" s="73">
        <f t="shared" si="33"/>
        <v>155</v>
      </c>
      <c r="R168" s="3"/>
      <c r="S168" s="3"/>
      <c r="T168" s="3"/>
      <c r="U168" s="3"/>
      <c r="V168" s="3"/>
      <c r="W168" s="3"/>
      <c r="X168" s="3"/>
      <c r="Y168" s="3"/>
      <c r="Z168" s="3"/>
      <c r="AA168" s="3"/>
    </row>
    <row r="169">
      <c r="A169" s="77" t="s">
        <v>127</v>
      </c>
      <c r="B169" s="80" t="s">
        <v>1987</v>
      </c>
      <c r="C169" s="81" t="s">
        <v>557</v>
      </c>
      <c r="D169" s="81" t="s">
        <v>560</v>
      </c>
      <c r="E169" s="82">
        <v>42.0</v>
      </c>
      <c r="F169" s="81" t="s">
        <v>561</v>
      </c>
      <c r="G169" s="83" t="s">
        <v>568</v>
      </c>
      <c r="H169" s="83" t="s">
        <v>143</v>
      </c>
      <c r="I169" s="20" t="str">
        <f t="shared" si="2"/>
        <v>Calidad de DatosDefiniciónAvanzado</v>
      </c>
      <c r="J169" s="3">
        <v>156.0</v>
      </c>
      <c r="K169" s="79">
        <v>120.0</v>
      </c>
      <c r="L169" s="80" t="s">
        <v>569</v>
      </c>
      <c r="M169" s="81" t="s">
        <v>557</v>
      </c>
      <c r="N169" s="81" t="s">
        <v>560</v>
      </c>
      <c r="O169" s="81" t="s">
        <v>143</v>
      </c>
      <c r="P169" s="81" t="s">
        <v>570</v>
      </c>
      <c r="Q169" s="73">
        <f t="shared" si="33"/>
        <v>156</v>
      </c>
      <c r="R169" s="3"/>
      <c r="S169" s="3"/>
      <c r="T169" s="3"/>
      <c r="U169" s="3"/>
      <c r="V169" s="3"/>
      <c r="W169" s="3"/>
      <c r="X169" s="3"/>
      <c r="Y169" s="3"/>
      <c r="Z169" s="3"/>
      <c r="AA169" s="3"/>
    </row>
    <row r="170">
      <c r="A170" s="77" t="s">
        <v>127</v>
      </c>
      <c r="B170" s="80" t="s">
        <v>1988</v>
      </c>
      <c r="C170" s="81" t="s">
        <v>557</v>
      </c>
      <c r="D170" s="81" t="s">
        <v>572</v>
      </c>
      <c r="E170" s="82">
        <v>43.0</v>
      </c>
      <c r="F170" s="81" t="s">
        <v>573</v>
      </c>
      <c r="G170" s="83" t="s">
        <v>134</v>
      </c>
      <c r="H170" s="83" t="s">
        <v>135</v>
      </c>
      <c r="I170" s="20" t="str">
        <f t="shared" si="2"/>
        <v>Calidad de DatosMetodología y HerramientasInsuficiente</v>
      </c>
      <c r="J170" s="3">
        <v>157.0</v>
      </c>
      <c r="R170" s="3"/>
      <c r="S170" s="3"/>
      <c r="T170" s="3"/>
      <c r="U170" s="3"/>
      <c r="V170" s="3"/>
      <c r="W170" s="3"/>
      <c r="X170" s="3"/>
      <c r="Y170" s="3"/>
      <c r="Z170" s="3"/>
      <c r="AA170" s="3"/>
    </row>
    <row r="171">
      <c r="A171" s="77" t="s">
        <v>127</v>
      </c>
      <c r="B171" s="80" t="s">
        <v>1989</v>
      </c>
      <c r="C171" s="81" t="s">
        <v>557</v>
      </c>
      <c r="D171" s="81" t="s">
        <v>572</v>
      </c>
      <c r="E171" s="82">
        <v>43.0</v>
      </c>
      <c r="F171" s="81" t="s">
        <v>573</v>
      </c>
      <c r="G171" s="83" t="s">
        <v>574</v>
      </c>
      <c r="H171" s="83" t="s">
        <v>137</v>
      </c>
      <c r="I171" s="20" t="str">
        <f t="shared" si="2"/>
        <v>Calidad de DatosMetodología y HerramientasBásico</v>
      </c>
      <c r="J171" s="3">
        <v>158.0</v>
      </c>
      <c r="K171" s="79">
        <v>37.0</v>
      </c>
      <c r="L171" s="80" t="s">
        <v>575</v>
      </c>
      <c r="M171" s="81" t="s">
        <v>557</v>
      </c>
      <c r="N171" s="81" t="s">
        <v>572</v>
      </c>
      <c r="O171" s="81" t="s">
        <v>137</v>
      </c>
      <c r="P171" s="81" t="s">
        <v>576</v>
      </c>
      <c r="Q171" s="73">
        <f t="shared" ref="Q171:Q173" si="34">VLOOKUP(L171,$I$13:$J$207,2,0)</f>
        <v>158</v>
      </c>
      <c r="R171" s="3"/>
      <c r="S171" s="3"/>
      <c r="T171" s="3"/>
      <c r="U171" s="3"/>
      <c r="V171" s="3"/>
      <c r="W171" s="3"/>
      <c r="X171" s="3"/>
      <c r="Y171" s="3"/>
      <c r="Z171" s="3"/>
      <c r="AA171" s="3"/>
    </row>
    <row r="172">
      <c r="A172" s="77" t="s">
        <v>127</v>
      </c>
      <c r="B172" s="80" t="s">
        <v>1990</v>
      </c>
      <c r="C172" s="81" t="s">
        <v>557</v>
      </c>
      <c r="D172" s="81" t="s">
        <v>572</v>
      </c>
      <c r="E172" s="82">
        <v>43.0</v>
      </c>
      <c r="F172" s="81" t="s">
        <v>573</v>
      </c>
      <c r="G172" s="83" t="s">
        <v>577</v>
      </c>
      <c r="H172" s="83" t="s">
        <v>140</v>
      </c>
      <c r="I172" s="20" t="str">
        <f t="shared" si="2"/>
        <v>Calidad de DatosMetodología y HerramientasMedio</v>
      </c>
      <c r="J172" s="3">
        <v>159.0</v>
      </c>
      <c r="K172" s="79">
        <v>79.0</v>
      </c>
      <c r="L172" s="80" t="s">
        <v>578</v>
      </c>
      <c r="M172" s="81" t="s">
        <v>557</v>
      </c>
      <c r="N172" s="81" t="s">
        <v>572</v>
      </c>
      <c r="O172" s="81" t="s">
        <v>140</v>
      </c>
      <c r="P172" s="81" t="s">
        <v>579</v>
      </c>
      <c r="Q172" s="73">
        <f t="shared" si="34"/>
        <v>159</v>
      </c>
      <c r="R172" s="3"/>
      <c r="S172" s="3"/>
      <c r="T172" s="3"/>
      <c r="U172" s="3"/>
      <c r="V172" s="3"/>
      <c r="W172" s="3"/>
      <c r="X172" s="3"/>
      <c r="Y172" s="3"/>
      <c r="Z172" s="3"/>
      <c r="AA172" s="3"/>
    </row>
    <row r="173">
      <c r="A173" s="77" t="s">
        <v>127</v>
      </c>
      <c r="B173" s="80" t="s">
        <v>1991</v>
      </c>
      <c r="C173" s="81" t="s">
        <v>557</v>
      </c>
      <c r="D173" s="81" t="s">
        <v>572</v>
      </c>
      <c r="E173" s="82">
        <v>43.0</v>
      </c>
      <c r="F173" s="81" t="s">
        <v>573</v>
      </c>
      <c r="G173" s="83" t="s">
        <v>580</v>
      </c>
      <c r="H173" s="83" t="s">
        <v>143</v>
      </c>
      <c r="I173" s="20" t="str">
        <f t="shared" si="2"/>
        <v>Calidad de DatosMetodología y HerramientasAvanzado</v>
      </c>
      <c r="J173" s="3">
        <v>160.0</v>
      </c>
      <c r="K173" s="79">
        <v>121.0</v>
      </c>
      <c r="L173" s="80" t="s">
        <v>581</v>
      </c>
      <c r="M173" s="81" t="s">
        <v>557</v>
      </c>
      <c r="N173" s="81" t="s">
        <v>572</v>
      </c>
      <c r="O173" s="81" t="s">
        <v>143</v>
      </c>
      <c r="P173" s="81" t="s">
        <v>582</v>
      </c>
      <c r="Q173" s="73">
        <f t="shared" si="34"/>
        <v>160</v>
      </c>
      <c r="R173" s="3"/>
      <c r="S173" s="3"/>
      <c r="T173" s="3"/>
      <c r="U173" s="3"/>
      <c r="V173" s="3"/>
      <c r="W173" s="3"/>
      <c r="X173" s="3"/>
      <c r="Y173" s="3"/>
      <c r="Z173" s="3"/>
      <c r="AA173" s="3"/>
    </row>
    <row r="174">
      <c r="A174" s="77" t="s">
        <v>127</v>
      </c>
      <c r="B174" s="80" t="s">
        <v>1992</v>
      </c>
      <c r="C174" s="81" t="s">
        <v>583</v>
      </c>
      <c r="D174" s="81" t="s">
        <v>445</v>
      </c>
      <c r="E174" s="82">
        <v>44.0</v>
      </c>
      <c r="F174" s="81" t="s">
        <v>586</v>
      </c>
      <c r="G174" s="83" t="s">
        <v>134</v>
      </c>
      <c r="H174" s="83" t="s">
        <v>135</v>
      </c>
      <c r="I174" s="20" t="str">
        <f t="shared" si="2"/>
        <v>Datos AbiertosDefinicionesInsuficiente</v>
      </c>
      <c r="J174" s="3">
        <v>161.0</v>
      </c>
      <c r="R174" s="3"/>
      <c r="S174" s="3"/>
      <c r="T174" s="3"/>
      <c r="U174" s="3"/>
      <c r="V174" s="3"/>
      <c r="W174" s="3"/>
      <c r="X174" s="3"/>
      <c r="Y174" s="3"/>
      <c r="Z174" s="3"/>
      <c r="AA174" s="3"/>
    </row>
    <row r="175">
      <c r="A175" s="77" t="s">
        <v>127</v>
      </c>
      <c r="B175" s="80" t="s">
        <v>1993</v>
      </c>
      <c r="C175" s="81" t="s">
        <v>583</v>
      </c>
      <c r="D175" s="81" t="s">
        <v>445</v>
      </c>
      <c r="E175" s="82">
        <v>44.0</v>
      </c>
      <c r="F175" s="81" t="s">
        <v>586</v>
      </c>
      <c r="G175" s="83" t="s">
        <v>142</v>
      </c>
      <c r="H175" s="83" t="s">
        <v>143</v>
      </c>
      <c r="I175" s="20" t="str">
        <f t="shared" si="2"/>
        <v>Datos AbiertosDefinicionesAvanzado</v>
      </c>
      <c r="J175" s="3">
        <v>162.0</v>
      </c>
      <c r="K175" s="79">
        <v>122.0</v>
      </c>
      <c r="L175" s="80" t="s">
        <v>587</v>
      </c>
      <c r="M175" s="81" t="s">
        <v>583</v>
      </c>
      <c r="N175" s="81" t="s">
        <v>445</v>
      </c>
      <c r="O175" s="81" t="s">
        <v>143</v>
      </c>
      <c r="P175" s="81" t="s">
        <v>588</v>
      </c>
      <c r="Q175" s="73">
        <f t="shared" ref="Q175:Q177" si="35">VLOOKUP(L175,$I$13:$J$207,2,0)</f>
        <v>162</v>
      </c>
      <c r="R175" s="3"/>
      <c r="S175" s="3"/>
      <c r="T175" s="3"/>
      <c r="U175" s="3"/>
      <c r="V175" s="3"/>
      <c r="W175" s="3"/>
      <c r="X175" s="3"/>
      <c r="Y175" s="3"/>
      <c r="Z175" s="3"/>
      <c r="AA175" s="3"/>
    </row>
    <row r="176">
      <c r="A176" s="77" t="s">
        <v>127</v>
      </c>
      <c r="B176" s="80" t="s">
        <v>1994</v>
      </c>
      <c r="C176" s="81" t="s">
        <v>583</v>
      </c>
      <c r="D176" s="81" t="s">
        <v>445</v>
      </c>
      <c r="E176" s="82">
        <v>45.0</v>
      </c>
      <c r="F176" s="81" t="s">
        <v>589</v>
      </c>
      <c r="G176" s="83" t="s">
        <v>134</v>
      </c>
      <c r="H176" s="83" t="s">
        <v>135</v>
      </c>
      <c r="I176" s="20" t="str">
        <f t="shared" si="2"/>
        <v>Datos AbiertosDefinicionesInsuficiente</v>
      </c>
      <c r="J176" s="3">
        <v>163.0</v>
      </c>
      <c r="K176" s="79">
        <v>38.0</v>
      </c>
      <c r="L176" s="80" t="s">
        <v>590</v>
      </c>
      <c r="M176" s="81" t="s">
        <v>583</v>
      </c>
      <c r="N176" s="81" t="s">
        <v>445</v>
      </c>
      <c r="O176" s="81" t="s">
        <v>137</v>
      </c>
      <c r="P176" s="81" t="s">
        <v>588</v>
      </c>
      <c r="Q176" s="73">
        <f t="shared" si="35"/>
        <v>164</v>
      </c>
      <c r="R176" s="3"/>
      <c r="S176" s="3"/>
      <c r="T176" s="3"/>
      <c r="U176" s="3"/>
      <c r="V176" s="3"/>
      <c r="W176" s="3"/>
      <c r="X176" s="3"/>
      <c r="Y176" s="3"/>
      <c r="Z176" s="3"/>
      <c r="AA176" s="3"/>
    </row>
    <row r="177">
      <c r="A177" s="77" t="s">
        <v>127</v>
      </c>
      <c r="B177" s="80" t="s">
        <v>1995</v>
      </c>
      <c r="C177" s="81" t="s">
        <v>583</v>
      </c>
      <c r="D177" s="81" t="s">
        <v>445</v>
      </c>
      <c r="E177" s="82">
        <v>45.0</v>
      </c>
      <c r="F177" s="81" t="s">
        <v>589</v>
      </c>
      <c r="G177" s="83" t="s">
        <v>591</v>
      </c>
      <c r="H177" s="83" t="s">
        <v>137</v>
      </c>
      <c r="I177" s="20" t="str">
        <f t="shared" si="2"/>
        <v>Datos AbiertosDefinicionesBásico</v>
      </c>
      <c r="J177" s="3">
        <v>164.0</v>
      </c>
      <c r="K177" s="79">
        <v>80.0</v>
      </c>
      <c r="L177" s="80" t="s">
        <v>592</v>
      </c>
      <c r="M177" s="81" t="s">
        <v>583</v>
      </c>
      <c r="N177" s="81" t="s">
        <v>445</v>
      </c>
      <c r="O177" s="81" t="s">
        <v>140</v>
      </c>
      <c r="P177" s="81" t="s">
        <v>588</v>
      </c>
      <c r="Q177" s="73">
        <f t="shared" si="35"/>
        <v>165</v>
      </c>
      <c r="R177" s="3"/>
      <c r="S177" s="3"/>
      <c r="T177" s="3"/>
      <c r="U177" s="3"/>
      <c r="V177" s="3"/>
      <c r="W177" s="3"/>
      <c r="X177" s="3"/>
      <c r="Y177" s="3"/>
      <c r="Z177" s="3"/>
      <c r="AA177" s="3"/>
    </row>
    <row r="178">
      <c r="A178" s="77" t="s">
        <v>127</v>
      </c>
      <c r="B178" s="80" t="s">
        <v>1996</v>
      </c>
      <c r="C178" s="81" t="s">
        <v>583</v>
      </c>
      <c r="D178" s="81" t="s">
        <v>445</v>
      </c>
      <c r="E178" s="82">
        <v>45.0</v>
      </c>
      <c r="F178" s="81" t="s">
        <v>589</v>
      </c>
      <c r="G178" s="83" t="s">
        <v>593</v>
      </c>
      <c r="H178" s="83" t="s">
        <v>140</v>
      </c>
      <c r="I178" s="20" t="str">
        <f t="shared" si="2"/>
        <v>Datos AbiertosDefinicionesMedio</v>
      </c>
      <c r="J178" s="3">
        <v>165.0</v>
      </c>
      <c r="R178" s="3"/>
      <c r="S178" s="3"/>
      <c r="T178" s="3"/>
      <c r="U178" s="3"/>
      <c r="V178" s="3"/>
      <c r="W178" s="3"/>
      <c r="X178" s="3"/>
      <c r="Y178" s="3"/>
      <c r="Z178" s="3"/>
      <c r="AA178" s="3"/>
    </row>
    <row r="179">
      <c r="A179" s="77" t="s">
        <v>127</v>
      </c>
      <c r="B179" s="80" t="s">
        <v>1997</v>
      </c>
      <c r="C179" s="81" t="s">
        <v>583</v>
      </c>
      <c r="D179" s="81" t="s">
        <v>445</v>
      </c>
      <c r="E179" s="82">
        <v>45.0</v>
      </c>
      <c r="F179" s="81" t="s">
        <v>589</v>
      </c>
      <c r="G179" s="83" t="s">
        <v>594</v>
      </c>
      <c r="H179" s="83" t="s">
        <v>143</v>
      </c>
      <c r="I179" s="20" t="str">
        <f t="shared" si="2"/>
        <v>Datos AbiertosDefinicionesAvanzado</v>
      </c>
      <c r="J179" s="3">
        <v>166.0</v>
      </c>
      <c r="R179" s="3"/>
      <c r="S179" s="3"/>
      <c r="T179" s="3"/>
      <c r="U179" s="3"/>
      <c r="V179" s="3"/>
      <c r="W179" s="3"/>
      <c r="X179" s="3"/>
      <c r="Y179" s="3"/>
      <c r="Z179" s="3"/>
      <c r="AA179" s="3"/>
    </row>
    <row r="180">
      <c r="A180" s="77" t="s">
        <v>127</v>
      </c>
      <c r="B180" s="80" t="s">
        <v>1998</v>
      </c>
      <c r="C180" s="81" t="s">
        <v>583</v>
      </c>
      <c r="D180" s="81" t="s">
        <v>596</v>
      </c>
      <c r="E180" s="82">
        <v>46.0</v>
      </c>
      <c r="F180" s="81" t="s">
        <v>597</v>
      </c>
      <c r="G180" s="83" t="s">
        <v>134</v>
      </c>
      <c r="H180" s="83" t="s">
        <v>135</v>
      </c>
      <c r="I180" s="20" t="str">
        <f t="shared" si="2"/>
        <v>Datos AbiertosPublicaciónInsuficiente</v>
      </c>
      <c r="J180" s="3">
        <v>167.0</v>
      </c>
      <c r="R180" s="3"/>
      <c r="S180" s="3"/>
      <c r="T180" s="3"/>
      <c r="U180" s="3"/>
      <c r="V180" s="3"/>
      <c r="W180" s="3"/>
      <c r="X180" s="3"/>
      <c r="Y180" s="3"/>
      <c r="Z180" s="3"/>
      <c r="AA180" s="3"/>
    </row>
    <row r="181">
      <c r="A181" s="77" t="s">
        <v>127</v>
      </c>
      <c r="B181" s="80" t="s">
        <v>1999</v>
      </c>
      <c r="C181" s="81" t="s">
        <v>583</v>
      </c>
      <c r="D181" s="81" t="s">
        <v>596</v>
      </c>
      <c r="E181" s="82">
        <v>46.0</v>
      </c>
      <c r="F181" s="81" t="s">
        <v>597</v>
      </c>
      <c r="G181" s="83" t="s">
        <v>598</v>
      </c>
      <c r="H181" s="83" t="s">
        <v>137</v>
      </c>
      <c r="I181" s="20" t="str">
        <f t="shared" si="2"/>
        <v>Datos AbiertosPublicaciónBásico</v>
      </c>
      <c r="J181" s="3">
        <v>168.0</v>
      </c>
      <c r="K181" s="79">
        <v>39.0</v>
      </c>
      <c r="L181" s="80" t="s">
        <v>599</v>
      </c>
      <c r="M181" s="81" t="s">
        <v>583</v>
      </c>
      <c r="N181" s="81" t="s">
        <v>596</v>
      </c>
      <c r="O181" s="81" t="s">
        <v>137</v>
      </c>
      <c r="P181" s="81" t="s">
        <v>600</v>
      </c>
      <c r="Q181" s="73">
        <f t="shared" ref="Q181:Q183" si="36">VLOOKUP(L181,$I$13:$J$207,2,0)</f>
        <v>168</v>
      </c>
      <c r="R181" s="3"/>
      <c r="S181" s="3"/>
      <c r="T181" s="3"/>
      <c r="U181" s="3"/>
      <c r="V181" s="3"/>
      <c r="W181" s="3"/>
      <c r="X181" s="3"/>
      <c r="Y181" s="3"/>
      <c r="Z181" s="3"/>
      <c r="AA181" s="3"/>
    </row>
    <row r="182">
      <c r="A182" s="77" t="s">
        <v>127</v>
      </c>
      <c r="B182" s="80" t="s">
        <v>2000</v>
      </c>
      <c r="C182" s="81" t="s">
        <v>583</v>
      </c>
      <c r="D182" s="81" t="s">
        <v>596</v>
      </c>
      <c r="E182" s="82">
        <v>46.0</v>
      </c>
      <c r="F182" s="81" t="s">
        <v>597</v>
      </c>
      <c r="G182" s="83" t="s">
        <v>601</v>
      </c>
      <c r="H182" s="83" t="s">
        <v>140</v>
      </c>
      <c r="I182" s="20" t="str">
        <f t="shared" si="2"/>
        <v>Datos AbiertosPublicaciónMedio</v>
      </c>
      <c r="J182" s="3">
        <v>169.0</v>
      </c>
      <c r="K182" s="79">
        <v>81.0</v>
      </c>
      <c r="L182" s="80" t="s">
        <v>602</v>
      </c>
      <c r="M182" s="81" t="s">
        <v>583</v>
      </c>
      <c r="N182" s="81" t="s">
        <v>596</v>
      </c>
      <c r="O182" s="81" t="s">
        <v>140</v>
      </c>
      <c r="P182" s="81" t="s">
        <v>603</v>
      </c>
      <c r="Q182" s="73">
        <f t="shared" si="36"/>
        <v>169</v>
      </c>
      <c r="R182" s="3"/>
      <c r="S182" s="3"/>
      <c r="T182" s="3"/>
      <c r="U182" s="3"/>
      <c r="V182" s="3"/>
      <c r="W182" s="3"/>
      <c r="X182" s="3"/>
      <c r="Y182" s="3"/>
      <c r="Z182" s="3"/>
      <c r="AA182" s="3"/>
    </row>
    <row r="183">
      <c r="A183" s="77" t="s">
        <v>127</v>
      </c>
      <c r="B183" s="80" t="s">
        <v>2001</v>
      </c>
      <c r="C183" s="81" t="s">
        <v>583</v>
      </c>
      <c r="D183" s="81" t="s">
        <v>596</v>
      </c>
      <c r="E183" s="82">
        <v>46.0</v>
      </c>
      <c r="F183" s="81" t="s">
        <v>597</v>
      </c>
      <c r="G183" s="83" t="s">
        <v>604</v>
      </c>
      <c r="H183" s="83" t="s">
        <v>143</v>
      </c>
      <c r="I183" s="20" t="str">
        <f t="shared" si="2"/>
        <v>Datos AbiertosPublicaciónAvanzado</v>
      </c>
      <c r="J183" s="3">
        <v>170.0</v>
      </c>
      <c r="K183" s="79">
        <v>123.0</v>
      </c>
      <c r="L183" s="80" t="s">
        <v>605</v>
      </c>
      <c r="M183" s="81" t="s">
        <v>583</v>
      </c>
      <c r="N183" s="81" t="s">
        <v>596</v>
      </c>
      <c r="O183" s="81" t="s">
        <v>143</v>
      </c>
      <c r="P183" s="81" t="s">
        <v>606</v>
      </c>
      <c r="Q183" s="73">
        <f t="shared" si="36"/>
        <v>170</v>
      </c>
      <c r="R183" s="3"/>
      <c r="S183" s="3"/>
      <c r="T183" s="3"/>
      <c r="U183" s="3"/>
      <c r="V183" s="3"/>
      <c r="W183" s="3"/>
      <c r="X183" s="3"/>
      <c r="Y183" s="3"/>
      <c r="Z183" s="3"/>
      <c r="AA183" s="3"/>
    </row>
    <row r="184">
      <c r="A184" s="77" t="s">
        <v>127</v>
      </c>
      <c r="B184" s="80" t="s">
        <v>2002</v>
      </c>
      <c r="C184" s="81" t="s">
        <v>583</v>
      </c>
      <c r="D184" s="81" t="s">
        <v>596</v>
      </c>
      <c r="E184" s="82">
        <v>47.0</v>
      </c>
      <c r="F184" s="81" t="s">
        <v>607</v>
      </c>
      <c r="G184" s="83" t="s">
        <v>608</v>
      </c>
      <c r="H184" s="83" t="s">
        <v>135</v>
      </c>
      <c r="I184" s="20" t="str">
        <f t="shared" si="2"/>
        <v>Datos AbiertosPublicaciónInsuficiente</v>
      </c>
      <c r="J184" s="3">
        <v>171.0</v>
      </c>
      <c r="R184" s="3"/>
      <c r="S184" s="3"/>
      <c r="T184" s="3"/>
      <c r="U184" s="3"/>
      <c r="V184" s="3"/>
      <c r="W184" s="3"/>
      <c r="X184" s="3"/>
      <c r="Y184" s="3"/>
      <c r="Z184" s="3"/>
      <c r="AA184" s="3"/>
    </row>
    <row r="185">
      <c r="A185" s="77" t="s">
        <v>127</v>
      </c>
      <c r="B185" s="80" t="s">
        <v>2003</v>
      </c>
      <c r="C185" s="81" t="s">
        <v>583</v>
      </c>
      <c r="D185" s="81" t="s">
        <v>596</v>
      </c>
      <c r="E185" s="82">
        <v>47.0</v>
      </c>
      <c r="F185" s="81" t="s">
        <v>607</v>
      </c>
      <c r="G185" s="83" t="s">
        <v>609</v>
      </c>
      <c r="H185" s="83" t="s">
        <v>137</v>
      </c>
      <c r="I185" s="20" t="str">
        <f t="shared" si="2"/>
        <v>Datos AbiertosPublicaciónBásico</v>
      </c>
      <c r="J185" s="3">
        <v>172.0</v>
      </c>
      <c r="K185" s="79">
        <v>40.0</v>
      </c>
      <c r="L185" s="80" t="s">
        <v>610</v>
      </c>
      <c r="M185" s="81" t="s">
        <v>583</v>
      </c>
      <c r="N185" s="81" t="s">
        <v>628</v>
      </c>
      <c r="O185" s="81" t="s">
        <v>137</v>
      </c>
      <c r="P185" s="81" t="s">
        <v>611</v>
      </c>
      <c r="Q185" s="73">
        <f t="shared" ref="Q185:Q187" si="37">VLOOKUP(L185,$I$13:$J$207,2,0)</f>
        <v>184</v>
      </c>
      <c r="R185" s="3"/>
      <c r="S185" s="3"/>
      <c r="T185" s="3"/>
      <c r="U185" s="3"/>
      <c r="V185" s="3"/>
      <c r="W185" s="3"/>
      <c r="X185" s="3"/>
      <c r="Y185" s="3"/>
      <c r="Z185" s="3"/>
      <c r="AA185" s="3"/>
    </row>
    <row r="186">
      <c r="A186" s="77" t="s">
        <v>127</v>
      </c>
      <c r="B186" s="80" t="s">
        <v>2004</v>
      </c>
      <c r="C186" s="81" t="s">
        <v>583</v>
      </c>
      <c r="D186" s="81" t="s">
        <v>596</v>
      </c>
      <c r="E186" s="82">
        <v>47.0</v>
      </c>
      <c r="F186" s="81" t="s">
        <v>607</v>
      </c>
      <c r="G186" s="83" t="s">
        <v>612</v>
      </c>
      <c r="H186" s="83" t="s">
        <v>140</v>
      </c>
      <c r="I186" s="20" t="str">
        <f t="shared" si="2"/>
        <v>Datos AbiertosPublicaciónMedio</v>
      </c>
      <c r="J186" s="3">
        <v>173.0</v>
      </c>
      <c r="K186" s="79">
        <v>82.0</v>
      </c>
      <c r="L186" s="80" t="s">
        <v>613</v>
      </c>
      <c r="M186" s="81" t="s">
        <v>583</v>
      </c>
      <c r="N186" s="81" t="s">
        <v>628</v>
      </c>
      <c r="O186" s="81" t="s">
        <v>140</v>
      </c>
      <c r="P186" s="81" t="s">
        <v>614</v>
      </c>
      <c r="Q186" s="73">
        <f t="shared" si="37"/>
        <v>185</v>
      </c>
      <c r="R186" s="3"/>
      <c r="S186" s="3"/>
      <c r="T186" s="3"/>
      <c r="U186" s="3"/>
      <c r="V186" s="3"/>
      <c r="W186" s="3"/>
      <c r="X186" s="3"/>
      <c r="Y186" s="3"/>
      <c r="Z186" s="3"/>
      <c r="AA186" s="3"/>
    </row>
    <row r="187">
      <c r="A187" s="77" t="s">
        <v>127</v>
      </c>
      <c r="B187" s="80" t="s">
        <v>2005</v>
      </c>
      <c r="C187" s="81" t="s">
        <v>583</v>
      </c>
      <c r="D187" s="81" t="s">
        <v>596</v>
      </c>
      <c r="E187" s="82">
        <v>47.0</v>
      </c>
      <c r="F187" s="81" t="s">
        <v>607</v>
      </c>
      <c r="G187" s="83" t="s">
        <v>615</v>
      </c>
      <c r="H187" s="83" t="s">
        <v>143</v>
      </c>
      <c r="I187" s="20" t="str">
        <f t="shared" si="2"/>
        <v>Datos AbiertosPublicaciónAvanzado</v>
      </c>
      <c r="J187" s="3">
        <v>174.0</v>
      </c>
      <c r="K187" s="79">
        <v>124.0</v>
      </c>
      <c r="L187" s="80" t="s">
        <v>616</v>
      </c>
      <c r="M187" s="81" t="s">
        <v>583</v>
      </c>
      <c r="N187" s="81" t="s">
        <v>628</v>
      </c>
      <c r="O187" s="81" t="s">
        <v>143</v>
      </c>
      <c r="P187" s="81" t="s">
        <v>617</v>
      </c>
      <c r="Q187" s="73">
        <f t="shared" si="37"/>
        <v>186</v>
      </c>
      <c r="R187" s="3"/>
      <c r="S187" s="3"/>
      <c r="T187" s="3"/>
      <c r="U187" s="3"/>
      <c r="V187" s="3"/>
      <c r="W187" s="3"/>
      <c r="X187" s="3"/>
      <c r="Y187" s="3"/>
      <c r="Z187" s="3"/>
      <c r="AA187" s="3"/>
    </row>
    <row r="188">
      <c r="A188" s="77" t="s">
        <v>127</v>
      </c>
      <c r="B188" s="80" t="s">
        <v>2006</v>
      </c>
      <c r="C188" s="81" t="s">
        <v>583</v>
      </c>
      <c r="D188" s="81" t="s">
        <v>596</v>
      </c>
      <c r="E188" s="82">
        <v>48.0</v>
      </c>
      <c r="F188" s="81" t="s">
        <v>618</v>
      </c>
      <c r="G188" s="83" t="s">
        <v>619</v>
      </c>
      <c r="H188" s="83" t="s">
        <v>135</v>
      </c>
      <c r="I188" s="20" t="str">
        <f t="shared" si="2"/>
        <v>Datos AbiertosPublicaciónInsuficiente</v>
      </c>
      <c r="J188" s="3">
        <v>175.0</v>
      </c>
      <c r="R188" s="3"/>
      <c r="S188" s="3"/>
      <c r="T188" s="3"/>
      <c r="U188" s="3"/>
      <c r="V188" s="3"/>
      <c r="W188" s="3"/>
      <c r="X188" s="3"/>
      <c r="Y188" s="3"/>
      <c r="Z188" s="3"/>
      <c r="AA188" s="3"/>
    </row>
    <row r="189">
      <c r="A189" s="77" t="s">
        <v>127</v>
      </c>
      <c r="B189" s="80" t="s">
        <v>2007</v>
      </c>
      <c r="C189" s="81" t="s">
        <v>583</v>
      </c>
      <c r="D189" s="81" t="s">
        <v>596</v>
      </c>
      <c r="E189" s="82">
        <v>48.0</v>
      </c>
      <c r="F189" s="81" t="s">
        <v>618</v>
      </c>
      <c r="G189" s="83" t="s">
        <v>620</v>
      </c>
      <c r="H189" s="83" t="s">
        <v>137</v>
      </c>
      <c r="I189" s="20" t="str">
        <f t="shared" si="2"/>
        <v>Datos AbiertosPublicaciónBásico</v>
      </c>
      <c r="J189" s="3">
        <v>176.0</v>
      </c>
      <c r="R189" s="3"/>
      <c r="S189" s="3"/>
      <c r="T189" s="3"/>
      <c r="U189" s="3"/>
      <c r="V189" s="3"/>
      <c r="W189" s="3"/>
      <c r="X189" s="3"/>
      <c r="Y189" s="3"/>
      <c r="Z189" s="3"/>
      <c r="AA189" s="3"/>
    </row>
    <row r="190">
      <c r="A190" s="77" t="s">
        <v>127</v>
      </c>
      <c r="B190" s="80" t="s">
        <v>2008</v>
      </c>
      <c r="C190" s="81" t="s">
        <v>583</v>
      </c>
      <c r="D190" s="81" t="s">
        <v>596</v>
      </c>
      <c r="E190" s="82">
        <v>48.0</v>
      </c>
      <c r="F190" s="81" t="s">
        <v>618</v>
      </c>
      <c r="G190" s="83" t="s">
        <v>621</v>
      </c>
      <c r="H190" s="83" t="s">
        <v>140</v>
      </c>
      <c r="I190" s="20" t="str">
        <f t="shared" si="2"/>
        <v>Datos AbiertosPublicaciónMedio</v>
      </c>
      <c r="J190" s="3">
        <v>177.0</v>
      </c>
      <c r="R190" s="3"/>
      <c r="S190" s="3"/>
      <c r="T190" s="3"/>
      <c r="U190" s="3"/>
      <c r="V190" s="3"/>
      <c r="W190" s="3"/>
      <c r="X190" s="3"/>
      <c r="Y190" s="3"/>
      <c r="Z190" s="3"/>
      <c r="AA190" s="3"/>
    </row>
    <row r="191">
      <c r="A191" s="77" t="s">
        <v>127</v>
      </c>
      <c r="B191" s="80" t="s">
        <v>2009</v>
      </c>
      <c r="C191" s="81" t="s">
        <v>583</v>
      </c>
      <c r="D191" s="81" t="s">
        <v>596</v>
      </c>
      <c r="E191" s="82">
        <v>48.0</v>
      </c>
      <c r="F191" s="81" t="s">
        <v>618</v>
      </c>
      <c r="G191" s="83" t="s">
        <v>622</v>
      </c>
      <c r="H191" s="83" t="s">
        <v>143</v>
      </c>
      <c r="I191" s="20" t="str">
        <f t="shared" si="2"/>
        <v>Datos AbiertosPublicaciónAvanzado</v>
      </c>
      <c r="J191" s="3">
        <v>178.0</v>
      </c>
      <c r="R191" s="3"/>
      <c r="S191" s="3"/>
      <c r="T191" s="3"/>
      <c r="U191" s="3"/>
      <c r="V191" s="3"/>
      <c r="W191" s="3"/>
      <c r="X191" s="3"/>
      <c r="Y191" s="3"/>
      <c r="Z191" s="3"/>
      <c r="AA191" s="3"/>
    </row>
    <row r="192">
      <c r="A192" s="77" t="s">
        <v>127</v>
      </c>
      <c r="B192" s="80" t="s">
        <v>2010</v>
      </c>
      <c r="C192" s="81" t="s">
        <v>583</v>
      </c>
      <c r="D192" s="81" t="s">
        <v>596</v>
      </c>
      <c r="E192" s="82">
        <v>49.0</v>
      </c>
      <c r="F192" s="81" t="s">
        <v>623</v>
      </c>
      <c r="G192" s="83" t="s">
        <v>134</v>
      </c>
      <c r="H192" s="83" t="s">
        <v>135</v>
      </c>
      <c r="I192" s="20" t="str">
        <f t="shared" si="2"/>
        <v>Datos AbiertosPublicaciónInsuficiente</v>
      </c>
      <c r="J192" s="3">
        <v>179.0</v>
      </c>
      <c r="R192" s="3"/>
      <c r="S192" s="3"/>
      <c r="T192" s="3"/>
      <c r="U192" s="3"/>
      <c r="V192" s="3"/>
      <c r="W192" s="3"/>
      <c r="X192" s="3"/>
      <c r="Y192" s="3"/>
      <c r="Z192" s="3"/>
      <c r="AA192" s="3"/>
    </row>
    <row r="193">
      <c r="A193" s="77" t="s">
        <v>127</v>
      </c>
      <c r="B193" s="80" t="s">
        <v>2011</v>
      </c>
      <c r="C193" s="81" t="s">
        <v>583</v>
      </c>
      <c r="D193" s="81" t="s">
        <v>596</v>
      </c>
      <c r="E193" s="82">
        <v>49.0</v>
      </c>
      <c r="F193" s="81" t="s">
        <v>623</v>
      </c>
      <c r="G193" s="83" t="s">
        <v>624</v>
      </c>
      <c r="H193" s="83" t="s">
        <v>137</v>
      </c>
      <c r="I193" s="20" t="str">
        <f t="shared" si="2"/>
        <v>Datos AbiertosPublicaciónBásico</v>
      </c>
      <c r="J193" s="3">
        <v>180.0</v>
      </c>
      <c r="R193" s="3"/>
      <c r="S193" s="3"/>
      <c r="T193" s="3"/>
      <c r="U193" s="3"/>
      <c r="V193" s="3"/>
      <c r="W193" s="3"/>
      <c r="X193" s="3"/>
      <c r="Y193" s="3"/>
      <c r="Z193" s="3"/>
      <c r="AA193" s="3"/>
    </row>
    <row r="194">
      <c r="A194" s="77" t="s">
        <v>127</v>
      </c>
      <c r="B194" s="80" t="s">
        <v>2012</v>
      </c>
      <c r="C194" s="81" t="s">
        <v>583</v>
      </c>
      <c r="D194" s="81" t="s">
        <v>596</v>
      </c>
      <c r="E194" s="82">
        <v>49.0</v>
      </c>
      <c r="F194" s="81" t="s">
        <v>623</v>
      </c>
      <c r="G194" s="83" t="s">
        <v>625</v>
      </c>
      <c r="H194" s="83" t="s">
        <v>140</v>
      </c>
      <c r="I194" s="20" t="str">
        <f t="shared" si="2"/>
        <v>Datos AbiertosPublicaciónMedio</v>
      </c>
      <c r="J194" s="3">
        <v>181.0</v>
      </c>
      <c r="K194" s="85"/>
      <c r="L194" s="3"/>
      <c r="M194" s="3"/>
      <c r="N194" s="3"/>
      <c r="O194" s="3"/>
      <c r="P194" s="3"/>
      <c r="Q194" s="73"/>
      <c r="R194" s="3"/>
      <c r="S194" s="3"/>
      <c r="T194" s="3"/>
      <c r="U194" s="3"/>
      <c r="V194" s="3"/>
      <c r="W194" s="3"/>
      <c r="X194" s="3"/>
      <c r="Y194" s="3"/>
      <c r="Z194" s="3"/>
      <c r="AA194" s="3"/>
    </row>
    <row r="195">
      <c r="A195" s="77" t="s">
        <v>127</v>
      </c>
      <c r="B195" s="80" t="s">
        <v>2013</v>
      </c>
      <c r="C195" s="81" t="s">
        <v>583</v>
      </c>
      <c r="D195" s="81" t="s">
        <v>596</v>
      </c>
      <c r="E195" s="82">
        <v>49.0</v>
      </c>
      <c r="F195" s="81" t="s">
        <v>623</v>
      </c>
      <c r="G195" s="83" t="s">
        <v>626</v>
      </c>
      <c r="H195" s="83" t="s">
        <v>143</v>
      </c>
      <c r="I195" s="20" t="str">
        <f t="shared" si="2"/>
        <v>Datos AbiertosPublicaciónAvanzado</v>
      </c>
      <c r="J195" s="3">
        <v>182.0</v>
      </c>
      <c r="K195" s="85"/>
      <c r="L195" s="3"/>
      <c r="M195" s="3"/>
      <c r="N195" s="3"/>
      <c r="O195" s="3"/>
      <c r="P195" s="3"/>
      <c r="Q195" s="73"/>
      <c r="R195" s="3"/>
      <c r="S195" s="3"/>
      <c r="T195" s="3"/>
      <c r="U195" s="3"/>
      <c r="V195" s="3"/>
      <c r="W195" s="3"/>
      <c r="X195" s="3"/>
      <c r="Y195" s="3"/>
      <c r="Z195" s="3"/>
      <c r="AA195" s="3"/>
    </row>
    <row r="196">
      <c r="A196" s="77" t="s">
        <v>127</v>
      </c>
      <c r="B196" s="80" t="s">
        <v>2014</v>
      </c>
      <c r="C196" s="81" t="s">
        <v>583</v>
      </c>
      <c r="D196" s="81" t="s">
        <v>628</v>
      </c>
      <c r="E196" s="82">
        <v>50.0</v>
      </c>
      <c r="F196" s="81" t="s">
        <v>629</v>
      </c>
      <c r="G196" s="83" t="s">
        <v>630</v>
      </c>
      <c r="H196" s="83" t="s">
        <v>135</v>
      </c>
      <c r="I196" s="20" t="str">
        <f t="shared" si="2"/>
        <v>Datos AbiertosMecanismos de acceso, formato, documentación y condiciones de usoInsuficiente</v>
      </c>
      <c r="J196" s="3">
        <v>183.0</v>
      </c>
      <c r="K196" s="85"/>
      <c r="L196" s="3"/>
      <c r="M196" s="3"/>
      <c r="N196" s="3"/>
      <c r="O196" s="3"/>
      <c r="P196" s="3"/>
      <c r="Q196" s="73"/>
      <c r="R196" s="3"/>
      <c r="S196" s="3"/>
      <c r="T196" s="3"/>
      <c r="U196" s="3"/>
      <c r="V196" s="3"/>
      <c r="W196" s="3"/>
      <c r="X196" s="3"/>
      <c r="Y196" s="3"/>
      <c r="Z196" s="3"/>
      <c r="AA196" s="3"/>
    </row>
    <row r="197">
      <c r="A197" s="77" t="s">
        <v>127</v>
      </c>
      <c r="B197" s="80" t="s">
        <v>2015</v>
      </c>
      <c r="C197" s="81" t="s">
        <v>583</v>
      </c>
      <c r="D197" s="81" t="s">
        <v>628</v>
      </c>
      <c r="E197" s="82">
        <v>50.0</v>
      </c>
      <c r="F197" s="81" t="s">
        <v>629</v>
      </c>
      <c r="G197" s="83" t="s">
        <v>631</v>
      </c>
      <c r="H197" s="83" t="s">
        <v>137</v>
      </c>
      <c r="I197" s="20" t="str">
        <f t="shared" si="2"/>
        <v>Datos AbiertosMecanismos de acceso, formato, documentación y condiciones de usoBásico</v>
      </c>
      <c r="J197" s="3">
        <v>184.0</v>
      </c>
      <c r="K197" s="85"/>
      <c r="L197" s="3"/>
      <c r="M197" s="3"/>
      <c r="N197" s="3"/>
      <c r="O197" s="3"/>
      <c r="P197" s="3"/>
      <c r="Q197" s="73"/>
      <c r="R197" s="3"/>
      <c r="S197" s="3"/>
      <c r="T197" s="3"/>
      <c r="U197" s="3"/>
      <c r="V197" s="3"/>
      <c r="W197" s="3"/>
      <c r="X197" s="3"/>
      <c r="Y197" s="3"/>
      <c r="Z197" s="3"/>
      <c r="AA197" s="3"/>
    </row>
    <row r="198">
      <c r="A198" s="77" t="s">
        <v>127</v>
      </c>
      <c r="B198" s="80" t="s">
        <v>2016</v>
      </c>
      <c r="C198" s="81" t="s">
        <v>583</v>
      </c>
      <c r="D198" s="81" t="s">
        <v>628</v>
      </c>
      <c r="E198" s="82">
        <v>50.0</v>
      </c>
      <c r="F198" s="81" t="s">
        <v>629</v>
      </c>
      <c r="G198" s="83" t="s">
        <v>632</v>
      </c>
      <c r="H198" s="83" t="s">
        <v>140</v>
      </c>
      <c r="I198" s="20" t="str">
        <f t="shared" si="2"/>
        <v>Datos AbiertosMecanismos de acceso, formato, documentación y condiciones de usoMedio</v>
      </c>
      <c r="J198" s="3">
        <v>185.0</v>
      </c>
      <c r="K198" s="85"/>
      <c r="L198" s="3"/>
      <c r="M198" s="3"/>
      <c r="N198" s="3"/>
      <c r="O198" s="3"/>
      <c r="P198" s="3"/>
      <c r="Q198" s="73"/>
      <c r="R198" s="3"/>
      <c r="S198" s="3"/>
      <c r="T198" s="3"/>
      <c r="U198" s="3"/>
      <c r="V198" s="3"/>
      <c r="W198" s="3"/>
      <c r="X198" s="3"/>
      <c r="Y198" s="3"/>
      <c r="Z198" s="3"/>
      <c r="AA198" s="3"/>
    </row>
    <row r="199">
      <c r="A199" s="77" t="s">
        <v>127</v>
      </c>
      <c r="B199" s="80" t="s">
        <v>2017</v>
      </c>
      <c r="C199" s="81" t="s">
        <v>583</v>
      </c>
      <c r="D199" s="81" t="s">
        <v>628</v>
      </c>
      <c r="E199" s="82">
        <v>50.0</v>
      </c>
      <c r="F199" s="81" t="s">
        <v>629</v>
      </c>
      <c r="G199" s="83" t="s">
        <v>633</v>
      </c>
      <c r="H199" s="83" t="s">
        <v>143</v>
      </c>
      <c r="I199" s="20" t="str">
        <f t="shared" si="2"/>
        <v>Datos AbiertosMecanismos de acceso, formato, documentación y condiciones de usoAvanzado</v>
      </c>
      <c r="J199" s="3">
        <v>186.0</v>
      </c>
      <c r="K199" s="85"/>
      <c r="L199" s="3"/>
      <c r="M199" s="3"/>
      <c r="N199" s="3"/>
      <c r="O199" s="3"/>
      <c r="P199" s="3"/>
      <c r="Q199" s="73"/>
      <c r="R199" s="3"/>
      <c r="S199" s="3"/>
      <c r="T199" s="3"/>
      <c r="U199" s="3"/>
      <c r="V199" s="3"/>
      <c r="W199" s="3"/>
      <c r="X199" s="3"/>
      <c r="Y199" s="3"/>
      <c r="Z199" s="3"/>
      <c r="AA199" s="3"/>
    </row>
    <row r="200">
      <c r="A200" s="77" t="s">
        <v>127</v>
      </c>
      <c r="B200" s="80" t="s">
        <v>2018</v>
      </c>
      <c r="C200" s="81" t="s">
        <v>634</v>
      </c>
      <c r="D200" s="81" t="s">
        <v>637</v>
      </c>
      <c r="E200" s="82">
        <v>51.0</v>
      </c>
      <c r="F200" s="81" t="s">
        <v>638</v>
      </c>
      <c r="G200" s="83" t="s">
        <v>134</v>
      </c>
      <c r="H200" s="83" t="s">
        <v>135</v>
      </c>
      <c r="I200" s="20" t="str">
        <f t="shared" si="2"/>
        <v>Aspectos Legales y NormativosParticipación del área jurídicaInsuficiente</v>
      </c>
      <c r="J200" s="3">
        <v>187.0</v>
      </c>
      <c r="K200" s="85"/>
      <c r="L200" s="3"/>
      <c r="M200" s="3"/>
      <c r="N200" s="3"/>
      <c r="O200" s="3"/>
      <c r="P200" s="3"/>
      <c r="Q200" s="73"/>
      <c r="R200" s="3"/>
      <c r="S200" s="3"/>
      <c r="T200" s="3"/>
      <c r="U200" s="3"/>
      <c r="V200" s="3"/>
      <c r="W200" s="3"/>
      <c r="X200" s="3"/>
      <c r="Y200" s="3"/>
      <c r="Z200" s="3"/>
      <c r="AA200" s="3"/>
    </row>
    <row r="201">
      <c r="A201" s="77" t="s">
        <v>127</v>
      </c>
      <c r="B201" s="80" t="s">
        <v>2019</v>
      </c>
      <c r="C201" s="81" t="s">
        <v>634</v>
      </c>
      <c r="D201" s="81" t="s">
        <v>637</v>
      </c>
      <c r="E201" s="82">
        <v>51.0</v>
      </c>
      <c r="F201" s="81" t="s">
        <v>638</v>
      </c>
      <c r="G201" s="83" t="s">
        <v>639</v>
      </c>
      <c r="H201" s="83" t="s">
        <v>137</v>
      </c>
      <c r="I201" s="20" t="str">
        <f t="shared" si="2"/>
        <v>Aspectos Legales y NormativosParticipación del área jurídicaBásico</v>
      </c>
      <c r="J201" s="3">
        <v>188.0</v>
      </c>
      <c r="K201" s="79">
        <v>41.0</v>
      </c>
      <c r="L201" s="80" t="s">
        <v>640</v>
      </c>
      <c r="M201" s="81" t="s">
        <v>634</v>
      </c>
      <c r="N201" s="81" t="s">
        <v>637</v>
      </c>
      <c r="O201" s="81" t="s">
        <v>137</v>
      </c>
      <c r="P201" s="81" t="s">
        <v>641</v>
      </c>
      <c r="Q201" s="73">
        <f t="shared" ref="Q201:Q203" si="38">VLOOKUP(L201,$I$13:$J$207,2,0)</f>
        <v>188</v>
      </c>
      <c r="R201" s="3"/>
      <c r="S201" s="3"/>
      <c r="T201" s="3"/>
      <c r="U201" s="3"/>
      <c r="V201" s="3"/>
      <c r="W201" s="3"/>
      <c r="X201" s="3"/>
      <c r="Y201" s="3"/>
      <c r="Z201" s="3"/>
      <c r="AA201" s="3"/>
    </row>
    <row r="202">
      <c r="A202" s="77" t="s">
        <v>127</v>
      </c>
      <c r="B202" s="80" t="s">
        <v>2020</v>
      </c>
      <c r="C202" s="81" t="s">
        <v>634</v>
      </c>
      <c r="D202" s="81" t="s">
        <v>637</v>
      </c>
      <c r="E202" s="82">
        <v>51.0</v>
      </c>
      <c r="F202" s="81" t="s">
        <v>638</v>
      </c>
      <c r="G202" s="83" t="s">
        <v>642</v>
      </c>
      <c r="H202" s="83" t="s">
        <v>140</v>
      </c>
      <c r="I202" s="20" t="str">
        <f t="shared" si="2"/>
        <v>Aspectos Legales y NormativosParticipación del área jurídicaMedio</v>
      </c>
      <c r="J202" s="3">
        <v>189.0</v>
      </c>
      <c r="K202" s="79">
        <v>83.0</v>
      </c>
      <c r="L202" s="80" t="s">
        <v>643</v>
      </c>
      <c r="M202" s="81" t="s">
        <v>634</v>
      </c>
      <c r="N202" s="81" t="s">
        <v>637</v>
      </c>
      <c r="O202" s="81" t="s">
        <v>140</v>
      </c>
      <c r="P202" s="81" t="s">
        <v>644</v>
      </c>
      <c r="Q202" s="73">
        <f t="shared" si="38"/>
        <v>189</v>
      </c>
      <c r="R202" s="3"/>
      <c r="S202" s="3"/>
      <c r="T202" s="3"/>
      <c r="U202" s="3"/>
      <c r="V202" s="3"/>
      <c r="W202" s="3"/>
      <c r="X202" s="3"/>
      <c r="Y202" s="3"/>
      <c r="Z202" s="3"/>
      <c r="AA202" s="3"/>
    </row>
    <row r="203">
      <c r="A203" s="77" t="s">
        <v>127</v>
      </c>
      <c r="B203" s="80" t="s">
        <v>2021</v>
      </c>
      <c r="C203" s="81" t="s">
        <v>634</v>
      </c>
      <c r="D203" s="81" t="s">
        <v>637</v>
      </c>
      <c r="E203" s="82">
        <v>51.0</v>
      </c>
      <c r="F203" s="81" t="s">
        <v>638</v>
      </c>
      <c r="G203" s="83" t="s">
        <v>645</v>
      </c>
      <c r="H203" s="83" t="s">
        <v>143</v>
      </c>
      <c r="I203" s="20" t="str">
        <f t="shared" si="2"/>
        <v>Aspectos Legales y NormativosParticipación del área jurídicaAvanzado</v>
      </c>
      <c r="J203" s="3">
        <v>190.0</v>
      </c>
      <c r="K203" s="79">
        <v>125.0</v>
      </c>
      <c r="L203" s="80" t="s">
        <v>646</v>
      </c>
      <c r="M203" s="81" t="s">
        <v>634</v>
      </c>
      <c r="N203" s="81" t="s">
        <v>637</v>
      </c>
      <c r="O203" s="81" t="s">
        <v>143</v>
      </c>
      <c r="P203" s="81" t="s">
        <v>647</v>
      </c>
      <c r="Q203" s="73">
        <f t="shared" si="38"/>
        <v>190</v>
      </c>
      <c r="R203" s="3"/>
      <c r="S203" s="3"/>
      <c r="T203" s="3"/>
      <c r="U203" s="3"/>
      <c r="V203" s="3"/>
      <c r="W203" s="3"/>
      <c r="X203" s="3"/>
      <c r="Y203" s="3"/>
      <c r="Z203" s="3"/>
      <c r="AA203" s="3"/>
    </row>
    <row r="204">
      <c r="A204" s="77" t="s">
        <v>127</v>
      </c>
      <c r="B204" s="80" t="s">
        <v>2022</v>
      </c>
      <c r="C204" s="81" t="s">
        <v>634</v>
      </c>
      <c r="D204" s="81" t="s">
        <v>649</v>
      </c>
      <c r="E204" s="82">
        <v>52.0</v>
      </c>
      <c r="F204" s="81" t="s">
        <v>650</v>
      </c>
      <c r="G204" s="83" t="s">
        <v>134</v>
      </c>
      <c r="H204" s="83" t="s">
        <v>135</v>
      </c>
      <c r="I204" s="20" t="str">
        <f t="shared" si="2"/>
        <v>Aspectos Legales y NormativosCumplimiento aspectos legales y normativosInsuficiente</v>
      </c>
      <c r="J204" s="3">
        <v>191.0</v>
      </c>
      <c r="R204" s="3"/>
      <c r="S204" s="3"/>
      <c r="T204" s="3"/>
      <c r="U204" s="3"/>
      <c r="V204" s="3"/>
      <c r="W204" s="3"/>
      <c r="X204" s="3"/>
      <c r="Y204" s="3"/>
      <c r="Z204" s="3"/>
      <c r="AA204" s="3"/>
    </row>
    <row r="205">
      <c r="A205" s="77" t="s">
        <v>127</v>
      </c>
      <c r="B205" s="80" t="s">
        <v>2022</v>
      </c>
      <c r="C205" s="81" t="s">
        <v>634</v>
      </c>
      <c r="D205" s="81" t="s">
        <v>649</v>
      </c>
      <c r="E205" s="82">
        <v>52.0</v>
      </c>
      <c r="F205" s="81" t="s">
        <v>650</v>
      </c>
      <c r="G205" s="83" t="s">
        <v>651</v>
      </c>
      <c r="H205" s="83" t="s">
        <v>137</v>
      </c>
      <c r="I205" s="20" t="str">
        <f t="shared" si="2"/>
        <v>Aspectos Legales y NormativosCumplimiento aspectos legales y normativosBásico</v>
      </c>
      <c r="J205" s="3">
        <v>192.0</v>
      </c>
      <c r="K205" s="79">
        <v>42.0</v>
      </c>
      <c r="L205" s="80" t="s">
        <v>652</v>
      </c>
      <c r="M205" s="81" t="s">
        <v>634</v>
      </c>
      <c r="N205" s="81" t="s">
        <v>649</v>
      </c>
      <c r="O205" s="81" t="s">
        <v>137</v>
      </c>
      <c r="P205" s="81" t="s">
        <v>653</v>
      </c>
      <c r="Q205" s="73">
        <f t="shared" ref="Q205:Q207" si="39">VLOOKUP(L205,$I$13:$J$207,2,0)</f>
        <v>192</v>
      </c>
      <c r="R205" s="3"/>
      <c r="S205" s="3"/>
      <c r="T205" s="3"/>
      <c r="U205" s="3"/>
      <c r="V205" s="3"/>
      <c r="W205" s="3"/>
      <c r="X205" s="3"/>
      <c r="Y205" s="3"/>
      <c r="Z205" s="3"/>
      <c r="AA205" s="3"/>
    </row>
    <row r="206">
      <c r="A206" s="77" t="s">
        <v>127</v>
      </c>
      <c r="B206" s="80" t="s">
        <v>2022</v>
      </c>
      <c r="C206" s="81" t="s">
        <v>634</v>
      </c>
      <c r="D206" s="81" t="s">
        <v>649</v>
      </c>
      <c r="E206" s="82">
        <v>52.0</v>
      </c>
      <c r="F206" s="81" t="s">
        <v>650</v>
      </c>
      <c r="G206" s="83" t="s">
        <v>654</v>
      </c>
      <c r="H206" s="83" t="s">
        <v>140</v>
      </c>
      <c r="I206" s="20" t="str">
        <f t="shared" si="2"/>
        <v>Aspectos Legales y NormativosCumplimiento aspectos legales y normativosMedio</v>
      </c>
      <c r="J206" s="3">
        <v>193.0</v>
      </c>
      <c r="K206" s="79">
        <v>84.0</v>
      </c>
      <c r="L206" s="80" t="s">
        <v>655</v>
      </c>
      <c r="M206" s="81" t="s">
        <v>634</v>
      </c>
      <c r="N206" s="81" t="s">
        <v>649</v>
      </c>
      <c r="O206" s="81" t="s">
        <v>140</v>
      </c>
      <c r="P206" s="81" t="s">
        <v>656</v>
      </c>
      <c r="Q206" s="73">
        <f t="shared" si="39"/>
        <v>193</v>
      </c>
      <c r="R206" s="3"/>
      <c r="S206" s="3"/>
      <c r="T206" s="3"/>
      <c r="U206" s="3"/>
      <c r="V206" s="3"/>
      <c r="W206" s="3"/>
      <c r="X206" s="3"/>
      <c r="Y206" s="3"/>
      <c r="Z206" s="3"/>
      <c r="AA206" s="3"/>
    </row>
    <row r="207">
      <c r="A207" s="77" t="s">
        <v>127</v>
      </c>
      <c r="B207" s="80" t="s">
        <v>2022</v>
      </c>
      <c r="C207" s="81" t="s">
        <v>634</v>
      </c>
      <c r="D207" s="81" t="s">
        <v>649</v>
      </c>
      <c r="E207" s="82">
        <v>52.0</v>
      </c>
      <c r="F207" s="81" t="s">
        <v>650</v>
      </c>
      <c r="G207" s="83" t="s">
        <v>657</v>
      </c>
      <c r="H207" s="83" t="s">
        <v>143</v>
      </c>
      <c r="I207" s="20" t="str">
        <f t="shared" si="2"/>
        <v>Aspectos Legales y NormativosCumplimiento aspectos legales y normativosAvanzado</v>
      </c>
      <c r="J207" s="3">
        <v>194.0</v>
      </c>
      <c r="K207" s="79">
        <v>126.0</v>
      </c>
      <c r="L207" s="80" t="s">
        <v>658</v>
      </c>
      <c r="M207" s="81" t="s">
        <v>634</v>
      </c>
      <c r="N207" s="81" t="s">
        <v>649</v>
      </c>
      <c r="O207" s="81" t="s">
        <v>143</v>
      </c>
      <c r="P207" s="81" t="s">
        <v>659</v>
      </c>
      <c r="Q207" s="73">
        <f t="shared" si="39"/>
        <v>194</v>
      </c>
      <c r="R207" s="3"/>
      <c r="S207" s="3"/>
      <c r="T207" s="3"/>
      <c r="U207" s="3"/>
      <c r="V207" s="3"/>
      <c r="W207" s="3"/>
      <c r="X207" s="3"/>
      <c r="Y207" s="3"/>
      <c r="Z207" s="3"/>
      <c r="AA207" s="3"/>
    </row>
    <row r="208">
      <c r="A208" s="73"/>
      <c r="B208" s="73"/>
      <c r="C208" s="73"/>
      <c r="D208" s="73"/>
      <c r="E208" s="73"/>
      <c r="F208" s="73"/>
      <c r="G208" s="73"/>
      <c r="H208" s="73"/>
      <c r="I208" s="3"/>
      <c r="J208" s="3"/>
      <c r="K208" s="3"/>
      <c r="L208" s="3"/>
      <c r="M208" s="3"/>
      <c r="N208" s="3"/>
      <c r="O208" s="3"/>
      <c r="P208" s="3"/>
      <c r="Q208" s="3"/>
      <c r="R208" s="3"/>
      <c r="S208" s="3"/>
      <c r="T208" s="3"/>
      <c r="U208" s="3"/>
      <c r="V208" s="3"/>
      <c r="W208" s="3"/>
      <c r="X208" s="3"/>
      <c r="Y208" s="3"/>
      <c r="Z208" s="3"/>
      <c r="AA208" s="3"/>
    </row>
    <row r="209">
      <c r="A209" s="73"/>
      <c r="B209" s="73"/>
      <c r="C209" s="73"/>
      <c r="D209" s="73"/>
      <c r="E209" s="73"/>
      <c r="F209" s="73"/>
      <c r="G209" s="73"/>
      <c r="H209" s="73"/>
      <c r="I209" s="3"/>
      <c r="J209" s="3"/>
      <c r="K209" s="3"/>
      <c r="L209" s="3"/>
      <c r="M209" s="3"/>
      <c r="N209" s="3"/>
      <c r="O209" s="3"/>
      <c r="P209" s="3"/>
      <c r="Q209" s="3"/>
      <c r="R209" s="3"/>
      <c r="S209" s="3"/>
      <c r="T209" s="3"/>
      <c r="U209" s="3"/>
      <c r="V209" s="3"/>
      <c r="W209" s="3"/>
      <c r="X209" s="3"/>
      <c r="Y209" s="3"/>
      <c r="Z209" s="3"/>
      <c r="AA209" s="3"/>
    </row>
    <row r="210">
      <c r="A210" s="73"/>
      <c r="B210" s="73"/>
      <c r="C210" s="73"/>
      <c r="D210" s="73"/>
      <c r="E210" s="73"/>
      <c r="F210" s="73"/>
      <c r="G210" s="73"/>
      <c r="H210" s="73"/>
      <c r="I210" s="3"/>
      <c r="J210" s="3"/>
      <c r="K210" s="3"/>
      <c r="L210" s="3"/>
      <c r="M210" s="3"/>
      <c r="N210" s="3"/>
      <c r="O210" s="3"/>
      <c r="P210" s="3"/>
      <c r="Q210" s="3"/>
      <c r="R210" s="3"/>
      <c r="S210" s="3"/>
      <c r="T210" s="3"/>
      <c r="U210" s="3"/>
      <c r="V210" s="3"/>
      <c r="W210" s="3"/>
      <c r="X210" s="3"/>
      <c r="Y210" s="3"/>
      <c r="Z210" s="3"/>
      <c r="AA210" s="3"/>
    </row>
    <row r="211">
      <c r="A211" s="73"/>
      <c r="B211" s="73"/>
      <c r="C211" s="73"/>
      <c r="D211" s="73"/>
      <c r="E211" s="73"/>
      <c r="F211" s="73"/>
      <c r="G211" s="73"/>
      <c r="H211" s="73"/>
      <c r="I211" s="3"/>
      <c r="J211" s="3"/>
      <c r="K211" s="3"/>
      <c r="L211" s="3"/>
      <c r="M211" s="3"/>
      <c r="N211" s="3"/>
      <c r="O211" s="3"/>
      <c r="P211" s="3"/>
      <c r="Q211" s="3"/>
      <c r="R211" s="3"/>
      <c r="S211" s="3"/>
      <c r="T211" s="3"/>
      <c r="U211" s="3"/>
      <c r="V211" s="3"/>
      <c r="W211" s="3"/>
      <c r="X211" s="3"/>
      <c r="Y211" s="3"/>
      <c r="Z211" s="3"/>
      <c r="AA211" s="3"/>
    </row>
    <row r="212">
      <c r="A212" s="73"/>
      <c r="B212" s="73"/>
      <c r="C212" s="73"/>
      <c r="D212" s="73"/>
      <c r="E212" s="73"/>
      <c r="F212" s="73"/>
      <c r="G212" s="73"/>
      <c r="H212" s="73"/>
      <c r="I212" s="3"/>
      <c r="J212" s="3"/>
      <c r="K212" s="3"/>
      <c r="L212" s="3"/>
      <c r="M212" s="3"/>
      <c r="N212" s="3"/>
      <c r="O212" s="3"/>
      <c r="P212" s="3"/>
      <c r="Q212" s="3"/>
      <c r="R212" s="3"/>
      <c r="S212" s="3"/>
      <c r="T212" s="3"/>
      <c r="U212" s="3"/>
      <c r="V212" s="3"/>
      <c r="W212" s="3"/>
      <c r="X212" s="3"/>
      <c r="Y212" s="3"/>
      <c r="Z212" s="3"/>
      <c r="AA212" s="3"/>
    </row>
    <row r="213">
      <c r="I213" s="3"/>
      <c r="J213" s="3"/>
      <c r="K213" s="3"/>
      <c r="L213" s="3"/>
      <c r="M213" s="3"/>
      <c r="N213" s="3"/>
      <c r="O213" s="3"/>
      <c r="P213" s="3"/>
      <c r="Q213" s="3"/>
      <c r="R213" s="3"/>
      <c r="S213" s="3"/>
      <c r="T213" s="3"/>
      <c r="U213" s="3"/>
      <c r="V213" s="3"/>
      <c r="W213" s="3"/>
      <c r="X213" s="3"/>
      <c r="Y213" s="3"/>
      <c r="Z213" s="3"/>
      <c r="AA213" s="3"/>
    </row>
    <row r="214">
      <c r="I214" s="3"/>
      <c r="J214" s="3"/>
      <c r="K214" s="3"/>
      <c r="L214" s="3"/>
      <c r="M214" s="3"/>
      <c r="N214" s="3"/>
      <c r="O214" s="3"/>
      <c r="P214" s="3"/>
      <c r="Q214" s="3"/>
      <c r="R214" s="3"/>
      <c r="S214" s="3"/>
      <c r="T214" s="3"/>
      <c r="U214" s="3"/>
      <c r="V214" s="3"/>
      <c r="W214" s="3"/>
      <c r="X214" s="3"/>
      <c r="Y214" s="3"/>
      <c r="Z214" s="3"/>
      <c r="AA214" s="3"/>
    </row>
    <row r="215">
      <c r="I215" s="3"/>
      <c r="J215" s="3"/>
      <c r="K215" s="3"/>
      <c r="L215" s="3"/>
      <c r="M215" s="3"/>
      <c r="N215" s="3"/>
      <c r="O215" s="3"/>
      <c r="P215" s="3"/>
      <c r="Q215" s="3"/>
      <c r="R215" s="3"/>
      <c r="S215" s="3"/>
      <c r="T215" s="3"/>
      <c r="U215" s="3"/>
      <c r="V215" s="3"/>
      <c r="W215" s="3"/>
      <c r="X215" s="3"/>
      <c r="Y215" s="3"/>
      <c r="Z215" s="3"/>
      <c r="AA215" s="3"/>
    </row>
    <row r="216">
      <c r="I216" s="3"/>
      <c r="J216" s="3"/>
      <c r="K216" s="3"/>
      <c r="L216" s="3"/>
      <c r="M216" s="3"/>
      <c r="N216" s="3"/>
      <c r="O216" s="3"/>
      <c r="P216" s="3"/>
      <c r="Q216" s="3"/>
      <c r="R216" s="3"/>
      <c r="S216" s="3"/>
      <c r="T216" s="3"/>
      <c r="U216" s="3"/>
      <c r="V216" s="3"/>
      <c r="W216" s="3"/>
      <c r="X216" s="3"/>
      <c r="Y216" s="3"/>
      <c r="Z216" s="3"/>
      <c r="AA216" s="3"/>
    </row>
    <row r="217">
      <c r="I217" s="3"/>
      <c r="J217" s="3"/>
      <c r="K217" s="3"/>
      <c r="L217" s="3"/>
      <c r="M217" s="3"/>
      <c r="N217" s="3"/>
      <c r="O217" s="3"/>
      <c r="P217" s="3"/>
      <c r="Q217" s="3"/>
      <c r="R217" s="3"/>
      <c r="S217" s="3"/>
      <c r="T217" s="3"/>
      <c r="U217" s="3"/>
      <c r="V217" s="3"/>
      <c r="W217" s="3"/>
      <c r="X217" s="3"/>
      <c r="Y217" s="3"/>
      <c r="Z217" s="3"/>
      <c r="AA217" s="3"/>
    </row>
    <row r="218">
      <c r="I218" s="3"/>
      <c r="J218" s="3"/>
      <c r="K218" s="3"/>
      <c r="L218" s="3"/>
      <c r="M218" s="3"/>
      <c r="N218" s="3"/>
      <c r="O218" s="3"/>
      <c r="P218" s="3"/>
      <c r="Q218" s="3"/>
      <c r="R218" s="3"/>
      <c r="S218" s="3"/>
      <c r="T218" s="3"/>
      <c r="U218" s="3"/>
      <c r="V218" s="3"/>
      <c r="W218" s="3"/>
      <c r="X218" s="3"/>
      <c r="Y218" s="3"/>
      <c r="Z218" s="3"/>
      <c r="AA218" s="3"/>
    </row>
    <row r="219">
      <c r="I219" s="3"/>
      <c r="J219" s="3"/>
      <c r="K219" s="3"/>
      <c r="L219" s="3"/>
      <c r="M219" s="3"/>
      <c r="N219" s="3"/>
      <c r="O219" s="3"/>
      <c r="P219" s="3"/>
      <c r="Q219" s="3"/>
      <c r="R219" s="3"/>
      <c r="S219" s="3"/>
      <c r="T219" s="3"/>
      <c r="U219" s="3"/>
      <c r="V219" s="3"/>
      <c r="W219" s="3"/>
      <c r="X219" s="3"/>
      <c r="Y219" s="3"/>
      <c r="Z219" s="3"/>
      <c r="AA219" s="3"/>
    </row>
    <row r="220">
      <c r="I220" s="3"/>
      <c r="J220" s="3"/>
      <c r="K220" s="3"/>
      <c r="L220" s="3"/>
      <c r="M220" s="3"/>
      <c r="N220" s="3"/>
      <c r="O220" s="3"/>
      <c r="P220" s="3"/>
      <c r="Q220" s="3"/>
      <c r="R220" s="3"/>
      <c r="S220" s="3"/>
      <c r="T220" s="3"/>
      <c r="U220" s="3"/>
      <c r="V220" s="3"/>
      <c r="W220" s="3"/>
      <c r="X220" s="3"/>
      <c r="Y220" s="3"/>
      <c r="Z220" s="3"/>
      <c r="AA220" s="3"/>
    </row>
    <row r="221">
      <c r="I221" s="3"/>
      <c r="J221" s="3"/>
      <c r="K221" s="3"/>
      <c r="L221" s="3"/>
      <c r="M221" s="3"/>
      <c r="N221" s="3"/>
      <c r="O221" s="3"/>
      <c r="P221" s="3"/>
      <c r="Q221" s="3"/>
      <c r="R221" s="3"/>
      <c r="S221" s="3"/>
      <c r="T221" s="3"/>
      <c r="U221" s="3"/>
      <c r="V221" s="3"/>
      <c r="W221" s="3"/>
      <c r="X221" s="3"/>
      <c r="Y221" s="3"/>
      <c r="Z221" s="3"/>
      <c r="AA221" s="3"/>
    </row>
    <row r="222">
      <c r="I222" s="3"/>
      <c r="J222" s="3"/>
      <c r="K222" s="3"/>
      <c r="L222" s="3"/>
      <c r="M222" s="3"/>
      <c r="N222" s="3"/>
      <c r="O222" s="3"/>
      <c r="P222" s="3"/>
      <c r="Q222" s="3"/>
      <c r="R222" s="3"/>
      <c r="S222" s="3"/>
      <c r="T222" s="3"/>
      <c r="U222" s="3"/>
      <c r="V222" s="3"/>
      <c r="W222" s="3"/>
      <c r="X222" s="3"/>
      <c r="Y222" s="3"/>
      <c r="Z222" s="3"/>
      <c r="AA222" s="3"/>
    </row>
    <row r="223">
      <c r="I223" s="3"/>
      <c r="J223" s="3"/>
      <c r="K223" s="3"/>
      <c r="L223" s="3"/>
      <c r="M223" s="3"/>
      <c r="N223" s="3"/>
      <c r="O223" s="3"/>
      <c r="P223" s="3"/>
      <c r="Q223" s="3"/>
      <c r="R223" s="3"/>
      <c r="S223" s="3"/>
      <c r="T223" s="3"/>
      <c r="U223" s="3"/>
      <c r="V223" s="3"/>
      <c r="W223" s="3"/>
      <c r="X223" s="3"/>
      <c r="Y223" s="3"/>
      <c r="Z223" s="3"/>
      <c r="AA223" s="3"/>
    </row>
    <row r="224">
      <c r="I224" s="3"/>
      <c r="J224" s="3"/>
      <c r="K224" s="3"/>
      <c r="L224" s="3"/>
      <c r="M224" s="3"/>
      <c r="N224" s="3"/>
      <c r="O224" s="3"/>
      <c r="P224" s="3"/>
      <c r="Q224" s="3"/>
      <c r="R224" s="3"/>
      <c r="S224" s="3"/>
      <c r="T224" s="3"/>
      <c r="U224" s="3"/>
      <c r="V224" s="3"/>
      <c r="W224" s="3"/>
      <c r="X224" s="3"/>
      <c r="Y224" s="3"/>
      <c r="Z224" s="3"/>
      <c r="AA224" s="3"/>
    </row>
    <row r="225">
      <c r="I225" s="3"/>
      <c r="J225" s="3"/>
      <c r="K225" s="3"/>
      <c r="L225" s="3"/>
      <c r="M225" s="3"/>
      <c r="N225" s="3"/>
      <c r="O225" s="3"/>
      <c r="P225" s="3"/>
      <c r="Q225" s="3"/>
      <c r="R225" s="3"/>
      <c r="S225" s="3"/>
      <c r="T225" s="3"/>
      <c r="U225" s="3"/>
      <c r="V225" s="3"/>
      <c r="W225" s="3"/>
      <c r="X225" s="3"/>
      <c r="Y225" s="3"/>
      <c r="Z225" s="3"/>
      <c r="AA225" s="3"/>
    </row>
    <row r="226">
      <c r="I226" s="3"/>
      <c r="J226" s="3"/>
      <c r="K226" s="3"/>
      <c r="L226" s="3"/>
      <c r="M226" s="3"/>
      <c r="N226" s="3"/>
      <c r="O226" s="3"/>
      <c r="P226" s="3"/>
      <c r="Q226" s="3"/>
      <c r="R226" s="3"/>
      <c r="S226" s="3"/>
      <c r="T226" s="3"/>
      <c r="U226" s="3"/>
      <c r="V226" s="3"/>
      <c r="W226" s="3"/>
      <c r="X226" s="3"/>
      <c r="Y226" s="3"/>
      <c r="Z226" s="3"/>
      <c r="AA226" s="3"/>
    </row>
    <row r="227">
      <c r="I227" s="3"/>
      <c r="J227" s="3"/>
      <c r="K227" s="3"/>
      <c r="L227" s="3"/>
      <c r="M227" s="3"/>
      <c r="N227" s="3"/>
      <c r="O227" s="3"/>
      <c r="P227" s="3"/>
      <c r="Q227" s="3"/>
      <c r="R227" s="3"/>
      <c r="S227" s="3"/>
      <c r="T227" s="3"/>
      <c r="U227" s="3"/>
      <c r="V227" s="3"/>
      <c r="W227" s="3"/>
      <c r="X227" s="3"/>
      <c r="Y227" s="3"/>
      <c r="Z227" s="3"/>
      <c r="AA227" s="3"/>
    </row>
    <row r="228">
      <c r="I228" s="3"/>
      <c r="J228" s="3"/>
      <c r="K228" s="3"/>
      <c r="L228" s="3"/>
      <c r="M228" s="3"/>
      <c r="N228" s="3"/>
      <c r="O228" s="3"/>
      <c r="P228" s="3"/>
      <c r="Q228" s="3"/>
      <c r="R228" s="3"/>
      <c r="S228" s="3"/>
      <c r="T228" s="3"/>
      <c r="U228" s="3"/>
      <c r="V228" s="3"/>
      <c r="W228" s="3"/>
      <c r="X228" s="3"/>
      <c r="Y228" s="3"/>
      <c r="Z228" s="3"/>
      <c r="AA228" s="3"/>
    </row>
    <row r="229">
      <c r="I229" s="3"/>
      <c r="J229" s="3"/>
      <c r="K229" s="3"/>
      <c r="L229" s="3"/>
      <c r="M229" s="3"/>
      <c r="N229" s="3"/>
      <c r="O229" s="3"/>
      <c r="P229" s="3"/>
      <c r="Q229" s="3"/>
      <c r="R229" s="3"/>
      <c r="S229" s="3"/>
      <c r="T229" s="3"/>
      <c r="U229" s="3"/>
      <c r="V229" s="3"/>
      <c r="W229" s="3"/>
      <c r="X229" s="3"/>
      <c r="Y229" s="3"/>
      <c r="Z229" s="3"/>
      <c r="AA229" s="3"/>
    </row>
    <row r="230">
      <c r="I230" s="3"/>
      <c r="J230" s="3"/>
      <c r="K230" s="3"/>
      <c r="L230" s="3"/>
      <c r="M230" s="3"/>
      <c r="N230" s="3"/>
      <c r="O230" s="3"/>
      <c r="P230" s="3"/>
      <c r="Q230" s="3"/>
      <c r="R230" s="3"/>
      <c r="S230" s="3"/>
      <c r="T230" s="3"/>
      <c r="U230" s="3"/>
      <c r="V230" s="3"/>
      <c r="W230" s="3"/>
      <c r="X230" s="3"/>
      <c r="Y230" s="3"/>
      <c r="Z230" s="3"/>
      <c r="AA230" s="3"/>
    </row>
    <row r="231">
      <c r="I231" s="3"/>
      <c r="J231" s="3"/>
      <c r="K231" s="3"/>
      <c r="L231" s="3"/>
      <c r="M231" s="3"/>
      <c r="N231" s="3"/>
      <c r="O231" s="3"/>
      <c r="P231" s="3"/>
      <c r="Q231" s="3"/>
      <c r="R231" s="3"/>
      <c r="S231" s="3"/>
      <c r="T231" s="3"/>
      <c r="U231" s="3"/>
      <c r="V231" s="3"/>
      <c r="W231" s="3"/>
      <c r="X231" s="3"/>
      <c r="Y231" s="3"/>
      <c r="Z231" s="3"/>
      <c r="AA231" s="3"/>
    </row>
    <row r="232">
      <c r="I232" s="3"/>
      <c r="J232" s="3"/>
      <c r="K232" s="3"/>
      <c r="L232" s="3"/>
      <c r="M232" s="3"/>
      <c r="N232" s="3"/>
      <c r="O232" s="3"/>
      <c r="P232" s="3"/>
      <c r="Q232" s="3"/>
      <c r="R232" s="3"/>
      <c r="S232" s="3"/>
      <c r="T232" s="3"/>
      <c r="U232" s="3"/>
      <c r="V232" s="3"/>
      <c r="W232" s="3"/>
      <c r="X232" s="3"/>
      <c r="Y232" s="3"/>
      <c r="Z232" s="3"/>
      <c r="AA232" s="3"/>
    </row>
    <row r="233">
      <c r="I233" s="3"/>
      <c r="J233" s="3"/>
      <c r="K233" s="3"/>
      <c r="L233" s="3"/>
      <c r="M233" s="3"/>
      <c r="N233" s="3"/>
      <c r="O233" s="3"/>
      <c r="P233" s="3"/>
      <c r="Q233" s="3"/>
      <c r="R233" s="3"/>
      <c r="S233" s="3"/>
      <c r="T233" s="3"/>
      <c r="U233" s="3"/>
      <c r="V233" s="3"/>
      <c r="W233" s="3"/>
      <c r="X233" s="3"/>
      <c r="Y233" s="3"/>
      <c r="Z233" s="3"/>
      <c r="AA233" s="3"/>
    </row>
    <row r="234">
      <c r="I234" s="3"/>
      <c r="J234" s="3"/>
      <c r="K234" s="3"/>
      <c r="L234" s="3"/>
      <c r="M234" s="3"/>
      <c r="N234" s="3"/>
      <c r="O234" s="3"/>
      <c r="P234" s="3"/>
      <c r="Q234" s="3"/>
      <c r="R234" s="3"/>
      <c r="S234" s="3"/>
      <c r="T234" s="3"/>
      <c r="U234" s="3"/>
      <c r="V234" s="3"/>
      <c r="W234" s="3"/>
      <c r="X234" s="3"/>
      <c r="Y234" s="3"/>
      <c r="Z234" s="3"/>
      <c r="AA234" s="3"/>
    </row>
    <row r="235">
      <c r="I235" s="3"/>
      <c r="J235" s="3"/>
      <c r="K235" s="3"/>
      <c r="L235" s="3"/>
      <c r="M235" s="3"/>
      <c r="N235" s="3"/>
      <c r="O235" s="3"/>
      <c r="P235" s="3"/>
      <c r="Q235" s="3"/>
      <c r="R235" s="3"/>
      <c r="S235" s="3"/>
      <c r="T235" s="3"/>
      <c r="U235" s="3"/>
      <c r="V235" s="3"/>
      <c r="W235" s="3"/>
      <c r="X235" s="3"/>
      <c r="Y235" s="3"/>
      <c r="Z235" s="3"/>
      <c r="AA235" s="3"/>
    </row>
    <row r="236">
      <c r="I236" s="3"/>
      <c r="J236" s="3"/>
      <c r="K236" s="3"/>
      <c r="L236" s="3"/>
      <c r="M236" s="3"/>
      <c r="N236" s="3"/>
      <c r="O236" s="3"/>
      <c r="P236" s="3"/>
      <c r="Q236" s="3"/>
      <c r="R236" s="3"/>
      <c r="S236" s="3"/>
      <c r="T236" s="3"/>
      <c r="U236" s="3"/>
      <c r="V236" s="3"/>
      <c r="W236" s="3"/>
      <c r="X236" s="3"/>
      <c r="Y236" s="3"/>
      <c r="Z236" s="3"/>
      <c r="AA236" s="3"/>
    </row>
    <row r="237">
      <c r="I237" s="3"/>
      <c r="J237" s="3"/>
      <c r="K237" s="3"/>
      <c r="L237" s="3"/>
      <c r="M237" s="3"/>
      <c r="N237" s="3"/>
      <c r="O237" s="3"/>
      <c r="P237" s="3"/>
      <c r="Q237" s="3"/>
      <c r="R237" s="3"/>
      <c r="S237" s="3"/>
      <c r="T237" s="3"/>
      <c r="U237" s="3"/>
      <c r="V237" s="3"/>
      <c r="W237" s="3"/>
      <c r="X237" s="3"/>
      <c r="Y237" s="3"/>
      <c r="Z237" s="3"/>
      <c r="AA237" s="3"/>
    </row>
    <row r="238">
      <c r="I238" s="3"/>
      <c r="J238" s="3"/>
      <c r="K238" s="3"/>
      <c r="L238" s="3"/>
      <c r="M238" s="3"/>
      <c r="N238" s="3"/>
      <c r="O238" s="3"/>
      <c r="P238" s="3"/>
      <c r="Q238" s="3"/>
      <c r="R238" s="3"/>
      <c r="S238" s="3"/>
      <c r="T238" s="3"/>
      <c r="U238" s="3"/>
      <c r="V238" s="3"/>
      <c r="W238" s="3"/>
      <c r="X238" s="3"/>
      <c r="Y238" s="3"/>
      <c r="Z238" s="3"/>
      <c r="AA238" s="3"/>
    </row>
    <row r="239">
      <c r="I239" s="3"/>
      <c r="J239" s="3"/>
      <c r="K239" s="3"/>
      <c r="L239" s="3"/>
      <c r="M239" s="3"/>
      <c r="N239" s="3"/>
      <c r="O239" s="3"/>
      <c r="P239" s="3"/>
      <c r="Q239" s="3"/>
      <c r="R239" s="3"/>
      <c r="S239" s="3"/>
      <c r="T239" s="3"/>
      <c r="U239" s="3"/>
      <c r="V239" s="3"/>
      <c r="W239" s="3"/>
      <c r="X239" s="3"/>
      <c r="Y239" s="3"/>
      <c r="Z239" s="3"/>
      <c r="AA239" s="3"/>
    </row>
    <row r="240">
      <c r="I240" s="3"/>
      <c r="J240" s="3"/>
      <c r="K240" s="3"/>
      <c r="L240" s="3"/>
      <c r="M240" s="3"/>
      <c r="N240" s="3"/>
      <c r="O240" s="3"/>
      <c r="P240" s="3"/>
      <c r="Q240" s="3"/>
      <c r="R240" s="3"/>
      <c r="S240" s="3"/>
      <c r="T240" s="3"/>
      <c r="U240" s="3"/>
      <c r="V240" s="3"/>
      <c r="W240" s="3"/>
      <c r="X240" s="3"/>
      <c r="Y240" s="3"/>
      <c r="Z240" s="3"/>
      <c r="AA240" s="3"/>
    </row>
    <row r="241">
      <c r="I241" s="3"/>
      <c r="J241" s="3"/>
      <c r="K241" s="3"/>
      <c r="L241" s="3"/>
      <c r="M241" s="3"/>
      <c r="N241" s="3"/>
      <c r="O241" s="3"/>
      <c r="P241" s="3"/>
      <c r="Q241" s="3"/>
      <c r="R241" s="3"/>
      <c r="S241" s="3"/>
      <c r="T241" s="3"/>
      <c r="U241" s="3"/>
      <c r="V241" s="3"/>
      <c r="W241" s="3"/>
      <c r="X241" s="3"/>
      <c r="Y241" s="3"/>
      <c r="Z241" s="3"/>
      <c r="AA241" s="3"/>
    </row>
    <row r="242">
      <c r="I242" s="3"/>
      <c r="J242" s="3"/>
      <c r="K242" s="3"/>
      <c r="L242" s="3"/>
      <c r="M242" s="3"/>
      <c r="N242" s="3"/>
      <c r="O242" s="3"/>
      <c r="P242" s="3"/>
      <c r="Q242" s="3"/>
      <c r="R242" s="3"/>
      <c r="S242" s="3"/>
      <c r="T242" s="3"/>
      <c r="U242" s="3"/>
      <c r="V242" s="3"/>
      <c r="W242" s="3"/>
      <c r="X242" s="3"/>
      <c r="Y242" s="3"/>
      <c r="Z242" s="3"/>
      <c r="AA242" s="3"/>
    </row>
    <row r="243">
      <c r="I243" s="3"/>
      <c r="J243" s="3"/>
      <c r="K243" s="3"/>
      <c r="L243" s="3"/>
      <c r="M243" s="3"/>
      <c r="N243" s="3"/>
      <c r="O243" s="3"/>
      <c r="P243" s="3"/>
      <c r="Q243" s="3"/>
      <c r="R243" s="3"/>
      <c r="S243" s="3"/>
      <c r="T243" s="3"/>
      <c r="U243" s="3"/>
      <c r="V243" s="3"/>
      <c r="W243" s="3"/>
      <c r="X243" s="3"/>
      <c r="Y243" s="3"/>
      <c r="Z243" s="3"/>
      <c r="AA243" s="3"/>
    </row>
    <row r="244">
      <c r="I244" s="3"/>
      <c r="J244" s="3"/>
      <c r="K244" s="3"/>
      <c r="L244" s="3"/>
      <c r="M244" s="3"/>
      <c r="N244" s="3"/>
      <c r="O244" s="3"/>
      <c r="P244" s="3"/>
      <c r="Q244" s="3"/>
      <c r="R244" s="3"/>
      <c r="S244" s="3"/>
      <c r="T244" s="3"/>
      <c r="U244" s="3"/>
      <c r="V244" s="3"/>
      <c r="W244" s="3"/>
      <c r="X244" s="3"/>
      <c r="Y244" s="3"/>
      <c r="Z244" s="3"/>
      <c r="AA244" s="3"/>
    </row>
    <row r="245">
      <c r="I245" s="3"/>
      <c r="J245" s="3"/>
      <c r="K245" s="3"/>
      <c r="L245" s="3"/>
      <c r="M245" s="3"/>
      <c r="N245" s="3"/>
      <c r="O245" s="3"/>
      <c r="P245" s="3"/>
      <c r="Q245" s="3"/>
      <c r="R245" s="3"/>
      <c r="S245" s="3"/>
      <c r="T245" s="3"/>
      <c r="U245" s="3"/>
      <c r="V245" s="3"/>
      <c r="W245" s="3"/>
      <c r="X245" s="3"/>
      <c r="Y245" s="3"/>
      <c r="Z245" s="3"/>
      <c r="AA245" s="3"/>
    </row>
    <row r="246">
      <c r="I246" s="3"/>
      <c r="J246" s="3"/>
      <c r="K246" s="3"/>
      <c r="L246" s="3"/>
      <c r="M246" s="3"/>
      <c r="N246" s="3"/>
      <c r="O246" s="3"/>
      <c r="P246" s="3"/>
      <c r="Q246" s="3"/>
      <c r="R246" s="3"/>
      <c r="S246" s="3"/>
      <c r="T246" s="3"/>
      <c r="U246" s="3"/>
      <c r="V246" s="3"/>
      <c r="W246" s="3"/>
      <c r="X246" s="3"/>
      <c r="Y246" s="3"/>
      <c r="Z246" s="3"/>
      <c r="AA246" s="3"/>
    </row>
    <row r="247">
      <c r="I247" s="3"/>
      <c r="J247" s="3"/>
      <c r="K247" s="3"/>
      <c r="L247" s="3"/>
      <c r="M247" s="3"/>
      <c r="N247" s="3"/>
      <c r="O247" s="3"/>
      <c r="P247" s="3"/>
      <c r="Q247" s="3"/>
      <c r="R247" s="3"/>
      <c r="S247" s="3"/>
      <c r="T247" s="3"/>
      <c r="U247" s="3"/>
      <c r="V247" s="3"/>
      <c r="W247" s="3"/>
      <c r="X247" s="3"/>
      <c r="Y247" s="3"/>
      <c r="Z247" s="3"/>
      <c r="AA247" s="3"/>
    </row>
    <row r="248">
      <c r="I248" s="3"/>
      <c r="J248" s="3"/>
      <c r="K248" s="3"/>
      <c r="L248" s="3"/>
      <c r="M248" s="3"/>
      <c r="N248" s="3"/>
      <c r="O248" s="3"/>
      <c r="P248" s="3"/>
      <c r="Q248" s="3"/>
      <c r="R248" s="3"/>
      <c r="S248" s="3"/>
      <c r="T248" s="3"/>
      <c r="U248" s="3"/>
      <c r="V248" s="3"/>
      <c r="W248" s="3"/>
      <c r="X248" s="3"/>
      <c r="Y248" s="3"/>
      <c r="Z248" s="3"/>
      <c r="AA248" s="3"/>
    </row>
    <row r="249">
      <c r="I249" s="3"/>
      <c r="J249" s="3"/>
      <c r="K249" s="3"/>
      <c r="L249" s="3"/>
      <c r="M249" s="3"/>
      <c r="N249" s="3"/>
      <c r="O249" s="3"/>
      <c r="P249" s="3"/>
      <c r="Q249" s="3"/>
      <c r="R249" s="3"/>
      <c r="S249" s="3"/>
      <c r="T249" s="3"/>
      <c r="U249" s="3"/>
      <c r="V249" s="3"/>
      <c r="W249" s="3"/>
      <c r="X249" s="3"/>
      <c r="Y249" s="3"/>
      <c r="Z249" s="3"/>
      <c r="AA249" s="3"/>
    </row>
    <row r="250">
      <c r="I250" s="3"/>
      <c r="J250" s="3"/>
      <c r="K250" s="3"/>
      <c r="L250" s="3"/>
      <c r="M250" s="3"/>
      <c r="N250" s="3"/>
      <c r="O250" s="3"/>
      <c r="P250" s="3"/>
      <c r="Q250" s="3"/>
      <c r="R250" s="3"/>
      <c r="S250" s="3"/>
      <c r="T250" s="3"/>
      <c r="U250" s="3"/>
      <c r="V250" s="3"/>
      <c r="W250" s="3"/>
      <c r="X250" s="3"/>
      <c r="Y250" s="3"/>
      <c r="Z250" s="3"/>
      <c r="AA250" s="3"/>
    </row>
    <row r="251">
      <c r="I251" s="3"/>
      <c r="J251" s="3"/>
      <c r="K251" s="3"/>
      <c r="L251" s="3"/>
      <c r="M251" s="3"/>
      <c r="N251" s="3"/>
      <c r="O251" s="3"/>
      <c r="P251" s="3"/>
      <c r="Q251" s="3"/>
      <c r="R251" s="3"/>
      <c r="S251" s="3"/>
      <c r="T251" s="3"/>
      <c r="U251" s="3"/>
      <c r="V251" s="3"/>
      <c r="W251" s="3"/>
      <c r="X251" s="3"/>
      <c r="Y251" s="3"/>
      <c r="Z251" s="3"/>
      <c r="AA251" s="3"/>
    </row>
    <row r="252">
      <c r="I252" s="3"/>
      <c r="J252" s="3"/>
      <c r="K252" s="3"/>
      <c r="L252" s="3"/>
      <c r="M252" s="3"/>
      <c r="N252" s="3"/>
      <c r="O252" s="3"/>
      <c r="P252" s="3"/>
      <c r="Q252" s="3"/>
      <c r="R252" s="3"/>
      <c r="S252" s="3"/>
      <c r="T252" s="3"/>
      <c r="U252" s="3"/>
      <c r="V252" s="3"/>
      <c r="W252" s="3"/>
      <c r="X252" s="3"/>
      <c r="Y252" s="3"/>
      <c r="Z252" s="3"/>
      <c r="AA252" s="3"/>
    </row>
    <row r="253">
      <c r="I253" s="3"/>
      <c r="J253" s="3"/>
      <c r="K253" s="3"/>
      <c r="L253" s="3"/>
      <c r="M253" s="3"/>
      <c r="N253" s="3"/>
      <c r="O253" s="3"/>
      <c r="P253" s="3"/>
      <c r="Q253" s="3"/>
      <c r="R253" s="3"/>
      <c r="S253" s="3"/>
      <c r="T253" s="3"/>
      <c r="U253" s="3"/>
      <c r="V253" s="3"/>
      <c r="W253" s="3"/>
      <c r="X253" s="3"/>
      <c r="Y253" s="3"/>
      <c r="Z253" s="3"/>
      <c r="AA253" s="3"/>
    </row>
    <row r="254">
      <c r="I254" s="3"/>
      <c r="J254" s="3"/>
      <c r="K254" s="3"/>
      <c r="L254" s="3"/>
      <c r="M254" s="3"/>
      <c r="N254" s="3"/>
      <c r="O254" s="3"/>
      <c r="P254" s="3"/>
      <c r="Q254" s="3"/>
      <c r="R254" s="3"/>
      <c r="S254" s="3"/>
      <c r="T254" s="3"/>
      <c r="U254" s="3"/>
      <c r="V254" s="3"/>
      <c r="W254" s="3"/>
      <c r="X254" s="3"/>
      <c r="Y254" s="3"/>
      <c r="Z254" s="3"/>
      <c r="AA254" s="3"/>
    </row>
    <row r="255">
      <c r="I255" s="3"/>
      <c r="J255" s="3"/>
      <c r="K255" s="3"/>
      <c r="L255" s="3"/>
      <c r="M255" s="3"/>
      <c r="N255" s="3"/>
      <c r="O255" s="3"/>
      <c r="P255" s="3"/>
      <c r="Q255" s="3"/>
      <c r="R255" s="3"/>
      <c r="S255" s="3"/>
      <c r="T255" s="3"/>
      <c r="U255" s="3"/>
      <c r="V255" s="3"/>
      <c r="W255" s="3"/>
      <c r="X255" s="3"/>
      <c r="Y255" s="3"/>
      <c r="Z255" s="3"/>
      <c r="AA255" s="3"/>
    </row>
    <row r="256">
      <c r="I256" s="3"/>
      <c r="J256" s="3"/>
      <c r="K256" s="3"/>
      <c r="L256" s="3"/>
      <c r="M256" s="3"/>
      <c r="N256" s="3"/>
      <c r="O256" s="3"/>
      <c r="P256" s="3"/>
      <c r="Q256" s="3"/>
      <c r="R256" s="3"/>
      <c r="S256" s="3"/>
      <c r="T256" s="3"/>
      <c r="U256" s="3"/>
      <c r="V256" s="3"/>
      <c r="W256" s="3"/>
      <c r="X256" s="3"/>
      <c r="Y256" s="3"/>
      <c r="Z256" s="3"/>
      <c r="AA256" s="3"/>
    </row>
    <row r="257">
      <c r="I257" s="3"/>
      <c r="J257" s="3"/>
      <c r="K257" s="3"/>
      <c r="L257" s="3"/>
      <c r="M257" s="3"/>
      <c r="N257" s="3"/>
      <c r="O257" s="3"/>
      <c r="P257" s="3"/>
      <c r="Q257" s="3"/>
      <c r="R257" s="3"/>
      <c r="S257" s="3"/>
      <c r="T257" s="3"/>
      <c r="U257" s="3"/>
      <c r="V257" s="3"/>
      <c r="W257" s="3"/>
      <c r="X257" s="3"/>
      <c r="Y257" s="3"/>
      <c r="Z257" s="3"/>
      <c r="AA257" s="3"/>
    </row>
    <row r="258">
      <c r="I258" s="3"/>
      <c r="J258" s="3"/>
      <c r="K258" s="3"/>
      <c r="L258" s="3"/>
      <c r="M258" s="3"/>
      <c r="N258" s="3"/>
      <c r="O258" s="3"/>
      <c r="P258" s="3"/>
      <c r="Q258" s="3"/>
      <c r="R258" s="3"/>
      <c r="S258" s="3"/>
      <c r="T258" s="3"/>
      <c r="U258" s="3"/>
      <c r="V258" s="3"/>
      <c r="W258" s="3"/>
      <c r="X258" s="3"/>
      <c r="Y258" s="3"/>
      <c r="Z258" s="3"/>
      <c r="AA258" s="3"/>
    </row>
    <row r="259">
      <c r="I259" s="3"/>
      <c r="J259" s="3"/>
      <c r="K259" s="3"/>
      <c r="L259" s="3"/>
      <c r="M259" s="3"/>
      <c r="N259" s="3"/>
      <c r="O259" s="3"/>
      <c r="P259" s="3"/>
      <c r="Q259" s="3"/>
      <c r="R259" s="3"/>
      <c r="S259" s="3"/>
      <c r="T259" s="3"/>
      <c r="U259" s="3"/>
      <c r="V259" s="3"/>
      <c r="W259" s="3"/>
      <c r="X259" s="3"/>
      <c r="Y259" s="3"/>
      <c r="Z259" s="3"/>
      <c r="AA259" s="3"/>
    </row>
    <row r="260">
      <c r="I260" s="3"/>
      <c r="J260" s="3"/>
      <c r="K260" s="3"/>
      <c r="L260" s="3"/>
      <c r="M260" s="3"/>
      <c r="N260" s="3"/>
      <c r="O260" s="3"/>
      <c r="P260" s="3"/>
      <c r="Q260" s="3"/>
      <c r="R260" s="3"/>
      <c r="S260" s="3"/>
      <c r="T260" s="3"/>
      <c r="U260" s="3"/>
      <c r="V260" s="3"/>
      <c r="W260" s="3"/>
      <c r="X260" s="3"/>
      <c r="Y260" s="3"/>
      <c r="Z260" s="3"/>
      <c r="AA260" s="3"/>
    </row>
    <row r="261">
      <c r="I261" s="3"/>
      <c r="J261" s="3"/>
      <c r="K261" s="3"/>
      <c r="L261" s="3"/>
      <c r="M261" s="3"/>
      <c r="N261" s="3"/>
      <c r="O261" s="3"/>
      <c r="P261" s="3"/>
      <c r="Q261" s="3"/>
      <c r="R261" s="3"/>
      <c r="S261" s="3"/>
      <c r="T261" s="3"/>
      <c r="U261" s="3"/>
      <c r="V261" s="3"/>
      <c r="W261" s="3"/>
      <c r="X261" s="3"/>
      <c r="Y261" s="3"/>
      <c r="Z261" s="3"/>
      <c r="AA261" s="3"/>
    </row>
    <row r="262">
      <c r="I262" s="3"/>
      <c r="J262" s="3"/>
      <c r="K262" s="3"/>
      <c r="L262" s="3"/>
      <c r="M262" s="3"/>
      <c r="N262" s="3"/>
      <c r="O262" s="3"/>
      <c r="P262" s="3"/>
      <c r="Q262" s="3"/>
      <c r="R262" s="3"/>
      <c r="S262" s="3"/>
      <c r="T262" s="3"/>
      <c r="U262" s="3"/>
      <c r="V262" s="3"/>
      <c r="W262" s="3"/>
      <c r="X262" s="3"/>
      <c r="Y262" s="3"/>
      <c r="Z262" s="3"/>
      <c r="AA262" s="3"/>
    </row>
    <row r="263">
      <c r="I263" s="3"/>
      <c r="J263" s="3"/>
      <c r="K263" s="3"/>
      <c r="L263" s="3"/>
      <c r="M263" s="3"/>
      <c r="N263" s="3"/>
      <c r="O263" s="3"/>
      <c r="P263" s="3"/>
      <c r="Q263" s="3"/>
      <c r="R263" s="3"/>
      <c r="S263" s="3"/>
      <c r="T263" s="3"/>
      <c r="U263" s="3"/>
      <c r="V263" s="3"/>
      <c r="W263" s="3"/>
      <c r="X263" s="3"/>
      <c r="Y263" s="3"/>
      <c r="Z263" s="3"/>
      <c r="AA263" s="3"/>
    </row>
    <row r="264">
      <c r="I264" s="3"/>
      <c r="J264" s="3"/>
      <c r="K264" s="3"/>
      <c r="L264" s="3"/>
      <c r="M264" s="3"/>
      <c r="N264" s="3"/>
      <c r="O264" s="3"/>
      <c r="P264" s="3"/>
      <c r="Q264" s="3"/>
      <c r="R264" s="3"/>
      <c r="S264" s="3"/>
      <c r="T264" s="3"/>
      <c r="U264" s="3"/>
      <c r="V264" s="3"/>
      <c r="W264" s="3"/>
      <c r="X264" s="3"/>
      <c r="Y264" s="3"/>
      <c r="Z264" s="3"/>
      <c r="AA264" s="3"/>
    </row>
    <row r="265">
      <c r="I265" s="3"/>
      <c r="J265" s="3"/>
      <c r="K265" s="3"/>
      <c r="L265" s="3"/>
      <c r="M265" s="3"/>
      <c r="N265" s="3"/>
      <c r="O265" s="3"/>
      <c r="P265" s="3"/>
      <c r="Q265" s="3"/>
      <c r="R265" s="3"/>
      <c r="S265" s="3"/>
      <c r="T265" s="3"/>
      <c r="U265" s="3"/>
      <c r="V265" s="3"/>
      <c r="W265" s="3"/>
      <c r="X265" s="3"/>
      <c r="Y265" s="3"/>
      <c r="Z265" s="3"/>
      <c r="AA265" s="3"/>
    </row>
    <row r="266">
      <c r="I266" s="3"/>
      <c r="J266" s="3"/>
      <c r="K266" s="3"/>
      <c r="L266" s="3"/>
      <c r="M266" s="3"/>
      <c r="N266" s="3"/>
      <c r="O266" s="3"/>
      <c r="P266" s="3"/>
      <c r="Q266" s="3"/>
      <c r="R266" s="3"/>
      <c r="S266" s="3"/>
      <c r="T266" s="3"/>
      <c r="U266" s="3"/>
      <c r="V266" s="3"/>
      <c r="W266" s="3"/>
      <c r="X266" s="3"/>
      <c r="Y266" s="3"/>
      <c r="Z266" s="3"/>
      <c r="AA266" s="3"/>
    </row>
    <row r="267">
      <c r="I267" s="3"/>
      <c r="J267" s="3"/>
      <c r="K267" s="3"/>
      <c r="L267" s="3"/>
      <c r="M267" s="3"/>
      <c r="N267" s="3"/>
      <c r="O267" s="3"/>
      <c r="P267" s="3"/>
      <c r="Q267" s="3"/>
      <c r="R267" s="3"/>
      <c r="S267" s="3"/>
      <c r="T267" s="3"/>
      <c r="U267" s="3"/>
      <c r="V267" s="3"/>
      <c r="W267" s="3"/>
      <c r="X267" s="3"/>
      <c r="Y267" s="3"/>
      <c r="Z267" s="3"/>
      <c r="AA267" s="3"/>
    </row>
    <row r="268">
      <c r="I268" s="3"/>
      <c r="J268" s="3"/>
      <c r="K268" s="3"/>
      <c r="L268" s="3"/>
      <c r="M268" s="3"/>
      <c r="N268" s="3"/>
      <c r="O268" s="3"/>
      <c r="P268" s="3"/>
      <c r="Q268" s="3"/>
      <c r="R268" s="3"/>
      <c r="S268" s="3"/>
      <c r="T268" s="3"/>
      <c r="U268" s="3"/>
      <c r="V268" s="3"/>
      <c r="W268" s="3"/>
      <c r="X268" s="3"/>
      <c r="Y268" s="3"/>
      <c r="Z268" s="3"/>
      <c r="AA268" s="3"/>
    </row>
    <row r="269">
      <c r="I269" s="3"/>
      <c r="J269" s="3"/>
      <c r="K269" s="3"/>
      <c r="L269" s="3"/>
      <c r="M269" s="3"/>
      <c r="N269" s="3"/>
      <c r="O269" s="3"/>
      <c r="P269" s="3"/>
      <c r="Q269" s="3"/>
      <c r="R269" s="3"/>
      <c r="S269" s="3"/>
      <c r="T269" s="3"/>
      <c r="U269" s="3"/>
      <c r="V269" s="3"/>
      <c r="W269" s="3"/>
      <c r="X269" s="3"/>
      <c r="Y269" s="3"/>
      <c r="Z269" s="3"/>
      <c r="AA269" s="3"/>
    </row>
    <row r="270">
      <c r="I270" s="3"/>
      <c r="J270" s="3"/>
      <c r="K270" s="3"/>
      <c r="L270" s="3"/>
      <c r="M270" s="3"/>
      <c r="N270" s="3"/>
      <c r="O270" s="3"/>
      <c r="P270" s="3"/>
      <c r="Q270" s="3"/>
      <c r="R270" s="3"/>
      <c r="S270" s="3"/>
      <c r="T270" s="3"/>
      <c r="U270" s="3"/>
      <c r="V270" s="3"/>
      <c r="W270" s="3"/>
      <c r="X270" s="3"/>
      <c r="Y270" s="3"/>
      <c r="Z270" s="3"/>
      <c r="AA270" s="3"/>
    </row>
    <row r="271">
      <c r="I271" s="3"/>
      <c r="J271" s="3"/>
      <c r="K271" s="3"/>
      <c r="L271" s="3"/>
      <c r="M271" s="3"/>
      <c r="N271" s="3"/>
      <c r="O271" s="3"/>
      <c r="P271" s="3"/>
      <c r="Q271" s="3"/>
      <c r="R271" s="3"/>
      <c r="S271" s="3"/>
      <c r="T271" s="3"/>
      <c r="U271" s="3"/>
      <c r="V271" s="3"/>
      <c r="W271" s="3"/>
      <c r="X271" s="3"/>
      <c r="Y271" s="3"/>
      <c r="Z271" s="3"/>
      <c r="AA271" s="3"/>
    </row>
    <row r="272">
      <c r="I272" s="3"/>
      <c r="J272" s="3"/>
      <c r="K272" s="3"/>
      <c r="L272" s="3"/>
      <c r="M272" s="3"/>
      <c r="N272" s="3"/>
      <c r="O272" s="3"/>
      <c r="P272" s="3"/>
      <c r="Q272" s="3"/>
      <c r="R272" s="3"/>
      <c r="S272" s="3"/>
      <c r="T272" s="3"/>
      <c r="U272" s="3"/>
      <c r="V272" s="3"/>
      <c r="W272" s="3"/>
      <c r="X272" s="3"/>
      <c r="Y272" s="3"/>
      <c r="Z272" s="3"/>
      <c r="AA272" s="3"/>
    </row>
    <row r="273">
      <c r="I273" s="3"/>
      <c r="J273" s="3"/>
      <c r="K273" s="3"/>
      <c r="L273" s="3"/>
      <c r="M273" s="3"/>
      <c r="N273" s="3"/>
      <c r="O273" s="3"/>
      <c r="P273" s="3"/>
      <c r="Q273" s="3"/>
      <c r="R273" s="3"/>
      <c r="S273" s="3"/>
      <c r="T273" s="3"/>
      <c r="U273" s="3"/>
      <c r="V273" s="3"/>
      <c r="W273" s="3"/>
      <c r="X273" s="3"/>
      <c r="Y273" s="3"/>
      <c r="Z273" s="3"/>
      <c r="AA273" s="3"/>
    </row>
    <row r="274">
      <c r="I274" s="3"/>
      <c r="J274" s="3"/>
      <c r="K274" s="3"/>
      <c r="L274" s="3"/>
      <c r="M274" s="3"/>
      <c r="N274" s="3"/>
      <c r="O274" s="3"/>
      <c r="P274" s="3"/>
      <c r="Q274" s="3"/>
      <c r="R274" s="3"/>
      <c r="S274" s="3"/>
      <c r="T274" s="3"/>
      <c r="U274" s="3"/>
      <c r="V274" s="3"/>
      <c r="W274" s="3"/>
      <c r="X274" s="3"/>
      <c r="Y274" s="3"/>
      <c r="Z274" s="3"/>
      <c r="AA274" s="3"/>
    </row>
    <row r="275">
      <c r="I275" s="3"/>
      <c r="J275" s="3"/>
      <c r="K275" s="3"/>
      <c r="L275" s="3"/>
      <c r="M275" s="3"/>
      <c r="N275" s="3"/>
      <c r="O275" s="3"/>
      <c r="P275" s="3"/>
      <c r="Q275" s="3"/>
      <c r="R275" s="3"/>
      <c r="S275" s="3"/>
      <c r="T275" s="3"/>
      <c r="U275" s="3"/>
      <c r="V275" s="3"/>
      <c r="W275" s="3"/>
      <c r="X275" s="3"/>
      <c r="Y275" s="3"/>
      <c r="Z275" s="3"/>
      <c r="AA275" s="3"/>
    </row>
    <row r="276">
      <c r="I276" s="3"/>
      <c r="J276" s="3"/>
      <c r="K276" s="3"/>
      <c r="L276" s="3"/>
      <c r="M276" s="3"/>
      <c r="N276" s="3"/>
      <c r="O276" s="3"/>
      <c r="P276" s="3"/>
      <c r="Q276" s="3"/>
      <c r="R276" s="3"/>
      <c r="S276" s="3"/>
      <c r="T276" s="3"/>
      <c r="U276" s="3"/>
      <c r="V276" s="3"/>
      <c r="W276" s="3"/>
      <c r="X276" s="3"/>
      <c r="Y276" s="3"/>
      <c r="Z276" s="3"/>
      <c r="AA276" s="3"/>
    </row>
    <row r="277">
      <c r="I277" s="3"/>
      <c r="J277" s="3"/>
      <c r="K277" s="3"/>
      <c r="L277" s="3"/>
      <c r="M277" s="3"/>
      <c r="N277" s="3"/>
      <c r="O277" s="3"/>
      <c r="P277" s="3"/>
      <c r="Q277" s="3"/>
      <c r="R277" s="3"/>
      <c r="S277" s="3"/>
      <c r="T277" s="3"/>
      <c r="U277" s="3"/>
      <c r="V277" s="3"/>
      <c r="W277" s="3"/>
      <c r="X277" s="3"/>
      <c r="Y277" s="3"/>
      <c r="Z277" s="3"/>
      <c r="AA277" s="3"/>
    </row>
    <row r="278">
      <c r="I278" s="3"/>
      <c r="J278" s="3"/>
      <c r="K278" s="3"/>
      <c r="L278" s="3"/>
      <c r="M278" s="3"/>
      <c r="N278" s="3"/>
      <c r="O278" s="3"/>
      <c r="P278" s="3"/>
      <c r="Q278" s="3"/>
      <c r="R278" s="3"/>
      <c r="S278" s="3"/>
      <c r="T278" s="3"/>
      <c r="U278" s="3"/>
      <c r="V278" s="3"/>
      <c r="W278" s="3"/>
      <c r="X278" s="3"/>
      <c r="Y278" s="3"/>
      <c r="Z278" s="3"/>
      <c r="AA278" s="3"/>
    </row>
    <row r="279">
      <c r="I279" s="3"/>
      <c r="J279" s="3"/>
      <c r="K279" s="3"/>
      <c r="L279" s="3"/>
      <c r="M279" s="3"/>
      <c r="N279" s="3"/>
      <c r="O279" s="3"/>
      <c r="P279" s="3"/>
      <c r="Q279" s="3"/>
      <c r="R279" s="3"/>
      <c r="S279" s="3"/>
      <c r="T279" s="3"/>
      <c r="U279" s="3"/>
      <c r="V279" s="3"/>
      <c r="W279" s="3"/>
      <c r="X279" s="3"/>
      <c r="Y279" s="3"/>
      <c r="Z279" s="3"/>
      <c r="AA279" s="3"/>
    </row>
    <row r="280">
      <c r="I280" s="3"/>
      <c r="J280" s="3"/>
      <c r="K280" s="3"/>
      <c r="L280" s="3"/>
      <c r="M280" s="3"/>
      <c r="N280" s="3"/>
      <c r="O280" s="3"/>
      <c r="P280" s="3"/>
      <c r="Q280" s="3"/>
      <c r="R280" s="3"/>
      <c r="S280" s="3"/>
      <c r="T280" s="3"/>
      <c r="U280" s="3"/>
      <c r="V280" s="3"/>
      <c r="W280" s="3"/>
      <c r="X280" s="3"/>
      <c r="Y280" s="3"/>
      <c r="Z280" s="3"/>
      <c r="AA280" s="3"/>
    </row>
    <row r="281">
      <c r="I281" s="3"/>
      <c r="J281" s="3"/>
      <c r="K281" s="3"/>
      <c r="L281" s="3"/>
      <c r="M281" s="3"/>
      <c r="N281" s="3"/>
      <c r="O281" s="3"/>
      <c r="P281" s="3"/>
      <c r="Q281" s="3"/>
      <c r="R281" s="3"/>
      <c r="S281" s="3"/>
      <c r="T281" s="3"/>
      <c r="U281" s="3"/>
      <c r="V281" s="3"/>
      <c r="W281" s="3"/>
      <c r="X281" s="3"/>
      <c r="Y281" s="3"/>
      <c r="Z281" s="3"/>
      <c r="AA281" s="3"/>
    </row>
    <row r="282">
      <c r="I282" s="3"/>
      <c r="J282" s="3"/>
      <c r="K282" s="3"/>
      <c r="L282" s="3"/>
      <c r="M282" s="3"/>
      <c r="N282" s="3"/>
      <c r="O282" s="3"/>
      <c r="P282" s="3"/>
      <c r="Q282" s="3"/>
      <c r="R282" s="3"/>
      <c r="S282" s="3"/>
      <c r="T282" s="3"/>
      <c r="U282" s="3"/>
      <c r="V282" s="3"/>
      <c r="W282" s="3"/>
      <c r="X282" s="3"/>
      <c r="Y282" s="3"/>
      <c r="Z282" s="3"/>
      <c r="AA282" s="3"/>
    </row>
    <row r="283">
      <c r="I283" s="3"/>
      <c r="J283" s="3"/>
      <c r="K283" s="3"/>
      <c r="L283" s="3"/>
      <c r="M283" s="3"/>
      <c r="N283" s="3"/>
      <c r="O283" s="3"/>
      <c r="P283" s="3"/>
      <c r="Q283" s="3"/>
      <c r="R283" s="3"/>
      <c r="S283" s="3"/>
      <c r="T283" s="3"/>
      <c r="U283" s="3"/>
      <c r="V283" s="3"/>
      <c r="W283" s="3"/>
      <c r="X283" s="3"/>
      <c r="Y283" s="3"/>
      <c r="Z283" s="3"/>
      <c r="AA283" s="3"/>
    </row>
    <row r="284">
      <c r="I284" s="3"/>
      <c r="J284" s="3"/>
      <c r="K284" s="3"/>
      <c r="L284" s="3"/>
      <c r="M284" s="3"/>
      <c r="N284" s="3"/>
      <c r="O284" s="3"/>
      <c r="P284" s="3"/>
      <c r="Q284" s="3"/>
      <c r="R284" s="3"/>
      <c r="S284" s="3"/>
      <c r="T284" s="3"/>
      <c r="U284" s="3"/>
      <c r="V284" s="3"/>
      <c r="W284" s="3"/>
      <c r="X284" s="3"/>
      <c r="Y284" s="3"/>
      <c r="Z284" s="3"/>
      <c r="AA284" s="3"/>
    </row>
    <row r="285">
      <c r="I285" s="3"/>
      <c r="J285" s="3"/>
      <c r="K285" s="3"/>
      <c r="L285" s="3"/>
      <c r="M285" s="3"/>
      <c r="N285" s="3"/>
      <c r="O285" s="3"/>
      <c r="P285" s="3"/>
      <c r="Q285" s="3"/>
      <c r="R285" s="3"/>
      <c r="S285" s="3"/>
      <c r="T285" s="3"/>
      <c r="U285" s="3"/>
      <c r="V285" s="3"/>
      <c r="W285" s="3"/>
      <c r="X285" s="3"/>
      <c r="Y285" s="3"/>
      <c r="Z285" s="3"/>
      <c r="AA285" s="3"/>
    </row>
    <row r="286">
      <c r="I286" s="3"/>
      <c r="J286" s="3"/>
      <c r="K286" s="3"/>
      <c r="L286" s="3"/>
      <c r="M286" s="3"/>
      <c r="N286" s="3"/>
      <c r="O286" s="3"/>
      <c r="P286" s="3"/>
      <c r="Q286" s="3"/>
      <c r="R286" s="3"/>
      <c r="S286" s="3"/>
      <c r="T286" s="3"/>
      <c r="U286" s="3"/>
      <c r="V286" s="3"/>
      <c r="W286" s="3"/>
      <c r="X286" s="3"/>
      <c r="Y286" s="3"/>
      <c r="Z286" s="3"/>
      <c r="AA286" s="3"/>
    </row>
    <row r="287">
      <c r="I287" s="3"/>
      <c r="J287" s="3"/>
      <c r="K287" s="3"/>
      <c r="L287" s="3"/>
      <c r="M287" s="3"/>
      <c r="N287" s="3"/>
      <c r="O287" s="3"/>
      <c r="P287" s="3"/>
      <c r="Q287" s="3"/>
      <c r="R287" s="3"/>
      <c r="S287" s="3"/>
      <c r="T287" s="3"/>
      <c r="U287" s="3"/>
      <c r="V287" s="3"/>
      <c r="W287" s="3"/>
      <c r="X287" s="3"/>
      <c r="Y287" s="3"/>
      <c r="Z287" s="3"/>
      <c r="AA287" s="3"/>
    </row>
    <row r="288">
      <c r="I288" s="3"/>
      <c r="J288" s="3"/>
      <c r="K288" s="3"/>
      <c r="L288" s="3"/>
      <c r="M288" s="3"/>
      <c r="N288" s="3"/>
      <c r="O288" s="3"/>
      <c r="P288" s="3"/>
      <c r="Q288" s="3"/>
      <c r="R288" s="3"/>
      <c r="S288" s="3"/>
      <c r="T288" s="3"/>
      <c r="U288" s="3"/>
      <c r="V288" s="3"/>
      <c r="W288" s="3"/>
      <c r="X288" s="3"/>
      <c r="Y288" s="3"/>
      <c r="Z288" s="3"/>
      <c r="AA288" s="3"/>
    </row>
    <row r="289">
      <c r="I289" s="3"/>
      <c r="J289" s="3"/>
      <c r="K289" s="3"/>
      <c r="L289" s="3"/>
      <c r="M289" s="3"/>
      <c r="N289" s="3"/>
      <c r="O289" s="3"/>
      <c r="P289" s="3"/>
      <c r="Q289" s="3"/>
      <c r="R289" s="3"/>
      <c r="S289" s="3"/>
      <c r="T289" s="3"/>
      <c r="U289" s="3"/>
      <c r="V289" s="3"/>
      <c r="W289" s="3"/>
      <c r="X289" s="3"/>
      <c r="Y289" s="3"/>
      <c r="Z289" s="3"/>
      <c r="AA289" s="3"/>
    </row>
    <row r="290">
      <c r="I290" s="3"/>
      <c r="J290" s="3"/>
      <c r="K290" s="3"/>
      <c r="L290" s="3"/>
      <c r="M290" s="3"/>
      <c r="N290" s="3"/>
      <c r="O290" s="3"/>
      <c r="P290" s="3"/>
      <c r="Q290" s="3"/>
      <c r="R290" s="3"/>
      <c r="S290" s="3"/>
      <c r="T290" s="3"/>
      <c r="U290" s="3"/>
      <c r="V290" s="3"/>
      <c r="W290" s="3"/>
      <c r="X290" s="3"/>
      <c r="Y290" s="3"/>
      <c r="Z290" s="3"/>
      <c r="AA290" s="3"/>
    </row>
    <row r="291">
      <c r="I291" s="3"/>
      <c r="J291" s="3"/>
      <c r="K291" s="3"/>
      <c r="L291" s="3"/>
      <c r="M291" s="3"/>
      <c r="N291" s="3"/>
      <c r="O291" s="3"/>
      <c r="P291" s="3"/>
      <c r="Q291" s="3"/>
      <c r="R291" s="3"/>
      <c r="S291" s="3"/>
      <c r="T291" s="3"/>
      <c r="U291" s="3"/>
      <c r="V291" s="3"/>
      <c r="W291" s="3"/>
      <c r="X291" s="3"/>
      <c r="Y291" s="3"/>
      <c r="Z291" s="3"/>
      <c r="AA291" s="3"/>
    </row>
    <row r="292">
      <c r="I292" s="3"/>
      <c r="J292" s="3"/>
      <c r="K292" s="3"/>
      <c r="L292" s="3"/>
      <c r="M292" s="3"/>
      <c r="N292" s="3"/>
      <c r="O292" s="3"/>
      <c r="P292" s="3"/>
      <c r="Q292" s="3"/>
      <c r="R292" s="3"/>
      <c r="S292" s="3"/>
      <c r="T292" s="3"/>
      <c r="U292" s="3"/>
      <c r="V292" s="3"/>
      <c r="W292" s="3"/>
      <c r="X292" s="3"/>
      <c r="Y292" s="3"/>
      <c r="Z292" s="3"/>
      <c r="AA292" s="3"/>
    </row>
    <row r="293">
      <c r="I293" s="3"/>
      <c r="J293" s="3"/>
      <c r="K293" s="3"/>
      <c r="L293" s="3"/>
      <c r="M293" s="3"/>
      <c r="N293" s="3"/>
      <c r="O293" s="3"/>
      <c r="P293" s="3"/>
      <c r="Q293" s="3"/>
      <c r="R293" s="3"/>
      <c r="S293" s="3"/>
      <c r="T293" s="3"/>
      <c r="U293" s="3"/>
      <c r="V293" s="3"/>
      <c r="W293" s="3"/>
      <c r="X293" s="3"/>
      <c r="Y293" s="3"/>
      <c r="Z293" s="3"/>
      <c r="AA293" s="3"/>
    </row>
    <row r="294">
      <c r="I294" s="3"/>
      <c r="J294" s="3"/>
      <c r="K294" s="3"/>
      <c r="L294" s="3"/>
      <c r="M294" s="3"/>
      <c r="N294" s="3"/>
      <c r="O294" s="3"/>
      <c r="P294" s="3"/>
      <c r="Q294" s="3"/>
      <c r="R294" s="3"/>
      <c r="S294" s="3"/>
      <c r="T294" s="3"/>
      <c r="U294" s="3"/>
      <c r="V294" s="3"/>
      <c r="W294" s="3"/>
      <c r="X294" s="3"/>
      <c r="Y294" s="3"/>
      <c r="Z294" s="3"/>
      <c r="AA294" s="3"/>
    </row>
    <row r="295">
      <c r="I295" s="3"/>
      <c r="J295" s="3"/>
      <c r="K295" s="3"/>
      <c r="L295" s="3"/>
      <c r="M295" s="3"/>
      <c r="N295" s="3"/>
      <c r="O295" s="3"/>
      <c r="P295" s="3"/>
      <c r="Q295" s="3"/>
      <c r="R295" s="3"/>
      <c r="S295" s="3"/>
      <c r="T295" s="3"/>
      <c r="U295" s="3"/>
      <c r="V295" s="3"/>
      <c r="W295" s="3"/>
      <c r="X295" s="3"/>
      <c r="Y295" s="3"/>
      <c r="Z295" s="3"/>
      <c r="AA295" s="3"/>
    </row>
    <row r="296">
      <c r="I296" s="3"/>
      <c r="J296" s="3"/>
      <c r="K296" s="3"/>
      <c r="L296" s="3"/>
      <c r="M296" s="3"/>
      <c r="N296" s="3"/>
      <c r="O296" s="3"/>
      <c r="P296" s="3"/>
      <c r="Q296" s="3"/>
      <c r="R296" s="3"/>
      <c r="S296" s="3"/>
      <c r="T296" s="3"/>
      <c r="U296" s="3"/>
      <c r="V296" s="3"/>
      <c r="W296" s="3"/>
      <c r="X296" s="3"/>
      <c r="Y296" s="3"/>
      <c r="Z296" s="3"/>
      <c r="AA296" s="3"/>
    </row>
    <row r="297">
      <c r="I297" s="3"/>
      <c r="J297" s="3"/>
      <c r="K297" s="3"/>
      <c r="L297" s="3"/>
      <c r="M297" s="3"/>
      <c r="N297" s="3"/>
      <c r="O297" s="3"/>
      <c r="P297" s="3"/>
      <c r="Q297" s="3"/>
      <c r="R297" s="3"/>
      <c r="S297" s="3"/>
      <c r="T297" s="3"/>
      <c r="U297" s="3"/>
      <c r="V297" s="3"/>
      <c r="W297" s="3"/>
      <c r="X297" s="3"/>
      <c r="Y297" s="3"/>
      <c r="Z297" s="3"/>
      <c r="AA297" s="3"/>
    </row>
    <row r="298">
      <c r="I298" s="3"/>
      <c r="J298" s="3"/>
      <c r="K298" s="3"/>
      <c r="L298" s="3"/>
      <c r="M298" s="3"/>
      <c r="N298" s="3"/>
      <c r="O298" s="3"/>
      <c r="P298" s="3"/>
      <c r="Q298" s="3"/>
      <c r="R298" s="3"/>
      <c r="S298" s="3"/>
      <c r="T298" s="3"/>
      <c r="U298" s="3"/>
      <c r="V298" s="3"/>
      <c r="W298" s="3"/>
      <c r="X298" s="3"/>
      <c r="Y298" s="3"/>
      <c r="Z298" s="3"/>
      <c r="AA298" s="3"/>
    </row>
    <row r="299">
      <c r="I299" s="3"/>
      <c r="J299" s="3"/>
      <c r="K299" s="3"/>
      <c r="L299" s="3"/>
      <c r="M299" s="3"/>
      <c r="N299" s="3"/>
      <c r="O299" s="3"/>
      <c r="P299" s="3"/>
      <c r="Q299" s="3"/>
      <c r="R299" s="3"/>
      <c r="S299" s="3"/>
      <c r="T299" s="3"/>
      <c r="U299" s="3"/>
      <c r="V299" s="3"/>
      <c r="W299" s="3"/>
      <c r="X299" s="3"/>
      <c r="Y299" s="3"/>
      <c r="Z299" s="3"/>
      <c r="AA299" s="3"/>
    </row>
    <row r="300">
      <c r="I300" s="3"/>
      <c r="J300" s="3"/>
      <c r="K300" s="3"/>
      <c r="L300" s="3"/>
      <c r="M300" s="3"/>
      <c r="N300" s="3"/>
      <c r="O300" s="3"/>
      <c r="P300" s="3"/>
      <c r="Q300" s="3"/>
      <c r="R300" s="3"/>
      <c r="S300" s="3"/>
      <c r="T300" s="3"/>
      <c r="U300" s="3"/>
      <c r="V300" s="3"/>
      <c r="W300" s="3"/>
      <c r="X300" s="3"/>
      <c r="Y300" s="3"/>
      <c r="Z300" s="3"/>
      <c r="AA300" s="3"/>
    </row>
    <row r="301">
      <c r="I301" s="3"/>
      <c r="J301" s="3"/>
      <c r="K301" s="3"/>
      <c r="L301" s="3"/>
      <c r="M301" s="3"/>
      <c r="N301" s="3"/>
      <c r="O301" s="3"/>
      <c r="P301" s="3"/>
      <c r="Q301" s="3"/>
      <c r="R301" s="3"/>
      <c r="S301" s="3"/>
      <c r="T301" s="3"/>
      <c r="U301" s="3"/>
      <c r="V301" s="3"/>
      <c r="W301" s="3"/>
      <c r="X301" s="3"/>
      <c r="Y301" s="3"/>
      <c r="Z301" s="3"/>
      <c r="AA301" s="3"/>
    </row>
    <row r="302">
      <c r="I302" s="3"/>
      <c r="J302" s="3"/>
      <c r="K302" s="3"/>
      <c r="L302" s="3"/>
      <c r="M302" s="3"/>
      <c r="N302" s="3"/>
      <c r="O302" s="3"/>
      <c r="P302" s="3"/>
      <c r="Q302" s="3"/>
      <c r="R302" s="3"/>
      <c r="S302" s="3"/>
      <c r="T302" s="3"/>
      <c r="U302" s="3"/>
      <c r="V302" s="3"/>
      <c r="W302" s="3"/>
      <c r="X302" s="3"/>
      <c r="Y302" s="3"/>
      <c r="Z302" s="3"/>
      <c r="AA302" s="3"/>
    </row>
    <row r="303">
      <c r="I303" s="3"/>
      <c r="J303" s="3"/>
      <c r="K303" s="3"/>
      <c r="L303" s="3"/>
      <c r="M303" s="3"/>
      <c r="N303" s="3"/>
      <c r="O303" s="3"/>
      <c r="P303" s="3"/>
      <c r="Q303" s="3"/>
      <c r="R303" s="3"/>
      <c r="S303" s="3"/>
      <c r="T303" s="3"/>
      <c r="U303" s="3"/>
      <c r="V303" s="3"/>
      <c r="W303" s="3"/>
      <c r="X303" s="3"/>
      <c r="Y303" s="3"/>
      <c r="Z303" s="3"/>
      <c r="AA303" s="3"/>
    </row>
    <row r="304">
      <c r="I304" s="3"/>
      <c r="J304" s="3"/>
      <c r="K304" s="3"/>
      <c r="L304" s="3"/>
      <c r="M304" s="3"/>
      <c r="N304" s="3"/>
      <c r="O304" s="3"/>
      <c r="P304" s="3"/>
      <c r="Q304" s="3"/>
      <c r="R304" s="3"/>
      <c r="S304" s="3"/>
      <c r="T304" s="3"/>
      <c r="U304" s="3"/>
      <c r="V304" s="3"/>
      <c r="W304" s="3"/>
      <c r="X304" s="3"/>
      <c r="Y304" s="3"/>
      <c r="Z304" s="3"/>
      <c r="AA304" s="3"/>
    </row>
    <row r="305">
      <c r="I305" s="3"/>
      <c r="J305" s="3"/>
      <c r="K305" s="3"/>
      <c r="L305" s="3"/>
      <c r="M305" s="3"/>
      <c r="N305" s="3"/>
      <c r="O305" s="3"/>
      <c r="P305" s="3"/>
      <c r="Q305" s="3"/>
      <c r="R305" s="3"/>
      <c r="S305" s="3"/>
      <c r="T305" s="3"/>
      <c r="U305" s="3"/>
      <c r="V305" s="3"/>
      <c r="W305" s="3"/>
      <c r="X305" s="3"/>
      <c r="Y305" s="3"/>
      <c r="Z305" s="3"/>
      <c r="AA305" s="3"/>
    </row>
    <row r="306">
      <c r="I306" s="3"/>
      <c r="J306" s="3"/>
      <c r="K306" s="3"/>
      <c r="L306" s="3"/>
      <c r="M306" s="3"/>
      <c r="N306" s="3"/>
      <c r="O306" s="3"/>
      <c r="P306" s="3"/>
      <c r="Q306" s="3"/>
      <c r="R306" s="3"/>
      <c r="S306" s="3"/>
      <c r="T306" s="3"/>
      <c r="U306" s="3"/>
      <c r="V306" s="3"/>
      <c r="W306" s="3"/>
      <c r="X306" s="3"/>
      <c r="Y306" s="3"/>
      <c r="Z306" s="3"/>
      <c r="AA306" s="3"/>
    </row>
    <row r="307">
      <c r="I307" s="3"/>
      <c r="J307" s="3"/>
      <c r="K307" s="3"/>
      <c r="L307" s="3"/>
      <c r="M307" s="3"/>
      <c r="N307" s="3"/>
      <c r="O307" s="3"/>
      <c r="P307" s="3"/>
      <c r="Q307" s="3"/>
      <c r="R307" s="3"/>
      <c r="S307" s="3"/>
      <c r="T307" s="3"/>
      <c r="U307" s="3"/>
      <c r="V307" s="3"/>
      <c r="W307" s="3"/>
      <c r="X307" s="3"/>
      <c r="Y307" s="3"/>
      <c r="Z307" s="3"/>
      <c r="AA307" s="3"/>
    </row>
    <row r="308">
      <c r="I308" s="3"/>
      <c r="J308" s="3"/>
      <c r="K308" s="3"/>
      <c r="L308" s="3"/>
      <c r="M308" s="3"/>
      <c r="N308" s="3"/>
      <c r="O308" s="3"/>
      <c r="P308" s="3"/>
      <c r="Q308" s="3"/>
      <c r="R308" s="3"/>
      <c r="S308" s="3"/>
      <c r="T308" s="3"/>
      <c r="U308" s="3"/>
      <c r="V308" s="3"/>
      <c r="W308" s="3"/>
      <c r="X308" s="3"/>
      <c r="Y308" s="3"/>
      <c r="Z308" s="3"/>
      <c r="AA308" s="3"/>
    </row>
    <row r="309">
      <c r="I309" s="3"/>
      <c r="J309" s="3"/>
      <c r="K309" s="3"/>
      <c r="L309" s="3"/>
      <c r="M309" s="3"/>
      <c r="N309" s="3"/>
      <c r="O309" s="3"/>
      <c r="P309" s="3"/>
      <c r="Q309" s="3"/>
      <c r="R309" s="3"/>
      <c r="S309" s="3"/>
      <c r="T309" s="3"/>
      <c r="U309" s="3"/>
      <c r="V309" s="3"/>
      <c r="W309" s="3"/>
      <c r="X309" s="3"/>
      <c r="Y309" s="3"/>
      <c r="Z309" s="3"/>
      <c r="AA309" s="3"/>
    </row>
    <row r="310">
      <c r="I310" s="3"/>
      <c r="J310" s="3"/>
      <c r="K310" s="3"/>
      <c r="L310" s="3"/>
      <c r="M310" s="3"/>
      <c r="N310" s="3"/>
      <c r="O310" s="3"/>
      <c r="P310" s="3"/>
      <c r="Q310" s="3"/>
      <c r="R310" s="3"/>
      <c r="S310" s="3"/>
      <c r="T310" s="3"/>
      <c r="U310" s="3"/>
      <c r="V310" s="3"/>
      <c r="W310" s="3"/>
      <c r="X310" s="3"/>
      <c r="Y310" s="3"/>
      <c r="Z310" s="3"/>
      <c r="AA310" s="3"/>
    </row>
    <row r="311">
      <c r="I311" s="3"/>
      <c r="J311" s="3"/>
      <c r="K311" s="3"/>
      <c r="L311" s="3"/>
      <c r="M311" s="3"/>
      <c r="N311" s="3"/>
      <c r="O311" s="3"/>
      <c r="P311" s="3"/>
      <c r="Q311" s="3"/>
      <c r="R311" s="3"/>
      <c r="S311" s="3"/>
      <c r="T311" s="3"/>
      <c r="U311" s="3"/>
      <c r="V311" s="3"/>
      <c r="W311" s="3"/>
      <c r="X311" s="3"/>
      <c r="Y311" s="3"/>
      <c r="Z311" s="3"/>
      <c r="AA311" s="3"/>
    </row>
    <row r="312">
      <c r="I312" s="3"/>
      <c r="J312" s="3"/>
      <c r="K312" s="3"/>
      <c r="L312" s="3"/>
      <c r="M312" s="3"/>
      <c r="N312" s="3"/>
      <c r="O312" s="3"/>
      <c r="P312" s="3"/>
      <c r="Q312" s="3"/>
      <c r="R312" s="3"/>
      <c r="S312" s="3"/>
      <c r="T312" s="3"/>
      <c r="U312" s="3"/>
      <c r="V312" s="3"/>
      <c r="W312" s="3"/>
      <c r="X312" s="3"/>
      <c r="Y312" s="3"/>
      <c r="Z312" s="3"/>
      <c r="AA312" s="3"/>
    </row>
    <row r="313">
      <c r="I313" s="3"/>
      <c r="J313" s="3"/>
      <c r="K313" s="3"/>
      <c r="L313" s="3"/>
      <c r="M313" s="3"/>
      <c r="N313" s="3"/>
      <c r="O313" s="3"/>
      <c r="P313" s="3"/>
      <c r="Q313" s="3"/>
      <c r="R313" s="3"/>
      <c r="S313" s="3"/>
      <c r="T313" s="3"/>
      <c r="U313" s="3"/>
      <c r="V313" s="3"/>
      <c r="W313" s="3"/>
      <c r="X313" s="3"/>
      <c r="Y313" s="3"/>
      <c r="Z313" s="3"/>
      <c r="AA313" s="3"/>
    </row>
    <row r="314">
      <c r="I314" s="3"/>
      <c r="J314" s="3"/>
      <c r="K314" s="3"/>
      <c r="L314" s="3"/>
      <c r="M314" s="3"/>
      <c r="N314" s="3"/>
      <c r="O314" s="3"/>
      <c r="P314" s="3"/>
      <c r="Q314" s="3"/>
      <c r="R314" s="3"/>
      <c r="S314" s="3"/>
      <c r="T314" s="3"/>
      <c r="U314" s="3"/>
      <c r="V314" s="3"/>
      <c r="W314" s="3"/>
      <c r="X314" s="3"/>
      <c r="Y314" s="3"/>
      <c r="Z314" s="3"/>
      <c r="AA314" s="3"/>
    </row>
    <row r="315">
      <c r="I315" s="3"/>
      <c r="J315" s="3"/>
      <c r="K315" s="3"/>
      <c r="L315" s="3"/>
      <c r="M315" s="3"/>
      <c r="N315" s="3"/>
      <c r="O315" s="3"/>
      <c r="P315" s="3"/>
      <c r="Q315" s="3"/>
      <c r="R315" s="3"/>
      <c r="S315" s="3"/>
      <c r="T315" s="3"/>
      <c r="U315" s="3"/>
      <c r="V315" s="3"/>
      <c r="W315" s="3"/>
      <c r="X315" s="3"/>
      <c r="Y315" s="3"/>
      <c r="Z315" s="3"/>
      <c r="AA315" s="3"/>
    </row>
    <row r="316">
      <c r="I316" s="3"/>
      <c r="J316" s="3"/>
      <c r="K316" s="3"/>
      <c r="L316" s="3"/>
      <c r="M316" s="3"/>
      <c r="N316" s="3"/>
      <c r="O316" s="3"/>
      <c r="P316" s="3"/>
      <c r="Q316" s="3"/>
      <c r="R316" s="3"/>
      <c r="S316" s="3"/>
      <c r="T316" s="3"/>
      <c r="U316" s="3"/>
      <c r="V316" s="3"/>
      <c r="W316" s="3"/>
      <c r="X316" s="3"/>
      <c r="Y316" s="3"/>
      <c r="Z316" s="3"/>
      <c r="AA316" s="3"/>
    </row>
    <row r="317">
      <c r="I317" s="3"/>
      <c r="J317" s="3"/>
      <c r="K317" s="3"/>
      <c r="L317" s="3"/>
      <c r="M317" s="3"/>
      <c r="N317" s="3"/>
      <c r="O317" s="3"/>
      <c r="P317" s="3"/>
      <c r="Q317" s="3"/>
      <c r="R317" s="3"/>
      <c r="S317" s="3"/>
      <c r="T317" s="3"/>
      <c r="U317" s="3"/>
      <c r="V317" s="3"/>
      <c r="W317" s="3"/>
      <c r="X317" s="3"/>
      <c r="Y317" s="3"/>
      <c r="Z317" s="3"/>
      <c r="AA317" s="3"/>
    </row>
    <row r="318">
      <c r="I318" s="3"/>
      <c r="J318" s="3"/>
      <c r="K318" s="3"/>
      <c r="L318" s="3"/>
      <c r="M318" s="3"/>
      <c r="N318" s="3"/>
      <c r="O318" s="3"/>
      <c r="P318" s="3"/>
      <c r="Q318" s="3"/>
      <c r="R318" s="3"/>
      <c r="S318" s="3"/>
      <c r="T318" s="3"/>
      <c r="U318" s="3"/>
      <c r="V318" s="3"/>
      <c r="W318" s="3"/>
      <c r="X318" s="3"/>
      <c r="Y318" s="3"/>
      <c r="Z318" s="3"/>
      <c r="AA318" s="3"/>
    </row>
    <row r="319">
      <c r="I319" s="3"/>
      <c r="J319" s="3"/>
      <c r="K319" s="3"/>
      <c r="L319" s="3"/>
      <c r="M319" s="3"/>
      <c r="N319" s="3"/>
      <c r="O319" s="3"/>
      <c r="P319" s="3"/>
      <c r="Q319" s="3"/>
      <c r="R319" s="3"/>
      <c r="S319" s="3"/>
      <c r="T319" s="3"/>
      <c r="U319" s="3"/>
      <c r="V319" s="3"/>
      <c r="W319" s="3"/>
      <c r="X319" s="3"/>
      <c r="Y319" s="3"/>
      <c r="Z319" s="3"/>
      <c r="AA319" s="3"/>
    </row>
    <row r="320">
      <c r="I320" s="3"/>
      <c r="J320" s="3"/>
      <c r="K320" s="3"/>
      <c r="L320" s="3"/>
      <c r="M320" s="3"/>
      <c r="N320" s="3"/>
      <c r="O320" s="3"/>
      <c r="P320" s="3"/>
      <c r="Q320" s="3"/>
      <c r="R320" s="3"/>
      <c r="S320" s="3"/>
      <c r="T320" s="3"/>
      <c r="U320" s="3"/>
      <c r="V320" s="3"/>
      <c r="W320" s="3"/>
      <c r="X320" s="3"/>
      <c r="Y320" s="3"/>
      <c r="Z320" s="3"/>
      <c r="AA320" s="3"/>
    </row>
    <row r="321">
      <c r="I321" s="3"/>
      <c r="J321" s="3"/>
      <c r="K321" s="3"/>
      <c r="L321" s="3"/>
      <c r="M321" s="3"/>
      <c r="N321" s="3"/>
      <c r="O321" s="3"/>
      <c r="P321" s="3"/>
      <c r="Q321" s="3"/>
      <c r="R321" s="3"/>
      <c r="S321" s="3"/>
      <c r="T321" s="3"/>
      <c r="U321" s="3"/>
      <c r="V321" s="3"/>
      <c r="W321" s="3"/>
      <c r="X321" s="3"/>
      <c r="Y321" s="3"/>
      <c r="Z321" s="3"/>
      <c r="AA321" s="3"/>
    </row>
    <row r="322">
      <c r="I322" s="3"/>
      <c r="J322" s="3"/>
      <c r="K322" s="3"/>
      <c r="L322" s="3"/>
      <c r="M322" s="3"/>
      <c r="N322" s="3"/>
      <c r="O322" s="3"/>
      <c r="P322" s="3"/>
      <c r="Q322" s="3"/>
      <c r="R322" s="3"/>
      <c r="S322" s="3"/>
      <c r="T322" s="3"/>
      <c r="U322" s="3"/>
      <c r="V322" s="3"/>
      <c r="W322" s="3"/>
      <c r="X322" s="3"/>
      <c r="Y322" s="3"/>
      <c r="Z322" s="3"/>
      <c r="AA322" s="3"/>
    </row>
    <row r="323">
      <c r="I323" s="3"/>
      <c r="J323" s="3"/>
      <c r="K323" s="3"/>
      <c r="L323" s="3"/>
      <c r="M323" s="3"/>
      <c r="N323" s="3"/>
      <c r="O323" s="3"/>
      <c r="P323" s="3"/>
      <c r="Q323" s="3"/>
      <c r="R323" s="3"/>
      <c r="S323" s="3"/>
      <c r="T323" s="3"/>
      <c r="U323" s="3"/>
      <c r="V323" s="3"/>
      <c r="W323" s="3"/>
      <c r="X323" s="3"/>
      <c r="Y323" s="3"/>
      <c r="Z323" s="3"/>
      <c r="AA323" s="3"/>
    </row>
    <row r="324">
      <c r="I324" s="3"/>
      <c r="J324" s="3"/>
      <c r="K324" s="3"/>
      <c r="L324" s="3"/>
      <c r="M324" s="3"/>
      <c r="N324" s="3"/>
      <c r="O324" s="3"/>
      <c r="P324" s="3"/>
      <c r="Q324" s="3"/>
      <c r="R324" s="3"/>
      <c r="S324" s="3"/>
      <c r="T324" s="3"/>
      <c r="U324" s="3"/>
      <c r="V324" s="3"/>
      <c r="W324" s="3"/>
      <c r="X324" s="3"/>
      <c r="Y324" s="3"/>
      <c r="Z324" s="3"/>
      <c r="AA324" s="3"/>
    </row>
    <row r="325">
      <c r="I325" s="3"/>
      <c r="J325" s="3"/>
      <c r="K325" s="3"/>
      <c r="L325" s="3"/>
      <c r="M325" s="3"/>
      <c r="N325" s="3"/>
      <c r="O325" s="3"/>
      <c r="P325" s="3"/>
      <c r="Q325" s="3"/>
      <c r="R325" s="3"/>
      <c r="S325" s="3"/>
      <c r="T325" s="3"/>
      <c r="U325" s="3"/>
      <c r="V325" s="3"/>
      <c r="W325" s="3"/>
      <c r="X325" s="3"/>
      <c r="Y325" s="3"/>
      <c r="Z325" s="3"/>
      <c r="AA325" s="3"/>
    </row>
    <row r="326">
      <c r="I326" s="3"/>
      <c r="J326" s="3"/>
      <c r="K326" s="3"/>
      <c r="L326" s="3"/>
      <c r="M326" s="3"/>
      <c r="N326" s="3"/>
      <c r="O326" s="3"/>
      <c r="P326" s="3"/>
      <c r="Q326" s="3"/>
      <c r="R326" s="3"/>
      <c r="S326" s="3"/>
      <c r="T326" s="3"/>
      <c r="U326" s="3"/>
      <c r="V326" s="3"/>
      <c r="W326" s="3"/>
      <c r="X326" s="3"/>
      <c r="Y326" s="3"/>
      <c r="Z326" s="3"/>
      <c r="AA326" s="3"/>
    </row>
    <row r="327">
      <c r="I327" s="3"/>
      <c r="J327" s="3"/>
      <c r="K327" s="3"/>
      <c r="L327" s="3"/>
      <c r="M327" s="3"/>
      <c r="N327" s="3"/>
      <c r="O327" s="3"/>
      <c r="P327" s="3"/>
      <c r="Q327" s="3"/>
      <c r="R327" s="3"/>
      <c r="S327" s="3"/>
      <c r="T327" s="3"/>
      <c r="U327" s="3"/>
      <c r="V327" s="3"/>
      <c r="W327" s="3"/>
      <c r="X327" s="3"/>
      <c r="Y327" s="3"/>
      <c r="Z327" s="3"/>
      <c r="AA327" s="3"/>
    </row>
    <row r="328">
      <c r="I328" s="3"/>
      <c r="J328" s="3"/>
      <c r="K328" s="3"/>
      <c r="L328" s="3"/>
      <c r="M328" s="3"/>
      <c r="N328" s="3"/>
      <c r="O328" s="3"/>
      <c r="P328" s="3"/>
      <c r="Q328" s="3"/>
      <c r="R328" s="3"/>
      <c r="S328" s="3"/>
      <c r="T328" s="3"/>
      <c r="U328" s="3"/>
      <c r="V328" s="3"/>
      <c r="W328" s="3"/>
      <c r="X328" s="3"/>
      <c r="Y328" s="3"/>
      <c r="Z328" s="3"/>
      <c r="AA328" s="3"/>
    </row>
    <row r="329">
      <c r="I329" s="3"/>
      <c r="J329" s="3"/>
      <c r="K329" s="3"/>
      <c r="L329" s="3"/>
      <c r="M329" s="3"/>
      <c r="N329" s="3"/>
      <c r="O329" s="3"/>
      <c r="P329" s="3"/>
      <c r="Q329" s="3"/>
      <c r="R329" s="3"/>
      <c r="S329" s="3"/>
      <c r="T329" s="3"/>
      <c r="U329" s="3"/>
      <c r="V329" s="3"/>
      <c r="W329" s="3"/>
      <c r="X329" s="3"/>
      <c r="Y329" s="3"/>
      <c r="Z329" s="3"/>
      <c r="AA329" s="3"/>
    </row>
    <row r="330">
      <c r="I330" s="3"/>
      <c r="J330" s="3"/>
      <c r="K330" s="3"/>
      <c r="L330" s="3"/>
      <c r="M330" s="3"/>
      <c r="N330" s="3"/>
      <c r="O330" s="3"/>
      <c r="P330" s="3"/>
      <c r="Q330" s="3"/>
      <c r="R330" s="3"/>
      <c r="S330" s="3"/>
      <c r="T330" s="3"/>
      <c r="U330" s="3"/>
      <c r="V330" s="3"/>
      <c r="W330" s="3"/>
      <c r="X330" s="3"/>
      <c r="Y330" s="3"/>
      <c r="Z330" s="3"/>
      <c r="AA330" s="3"/>
    </row>
    <row r="331">
      <c r="I331" s="3"/>
      <c r="J331" s="3"/>
      <c r="K331" s="3"/>
      <c r="L331" s="3"/>
      <c r="M331" s="3"/>
      <c r="N331" s="3"/>
      <c r="O331" s="3"/>
      <c r="P331" s="3"/>
      <c r="Q331" s="3"/>
      <c r="R331" s="3"/>
      <c r="S331" s="3"/>
      <c r="T331" s="3"/>
      <c r="U331" s="3"/>
      <c r="V331" s="3"/>
      <c r="W331" s="3"/>
      <c r="X331" s="3"/>
      <c r="Y331" s="3"/>
      <c r="Z331" s="3"/>
      <c r="AA331" s="3"/>
    </row>
    <row r="332">
      <c r="I332" s="3"/>
      <c r="J332" s="3"/>
      <c r="K332" s="3"/>
      <c r="L332" s="3"/>
      <c r="M332" s="3"/>
      <c r="N332" s="3"/>
      <c r="O332" s="3"/>
      <c r="P332" s="3"/>
      <c r="Q332" s="3"/>
      <c r="R332" s="3"/>
      <c r="S332" s="3"/>
      <c r="T332" s="3"/>
      <c r="U332" s="3"/>
      <c r="V332" s="3"/>
      <c r="W332" s="3"/>
      <c r="X332" s="3"/>
      <c r="Y332" s="3"/>
      <c r="Z332" s="3"/>
      <c r="AA332" s="3"/>
    </row>
    <row r="333">
      <c r="A333" s="3"/>
      <c r="B333" s="3"/>
      <c r="C333" s="3"/>
      <c r="D333" s="3"/>
      <c r="E333" s="3"/>
      <c r="F333" s="3"/>
      <c r="G333" s="3"/>
      <c r="H333" s="3"/>
      <c r="I333" s="3"/>
      <c r="J333" s="3"/>
      <c r="K333" s="3"/>
      <c r="L333" s="3"/>
      <c r="M333" s="3"/>
      <c r="N333" s="3"/>
      <c r="O333" s="3"/>
      <c r="P333" s="3"/>
      <c r="Q333" s="3"/>
      <c r="R333" s="3"/>
      <c r="S333" s="3"/>
      <c r="T333" s="3"/>
      <c r="U333" s="3"/>
      <c r="V333" s="3"/>
      <c r="W333" s="3"/>
      <c r="X333" s="3"/>
      <c r="Y333" s="3"/>
      <c r="Z333" s="3"/>
      <c r="AA333" s="3"/>
    </row>
    <row r="334">
      <c r="A334" s="3"/>
      <c r="B334" s="3"/>
      <c r="C334" s="3"/>
      <c r="D334" s="3"/>
      <c r="E334" s="3"/>
      <c r="F334" s="3"/>
      <c r="G334" s="3"/>
      <c r="H334" s="3"/>
      <c r="I334" s="3"/>
      <c r="J334" s="3"/>
      <c r="K334" s="3"/>
      <c r="L334" s="3"/>
      <c r="M334" s="3"/>
      <c r="N334" s="3"/>
      <c r="O334" s="3"/>
      <c r="P334" s="3"/>
      <c r="Q334" s="3"/>
      <c r="R334" s="3"/>
      <c r="S334" s="3"/>
      <c r="T334" s="3"/>
      <c r="U334" s="3"/>
      <c r="V334" s="3"/>
      <c r="W334" s="3"/>
      <c r="X334" s="3"/>
      <c r="Y334" s="3"/>
      <c r="Z334" s="3"/>
      <c r="AA334" s="3"/>
    </row>
    <row r="335">
      <c r="A335" s="3"/>
      <c r="B335" s="3"/>
      <c r="C335" s="3"/>
      <c r="D335" s="3"/>
      <c r="E335" s="3"/>
      <c r="F335" s="3"/>
      <c r="G335" s="3"/>
      <c r="H335" s="3"/>
      <c r="I335" s="3"/>
      <c r="J335" s="3"/>
      <c r="K335" s="3"/>
      <c r="L335" s="3"/>
      <c r="M335" s="3"/>
      <c r="N335" s="3"/>
      <c r="O335" s="3"/>
      <c r="P335" s="3"/>
      <c r="Q335" s="3"/>
      <c r="R335" s="3"/>
      <c r="S335" s="3"/>
      <c r="T335" s="3"/>
      <c r="U335" s="3"/>
      <c r="V335" s="3"/>
      <c r="W335" s="3"/>
      <c r="X335" s="3"/>
      <c r="Y335" s="3"/>
      <c r="Z335" s="3"/>
      <c r="AA335" s="3"/>
    </row>
    <row r="336">
      <c r="A336" s="3"/>
      <c r="B336" s="3"/>
      <c r="C336" s="3"/>
      <c r="D336" s="3"/>
      <c r="E336" s="3"/>
      <c r="F336" s="3"/>
      <c r="G336" s="3"/>
      <c r="H336" s="3"/>
      <c r="I336" s="3"/>
      <c r="J336" s="3"/>
      <c r="K336" s="3"/>
      <c r="L336" s="3"/>
      <c r="M336" s="3"/>
      <c r="N336" s="3"/>
      <c r="O336" s="3"/>
      <c r="P336" s="3"/>
      <c r="Q336" s="3"/>
      <c r="R336" s="3"/>
      <c r="S336" s="3"/>
      <c r="T336" s="3"/>
      <c r="U336" s="3"/>
      <c r="V336" s="3"/>
      <c r="W336" s="3"/>
      <c r="X336" s="3"/>
      <c r="Y336" s="3"/>
      <c r="Z336" s="3"/>
      <c r="AA336" s="3"/>
    </row>
    <row r="337">
      <c r="A337" s="3"/>
      <c r="B337" s="3"/>
      <c r="C337" s="3"/>
      <c r="D337" s="3"/>
      <c r="E337" s="3"/>
      <c r="F337" s="3"/>
      <c r="G337" s="3"/>
      <c r="H337" s="3"/>
      <c r="I337" s="3"/>
      <c r="J337" s="3"/>
      <c r="K337" s="3"/>
      <c r="L337" s="3"/>
      <c r="M337" s="3"/>
      <c r="N337" s="3"/>
      <c r="O337" s="3"/>
      <c r="P337" s="3"/>
      <c r="Q337" s="3"/>
      <c r="R337" s="3"/>
      <c r="S337" s="3"/>
      <c r="T337" s="3"/>
      <c r="U337" s="3"/>
      <c r="V337" s="3"/>
      <c r="W337" s="3"/>
      <c r="X337" s="3"/>
      <c r="Y337" s="3"/>
      <c r="Z337" s="3"/>
      <c r="AA337" s="3"/>
    </row>
    <row r="338">
      <c r="A338" s="3"/>
      <c r="B338" s="3"/>
      <c r="C338" s="3"/>
      <c r="D338" s="3"/>
      <c r="E338" s="3"/>
      <c r="F338" s="3"/>
      <c r="G338" s="3"/>
      <c r="H338" s="3"/>
      <c r="I338" s="3"/>
      <c r="J338" s="3"/>
      <c r="K338" s="3"/>
      <c r="L338" s="3"/>
      <c r="M338" s="3"/>
      <c r="N338" s="3"/>
      <c r="O338" s="3"/>
      <c r="P338" s="3"/>
      <c r="Q338" s="3"/>
      <c r="R338" s="3"/>
      <c r="S338" s="3"/>
      <c r="T338" s="3"/>
      <c r="U338" s="3"/>
      <c r="V338" s="3"/>
      <c r="W338" s="3"/>
      <c r="X338" s="3"/>
      <c r="Y338" s="3"/>
      <c r="Z338" s="3"/>
      <c r="AA338" s="3"/>
    </row>
    <row r="339">
      <c r="A339" s="3"/>
      <c r="B339" s="3"/>
      <c r="C339" s="3"/>
      <c r="D339" s="3"/>
      <c r="E339" s="3"/>
      <c r="F339" s="3"/>
      <c r="G339" s="3"/>
      <c r="H339" s="3"/>
      <c r="I339" s="3"/>
      <c r="J339" s="3"/>
      <c r="K339" s="3"/>
      <c r="L339" s="3"/>
      <c r="M339" s="3"/>
      <c r="N339" s="3"/>
      <c r="O339" s="3"/>
      <c r="P339" s="3"/>
      <c r="Q339" s="3"/>
      <c r="R339" s="3"/>
      <c r="S339" s="3"/>
      <c r="T339" s="3"/>
      <c r="U339" s="3"/>
      <c r="V339" s="3"/>
      <c r="W339" s="3"/>
      <c r="X339" s="3"/>
      <c r="Y339" s="3"/>
      <c r="Z339" s="3"/>
      <c r="AA339" s="3"/>
    </row>
    <row r="340">
      <c r="A340" s="3"/>
      <c r="B340" s="3"/>
      <c r="C340" s="3"/>
      <c r="D340" s="3"/>
      <c r="E340" s="3"/>
      <c r="F340" s="3"/>
      <c r="G340" s="3"/>
      <c r="H340" s="3"/>
      <c r="I340" s="3"/>
      <c r="J340" s="3"/>
      <c r="K340" s="3"/>
      <c r="L340" s="3"/>
      <c r="M340" s="3"/>
      <c r="N340" s="3"/>
      <c r="O340" s="3"/>
      <c r="P340" s="3"/>
      <c r="Q340" s="3"/>
      <c r="R340" s="3"/>
      <c r="S340" s="3"/>
      <c r="T340" s="3"/>
      <c r="U340" s="3"/>
      <c r="V340" s="3"/>
      <c r="W340" s="3"/>
      <c r="X340" s="3"/>
      <c r="Y340" s="3"/>
      <c r="Z340" s="3"/>
      <c r="AA340" s="3"/>
    </row>
    <row r="341">
      <c r="A341" s="3"/>
      <c r="B341" s="3"/>
      <c r="C341" s="3"/>
      <c r="D341" s="3"/>
      <c r="E341" s="3"/>
      <c r="F341" s="3"/>
      <c r="G341" s="3"/>
      <c r="H341" s="3"/>
      <c r="I341" s="3"/>
      <c r="J341" s="3"/>
      <c r="K341" s="3"/>
      <c r="L341" s="3"/>
      <c r="M341" s="3"/>
      <c r="N341" s="3"/>
      <c r="O341" s="3"/>
      <c r="P341" s="3"/>
      <c r="Q341" s="3"/>
      <c r="R341" s="3"/>
      <c r="S341" s="3"/>
      <c r="T341" s="3"/>
      <c r="U341" s="3"/>
      <c r="V341" s="3"/>
      <c r="W341" s="3"/>
      <c r="X341" s="3"/>
      <c r="Y341" s="3"/>
      <c r="Z341" s="3"/>
      <c r="AA341" s="3"/>
    </row>
    <row r="342">
      <c r="A342" s="3"/>
      <c r="B342" s="3"/>
      <c r="C342" s="3"/>
      <c r="D342" s="3"/>
      <c r="E342" s="3"/>
      <c r="F342" s="3"/>
      <c r="G342" s="3"/>
      <c r="H342" s="3"/>
      <c r="I342" s="3"/>
      <c r="J342" s="3"/>
      <c r="K342" s="3"/>
      <c r="L342" s="3"/>
      <c r="M342" s="3"/>
      <c r="N342" s="3"/>
      <c r="O342" s="3"/>
      <c r="P342" s="3"/>
      <c r="Q342" s="3"/>
      <c r="R342" s="3"/>
      <c r="S342" s="3"/>
      <c r="T342" s="3"/>
      <c r="U342" s="3"/>
      <c r="V342" s="3"/>
      <c r="W342" s="3"/>
      <c r="X342" s="3"/>
      <c r="Y342" s="3"/>
      <c r="Z342" s="3"/>
      <c r="AA342" s="3"/>
    </row>
    <row r="343">
      <c r="A343" s="3"/>
      <c r="B343" s="3"/>
      <c r="C343" s="3"/>
      <c r="D343" s="3"/>
      <c r="E343" s="3"/>
      <c r="F343" s="3"/>
      <c r="G343" s="3"/>
      <c r="H343" s="3"/>
      <c r="I343" s="3"/>
      <c r="J343" s="3"/>
      <c r="K343" s="3"/>
      <c r="L343" s="3"/>
      <c r="M343" s="3"/>
      <c r="N343" s="3"/>
      <c r="O343" s="3"/>
      <c r="P343" s="3"/>
      <c r="Q343" s="3"/>
      <c r="R343" s="3"/>
      <c r="S343" s="3"/>
      <c r="T343" s="3"/>
      <c r="U343" s="3"/>
      <c r="V343" s="3"/>
      <c r="W343" s="3"/>
      <c r="X343" s="3"/>
      <c r="Y343" s="3"/>
      <c r="Z343" s="3"/>
      <c r="AA343" s="3"/>
    </row>
    <row r="344">
      <c r="A344" s="3"/>
      <c r="B344" s="3"/>
      <c r="C344" s="3"/>
      <c r="D344" s="3"/>
      <c r="E344" s="3"/>
      <c r="F344" s="3"/>
      <c r="G344" s="3"/>
      <c r="H344" s="3"/>
      <c r="I344" s="3"/>
      <c r="J344" s="3"/>
      <c r="K344" s="3"/>
      <c r="L344" s="3"/>
      <c r="M344" s="3"/>
      <c r="N344" s="3"/>
      <c r="O344" s="3"/>
      <c r="P344" s="3"/>
      <c r="Q344" s="3"/>
      <c r="R344" s="3"/>
      <c r="S344" s="3"/>
      <c r="T344" s="3"/>
      <c r="U344" s="3"/>
      <c r="V344" s="3"/>
      <c r="W344" s="3"/>
      <c r="X344" s="3"/>
      <c r="Y344" s="3"/>
      <c r="Z344" s="3"/>
      <c r="AA344" s="3"/>
    </row>
    <row r="345">
      <c r="A345" s="3"/>
      <c r="B345" s="3"/>
      <c r="C345" s="3"/>
      <c r="D345" s="3"/>
      <c r="E345" s="3"/>
      <c r="F345" s="3"/>
      <c r="G345" s="3"/>
      <c r="H345" s="3"/>
      <c r="I345" s="3"/>
      <c r="J345" s="3"/>
      <c r="K345" s="3"/>
      <c r="L345" s="3"/>
      <c r="M345" s="3"/>
      <c r="N345" s="3"/>
      <c r="O345" s="3"/>
      <c r="P345" s="3"/>
      <c r="Q345" s="3"/>
      <c r="R345" s="3"/>
      <c r="S345" s="3"/>
      <c r="T345" s="3"/>
      <c r="U345" s="3"/>
      <c r="V345" s="3"/>
      <c r="W345" s="3"/>
      <c r="X345" s="3"/>
      <c r="Y345" s="3"/>
      <c r="Z345" s="3"/>
      <c r="AA345" s="3"/>
    </row>
    <row r="346">
      <c r="A346" s="3"/>
      <c r="B346" s="3"/>
      <c r="C346" s="3"/>
      <c r="D346" s="3"/>
      <c r="E346" s="3"/>
      <c r="F346" s="3"/>
      <c r="G346" s="3"/>
      <c r="H346" s="3"/>
      <c r="I346" s="3"/>
      <c r="J346" s="3"/>
      <c r="K346" s="3"/>
      <c r="L346" s="3"/>
      <c r="M346" s="3"/>
      <c r="N346" s="3"/>
      <c r="O346" s="3"/>
      <c r="P346" s="3"/>
      <c r="Q346" s="3"/>
      <c r="R346" s="3"/>
      <c r="S346" s="3"/>
      <c r="T346" s="3"/>
      <c r="U346" s="3"/>
      <c r="V346" s="3"/>
      <c r="W346" s="3"/>
      <c r="X346" s="3"/>
      <c r="Y346" s="3"/>
      <c r="Z346" s="3"/>
      <c r="AA346" s="3"/>
    </row>
    <row r="347">
      <c r="A347" s="3"/>
      <c r="B347" s="3"/>
      <c r="C347" s="3"/>
      <c r="D347" s="3"/>
      <c r="E347" s="3"/>
      <c r="F347" s="3"/>
      <c r="G347" s="3"/>
      <c r="H347" s="3"/>
      <c r="I347" s="3"/>
      <c r="J347" s="3"/>
      <c r="K347" s="3"/>
      <c r="L347" s="3"/>
      <c r="M347" s="3"/>
      <c r="N347" s="3"/>
      <c r="O347" s="3"/>
      <c r="P347" s="3"/>
      <c r="Q347" s="3"/>
      <c r="R347" s="3"/>
      <c r="S347" s="3"/>
      <c r="T347" s="3"/>
      <c r="U347" s="3"/>
      <c r="V347" s="3"/>
      <c r="W347" s="3"/>
      <c r="X347" s="3"/>
      <c r="Y347" s="3"/>
      <c r="Z347" s="3"/>
      <c r="AA347" s="3"/>
    </row>
    <row r="348">
      <c r="A348" s="3"/>
      <c r="B348" s="3"/>
      <c r="C348" s="3"/>
      <c r="D348" s="3"/>
      <c r="E348" s="3"/>
      <c r="F348" s="3"/>
      <c r="G348" s="3"/>
      <c r="H348" s="3"/>
      <c r="I348" s="3"/>
      <c r="J348" s="3"/>
      <c r="K348" s="3"/>
      <c r="L348" s="3"/>
      <c r="M348" s="3"/>
      <c r="N348" s="3"/>
      <c r="O348" s="3"/>
      <c r="P348" s="3"/>
      <c r="Q348" s="3"/>
      <c r="R348" s="3"/>
      <c r="S348" s="3"/>
      <c r="T348" s="3"/>
      <c r="U348" s="3"/>
      <c r="V348" s="3"/>
      <c r="W348" s="3"/>
      <c r="X348" s="3"/>
      <c r="Y348" s="3"/>
      <c r="Z348" s="3"/>
      <c r="AA348" s="3"/>
    </row>
    <row r="349">
      <c r="A349" s="3"/>
      <c r="B349" s="3"/>
      <c r="C349" s="3"/>
      <c r="D349" s="3"/>
      <c r="E349" s="3"/>
      <c r="F349" s="3"/>
      <c r="G349" s="3"/>
      <c r="H349" s="3"/>
      <c r="I349" s="3"/>
      <c r="J349" s="3"/>
      <c r="K349" s="3"/>
      <c r="L349" s="3"/>
      <c r="M349" s="3"/>
      <c r="N349" s="3"/>
      <c r="O349" s="3"/>
      <c r="P349" s="3"/>
      <c r="Q349" s="3"/>
      <c r="R349" s="3"/>
      <c r="S349" s="3"/>
      <c r="T349" s="3"/>
      <c r="U349" s="3"/>
      <c r="V349" s="3"/>
      <c r="W349" s="3"/>
      <c r="X349" s="3"/>
      <c r="Y349" s="3"/>
      <c r="Z349" s="3"/>
      <c r="AA349" s="3"/>
    </row>
    <row r="350">
      <c r="A350" s="3"/>
      <c r="B350" s="3"/>
      <c r="C350" s="3"/>
      <c r="D350" s="3"/>
      <c r="E350" s="3"/>
      <c r="F350" s="3"/>
      <c r="G350" s="3"/>
      <c r="H350" s="3"/>
      <c r="I350" s="3"/>
      <c r="J350" s="3"/>
      <c r="K350" s="3"/>
      <c r="L350" s="3"/>
      <c r="M350" s="3"/>
      <c r="N350" s="3"/>
      <c r="O350" s="3"/>
      <c r="P350" s="3"/>
      <c r="Q350" s="3"/>
      <c r="R350" s="3"/>
      <c r="S350" s="3"/>
      <c r="T350" s="3"/>
      <c r="U350" s="3"/>
      <c r="V350" s="3"/>
      <c r="W350" s="3"/>
      <c r="X350" s="3"/>
      <c r="Y350" s="3"/>
      <c r="Z350" s="3"/>
      <c r="AA350" s="3"/>
    </row>
    <row r="351">
      <c r="A351" s="3"/>
      <c r="B351" s="3"/>
      <c r="C351" s="3"/>
      <c r="D351" s="3"/>
      <c r="E351" s="3"/>
      <c r="F351" s="3"/>
      <c r="G351" s="3"/>
      <c r="H351" s="3"/>
      <c r="I351" s="3"/>
      <c r="J351" s="3"/>
      <c r="K351" s="3"/>
      <c r="L351" s="3"/>
      <c r="M351" s="3"/>
      <c r="N351" s="3"/>
      <c r="O351" s="3"/>
      <c r="P351" s="3"/>
      <c r="Q351" s="3"/>
      <c r="R351" s="3"/>
      <c r="S351" s="3"/>
      <c r="T351" s="3"/>
      <c r="U351" s="3"/>
      <c r="V351" s="3"/>
      <c r="W351" s="3"/>
      <c r="X351" s="3"/>
      <c r="Y351" s="3"/>
      <c r="Z351" s="3"/>
      <c r="AA351" s="3"/>
    </row>
    <row r="352">
      <c r="A352" s="3"/>
      <c r="B352" s="3"/>
      <c r="C352" s="3"/>
      <c r="D352" s="3"/>
      <c r="E352" s="3"/>
      <c r="F352" s="3"/>
      <c r="G352" s="3"/>
      <c r="H352" s="3"/>
      <c r="I352" s="3"/>
      <c r="J352" s="3"/>
      <c r="K352" s="3"/>
      <c r="L352" s="3"/>
      <c r="M352" s="3"/>
      <c r="N352" s="3"/>
      <c r="O352" s="3"/>
      <c r="P352" s="3"/>
      <c r="Q352" s="3"/>
      <c r="R352" s="3"/>
      <c r="S352" s="3"/>
      <c r="T352" s="3"/>
      <c r="U352" s="3"/>
      <c r="V352" s="3"/>
      <c r="W352" s="3"/>
      <c r="X352" s="3"/>
      <c r="Y352" s="3"/>
      <c r="Z352" s="3"/>
      <c r="AA352" s="3"/>
    </row>
    <row r="353">
      <c r="A353" s="3"/>
      <c r="B353" s="3"/>
      <c r="C353" s="3"/>
      <c r="D353" s="3"/>
      <c r="E353" s="3"/>
      <c r="F353" s="3"/>
      <c r="G353" s="3"/>
      <c r="H353" s="3"/>
      <c r="I353" s="3"/>
      <c r="J353" s="3"/>
      <c r="K353" s="3"/>
      <c r="L353" s="3"/>
      <c r="M353" s="3"/>
      <c r="N353" s="3"/>
      <c r="O353" s="3"/>
      <c r="P353" s="3"/>
      <c r="Q353" s="3"/>
      <c r="R353" s="3"/>
      <c r="S353" s="3"/>
      <c r="T353" s="3"/>
      <c r="U353" s="3"/>
      <c r="V353" s="3"/>
      <c r="W353" s="3"/>
      <c r="X353" s="3"/>
      <c r="Y353" s="3"/>
      <c r="Z353" s="3"/>
      <c r="AA353" s="3"/>
    </row>
    <row r="354">
      <c r="A354" s="3"/>
      <c r="B354" s="3"/>
      <c r="C354" s="3"/>
      <c r="D354" s="3"/>
      <c r="E354" s="3"/>
      <c r="F354" s="3"/>
      <c r="G354" s="3"/>
      <c r="H354" s="3"/>
      <c r="I354" s="3"/>
      <c r="J354" s="3"/>
      <c r="K354" s="3"/>
      <c r="L354" s="3"/>
      <c r="M354" s="3"/>
      <c r="N354" s="3"/>
      <c r="O354" s="3"/>
      <c r="P354" s="3"/>
      <c r="Q354" s="3"/>
      <c r="R354" s="3"/>
      <c r="S354" s="3"/>
      <c r="T354" s="3"/>
      <c r="U354" s="3"/>
      <c r="V354" s="3"/>
      <c r="W354" s="3"/>
      <c r="X354" s="3"/>
      <c r="Y354" s="3"/>
      <c r="Z354" s="3"/>
      <c r="AA354" s="3"/>
    </row>
    <row r="355">
      <c r="A355" s="3"/>
      <c r="B355" s="3"/>
      <c r="C355" s="3"/>
      <c r="D355" s="3"/>
      <c r="E355" s="3"/>
      <c r="F355" s="3"/>
      <c r="G355" s="3"/>
      <c r="H355" s="3"/>
      <c r="I355" s="3"/>
      <c r="J355" s="3"/>
      <c r="K355" s="3"/>
      <c r="L355" s="3"/>
      <c r="M355" s="3"/>
      <c r="N355" s="3"/>
      <c r="O355" s="3"/>
      <c r="P355" s="3"/>
      <c r="Q355" s="3"/>
      <c r="R355" s="3"/>
      <c r="S355" s="3"/>
      <c r="T355" s="3"/>
      <c r="U355" s="3"/>
      <c r="V355" s="3"/>
      <c r="W355" s="3"/>
      <c r="X355" s="3"/>
      <c r="Y355" s="3"/>
      <c r="Z355" s="3"/>
      <c r="AA355" s="3"/>
    </row>
    <row r="356">
      <c r="A356" s="3"/>
      <c r="B356" s="3"/>
      <c r="C356" s="3"/>
      <c r="D356" s="3"/>
      <c r="E356" s="3"/>
      <c r="F356" s="3"/>
      <c r="G356" s="3"/>
      <c r="H356" s="3"/>
      <c r="I356" s="3"/>
      <c r="J356" s="3"/>
      <c r="K356" s="3"/>
      <c r="L356" s="3"/>
      <c r="M356" s="3"/>
      <c r="N356" s="3"/>
      <c r="O356" s="3"/>
      <c r="P356" s="3"/>
      <c r="Q356" s="3"/>
      <c r="R356" s="3"/>
      <c r="S356" s="3"/>
      <c r="T356" s="3"/>
      <c r="U356" s="3"/>
      <c r="V356" s="3"/>
      <c r="W356" s="3"/>
      <c r="X356" s="3"/>
      <c r="Y356" s="3"/>
      <c r="Z356" s="3"/>
      <c r="AA356" s="3"/>
    </row>
    <row r="357">
      <c r="A357" s="3"/>
      <c r="B357" s="3"/>
      <c r="C357" s="3"/>
      <c r="D357" s="3"/>
      <c r="E357" s="3"/>
      <c r="F357" s="3"/>
      <c r="G357" s="3"/>
      <c r="H357" s="3"/>
      <c r="I357" s="3"/>
      <c r="J357" s="3"/>
      <c r="K357" s="3"/>
      <c r="L357" s="3"/>
      <c r="M357" s="3"/>
      <c r="N357" s="3"/>
      <c r="O357" s="3"/>
      <c r="P357" s="3"/>
      <c r="Q357" s="3"/>
      <c r="R357" s="3"/>
      <c r="S357" s="3"/>
      <c r="T357" s="3"/>
      <c r="U357" s="3"/>
      <c r="V357" s="3"/>
      <c r="W357" s="3"/>
      <c r="X357" s="3"/>
      <c r="Y357" s="3"/>
      <c r="Z357" s="3"/>
      <c r="AA357" s="3"/>
    </row>
    <row r="358">
      <c r="A358" s="3"/>
      <c r="B358" s="3"/>
      <c r="C358" s="3"/>
      <c r="D358" s="3"/>
      <c r="E358" s="3"/>
      <c r="F358" s="3"/>
      <c r="G358" s="3"/>
      <c r="H358" s="3"/>
      <c r="I358" s="3"/>
      <c r="J358" s="3"/>
      <c r="K358" s="3"/>
      <c r="L358" s="3"/>
      <c r="M358" s="3"/>
      <c r="N358" s="3"/>
      <c r="O358" s="3"/>
      <c r="P358" s="3"/>
      <c r="Q358" s="3"/>
      <c r="R358" s="3"/>
      <c r="S358" s="3"/>
      <c r="T358" s="3"/>
      <c r="U358" s="3"/>
      <c r="V358" s="3"/>
      <c r="W358" s="3"/>
      <c r="X358" s="3"/>
      <c r="Y358" s="3"/>
      <c r="Z358" s="3"/>
      <c r="AA358" s="3"/>
    </row>
    <row r="359">
      <c r="A359" s="3"/>
      <c r="B359" s="3"/>
      <c r="C359" s="3"/>
      <c r="D359" s="3"/>
      <c r="E359" s="3"/>
      <c r="F359" s="3"/>
      <c r="G359" s="3"/>
      <c r="H359" s="3"/>
      <c r="I359" s="3"/>
      <c r="J359" s="3"/>
      <c r="K359" s="3"/>
      <c r="L359" s="3"/>
      <c r="M359" s="3"/>
      <c r="N359" s="3"/>
      <c r="O359" s="3"/>
      <c r="P359" s="3"/>
      <c r="Q359" s="3"/>
      <c r="R359" s="3"/>
      <c r="S359" s="3"/>
      <c r="T359" s="3"/>
      <c r="U359" s="3"/>
      <c r="V359" s="3"/>
      <c r="W359" s="3"/>
      <c r="X359" s="3"/>
      <c r="Y359" s="3"/>
      <c r="Z359" s="3"/>
      <c r="AA359" s="3"/>
    </row>
    <row r="360">
      <c r="A360" s="3"/>
      <c r="B360" s="3"/>
      <c r="C360" s="3"/>
      <c r="D360" s="3"/>
      <c r="E360" s="3"/>
      <c r="F360" s="3"/>
      <c r="G360" s="3"/>
      <c r="H360" s="3"/>
      <c r="I360" s="3"/>
      <c r="J360" s="3"/>
      <c r="K360" s="3"/>
      <c r="L360" s="3"/>
      <c r="M360" s="3"/>
      <c r="N360" s="3"/>
      <c r="O360" s="3"/>
      <c r="P360" s="3"/>
      <c r="Q360" s="3"/>
      <c r="R360" s="3"/>
      <c r="S360" s="3"/>
      <c r="T360" s="3"/>
      <c r="U360" s="3"/>
      <c r="V360" s="3"/>
      <c r="W360" s="3"/>
      <c r="X360" s="3"/>
      <c r="Y360" s="3"/>
      <c r="Z360" s="3"/>
      <c r="AA360" s="3"/>
    </row>
    <row r="361">
      <c r="A361" s="3"/>
      <c r="B361" s="3"/>
      <c r="C361" s="3"/>
      <c r="D361" s="3"/>
      <c r="E361" s="3"/>
      <c r="F361" s="3"/>
      <c r="G361" s="3"/>
      <c r="H361" s="3"/>
      <c r="I361" s="3"/>
      <c r="J361" s="3"/>
      <c r="K361" s="3"/>
      <c r="L361" s="3"/>
      <c r="M361" s="3"/>
      <c r="N361" s="3"/>
      <c r="O361" s="3"/>
      <c r="P361" s="3"/>
      <c r="Q361" s="3"/>
      <c r="R361" s="3"/>
      <c r="S361" s="3"/>
      <c r="T361" s="3"/>
      <c r="U361" s="3"/>
      <c r="V361" s="3"/>
      <c r="W361" s="3"/>
      <c r="X361" s="3"/>
      <c r="Y361" s="3"/>
      <c r="Z361" s="3"/>
      <c r="AA361" s="3"/>
    </row>
    <row r="362">
      <c r="A362" s="3"/>
      <c r="B362" s="3"/>
      <c r="C362" s="3"/>
      <c r="D362" s="3"/>
      <c r="E362" s="3"/>
      <c r="F362" s="3"/>
      <c r="G362" s="3"/>
      <c r="H362" s="3"/>
      <c r="I362" s="3"/>
      <c r="J362" s="3"/>
      <c r="K362" s="3"/>
      <c r="L362" s="3"/>
      <c r="M362" s="3"/>
      <c r="N362" s="3"/>
      <c r="O362" s="3"/>
      <c r="P362" s="3"/>
      <c r="Q362" s="3"/>
      <c r="R362" s="3"/>
      <c r="S362" s="3"/>
      <c r="T362" s="3"/>
      <c r="U362" s="3"/>
      <c r="V362" s="3"/>
      <c r="W362" s="3"/>
      <c r="X362" s="3"/>
      <c r="Y362" s="3"/>
      <c r="Z362" s="3"/>
      <c r="AA362" s="3"/>
    </row>
    <row r="363">
      <c r="A363" s="3"/>
      <c r="B363" s="3"/>
      <c r="C363" s="3"/>
      <c r="D363" s="3"/>
      <c r="E363" s="3"/>
      <c r="F363" s="3"/>
      <c r="G363" s="3"/>
      <c r="H363" s="3"/>
      <c r="I363" s="3"/>
      <c r="J363" s="3"/>
      <c r="K363" s="3"/>
      <c r="L363" s="3"/>
      <c r="M363" s="3"/>
      <c r="N363" s="3"/>
      <c r="O363" s="3"/>
      <c r="P363" s="3"/>
      <c r="Q363" s="3"/>
      <c r="R363" s="3"/>
      <c r="S363" s="3"/>
      <c r="T363" s="3"/>
      <c r="U363" s="3"/>
      <c r="V363" s="3"/>
      <c r="W363" s="3"/>
      <c r="X363" s="3"/>
      <c r="Y363" s="3"/>
      <c r="Z363" s="3"/>
      <c r="AA363" s="3"/>
    </row>
    <row r="364">
      <c r="A364" s="3"/>
      <c r="B364" s="3"/>
      <c r="C364" s="3"/>
      <c r="D364" s="3"/>
      <c r="E364" s="3"/>
      <c r="F364" s="3"/>
      <c r="G364" s="3"/>
      <c r="H364" s="3"/>
      <c r="I364" s="3"/>
      <c r="J364" s="3"/>
      <c r="K364" s="3"/>
      <c r="L364" s="3"/>
      <c r="M364" s="3"/>
      <c r="N364" s="3"/>
      <c r="O364" s="3"/>
      <c r="P364" s="3"/>
      <c r="Q364" s="3"/>
      <c r="R364" s="3"/>
      <c r="S364" s="3"/>
      <c r="T364" s="3"/>
      <c r="U364" s="3"/>
      <c r="V364" s="3"/>
      <c r="W364" s="3"/>
      <c r="X364" s="3"/>
      <c r="Y364" s="3"/>
      <c r="Z364" s="3"/>
      <c r="AA364" s="3"/>
    </row>
    <row r="365">
      <c r="A365" s="3"/>
      <c r="B365" s="3"/>
      <c r="C365" s="3"/>
      <c r="D365" s="3"/>
      <c r="E365" s="3"/>
      <c r="F365" s="3"/>
      <c r="G365" s="3"/>
      <c r="H365" s="3"/>
      <c r="I365" s="3"/>
      <c r="J365" s="3"/>
      <c r="K365" s="3"/>
      <c r="L365" s="3"/>
      <c r="M365" s="3"/>
      <c r="N365" s="3"/>
      <c r="O365" s="3"/>
      <c r="P365" s="3"/>
      <c r="Q365" s="3"/>
      <c r="R365" s="3"/>
      <c r="S365" s="3"/>
      <c r="T365" s="3"/>
      <c r="U365" s="3"/>
      <c r="V365" s="3"/>
      <c r="W365" s="3"/>
      <c r="X365" s="3"/>
      <c r="Y365" s="3"/>
      <c r="Z365" s="3"/>
      <c r="AA365" s="3"/>
    </row>
    <row r="366">
      <c r="A366" s="3"/>
      <c r="B366" s="3"/>
      <c r="C366" s="3"/>
      <c r="D366" s="3"/>
      <c r="E366" s="3"/>
      <c r="F366" s="3"/>
      <c r="G366" s="3"/>
      <c r="H366" s="3"/>
      <c r="I366" s="3"/>
      <c r="J366" s="3"/>
      <c r="K366" s="3"/>
      <c r="L366" s="3"/>
      <c r="M366" s="3"/>
      <c r="N366" s="3"/>
      <c r="O366" s="3"/>
      <c r="P366" s="3"/>
      <c r="Q366" s="3"/>
      <c r="R366" s="3"/>
      <c r="S366" s="3"/>
      <c r="T366" s="3"/>
      <c r="U366" s="3"/>
      <c r="V366" s="3"/>
      <c r="W366" s="3"/>
      <c r="X366" s="3"/>
      <c r="Y366" s="3"/>
      <c r="Z366" s="3"/>
      <c r="AA366" s="3"/>
    </row>
    <row r="367">
      <c r="A367" s="3"/>
      <c r="B367" s="3"/>
      <c r="C367" s="3"/>
      <c r="D367" s="3"/>
      <c r="E367" s="3"/>
      <c r="F367" s="3"/>
      <c r="G367" s="3"/>
      <c r="H367" s="3"/>
      <c r="I367" s="3"/>
      <c r="J367" s="3"/>
      <c r="K367" s="3"/>
      <c r="L367" s="3"/>
      <c r="M367" s="3"/>
      <c r="N367" s="3"/>
      <c r="O367" s="3"/>
      <c r="P367" s="3"/>
      <c r="Q367" s="3"/>
      <c r="R367" s="3"/>
      <c r="S367" s="3"/>
      <c r="T367" s="3"/>
      <c r="U367" s="3"/>
      <c r="V367" s="3"/>
      <c r="W367" s="3"/>
      <c r="X367" s="3"/>
      <c r="Y367" s="3"/>
      <c r="Z367" s="3"/>
      <c r="AA367" s="3"/>
    </row>
    <row r="368">
      <c r="A368" s="3"/>
      <c r="B368" s="3"/>
      <c r="C368" s="3"/>
      <c r="D368" s="3"/>
      <c r="E368" s="3"/>
      <c r="F368" s="3"/>
      <c r="G368" s="3"/>
      <c r="H368" s="3"/>
      <c r="I368" s="3"/>
      <c r="J368" s="3"/>
      <c r="K368" s="3"/>
      <c r="L368" s="3"/>
      <c r="M368" s="3"/>
      <c r="N368" s="3"/>
      <c r="O368" s="3"/>
      <c r="P368" s="3"/>
      <c r="Q368" s="3"/>
      <c r="R368" s="3"/>
      <c r="S368" s="3"/>
      <c r="T368" s="3"/>
      <c r="U368" s="3"/>
      <c r="V368" s="3"/>
      <c r="W368" s="3"/>
      <c r="X368" s="3"/>
      <c r="Y368" s="3"/>
      <c r="Z368" s="3"/>
      <c r="AA368" s="3"/>
    </row>
    <row r="369">
      <c r="A369" s="3"/>
      <c r="B369" s="3"/>
      <c r="C369" s="3"/>
      <c r="D369" s="3"/>
      <c r="E369" s="3"/>
      <c r="F369" s="3"/>
      <c r="G369" s="3"/>
      <c r="H369" s="3"/>
      <c r="I369" s="3"/>
      <c r="J369" s="3"/>
      <c r="K369" s="3"/>
      <c r="L369" s="3"/>
      <c r="M369" s="3"/>
      <c r="N369" s="3"/>
      <c r="O369" s="3"/>
      <c r="P369" s="3"/>
      <c r="Q369" s="3"/>
      <c r="R369" s="3"/>
      <c r="S369" s="3"/>
      <c r="T369" s="3"/>
      <c r="U369" s="3"/>
      <c r="V369" s="3"/>
      <c r="W369" s="3"/>
      <c r="X369" s="3"/>
      <c r="Y369" s="3"/>
      <c r="Z369" s="3"/>
      <c r="AA369" s="3"/>
    </row>
    <row r="370">
      <c r="A370" s="3"/>
      <c r="B370" s="3"/>
      <c r="C370" s="3"/>
      <c r="D370" s="3"/>
      <c r="E370" s="3"/>
      <c r="F370" s="3"/>
      <c r="G370" s="3"/>
      <c r="H370" s="3"/>
      <c r="I370" s="3"/>
      <c r="J370" s="3"/>
      <c r="K370" s="3"/>
      <c r="L370" s="3"/>
      <c r="M370" s="3"/>
      <c r="N370" s="3"/>
      <c r="O370" s="3"/>
      <c r="P370" s="3"/>
      <c r="Q370" s="3"/>
      <c r="R370" s="3"/>
      <c r="S370" s="3"/>
      <c r="T370" s="3"/>
      <c r="U370" s="3"/>
      <c r="V370" s="3"/>
      <c r="W370" s="3"/>
      <c r="X370" s="3"/>
      <c r="Y370" s="3"/>
      <c r="Z370" s="3"/>
      <c r="AA370" s="3"/>
    </row>
    <row r="371">
      <c r="A371" s="3"/>
      <c r="B371" s="3"/>
      <c r="C371" s="3"/>
      <c r="D371" s="3"/>
      <c r="E371" s="3"/>
      <c r="F371" s="3"/>
      <c r="G371" s="3"/>
      <c r="H371" s="3"/>
      <c r="I371" s="3"/>
      <c r="J371" s="3"/>
      <c r="K371" s="3"/>
      <c r="L371" s="3"/>
      <c r="M371" s="3"/>
      <c r="N371" s="3"/>
      <c r="O371" s="3"/>
      <c r="P371" s="3"/>
      <c r="Q371" s="3"/>
      <c r="R371" s="3"/>
      <c r="S371" s="3"/>
      <c r="T371" s="3"/>
      <c r="U371" s="3"/>
      <c r="V371" s="3"/>
      <c r="W371" s="3"/>
      <c r="X371" s="3"/>
      <c r="Y371" s="3"/>
      <c r="Z371" s="3"/>
      <c r="AA371" s="3"/>
    </row>
    <row r="372">
      <c r="A372" s="3"/>
      <c r="B372" s="3"/>
      <c r="C372" s="3"/>
      <c r="D372" s="3"/>
      <c r="E372" s="3"/>
      <c r="F372" s="3"/>
      <c r="G372" s="3"/>
      <c r="H372" s="3"/>
      <c r="I372" s="3"/>
      <c r="J372" s="3"/>
      <c r="K372" s="3"/>
      <c r="L372" s="3"/>
      <c r="M372" s="3"/>
      <c r="N372" s="3"/>
      <c r="O372" s="3"/>
      <c r="P372" s="3"/>
      <c r="Q372" s="3"/>
      <c r="R372" s="3"/>
      <c r="S372" s="3"/>
      <c r="T372" s="3"/>
      <c r="U372" s="3"/>
      <c r="V372" s="3"/>
      <c r="W372" s="3"/>
      <c r="X372" s="3"/>
      <c r="Y372" s="3"/>
      <c r="Z372" s="3"/>
      <c r="AA372" s="3"/>
    </row>
    <row r="373">
      <c r="A373" s="3"/>
      <c r="B373" s="3"/>
      <c r="C373" s="3"/>
      <c r="D373" s="3"/>
      <c r="E373" s="3"/>
      <c r="F373" s="3"/>
      <c r="G373" s="3"/>
      <c r="H373" s="3"/>
      <c r="I373" s="3"/>
      <c r="J373" s="3"/>
      <c r="K373" s="3"/>
      <c r="L373" s="3"/>
      <c r="M373" s="3"/>
      <c r="N373" s="3"/>
      <c r="O373" s="3"/>
      <c r="P373" s="3"/>
      <c r="Q373" s="3"/>
      <c r="R373" s="3"/>
      <c r="S373" s="3"/>
      <c r="T373" s="3"/>
      <c r="U373" s="3"/>
      <c r="V373" s="3"/>
      <c r="W373" s="3"/>
      <c r="X373" s="3"/>
      <c r="Y373" s="3"/>
      <c r="Z373" s="3"/>
      <c r="AA373" s="3"/>
    </row>
    <row r="374">
      <c r="A374" s="3"/>
      <c r="B374" s="3"/>
      <c r="C374" s="3"/>
      <c r="D374" s="3"/>
      <c r="E374" s="3"/>
      <c r="F374" s="3"/>
      <c r="G374" s="3"/>
      <c r="H374" s="3"/>
      <c r="I374" s="3"/>
      <c r="J374" s="3"/>
      <c r="K374" s="3"/>
      <c r="L374" s="3"/>
      <c r="M374" s="3"/>
      <c r="N374" s="3"/>
      <c r="O374" s="3"/>
      <c r="P374" s="3"/>
      <c r="Q374" s="3"/>
      <c r="R374" s="3"/>
      <c r="S374" s="3"/>
      <c r="T374" s="3"/>
      <c r="U374" s="3"/>
      <c r="V374" s="3"/>
      <c r="W374" s="3"/>
      <c r="X374" s="3"/>
      <c r="Y374" s="3"/>
      <c r="Z374" s="3"/>
      <c r="AA374" s="3"/>
    </row>
    <row r="375">
      <c r="A375" s="3"/>
      <c r="B375" s="3"/>
      <c r="C375" s="3"/>
      <c r="D375" s="3"/>
      <c r="E375" s="3"/>
      <c r="F375" s="3"/>
      <c r="G375" s="3"/>
      <c r="H375" s="3"/>
      <c r="I375" s="3"/>
      <c r="J375" s="3"/>
      <c r="K375" s="3"/>
      <c r="L375" s="3"/>
      <c r="M375" s="3"/>
      <c r="N375" s="3"/>
      <c r="O375" s="3"/>
      <c r="P375" s="3"/>
      <c r="Q375" s="3"/>
      <c r="R375" s="3"/>
      <c r="S375" s="3"/>
      <c r="T375" s="3"/>
      <c r="U375" s="3"/>
      <c r="V375" s="3"/>
      <c r="W375" s="3"/>
      <c r="X375" s="3"/>
      <c r="Y375" s="3"/>
      <c r="Z375" s="3"/>
      <c r="AA375" s="3"/>
    </row>
    <row r="376">
      <c r="A376" s="3"/>
      <c r="B376" s="3"/>
      <c r="C376" s="3"/>
      <c r="D376" s="3"/>
      <c r="E376" s="3"/>
      <c r="F376" s="3"/>
      <c r="G376" s="3"/>
      <c r="H376" s="3"/>
      <c r="I376" s="3"/>
      <c r="J376" s="3"/>
      <c r="K376" s="3"/>
      <c r="L376" s="3"/>
      <c r="M376" s="3"/>
      <c r="N376" s="3"/>
      <c r="O376" s="3"/>
      <c r="P376" s="3"/>
      <c r="Q376" s="3"/>
      <c r="R376" s="3"/>
      <c r="S376" s="3"/>
      <c r="T376" s="3"/>
      <c r="U376" s="3"/>
      <c r="V376" s="3"/>
      <c r="W376" s="3"/>
      <c r="X376" s="3"/>
      <c r="Y376" s="3"/>
      <c r="Z376" s="3"/>
      <c r="AA376" s="3"/>
    </row>
    <row r="377">
      <c r="A377" s="3"/>
      <c r="B377" s="3"/>
      <c r="C377" s="3"/>
      <c r="D377" s="3"/>
      <c r="E377" s="3"/>
      <c r="F377" s="3"/>
      <c r="G377" s="3"/>
      <c r="H377" s="3"/>
      <c r="I377" s="3"/>
      <c r="J377" s="3"/>
      <c r="K377" s="3"/>
      <c r="L377" s="3"/>
      <c r="M377" s="3"/>
      <c r="N377" s="3"/>
      <c r="O377" s="3"/>
      <c r="P377" s="3"/>
      <c r="Q377" s="3"/>
      <c r="R377" s="3"/>
      <c r="S377" s="3"/>
      <c r="T377" s="3"/>
      <c r="U377" s="3"/>
      <c r="V377" s="3"/>
      <c r="W377" s="3"/>
      <c r="X377" s="3"/>
      <c r="Y377" s="3"/>
      <c r="Z377" s="3"/>
      <c r="AA377" s="3"/>
    </row>
    <row r="378">
      <c r="A378" s="3"/>
      <c r="B378" s="3"/>
      <c r="C378" s="3"/>
      <c r="D378" s="3"/>
      <c r="E378" s="3"/>
      <c r="F378" s="3"/>
      <c r="G378" s="3"/>
      <c r="H378" s="3"/>
      <c r="I378" s="3"/>
      <c r="J378" s="3"/>
      <c r="K378" s="3"/>
      <c r="L378" s="3"/>
      <c r="M378" s="3"/>
      <c r="N378" s="3"/>
      <c r="O378" s="3"/>
      <c r="P378" s="3"/>
      <c r="Q378" s="3"/>
      <c r="R378" s="3"/>
      <c r="S378" s="3"/>
      <c r="T378" s="3"/>
      <c r="U378" s="3"/>
      <c r="V378" s="3"/>
      <c r="W378" s="3"/>
      <c r="X378" s="3"/>
      <c r="Y378" s="3"/>
      <c r="Z378" s="3"/>
      <c r="AA378" s="3"/>
    </row>
    <row r="379">
      <c r="A379" s="3"/>
      <c r="B379" s="3"/>
      <c r="C379" s="3"/>
      <c r="D379" s="3"/>
      <c r="E379" s="3"/>
      <c r="F379" s="3"/>
      <c r="G379" s="3"/>
      <c r="H379" s="3"/>
      <c r="I379" s="3"/>
      <c r="J379" s="3"/>
      <c r="K379" s="3"/>
      <c r="L379" s="3"/>
      <c r="M379" s="3"/>
      <c r="N379" s="3"/>
      <c r="O379" s="3"/>
      <c r="P379" s="3"/>
      <c r="Q379" s="3"/>
      <c r="R379" s="3"/>
      <c r="S379" s="3"/>
      <c r="T379" s="3"/>
      <c r="U379" s="3"/>
      <c r="V379" s="3"/>
      <c r="W379" s="3"/>
      <c r="X379" s="3"/>
      <c r="Y379" s="3"/>
      <c r="Z379" s="3"/>
      <c r="AA379" s="3"/>
    </row>
    <row r="380">
      <c r="A380" s="3"/>
      <c r="B380" s="3"/>
      <c r="C380" s="3"/>
      <c r="D380" s="3"/>
      <c r="E380" s="3"/>
      <c r="F380" s="3"/>
      <c r="G380" s="3"/>
      <c r="H380" s="3"/>
      <c r="I380" s="3"/>
      <c r="J380" s="3"/>
      <c r="K380" s="3"/>
      <c r="L380" s="3"/>
      <c r="M380" s="3"/>
      <c r="N380" s="3"/>
      <c r="O380" s="3"/>
      <c r="P380" s="3"/>
      <c r="Q380" s="3"/>
      <c r="R380" s="3"/>
      <c r="S380" s="3"/>
      <c r="T380" s="3"/>
      <c r="U380" s="3"/>
      <c r="V380" s="3"/>
      <c r="W380" s="3"/>
      <c r="X380" s="3"/>
      <c r="Y380" s="3"/>
      <c r="Z380" s="3"/>
      <c r="AA380" s="3"/>
    </row>
    <row r="381">
      <c r="A381" s="3"/>
      <c r="B381" s="3"/>
      <c r="C381" s="3"/>
      <c r="D381" s="3"/>
      <c r="E381" s="3"/>
      <c r="F381" s="3"/>
      <c r="G381" s="3"/>
      <c r="H381" s="3"/>
      <c r="I381" s="3"/>
      <c r="J381" s="3"/>
      <c r="K381" s="3"/>
      <c r="L381" s="3"/>
      <c r="M381" s="3"/>
      <c r="N381" s="3"/>
      <c r="O381" s="3"/>
      <c r="P381" s="3"/>
      <c r="Q381" s="3"/>
      <c r="R381" s="3"/>
      <c r="S381" s="3"/>
      <c r="T381" s="3"/>
      <c r="U381" s="3"/>
      <c r="V381" s="3"/>
      <c r="W381" s="3"/>
      <c r="X381" s="3"/>
      <c r="Y381" s="3"/>
      <c r="Z381" s="3"/>
      <c r="AA381" s="3"/>
    </row>
    <row r="382">
      <c r="A382" s="3"/>
      <c r="B382" s="3"/>
      <c r="C382" s="3"/>
      <c r="D382" s="3"/>
      <c r="E382" s="3"/>
      <c r="F382" s="3"/>
      <c r="G382" s="3"/>
      <c r="H382" s="3"/>
      <c r="I382" s="3"/>
      <c r="J382" s="3"/>
      <c r="K382" s="3"/>
      <c r="L382" s="3"/>
      <c r="M382" s="3"/>
      <c r="N382" s="3"/>
      <c r="O382" s="3"/>
      <c r="P382" s="3"/>
      <c r="Q382" s="3"/>
      <c r="R382" s="3"/>
      <c r="S382" s="3"/>
      <c r="T382" s="3"/>
      <c r="U382" s="3"/>
      <c r="V382" s="3"/>
      <c r="W382" s="3"/>
      <c r="X382" s="3"/>
      <c r="Y382" s="3"/>
      <c r="Z382" s="3"/>
      <c r="AA382" s="3"/>
    </row>
    <row r="383">
      <c r="A383" s="3"/>
      <c r="B383" s="3"/>
      <c r="C383" s="3"/>
      <c r="D383" s="3"/>
      <c r="E383" s="3"/>
      <c r="F383" s="3"/>
      <c r="G383" s="3"/>
      <c r="H383" s="3"/>
      <c r="I383" s="3"/>
      <c r="J383" s="3"/>
      <c r="K383" s="3"/>
      <c r="L383" s="3"/>
      <c r="M383" s="3"/>
      <c r="N383" s="3"/>
      <c r="O383" s="3"/>
      <c r="P383" s="3"/>
      <c r="Q383" s="3"/>
      <c r="R383" s="3"/>
      <c r="S383" s="3"/>
      <c r="T383" s="3"/>
      <c r="U383" s="3"/>
      <c r="V383" s="3"/>
      <c r="W383" s="3"/>
      <c r="X383" s="3"/>
      <c r="Y383" s="3"/>
      <c r="Z383" s="3"/>
      <c r="AA383" s="3"/>
    </row>
    <row r="384">
      <c r="A384" s="3"/>
      <c r="B384" s="3"/>
      <c r="C384" s="3"/>
      <c r="D384" s="3"/>
      <c r="E384" s="3"/>
      <c r="F384" s="3"/>
      <c r="G384" s="3"/>
      <c r="H384" s="3"/>
      <c r="I384" s="3"/>
      <c r="J384" s="3"/>
      <c r="K384" s="3"/>
      <c r="L384" s="3"/>
      <c r="M384" s="3"/>
      <c r="N384" s="3"/>
      <c r="O384" s="3"/>
      <c r="P384" s="3"/>
      <c r="Q384" s="3"/>
      <c r="R384" s="3"/>
      <c r="S384" s="3"/>
      <c r="T384" s="3"/>
      <c r="U384" s="3"/>
      <c r="V384" s="3"/>
      <c r="W384" s="3"/>
      <c r="X384" s="3"/>
      <c r="Y384" s="3"/>
      <c r="Z384" s="3"/>
      <c r="AA384" s="3"/>
    </row>
    <row r="385">
      <c r="A385" s="3"/>
      <c r="B385" s="3"/>
      <c r="C385" s="3"/>
      <c r="D385" s="3"/>
      <c r="E385" s="3"/>
      <c r="F385" s="3"/>
      <c r="G385" s="3"/>
      <c r="H385" s="3"/>
      <c r="I385" s="3"/>
      <c r="J385" s="3"/>
      <c r="K385" s="3"/>
      <c r="L385" s="3"/>
      <c r="M385" s="3"/>
      <c r="N385" s="3"/>
      <c r="O385" s="3"/>
      <c r="P385" s="3"/>
      <c r="Q385" s="3"/>
      <c r="R385" s="3"/>
      <c r="S385" s="3"/>
      <c r="T385" s="3"/>
      <c r="U385" s="3"/>
      <c r="V385" s="3"/>
      <c r="W385" s="3"/>
      <c r="X385" s="3"/>
      <c r="Y385" s="3"/>
      <c r="Z385" s="3"/>
      <c r="AA385" s="3"/>
    </row>
    <row r="386">
      <c r="A386" s="3"/>
      <c r="B386" s="3"/>
      <c r="C386" s="3"/>
      <c r="D386" s="3"/>
      <c r="E386" s="3"/>
      <c r="F386" s="3"/>
      <c r="G386" s="3"/>
      <c r="H386" s="3"/>
      <c r="I386" s="3"/>
      <c r="J386" s="3"/>
      <c r="K386" s="3"/>
      <c r="L386" s="3"/>
      <c r="M386" s="3"/>
      <c r="N386" s="3"/>
      <c r="O386" s="3"/>
      <c r="P386" s="3"/>
      <c r="Q386" s="3"/>
      <c r="R386" s="3"/>
      <c r="S386" s="3"/>
      <c r="T386" s="3"/>
      <c r="U386" s="3"/>
      <c r="V386" s="3"/>
      <c r="W386" s="3"/>
      <c r="X386" s="3"/>
      <c r="Y386" s="3"/>
      <c r="Z386" s="3"/>
      <c r="AA386" s="3"/>
    </row>
    <row r="387">
      <c r="A387" s="3"/>
      <c r="B387" s="3"/>
      <c r="C387" s="3"/>
      <c r="D387" s="3"/>
      <c r="E387" s="3"/>
      <c r="F387" s="3"/>
      <c r="G387" s="3"/>
      <c r="H387" s="3"/>
      <c r="I387" s="3"/>
      <c r="J387" s="3"/>
      <c r="K387" s="3"/>
      <c r="L387" s="3"/>
      <c r="M387" s="3"/>
      <c r="N387" s="3"/>
      <c r="O387" s="3"/>
      <c r="P387" s="3"/>
      <c r="Q387" s="3"/>
      <c r="R387" s="3"/>
      <c r="S387" s="3"/>
      <c r="T387" s="3"/>
      <c r="U387" s="3"/>
      <c r="V387" s="3"/>
      <c r="W387" s="3"/>
      <c r="X387" s="3"/>
      <c r="Y387" s="3"/>
      <c r="Z387" s="3"/>
      <c r="AA387" s="3"/>
    </row>
    <row r="388">
      <c r="A388" s="3"/>
      <c r="B388" s="3"/>
      <c r="C388" s="3"/>
      <c r="D388" s="3"/>
      <c r="E388" s="3"/>
      <c r="F388" s="3"/>
      <c r="G388" s="3"/>
      <c r="H388" s="3"/>
      <c r="I388" s="3"/>
      <c r="J388" s="3"/>
      <c r="K388" s="3"/>
      <c r="L388" s="3"/>
      <c r="M388" s="3"/>
      <c r="N388" s="3"/>
      <c r="O388" s="3"/>
      <c r="P388" s="3"/>
      <c r="Q388" s="3"/>
      <c r="R388" s="3"/>
      <c r="S388" s="3"/>
      <c r="T388" s="3"/>
      <c r="U388" s="3"/>
      <c r="V388" s="3"/>
      <c r="W388" s="3"/>
      <c r="X388" s="3"/>
      <c r="Y388" s="3"/>
      <c r="Z388" s="3"/>
      <c r="AA388" s="3"/>
    </row>
    <row r="389">
      <c r="A389" s="3"/>
      <c r="B389" s="3"/>
      <c r="C389" s="3"/>
      <c r="D389" s="3"/>
      <c r="E389" s="3"/>
      <c r="F389" s="3"/>
      <c r="G389" s="3"/>
      <c r="H389" s="3"/>
      <c r="I389" s="3"/>
      <c r="J389" s="3"/>
      <c r="K389" s="3"/>
      <c r="L389" s="3"/>
      <c r="M389" s="3"/>
      <c r="N389" s="3"/>
      <c r="O389" s="3"/>
      <c r="P389" s="3"/>
      <c r="Q389" s="3"/>
      <c r="R389" s="3"/>
      <c r="S389" s="3"/>
      <c r="T389" s="3"/>
      <c r="U389" s="3"/>
      <c r="V389" s="3"/>
      <c r="W389" s="3"/>
      <c r="X389" s="3"/>
      <c r="Y389" s="3"/>
      <c r="Z389" s="3"/>
      <c r="AA389" s="3"/>
    </row>
    <row r="390">
      <c r="A390" s="3"/>
      <c r="B390" s="3"/>
      <c r="C390" s="3"/>
      <c r="D390" s="3"/>
      <c r="E390" s="3"/>
      <c r="F390" s="3"/>
      <c r="G390" s="3"/>
      <c r="H390" s="3"/>
      <c r="I390" s="3"/>
      <c r="J390" s="3"/>
      <c r="K390" s="3"/>
      <c r="L390" s="3"/>
      <c r="M390" s="3"/>
      <c r="N390" s="3"/>
      <c r="O390" s="3"/>
      <c r="P390" s="3"/>
      <c r="Q390" s="3"/>
      <c r="R390" s="3"/>
      <c r="S390" s="3"/>
      <c r="T390" s="3"/>
      <c r="U390" s="3"/>
      <c r="V390" s="3"/>
      <c r="W390" s="3"/>
      <c r="X390" s="3"/>
      <c r="Y390" s="3"/>
      <c r="Z390" s="3"/>
      <c r="AA390" s="3"/>
    </row>
    <row r="391">
      <c r="A391" s="3"/>
      <c r="B391" s="3"/>
      <c r="C391" s="3"/>
      <c r="D391" s="3"/>
      <c r="E391" s="3"/>
      <c r="F391" s="3"/>
      <c r="G391" s="3"/>
      <c r="H391" s="3"/>
      <c r="I391" s="3"/>
      <c r="J391" s="3"/>
      <c r="K391" s="3"/>
      <c r="L391" s="3"/>
      <c r="M391" s="3"/>
      <c r="N391" s="3"/>
      <c r="O391" s="3"/>
      <c r="P391" s="3"/>
      <c r="Q391" s="3"/>
      <c r="R391" s="3"/>
      <c r="S391" s="3"/>
      <c r="T391" s="3"/>
      <c r="U391" s="3"/>
      <c r="V391" s="3"/>
      <c r="W391" s="3"/>
      <c r="X391" s="3"/>
      <c r="Y391" s="3"/>
      <c r="Z391" s="3"/>
      <c r="AA391" s="3"/>
    </row>
    <row r="392">
      <c r="A392" s="3"/>
      <c r="B392" s="3"/>
      <c r="C392" s="3"/>
      <c r="D392" s="3"/>
      <c r="E392" s="3"/>
      <c r="F392" s="3"/>
      <c r="G392" s="3"/>
      <c r="H392" s="3"/>
      <c r="I392" s="3"/>
      <c r="J392" s="3"/>
      <c r="K392" s="3"/>
      <c r="L392" s="3"/>
      <c r="M392" s="3"/>
      <c r="N392" s="3"/>
      <c r="O392" s="3"/>
      <c r="P392" s="3"/>
      <c r="Q392" s="3"/>
      <c r="R392" s="3"/>
      <c r="S392" s="3"/>
      <c r="T392" s="3"/>
      <c r="U392" s="3"/>
      <c r="V392" s="3"/>
      <c r="W392" s="3"/>
      <c r="X392" s="3"/>
      <c r="Y392" s="3"/>
      <c r="Z392" s="3"/>
      <c r="AA392" s="3"/>
    </row>
    <row r="393">
      <c r="A393" s="3"/>
      <c r="B393" s="3"/>
      <c r="C393" s="3"/>
      <c r="D393" s="3"/>
      <c r="E393" s="3"/>
      <c r="F393" s="3"/>
      <c r="G393" s="3"/>
      <c r="H393" s="3"/>
      <c r="I393" s="3"/>
      <c r="J393" s="3"/>
      <c r="K393" s="3"/>
      <c r="L393" s="3"/>
      <c r="M393" s="3"/>
      <c r="N393" s="3"/>
      <c r="O393" s="3"/>
      <c r="P393" s="3"/>
      <c r="Q393" s="3"/>
      <c r="R393" s="3"/>
      <c r="S393" s="3"/>
      <c r="T393" s="3"/>
      <c r="U393" s="3"/>
      <c r="V393" s="3"/>
      <c r="W393" s="3"/>
      <c r="X393" s="3"/>
      <c r="Y393" s="3"/>
      <c r="Z393" s="3"/>
      <c r="AA393" s="3"/>
    </row>
    <row r="394">
      <c r="A394" s="3"/>
      <c r="B394" s="3"/>
      <c r="C394" s="3"/>
      <c r="D394" s="3"/>
      <c r="E394" s="3"/>
      <c r="F394" s="3"/>
      <c r="G394" s="3"/>
      <c r="H394" s="3"/>
      <c r="I394" s="3"/>
      <c r="J394" s="3"/>
      <c r="K394" s="3"/>
      <c r="L394" s="3"/>
      <c r="M394" s="3"/>
      <c r="N394" s="3"/>
      <c r="O394" s="3"/>
      <c r="P394" s="3"/>
      <c r="Q394" s="3"/>
      <c r="R394" s="3"/>
      <c r="S394" s="3"/>
      <c r="T394" s="3"/>
      <c r="U394" s="3"/>
      <c r="V394" s="3"/>
      <c r="W394" s="3"/>
      <c r="X394" s="3"/>
      <c r="Y394" s="3"/>
      <c r="Z394" s="3"/>
      <c r="AA394" s="3"/>
    </row>
    <row r="395">
      <c r="A395" s="3"/>
      <c r="B395" s="3"/>
      <c r="C395" s="3"/>
      <c r="D395" s="3"/>
      <c r="E395" s="3"/>
      <c r="F395" s="3"/>
      <c r="G395" s="3"/>
      <c r="H395" s="3"/>
      <c r="I395" s="3"/>
      <c r="J395" s="3"/>
      <c r="K395" s="3"/>
      <c r="L395" s="3"/>
      <c r="M395" s="3"/>
      <c r="N395" s="3"/>
      <c r="O395" s="3"/>
      <c r="P395" s="3"/>
      <c r="Q395" s="3"/>
      <c r="R395" s="3"/>
      <c r="S395" s="3"/>
      <c r="T395" s="3"/>
      <c r="U395" s="3"/>
      <c r="V395" s="3"/>
      <c r="W395" s="3"/>
      <c r="X395" s="3"/>
      <c r="Y395" s="3"/>
      <c r="Z395" s="3"/>
      <c r="AA395" s="3"/>
    </row>
    <row r="396">
      <c r="A396" s="3"/>
      <c r="B396" s="3"/>
      <c r="C396" s="3"/>
      <c r="D396" s="3"/>
      <c r="E396" s="3"/>
      <c r="F396" s="3"/>
      <c r="G396" s="3"/>
      <c r="H396" s="3"/>
      <c r="I396" s="3"/>
      <c r="J396" s="3"/>
      <c r="K396" s="3"/>
      <c r="L396" s="3"/>
      <c r="M396" s="3"/>
      <c r="N396" s="3"/>
      <c r="O396" s="3"/>
      <c r="P396" s="3"/>
      <c r="Q396" s="3"/>
      <c r="R396" s="3"/>
      <c r="S396" s="3"/>
      <c r="T396" s="3"/>
      <c r="U396" s="3"/>
      <c r="V396" s="3"/>
      <c r="W396" s="3"/>
      <c r="X396" s="3"/>
      <c r="Y396" s="3"/>
      <c r="Z396" s="3"/>
      <c r="AA396" s="3"/>
    </row>
    <row r="397">
      <c r="A397" s="3"/>
      <c r="B397" s="3"/>
      <c r="C397" s="3"/>
      <c r="D397" s="3"/>
      <c r="E397" s="3"/>
      <c r="F397" s="3"/>
      <c r="G397" s="3"/>
      <c r="H397" s="3"/>
      <c r="I397" s="3"/>
      <c r="J397" s="3"/>
      <c r="K397" s="3"/>
      <c r="L397" s="3"/>
      <c r="M397" s="3"/>
      <c r="N397" s="3"/>
      <c r="O397" s="3"/>
      <c r="P397" s="3"/>
      <c r="Q397" s="3"/>
      <c r="R397" s="3"/>
      <c r="S397" s="3"/>
      <c r="T397" s="3"/>
      <c r="U397" s="3"/>
      <c r="V397" s="3"/>
      <c r="W397" s="3"/>
      <c r="X397" s="3"/>
      <c r="Y397" s="3"/>
      <c r="Z397" s="3"/>
      <c r="AA397" s="3"/>
    </row>
    <row r="398">
      <c r="A398" s="3"/>
      <c r="B398" s="3"/>
      <c r="C398" s="3"/>
      <c r="D398" s="3"/>
      <c r="E398" s="3"/>
      <c r="F398" s="3"/>
      <c r="G398" s="3"/>
      <c r="H398" s="3"/>
      <c r="I398" s="3"/>
      <c r="J398" s="3"/>
      <c r="K398" s="3"/>
      <c r="L398" s="3"/>
      <c r="M398" s="3"/>
      <c r="N398" s="3"/>
      <c r="O398" s="3"/>
      <c r="P398" s="3"/>
      <c r="Q398" s="3"/>
      <c r="R398" s="3"/>
      <c r="S398" s="3"/>
      <c r="T398" s="3"/>
      <c r="U398" s="3"/>
      <c r="V398" s="3"/>
      <c r="W398" s="3"/>
      <c r="X398" s="3"/>
      <c r="Y398" s="3"/>
      <c r="Z398" s="3"/>
      <c r="AA398" s="3"/>
    </row>
    <row r="399">
      <c r="A399" s="3"/>
      <c r="B399" s="3"/>
      <c r="C399" s="3"/>
      <c r="D399" s="3"/>
      <c r="E399" s="3"/>
      <c r="F399" s="3"/>
      <c r="G399" s="3"/>
      <c r="H399" s="3"/>
      <c r="I399" s="3"/>
      <c r="J399" s="3"/>
      <c r="K399" s="3"/>
      <c r="L399" s="3"/>
      <c r="M399" s="3"/>
      <c r="N399" s="3"/>
      <c r="O399" s="3"/>
      <c r="P399" s="3"/>
      <c r="Q399" s="3"/>
      <c r="R399" s="3"/>
      <c r="S399" s="3"/>
      <c r="T399" s="3"/>
      <c r="U399" s="3"/>
      <c r="V399" s="3"/>
      <c r="W399" s="3"/>
      <c r="X399" s="3"/>
      <c r="Y399" s="3"/>
      <c r="Z399" s="3"/>
      <c r="AA399" s="3"/>
    </row>
    <row r="400">
      <c r="A400" s="3"/>
      <c r="B400" s="3"/>
      <c r="C400" s="3"/>
      <c r="D400" s="3"/>
      <c r="E400" s="3"/>
      <c r="F400" s="3"/>
      <c r="G400" s="3"/>
      <c r="H400" s="3"/>
      <c r="I400" s="3"/>
      <c r="J400" s="3"/>
      <c r="K400" s="3"/>
      <c r="L400" s="3"/>
      <c r="M400" s="3"/>
      <c r="N400" s="3"/>
      <c r="O400" s="3"/>
      <c r="P400" s="3"/>
      <c r="Q400" s="3"/>
      <c r="R400" s="3"/>
      <c r="S400" s="3"/>
      <c r="T400" s="3"/>
      <c r="U400" s="3"/>
      <c r="V400" s="3"/>
      <c r="W400" s="3"/>
      <c r="X400" s="3"/>
      <c r="Y400" s="3"/>
      <c r="Z400" s="3"/>
      <c r="AA400" s="3"/>
    </row>
    <row r="401">
      <c r="A401" s="3"/>
      <c r="B401" s="3"/>
      <c r="C401" s="3"/>
      <c r="D401" s="3"/>
      <c r="E401" s="3"/>
      <c r="F401" s="3"/>
      <c r="G401" s="3"/>
      <c r="H401" s="3"/>
      <c r="I401" s="3"/>
      <c r="J401" s="3"/>
      <c r="K401" s="3"/>
      <c r="L401" s="3"/>
      <c r="M401" s="3"/>
      <c r="N401" s="3"/>
      <c r="O401" s="3"/>
      <c r="P401" s="3"/>
      <c r="Q401" s="3"/>
      <c r="R401" s="3"/>
      <c r="S401" s="3"/>
      <c r="T401" s="3"/>
      <c r="U401" s="3"/>
      <c r="V401" s="3"/>
      <c r="W401" s="3"/>
      <c r="X401" s="3"/>
      <c r="Y401" s="3"/>
      <c r="Z401" s="3"/>
      <c r="AA401" s="3"/>
    </row>
    <row r="402">
      <c r="A402" s="3"/>
      <c r="B402" s="3"/>
      <c r="C402" s="3"/>
      <c r="D402" s="3"/>
      <c r="E402" s="3"/>
      <c r="F402" s="3"/>
      <c r="G402" s="3"/>
      <c r="H402" s="3"/>
      <c r="I402" s="3"/>
      <c r="J402" s="3"/>
      <c r="K402" s="3"/>
      <c r="L402" s="3"/>
      <c r="M402" s="3"/>
      <c r="N402" s="3"/>
      <c r="O402" s="3"/>
      <c r="P402" s="3"/>
      <c r="Q402" s="3"/>
      <c r="R402" s="3"/>
      <c r="S402" s="3"/>
      <c r="T402" s="3"/>
      <c r="U402" s="3"/>
      <c r="V402" s="3"/>
      <c r="W402" s="3"/>
      <c r="X402" s="3"/>
      <c r="Y402" s="3"/>
      <c r="Z402" s="3"/>
      <c r="AA402" s="3"/>
    </row>
    <row r="403">
      <c r="A403" s="3"/>
      <c r="B403" s="3"/>
      <c r="C403" s="3"/>
      <c r="D403" s="3"/>
      <c r="E403" s="3"/>
      <c r="F403" s="3"/>
      <c r="G403" s="3"/>
      <c r="H403" s="3"/>
      <c r="I403" s="3"/>
      <c r="J403" s="3"/>
      <c r="K403" s="3"/>
      <c r="L403" s="3"/>
      <c r="M403" s="3"/>
      <c r="N403" s="3"/>
      <c r="O403" s="3"/>
      <c r="P403" s="3"/>
      <c r="Q403" s="3"/>
      <c r="R403" s="3"/>
      <c r="S403" s="3"/>
      <c r="T403" s="3"/>
      <c r="U403" s="3"/>
      <c r="V403" s="3"/>
      <c r="W403" s="3"/>
      <c r="X403" s="3"/>
      <c r="Y403" s="3"/>
      <c r="Z403" s="3"/>
      <c r="AA403" s="3"/>
    </row>
    <row r="404">
      <c r="A404" s="3"/>
      <c r="B404" s="3"/>
      <c r="C404" s="3"/>
      <c r="D404" s="3"/>
      <c r="E404" s="3"/>
      <c r="F404" s="3"/>
      <c r="G404" s="3"/>
      <c r="H404" s="3"/>
      <c r="I404" s="3"/>
      <c r="J404" s="3"/>
      <c r="K404" s="3"/>
      <c r="L404" s="3"/>
      <c r="M404" s="3"/>
      <c r="N404" s="3"/>
      <c r="O404" s="3"/>
      <c r="P404" s="3"/>
      <c r="Q404" s="3"/>
      <c r="R404" s="3"/>
      <c r="S404" s="3"/>
      <c r="T404" s="3"/>
      <c r="U404" s="3"/>
      <c r="V404" s="3"/>
      <c r="W404" s="3"/>
      <c r="X404" s="3"/>
      <c r="Y404" s="3"/>
      <c r="Z404" s="3"/>
      <c r="AA404" s="3"/>
    </row>
    <row r="405">
      <c r="A405" s="3"/>
      <c r="B405" s="3"/>
      <c r="C405" s="3"/>
      <c r="D405" s="3"/>
      <c r="E405" s="3"/>
      <c r="F405" s="3"/>
      <c r="G405" s="3"/>
      <c r="H405" s="3"/>
      <c r="I405" s="3"/>
      <c r="J405" s="3"/>
      <c r="K405" s="3"/>
      <c r="L405" s="3"/>
      <c r="M405" s="3"/>
      <c r="N405" s="3"/>
      <c r="O405" s="3"/>
      <c r="P405" s="3"/>
      <c r="Q405" s="3"/>
      <c r="R405" s="3"/>
      <c r="S405" s="3"/>
      <c r="T405" s="3"/>
      <c r="U405" s="3"/>
      <c r="V405" s="3"/>
      <c r="W405" s="3"/>
      <c r="X405" s="3"/>
      <c r="Y405" s="3"/>
      <c r="Z405" s="3"/>
      <c r="AA405" s="3"/>
    </row>
    <row r="406">
      <c r="A406" s="3"/>
      <c r="B406" s="3"/>
      <c r="C406" s="3"/>
      <c r="D406" s="3"/>
      <c r="E406" s="3"/>
      <c r="F406" s="3"/>
      <c r="G406" s="3"/>
      <c r="H406" s="3"/>
      <c r="I406" s="3"/>
      <c r="J406" s="3"/>
      <c r="K406" s="3"/>
      <c r="L406" s="3"/>
      <c r="M406" s="3"/>
      <c r="N406" s="3"/>
      <c r="O406" s="3"/>
      <c r="P406" s="3"/>
      <c r="Q406" s="3"/>
      <c r="R406" s="3"/>
      <c r="S406" s="3"/>
      <c r="T406" s="3"/>
      <c r="U406" s="3"/>
      <c r="V406" s="3"/>
      <c r="W406" s="3"/>
      <c r="X406" s="3"/>
      <c r="Y406" s="3"/>
      <c r="Z406" s="3"/>
      <c r="AA406" s="3"/>
    </row>
    <row r="407">
      <c r="A407" s="3"/>
      <c r="B407" s="3"/>
      <c r="C407" s="3"/>
      <c r="D407" s="3"/>
      <c r="E407" s="3"/>
      <c r="F407" s="3"/>
      <c r="G407" s="3"/>
      <c r="H407" s="3"/>
      <c r="I407" s="3"/>
      <c r="J407" s="3"/>
      <c r="K407" s="3"/>
      <c r="L407" s="3"/>
      <c r="M407" s="3"/>
      <c r="N407" s="3"/>
      <c r="O407" s="3"/>
      <c r="P407" s="3"/>
      <c r="Q407" s="3"/>
      <c r="R407" s="3"/>
      <c r="S407" s="3"/>
      <c r="T407" s="3"/>
      <c r="U407" s="3"/>
      <c r="V407" s="3"/>
      <c r="W407" s="3"/>
      <c r="X407" s="3"/>
      <c r="Y407" s="3"/>
      <c r="Z407" s="3"/>
      <c r="AA407" s="3"/>
    </row>
    <row r="408">
      <c r="A408" s="3"/>
      <c r="B408" s="3"/>
      <c r="C408" s="3"/>
      <c r="D408" s="3"/>
      <c r="E408" s="3"/>
      <c r="F408" s="3"/>
      <c r="G408" s="3"/>
      <c r="H408" s="3"/>
      <c r="I408" s="3"/>
      <c r="J408" s="3"/>
      <c r="K408" s="3"/>
      <c r="L408" s="3"/>
      <c r="M408" s="3"/>
      <c r="N408" s="3"/>
      <c r="O408" s="3"/>
      <c r="P408" s="3"/>
      <c r="Q408" s="3"/>
      <c r="R408" s="3"/>
      <c r="S408" s="3"/>
      <c r="T408" s="3"/>
      <c r="U408" s="3"/>
      <c r="V408" s="3"/>
      <c r="W408" s="3"/>
      <c r="X408" s="3"/>
      <c r="Y408" s="3"/>
      <c r="Z408" s="3"/>
      <c r="AA408" s="3"/>
    </row>
    <row r="409">
      <c r="A409" s="3"/>
      <c r="B409" s="3"/>
      <c r="C409" s="3"/>
      <c r="D409" s="3"/>
      <c r="E409" s="3"/>
      <c r="F409" s="3"/>
      <c r="G409" s="3"/>
      <c r="H409" s="3"/>
      <c r="I409" s="3"/>
      <c r="J409" s="3"/>
      <c r="K409" s="3"/>
      <c r="L409" s="3"/>
      <c r="M409" s="3"/>
      <c r="N409" s="3"/>
      <c r="O409" s="3"/>
      <c r="P409" s="3"/>
      <c r="Q409" s="3"/>
      <c r="R409" s="3"/>
      <c r="S409" s="3"/>
      <c r="T409" s="3"/>
      <c r="U409" s="3"/>
      <c r="V409" s="3"/>
      <c r="W409" s="3"/>
      <c r="X409" s="3"/>
      <c r="Y409" s="3"/>
      <c r="Z409" s="3"/>
      <c r="AA409" s="3"/>
    </row>
    <row r="410">
      <c r="A410" s="3"/>
      <c r="B410" s="3"/>
      <c r="C410" s="3"/>
      <c r="D410" s="3"/>
      <c r="E410" s="3"/>
      <c r="F410" s="3"/>
      <c r="G410" s="3"/>
      <c r="H410" s="3"/>
      <c r="I410" s="3"/>
      <c r="J410" s="3"/>
      <c r="K410" s="3"/>
      <c r="L410" s="3"/>
      <c r="M410" s="3"/>
      <c r="N410" s="3"/>
      <c r="O410" s="3"/>
      <c r="P410" s="3"/>
      <c r="Q410" s="3"/>
      <c r="R410" s="3"/>
      <c r="S410" s="3"/>
      <c r="T410" s="3"/>
      <c r="U410" s="3"/>
      <c r="V410" s="3"/>
      <c r="W410" s="3"/>
      <c r="X410" s="3"/>
      <c r="Y410" s="3"/>
      <c r="Z410" s="3"/>
      <c r="AA410" s="3"/>
    </row>
    <row r="411">
      <c r="A411" s="3"/>
      <c r="B411" s="3"/>
      <c r="C411" s="3"/>
      <c r="D411" s="3"/>
      <c r="E411" s="3"/>
      <c r="F411" s="3"/>
      <c r="G411" s="3"/>
      <c r="H411" s="3"/>
      <c r="I411" s="3"/>
      <c r="J411" s="3"/>
      <c r="K411" s="3"/>
      <c r="L411" s="3"/>
      <c r="M411" s="3"/>
      <c r="N411" s="3"/>
      <c r="O411" s="3"/>
      <c r="P411" s="3"/>
      <c r="Q411" s="3"/>
      <c r="R411" s="3"/>
      <c r="S411" s="3"/>
      <c r="T411" s="3"/>
      <c r="U411" s="3"/>
      <c r="V411" s="3"/>
      <c r="W411" s="3"/>
      <c r="X411" s="3"/>
      <c r="Y411" s="3"/>
      <c r="Z411" s="3"/>
      <c r="AA411" s="3"/>
    </row>
    <row r="412">
      <c r="A412" s="3"/>
      <c r="B412" s="3"/>
      <c r="C412" s="3"/>
      <c r="D412" s="3"/>
      <c r="E412" s="3"/>
      <c r="F412" s="3"/>
      <c r="G412" s="3"/>
      <c r="H412" s="3"/>
      <c r="I412" s="3"/>
      <c r="J412" s="3"/>
      <c r="K412" s="3"/>
      <c r="L412" s="3"/>
      <c r="M412" s="3"/>
      <c r="N412" s="3"/>
      <c r="O412" s="3"/>
      <c r="P412" s="3"/>
      <c r="Q412" s="3"/>
      <c r="R412" s="3"/>
      <c r="S412" s="3"/>
      <c r="T412" s="3"/>
      <c r="U412" s="3"/>
      <c r="V412" s="3"/>
      <c r="W412" s="3"/>
      <c r="X412" s="3"/>
      <c r="Y412" s="3"/>
      <c r="Z412" s="3"/>
      <c r="AA412" s="3"/>
    </row>
    <row r="413">
      <c r="A413" s="3"/>
      <c r="B413" s="3"/>
      <c r="C413" s="3"/>
      <c r="D413" s="3"/>
      <c r="E413" s="3"/>
      <c r="F413" s="3"/>
      <c r="G413" s="3"/>
      <c r="H413" s="3"/>
      <c r="I413" s="3"/>
      <c r="J413" s="3"/>
      <c r="K413" s="3"/>
      <c r="L413" s="3"/>
      <c r="M413" s="3"/>
      <c r="N413" s="3"/>
      <c r="O413" s="3"/>
      <c r="P413" s="3"/>
      <c r="Q413" s="3"/>
      <c r="R413" s="3"/>
      <c r="S413" s="3"/>
      <c r="T413" s="3"/>
      <c r="U413" s="3"/>
      <c r="V413" s="3"/>
      <c r="W413" s="3"/>
      <c r="X413" s="3"/>
      <c r="Y413" s="3"/>
      <c r="Z413" s="3"/>
      <c r="AA413" s="3"/>
    </row>
    <row r="414">
      <c r="A414" s="3"/>
      <c r="B414" s="3"/>
      <c r="C414" s="3"/>
      <c r="D414" s="3"/>
      <c r="E414" s="3"/>
      <c r="F414" s="3"/>
      <c r="G414" s="3"/>
      <c r="H414" s="3"/>
      <c r="I414" s="3"/>
      <c r="J414" s="3"/>
      <c r="K414" s="3"/>
      <c r="L414" s="3"/>
      <c r="M414" s="3"/>
      <c r="N414" s="3"/>
      <c r="O414" s="3"/>
      <c r="P414" s="3"/>
      <c r="Q414" s="3"/>
      <c r="R414" s="3"/>
      <c r="S414" s="3"/>
      <c r="T414" s="3"/>
      <c r="U414" s="3"/>
      <c r="V414" s="3"/>
      <c r="W414" s="3"/>
      <c r="X414" s="3"/>
      <c r="Y414" s="3"/>
      <c r="Z414" s="3"/>
      <c r="AA414" s="3"/>
    </row>
    <row r="415">
      <c r="A415" s="3"/>
      <c r="B415" s="3"/>
      <c r="C415" s="3"/>
      <c r="D415" s="3"/>
      <c r="E415" s="3"/>
      <c r="F415" s="3"/>
      <c r="G415" s="3"/>
      <c r="H415" s="3"/>
      <c r="I415" s="3"/>
      <c r="J415" s="3"/>
      <c r="K415" s="3"/>
      <c r="L415" s="3"/>
      <c r="M415" s="3"/>
      <c r="N415" s="3"/>
      <c r="O415" s="3"/>
      <c r="P415" s="3"/>
      <c r="Q415" s="3"/>
      <c r="R415" s="3"/>
      <c r="S415" s="3"/>
      <c r="T415" s="3"/>
      <c r="U415" s="3"/>
      <c r="V415" s="3"/>
      <c r="W415" s="3"/>
      <c r="X415" s="3"/>
      <c r="Y415" s="3"/>
      <c r="Z415" s="3"/>
      <c r="AA415" s="3"/>
    </row>
    <row r="416">
      <c r="A416" s="3"/>
      <c r="B416" s="3"/>
      <c r="C416" s="3"/>
      <c r="D416" s="3"/>
      <c r="E416" s="3"/>
      <c r="F416" s="3"/>
      <c r="G416" s="3"/>
      <c r="H416" s="3"/>
      <c r="I416" s="3"/>
      <c r="J416" s="3"/>
      <c r="K416" s="3"/>
      <c r="L416" s="3"/>
      <c r="M416" s="3"/>
      <c r="N416" s="3"/>
      <c r="O416" s="3"/>
      <c r="P416" s="3"/>
      <c r="Q416" s="3"/>
      <c r="R416" s="3"/>
      <c r="S416" s="3"/>
      <c r="T416" s="3"/>
      <c r="U416" s="3"/>
      <c r="V416" s="3"/>
      <c r="W416" s="3"/>
      <c r="X416" s="3"/>
      <c r="Y416" s="3"/>
      <c r="Z416" s="3"/>
      <c r="AA416" s="3"/>
    </row>
    <row r="417">
      <c r="A417" s="3"/>
      <c r="B417" s="3"/>
      <c r="C417" s="3"/>
      <c r="D417" s="3"/>
      <c r="E417" s="3"/>
      <c r="F417" s="3"/>
      <c r="G417" s="3"/>
      <c r="H417" s="3"/>
      <c r="I417" s="3"/>
      <c r="J417" s="3"/>
      <c r="K417" s="3"/>
      <c r="L417" s="3"/>
      <c r="M417" s="3"/>
      <c r="N417" s="3"/>
      <c r="O417" s="3"/>
      <c r="P417" s="3"/>
      <c r="Q417" s="3"/>
      <c r="R417" s="3"/>
      <c r="S417" s="3"/>
      <c r="T417" s="3"/>
      <c r="U417" s="3"/>
      <c r="V417" s="3"/>
      <c r="W417" s="3"/>
      <c r="X417" s="3"/>
      <c r="Y417" s="3"/>
      <c r="Z417" s="3"/>
      <c r="AA417" s="3"/>
    </row>
    <row r="418">
      <c r="A418" s="3"/>
      <c r="B418" s="3"/>
      <c r="C418" s="3"/>
      <c r="D418" s="3"/>
      <c r="E418" s="3"/>
      <c r="F418" s="3"/>
      <c r="G418" s="3"/>
      <c r="H418" s="3"/>
      <c r="I418" s="3"/>
      <c r="J418" s="3"/>
      <c r="K418" s="3"/>
      <c r="L418" s="3"/>
      <c r="M418" s="3"/>
      <c r="N418" s="3"/>
      <c r="O418" s="3"/>
      <c r="P418" s="3"/>
      <c r="Q418" s="3"/>
      <c r="R418" s="3"/>
      <c r="S418" s="3"/>
      <c r="T418" s="3"/>
      <c r="U418" s="3"/>
      <c r="V418" s="3"/>
      <c r="W418" s="3"/>
      <c r="X418" s="3"/>
      <c r="Y418" s="3"/>
      <c r="Z418" s="3"/>
      <c r="AA418" s="3"/>
    </row>
    <row r="419">
      <c r="A419" s="3"/>
      <c r="B419" s="3"/>
      <c r="C419" s="3"/>
      <c r="D419" s="3"/>
      <c r="E419" s="3"/>
      <c r="F419" s="3"/>
      <c r="G419" s="3"/>
      <c r="H419" s="3"/>
      <c r="I419" s="3"/>
      <c r="J419" s="3"/>
      <c r="K419" s="3"/>
      <c r="L419" s="3"/>
      <c r="M419" s="3"/>
      <c r="N419" s="3"/>
      <c r="O419" s="3"/>
      <c r="P419" s="3"/>
      <c r="Q419" s="3"/>
      <c r="R419" s="3"/>
      <c r="S419" s="3"/>
      <c r="T419" s="3"/>
      <c r="U419" s="3"/>
      <c r="V419" s="3"/>
      <c r="W419" s="3"/>
      <c r="X419" s="3"/>
      <c r="Y419" s="3"/>
      <c r="Z419" s="3"/>
      <c r="AA419" s="3"/>
    </row>
    <row r="420">
      <c r="A420" s="3"/>
      <c r="B420" s="3"/>
      <c r="C420" s="3"/>
      <c r="D420" s="3"/>
      <c r="E420" s="3"/>
      <c r="F420" s="3"/>
      <c r="G420" s="3"/>
      <c r="H420" s="3"/>
      <c r="I420" s="3"/>
      <c r="J420" s="3"/>
      <c r="K420" s="3"/>
      <c r="L420" s="3"/>
      <c r="M420" s="3"/>
      <c r="N420" s="3"/>
      <c r="O420" s="3"/>
      <c r="P420" s="3"/>
      <c r="Q420" s="3"/>
      <c r="R420" s="3"/>
      <c r="S420" s="3"/>
      <c r="T420" s="3"/>
      <c r="U420" s="3"/>
      <c r="V420" s="3"/>
      <c r="W420" s="3"/>
      <c r="X420" s="3"/>
      <c r="Y420" s="3"/>
      <c r="Z420" s="3"/>
      <c r="AA420" s="3"/>
    </row>
    <row r="421">
      <c r="A421" s="3"/>
      <c r="B421" s="3"/>
      <c r="C421" s="3"/>
      <c r="D421" s="3"/>
      <c r="E421" s="3"/>
      <c r="F421" s="3"/>
      <c r="G421" s="3"/>
      <c r="H421" s="3"/>
      <c r="I421" s="3"/>
      <c r="J421" s="3"/>
      <c r="K421" s="3"/>
      <c r="L421" s="3"/>
      <c r="M421" s="3"/>
      <c r="N421" s="3"/>
      <c r="O421" s="3"/>
      <c r="P421" s="3"/>
      <c r="Q421" s="3"/>
      <c r="R421" s="3"/>
      <c r="S421" s="3"/>
      <c r="T421" s="3"/>
      <c r="U421" s="3"/>
      <c r="V421" s="3"/>
      <c r="W421" s="3"/>
      <c r="X421" s="3"/>
      <c r="Y421" s="3"/>
      <c r="Z421" s="3"/>
      <c r="AA421" s="3"/>
    </row>
    <row r="422">
      <c r="A422" s="3"/>
      <c r="B422" s="3"/>
      <c r="C422" s="3"/>
      <c r="D422" s="3"/>
      <c r="E422" s="3"/>
      <c r="F422" s="3"/>
      <c r="G422" s="3"/>
      <c r="H422" s="3"/>
      <c r="I422" s="3"/>
      <c r="J422" s="3"/>
      <c r="K422" s="3"/>
      <c r="L422" s="3"/>
      <c r="M422" s="3"/>
      <c r="N422" s="3"/>
      <c r="O422" s="3"/>
      <c r="P422" s="3"/>
      <c r="Q422" s="3"/>
      <c r="R422" s="3"/>
      <c r="S422" s="3"/>
      <c r="T422" s="3"/>
      <c r="U422" s="3"/>
      <c r="V422" s="3"/>
      <c r="W422" s="3"/>
      <c r="X422" s="3"/>
      <c r="Y422" s="3"/>
      <c r="Z422" s="3"/>
      <c r="AA422" s="3"/>
    </row>
    <row r="423">
      <c r="A423" s="3"/>
      <c r="B423" s="3"/>
      <c r="C423" s="3"/>
      <c r="D423" s="3"/>
      <c r="E423" s="3"/>
      <c r="F423" s="3"/>
      <c r="G423" s="3"/>
      <c r="H423" s="3"/>
      <c r="I423" s="3"/>
      <c r="J423" s="3"/>
      <c r="K423" s="3"/>
      <c r="L423" s="3"/>
      <c r="M423" s="3"/>
      <c r="N423" s="3"/>
      <c r="O423" s="3"/>
      <c r="P423" s="3"/>
      <c r="Q423" s="3"/>
      <c r="R423" s="3"/>
      <c r="S423" s="3"/>
      <c r="T423" s="3"/>
      <c r="U423" s="3"/>
      <c r="V423" s="3"/>
      <c r="W423" s="3"/>
      <c r="X423" s="3"/>
      <c r="Y423" s="3"/>
      <c r="Z423" s="3"/>
      <c r="AA423" s="3"/>
    </row>
    <row r="424">
      <c r="A424" s="3"/>
      <c r="B424" s="3"/>
      <c r="C424" s="3"/>
      <c r="D424" s="3"/>
      <c r="E424" s="3"/>
      <c r="F424" s="3"/>
      <c r="G424" s="3"/>
      <c r="H424" s="3"/>
      <c r="I424" s="3"/>
      <c r="J424" s="3"/>
      <c r="K424" s="3"/>
      <c r="L424" s="3"/>
      <c r="M424" s="3"/>
      <c r="N424" s="3"/>
      <c r="O424" s="3"/>
      <c r="P424" s="3"/>
      <c r="Q424" s="3"/>
      <c r="R424" s="3"/>
      <c r="S424" s="3"/>
      <c r="T424" s="3"/>
      <c r="U424" s="3"/>
      <c r="V424" s="3"/>
      <c r="W424" s="3"/>
      <c r="X424" s="3"/>
      <c r="Y424" s="3"/>
      <c r="Z424" s="3"/>
      <c r="AA424" s="3"/>
    </row>
    <row r="425">
      <c r="A425" s="3"/>
      <c r="B425" s="3"/>
      <c r="C425" s="3"/>
      <c r="D425" s="3"/>
      <c r="E425" s="3"/>
      <c r="F425" s="3"/>
      <c r="G425" s="3"/>
      <c r="H425" s="3"/>
      <c r="I425" s="3"/>
      <c r="J425" s="3"/>
      <c r="K425" s="3"/>
      <c r="L425" s="3"/>
      <c r="M425" s="3"/>
      <c r="N425" s="3"/>
      <c r="O425" s="3"/>
      <c r="P425" s="3"/>
      <c r="Q425" s="3"/>
      <c r="R425" s="3"/>
      <c r="S425" s="3"/>
      <c r="T425" s="3"/>
      <c r="U425" s="3"/>
      <c r="V425" s="3"/>
      <c r="W425" s="3"/>
      <c r="X425" s="3"/>
      <c r="Y425" s="3"/>
      <c r="Z425" s="3"/>
      <c r="AA425" s="3"/>
    </row>
    <row r="426">
      <c r="A426" s="3"/>
      <c r="B426" s="3"/>
      <c r="C426" s="3"/>
      <c r="D426" s="3"/>
      <c r="E426" s="3"/>
      <c r="F426" s="3"/>
      <c r="G426" s="3"/>
      <c r="H426" s="3"/>
      <c r="I426" s="3"/>
      <c r="J426" s="3"/>
      <c r="K426" s="3"/>
      <c r="L426" s="3"/>
      <c r="M426" s="3"/>
      <c r="N426" s="3"/>
      <c r="O426" s="3"/>
      <c r="P426" s="3"/>
      <c r="Q426" s="3"/>
      <c r="R426" s="3"/>
      <c r="S426" s="3"/>
      <c r="T426" s="3"/>
      <c r="U426" s="3"/>
      <c r="V426" s="3"/>
      <c r="W426" s="3"/>
      <c r="X426" s="3"/>
      <c r="Y426" s="3"/>
      <c r="Z426" s="3"/>
      <c r="AA426" s="3"/>
    </row>
    <row r="427">
      <c r="A427" s="3"/>
      <c r="B427" s="3"/>
      <c r="C427" s="3"/>
      <c r="D427" s="3"/>
      <c r="E427" s="3"/>
      <c r="F427" s="3"/>
      <c r="G427" s="3"/>
      <c r="H427" s="3"/>
      <c r="I427" s="3"/>
      <c r="J427" s="3"/>
      <c r="K427" s="3"/>
      <c r="L427" s="3"/>
      <c r="M427" s="3"/>
      <c r="N427" s="3"/>
      <c r="O427" s="3"/>
      <c r="P427" s="3"/>
      <c r="Q427" s="3"/>
      <c r="R427" s="3"/>
      <c r="S427" s="3"/>
      <c r="T427" s="3"/>
      <c r="U427" s="3"/>
      <c r="V427" s="3"/>
      <c r="W427" s="3"/>
      <c r="X427" s="3"/>
      <c r="Y427" s="3"/>
      <c r="Z427" s="3"/>
      <c r="AA427" s="3"/>
    </row>
    <row r="428">
      <c r="A428" s="3"/>
      <c r="B428" s="3"/>
      <c r="C428" s="3"/>
      <c r="D428" s="3"/>
      <c r="E428" s="3"/>
      <c r="F428" s="3"/>
      <c r="G428" s="3"/>
      <c r="H428" s="3"/>
      <c r="I428" s="3"/>
      <c r="J428" s="3"/>
      <c r="K428" s="3"/>
      <c r="L428" s="3"/>
      <c r="M428" s="3"/>
      <c r="N428" s="3"/>
      <c r="O428" s="3"/>
      <c r="P428" s="3"/>
      <c r="Q428" s="3"/>
      <c r="R428" s="3"/>
      <c r="S428" s="3"/>
      <c r="T428" s="3"/>
      <c r="U428" s="3"/>
      <c r="V428" s="3"/>
      <c r="W428" s="3"/>
      <c r="X428" s="3"/>
      <c r="Y428" s="3"/>
      <c r="Z428" s="3"/>
      <c r="AA428" s="3"/>
    </row>
    <row r="429">
      <c r="A429" s="3"/>
      <c r="B429" s="3"/>
      <c r="C429" s="3"/>
      <c r="D429" s="3"/>
      <c r="E429" s="3"/>
      <c r="F429" s="3"/>
      <c r="G429" s="3"/>
      <c r="H429" s="3"/>
      <c r="I429" s="3"/>
      <c r="J429" s="3"/>
      <c r="K429" s="3"/>
      <c r="L429" s="3"/>
      <c r="M429" s="3"/>
      <c r="N429" s="3"/>
      <c r="O429" s="3"/>
      <c r="P429" s="3"/>
      <c r="Q429" s="3"/>
      <c r="R429" s="3"/>
      <c r="S429" s="3"/>
      <c r="T429" s="3"/>
      <c r="U429" s="3"/>
      <c r="V429" s="3"/>
      <c r="W429" s="3"/>
      <c r="X429" s="3"/>
      <c r="Y429" s="3"/>
      <c r="Z429" s="3"/>
      <c r="AA429" s="3"/>
    </row>
    <row r="430">
      <c r="A430" s="3"/>
      <c r="B430" s="3"/>
      <c r="C430" s="3"/>
      <c r="D430" s="3"/>
      <c r="E430" s="3"/>
      <c r="F430" s="3"/>
      <c r="G430" s="3"/>
      <c r="H430" s="3"/>
      <c r="I430" s="3"/>
      <c r="J430" s="3"/>
      <c r="K430" s="3"/>
      <c r="L430" s="3"/>
      <c r="M430" s="3"/>
      <c r="N430" s="3"/>
      <c r="O430" s="3"/>
      <c r="P430" s="3"/>
      <c r="Q430" s="3"/>
      <c r="R430" s="3"/>
      <c r="S430" s="3"/>
      <c r="T430" s="3"/>
      <c r="U430" s="3"/>
      <c r="V430" s="3"/>
      <c r="W430" s="3"/>
      <c r="X430" s="3"/>
      <c r="Y430" s="3"/>
      <c r="Z430" s="3"/>
      <c r="AA430" s="3"/>
    </row>
    <row r="431">
      <c r="A431" s="3"/>
      <c r="B431" s="3"/>
      <c r="C431" s="3"/>
      <c r="D431" s="3"/>
      <c r="E431" s="3"/>
      <c r="F431" s="3"/>
      <c r="G431" s="3"/>
      <c r="H431" s="3"/>
      <c r="I431" s="3"/>
      <c r="J431" s="3"/>
      <c r="K431" s="3"/>
      <c r="L431" s="3"/>
      <c r="M431" s="3"/>
      <c r="N431" s="3"/>
      <c r="O431" s="3"/>
      <c r="P431" s="3"/>
      <c r="Q431" s="3"/>
      <c r="R431" s="3"/>
      <c r="S431" s="3"/>
      <c r="T431" s="3"/>
      <c r="U431" s="3"/>
      <c r="V431" s="3"/>
      <c r="W431" s="3"/>
      <c r="X431" s="3"/>
      <c r="Y431" s="3"/>
      <c r="Z431" s="3"/>
      <c r="AA431" s="3"/>
    </row>
    <row r="432">
      <c r="A432" s="3"/>
      <c r="B432" s="3"/>
      <c r="C432" s="3"/>
      <c r="D432" s="3"/>
      <c r="E432" s="3"/>
      <c r="F432" s="3"/>
      <c r="G432" s="3"/>
      <c r="H432" s="3"/>
      <c r="I432" s="3"/>
      <c r="J432" s="3"/>
      <c r="K432" s="3"/>
      <c r="L432" s="3"/>
      <c r="M432" s="3"/>
      <c r="N432" s="3"/>
      <c r="O432" s="3"/>
      <c r="P432" s="3"/>
      <c r="Q432" s="3"/>
      <c r="R432" s="3"/>
      <c r="S432" s="3"/>
      <c r="T432" s="3"/>
      <c r="U432" s="3"/>
      <c r="V432" s="3"/>
      <c r="W432" s="3"/>
      <c r="X432" s="3"/>
      <c r="Y432" s="3"/>
      <c r="Z432" s="3"/>
      <c r="AA432" s="3"/>
    </row>
    <row r="433">
      <c r="A433" s="3"/>
      <c r="B433" s="3"/>
      <c r="C433" s="3"/>
      <c r="D433" s="3"/>
      <c r="E433" s="3"/>
      <c r="F433" s="3"/>
      <c r="G433" s="3"/>
      <c r="H433" s="3"/>
      <c r="I433" s="3"/>
      <c r="J433" s="3"/>
      <c r="K433" s="3"/>
      <c r="L433" s="3"/>
      <c r="M433" s="3"/>
      <c r="N433" s="3"/>
      <c r="O433" s="3"/>
      <c r="P433" s="3"/>
      <c r="Q433" s="3"/>
      <c r="R433" s="3"/>
      <c r="S433" s="3"/>
      <c r="T433" s="3"/>
      <c r="U433" s="3"/>
      <c r="V433" s="3"/>
      <c r="W433" s="3"/>
      <c r="X433" s="3"/>
      <c r="Y433" s="3"/>
      <c r="Z433" s="3"/>
      <c r="AA433" s="3"/>
    </row>
    <row r="434">
      <c r="A434" s="3"/>
      <c r="B434" s="3"/>
      <c r="C434" s="3"/>
      <c r="D434" s="3"/>
      <c r="E434" s="3"/>
      <c r="F434" s="3"/>
      <c r="G434" s="3"/>
      <c r="H434" s="3"/>
      <c r="I434" s="3"/>
      <c r="J434" s="3"/>
      <c r="K434" s="3"/>
      <c r="L434" s="3"/>
      <c r="M434" s="3"/>
      <c r="N434" s="3"/>
      <c r="O434" s="3"/>
      <c r="P434" s="3"/>
      <c r="Q434" s="3"/>
      <c r="R434" s="3"/>
      <c r="S434" s="3"/>
      <c r="T434" s="3"/>
      <c r="U434" s="3"/>
      <c r="V434" s="3"/>
      <c r="W434" s="3"/>
      <c r="X434" s="3"/>
      <c r="Y434" s="3"/>
      <c r="Z434" s="3"/>
      <c r="AA434" s="3"/>
    </row>
    <row r="435">
      <c r="A435" s="3"/>
      <c r="B435" s="3"/>
      <c r="C435" s="3"/>
      <c r="D435" s="3"/>
      <c r="E435" s="3"/>
      <c r="F435" s="3"/>
      <c r="G435" s="3"/>
      <c r="H435" s="3"/>
      <c r="I435" s="3"/>
      <c r="J435" s="3"/>
      <c r="K435" s="3"/>
      <c r="L435" s="3"/>
      <c r="M435" s="3"/>
      <c r="N435" s="3"/>
      <c r="O435" s="3"/>
      <c r="P435" s="3"/>
      <c r="Q435" s="3"/>
      <c r="R435" s="3"/>
      <c r="S435" s="3"/>
      <c r="T435" s="3"/>
      <c r="U435" s="3"/>
      <c r="V435" s="3"/>
      <c r="W435" s="3"/>
      <c r="X435" s="3"/>
      <c r="Y435" s="3"/>
      <c r="Z435" s="3"/>
      <c r="AA435" s="3"/>
    </row>
    <row r="436">
      <c r="A436" s="3"/>
      <c r="B436" s="3"/>
      <c r="C436" s="3"/>
      <c r="D436" s="3"/>
      <c r="E436" s="3"/>
      <c r="F436" s="3"/>
      <c r="G436" s="3"/>
      <c r="H436" s="3"/>
      <c r="I436" s="3"/>
      <c r="J436" s="3"/>
      <c r="K436" s="3"/>
      <c r="L436" s="3"/>
      <c r="M436" s="3"/>
      <c r="N436" s="3"/>
      <c r="O436" s="3"/>
      <c r="P436" s="3"/>
      <c r="Q436" s="3"/>
      <c r="R436" s="3"/>
      <c r="S436" s="3"/>
      <c r="T436" s="3"/>
      <c r="U436" s="3"/>
      <c r="V436" s="3"/>
      <c r="W436" s="3"/>
      <c r="X436" s="3"/>
      <c r="Y436" s="3"/>
      <c r="Z436" s="3"/>
      <c r="AA436" s="3"/>
    </row>
    <row r="437">
      <c r="A437" s="3"/>
      <c r="B437" s="3"/>
      <c r="C437" s="3"/>
      <c r="D437" s="3"/>
      <c r="E437" s="3"/>
      <c r="F437" s="3"/>
      <c r="G437" s="3"/>
      <c r="H437" s="3"/>
      <c r="I437" s="3"/>
      <c r="J437" s="3"/>
      <c r="K437" s="3"/>
      <c r="L437" s="3"/>
      <c r="M437" s="3"/>
      <c r="N437" s="3"/>
      <c r="O437" s="3"/>
      <c r="P437" s="3"/>
      <c r="Q437" s="3"/>
      <c r="R437" s="3"/>
      <c r="S437" s="3"/>
      <c r="T437" s="3"/>
      <c r="U437" s="3"/>
      <c r="V437" s="3"/>
      <c r="W437" s="3"/>
      <c r="X437" s="3"/>
      <c r="Y437" s="3"/>
      <c r="Z437" s="3"/>
      <c r="AA437" s="3"/>
    </row>
    <row r="438">
      <c r="A438" s="3"/>
      <c r="B438" s="3"/>
      <c r="C438" s="3"/>
      <c r="D438" s="3"/>
      <c r="E438" s="3"/>
      <c r="F438" s="3"/>
      <c r="G438" s="3"/>
      <c r="H438" s="3"/>
      <c r="I438" s="3"/>
      <c r="J438" s="3"/>
      <c r="K438" s="3"/>
      <c r="L438" s="3"/>
      <c r="M438" s="3"/>
      <c r="N438" s="3"/>
      <c r="O438" s="3"/>
      <c r="P438" s="3"/>
      <c r="Q438" s="3"/>
      <c r="R438" s="3"/>
      <c r="S438" s="3"/>
      <c r="T438" s="3"/>
      <c r="U438" s="3"/>
      <c r="V438" s="3"/>
      <c r="W438" s="3"/>
      <c r="X438" s="3"/>
      <c r="Y438" s="3"/>
      <c r="Z438" s="3"/>
      <c r="AA438" s="3"/>
    </row>
    <row r="439">
      <c r="A439" s="3"/>
      <c r="B439" s="3"/>
      <c r="C439" s="3"/>
      <c r="D439" s="3"/>
      <c r="E439" s="3"/>
      <c r="F439" s="3"/>
      <c r="G439" s="3"/>
      <c r="H439" s="3"/>
      <c r="I439" s="3"/>
      <c r="J439" s="3"/>
      <c r="K439" s="3"/>
      <c r="L439" s="3"/>
      <c r="M439" s="3"/>
      <c r="N439" s="3"/>
      <c r="O439" s="3"/>
      <c r="P439" s="3"/>
      <c r="Q439" s="3"/>
      <c r="R439" s="3"/>
      <c r="S439" s="3"/>
      <c r="T439" s="3"/>
      <c r="U439" s="3"/>
      <c r="V439" s="3"/>
      <c r="W439" s="3"/>
      <c r="X439" s="3"/>
      <c r="Y439" s="3"/>
      <c r="Z439" s="3"/>
      <c r="AA439" s="3"/>
    </row>
    <row r="440">
      <c r="A440" s="3"/>
      <c r="B440" s="3"/>
      <c r="C440" s="3"/>
      <c r="D440" s="3"/>
      <c r="E440" s="3"/>
      <c r="F440" s="3"/>
      <c r="G440" s="3"/>
      <c r="H440" s="3"/>
      <c r="I440" s="3"/>
      <c r="J440" s="3"/>
      <c r="K440" s="3"/>
      <c r="L440" s="3"/>
      <c r="M440" s="3"/>
      <c r="N440" s="3"/>
      <c r="O440" s="3"/>
      <c r="P440" s="3"/>
      <c r="Q440" s="3"/>
      <c r="R440" s="3"/>
      <c r="S440" s="3"/>
      <c r="T440" s="3"/>
      <c r="U440" s="3"/>
      <c r="V440" s="3"/>
      <c r="W440" s="3"/>
      <c r="X440" s="3"/>
      <c r="Y440" s="3"/>
      <c r="Z440" s="3"/>
      <c r="AA440" s="3"/>
    </row>
    <row r="441">
      <c r="A441" s="3"/>
      <c r="B441" s="3"/>
      <c r="C441" s="3"/>
      <c r="D441" s="3"/>
      <c r="E441" s="3"/>
      <c r="F441" s="3"/>
      <c r="G441" s="3"/>
      <c r="H441" s="3"/>
      <c r="I441" s="3"/>
      <c r="J441" s="3"/>
      <c r="K441" s="3"/>
      <c r="L441" s="3"/>
      <c r="M441" s="3"/>
      <c r="N441" s="3"/>
      <c r="O441" s="3"/>
      <c r="P441" s="3"/>
      <c r="Q441" s="3"/>
      <c r="R441" s="3"/>
      <c r="S441" s="3"/>
      <c r="T441" s="3"/>
      <c r="U441" s="3"/>
      <c r="V441" s="3"/>
      <c r="W441" s="3"/>
      <c r="X441" s="3"/>
      <c r="Y441" s="3"/>
      <c r="Z441" s="3"/>
      <c r="AA441" s="3"/>
    </row>
    <row r="442">
      <c r="A442" s="3"/>
      <c r="B442" s="3"/>
      <c r="C442" s="3"/>
      <c r="D442" s="3"/>
      <c r="E442" s="3"/>
      <c r="F442" s="3"/>
      <c r="G442" s="3"/>
      <c r="H442" s="3"/>
      <c r="I442" s="3"/>
      <c r="J442" s="3"/>
      <c r="K442" s="3"/>
      <c r="L442" s="3"/>
      <c r="M442" s="3"/>
      <c r="N442" s="3"/>
      <c r="O442" s="3"/>
      <c r="P442" s="3"/>
      <c r="Q442" s="3"/>
      <c r="R442" s="3"/>
      <c r="S442" s="3"/>
      <c r="T442" s="3"/>
      <c r="U442" s="3"/>
      <c r="V442" s="3"/>
      <c r="W442" s="3"/>
      <c r="X442" s="3"/>
      <c r="Y442" s="3"/>
      <c r="Z442" s="3"/>
      <c r="AA442" s="3"/>
    </row>
    <row r="443">
      <c r="A443" s="3"/>
      <c r="B443" s="3"/>
      <c r="C443" s="3"/>
      <c r="D443" s="3"/>
      <c r="E443" s="3"/>
      <c r="F443" s="3"/>
      <c r="G443" s="3"/>
      <c r="H443" s="3"/>
      <c r="I443" s="3"/>
      <c r="J443" s="3"/>
      <c r="K443" s="3"/>
      <c r="L443" s="3"/>
      <c r="M443" s="3"/>
      <c r="N443" s="3"/>
      <c r="O443" s="3"/>
      <c r="P443" s="3"/>
      <c r="Q443" s="3"/>
      <c r="R443" s="3"/>
      <c r="S443" s="3"/>
      <c r="T443" s="3"/>
      <c r="U443" s="3"/>
      <c r="V443" s="3"/>
      <c r="W443" s="3"/>
      <c r="X443" s="3"/>
      <c r="Y443" s="3"/>
      <c r="Z443" s="3"/>
      <c r="AA443" s="3"/>
    </row>
    <row r="444">
      <c r="A444" s="3"/>
      <c r="B444" s="3"/>
      <c r="C444" s="3"/>
      <c r="D444" s="3"/>
      <c r="E444" s="3"/>
      <c r="F444" s="3"/>
      <c r="G444" s="3"/>
      <c r="H444" s="3"/>
      <c r="I444" s="3"/>
      <c r="J444" s="3"/>
      <c r="K444" s="3"/>
      <c r="L444" s="3"/>
      <c r="M444" s="3"/>
      <c r="N444" s="3"/>
      <c r="O444" s="3"/>
      <c r="P444" s="3"/>
      <c r="Q444" s="3"/>
      <c r="R444" s="3"/>
      <c r="S444" s="3"/>
      <c r="T444" s="3"/>
      <c r="U444" s="3"/>
      <c r="V444" s="3"/>
      <c r="W444" s="3"/>
      <c r="X444" s="3"/>
      <c r="Y444" s="3"/>
      <c r="Z444" s="3"/>
      <c r="AA444" s="3"/>
    </row>
    <row r="445">
      <c r="A445" s="3"/>
      <c r="B445" s="3"/>
      <c r="C445" s="3"/>
      <c r="D445" s="3"/>
      <c r="E445" s="3"/>
      <c r="F445" s="3"/>
      <c r="G445" s="3"/>
      <c r="H445" s="3"/>
      <c r="I445" s="3"/>
      <c r="J445" s="3"/>
      <c r="K445" s="3"/>
      <c r="L445" s="3"/>
      <c r="M445" s="3"/>
      <c r="N445" s="3"/>
      <c r="O445" s="3"/>
      <c r="P445" s="3"/>
      <c r="Q445" s="3"/>
      <c r="R445" s="3"/>
      <c r="S445" s="3"/>
      <c r="T445" s="3"/>
      <c r="U445" s="3"/>
      <c r="V445" s="3"/>
      <c r="W445" s="3"/>
      <c r="X445" s="3"/>
      <c r="Y445" s="3"/>
      <c r="Z445" s="3"/>
      <c r="AA445" s="3"/>
    </row>
    <row r="446">
      <c r="A446" s="3"/>
      <c r="B446" s="3"/>
      <c r="C446" s="3"/>
      <c r="D446" s="3"/>
      <c r="E446" s="3"/>
      <c r="F446" s="3"/>
      <c r="G446" s="3"/>
      <c r="H446" s="3"/>
      <c r="I446" s="3"/>
      <c r="J446" s="3"/>
      <c r="K446" s="3"/>
      <c r="L446" s="3"/>
      <c r="M446" s="3"/>
      <c r="N446" s="3"/>
      <c r="O446" s="3"/>
      <c r="P446" s="3"/>
      <c r="Q446" s="3"/>
      <c r="R446" s="3"/>
      <c r="S446" s="3"/>
      <c r="T446" s="3"/>
      <c r="U446" s="3"/>
      <c r="V446" s="3"/>
      <c r="W446" s="3"/>
      <c r="X446" s="3"/>
      <c r="Y446" s="3"/>
      <c r="Z446" s="3"/>
      <c r="AA446" s="3"/>
    </row>
    <row r="447">
      <c r="A447" s="3"/>
      <c r="B447" s="3"/>
      <c r="C447" s="3"/>
      <c r="D447" s="3"/>
      <c r="E447" s="3"/>
      <c r="F447" s="3"/>
      <c r="G447" s="3"/>
      <c r="H447" s="3"/>
      <c r="I447" s="3"/>
      <c r="J447" s="3"/>
      <c r="K447" s="3"/>
      <c r="L447" s="3"/>
      <c r="M447" s="3"/>
      <c r="N447" s="3"/>
      <c r="O447" s="3"/>
      <c r="P447" s="3"/>
      <c r="Q447" s="3"/>
      <c r="R447" s="3"/>
      <c r="S447" s="3"/>
      <c r="T447" s="3"/>
      <c r="U447" s="3"/>
      <c r="V447" s="3"/>
      <c r="W447" s="3"/>
      <c r="X447" s="3"/>
      <c r="Y447" s="3"/>
      <c r="Z447" s="3"/>
      <c r="AA447" s="3"/>
    </row>
    <row r="448">
      <c r="A448" s="3"/>
      <c r="B448" s="3"/>
      <c r="C448" s="3"/>
      <c r="D448" s="3"/>
      <c r="E448" s="3"/>
      <c r="F448" s="3"/>
      <c r="G448" s="3"/>
      <c r="H448" s="3"/>
      <c r="I448" s="3"/>
      <c r="J448" s="3"/>
      <c r="K448" s="3"/>
      <c r="L448" s="3"/>
      <c r="M448" s="3"/>
      <c r="N448" s="3"/>
      <c r="O448" s="3"/>
      <c r="P448" s="3"/>
      <c r="Q448" s="3"/>
      <c r="R448" s="3"/>
      <c r="S448" s="3"/>
      <c r="T448" s="3"/>
      <c r="U448" s="3"/>
      <c r="V448" s="3"/>
      <c r="W448" s="3"/>
      <c r="X448" s="3"/>
      <c r="Y448" s="3"/>
      <c r="Z448" s="3"/>
      <c r="AA448" s="3"/>
    </row>
    <row r="449">
      <c r="A449" s="3"/>
      <c r="B449" s="3"/>
      <c r="C449" s="3"/>
      <c r="D449" s="3"/>
      <c r="E449" s="3"/>
      <c r="F449" s="3"/>
      <c r="G449" s="3"/>
      <c r="H449" s="3"/>
      <c r="I449" s="3"/>
      <c r="J449" s="3"/>
      <c r="K449" s="3"/>
      <c r="L449" s="3"/>
      <c r="M449" s="3"/>
      <c r="N449" s="3"/>
      <c r="O449" s="3"/>
      <c r="P449" s="3"/>
      <c r="Q449" s="3"/>
      <c r="R449" s="3"/>
      <c r="S449" s="3"/>
      <c r="T449" s="3"/>
      <c r="U449" s="3"/>
      <c r="V449" s="3"/>
      <c r="W449" s="3"/>
      <c r="X449" s="3"/>
      <c r="Y449" s="3"/>
      <c r="Z449" s="3"/>
      <c r="AA449" s="3"/>
    </row>
    <row r="450">
      <c r="A450" s="3"/>
      <c r="B450" s="3"/>
      <c r="C450" s="3"/>
      <c r="D450" s="3"/>
      <c r="E450" s="3"/>
      <c r="F450" s="3"/>
      <c r="G450" s="3"/>
      <c r="H450" s="3"/>
      <c r="I450" s="3"/>
      <c r="J450" s="3"/>
      <c r="K450" s="3"/>
      <c r="L450" s="3"/>
      <c r="M450" s="3"/>
      <c r="N450" s="3"/>
      <c r="O450" s="3"/>
      <c r="P450" s="3"/>
      <c r="Q450" s="3"/>
      <c r="R450" s="3"/>
      <c r="S450" s="3"/>
      <c r="T450" s="3"/>
      <c r="U450" s="3"/>
      <c r="V450" s="3"/>
      <c r="W450" s="3"/>
      <c r="X450" s="3"/>
      <c r="Y450" s="3"/>
      <c r="Z450" s="3"/>
      <c r="AA450" s="3"/>
    </row>
    <row r="451">
      <c r="A451" s="3"/>
      <c r="B451" s="3"/>
      <c r="C451" s="3"/>
      <c r="D451" s="3"/>
      <c r="E451" s="3"/>
      <c r="F451" s="3"/>
      <c r="G451" s="3"/>
      <c r="H451" s="3"/>
      <c r="I451" s="3"/>
      <c r="J451" s="3"/>
      <c r="K451" s="3"/>
      <c r="L451" s="3"/>
      <c r="M451" s="3"/>
      <c r="N451" s="3"/>
      <c r="O451" s="3"/>
      <c r="P451" s="3"/>
      <c r="Q451" s="3"/>
      <c r="R451" s="3"/>
      <c r="S451" s="3"/>
      <c r="T451" s="3"/>
      <c r="U451" s="3"/>
      <c r="V451" s="3"/>
      <c r="W451" s="3"/>
      <c r="X451" s="3"/>
      <c r="Y451" s="3"/>
      <c r="Z451" s="3"/>
      <c r="AA451" s="3"/>
    </row>
    <row r="452">
      <c r="A452" s="3"/>
      <c r="B452" s="3"/>
      <c r="C452" s="3"/>
      <c r="D452" s="3"/>
      <c r="E452" s="3"/>
      <c r="F452" s="3"/>
      <c r="G452" s="3"/>
      <c r="H452" s="3"/>
      <c r="I452" s="3"/>
      <c r="J452" s="3"/>
      <c r="K452" s="3"/>
      <c r="L452" s="3"/>
      <c r="M452" s="3"/>
      <c r="N452" s="3"/>
      <c r="O452" s="3"/>
      <c r="P452" s="3"/>
      <c r="Q452" s="3"/>
      <c r="R452" s="3"/>
      <c r="S452" s="3"/>
      <c r="T452" s="3"/>
      <c r="U452" s="3"/>
      <c r="V452" s="3"/>
      <c r="W452" s="3"/>
      <c r="X452" s="3"/>
      <c r="Y452" s="3"/>
      <c r="Z452" s="3"/>
      <c r="AA452" s="3"/>
    </row>
    <row r="453">
      <c r="A453" s="3"/>
      <c r="B453" s="3"/>
      <c r="C453" s="3"/>
      <c r="D453" s="3"/>
      <c r="E453" s="3"/>
      <c r="F453" s="3"/>
      <c r="G453" s="3"/>
      <c r="H453" s="3"/>
      <c r="I453" s="3"/>
      <c r="J453" s="3"/>
      <c r="K453" s="3"/>
      <c r="L453" s="3"/>
      <c r="M453" s="3"/>
      <c r="N453" s="3"/>
      <c r="O453" s="3"/>
      <c r="P453" s="3"/>
      <c r="Q453" s="3"/>
      <c r="R453" s="3"/>
      <c r="S453" s="3"/>
      <c r="T453" s="3"/>
      <c r="U453" s="3"/>
      <c r="V453" s="3"/>
      <c r="W453" s="3"/>
      <c r="X453" s="3"/>
      <c r="Y453" s="3"/>
      <c r="Z453" s="3"/>
      <c r="AA453" s="3"/>
    </row>
    <row r="454">
      <c r="A454" s="3"/>
      <c r="B454" s="3"/>
      <c r="C454" s="3"/>
      <c r="D454" s="3"/>
      <c r="E454" s="3"/>
      <c r="F454" s="3"/>
      <c r="G454" s="3"/>
      <c r="H454" s="3"/>
      <c r="I454" s="3"/>
      <c r="J454" s="3"/>
      <c r="K454" s="3"/>
      <c r="L454" s="3"/>
      <c r="M454" s="3"/>
      <c r="N454" s="3"/>
      <c r="O454" s="3"/>
      <c r="P454" s="3"/>
      <c r="Q454" s="3"/>
      <c r="R454" s="3"/>
      <c r="S454" s="3"/>
      <c r="T454" s="3"/>
      <c r="U454" s="3"/>
      <c r="V454" s="3"/>
      <c r="W454" s="3"/>
      <c r="X454" s="3"/>
      <c r="Y454" s="3"/>
      <c r="Z454" s="3"/>
      <c r="AA454" s="3"/>
    </row>
    <row r="455">
      <c r="A455" s="3"/>
      <c r="B455" s="3"/>
      <c r="C455" s="3"/>
      <c r="D455" s="3"/>
      <c r="E455" s="3"/>
      <c r="F455" s="3"/>
      <c r="G455" s="3"/>
      <c r="H455" s="3"/>
      <c r="I455" s="3"/>
      <c r="J455" s="3"/>
      <c r="K455" s="3"/>
      <c r="L455" s="3"/>
      <c r="M455" s="3"/>
      <c r="N455" s="3"/>
      <c r="O455" s="3"/>
      <c r="P455" s="3"/>
      <c r="Q455" s="3"/>
      <c r="R455" s="3"/>
      <c r="S455" s="3"/>
      <c r="T455" s="3"/>
      <c r="U455" s="3"/>
      <c r="V455" s="3"/>
      <c r="W455" s="3"/>
      <c r="X455" s="3"/>
      <c r="Y455" s="3"/>
      <c r="Z455" s="3"/>
      <c r="AA455" s="3"/>
    </row>
    <row r="456">
      <c r="A456" s="3"/>
      <c r="B456" s="3"/>
      <c r="C456" s="3"/>
      <c r="D456" s="3"/>
      <c r="E456" s="3"/>
      <c r="F456" s="3"/>
      <c r="G456" s="3"/>
      <c r="H456" s="3"/>
      <c r="I456" s="3"/>
      <c r="J456" s="3"/>
      <c r="K456" s="3"/>
      <c r="L456" s="3"/>
      <c r="M456" s="3"/>
      <c r="N456" s="3"/>
      <c r="O456" s="3"/>
      <c r="P456" s="3"/>
      <c r="Q456" s="3"/>
      <c r="R456" s="3"/>
      <c r="S456" s="3"/>
      <c r="T456" s="3"/>
      <c r="U456" s="3"/>
      <c r="V456" s="3"/>
      <c r="W456" s="3"/>
      <c r="X456" s="3"/>
      <c r="Y456" s="3"/>
      <c r="Z456" s="3"/>
      <c r="AA456" s="3"/>
    </row>
    <row r="457">
      <c r="A457" s="3"/>
      <c r="B457" s="3"/>
      <c r="C457" s="3"/>
      <c r="D457" s="3"/>
      <c r="E457" s="3"/>
      <c r="F457" s="3"/>
      <c r="G457" s="3"/>
      <c r="H457" s="3"/>
      <c r="I457" s="3"/>
      <c r="J457" s="3"/>
      <c r="K457" s="3"/>
      <c r="L457" s="3"/>
      <c r="M457" s="3"/>
      <c r="N457" s="3"/>
      <c r="O457" s="3"/>
      <c r="P457" s="3"/>
      <c r="Q457" s="3"/>
      <c r="R457" s="3"/>
      <c r="S457" s="3"/>
      <c r="T457" s="3"/>
      <c r="U457" s="3"/>
      <c r="V457" s="3"/>
      <c r="W457" s="3"/>
      <c r="X457" s="3"/>
      <c r="Y457" s="3"/>
      <c r="Z457" s="3"/>
      <c r="AA457" s="3"/>
    </row>
    <row r="458">
      <c r="A458" s="3"/>
      <c r="B458" s="3"/>
      <c r="C458" s="3"/>
      <c r="D458" s="3"/>
      <c r="E458" s="3"/>
      <c r="F458" s="3"/>
      <c r="G458" s="3"/>
      <c r="H458" s="3"/>
      <c r="I458" s="3"/>
      <c r="J458" s="3"/>
      <c r="K458" s="3"/>
      <c r="L458" s="3"/>
      <c r="M458" s="3"/>
      <c r="N458" s="3"/>
      <c r="O458" s="3"/>
      <c r="P458" s="3"/>
      <c r="Q458" s="3"/>
      <c r="R458" s="3"/>
      <c r="S458" s="3"/>
      <c r="T458" s="3"/>
      <c r="U458" s="3"/>
      <c r="V458" s="3"/>
      <c r="W458" s="3"/>
      <c r="X458" s="3"/>
      <c r="Y458" s="3"/>
      <c r="Z458" s="3"/>
      <c r="AA458" s="3"/>
    </row>
    <row r="459">
      <c r="A459" s="3"/>
      <c r="B459" s="3"/>
      <c r="C459" s="3"/>
      <c r="D459" s="3"/>
      <c r="E459" s="3"/>
      <c r="F459" s="3"/>
      <c r="G459" s="3"/>
      <c r="H459" s="3"/>
      <c r="I459" s="3"/>
      <c r="J459" s="3"/>
      <c r="K459" s="3"/>
      <c r="L459" s="3"/>
      <c r="M459" s="3"/>
      <c r="N459" s="3"/>
      <c r="O459" s="3"/>
      <c r="P459" s="3"/>
      <c r="Q459" s="3"/>
      <c r="R459" s="3"/>
      <c r="S459" s="3"/>
      <c r="T459" s="3"/>
      <c r="U459" s="3"/>
      <c r="V459" s="3"/>
      <c r="W459" s="3"/>
      <c r="X459" s="3"/>
      <c r="Y459" s="3"/>
      <c r="Z459" s="3"/>
      <c r="AA459" s="3"/>
    </row>
    <row r="460">
      <c r="A460" s="3"/>
      <c r="B460" s="3"/>
      <c r="C460" s="3"/>
      <c r="D460" s="3"/>
      <c r="E460" s="3"/>
      <c r="F460" s="3"/>
      <c r="G460" s="3"/>
      <c r="H460" s="3"/>
      <c r="I460" s="3"/>
      <c r="J460" s="3"/>
      <c r="K460" s="3"/>
      <c r="L460" s="3"/>
      <c r="M460" s="3"/>
      <c r="N460" s="3"/>
      <c r="O460" s="3"/>
      <c r="P460" s="3"/>
      <c r="Q460" s="3"/>
      <c r="R460" s="3"/>
      <c r="S460" s="3"/>
      <c r="T460" s="3"/>
      <c r="U460" s="3"/>
      <c r="V460" s="3"/>
      <c r="W460" s="3"/>
      <c r="X460" s="3"/>
      <c r="Y460" s="3"/>
      <c r="Z460" s="3"/>
      <c r="AA460" s="3"/>
    </row>
    <row r="461">
      <c r="A461" s="3"/>
      <c r="B461" s="3"/>
      <c r="C461" s="3"/>
      <c r="D461" s="3"/>
      <c r="E461" s="3"/>
      <c r="F461" s="3"/>
      <c r="G461" s="3"/>
      <c r="H461" s="3"/>
      <c r="I461" s="3"/>
      <c r="J461" s="3"/>
      <c r="K461" s="3"/>
      <c r="L461" s="3"/>
      <c r="M461" s="3"/>
      <c r="N461" s="3"/>
      <c r="O461" s="3"/>
      <c r="P461" s="3"/>
      <c r="Q461" s="3"/>
      <c r="R461" s="3"/>
      <c r="S461" s="3"/>
      <c r="T461" s="3"/>
      <c r="U461" s="3"/>
      <c r="V461" s="3"/>
      <c r="W461" s="3"/>
      <c r="X461" s="3"/>
      <c r="Y461" s="3"/>
      <c r="Z461" s="3"/>
      <c r="AA461" s="3"/>
    </row>
    <row r="462">
      <c r="A462" s="3"/>
      <c r="B462" s="3"/>
      <c r="C462" s="3"/>
      <c r="D462" s="3"/>
      <c r="E462" s="3"/>
      <c r="F462" s="3"/>
      <c r="G462" s="3"/>
      <c r="H462" s="3"/>
      <c r="I462" s="3"/>
      <c r="J462" s="3"/>
      <c r="K462" s="3"/>
      <c r="L462" s="3"/>
      <c r="M462" s="3"/>
      <c r="N462" s="3"/>
      <c r="O462" s="3"/>
      <c r="P462" s="3"/>
      <c r="Q462" s="3"/>
      <c r="R462" s="3"/>
      <c r="S462" s="3"/>
      <c r="T462" s="3"/>
      <c r="U462" s="3"/>
      <c r="V462" s="3"/>
      <c r="W462" s="3"/>
      <c r="X462" s="3"/>
      <c r="Y462" s="3"/>
      <c r="Z462" s="3"/>
      <c r="AA462" s="3"/>
    </row>
    <row r="463">
      <c r="A463" s="3"/>
      <c r="B463" s="3"/>
      <c r="C463" s="3"/>
      <c r="D463" s="3"/>
      <c r="E463" s="3"/>
      <c r="F463" s="3"/>
      <c r="G463" s="3"/>
      <c r="H463" s="3"/>
      <c r="I463" s="3"/>
      <c r="J463" s="3"/>
      <c r="K463" s="3"/>
      <c r="L463" s="3"/>
      <c r="M463" s="3"/>
      <c r="N463" s="3"/>
      <c r="O463" s="3"/>
      <c r="P463" s="3"/>
      <c r="Q463" s="3"/>
      <c r="R463" s="3"/>
      <c r="S463" s="3"/>
      <c r="T463" s="3"/>
      <c r="U463" s="3"/>
      <c r="V463" s="3"/>
      <c r="W463" s="3"/>
      <c r="X463" s="3"/>
      <c r="Y463" s="3"/>
      <c r="Z463" s="3"/>
      <c r="AA463" s="3"/>
    </row>
    <row r="464">
      <c r="A464" s="3"/>
      <c r="B464" s="3"/>
      <c r="C464" s="3"/>
      <c r="D464" s="3"/>
      <c r="E464" s="3"/>
      <c r="F464" s="3"/>
      <c r="G464" s="3"/>
      <c r="H464" s="3"/>
      <c r="I464" s="3"/>
      <c r="J464" s="3"/>
      <c r="K464" s="3"/>
      <c r="L464" s="3"/>
      <c r="M464" s="3"/>
      <c r="N464" s="3"/>
      <c r="O464" s="3"/>
      <c r="P464" s="3"/>
      <c r="Q464" s="3"/>
      <c r="R464" s="3"/>
      <c r="S464" s="3"/>
      <c r="T464" s="3"/>
      <c r="U464" s="3"/>
      <c r="V464" s="3"/>
      <c r="W464" s="3"/>
      <c r="X464" s="3"/>
      <c r="Y464" s="3"/>
      <c r="Z464" s="3"/>
      <c r="AA464" s="3"/>
    </row>
    <row r="465">
      <c r="A465" s="3"/>
      <c r="B465" s="3"/>
      <c r="C465" s="3"/>
      <c r="D465" s="3"/>
      <c r="E465" s="3"/>
      <c r="F465" s="3"/>
      <c r="G465" s="3"/>
      <c r="H465" s="3"/>
      <c r="I465" s="3"/>
      <c r="J465" s="3"/>
      <c r="K465" s="3"/>
      <c r="L465" s="3"/>
      <c r="M465" s="3"/>
      <c r="N465" s="3"/>
      <c r="O465" s="3"/>
      <c r="P465" s="3"/>
      <c r="Q465" s="3"/>
      <c r="R465" s="3"/>
      <c r="S465" s="3"/>
      <c r="T465" s="3"/>
      <c r="U465" s="3"/>
      <c r="V465" s="3"/>
      <c r="W465" s="3"/>
      <c r="X465" s="3"/>
      <c r="Y465" s="3"/>
      <c r="Z465" s="3"/>
      <c r="AA465" s="3"/>
    </row>
    <row r="466">
      <c r="A466" s="3"/>
      <c r="B466" s="3"/>
      <c r="C466" s="3"/>
      <c r="D466" s="3"/>
      <c r="E466" s="3"/>
      <c r="F466" s="3"/>
      <c r="G466" s="3"/>
      <c r="H466" s="3"/>
      <c r="I466" s="3"/>
      <c r="J466" s="3"/>
      <c r="K466" s="3"/>
      <c r="L466" s="3"/>
      <c r="M466" s="3"/>
      <c r="N466" s="3"/>
      <c r="O466" s="3"/>
      <c r="P466" s="3"/>
      <c r="Q466" s="3"/>
      <c r="R466" s="3"/>
      <c r="S466" s="3"/>
      <c r="T466" s="3"/>
      <c r="U466" s="3"/>
      <c r="V466" s="3"/>
      <c r="W466" s="3"/>
      <c r="X466" s="3"/>
      <c r="Y466" s="3"/>
      <c r="Z466" s="3"/>
      <c r="AA466" s="3"/>
    </row>
    <row r="467">
      <c r="A467" s="3"/>
      <c r="B467" s="3"/>
      <c r="C467" s="3"/>
      <c r="D467" s="3"/>
      <c r="E467" s="3"/>
      <c r="F467" s="3"/>
      <c r="G467" s="3"/>
      <c r="H467" s="3"/>
      <c r="I467" s="3"/>
      <c r="J467" s="3"/>
      <c r="K467" s="3"/>
      <c r="L467" s="3"/>
      <c r="M467" s="3"/>
      <c r="N467" s="3"/>
      <c r="O467" s="3"/>
      <c r="P467" s="3"/>
      <c r="Q467" s="3"/>
      <c r="R467" s="3"/>
      <c r="S467" s="3"/>
      <c r="T467" s="3"/>
      <c r="U467" s="3"/>
      <c r="V467" s="3"/>
      <c r="W467" s="3"/>
      <c r="X467" s="3"/>
      <c r="Y467" s="3"/>
      <c r="Z467" s="3"/>
      <c r="AA467" s="3"/>
    </row>
    <row r="468">
      <c r="A468" s="3"/>
      <c r="B468" s="3"/>
      <c r="C468" s="3"/>
      <c r="D468" s="3"/>
      <c r="E468" s="3"/>
      <c r="F468" s="3"/>
      <c r="G468" s="3"/>
      <c r="H468" s="3"/>
      <c r="I468" s="3"/>
      <c r="J468" s="3"/>
      <c r="K468" s="3"/>
      <c r="L468" s="3"/>
      <c r="M468" s="3"/>
      <c r="N468" s="3"/>
      <c r="O468" s="3"/>
      <c r="P468" s="3"/>
      <c r="Q468" s="3"/>
      <c r="R468" s="3"/>
      <c r="S468" s="3"/>
      <c r="T468" s="3"/>
      <c r="U468" s="3"/>
      <c r="V468" s="3"/>
      <c r="W468" s="3"/>
      <c r="X468" s="3"/>
      <c r="Y468" s="3"/>
      <c r="Z468" s="3"/>
      <c r="AA468" s="3"/>
    </row>
    <row r="469">
      <c r="A469" s="3"/>
      <c r="B469" s="3"/>
      <c r="C469" s="3"/>
      <c r="D469" s="3"/>
      <c r="E469" s="3"/>
      <c r="F469" s="3"/>
      <c r="G469" s="3"/>
      <c r="H469" s="3"/>
      <c r="I469" s="3"/>
      <c r="J469" s="3"/>
      <c r="K469" s="3"/>
      <c r="L469" s="3"/>
      <c r="M469" s="3"/>
      <c r="N469" s="3"/>
      <c r="O469" s="3"/>
      <c r="P469" s="3"/>
      <c r="Q469" s="3"/>
      <c r="R469" s="3"/>
      <c r="S469" s="3"/>
      <c r="T469" s="3"/>
      <c r="U469" s="3"/>
      <c r="V469" s="3"/>
      <c r="W469" s="3"/>
      <c r="X469" s="3"/>
      <c r="Y469" s="3"/>
      <c r="Z469" s="3"/>
      <c r="AA469" s="3"/>
    </row>
    <row r="470">
      <c r="A470" s="3"/>
      <c r="B470" s="3"/>
      <c r="C470" s="3"/>
      <c r="D470" s="3"/>
      <c r="E470" s="3"/>
      <c r="F470" s="3"/>
      <c r="G470" s="3"/>
      <c r="H470" s="3"/>
      <c r="I470" s="3"/>
      <c r="J470" s="3"/>
      <c r="K470" s="3"/>
      <c r="L470" s="3"/>
      <c r="M470" s="3"/>
      <c r="N470" s="3"/>
      <c r="O470" s="3"/>
      <c r="P470" s="3"/>
      <c r="Q470" s="3"/>
      <c r="R470" s="3"/>
      <c r="S470" s="3"/>
      <c r="T470" s="3"/>
      <c r="U470" s="3"/>
      <c r="V470" s="3"/>
      <c r="W470" s="3"/>
      <c r="X470" s="3"/>
      <c r="Y470" s="3"/>
      <c r="Z470" s="3"/>
      <c r="AA470" s="3"/>
    </row>
    <row r="471">
      <c r="A471" s="3"/>
      <c r="B471" s="3"/>
      <c r="C471" s="3"/>
      <c r="D471" s="3"/>
      <c r="E471" s="3"/>
      <c r="F471" s="3"/>
      <c r="G471" s="3"/>
      <c r="H471" s="3"/>
      <c r="I471" s="3"/>
      <c r="J471" s="3"/>
      <c r="K471" s="3"/>
      <c r="L471" s="3"/>
      <c r="M471" s="3"/>
      <c r="N471" s="3"/>
      <c r="O471" s="3"/>
      <c r="P471" s="3"/>
      <c r="Q471" s="3"/>
      <c r="R471" s="3"/>
      <c r="S471" s="3"/>
      <c r="T471" s="3"/>
      <c r="U471" s="3"/>
      <c r="V471" s="3"/>
      <c r="W471" s="3"/>
      <c r="X471" s="3"/>
      <c r="Y471" s="3"/>
      <c r="Z471" s="3"/>
      <c r="AA471" s="3"/>
    </row>
    <row r="472">
      <c r="A472" s="3"/>
      <c r="B472" s="3"/>
      <c r="C472" s="3"/>
      <c r="D472" s="3"/>
      <c r="E472" s="3"/>
      <c r="F472" s="3"/>
      <c r="G472" s="3"/>
      <c r="H472" s="3"/>
      <c r="I472" s="3"/>
      <c r="J472" s="3"/>
      <c r="K472" s="3"/>
      <c r="L472" s="3"/>
      <c r="M472" s="3"/>
      <c r="N472" s="3"/>
      <c r="O472" s="3"/>
      <c r="P472" s="3"/>
      <c r="Q472" s="3"/>
      <c r="R472" s="3"/>
      <c r="S472" s="3"/>
      <c r="T472" s="3"/>
      <c r="U472" s="3"/>
      <c r="V472" s="3"/>
      <c r="W472" s="3"/>
      <c r="X472" s="3"/>
      <c r="Y472" s="3"/>
      <c r="Z472" s="3"/>
      <c r="AA472" s="3"/>
    </row>
    <row r="473">
      <c r="A473" s="3"/>
      <c r="B473" s="3"/>
      <c r="C473" s="3"/>
      <c r="D473" s="3"/>
      <c r="E473" s="3"/>
      <c r="F473" s="3"/>
      <c r="G473" s="3"/>
      <c r="H473" s="3"/>
      <c r="I473" s="3"/>
      <c r="J473" s="3"/>
      <c r="K473" s="3"/>
      <c r="L473" s="3"/>
      <c r="M473" s="3"/>
      <c r="N473" s="3"/>
      <c r="O473" s="3"/>
      <c r="P473" s="3"/>
      <c r="Q473" s="3"/>
      <c r="R473" s="3"/>
      <c r="S473" s="3"/>
      <c r="T473" s="3"/>
      <c r="U473" s="3"/>
      <c r="V473" s="3"/>
      <c r="W473" s="3"/>
      <c r="X473" s="3"/>
      <c r="Y473" s="3"/>
      <c r="Z473" s="3"/>
      <c r="AA473" s="3"/>
    </row>
    <row r="474">
      <c r="A474" s="3"/>
      <c r="B474" s="3"/>
      <c r="C474" s="3"/>
      <c r="D474" s="3"/>
      <c r="E474" s="3"/>
      <c r="F474" s="3"/>
      <c r="G474" s="3"/>
      <c r="H474" s="3"/>
      <c r="I474" s="3"/>
      <c r="J474" s="3"/>
      <c r="K474" s="3"/>
      <c r="L474" s="3"/>
      <c r="M474" s="3"/>
      <c r="N474" s="3"/>
      <c r="O474" s="3"/>
      <c r="P474" s="3"/>
      <c r="Q474" s="3"/>
      <c r="R474" s="3"/>
      <c r="S474" s="3"/>
      <c r="T474" s="3"/>
      <c r="U474" s="3"/>
      <c r="V474" s="3"/>
      <c r="W474" s="3"/>
      <c r="X474" s="3"/>
      <c r="Y474" s="3"/>
      <c r="Z474" s="3"/>
      <c r="AA474" s="3"/>
    </row>
    <row r="475">
      <c r="A475" s="3"/>
      <c r="B475" s="3"/>
      <c r="C475" s="3"/>
      <c r="D475" s="3"/>
      <c r="E475" s="3"/>
      <c r="F475" s="3"/>
      <c r="G475" s="3"/>
      <c r="H475" s="3"/>
      <c r="I475" s="3"/>
      <c r="J475" s="3"/>
      <c r="K475" s="3"/>
      <c r="L475" s="3"/>
      <c r="M475" s="3"/>
      <c r="N475" s="3"/>
      <c r="O475" s="3"/>
      <c r="P475" s="3"/>
      <c r="Q475" s="3"/>
      <c r="R475" s="3"/>
      <c r="S475" s="3"/>
      <c r="T475" s="3"/>
      <c r="U475" s="3"/>
      <c r="V475" s="3"/>
      <c r="W475" s="3"/>
      <c r="X475" s="3"/>
      <c r="Y475" s="3"/>
      <c r="Z475" s="3"/>
      <c r="AA475" s="3"/>
    </row>
    <row r="476">
      <c r="A476" s="3"/>
      <c r="B476" s="3"/>
      <c r="C476" s="3"/>
      <c r="D476" s="3"/>
      <c r="E476" s="3"/>
      <c r="F476" s="3"/>
      <c r="G476" s="3"/>
      <c r="H476" s="3"/>
      <c r="I476" s="3"/>
      <c r="J476" s="3"/>
      <c r="K476" s="3"/>
      <c r="L476" s="3"/>
      <c r="M476" s="3"/>
      <c r="N476" s="3"/>
      <c r="O476" s="3"/>
      <c r="P476" s="3"/>
      <c r="Q476" s="3"/>
      <c r="R476" s="3"/>
      <c r="S476" s="3"/>
      <c r="T476" s="3"/>
      <c r="U476" s="3"/>
      <c r="V476" s="3"/>
      <c r="W476" s="3"/>
      <c r="X476" s="3"/>
      <c r="Y476" s="3"/>
      <c r="Z476" s="3"/>
      <c r="AA476" s="3"/>
    </row>
    <row r="477">
      <c r="A477" s="3"/>
      <c r="B477" s="3"/>
      <c r="C477" s="3"/>
      <c r="D477" s="3"/>
      <c r="E477" s="3"/>
      <c r="F477" s="3"/>
      <c r="G477" s="3"/>
      <c r="H477" s="3"/>
      <c r="I477" s="3"/>
      <c r="J477" s="3"/>
      <c r="K477" s="3"/>
      <c r="L477" s="3"/>
      <c r="M477" s="3"/>
      <c r="N477" s="3"/>
      <c r="O477" s="3"/>
      <c r="P477" s="3"/>
      <c r="Q477" s="3"/>
      <c r="R477" s="3"/>
      <c r="S477" s="3"/>
      <c r="T477" s="3"/>
      <c r="U477" s="3"/>
      <c r="V477" s="3"/>
      <c r="W477" s="3"/>
      <c r="X477" s="3"/>
      <c r="Y477" s="3"/>
      <c r="Z477" s="3"/>
      <c r="AA477" s="3"/>
    </row>
    <row r="478">
      <c r="A478" s="3"/>
      <c r="B478" s="3"/>
      <c r="C478" s="3"/>
      <c r="D478" s="3"/>
      <c r="E478" s="3"/>
      <c r="F478" s="3"/>
      <c r="G478" s="3"/>
      <c r="H478" s="3"/>
      <c r="I478" s="3"/>
      <c r="J478" s="3"/>
      <c r="K478" s="3"/>
      <c r="L478" s="3"/>
      <c r="M478" s="3"/>
      <c r="N478" s="3"/>
      <c r="O478" s="3"/>
      <c r="P478" s="3"/>
      <c r="Q478" s="3"/>
      <c r="R478" s="3"/>
      <c r="S478" s="3"/>
      <c r="T478" s="3"/>
      <c r="U478" s="3"/>
      <c r="V478" s="3"/>
      <c r="W478" s="3"/>
      <c r="X478" s="3"/>
      <c r="Y478" s="3"/>
      <c r="Z478" s="3"/>
      <c r="AA478" s="3"/>
    </row>
    <row r="479">
      <c r="A479" s="3"/>
      <c r="B479" s="3"/>
      <c r="C479" s="3"/>
      <c r="D479" s="3"/>
      <c r="E479" s="3"/>
      <c r="F479" s="3"/>
      <c r="G479" s="3"/>
      <c r="H479" s="3"/>
      <c r="I479" s="3"/>
      <c r="J479" s="3"/>
      <c r="K479" s="3"/>
      <c r="L479" s="3"/>
      <c r="M479" s="3"/>
      <c r="N479" s="3"/>
      <c r="O479" s="3"/>
      <c r="P479" s="3"/>
      <c r="Q479" s="3"/>
      <c r="R479" s="3"/>
      <c r="S479" s="3"/>
      <c r="T479" s="3"/>
      <c r="U479" s="3"/>
      <c r="V479" s="3"/>
      <c r="W479" s="3"/>
      <c r="X479" s="3"/>
      <c r="Y479" s="3"/>
      <c r="Z479" s="3"/>
      <c r="AA479" s="3"/>
    </row>
    <row r="480">
      <c r="A480" s="3"/>
      <c r="B480" s="3"/>
      <c r="C480" s="3"/>
      <c r="D480" s="3"/>
      <c r="E480" s="3"/>
      <c r="F480" s="3"/>
      <c r="G480" s="3"/>
      <c r="H480" s="3"/>
      <c r="I480" s="3"/>
      <c r="J480" s="3"/>
      <c r="K480" s="3"/>
      <c r="L480" s="3"/>
      <c r="M480" s="3"/>
      <c r="N480" s="3"/>
      <c r="O480" s="3"/>
      <c r="P480" s="3"/>
      <c r="Q480" s="3"/>
      <c r="R480" s="3"/>
      <c r="S480" s="3"/>
      <c r="T480" s="3"/>
      <c r="U480" s="3"/>
      <c r="V480" s="3"/>
      <c r="W480" s="3"/>
      <c r="X480" s="3"/>
      <c r="Y480" s="3"/>
      <c r="Z480" s="3"/>
      <c r="AA480" s="3"/>
    </row>
    <row r="481">
      <c r="A481" s="3"/>
      <c r="B481" s="3"/>
      <c r="C481" s="3"/>
      <c r="D481" s="3"/>
      <c r="E481" s="3"/>
      <c r="F481" s="3"/>
      <c r="G481" s="3"/>
      <c r="H481" s="3"/>
      <c r="I481" s="3"/>
      <c r="J481" s="3"/>
      <c r="K481" s="3"/>
      <c r="L481" s="3"/>
      <c r="M481" s="3"/>
      <c r="N481" s="3"/>
      <c r="O481" s="3"/>
      <c r="P481" s="3"/>
      <c r="Q481" s="3"/>
      <c r="R481" s="3"/>
      <c r="S481" s="3"/>
      <c r="T481" s="3"/>
      <c r="U481" s="3"/>
      <c r="V481" s="3"/>
      <c r="W481" s="3"/>
      <c r="X481" s="3"/>
      <c r="Y481" s="3"/>
      <c r="Z481" s="3"/>
      <c r="AA481" s="3"/>
    </row>
    <row r="482">
      <c r="A482" s="3"/>
      <c r="B482" s="3"/>
      <c r="C482" s="3"/>
      <c r="D482" s="3"/>
      <c r="E482" s="3"/>
      <c r="F482" s="3"/>
      <c r="G482" s="3"/>
      <c r="H482" s="3"/>
      <c r="I482" s="3"/>
      <c r="J482" s="3"/>
      <c r="K482" s="3"/>
      <c r="L482" s="3"/>
      <c r="M482" s="3"/>
      <c r="N482" s="3"/>
      <c r="O482" s="3"/>
      <c r="P482" s="3"/>
      <c r="Q482" s="3"/>
      <c r="R482" s="3"/>
      <c r="S482" s="3"/>
      <c r="T482" s="3"/>
      <c r="U482" s="3"/>
      <c r="V482" s="3"/>
      <c r="W482" s="3"/>
      <c r="X482" s="3"/>
      <c r="Y482" s="3"/>
      <c r="Z482" s="3"/>
      <c r="AA482" s="3"/>
    </row>
    <row r="483">
      <c r="A483" s="3"/>
      <c r="B483" s="3"/>
      <c r="C483" s="3"/>
      <c r="D483" s="3"/>
      <c r="E483" s="3"/>
      <c r="F483" s="3"/>
      <c r="G483" s="3"/>
      <c r="H483" s="3"/>
      <c r="I483" s="3"/>
      <c r="J483" s="3"/>
      <c r="K483" s="3"/>
      <c r="L483" s="3"/>
      <c r="M483" s="3"/>
      <c r="N483" s="3"/>
      <c r="O483" s="3"/>
      <c r="P483" s="3"/>
      <c r="Q483" s="3"/>
      <c r="R483" s="3"/>
      <c r="S483" s="3"/>
      <c r="T483" s="3"/>
      <c r="U483" s="3"/>
      <c r="V483" s="3"/>
      <c r="W483" s="3"/>
      <c r="X483" s="3"/>
      <c r="Y483" s="3"/>
      <c r="Z483" s="3"/>
      <c r="AA483" s="3"/>
    </row>
    <row r="484">
      <c r="A484" s="3"/>
      <c r="B484" s="3"/>
      <c r="C484" s="3"/>
      <c r="D484" s="3"/>
      <c r="E484" s="3"/>
      <c r="F484" s="3"/>
      <c r="G484" s="3"/>
      <c r="H484" s="3"/>
      <c r="I484" s="3"/>
      <c r="J484" s="3"/>
      <c r="K484" s="3"/>
      <c r="L484" s="3"/>
      <c r="M484" s="3"/>
      <c r="N484" s="3"/>
      <c r="O484" s="3"/>
      <c r="P484" s="3"/>
      <c r="Q484" s="3"/>
      <c r="R484" s="3"/>
      <c r="S484" s="3"/>
      <c r="T484" s="3"/>
      <c r="U484" s="3"/>
      <c r="V484" s="3"/>
      <c r="W484" s="3"/>
      <c r="X484" s="3"/>
      <c r="Y484" s="3"/>
      <c r="Z484" s="3"/>
      <c r="AA484" s="3"/>
    </row>
    <row r="485">
      <c r="A485" s="3"/>
      <c r="B485" s="3"/>
      <c r="C485" s="3"/>
      <c r="D485" s="3"/>
      <c r="E485" s="3"/>
      <c r="F485" s="3"/>
      <c r="G485" s="3"/>
      <c r="H485" s="3"/>
      <c r="I485" s="3"/>
      <c r="J485" s="3"/>
      <c r="K485" s="3"/>
      <c r="L485" s="3"/>
      <c r="M485" s="3"/>
      <c r="N485" s="3"/>
      <c r="O485" s="3"/>
      <c r="P485" s="3"/>
      <c r="Q485" s="3"/>
      <c r="R485" s="3"/>
      <c r="S485" s="3"/>
      <c r="T485" s="3"/>
      <c r="U485" s="3"/>
      <c r="V485" s="3"/>
      <c r="W485" s="3"/>
      <c r="X485" s="3"/>
      <c r="Y485" s="3"/>
      <c r="Z485" s="3"/>
      <c r="AA485" s="3"/>
    </row>
    <row r="486">
      <c r="A486" s="3"/>
      <c r="B486" s="3"/>
      <c r="C486" s="3"/>
      <c r="D486" s="3"/>
      <c r="E486" s="3"/>
      <c r="F486" s="3"/>
      <c r="G486" s="3"/>
      <c r="H486" s="3"/>
      <c r="I486" s="3"/>
      <c r="J486" s="3"/>
      <c r="K486" s="3"/>
      <c r="L486" s="3"/>
      <c r="M486" s="3"/>
      <c r="N486" s="3"/>
      <c r="O486" s="3"/>
      <c r="P486" s="3"/>
      <c r="Q486" s="3"/>
      <c r="R486" s="3"/>
      <c r="S486" s="3"/>
      <c r="T486" s="3"/>
      <c r="U486" s="3"/>
      <c r="V486" s="3"/>
      <c r="W486" s="3"/>
      <c r="X486" s="3"/>
      <c r="Y486" s="3"/>
      <c r="Z486" s="3"/>
      <c r="AA486" s="3"/>
    </row>
    <row r="487">
      <c r="A487" s="3"/>
      <c r="B487" s="3"/>
      <c r="C487" s="3"/>
      <c r="D487" s="3"/>
      <c r="E487" s="3"/>
      <c r="F487" s="3"/>
      <c r="G487" s="3"/>
      <c r="H487" s="3"/>
      <c r="I487" s="3"/>
      <c r="J487" s="3"/>
      <c r="K487" s="3"/>
      <c r="L487" s="3"/>
      <c r="M487" s="3"/>
      <c r="N487" s="3"/>
      <c r="O487" s="3"/>
      <c r="P487" s="3"/>
      <c r="Q487" s="3"/>
      <c r="R487" s="3"/>
      <c r="S487" s="3"/>
      <c r="T487" s="3"/>
      <c r="U487" s="3"/>
      <c r="V487" s="3"/>
      <c r="W487" s="3"/>
      <c r="X487" s="3"/>
      <c r="Y487" s="3"/>
      <c r="Z487" s="3"/>
      <c r="AA487" s="3"/>
    </row>
    <row r="488">
      <c r="A488" s="3"/>
      <c r="B488" s="3"/>
      <c r="C488" s="3"/>
      <c r="D488" s="3"/>
      <c r="E488" s="3"/>
      <c r="F488" s="3"/>
      <c r="G488" s="3"/>
      <c r="H488" s="3"/>
      <c r="I488" s="3"/>
      <c r="J488" s="3"/>
      <c r="K488" s="3"/>
      <c r="L488" s="3"/>
      <c r="M488" s="3"/>
      <c r="N488" s="3"/>
      <c r="O488" s="3"/>
      <c r="P488" s="3"/>
      <c r="Q488" s="3"/>
      <c r="R488" s="3"/>
      <c r="S488" s="3"/>
      <c r="T488" s="3"/>
      <c r="U488" s="3"/>
      <c r="V488" s="3"/>
      <c r="W488" s="3"/>
      <c r="X488" s="3"/>
      <c r="Y488" s="3"/>
      <c r="Z488" s="3"/>
      <c r="AA488" s="3"/>
    </row>
    <row r="489">
      <c r="A489" s="3"/>
      <c r="B489" s="3"/>
      <c r="C489" s="3"/>
      <c r="D489" s="3"/>
      <c r="E489" s="3"/>
      <c r="F489" s="3"/>
      <c r="G489" s="3"/>
      <c r="H489" s="3"/>
      <c r="I489" s="3"/>
      <c r="J489" s="3"/>
      <c r="K489" s="3"/>
      <c r="L489" s="3"/>
      <c r="M489" s="3"/>
      <c r="N489" s="3"/>
      <c r="O489" s="3"/>
      <c r="P489" s="3"/>
      <c r="Q489" s="3"/>
      <c r="R489" s="3"/>
      <c r="S489" s="3"/>
      <c r="T489" s="3"/>
      <c r="U489" s="3"/>
      <c r="V489" s="3"/>
      <c r="W489" s="3"/>
      <c r="X489" s="3"/>
      <c r="Y489" s="3"/>
      <c r="Z489" s="3"/>
      <c r="AA489" s="3"/>
    </row>
    <row r="490">
      <c r="A490" s="3"/>
      <c r="B490" s="3"/>
      <c r="C490" s="3"/>
      <c r="D490" s="3"/>
      <c r="E490" s="3"/>
      <c r="F490" s="3"/>
      <c r="G490" s="3"/>
      <c r="H490" s="3"/>
      <c r="I490" s="3"/>
      <c r="J490" s="3"/>
      <c r="K490" s="3"/>
      <c r="L490" s="3"/>
      <c r="M490" s="3"/>
      <c r="N490" s="3"/>
      <c r="O490" s="3"/>
      <c r="P490" s="3"/>
      <c r="Q490" s="3"/>
      <c r="R490" s="3"/>
      <c r="S490" s="3"/>
      <c r="T490" s="3"/>
      <c r="U490" s="3"/>
      <c r="V490" s="3"/>
      <c r="W490" s="3"/>
      <c r="X490" s="3"/>
      <c r="Y490" s="3"/>
      <c r="Z490" s="3"/>
      <c r="AA490" s="3"/>
    </row>
    <row r="491">
      <c r="A491" s="3"/>
      <c r="B491" s="3"/>
      <c r="C491" s="3"/>
      <c r="D491" s="3"/>
      <c r="E491" s="3"/>
      <c r="F491" s="3"/>
      <c r="G491" s="3"/>
      <c r="H491" s="3"/>
      <c r="I491" s="3"/>
      <c r="J491" s="3"/>
      <c r="K491" s="3"/>
      <c r="L491" s="3"/>
      <c r="M491" s="3"/>
      <c r="N491" s="3"/>
      <c r="O491" s="3"/>
      <c r="P491" s="3"/>
      <c r="Q491" s="3"/>
      <c r="R491" s="3"/>
      <c r="S491" s="3"/>
      <c r="T491" s="3"/>
      <c r="U491" s="3"/>
      <c r="V491" s="3"/>
      <c r="W491" s="3"/>
      <c r="X491" s="3"/>
      <c r="Y491" s="3"/>
      <c r="Z491" s="3"/>
      <c r="AA491" s="3"/>
    </row>
    <row r="492">
      <c r="A492" s="3"/>
      <c r="B492" s="3"/>
      <c r="C492" s="3"/>
      <c r="D492" s="3"/>
      <c r="E492" s="3"/>
      <c r="F492" s="3"/>
      <c r="G492" s="3"/>
      <c r="H492" s="3"/>
      <c r="I492" s="3"/>
      <c r="J492" s="3"/>
      <c r="K492" s="3"/>
      <c r="L492" s="3"/>
      <c r="M492" s="3"/>
      <c r="N492" s="3"/>
      <c r="O492" s="3"/>
      <c r="P492" s="3"/>
      <c r="Q492" s="3"/>
      <c r="R492" s="3"/>
      <c r="S492" s="3"/>
      <c r="T492" s="3"/>
      <c r="U492" s="3"/>
      <c r="V492" s="3"/>
      <c r="W492" s="3"/>
      <c r="X492" s="3"/>
      <c r="Y492" s="3"/>
      <c r="Z492" s="3"/>
      <c r="AA492" s="3"/>
    </row>
    <row r="493">
      <c r="A493" s="3"/>
      <c r="B493" s="3"/>
      <c r="C493" s="3"/>
      <c r="D493" s="3"/>
      <c r="E493" s="3"/>
      <c r="F493" s="3"/>
      <c r="G493" s="3"/>
      <c r="H493" s="3"/>
      <c r="I493" s="3"/>
      <c r="J493" s="3"/>
      <c r="K493" s="3"/>
      <c r="L493" s="3"/>
      <c r="M493" s="3"/>
      <c r="N493" s="3"/>
      <c r="O493" s="3"/>
      <c r="P493" s="3"/>
      <c r="Q493" s="3"/>
      <c r="R493" s="3"/>
      <c r="S493" s="3"/>
      <c r="T493" s="3"/>
      <c r="U493" s="3"/>
      <c r="V493" s="3"/>
      <c r="W493" s="3"/>
      <c r="X493" s="3"/>
      <c r="Y493" s="3"/>
      <c r="Z493" s="3"/>
      <c r="AA493" s="3"/>
    </row>
    <row r="494">
      <c r="A494" s="3"/>
      <c r="B494" s="3"/>
      <c r="C494" s="3"/>
      <c r="D494" s="3"/>
      <c r="E494" s="3"/>
      <c r="F494" s="3"/>
      <c r="G494" s="3"/>
      <c r="H494" s="3"/>
      <c r="I494" s="3"/>
      <c r="J494" s="3"/>
      <c r="K494" s="3"/>
      <c r="L494" s="3"/>
      <c r="M494" s="3"/>
      <c r="N494" s="3"/>
      <c r="O494" s="3"/>
      <c r="P494" s="3"/>
      <c r="Q494" s="3"/>
      <c r="R494" s="3"/>
      <c r="S494" s="3"/>
      <c r="T494" s="3"/>
      <c r="U494" s="3"/>
      <c r="V494" s="3"/>
      <c r="W494" s="3"/>
      <c r="X494" s="3"/>
      <c r="Y494" s="3"/>
      <c r="Z494" s="3"/>
      <c r="AA494" s="3"/>
    </row>
    <row r="495">
      <c r="A495" s="3"/>
      <c r="B495" s="3"/>
      <c r="C495" s="3"/>
      <c r="D495" s="3"/>
      <c r="E495" s="3"/>
      <c r="F495" s="3"/>
      <c r="G495" s="3"/>
      <c r="H495" s="3"/>
      <c r="I495" s="3"/>
      <c r="J495" s="3"/>
      <c r="K495" s="3"/>
      <c r="L495" s="3"/>
      <c r="M495" s="3"/>
      <c r="N495" s="3"/>
      <c r="O495" s="3"/>
      <c r="P495" s="3"/>
      <c r="Q495" s="3"/>
      <c r="R495" s="3"/>
      <c r="S495" s="3"/>
      <c r="T495" s="3"/>
      <c r="U495" s="3"/>
      <c r="V495" s="3"/>
      <c r="W495" s="3"/>
      <c r="X495" s="3"/>
      <c r="Y495" s="3"/>
      <c r="Z495" s="3"/>
      <c r="AA495" s="3"/>
    </row>
    <row r="496">
      <c r="A496" s="3"/>
      <c r="B496" s="3"/>
      <c r="C496" s="3"/>
      <c r="D496" s="3"/>
      <c r="E496" s="3"/>
      <c r="F496" s="3"/>
      <c r="G496" s="3"/>
      <c r="H496" s="3"/>
      <c r="I496" s="3"/>
      <c r="J496" s="3"/>
      <c r="K496" s="3"/>
      <c r="L496" s="3"/>
      <c r="M496" s="3"/>
      <c r="N496" s="3"/>
      <c r="O496" s="3"/>
      <c r="P496" s="3"/>
      <c r="Q496" s="3"/>
      <c r="R496" s="3"/>
      <c r="S496" s="3"/>
      <c r="T496" s="3"/>
      <c r="U496" s="3"/>
      <c r="V496" s="3"/>
      <c r="W496" s="3"/>
      <c r="X496" s="3"/>
      <c r="Y496" s="3"/>
      <c r="Z496" s="3"/>
      <c r="AA496" s="3"/>
    </row>
    <row r="497">
      <c r="A497" s="3"/>
      <c r="B497" s="3"/>
      <c r="C497" s="3"/>
      <c r="D497" s="3"/>
      <c r="E497" s="3"/>
      <c r="F497" s="3"/>
      <c r="G497" s="3"/>
      <c r="H497" s="3"/>
      <c r="I497" s="3"/>
      <c r="J497" s="3"/>
      <c r="K497" s="3"/>
      <c r="L497" s="3"/>
      <c r="M497" s="3"/>
      <c r="N497" s="3"/>
      <c r="O497" s="3"/>
      <c r="P497" s="3"/>
      <c r="Q497" s="3"/>
      <c r="R497" s="3"/>
      <c r="S497" s="3"/>
      <c r="T497" s="3"/>
      <c r="U497" s="3"/>
      <c r="V497" s="3"/>
      <c r="W497" s="3"/>
      <c r="X497" s="3"/>
      <c r="Y497" s="3"/>
      <c r="Z497" s="3"/>
      <c r="AA497" s="3"/>
    </row>
    <row r="498">
      <c r="A498" s="3"/>
      <c r="B498" s="3"/>
      <c r="C498" s="3"/>
      <c r="D498" s="3"/>
      <c r="E498" s="3"/>
      <c r="F498" s="3"/>
      <c r="G498" s="3"/>
      <c r="H498" s="3"/>
      <c r="I498" s="3"/>
      <c r="J498" s="3"/>
      <c r="K498" s="3"/>
      <c r="L498" s="3"/>
      <c r="M498" s="3"/>
      <c r="N498" s="3"/>
      <c r="O498" s="3"/>
      <c r="P498" s="3"/>
      <c r="Q498" s="3"/>
      <c r="R498" s="3"/>
      <c r="S498" s="3"/>
      <c r="T498" s="3"/>
      <c r="U498" s="3"/>
      <c r="V498" s="3"/>
      <c r="W498" s="3"/>
      <c r="X498" s="3"/>
      <c r="Y498" s="3"/>
      <c r="Z498" s="3"/>
      <c r="AA498" s="3"/>
    </row>
    <row r="499">
      <c r="A499" s="3"/>
      <c r="B499" s="3"/>
      <c r="C499" s="3"/>
      <c r="D499" s="3"/>
      <c r="E499" s="3"/>
      <c r="F499" s="3"/>
      <c r="G499" s="3"/>
      <c r="H499" s="3"/>
      <c r="I499" s="3"/>
      <c r="J499" s="3"/>
      <c r="K499" s="3"/>
      <c r="L499" s="3"/>
      <c r="M499" s="3"/>
      <c r="N499" s="3"/>
      <c r="O499" s="3"/>
      <c r="P499" s="3"/>
      <c r="Q499" s="3"/>
      <c r="R499" s="3"/>
      <c r="S499" s="3"/>
      <c r="T499" s="3"/>
      <c r="U499" s="3"/>
      <c r="V499" s="3"/>
      <c r="W499" s="3"/>
      <c r="X499" s="3"/>
      <c r="Y499" s="3"/>
      <c r="Z499" s="3"/>
      <c r="AA499" s="3"/>
    </row>
    <row r="500">
      <c r="A500" s="3"/>
      <c r="B500" s="3"/>
      <c r="C500" s="3"/>
      <c r="D500" s="3"/>
      <c r="E500" s="3"/>
      <c r="F500" s="3"/>
      <c r="G500" s="3"/>
      <c r="H500" s="3"/>
      <c r="I500" s="3"/>
      <c r="J500" s="3"/>
      <c r="K500" s="3"/>
      <c r="L500" s="3"/>
      <c r="M500" s="3"/>
      <c r="N500" s="3"/>
      <c r="O500" s="3"/>
      <c r="P500" s="3"/>
      <c r="Q500" s="3"/>
      <c r="R500" s="3"/>
      <c r="S500" s="3"/>
      <c r="T500" s="3"/>
      <c r="U500" s="3"/>
      <c r="V500" s="3"/>
      <c r="W500" s="3"/>
      <c r="X500" s="3"/>
      <c r="Y500" s="3"/>
      <c r="Z500" s="3"/>
      <c r="AA500" s="3"/>
    </row>
    <row r="501">
      <c r="A501" s="3"/>
      <c r="B501" s="3"/>
      <c r="C501" s="3"/>
      <c r="D501" s="3"/>
      <c r="E501" s="3"/>
      <c r="F501" s="3"/>
      <c r="G501" s="3"/>
      <c r="H501" s="3"/>
      <c r="I501" s="3"/>
      <c r="J501" s="3"/>
      <c r="K501" s="3"/>
      <c r="L501" s="3"/>
      <c r="M501" s="3"/>
      <c r="N501" s="3"/>
      <c r="O501" s="3"/>
      <c r="P501" s="3"/>
      <c r="Q501" s="3"/>
      <c r="R501" s="3"/>
      <c r="S501" s="3"/>
      <c r="T501" s="3"/>
      <c r="U501" s="3"/>
      <c r="V501" s="3"/>
      <c r="W501" s="3"/>
      <c r="X501" s="3"/>
      <c r="Y501" s="3"/>
      <c r="Z501" s="3"/>
      <c r="AA501" s="3"/>
    </row>
    <row r="502">
      <c r="A502" s="3"/>
      <c r="B502" s="3"/>
      <c r="C502" s="3"/>
      <c r="D502" s="3"/>
      <c r="E502" s="3"/>
      <c r="F502" s="3"/>
      <c r="G502" s="3"/>
      <c r="H502" s="3"/>
      <c r="I502" s="3"/>
      <c r="J502" s="3"/>
      <c r="K502" s="3"/>
      <c r="L502" s="3"/>
      <c r="M502" s="3"/>
      <c r="N502" s="3"/>
      <c r="O502" s="3"/>
      <c r="P502" s="3"/>
      <c r="Q502" s="3"/>
      <c r="R502" s="3"/>
      <c r="S502" s="3"/>
      <c r="T502" s="3"/>
      <c r="U502" s="3"/>
      <c r="V502" s="3"/>
      <c r="W502" s="3"/>
      <c r="X502" s="3"/>
      <c r="Y502" s="3"/>
      <c r="Z502" s="3"/>
      <c r="AA502" s="3"/>
    </row>
    <row r="503">
      <c r="A503" s="3"/>
      <c r="B503" s="3"/>
      <c r="C503" s="3"/>
      <c r="D503" s="3"/>
      <c r="E503" s="3"/>
      <c r="F503" s="3"/>
      <c r="G503" s="3"/>
      <c r="H503" s="3"/>
      <c r="I503" s="3"/>
      <c r="J503" s="3"/>
      <c r="K503" s="3"/>
      <c r="L503" s="3"/>
      <c r="M503" s="3"/>
      <c r="N503" s="3"/>
      <c r="O503" s="3"/>
      <c r="P503" s="3"/>
      <c r="Q503" s="3"/>
      <c r="R503" s="3"/>
      <c r="S503" s="3"/>
      <c r="T503" s="3"/>
      <c r="U503" s="3"/>
      <c r="V503" s="3"/>
      <c r="W503" s="3"/>
      <c r="X503" s="3"/>
      <c r="Y503" s="3"/>
      <c r="Z503" s="3"/>
      <c r="AA503" s="3"/>
    </row>
    <row r="504">
      <c r="A504" s="3"/>
      <c r="B504" s="3"/>
      <c r="C504" s="3"/>
      <c r="D504" s="3"/>
      <c r="E504" s="3"/>
      <c r="F504" s="3"/>
      <c r="G504" s="3"/>
      <c r="H504" s="3"/>
      <c r="I504" s="3"/>
      <c r="J504" s="3"/>
      <c r="K504" s="3"/>
      <c r="L504" s="3"/>
      <c r="M504" s="3"/>
      <c r="N504" s="3"/>
      <c r="O504" s="3"/>
      <c r="P504" s="3"/>
      <c r="Q504" s="3"/>
      <c r="R504" s="3"/>
      <c r="S504" s="3"/>
      <c r="T504" s="3"/>
      <c r="U504" s="3"/>
      <c r="V504" s="3"/>
      <c r="W504" s="3"/>
      <c r="X504" s="3"/>
      <c r="Y504" s="3"/>
      <c r="Z504" s="3"/>
      <c r="AA504" s="3"/>
    </row>
    <row r="505">
      <c r="A505" s="3"/>
      <c r="B505" s="3"/>
      <c r="C505" s="3"/>
      <c r="D505" s="3"/>
      <c r="E505" s="3"/>
      <c r="F505" s="3"/>
      <c r="G505" s="3"/>
      <c r="H505" s="3"/>
      <c r="I505" s="3"/>
      <c r="J505" s="3"/>
      <c r="K505" s="3"/>
      <c r="L505" s="3"/>
      <c r="M505" s="3"/>
      <c r="N505" s="3"/>
      <c r="O505" s="3"/>
      <c r="P505" s="3"/>
      <c r="Q505" s="3"/>
      <c r="R505" s="3"/>
      <c r="S505" s="3"/>
      <c r="T505" s="3"/>
      <c r="U505" s="3"/>
      <c r="V505" s="3"/>
      <c r="W505" s="3"/>
      <c r="X505" s="3"/>
      <c r="Y505" s="3"/>
      <c r="Z505" s="3"/>
      <c r="AA505" s="3"/>
    </row>
    <row r="506">
      <c r="A506" s="3"/>
      <c r="B506" s="3"/>
      <c r="C506" s="3"/>
      <c r="D506" s="3"/>
      <c r="E506" s="3"/>
      <c r="F506" s="3"/>
      <c r="G506" s="3"/>
      <c r="H506" s="3"/>
      <c r="I506" s="3"/>
      <c r="J506" s="3"/>
      <c r="K506" s="3"/>
      <c r="L506" s="3"/>
      <c r="M506" s="3"/>
      <c r="N506" s="3"/>
      <c r="O506" s="3"/>
      <c r="P506" s="3"/>
      <c r="Q506" s="3"/>
      <c r="R506" s="3"/>
      <c r="S506" s="3"/>
      <c r="T506" s="3"/>
      <c r="U506" s="3"/>
      <c r="V506" s="3"/>
      <c r="W506" s="3"/>
      <c r="X506" s="3"/>
      <c r="Y506" s="3"/>
      <c r="Z506" s="3"/>
      <c r="AA506" s="3"/>
    </row>
    <row r="507">
      <c r="A507" s="3"/>
      <c r="B507" s="3"/>
      <c r="C507" s="3"/>
      <c r="D507" s="3"/>
      <c r="E507" s="3"/>
      <c r="F507" s="3"/>
      <c r="G507" s="3"/>
      <c r="H507" s="3"/>
      <c r="I507" s="3"/>
      <c r="J507" s="3"/>
      <c r="K507" s="3"/>
      <c r="L507" s="3"/>
      <c r="M507" s="3"/>
      <c r="N507" s="3"/>
      <c r="O507" s="3"/>
      <c r="P507" s="3"/>
      <c r="Q507" s="3"/>
      <c r="R507" s="3"/>
      <c r="S507" s="3"/>
      <c r="T507" s="3"/>
      <c r="U507" s="3"/>
      <c r="V507" s="3"/>
      <c r="W507" s="3"/>
      <c r="X507" s="3"/>
      <c r="Y507" s="3"/>
      <c r="Z507" s="3"/>
      <c r="AA507" s="3"/>
    </row>
    <row r="508">
      <c r="A508" s="3"/>
      <c r="B508" s="3"/>
      <c r="C508" s="3"/>
      <c r="D508" s="3"/>
      <c r="E508" s="3"/>
      <c r="F508" s="3"/>
      <c r="G508" s="3"/>
      <c r="H508" s="3"/>
      <c r="I508" s="3"/>
      <c r="J508" s="3"/>
      <c r="K508" s="3"/>
      <c r="L508" s="3"/>
      <c r="M508" s="3"/>
      <c r="N508" s="3"/>
      <c r="O508" s="3"/>
      <c r="P508" s="3"/>
      <c r="Q508" s="3"/>
      <c r="R508" s="3"/>
      <c r="S508" s="3"/>
      <c r="T508" s="3"/>
      <c r="U508" s="3"/>
      <c r="V508" s="3"/>
      <c r="W508" s="3"/>
      <c r="X508" s="3"/>
      <c r="Y508" s="3"/>
      <c r="Z508" s="3"/>
      <c r="AA508" s="3"/>
    </row>
    <row r="509">
      <c r="A509" s="3"/>
      <c r="B509" s="3"/>
      <c r="C509" s="3"/>
      <c r="D509" s="3"/>
      <c r="E509" s="3"/>
      <c r="F509" s="3"/>
      <c r="G509" s="3"/>
      <c r="H509" s="3"/>
      <c r="I509" s="3"/>
      <c r="J509" s="3"/>
      <c r="K509" s="3"/>
      <c r="L509" s="3"/>
      <c r="M509" s="3"/>
      <c r="N509" s="3"/>
      <c r="O509" s="3"/>
      <c r="P509" s="3"/>
      <c r="Q509" s="3"/>
      <c r="R509" s="3"/>
      <c r="S509" s="3"/>
      <c r="T509" s="3"/>
      <c r="U509" s="3"/>
      <c r="V509" s="3"/>
      <c r="W509" s="3"/>
      <c r="X509" s="3"/>
      <c r="Y509" s="3"/>
      <c r="Z509" s="3"/>
      <c r="AA509" s="3"/>
    </row>
    <row r="510">
      <c r="A510" s="3"/>
      <c r="B510" s="3"/>
      <c r="C510" s="3"/>
      <c r="D510" s="3"/>
      <c r="E510" s="3"/>
      <c r="F510" s="3"/>
      <c r="G510" s="3"/>
      <c r="H510" s="3"/>
      <c r="I510" s="3"/>
      <c r="J510" s="3"/>
      <c r="K510" s="3"/>
      <c r="L510" s="3"/>
      <c r="M510" s="3"/>
      <c r="N510" s="3"/>
      <c r="O510" s="3"/>
      <c r="P510" s="3"/>
      <c r="Q510" s="3"/>
      <c r="R510" s="3"/>
      <c r="S510" s="3"/>
      <c r="T510" s="3"/>
      <c r="U510" s="3"/>
      <c r="V510" s="3"/>
      <c r="W510" s="3"/>
      <c r="X510" s="3"/>
      <c r="Y510" s="3"/>
      <c r="Z510" s="3"/>
      <c r="AA510" s="3"/>
    </row>
    <row r="511">
      <c r="A511" s="3"/>
      <c r="B511" s="3"/>
      <c r="C511" s="3"/>
      <c r="D511" s="3"/>
      <c r="E511" s="3"/>
      <c r="F511" s="3"/>
      <c r="G511" s="3"/>
      <c r="H511" s="3"/>
      <c r="I511" s="3"/>
      <c r="J511" s="3"/>
      <c r="K511" s="3"/>
      <c r="L511" s="3"/>
      <c r="M511" s="3"/>
      <c r="N511" s="3"/>
      <c r="O511" s="3"/>
      <c r="P511" s="3"/>
      <c r="Q511" s="3"/>
      <c r="R511" s="3"/>
      <c r="S511" s="3"/>
      <c r="T511" s="3"/>
      <c r="U511" s="3"/>
      <c r="V511" s="3"/>
      <c r="W511" s="3"/>
      <c r="X511" s="3"/>
      <c r="Y511" s="3"/>
      <c r="Z511" s="3"/>
      <c r="AA511" s="3"/>
    </row>
    <row r="512">
      <c r="A512" s="3"/>
      <c r="B512" s="3"/>
      <c r="C512" s="3"/>
      <c r="D512" s="3"/>
      <c r="E512" s="3"/>
      <c r="F512" s="3"/>
      <c r="G512" s="3"/>
      <c r="H512" s="3"/>
      <c r="I512" s="3"/>
      <c r="J512" s="3"/>
      <c r="K512" s="3"/>
      <c r="L512" s="3"/>
      <c r="M512" s="3"/>
      <c r="N512" s="3"/>
      <c r="O512" s="3"/>
      <c r="P512" s="3"/>
      <c r="Q512" s="3"/>
      <c r="R512" s="3"/>
      <c r="S512" s="3"/>
      <c r="T512" s="3"/>
      <c r="U512" s="3"/>
      <c r="V512" s="3"/>
      <c r="W512" s="3"/>
      <c r="X512" s="3"/>
      <c r="Y512" s="3"/>
      <c r="Z512" s="3"/>
      <c r="AA512" s="3"/>
    </row>
    <row r="513">
      <c r="A513" s="3"/>
      <c r="B513" s="3"/>
      <c r="C513" s="3"/>
      <c r="D513" s="3"/>
      <c r="E513" s="3"/>
      <c r="F513" s="3"/>
      <c r="G513" s="3"/>
      <c r="H513" s="3"/>
      <c r="I513" s="3"/>
      <c r="J513" s="3"/>
      <c r="K513" s="3"/>
      <c r="L513" s="3"/>
      <c r="M513" s="3"/>
      <c r="N513" s="3"/>
      <c r="O513" s="3"/>
      <c r="P513" s="3"/>
      <c r="Q513" s="3"/>
      <c r="R513" s="3"/>
      <c r="S513" s="3"/>
      <c r="T513" s="3"/>
      <c r="U513" s="3"/>
      <c r="V513" s="3"/>
      <c r="W513" s="3"/>
      <c r="X513" s="3"/>
      <c r="Y513" s="3"/>
      <c r="Z513" s="3"/>
      <c r="AA513" s="3"/>
    </row>
    <row r="514">
      <c r="A514" s="3"/>
      <c r="B514" s="3"/>
      <c r="C514" s="3"/>
      <c r="D514" s="3"/>
      <c r="E514" s="3"/>
      <c r="F514" s="3"/>
      <c r="G514" s="3"/>
      <c r="H514" s="3"/>
      <c r="I514" s="3"/>
      <c r="J514" s="3"/>
      <c r="K514" s="3"/>
      <c r="L514" s="3"/>
      <c r="M514" s="3"/>
      <c r="N514" s="3"/>
      <c r="O514" s="3"/>
      <c r="P514" s="3"/>
      <c r="Q514" s="3"/>
      <c r="R514" s="3"/>
      <c r="S514" s="3"/>
      <c r="T514" s="3"/>
      <c r="U514" s="3"/>
      <c r="V514" s="3"/>
      <c r="W514" s="3"/>
      <c r="X514" s="3"/>
      <c r="Y514" s="3"/>
      <c r="Z514" s="3"/>
      <c r="AA514" s="3"/>
    </row>
    <row r="515">
      <c r="A515" s="3"/>
      <c r="B515" s="3"/>
      <c r="C515" s="3"/>
      <c r="D515" s="3"/>
      <c r="E515" s="3"/>
      <c r="F515" s="3"/>
      <c r="G515" s="3"/>
      <c r="H515" s="3"/>
      <c r="I515" s="3"/>
      <c r="J515" s="3"/>
      <c r="K515" s="3"/>
      <c r="L515" s="3"/>
      <c r="M515" s="3"/>
      <c r="N515" s="3"/>
      <c r="O515" s="3"/>
      <c r="P515" s="3"/>
      <c r="Q515" s="3"/>
      <c r="R515" s="3"/>
      <c r="S515" s="3"/>
      <c r="T515" s="3"/>
      <c r="U515" s="3"/>
      <c r="V515" s="3"/>
      <c r="W515" s="3"/>
      <c r="X515" s="3"/>
      <c r="Y515" s="3"/>
      <c r="Z515" s="3"/>
      <c r="AA515" s="3"/>
    </row>
    <row r="516">
      <c r="A516" s="3"/>
      <c r="B516" s="3"/>
      <c r="C516" s="3"/>
      <c r="D516" s="3"/>
      <c r="E516" s="3"/>
      <c r="F516" s="3"/>
      <c r="G516" s="3"/>
      <c r="H516" s="3"/>
      <c r="I516" s="3"/>
      <c r="J516" s="3"/>
      <c r="K516" s="3"/>
      <c r="L516" s="3"/>
      <c r="M516" s="3"/>
      <c r="N516" s="3"/>
      <c r="O516" s="3"/>
      <c r="P516" s="3"/>
      <c r="Q516" s="3"/>
      <c r="R516" s="3"/>
      <c r="S516" s="3"/>
      <c r="T516" s="3"/>
      <c r="U516" s="3"/>
      <c r="V516" s="3"/>
      <c r="W516" s="3"/>
      <c r="X516" s="3"/>
      <c r="Y516" s="3"/>
      <c r="Z516" s="3"/>
      <c r="AA516" s="3"/>
    </row>
    <row r="517">
      <c r="A517" s="3"/>
      <c r="B517" s="3"/>
      <c r="C517" s="3"/>
      <c r="D517" s="3"/>
      <c r="E517" s="3"/>
      <c r="F517" s="3"/>
      <c r="G517" s="3"/>
      <c r="H517" s="3"/>
      <c r="I517" s="3"/>
      <c r="J517" s="3"/>
      <c r="K517" s="3"/>
      <c r="L517" s="3"/>
      <c r="M517" s="3"/>
      <c r="N517" s="3"/>
      <c r="O517" s="3"/>
      <c r="P517" s="3"/>
      <c r="Q517" s="3"/>
      <c r="R517" s="3"/>
      <c r="S517" s="3"/>
      <c r="T517" s="3"/>
      <c r="U517" s="3"/>
      <c r="V517" s="3"/>
      <c r="W517" s="3"/>
      <c r="X517" s="3"/>
      <c r="Y517" s="3"/>
      <c r="Z517" s="3"/>
      <c r="AA517" s="3"/>
    </row>
    <row r="518">
      <c r="A518" s="3"/>
      <c r="B518" s="3"/>
      <c r="C518" s="3"/>
      <c r="D518" s="3"/>
      <c r="E518" s="3"/>
      <c r="F518" s="3"/>
      <c r="G518" s="3"/>
      <c r="H518" s="3"/>
      <c r="I518" s="3"/>
      <c r="J518" s="3"/>
      <c r="K518" s="3"/>
      <c r="L518" s="3"/>
      <c r="M518" s="3"/>
      <c r="N518" s="3"/>
      <c r="O518" s="3"/>
      <c r="P518" s="3"/>
      <c r="Q518" s="3"/>
      <c r="R518" s="3"/>
      <c r="S518" s="3"/>
      <c r="T518" s="3"/>
      <c r="U518" s="3"/>
      <c r="V518" s="3"/>
      <c r="W518" s="3"/>
      <c r="X518" s="3"/>
      <c r="Y518" s="3"/>
      <c r="Z518" s="3"/>
      <c r="AA518" s="3"/>
    </row>
    <row r="519">
      <c r="A519" s="3"/>
      <c r="B519" s="3"/>
      <c r="C519" s="3"/>
      <c r="D519" s="3"/>
      <c r="E519" s="3"/>
      <c r="F519" s="3"/>
      <c r="G519" s="3"/>
      <c r="H519" s="3"/>
      <c r="I519" s="3"/>
      <c r="J519" s="3"/>
      <c r="K519" s="3"/>
      <c r="L519" s="3"/>
      <c r="M519" s="3"/>
      <c r="N519" s="3"/>
      <c r="O519" s="3"/>
      <c r="P519" s="3"/>
      <c r="Q519" s="3"/>
      <c r="R519" s="3"/>
      <c r="S519" s="3"/>
      <c r="T519" s="3"/>
      <c r="U519" s="3"/>
      <c r="V519" s="3"/>
      <c r="W519" s="3"/>
      <c r="X519" s="3"/>
      <c r="Y519" s="3"/>
      <c r="Z519" s="3"/>
      <c r="AA519" s="3"/>
    </row>
    <row r="520">
      <c r="A520" s="3"/>
      <c r="B520" s="3"/>
      <c r="C520" s="3"/>
      <c r="D520" s="3"/>
      <c r="E520" s="3"/>
      <c r="F520" s="3"/>
      <c r="G520" s="3"/>
      <c r="H520" s="3"/>
      <c r="I520" s="3"/>
      <c r="J520" s="3"/>
      <c r="K520" s="3"/>
      <c r="L520" s="3"/>
      <c r="M520" s="3"/>
      <c r="N520" s="3"/>
      <c r="O520" s="3"/>
      <c r="P520" s="3"/>
      <c r="Q520" s="3"/>
      <c r="R520" s="3"/>
      <c r="S520" s="3"/>
      <c r="T520" s="3"/>
      <c r="U520" s="3"/>
      <c r="V520" s="3"/>
      <c r="W520" s="3"/>
      <c r="X520" s="3"/>
      <c r="Y520" s="3"/>
      <c r="Z520" s="3"/>
      <c r="AA520" s="3"/>
    </row>
    <row r="521">
      <c r="A521" s="3"/>
      <c r="B521" s="3"/>
      <c r="C521" s="3"/>
      <c r="D521" s="3"/>
      <c r="E521" s="3"/>
      <c r="F521" s="3"/>
      <c r="G521" s="3"/>
      <c r="H521" s="3"/>
      <c r="I521" s="3"/>
      <c r="J521" s="3"/>
      <c r="K521" s="3"/>
      <c r="L521" s="3"/>
      <c r="M521" s="3"/>
      <c r="N521" s="3"/>
      <c r="O521" s="3"/>
      <c r="P521" s="3"/>
      <c r="Q521" s="3"/>
      <c r="R521" s="3"/>
      <c r="S521" s="3"/>
      <c r="T521" s="3"/>
      <c r="U521" s="3"/>
      <c r="V521" s="3"/>
      <c r="W521" s="3"/>
      <c r="X521" s="3"/>
      <c r="Y521" s="3"/>
      <c r="Z521" s="3"/>
      <c r="AA521" s="3"/>
    </row>
    <row r="522">
      <c r="A522" s="3"/>
      <c r="B522" s="3"/>
      <c r="C522" s="3"/>
      <c r="D522" s="3"/>
      <c r="E522" s="3"/>
      <c r="F522" s="3"/>
      <c r="G522" s="3"/>
      <c r="H522" s="3"/>
      <c r="I522" s="3"/>
      <c r="J522" s="3"/>
      <c r="K522" s="3"/>
      <c r="L522" s="3"/>
      <c r="M522" s="3"/>
      <c r="N522" s="3"/>
      <c r="O522" s="3"/>
      <c r="P522" s="3"/>
      <c r="Q522" s="3"/>
      <c r="R522" s="3"/>
      <c r="S522" s="3"/>
      <c r="T522" s="3"/>
      <c r="U522" s="3"/>
      <c r="V522" s="3"/>
      <c r="W522" s="3"/>
      <c r="X522" s="3"/>
      <c r="Y522" s="3"/>
      <c r="Z522" s="3"/>
      <c r="AA522" s="3"/>
    </row>
    <row r="523">
      <c r="A523" s="3"/>
      <c r="B523" s="3"/>
      <c r="C523" s="3"/>
      <c r="D523" s="3"/>
      <c r="E523" s="3"/>
      <c r="F523" s="3"/>
      <c r="G523" s="3"/>
      <c r="H523" s="3"/>
      <c r="I523" s="3"/>
      <c r="J523" s="3"/>
      <c r="K523" s="3"/>
      <c r="L523" s="3"/>
      <c r="M523" s="3"/>
      <c r="N523" s="3"/>
      <c r="O523" s="3"/>
      <c r="P523" s="3"/>
      <c r="Q523" s="3"/>
      <c r="R523" s="3"/>
      <c r="S523" s="3"/>
      <c r="T523" s="3"/>
      <c r="U523" s="3"/>
      <c r="V523" s="3"/>
      <c r="W523" s="3"/>
      <c r="X523" s="3"/>
      <c r="Y523" s="3"/>
      <c r="Z523" s="3"/>
      <c r="AA523" s="3"/>
    </row>
    <row r="524">
      <c r="A524" s="3"/>
      <c r="B524" s="3"/>
      <c r="C524" s="3"/>
      <c r="D524" s="3"/>
      <c r="E524" s="3"/>
      <c r="F524" s="3"/>
      <c r="G524" s="3"/>
      <c r="H524" s="3"/>
      <c r="I524" s="3"/>
      <c r="J524" s="3"/>
      <c r="K524" s="3"/>
      <c r="L524" s="3"/>
      <c r="M524" s="3"/>
      <c r="N524" s="3"/>
      <c r="O524" s="3"/>
      <c r="P524" s="3"/>
      <c r="Q524" s="3"/>
      <c r="R524" s="3"/>
      <c r="S524" s="3"/>
      <c r="T524" s="3"/>
      <c r="U524" s="3"/>
      <c r="V524" s="3"/>
      <c r="W524" s="3"/>
      <c r="X524" s="3"/>
      <c r="Y524" s="3"/>
      <c r="Z524" s="3"/>
      <c r="AA524" s="3"/>
    </row>
    <row r="525">
      <c r="A525" s="3"/>
      <c r="B525" s="3"/>
      <c r="C525" s="3"/>
      <c r="D525" s="3"/>
      <c r="E525" s="3"/>
      <c r="F525" s="3"/>
      <c r="G525" s="3"/>
      <c r="H525" s="3"/>
      <c r="I525" s="3"/>
      <c r="J525" s="3"/>
      <c r="K525" s="3"/>
      <c r="L525" s="3"/>
      <c r="M525" s="3"/>
      <c r="N525" s="3"/>
      <c r="O525" s="3"/>
      <c r="P525" s="3"/>
      <c r="Q525" s="3"/>
      <c r="R525" s="3"/>
      <c r="S525" s="3"/>
      <c r="T525" s="3"/>
      <c r="U525" s="3"/>
      <c r="V525" s="3"/>
      <c r="W525" s="3"/>
      <c r="X525" s="3"/>
      <c r="Y525" s="3"/>
      <c r="Z525" s="3"/>
      <c r="AA525" s="3"/>
    </row>
    <row r="526">
      <c r="A526" s="3"/>
      <c r="B526" s="3"/>
      <c r="C526" s="3"/>
      <c r="D526" s="3"/>
      <c r="E526" s="3"/>
      <c r="F526" s="3"/>
      <c r="G526" s="3"/>
      <c r="H526" s="3"/>
      <c r="I526" s="3"/>
      <c r="J526" s="3"/>
      <c r="K526" s="3"/>
      <c r="L526" s="3"/>
      <c r="M526" s="3"/>
      <c r="N526" s="3"/>
      <c r="O526" s="3"/>
      <c r="P526" s="3"/>
      <c r="Q526" s="3"/>
      <c r="R526" s="3"/>
      <c r="S526" s="3"/>
      <c r="T526" s="3"/>
      <c r="U526" s="3"/>
      <c r="V526" s="3"/>
      <c r="W526" s="3"/>
      <c r="X526" s="3"/>
      <c r="Y526" s="3"/>
      <c r="Z526" s="3"/>
      <c r="AA526" s="3"/>
    </row>
    <row r="527">
      <c r="A527" s="3"/>
      <c r="B527" s="3"/>
      <c r="C527" s="3"/>
      <c r="D527" s="3"/>
      <c r="E527" s="3"/>
      <c r="F527" s="3"/>
      <c r="G527" s="3"/>
      <c r="H527" s="3"/>
      <c r="I527" s="3"/>
      <c r="J527" s="3"/>
      <c r="K527" s="3"/>
      <c r="L527" s="3"/>
      <c r="M527" s="3"/>
      <c r="N527" s="3"/>
      <c r="O527" s="3"/>
      <c r="P527" s="3"/>
      <c r="Q527" s="3"/>
      <c r="R527" s="3"/>
      <c r="S527" s="3"/>
      <c r="T527" s="3"/>
      <c r="U527" s="3"/>
      <c r="V527" s="3"/>
      <c r="W527" s="3"/>
      <c r="X527" s="3"/>
      <c r="Y527" s="3"/>
      <c r="Z527" s="3"/>
      <c r="AA527" s="3"/>
    </row>
    <row r="528">
      <c r="A528" s="3"/>
      <c r="B528" s="3"/>
      <c r="C528" s="3"/>
      <c r="D528" s="3"/>
      <c r="E528" s="3"/>
      <c r="F528" s="3"/>
      <c r="G528" s="3"/>
      <c r="H528" s="3"/>
      <c r="I528" s="3"/>
      <c r="J528" s="3"/>
      <c r="K528" s="3"/>
      <c r="L528" s="3"/>
      <c r="M528" s="3"/>
      <c r="N528" s="3"/>
      <c r="O528" s="3"/>
      <c r="P528" s="3"/>
      <c r="Q528" s="3"/>
      <c r="R528" s="3"/>
      <c r="S528" s="3"/>
      <c r="T528" s="3"/>
      <c r="U528" s="3"/>
      <c r="V528" s="3"/>
      <c r="W528" s="3"/>
      <c r="X528" s="3"/>
      <c r="Y528" s="3"/>
      <c r="Z528" s="3"/>
      <c r="AA528" s="3"/>
    </row>
    <row r="529">
      <c r="A529" s="3"/>
      <c r="B529" s="3"/>
      <c r="C529" s="3"/>
      <c r="D529" s="3"/>
      <c r="E529" s="3"/>
      <c r="F529" s="3"/>
      <c r="G529" s="3"/>
      <c r="H529" s="3"/>
      <c r="I529" s="3"/>
      <c r="J529" s="3"/>
      <c r="K529" s="3"/>
      <c r="L529" s="3"/>
      <c r="M529" s="3"/>
      <c r="N529" s="3"/>
      <c r="O529" s="3"/>
      <c r="P529" s="3"/>
      <c r="Q529" s="3"/>
      <c r="R529" s="3"/>
      <c r="S529" s="3"/>
      <c r="T529" s="3"/>
      <c r="U529" s="3"/>
      <c r="V529" s="3"/>
      <c r="W529" s="3"/>
      <c r="X529" s="3"/>
      <c r="Y529" s="3"/>
      <c r="Z529" s="3"/>
      <c r="AA529" s="3"/>
    </row>
    <row r="530">
      <c r="A530" s="3"/>
      <c r="B530" s="3"/>
      <c r="C530" s="3"/>
      <c r="D530" s="3"/>
      <c r="E530" s="3"/>
      <c r="F530" s="3"/>
      <c r="G530" s="3"/>
      <c r="H530" s="3"/>
      <c r="I530" s="3"/>
      <c r="J530" s="3"/>
      <c r="K530" s="3"/>
      <c r="L530" s="3"/>
      <c r="M530" s="3"/>
      <c r="N530" s="3"/>
      <c r="O530" s="3"/>
      <c r="P530" s="3"/>
      <c r="Q530" s="3"/>
      <c r="R530" s="3"/>
      <c r="S530" s="3"/>
      <c r="T530" s="3"/>
      <c r="U530" s="3"/>
      <c r="V530" s="3"/>
      <c r="W530" s="3"/>
      <c r="X530" s="3"/>
      <c r="Y530" s="3"/>
      <c r="Z530" s="3"/>
      <c r="AA530" s="3"/>
    </row>
    <row r="531">
      <c r="A531" s="3"/>
      <c r="B531" s="3"/>
      <c r="C531" s="3"/>
      <c r="D531" s="3"/>
      <c r="E531" s="3"/>
      <c r="F531" s="3"/>
      <c r="G531" s="3"/>
      <c r="H531" s="3"/>
      <c r="I531" s="3"/>
      <c r="J531" s="3"/>
      <c r="K531" s="3"/>
      <c r="L531" s="3"/>
      <c r="M531" s="3"/>
      <c r="N531" s="3"/>
      <c r="O531" s="3"/>
      <c r="P531" s="3"/>
      <c r="Q531" s="3"/>
      <c r="R531" s="3"/>
      <c r="S531" s="3"/>
      <c r="T531" s="3"/>
      <c r="U531" s="3"/>
      <c r="V531" s="3"/>
      <c r="W531" s="3"/>
      <c r="X531" s="3"/>
      <c r="Y531" s="3"/>
      <c r="Z531" s="3"/>
      <c r="AA531" s="3"/>
    </row>
    <row r="532">
      <c r="A532" s="3"/>
      <c r="B532" s="3"/>
      <c r="C532" s="3"/>
      <c r="D532" s="3"/>
      <c r="E532" s="3"/>
      <c r="F532" s="3"/>
      <c r="G532" s="3"/>
      <c r="H532" s="3"/>
      <c r="I532" s="3"/>
      <c r="J532" s="3"/>
      <c r="K532" s="3"/>
      <c r="L532" s="3"/>
      <c r="M532" s="3"/>
      <c r="N532" s="3"/>
      <c r="O532" s="3"/>
      <c r="P532" s="3"/>
      <c r="Q532" s="3"/>
      <c r="R532" s="3"/>
      <c r="S532" s="3"/>
      <c r="T532" s="3"/>
      <c r="U532" s="3"/>
      <c r="V532" s="3"/>
      <c r="W532" s="3"/>
      <c r="X532" s="3"/>
      <c r="Y532" s="3"/>
      <c r="Z532" s="3"/>
      <c r="AA532" s="3"/>
    </row>
    <row r="533">
      <c r="A533" s="3"/>
      <c r="B533" s="3"/>
      <c r="C533" s="3"/>
      <c r="D533" s="3"/>
      <c r="E533" s="3"/>
      <c r="F533" s="3"/>
      <c r="G533" s="3"/>
      <c r="H533" s="3"/>
      <c r="I533" s="3"/>
      <c r="J533" s="3"/>
      <c r="K533" s="3"/>
      <c r="L533" s="3"/>
      <c r="M533" s="3"/>
      <c r="N533" s="3"/>
      <c r="O533" s="3"/>
      <c r="P533" s="3"/>
      <c r="Q533" s="3"/>
      <c r="R533" s="3"/>
      <c r="S533" s="3"/>
      <c r="T533" s="3"/>
      <c r="U533" s="3"/>
      <c r="V533" s="3"/>
      <c r="W533" s="3"/>
      <c r="X533" s="3"/>
      <c r="Y533" s="3"/>
      <c r="Z533" s="3"/>
      <c r="AA533" s="3"/>
    </row>
    <row r="534">
      <c r="A534" s="3"/>
      <c r="B534" s="3"/>
      <c r="C534" s="3"/>
      <c r="D534" s="3"/>
      <c r="E534" s="3"/>
      <c r="F534" s="3"/>
      <c r="G534" s="3"/>
      <c r="H534" s="3"/>
      <c r="I534" s="3"/>
      <c r="J534" s="3"/>
      <c r="K534" s="3"/>
      <c r="L534" s="3"/>
      <c r="M534" s="3"/>
      <c r="N534" s="3"/>
      <c r="O534" s="3"/>
      <c r="P534" s="3"/>
      <c r="Q534" s="3"/>
      <c r="R534" s="3"/>
      <c r="S534" s="3"/>
      <c r="T534" s="3"/>
      <c r="U534" s="3"/>
      <c r="V534" s="3"/>
      <c r="W534" s="3"/>
      <c r="X534" s="3"/>
      <c r="Y534" s="3"/>
      <c r="Z534" s="3"/>
      <c r="AA534" s="3"/>
    </row>
    <row r="535">
      <c r="A535" s="3"/>
      <c r="B535" s="3"/>
      <c r="C535" s="3"/>
      <c r="D535" s="3"/>
      <c r="E535" s="3"/>
      <c r="F535" s="3"/>
      <c r="G535" s="3"/>
      <c r="H535" s="3"/>
      <c r="I535" s="3"/>
      <c r="J535" s="3"/>
      <c r="K535" s="3"/>
      <c r="L535" s="3"/>
      <c r="M535" s="3"/>
      <c r="N535" s="3"/>
      <c r="O535" s="3"/>
      <c r="P535" s="3"/>
      <c r="Q535" s="3"/>
      <c r="R535" s="3"/>
      <c r="S535" s="3"/>
      <c r="T535" s="3"/>
      <c r="U535" s="3"/>
      <c r="V535" s="3"/>
      <c r="W535" s="3"/>
      <c r="X535" s="3"/>
      <c r="Y535" s="3"/>
      <c r="Z535" s="3"/>
      <c r="AA535" s="3"/>
    </row>
    <row r="536">
      <c r="A536" s="3"/>
      <c r="B536" s="3"/>
      <c r="C536" s="3"/>
      <c r="D536" s="3"/>
      <c r="E536" s="3"/>
      <c r="F536" s="3"/>
      <c r="G536" s="3"/>
      <c r="H536" s="3"/>
      <c r="I536" s="3"/>
      <c r="J536" s="3"/>
      <c r="K536" s="3"/>
      <c r="L536" s="3"/>
      <c r="M536" s="3"/>
      <c r="N536" s="3"/>
      <c r="O536" s="3"/>
      <c r="P536" s="3"/>
      <c r="Q536" s="3"/>
      <c r="R536" s="3"/>
      <c r="S536" s="3"/>
      <c r="T536" s="3"/>
      <c r="U536" s="3"/>
      <c r="V536" s="3"/>
      <c r="W536" s="3"/>
      <c r="X536" s="3"/>
      <c r="Y536" s="3"/>
      <c r="Z536" s="3"/>
      <c r="AA536" s="3"/>
    </row>
    <row r="537">
      <c r="A537" s="3"/>
      <c r="B537" s="3"/>
      <c r="C537" s="3"/>
      <c r="D537" s="3"/>
      <c r="E537" s="3"/>
      <c r="F537" s="3"/>
      <c r="G537" s="3"/>
      <c r="H537" s="3"/>
      <c r="I537" s="3"/>
      <c r="J537" s="3"/>
      <c r="K537" s="3"/>
      <c r="L537" s="3"/>
      <c r="M537" s="3"/>
      <c r="N537" s="3"/>
      <c r="O537" s="3"/>
      <c r="P537" s="3"/>
      <c r="Q537" s="3"/>
      <c r="R537" s="3"/>
      <c r="S537" s="3"/>
      <c r="T537" s="3"/>
      <c r="U537" s="3"/>
      <c r="V537" s="3"/>
      <c r="W537" s="3"/>
      <c r="X537" s="3"/>
      <c r="Y537" s="3"/>
      <c r="Z537" s="3"/>
      <c r="AA537" s="3"/>
    </row>
    <row r="538">
      <c r="A538" s="3"/>
      <c r="B538" s="3"/>
      <c r="C538" s="3"/>
      <c r="D538" s="3"/>
      <c r="E538" s="3"/>
      <c r="F538" s="3"/>
      <c r="G538" s="3"/>
      <c r="H538" s="3"/>
      <c r="I538" s="3"/>
      <c r="J538" s="3"/>
      <c r="K538" s="3"/>
      <c r="L538" s="3"/>
      <c r="M538" s="3"/>
      <c r="N538" s="3"/>
      <c r="O538" s="3"/>
      <c r="P538" s="3"/>
      <c r="Q538" s="3"/>
      <c r="R538" s="3"/>
      <c r="S538" s="3"/>
      <c r="T538" s="3"/>
      <c r="U538" s="3"/>
      <c r="V538" s="3"/>
      <c r="W538" s="3"/>
      <c r="X538" s="3"/>
      <c r="Y538" s="3"/>
      <c r="Z538" s="3"/>
      <c r="AA538" s="3"/>
    </row>
    <row r="539">
      <c r="A539" s="3"/>
      <c r="B539" s="3"/>
      <c r="C539" s="3"/>
      <c r="D539" s="3"/>
      <c r="E539" s="3"/>
      <c r="F539" s="3"/>
      <c r="G539" s="3"/>
      <c r="H539" s="3"/>
      <c r="I539" s="3"/>
      <c r="J539" s="3"/>
      <c r="K539" s="3"/>
      <c r="L539" s="3"/>
      <c r="M539" s="3"/>
      <c r="N539" s="3"/>
      <c r="O539" s="3"/>
      <c r="P539" s="3"/>
      <c r="Q539" s="3"/>
      <c r="R539" s="3"/>
      <c r="S539" s="3"/>
      <c r="T539" s="3"/>
      <c r="U539" s="3"/>
      <c r="V539" s="3"/>
      <c r="W539" s="3"/>
      <c r="X539" s="3"/>
      <c r="Y539" s="3"/>
      <c r="Z539" s="3"/>
      <c r="AA539" s="3"/>
    </row>
    <row r="540">
      <c r="A540" s="3"/>
      <c r="B540" s="3"/>
      <c r="C540" s="3"/>
      <c r="D540" s="3"/>
      <c r="E540" s="3"/>
      <c r="F540" s="3"/>
      <c r="G540" s="3"/>
      <c r="H540" s="3"/>
      <c r="I540" s="3"/>
      <c r="J540" s="3"/>
      <c r="K540" s="3"/>
      <c r="L540" s="3"/>
      <c r="M540" s="3"/>
      <c r="N540" s="3"/>
      <c r="O540" s="3"/>
      <c r="P540" s="3"/>
      <c r="Q540" s="3"/>
      <c r="R540" s="3"/>
      <c r="S540" s="3"/>
      <c r="T540" s="3"/>
      <c r="U540" s="3"/>
      <c r="V540" s="3"/>
      <c r="W540" s="3"/>
      <c r="X540" s="3"/>
      <c r="Y540" s="3"/>
      <c r="Z540" s="3"/>
      <c r="AA540" s="3"/>
    </row>
    <row r="541">
      <c r="A541" s="3"/>
      <c r="B541" s="3"/>
      <c r="C541" s="3"/>
      <c r="D541" s="3"/>
      <c r="E541" s="3"/>
      <c r="F541" s="3"/>
      <c r="G541" s="3"/>
      <c r="H541" s="3"/>
      <c r="I541" s="3"/>
      <c r="J541" s="3"/>
      <c r="K541" s="3"/>
      <c r="L541" s="3"/>
      <c r="M541" s="3"/>
      <c r="N541" s="3"/>
      <c r="O541" s="3"/>
      <c r="P541" s="3"/>
      <c r="Q541" s="3"/>
      <c r="R541" s="3"/>
      <c r="S541" s="3"/>
      <c r="T541" s="3"/>
      <c r="U541" s="3"/>
      <c r="V541" s="3"/>
      <c r="W541" s="3"/>
      <c r="X541" s="3"/>
      <c r="Y541" s="3"/>
      <c r="Z541" s="3"/>
      <c r="AA541" s="3"/>
    </row>
    <row r="542">
      <c r="A542" s="3"/>
      <c r="B542" s="3"/>
      <c r="C542" s="3"/>
      <c r="D542" s="3"/>
      <c r="E542" s="3"/>
      <c r="F542" s="3"/>
      <c r="G542" s="3"/>
      <c r="H542" s="3"/>
      <c r="I542" s="3"/>
      <c r="J542" s="3"/>
      <c r="K542" s="3"/>
      <c r="L542" s="3"/>
      <c r="M542" s="3"/>
      <c r="N542" s="3"/>
      <c r="O542" s="3"/>
      <c r="P542" s="3"/>
      <c r="Q542" s="3"/>
      <c r="R542" s="3"/>
      <c r="S542" s="3"/>
      <c r="T542" s="3"/>
      <c r="U542" s="3"/>
      <c r="V542" s="3"/>
      <c r="W542" s="3"/>
      <c r="X542" s="3"/>
      <c r="Y542" s="3"/>
      <c r="Z542" s="3"/>
      <c r="AA542" s="3"/>
    </row>
    <row r="543">
      <c r="A543" s="3"/>
      <c r="B543" s="3"/>
      <c r="C543" s="3"/>
      <c r="D543" s="3"/>
      <c r="E543" s="3"/>
      <c r="F543" s="3"/>
      <c r="G543" s="3"/>
      <c r="H543" s="3"/>
      <c r="I543" s="3"/>
      <c r="J543" s="3"/>
      <c r="K543" s="3"/>
      <c r="L543" s="3"/>
      <c r="M543" s="3"/>
      <c r="N543" s="3"/>
      <c r="O543" s="3"/>
      <c r="P543" s="3"/>
      <c r="Q543" s="3"/>
      <c r="R543" s="3"/>
      <c r="S543" s="3"/>
      <c r="T543" s="3"/>
      <c r="U543" s="3"/>
      <c r="V543" s="3"/>
      <c r="W543" s="3"/>
      <c r="X543" s="3"/>
      <c r="Y543" s="3"/>
      <c r="Z543" s="3"/>
      <c r="AA543" s="3"/>
    </row>
    <row r="544">
      <c r="A544" s="3"/>
      <c r="B544" s="3"/>
      <c r="C544" s="3"/>
      <c r="D544" s="3"/>
      <c r="E544" s="3"/>
      <c r="F544" s="3"/>
      <c r="G544" s="3"/>
      <c r="H544" s="3"/>
      <c r="I544" s="3"/>
      <c r="J544" s="3"/>
      <c r="K544" s="3"/>
      <c r="L544" s="3"/>
      <c r="M544" s="3"/>
      <c r="N544" s="3"/>
      <c r="O544" s="3"/>
      <c r="P544" s="3"/>
      <c r="Q544" s="3"/>
      <c r="R544" s="3"/>
      <c r="S544" s="3"/>
      <c r="T544" s="3"/>
      <c r="U544" s="3"/>
      <c r="V544" s="3"/>
      <c r="W544" s="3"/>
      <c r="X544" s="3"/>
      <c r="Y544" s="3"/>
      <c r="Z544" s="3"/>
      <c r="AA544" s="3"/>
    </row>
    <row r="545">
      <c r="A545" s="3"/>
      <c r="B545" s="3"/>
      <c r="C545" s="3"/>
      <c r="D545" s="3"/>
      <c r="E545" s="3"/>
      <c r="F545" s="3"/>
      <c r="G545" s="3"/>
      <c r="H545" s="3"/>
      <c r="I545" s="3"/>
      <c r="J545" s="3"/>
      <c r="K545" s="3"/>
      <c r="L545" s="3"/>
      <c r="M545" s="3"/>
      <c r="N545" s="3"/>
      <c r="O545" s="3"/>
      <c r="P545" s="3"/>
      <c r="Q545" s="3"/>
      <c r="R545" s="3"/>
      <c r="S545" s="3"/>
      <c r="T545" s="3"/>
      <c r="U545" s="3"/>
      <c r="V545" s="3"/>
      <c r="W545" s="3"/>
      <c r="X545" s="3"/>
      <c r="Y545" s="3"/>
      <c r="Z545" s="3"/>
      <c r="AA545" s="3"/>
    </row>
    <row r="546">
      <c r="A546" s="3"/>
      <c r="B546" s="3"/>
      <c r="C546" s="3"/>
      <c r="D546" s="3"/>
      <c r="E546" s="3"/>
      <c r="F546" s="3"/>
      <c r="G546" s="3"/>
      <c r="H546" s="3"/>
      <c r="I546" s="3"/>
      <c r="J546" s="3"/>
      <c r="K546" s="3"/>
      <c r="L546" s="3"/>
      <c r="M546" s="3"/>
      <c r="N546" s="3"/>
      <c r="O546" s="3"/>
      <c r="P546" s="3"/>
      <c r="Q546" s="3"/>
      <c r="R546" s="3"/>
      <c r="S546" s="3"/>
      <c r="T546" s="3"/>
      <c r="U546" s="3"/>
      <c r="V546" s="3"/>
      <c r="W546" s="3"/>
      <c r="X546" s="3"/>
      <c r="Y546" s="3"/>
      <c r="Z546" s="3"/>
      <c r="AA546" s="3"/>
    </row>
    <row r="547">
      <c r="A547" s="3"/>
      <c r="B547" s="3"/>
      <c r="C547" s="3"/>
      <c r="D547" s="3"/>
      <c r="E547" s="3"/>
      <c r="F547" s="3"/>
      <c r="G547" s="3"/>
      <c r="H547" s="3"/>
      <c r="I547" s="3"/>
      <c r="J547" s="3"/>
      <c r="K547" s="3"/>
      <c r="L547" s="3"/>
      <c r="M547" s="3"/>
      <c r="N547" s="3"/>
      <c r="O547" s="3"/>
      <c r="P547" s="3"/>
      <c r="Q547" s="3"/>
      <c r="R547" s="3"/>
      <c r="S547" s="3"/>
      <c r="T547" s="3"/>
      <c r="U547" s="3"/>
      <c r="V547" s="3"/>
      <c r="W547" s="3"/>
      <c r="X547" s="3"/>
      <c r="Y547" s="3"/>
      <c r="Z547" s="3"/>
      <c r="AA547" s="3"/>
    </row>
    <row r="548">
      <c r="A548" s="3"/>
      <c r="B548" s="3"/>
      <c r="C548" s="3"/>
      <c r="D548" s="3"/>
      <c r="E548" s="3"/>
      <c r="F548" s="3"/>
      <c r="G548" s="3"/>
      <c r="H548" s="3"/>
      <c r="I548" s="3"/>
      <c r="J548" s="3"/>
      <c r="K548" s="3"/>
      <c r="L548" s="3"/>
      <c r="M548" s="3"/>
      <c r="N548" s="3"/>
      <c r="O548" s="3"/>
      <c r="P548" s="3"/>
      <c r="Q548" s="3"/>
      <c r="R548" s="3"/>
      <c r="S548" s="3"/>
      <c r="T548" s="3"/>
      <c r="U548" s="3"/>
      <c r="V548" s="3"/>
      <c r="W548" s="3"/>
      <c r="X548" s="3"/>
      <c r="Y548" s="3"/>
      <c r="Z548" s="3"/>
      <c r="AA548" s="3"/>
    </row>
    <row r="549">
      <c r="A549" s="3"/>
      <c r="B549" s="3"/>
      <c r="C549" s="3"/>
      <c r="D549" s="3"/>
      <c r="E549" s="3"/>
      <c r="F549" s="3"/>
      <c r="G549" s="3"/>
      <c r="H549" s="3"/>
      <c r="I549" s="3"/>
      <c r="J549" s="3"/>
      <c r="K549" s="3"/>
      <c r="L549" s="3"/>
      <c r="M549" s="3"/>
      <c r="N549" s="3"/>
      <c r="O549" s="3"/>
      <c r="P549" s="3"/>
      <c r="Q549" s="3"/>
      <c r="R549" s="3"/>
      <c r="S549" s="3"/>
      <c r="T549" s="3"/>
      <c r="U549" s="3"/>
      <c r="V549" s="3"/>
      <c r="W549" s="3"/>
      <c r="X549" s="3"/>
      <c r="Y549" s="3"/>
      <c r="Z549" s="3"/>
      <c r="AA549" s="3"/>
    </row>
    <row r="550">
      <c r="A550" s="3"/>
      <c r="B550" s="3"/>
      <c r="C550" s="3"/>
      <c r="D550" s="3"/>
      <c r="E550" s="3"/>
      <c r="F550" s="3"/>
      <c r="G550" s="3"/>
      <c r="H550" s="3"/>
      <c r="I550" s="3"/>
      <c r="J550" s="3"/>
      <c r="K550" s="3"/>
      <c r="L550" s="3"/>
      <c r="M550" s="3"/>
      <c r="N550" s="3"/>
      <c r="O550" s="3"/>
      <c r="P550" s="3"/>
      <c r="Q550" s="3"/>
      <c r="R550" s="3"/>
      <c r="S550" s="3"/>
      <c r="T550" s="3"/>
      <c r="U550" s="3"/>
      <c r="V550" s="3"/>
      <c r="W550" s="3"/>
      <c r="X550" s="3"/>
      <c r="Y550" s="3"/>
      <c r="Z550" s="3"/>
      <c r="AA550" s="3"/>
    </row>
    <row r="551">
      <c r="A551" s="3"/>
      <c r="B551" s="3"/>
      <c r="C551" s="3"/>
      <c r="D551" s="3"/>
      <c r="E551" s="3"/>
      <c r="F551" s="3"/>
      <c r="G551" s="3"/>
      <c r="H551" s="3"/>
      <c r="I551" s="3"/>
      <c r="J551" s="3"/>
      <c r="K551" s="3"/>
      <c r="L551" s="3"/>
      <c r="M551" s="3"/>
      <c r="N551" s="3"/>
      <c r="O551" s="3"/>
      <c r="P551" s="3"/>
      <c r="Q551" s="3"/>
      <c r="R551" s="3"/>
      <c r="S551" s="3"/>
      <c r="T551" s="3"/>
      <c r="U551" s="3"/>
      <c r="V551" s="3"/>
      <c r="W551" s="3"/>
      <c r="X551" s="3"/>
      <c r="Y551" s="3"/>
      <c r="Z551" s="3"/>
      <c r="AA551" s="3"/>
    </row>
    <row r="552">
      <c r="A552" s="3"/>
      <c r="B552" s="3"/>
      <c r="C552" s="3"/>
      <c r="D552" s="3"/>
      <c r="E552" s="3"/>
      <c r="F552" s="3"/>
      <c r="G552" s="3"/>
      <c r="H552" s="3"/>
      <c r="I552" s="3"/>
      <c r="J552" s="3"/>
      <c r="K552" s="3"/>
      <c r="L552" s="3"/>
      <c r="M552" s="3"/>
      <c r="N552" s="3"/>
      <c r="O552" s="3"/>
      <c r="P552" s="3"/>
      <c r="Q552" s="3"/>
      <c r="R552" s="3"/>
      <c r="S552" s="3"/>
      <c r="T552" s="3"/>
      <c r="U552" s="3"/>
      <c r="V552" s="3"/>
      <c r="W552" s="3"/>
      <c r="X552" s="3"/>
      <c r="Y552" s="3"/>
      <c r="Z552" s="3"/>
      <c r="AA552" s="3"/>
    </row>
    <row r="553">
      <c r="A553" s="3"/>
      <c r="B553" s="3"/>
      <c r="C553" s="3"/>
      <c r="D553" s="3"/>
      <c r="E553" s="3"/>
      <c r="F553" s="3"/>
      <c r="G553" s="3"/>
      <c r="H553" s="3"/>
      <c r="I553" s="3"/>
      <c r="J553" s="3"/>
      <c r="K553" s="3"/>
      <c r="L553" s="3"/>
      <c r="M553" s="3"/>
      <c r="N553" s="3"/>
      <c r="O553" s="3"/>
      <c r="P553" s="3"/>
      <c r="Q553" s="3"/>
      <c r="R553" s="3"/>
      <c r="S553" s="3"/>
      <c r="T553" s="3"/>
      <c r="U553" s="3"/>
      <c r="V553" s="3"/>
      <c r="W553" s="3"/>
      <c r="X553" s="3"/>
      <c r="Y553" s="3"/>
      <c r="Z553" s="3"/>
      <c r="AA553" s="3"/>
    </row>
    <row r="554">
      <c r="A554" s="3"/>
      <c r="B554" s="3"/>
      <c r="C554" s="3"/>
      <c r="D554" s="3"/>
      <c r="E554" s="3"/>
      <c r="F554" s="3"/>
      <c r="G554" s="3"/>
      <c r="H554" s="3"/>
      <c r="I554" s="3"/>
      <c r="J554" s="3"/>
      <c r="K554" s="3"/>
      <c r="L554" s="3"/>
      <c r="M554" s="3"/>
      <c r="N554" s="3"/>
      <c r="O554" s="3"/>
      <c r="P554" s="3"/>
      <c r="Q554" s="3"/>
      <c r="R554" s="3"/>
      <c r="S554" s="3"/>
      <c r="T554" s="3"/>
      <c r="U554" s="3"/>
      <c r="V554" s="3"/>
      <c r="W554" s="3"/>
      <c r="X554" s="3"/>
      <c r="Y554" s="3"/>
      <c r="Z554" s="3"/>
      <c r="AA554" s="3"/>
    </row>
    <row r="555">
      <c r="A555" s="3"/>
      <c r="B555" s="3"/>
      <c r="C555" s="3"/>
      <c r="D555" s="3"/>
      <c r="E555" s="3"/>
      <c r="F555" s="3"/>
      <c r="G555" s="3"/>
      <c r="H555" s="3"/>
      <c r="I555" s="3"/>
      <c r="J555" s="3"/>
      <c r="K555" s="3"/>
      <c r="L555" s="3"/>
      <c r="M555" s="3"/>
      <c r="N555" s="3"/>
      <c r="O555" s="3"/>
      <c r="P555" s="3"/>
      <c r="Q555" s="3"/>
      <c r="R555" s="3"/>
      <c r="S555" s="3"/>
      <c r="T555" s="3"/>
      <c r="U555" s="3"/>
      <c r="V555" s="3"/>
      <c r="W555" s="3"/>
      <c r="X555" s="3"/>
      <c r="Y555" s="3"/>
      <c r="Z555" s="3"/>
      <c r="AA555" s="3"/>
    </row>
    <row r="556">
      <c r="A556" s="3"/>
      <c r="B556" s="3"/>
      <c r="C556" s="3"/>
      <c r="D556" s="3"/>
      <c r="E556" s="3"/>
      <c r="F556" s="3"/>
      <c r="G556" s="3"/>
      <c r="H556" s="3"/>
      <c r="I556" s="3"/>
      <c r="J556" s="3"/>
      <c r="K556" s="3"/>
      <c r="L556" s="3"/>
      <c r="M556" s="3"/>
      <c r="N556" s="3"/>
      <c r="O556" s="3"/>
      <c r="P556" s="3"/>
      <c r="Q556" s="3"/>
      <c r="R556" s="3"/>
      <c r="S556" s="3"/>
      <c r="T556" s="3"/>
      <c r="U556" s="3"/>
      <c r="V556" s="3"/>
      <c r="W556" s="3"/>
      <c r="X556" s="3"/>
      <c r="Y556" s="3"/>
      <c r="Z556" s="3"/>
      <c r="AA556" s="3"/>
    </row>
    <row r="557">
      <c r="A557" s="3"/>
      <c r="B557" s="3"/>
      <c r="C557" s="3"/>
      <c r="D557" s="3"/>
      <c r="E557" s="3"/>
      <c r="F557" s="3"/>
      <c r="G557" s="3"/>
      <c r="H557" s="3"/>
      <c r="I557" s="3"/>
      <c r="J557" s="3"/>
      <c r="K557" s="3"/>
      <c r="L557" s="3"/>
      <c r="M557" s="3"/>
      <c r="N557" s="3"/>
      <c r="O557" s="3"/>
      <c r="P557" s="3"/>
      <c r="Q557" s="3"/>
      <c r="R557" s="3"/>
      <c r="S557" s="3"/>
      <c r="T557" s="3"/>
      <c r="U557" s="3"/>
      <c r="V557" s="3"/>
      <c r="W557" s="3"/>
      <c r="X557" s="3"/>
      <c r="Y557" s="3"/>
      <c r="Z557" s="3"/>
      <c r="AA557" s="3"/>
    </row>
    <row r="558">
      <c r="A558" s="3"/>
      <c r="B558" s="3"/>
      <c r="C558" s="3"/>
      <c r="D558" s="3"/>
      <c r="E558" s="3"/>
      <c r="F558" s="3"/>
      <c r="G558" s="3"/>
      <c r="H558" s="3"/>
      <c r="I558" s="3"/>
      <c r="J558" s="3"/>
      <c r="K558" s="3"/>
      <c r="L558" s="3"/>
      <c r="M558" s="3"/>
      <c r="N558" s="3"/>
      <c r="O558" s="3"/>
      <c r="P558" s="3"/>
      <c r="Q558" s="3"/>
      <c r="R558" s="3"/>
      <c r="S558" s="3"/>
      <c r="T558" s="3"/>
      <c r="U558" s="3"/>
      <c r="V558" s="3"/>
      <c r="W558" s="3"/>
      <c r="X558" s="3"/>
      <c r="Y558" s="3"/>
      <c r="Z558" s="3"/>
      <c r="AA558" s="3"/>
    </row>
    <row r="559">
      <c r="A559" s="3"/>
      <c r="B559" s="3"/>
      <c r="C559" s="3"/>
      <c r="D559" s="3"/>
      <c r="E559" s="3"/>
      <c r="F559" s="3"/>
      <c r="G559" s="3"/>
      <c r="H559" s="3"/>
      <c r="I559" s="3"/>
      <c r="J559" s="3"/>
      <c r="K559" s="3"/>
      <c r="L559" s="3"/>
      <c r="M559" s="3"/>
      <c r="N559" s="3"/>
      <c r="O559" s="3"/>
      <c r="P559" s="3"/>
      <c r="Q559" s="3"/>
      <c r="R559" s="3"/>
      <c r="S559" s="3"/>
      <c r="T559" s="3"/>
      <c r="U559" s="3"/>
      <c r="V559" s="3"/>
      <c r="W559" s="3"/>
      <c r="X559" s="3"/>
      <c r="Y559" s="3"/>
      <c r="Z559" s="3"/>
      <c r="AA559" s="3"/>
    </row>
    <row r="560">
      <c r="A560" s="3"/>
      <c r="B560" s="3"/>
      <c r="C560" s="3"/>
      <c r="D560" s="3"/>
      <c r="E560" s="3"/>
      <c r="F560" s="3"/>
      <c r="G560" s="3"/>
      <c r="H560" s="3"/>
      <c r="I560" s="3"/>
      <c r="J560" s="3"/>
      <c r="K560" s="3"/>
      <c r="L560" s="3"/>
      <c r="M560" s="3"/>
      <c r="N560" s="3"/>
      <c r="O560" s="3"/>
      <c r="P560" s="3"/>
      <c r="Q560" s="3"/>
      <c r="R560" s="3"/>
      <c r="S560" s="3"/>
      <c r="T560" s="3"/>
      <c r="U560" s="3"/>
      <c r="V560" s="3"/>
      <c r="W560" s="3"/>
      <c r="X560" s="3"/>
      <c r="Y560" s="3"/>
      <c r="Z560" s="3"/>
      <c r="AA560" s="3"/>
    </row>
    <row r="561">
      <c r="A561" s="3"/>
      <c r="B561" s="3"/>
      <c r="C561" s="3"/>
      <c r="D561" s="3"/>
      <c r="E561" s="3"/>
      <c r="F561" s="3"/>
      <c r="G561" s="3"/>
      <c r="H561" s="3"/>
      <c r="I561" s="3"/>
      <c r="J561" s="3"/>
      <c r="K561" s="3"/>
      <c r="L561" s="3"/>
      <c r="M561" s="3"/>
      <c r="N561" s="3"/>
      <c r="O561" s="3"/>
      <c r="P561" s="3"/>
      <c r="Q561" s="3"/>
      <c r="R561" s="3"/>
      <c r="S561" s="3"/>
      <c r="T561" s="3"/>
      <c r="U561" s="3"/>
      <c r="V561" s="3"/>
      <c r="W561" s="3"/>
      <c r="X561" s="3"/>
      <c r="Y561" s="3"/>
      <c r="Z561" s="3"/>
      <c r="AA561" s="3"/>
    </row>
    <row r="562">
      <c r="A562" s="3"/>
      <c r="B562" s="3"/>
      <c r="C562" s="3"/>
      <c r="D562" s="3"/>
      <c r="E562" s="3"/>
      <c r="F562" s="3"/>
      <c r="G562" s="3"/>
      <c r="H562" s="3"/>
      <c r="I562" s="3"/>
      <c r="J562" s="3"/>
      <c r="K562" s="3"/>
      <c r="L562" s="3"/>
      <c r="M562" s="3"/>
      <c r="N562" s="3"/>
      <c r="O562" s="3"/>
      <c r="P562" s="3"/>
      <c r="Q562" s="3"/>
      <c r="R562" s="3"/>
      <c r="S562" s="3"/>
      <c r="T562" s="3"/>
      <c r="U562" s="3"/>
      <c r="V562" s="3"/>
      <c r="W562" s="3"/>
      <c r="X562" s="3"/>
      <c r="Y562" s="3"/>
      <c r="Z562" s="3"/>
      <c r="AA562" s="3"/>
    </row>
    <row r="563">
      <c r="A563" s="3"/>
      <c r="B563" s="3"/>
      <c r="C563" s="3"/>
      <c r="D563" s="3"/>
      <c r="E563" s="3"/>
      <c r="F563" s="3"/>
      <c r="G563" s="3"/>
      <c r="H563" s="3"/>
      <c r="I563" s="3"/>
      <c r="J563" s="3"/>
      <c r="K563" s="3"/>
      <c r="L563" s="3"/>
      <c r="M563" s="3"/>
      <c r="N563" s="3"/>
      <c r="O563" s="3"/>
      <c r="P563" s="3"/>
      <c r="Q563" s="3"/>
      <c r="R563" s="3"/>
      <c r="S563" s="3"/>
      <c r="T563" s="3"/>
      <c r="U563" s="3"/>
      <c r="V563" s="3"/>
      <c r="W563" s="3"/>
      <c r="X563" s="3"/>
      <c r="Y563" s="3"/>
      <c r="Z563" s="3"/>
      <c r="AA563" s="3"/>
    </row>
    <row r="564">
      <c r="A564" s="3"/>
      <c r="B564" s="3"/>
      <c r="C564" s="3"/>
      <c r="D564" s="3"/>
      <c r="E564" s="3"/>
      <c r="F564" s="3"/>
      <c r="G564" s="3"/>
      <c r="H564" s="3"/>
      <c r="I564" s="3"/>
      <c r="J564" s="3"/>
      <c r="K564" s="3"/>
      <c r="L564" s="3"/>
      <c r="M564" s="3"/>
      <c r="N564" s="3"/>
      <c r="O564" s="3"/>
      <c r="P564" s="3"/>
      <c r="Q564" s="3"/>
      <c r="R564" s="3"/>
      <c r="S564" s="3"/>
      <c r="T564" s="3"/>
      <c r="U564" s="3"/>
      <c r="V564" s="3"/>
      <c r="W564" s="3"/>
      <c r="X564" s="3"/>
      <c r="Y564" s="3"/>
      <c r="Z564" s="3"/>
      <c r="AA564" s="3"/>
    </row>
    <row r="565">
      <c r="A565" s="3"/>
      <c r="B565" s="3"/>
      <c r="C565" s="3"/>
      <c r="D565" s="3"/>
      <c r="E565" s="3"/>
      <c r="F565" s="3"/>
      <c r="G565" s="3"/>
      <c r="H565" s="3"/>
      <c r="I565" s="3"/>
      <c r="J565" s="3"/>
      <c r="K565" s="3"/>
      <c r="L565" s="3"/>
      <c r="M565" s="3"/>
      <c r="N565" s="3"/>
      <c r="O565" s="3"/>
      <c r="P565" s="3"/>
      <c r="Q565" s="3"/>
      <c r="R565" s="3"/>
      <c r="S565" s="3"/>
      <c r="T565" s="3"/>
      <c r="U565" s="3"/>
      <c r="V565" s="3"/>
      <c r="W565" s="3"/>
      <c r="X565" s="3"/>
      <c r="Y565" s="3"/>
      <c r="Z565" s="3"/>
      <c r="AA565" s="3"/>
    </row>
    <row r="566">
      <c r="A566" s="3"/>
      <c r="B566" s="3"/>
      <c r="C566" s="3"/>
      <c r="D566" s="3"/>
      <c r="E566" s="3"/>
      <c r="F566" s="3"/>
      <c r="G566" s="3"/>
      <c r="H566" s="3"/>
      <c r="I566" s="3"/>
      <c r="J566" s="3"/>
      <c r="K566" s="3"/>
      <c r="L566" s="3"/>
      <c r="M566" s="3"/>
      <c r="N566" s="3"/>
      <c r="O566" s="3"/>
      <c r="P566" s="3"/>
      <c r="Q566" s="3"/>
      <c r="R566" s="3"/>
      <c r="S566" s="3"/>
      <c r="T566" s="3"/>
      <c r="U566" s="3"/>
      <c r="V566" s="3"/>
      <c r="W566" s="3"/>
      <c r="X566" s="3"/>
      <c r="Y566" s="3"/>
      <c r="Z566" s="3"/>
      <c r="AA566" s="3"/>
    </row>
    <row r="567">
      <c r="A567" s="3"/>
      <c r="B567" s="3"/>
      <c r="C567" s="3"/>
      <c r="D567" s="3"/>
      <c r="E567" s="3"/>
      <c r="F567" s="3"/>
      <c r="G567" s="3"/>
      <c r="H567" s="3"/>
      <c r="I567" s="3"/>
      <c r="J567" s="3"/>
      <c r="K567" s="3"/>
      <c r="L567" s="3"/>
      <c r="M567" s="3"/>
      <c r="N567" s="3"/>
      <c r="O567" s="3"/>
      <c r="P567" s="3"/>
      <c r="Q567" s="3"/>
      <c r="R567" s="3"/>
      <c r="S567" s="3"/>
      <c r="T567" s="3"/>
      <c r="U567" s="3"/>
      <c r="V567" s="3"/>
      <c r="W567" s="3"/>
      <c r="X567" s="3"/>
      <c r="Y567" s="3"/>
      <c r="Z567" s="3"/>
      <c r="AA567" s="3"/>
    </row>
    <row r="568">
      <c r="A568" s="3"/>
      <c r="B568" s="3"/>
      <c r="C568" s="3"/>
      <c r="D568" s="3"/>
      <c r="E568" s="3"/>
      <c r="F568" s="3"/>
      <c r="G568" s="3"/>
      <c r="H568" s="3"/>
      <c r="I568" s="3"/>
      <c r="J568" s="3"/>
      <c r="K568" s="3"/>
      <c r="L568" s="3"/>
      <c r="M568" s="3"/>
      <c r="N568" s="3"/>
      <c r="O568" s="3"/>
      <c r="P568" s="3"/>
      <c r="Q568" s="3"/>
      <c r="R568" s="3"/>
      <c r="S568" s="3"/>
      <c r="T568" s="3"/>
      <c r="U568" s="3"/>
      <c r="V568" s="3"/>
      <c r="W568" s="3"/>
      <c r="X568" s="3"/>
      <c r="Y568" s="3"/>
      <c r="Z568" s="3"/>
      <c r="AA568" s="3"/>
    </row>
    <row r="569">
      <c r="A569" s="3"/>
      <c r="B569" s="3"/>
      <c r="C569" s="3"/>
      <c r="D569" s="3"/>
      <c r="E569" s="3"/>
      <c r="F569" s="3"/>
      <c r="G569" s="3"/>
      <c r="H569" s="3"/>
      <c r="I569" s="3"/>
      <c r="J569" s="3"/>
      <c r="K569" s="3"/>
      <c r="L569" s="3"/>
      <c r="M569" s="3"/>
      <c r="N569" s="3"/>
      <c r="O569" s="3"/>
      <c r="P569" s="3"/>
      <c r="Q569" s="3"/>
      <c r="R569" s="3"/>
      <c r="S569" s="3"/>
      <c r="T569" s="3"/>
      <c r="U569" s="3"/>
      <c r="V569" s="3"/>
      <c r="W569" s="3"/>
      <c r="X569" s="3"/>
      <c r="Y569" s="3"/>
      <c r="Z569" s="3"/>
      <c r="AA569" s="3"/>
    </row>
    <row r="570">
      <c r="A570" s="3"/>
      <c r="B570" s="3"/>
      <c r="C570" s="3"/>
      <c r="D570" s="3"/>
      <c r="E570" s="3"/>
      <c r="F570" s="3"/>
      <c r="G570" s="3"/>
      <c r="H570" s="3"/>
      <c r="I570" s="3"/>
      <c r="J570" s="3"/>
      <c r="K570" s="3"/>
      <c r="L570" s="3"/>
      <c r="M570" s="3"/>
      <c r="N570" s="3"/>
      <c r="O570" s="3"/>
      <c r="P570" s="3"/>
      <c r="Q570" s="3"/>
      <c r="R570" s="3"/>
      <c r="S570" s="3"/>
      <c r="T570" s="3"/>
      <c r="U570" s="3"/>
      <c r="V570" s="3"/>
      <c r="W570" s="3"/>
      <c r="X570" s="3"/>
      <c r="Y570" s="3"/>
      <c r="Z570" s="3"/>
      <c r="AA570" s="3"/>
    </row>
    <row r="571">
      <c r="A571" s="3"/>
      <c r="B571" s="3"/>
      <c r="C571" s="3"/>
      <c r="D571" s="3"/>
      <c r="E571" s="3"/>
      <c r="F571" s="3"/>
      <c r="G571" s="3"/>
      <c r="H571" s="3"/>
      <c r="I571" s="3"/>
      <c r="J571" s="3"/>
      <c r="K571" s="3"/>
      <c r="L571" s="3"/>
      <c r="M571" s="3"/>
      <c r="N571" s="3"/>
      <c r="O571" s="3"/>
      <c r="P571" s="3"/>
      <c r="Q571" s="3"/>
      <c r="R571" s="3"/>
      <c r="S571" s="3"/>
      <c r="T571" s="3"/>
      <c r="U571" s="3"/>
      <c r="V571" s="3"/>
      <c r="W571" s="3"/>
      <c r="X571" s="3"/>
      <c r="Y571" s="3"/>
      <c r="Z571" s="3"/>
      <c r="AA571" s="3"/>
    </row>
    <row r="572">
      <c r="A572" s="3"/>
      <c r="B572" s="3"/>
      <c r="C572" s="3"/>
      <c r="D572" s="3"/>
      <c r="E572" s="3"/>
      <c r="F572" s="3"/>
      <c r="G572" s="3"/>
      <c r="H572" s="3"/>
      <c r="I572" s="3"/>
      <c r="J572" s="3"/>
      <c r="K572" s="3"/>
      <c r="L572" s="3"/>
      <c r="M572" s="3"/>
      <c r="N572" s="3"/>
      <c r="O572" s="3"/>
      <c r="P572" s="3"/>
      <c r="Q572" s="3"/>
      <c r="R572" s="3"/>
      <c r="S572" s="3"/>
      <c r="T572" s="3"/>
      <c r="U572" s="3"/>
      <c r="V572" s="3"/>
      <c r="W572" s="3"/>
      <c r="X572" s="3"/>
      <c r="Y572" s="3"/>
      <c r="Z572" s="3"/>
      <c r="AA572" s="3"/>
    </row>
    <row r="573">
      <c r="A573" s="3"/>
      <c r="B573" s="3"/>
      <c r="C573" s="3"/>
      <c r="D573" s="3"/>
      <c r="E573" s="3"/>
      <c r="F573" s="3"/>
      <c r="G573" s="3"/>
      <c r="H573" s="3"/>
      <c r="I573" s="3"/>
      <c r="J573" s="3"/>
      <c r="K573" s="3"/>
      <c r="L573" s="3"/>
      <c r="M573" s="3"/>
      <c r="N573" s="3"/>
      <c r="O573" s="3"/>
      <c r="P573" s="3"/>
      <c r="Q573" s="3"/>
      <c r="R573" s="3"/>
      <c r="S573" s="3"/>
      <c r="T573" s="3"/>
      <c r="U573" s="3"/>
      <c r="V573" s="3"/>
      <c r="W573" s="3"/>
      <c r="X573" s="3"/>
      <c r="Y573" s="3"/>
      <c r="Z573" s="3"/>
      <c r="AA573" s="3"/>
    </row>
    <row r="574">
      <c r="A574" s="3"/>
      <c r="B574" s="3"/>
      <c r="C574" s="3"/>
      <c r="D574" s="3"/>
      <c r="E574" s="3"/>
      <c r="F574" s="3"/>
      <c r="G574" s="3"/>
      <c r="H574" s="3"/>
      <c r="I574" s="3"/>
      <c r="J574" s="3"/>
      <c r="K574" s="3"/>
      <c r="L574" s="3"/>
      <c r="M574" s="3"/>
      <c r="N574" s="3"/>
      <c r="O574" s="3"/>
      <c r="P574" s="3"/>
      <c r="Q574" s="3"/>
      <c r="R574" s="3"/>
      <c r="S574" s="3"/>
      <c r="T574" s="3"/>
      <c r="U574" s="3"/>
      <c r="V574" s="3"/>
      <c r="W574" s="3"/>
      <c r="X574" s="3"/>
      <c r="Y574" s="3"/>
      <c r="Z574" s="3"/>
      <c r="AA574" s="3"/>
    </row>
    <row r="575">
      <c r="A575" s="3"/>
      <c r="B575" s="3"/>
      <c r="C575" s="3"/>
      <c r="D575" s="3"/>
      <c r="E575" s="3"/>
      <c r="F575" s="3"/>
      <c r="G575" s="3"/>
      <c r="H575" s="3"/>
      <c r="I575" s="3"/>
      <c r="J575" s="3"/>
      <c r="K575" s="3"/>
      <c r="L575" s="3"/>
      <c r="M575" s="3"/>
      <c r="N575" s="3"/>
      <c r="O575" s="3"/>
      <c r="P575" s="3"/>
      <c r="Q575" s="3"/>
      <c r="R575" s="3"/>
      <c r="S575" s="3"/>
      <c r="T575" s="3"/>
      <c r="U575" s="3"/>
      <c r="V575" s="3"/>
      <c r="W575" s="3"/>
      <c r="X575" s="3"/>
      <c r="Y575" s="3"/>
      <c r="Z575" s="3"/>
      <c r="AA575" s="3"/>
    </row>
    <row r="576">
      <c r="A576" s="3"/>
      <c r="B576" s="3"/>
      <c r="C576" s="3"/>
      <c r="D576" s="3"/>
      <c r="E576" s="3"/>
      <c r="F576" s="3"/>
      <c r="G576" s="3"/>
      <c r="H576" s="3"/>
      <c r="I576" s="3"/>
      <c r="J576" s="3"/>
      <c r="K576" s="3"/>
      <c r="L576" s="3"/>
      <c r="M576" s="3"/>
      <c r="N576" s="3"/>
      <c r="O576" s="3"/>
      <c r="P576" s="3"/>
      <c r="Q576" s="3"/>
      <c r="R576" s="3"/>
      <c r="S576" s="3"/>
      <c r="T576" s="3"/>
      <c r="U576" s="3"/>
      <c r="V576" s="3"/>
      <c r="W576" s="3"/>
      <c r="X576" s="3"/>
      <c r="Y576" s="3"/>
      <c r="Z576" s="3"/>
      <c r="AA576" s="3"/>
    </row>
    <row r="577">
      <c r="A577" s="3"/>
      <c r="B577" s="3"/>
      <c r="C577" s="3"/>
      <c r="D577" s="3"/>
      <c r="E577" s="3"/>
      <c r="F577" s="3"/>
      <c r="G577" s="3"/>
      <c r="H577" s="3"/>
      <c r="I577" s="3"/>
      <c r="J577" s="3"/>
      <c r="K577" s="3"/>
      <c r="L577" s="3"/>
      <c r="M577" s="3"/>
      <c r="N577" s="3"/>
      <c r="O577" s="3"/>
      <c r="P577" s="3"/>
      <c r="Q577" s="3"/>
      <c r="R577" s="3"/>
      <c r="S577" s="3"/>
      <c r="T577" s="3"/>
      <c r="U577" s="3"/>
      <c r="V577" s="3"/>
      <c r="W577" s="3"/>
      <c r="X577" s="3"/>
      <c r="Y577" s="3"/>
      <c r="Z577" s="3"/>
      <c r="AA577" s="3"/>
    </row>
    <row r="578">
      <c r="A578" s="3"/>
      <c r="B578" s="3"/>
      <c r="C578" s="3"/>
      <c r="D578" s="3"/>
      <c r="E578" s="3"/>
      <c r="F578" s="3"/>
      <c r="G578" s="3"/>
      <c r="H578" s="3"/>
      <c r="I578" s="3"/>
      <c r="J578" s="3"/>
      <c r="K578" s="3"/>
      <c r="L578" s="3"/>
      <c r="M578" s="3"/>
      <c r="N578" s="3"/>
      <c r="O578" s="3"/>
      <c r="P578" s="3"/>
      <c r="Q578" s="3"/>
      <c r="R578" s="3"/>
      <c r="S578" s="3"/>
      <c r="T578" s="3"/>
      <c r="U578" s="3"/>
      <c r="V578" s="3"/>
      <c r="W578" s="3"/>
      <c r="X578" s="3"/>
      <c r="Y578" s="3"/>
      <c r="Z578" s="3"/>
      <c r="AA578" s="3"/>
    </row>
    <row r="579">
      <c r="A579" s="3"/>
      <c r="B579" s="3"/>
      <c r="C579" s="3"/>
      <c r="D579" s="3"/>
      <c r="E579" s="3"/>
      <c r="F579" s="3"/>
      <c r="G579" s="3"/>
      <c r="H579" s="3"/>
      <c r="I579" s="3"/>
      <c r="J579" s="3"/>
      <c r="K579" s="3"/>
      <c r="L579" s="3"/>
      <c r="M579" s="3"/>
      <c r="N579" s="3"/>
      <c r="O579" s="3"/>
      <c r="P579" s="3"/>
      <c r="Q579" s="3"/>
      <c r="R579" s="3"/>
      <c r="S579" s="3"/>
      <c r="T579" s="3"/>
      <c r="U579" s="3"/>
      <c r="V579" s="3"/>
      <c r="W579" s="3"/>
      <c r="X579" s="3"/>
      <c r="Y579" s="3"/>
      <c r="Z579" s="3"/>
      <c r="AA579" s="3"/>
    </row>
    <row r="580">
      <c r="A580" s="3"/>
      <c r="B580" s="3"/>
      <c r="C580" s="3"/>
      <c r="D580" s="3"/>
      <c r="E580" s="3"/>
      <c r="F580" s="3"/>
      <c r="G580" s="3"/>
      <c r="H580" s="3"/>
      <c r="I580" s="3"/>
      <c r="J580" s="3"/>
      <c r="K580" s="3"/>
      <c r="L580" s="3"/>
      <c r="M580" s="3"/>
      <c r="N580" s="3"/>
      <c r="O580" s="3"/>
      <c r="P580" s="3"/>
      <c r="Q580" s="3"/>
      <c r="R580" s="3"/>
      <c r="S580" s="3"/>
      <c r="T580" s="3"/>
      <c r="U580" s="3"/>
      <c r="V580" s="3"/>
      <c r="W580" s="3"/>
      <c r="X580" s="3"/>
      <c r="Y580" s="3"/>
      <c r="Z580" s="3"/>
      <c r="AA580" s="3"/>
    </row>
    <row r="581">
      <c r="A581" s="3"/>
      <c r="B581" s="3"/>
      <c r="C581" s="3"/>
      <c r="D581" s="3"/>
      <c r="E581" s="3"/>
      <c r="F581" s="3"/>
      <c r="G581" s="3"/>
      <c r="H581" s="3"/>
      <c r="I581" s="3"/>
      <c r="J581" s="3"/>
      <c r="K581" s="3"/>
      <c r="L581" s="3"/>
      <c r="M581" s="3"/>
      <c r="N581" s="3"/>
      <c r="O581" s="3"/>
      <c r="P581" s="3"/>
      <c r="Q581" s="3"/>
      <c r="R581" s="3"/>
      <c r="S581" s="3"/>
      <c r="T581" s="3"/>
      <c r="U581" s="3"/>
      <c r="V581" s="3"/>
      <c r="W581" s="3"/>
      <c r="X581" s="3"/>
      <c r="Y581" s="3"/>
      <c r="Z581" s="3"/>
      <c r="AA581" s="3"/>
    </row>
    <row r="582">
      <c r="A582" s="3"/>
      <c r="B582" s="3"/>
      <c r="C582" s="3"/>
      <c r="D582" s="3"/>
      <c r="E582" s="3"/>
      <c r="F582" s="3"/>
      <c r="G582" s="3"/>
      <c r="H582" s="3"/>
      <c r="I582" s="3"/>
      <c r="J582" s="3"/>
      <c r="K582" s="3"/>
      <c r="L582" s="3"/>
      <c r="M582" s="3"/>
      <c r="N582" s="3"/>
      <c r="O582" s="3"/>
      <c r="P582" s="3"/>
      <c r="Q582" s="3"/>
      <c r="R582" s="3"/>
      <c r="S582" s="3"/>
      <c r="T582" s="3"/>
      <c r="U582" s="3"/>
      <c r="V582" s="3"/>
      <c r="W582" s="3"/>
      <c r="X582" s="3"/>
      <c r="Y582" s="3"/>
      <c r="Z582" s="3"/>
      <c r="AA582" s="3"/>
    </row>
    <row r="583">
      <c r="A583" s="3"/>
      <c r="B583" s="3"/>
      <c r="C583" s="3"/>
      <c r="D583" s="3"/>
      <c r="E583" s="3"/>
      <c r="F583" s="3"/>
      <c r="G583" s="3"/>
      <c r="H583" s="3"/>
      <c r="I583" s="3"/>
      <c r="J583" s="3"/>
      <c r="K583" s="3"/>
      <c r="L583" s="3"/>
      <c r="M583" s="3"/>
      <c r="N583" s="3"/>
      <c r="O583" s="3"/>
      <c r="P583" s="3"/>
      <c r="Q583" s="3"/>
      <c r="R583" s="3"/>
      <c r="S583" s="3"/>
      <c r="T583" s="3"/>
      <c r="U583" s="3"/>
      <c r="V583" s="3"/>
      <c r="W583" s="3"/>
      <c r="X583" s="3"/>
      <c r="Y583" s="3"/>
      <c r="Z583" s="3"/>
      <c r="AA583" s="3"/>
    </row>
    <row r="584">
      <c r="A584" s="3"/>
      <c r="B584" s="3"/>
      <c r="C584" s="3"/>
      <c r="D584" s="3"/>
      <c r="E584" s="3"/>
      <c r="F584" s="3"/>
      <c r="G584" s="3"/>
      <c r="H584" s="3"/>
      <c r="I584" s="3"/>
      <c r="J584" s="3"/>
      <c r="K584" s="3"/>
      <c r="L584" s="3"/>
      <c r="M584" s="3"/>
      <c r="N584" s="3"/>
      <c r="O584" s="3"/>
      <c r="P584" s="3"/>
      <c r="Q584" s="3"/>
      <c r="R584" s="3"/>
      <c r="S584" s="3"/>
      <c r="T584" s="3"/>
      <c r="U584" s="3"/>
      <c r="V584" s="3"/>
      <c r="W584" s="3"/>
      <c r="X584" s="3"/>
      <c r="Y584" s="3"/>
      <c r="Z584" s="3"/>
      <c r="AA584" s="3"/>
    </row>
    <row r="585">
      <c r="A585" s="3"/>
      <c r="B585" s="3"/>
      <c r="C585" s="3"/>
      <c r="D585" s="3"/>
      <c r="E585" s="3"/>
      <c r="F585" s="3"/>
      <c r="G585" s="3"/>
      <c r="H585" s="3"/>
      <c r="I585" s="3"/>
      <c r="J585" s="3"/>
      <c r="K585" s="3"/>
      <c r="L585" s="3"/>
      <c r="M585" s="3"/>
      <c r="N585" s="3"/>
      <c r="O585" s="3"/>
      <c r="P585" s="3"/>
      <c r="Q585" s="3"/>
      <c r="R585" s="3"/>
      <c r="S585" s="3"/>
      <c r="T585" s="3"/>
      <c r="U585" s="3"/>
      <c r="V585" s="3"/>
      <c r="W585" s="3"/>
      <c r="X585" s="3"/>
      <c r="Y585" s="3"/>
      <c r="Z585" s="3"/>
      <c r="AA585" s="3"/>
    </row>
    <row r="586">
      <c r="A586" s="3"/>
      <c r="B586" s="3"/>
      <c r="C586" s="3"/>
      <c r="D586" s="3"/>
      <c r="E586" s="3"/>
      <c r="F586" s="3"/>
      <c r="G586" s="3"/>
      <c r="H586" s="3"/>
      <c r="I586" s="3"/>
      <c r="J586" s="3"/>
      <c r="K586" s="3"/>
      <c r="L586" s="3"/>
      <c r="M586" s="3"/>
      <c r="N586" s="3"/>
      <c r="O586" s="3"/>
      <c r="P586" s="3"/>
      <c r="Q586" s="3"/>
      <c r="R586" s="3"/>
      <c r="S586" s="3"/>
      <c r="T586" s="3"/>
      <c r="U586" s="3"/>
      <c r="V586" s="3"/>
      <c r="W586" s="3"/>
      <c r="X586" s="3"/>
      <c r="Y586" s="3"/>
      <c r="Z586" s="3"/>
      <c r="AA586" s="3"/>
    </row>
    <row r="587">
      <c r="A587" s="3"/>
      <c r="B587" s="3"/>
      <c r="C587" s="3"/>
      <c r="D587" s="3"/>
      <c r="E587" s="3"/>
      <c r="F587" s="3"/>
      <c r="G587" s="3"/>
      <c r="H587" s="3"/>
      <c r="I587" s="3"/>
      <c r="J587" s="3"/>
      <c r="K587" s="3"/>
      <c r="L587" s="3"/>
      <c r="M587" s="3"/>
      <c r="N587" s="3"/>
      <c r="O587" s="3"/>
      <c r="P587" s="3"/>
      <c r="Q587" s="3"/>
      <c r="R587" s="3"/>
      <c r="S587" s="3"/>
      <c r="T587" s="3"/>
      <c r="U587" s="3"/>
      <c r="V587" s="3"/>
      <c r="W587" s="3"/>
      <c r="X587" s="3"/>
      <c r="Y587" s="3"/>
      <c r="Z587" s="3"/>
      <c r="AA587" s="3"/>
    </row>
    <row r="588">
      <c r="A588" s="3"/>
      <c r="B588" s="3"/>
      <c r="C588" s="3"/>
      <c r="D588" s="3"/>
      <c r="E588" s="3"/>
      <c r="F588" s="3"/>
      <c r="G588" s="3"/>
      <c r="H588" s="3"/>
      <c r="I588" s="3"/>
      <c r="J588" s="3"/>
      <c r="K588" s="3"/>
      <c r="L588" s="3"/>
      <c r="M588" s="3"/>
      <c r="N588" s="3"/>
      <c r="O588" s="3"/>
      <c r="P588" s="3"/>
      <c r="Q588" s="3"/>
      <c r="R588" s="3"/>
      <c r="S588" s="3"/>
      <c r="T588" s="3"/>
      <c r="U588" s="3"/>
      <c r="V588" s="3"/>
      <c r="W588" s="3"/>
      <c r="X588" s="3"/>
      <c r="Y588" s="3"/>
      <c r="Z588" s="3"/>
      <c r="AA588" s="3"/>
    </row>
    <row r="589">
      <c r="A589" s="3"/>
      <c r="B589" s="3"/>
      <c r="C589" s="3"/>
      <c r="D589" s="3"/>
      <c r="E589" s="3"/>
      <c r="F589" s="3"/>
      <c r="G589" s="3"/>
      <c r="H589" s="3"/>
      <c r="I589" s="3"/>
      <c r="J589" s="3"/>
      <c r="K589" s="3"/>
      <c r="L589" s="3"/>
      <c r="M589" s="3"/>
      <c r="N589" s="3"/>
      <c r="O589" s="3"/>
      <c r="P589" s="3"/>
      <c r="Q589" s="3"/>
      <c r="R589" s="3"/>
      <c r="S589" s="3"/>
      <c r="T589" s="3"/>
      <c r="U589" s="3"/>
      <c r="V589" s="3"/>
      <c r="W589" s="3"/>
      <c r="X589" s="3"/>
      <c r="Y589" s="3"/>
      <c r="Z589" s="3"/>
      <c r="AA589" s="3"/>
    </row>
    <row r="590">
      <c r="A590" s="3"/>
      <c r="B590" s="3"/>
      <c r="C590" s="3"/>
      <c r="D590" s="3"/>
      <c r="E590" s="3"/>
      <c r="F590" s="3"/>
      <c r="G590" s="3"/>
      <c r="H590" s="3"/>
      <c r="I590" s="3"/>
      <c r="J590" s="3"/>
      <c r="K590" s="3"/>
      <c r="L590" s="3"/>
      <c r="M590" s="3"/>
      <c r="N590" s="3"/>
      <c r="O590" s="3"/>
      <c r="P590" s="3"/>
      <c r="Q590" s="3"/>
      <c r="R590" s="3"/>
      <c r="S590" s="3"/>
      <c r="T590" s="3"/>
      <c r="U590" s="3"/>
      <c r="V590" s="3"/>
      <c r="W590" s="3"/>
      <c r="X590" s="3"/>
      <c r="Y590" s="3"/>
      <c r="Z590" s="3"/>
      <c r="AA590" s="3"/>
    </row>
    <row r="591">
      <c r="A591" s="3"/>
      <c r="B591" s="3"/>
      <c r="C591" s="3"/>
      <c r="D591" s="3"/>
      <c r="E591" s="3"/>
      <c r="F591" s="3"/>
      <c r="G591" s="3"/>
      <c r="H591" s="3"/>
      <c r="I591" s="3"/>
      <c r="J591" s="3"/>
      <c r="K591" s="3"/>
      <c r="L591" s="3"/>
      <c r="M591" s="3"/>
      <c r="N591" s="3"/>
      <c r="O591" s="3"/>
      <c r="P591" s="3"/>
      <c r="Q591" s="3"/>
      <c r="R591" s="3"/>
      <c r="S591" s="3"/>
      <c r="T591" s="3"/>
      <c r="U591" s="3"/>
      <c r="V591" s="3"/>
      <c r="W591" s="3"/>
      <c r="X591" s="3"/>
      <c r="Y591" s="3"/>
      <c r="Z591" s="3"/>
      <c r="AA591" s="3"/>
    </row>
    <row r="592">
      <c r="A592" s="3"/>
      <c r="B592" s="3"/>
      <c r="C592" s="3"/>
      <c r="D592" s="3"/>
      <c r="E592" s="3"/>
      <c r="F592" s="3"/>
      <c r="G592" s="3"/>
      <c r="H592" s="3"/>
      <c r="I592" s="3"/>
      <c r="J592" s="3"/>
      <c r="K592" s="3"/>
      <c r="L592" s="3"/>
      <c r="M592" s="3"/>
      <c r="N592" s="3"/>
      <c r="O592" s="3"/>
      <c r="P592" s="3"/>
      <c r="Q592" s="3"/>
      <c r="R592" s="3"/>
      <c r="S592" s="3"/>
      <c r="T592" s="3"/>
      <c r="U592" s="3"/>
      <c r="V592" s="3"/>
      <c r="W592" s="3"/>
      <c r="X592" s="3"/>
      <c r="Y592" s="3"/>
      <c r="Z592" s="3"/>
      <c r="AA592" s="3"/>
    </row>
    <row r="593">
      <c r="A593" s="3"/>
      <c r="B593" s="3"/>
      <c r="C593" s="3"/>
      <c r="D593" s="3"/>
      <c r="E593" s="3"/>
      <c r="F593" s="3"/>
      <c r="G593" s="3"/>
      <c r="H593" s="3"/>
      <c r="I593" s="3"/>
      <c r="J593" s="3"/>
      <c r="K593" s="3"/>
      <c r="L593" s="3"/>
      <c r="M593" s="3"/>
      <c r="N593" s="3"/>
      <c r="O593" s="3"/>
      <c r="P593" s="3"/>
      <c r="Q593" s="3"/>
      <c r="R593" s="3"/>
      <c r="S593" s="3"/>
      <c r="T593" s="3"/>
      <c r="U593" s="3"/>
      <c r="V593" s="3"/>
      <c r="W593" s="3"/>
      <c r="X593" s="3"/>
      <c r="Y593" s="3"/>
      <c r="Z593" s="3"/>
      <c r="AA593" s="3"/>
    </row>
    <row r="594">
      <c r="A594" s="3"/>
      <c r="B594" s="3"/>
      <c r="C594" s="3"/>
      <c r="D594" s="3"/>
      <c r="E594" s="3"/>
      <c r="F594" s="3"/>
      <c r="G594" s="3"/>
      <c r="H594" s="3"/>
      <c r="I594" s="3"/>
      <c r="J594" s="3"/>
      <c r="K594" s="3"/>
      <c r="L594" s="3"/>
      <c r="M594" s="3"/>
      <c r="N594" s="3"/>
      <c r="O594" s="3"/>
      <c r="P594" s="3"/>
      <c r="Q594" s="3"/>
      <c r="R594" s="3"/>
      <c r="S594" s="3"/>
      <c r="T594" s="3"/>
      <c r="U594" s="3"/>
      <c r="V594" s="3"/>
      <c r="W594" s="3"/>
      <c r="X594" s="3"/>
      <c r="Y594" s="3"/>
      <c r="Z594" s="3"/>
      <c r="AA594" s="3"/>
    </row>
    <row r="595">
      <c r="A595" s="3"/>
      <c r="B595" s="3"/>
      <c r="C595" s="3"/>
      <c r="D595" s="3"/>
      <c r="E595" s="3"/>
      <c r="F595" s="3"/>
      <c r="G595" s="3"/>
      <c r="H595" s="3"/>
      <c r="I595" s="3"/>
      <c r="J595" s="3"/>
      <c r="K595" s="3"/>
      <c r="L595" s="3"/>
      <c r="M595" s="3"/>
      <c r="N595" s="3"/>
      <c r="O595" s="3"/>
      <c r="P595" s="3"/>
      <c r="Q595" s="3"/>
      <c r="R595" s="3"/>
      <c r="S595" s="3"/>
      <c r="T595" s="3"/>
      <c r="U595" s="3"/>
      <c r="V595" s="3"/>
      <c r="W595" s="3"/>
      <c r="X595" s="3"/>
      <c r="Y595" s="3"/>
      <c r="Z595" s="3"/>
      <c r="AA595" s="3"/>
    </row>
    <row r="596">
      <c r="A596" s="3"/>
      <c r="B596" s="3"/>
      <c r="C596" s="3"/>
      <c r="D596" s="3"/>
      <c r="E596" s="3"/>
      <c r="F596" s="3"/>
      <c r="G596" s="3"/>
      <c r="H596" s="3"/>
      <c r="I596" s="3"/>
      <c r="J596" s="3"/>
      <c r="K596" s="3"/>
      <c r="L596" s="3"/>
      <c r="M596" s="3"/>
      <c r="N596" s="3"/>
      <c r="O596" s="3"/>
      <c r="P596" s="3"/>
      <c r="Q596" s="3"/>
      <c r="R596" s="3"/>
      <c r="S596" s="3"/>
      <c r="T596" s="3"/>
      <c r="U596" s="3"/>
      <c r="V596" s="3"/>
      <c r="W596" s="3"/>
      <c r="X596" s="3"/>
      <c r="Y596" s="3"/>
      <c r="Z596" s="3"/>
      <c r="AA596" s="3"/>
    </row>
    <row r="597">
      <c r="A597" s="3"/>
      <c r="B597" s="3"/>
      <c r="C597" s="3"/>
      <c r="D597" s="3"/>
      <c r="E597" s="3"/>
      <c r="F597" s="3"/>
      <c r="G597" s="3"/>
      <c r="H597" s="3"/>
      <c r="I597" s="3"/>
      <c r="J597" s="3"/>
      <c r="K597" s="3"/>
      <c r="L597" s="3"/>
      <c r="M597" s="3"/>
      <c r="N597" s="3"/>
      <c r="O597" s="3"/>
      <c r="P597" s="3"/>
      <c r="Q597" s="3"/>
      <c r="R597" s="3"/>
      <c r="S597" s="3"/>
      <c r="T597" s="3"/>
      <c r="U597" s="3"/>
      <c r="V597" s="3"/>
      <c r="W597" s="3"/>
      <c r="X597" s="3"/>
      <c r="Y597" s="3"/>
      <c r="Z597" s="3"/>
      <c r="AA597" s="3"/>
    </row>
    <row r="598">
      <c r="A598" s="3"/>
      <c r="B598" s="3"/>
      <c r="C598" s="3"/>
      <c r="D598" s="3"/>
      <c r="E598" s="3"/>
      <c r="F598" s="3"/>
      <c r="G598" s="3"/>
      <c r="H598" s="3"/>
      <c r="I598" s="3"/>
      <c r="J598" s="3"/>
      <c r="K598" s="3"/>
      <c r="L598" s="3"/>
      <c r="M598" s="3"/>
      <c r="N598" s="3"/>
      <c r="O598" s="3"/>
      <c r="P598" s="3"/>
      <c r="Q598" s="3"/>
      <c r="R598" s="3"/>
      <c r="S598" s="3"/>
      <c r="T598" s="3"/>
      <c r="U598" s="3"/>
      <c r="V598" s="3"/>
      <c r="W598" s="3"/>
      <c r="X598" s="3"/>
      <c r="Y598" s="3"/>
      <c r="Z598" s="3"/>
      <c r="AA598" s="3"/>
    </row>
    <row r="599">
      <c r="A599" s="3"/>
      <c r="B599" s="3"/>
      <c r="C599" s="3"/>
      <c r="D599" s="3"/>
      <c r="E599" s="3"/>
      <c r="F599" s="3"/>
      <c r="G599" s="3"/>
      <c r="H599" s="3"/>
      <c r="I599" s="3"/>
      <c r="J599" s="3"/>
      <c r="K599" s="3"/>
      <c r="L599" s="3"/>
      <c r="M599" s="3"/>
      <c r="N599" s="3"/>
      <c r="O599" s="3"/>
      <c r="P599" s="3"/>
      <c r="Q599" s="3"/>
      <c r="R599" s="3"/>
      <c r="S599" s="3"/>
      <c r="T599" s="3"/>
      <c r="U599" s="3"/>
      <c r="V599" s="3"/>
      <c r="W599" s="3"/>
      <c r="X599" s="3"/>
      <c r="Y599" s="3"/>
      <c r="Z599" s="3"/>
      <c r="AA599" s="3"/>
    </row>
    <row r="600">
      <c r="A600" s="3"/>
      <c r="B600" s="3"/>
      <c r="C600" s="3"/>
      <c r="D600" s="3"/>
      <c r="E600" s="3"/>
      <c r="F600" s="3"/>
      <c r="G600" s="3"/>
      <c r="H600" s="3"/>
      <c r="I600" s="3"/>
      <c r="J600" s="3"/>
      <c r="K600" s="3"/>
      <c r="L600" s="3"/>
      <c r="M600" s="3"/>
      <c r="N600" s="3"/>
      <c r="O600" s="3"/>
      <c r="P600" s="3"/>
      <c r="Q600" s="3"/>
      <c r="R600" s="3"/>
      <c r="S600" s="3"/>
      <c r="T600" s="3"/>
      <c r="U600" s="3"/>
      <c r="V600" s="3"/>
      <c r="W600" s="3"/>
      <c r="X600" s="3"/>
      <c r="Y600" s="3"/>
      <c r="Z600" s="3"/>
      <c r="AA600" s="3"/>
    </row>
    <row r="601">
      <c r="A601" s="3"/>
      <c r="B601" s="3"/>
      <c r="C601" s="3"/>
      <c r="D601" s="3"/>
      <c r="E601" s="3"/>
      <c r="F601" s="3"/>
      <c r="G601" s="3"/>
      <c r="H601" s="3"/>
      <c r="I601" s="3"/>
      <c r="J601" s="3"/>
      <c r="K601" s="3"/>
      <c r="L601" s="3"/>
      <c r="M601" s="3"/>
      <c r="N601" s="3"/>
      <c r="O601" s="3"/>
      <c r="P601" s="3"/>
      <c r="Q601" s="3"/>
      <c r="R601" s="3"/>
      <c r="S601" s="3"/>
      <c r="T601" s="3"/>
      <c r="U601" s="3"/>
      <c r="V601" s="3"/>
      <c r="W601" s="3"/>
      <c r="X601" s="3"/>
      <c r="Y601" s="3"/>
      <c r="Z601" s="3"/>
      <c r="AA601" s="3"/>
    </row>
    <row r="602">
      <c r="A602" s="3"/>
      <c r="B602" s="3"/>
      <c r="C602" s="3"/>
      <c r="D602" s="3"/>
      <c r="E602" s="3"/>
      <c r="F602" s="3"/>
      <c r="G602" s="3"/>
      <c r="H602" s="3"/>
      <c r="I602" s="3"/>
      <c r="J602" s="3"/>
      <c r="K602" s="3"/>
      <c r="L602" s="3"/>
      <c r="M602" s="3"/>
      <c r="N602" s="3"/>
      <c r="O602" s="3"/>
      <c r="P602" s="3"/>
      <c r="Q602" s="3"/>
      <c r="R602" s="3"/>
      <c r="S602" s="3"/>
      <c r="T602" s="3"/>
      <c r="U602" s="3"/>
      <c r="V602" s="3"/>
      <c r="W602" s="3"/>
      <c r="X602" s="3"/>
      <c r="Y602" s="3"/>
      <c r="Z602" s="3"/>
      <c r="AA602" s="3"/>
    </row>
    <row r="603">
      <c r="A603" s="3"/>
      <c r="B603" s="3"/>
      <c r="C603" s="3"/>
      <c r="D603" s="3"/>
      <c r="E603" s="3"/>
      <c r="F603" s="3"/>
      <c r="G603" s="3"/>
      <c r="H603" s="3"/>
      <c r="I603" s="3"/>
      <c r="J603" s="3"/>
      <c r="K603" s="3"/>
      <c r="L603" s="3"/>
      <c r="M603" s="3"/>
      <c r="N603" s="3"/>
      <c r="O603" s="3"/>
      <c r="P603" s="3"/>
      <c r="Q603" s="3"/>
      <c r="R603" s="3"/>
      <c r="S603" s="3"/>
      <c r="T603" s="3"/>
      <c r="U603" s="3"/>
      <c r="V603" s="3"/>
      <c r="W603" s="3"/>
      <c r="X603" s="3"/>
      <c r="Y603" s="3"/>
      <c r="Z603" s="3"/>
      <c r="AA603" s="3"/>
    </row>
    <row r="604">
      <c r="A604" s="3"/>
      <c r="B604" s="3"/>
      <c r="C604" s="3"/>
      <c r="D604" s="3"/>
      <c r="E604" s="3"/>
      <c r="F604" s="3"/>
      <c r="G604" s="3"/>
      <c r="H604" s="3"/>
      <c r="I604" s="3"/>
      <c r="J604" s="3"/>
      <c r="K604" s="3"/>
      <c r="L604" s="3"/>
      <c r="M604" s="3"/>
      <c r="N604" s="3"/>
      <c r="O604" s="3"/>
      <c r="P604" s="3"/>
      <c r="Q604" s="3"/>
      <c r="R604" s="3"/>
      <c r="S604" s="3"/>
      <c r="T604" s="3"/>
      <c r="U604" s="3"/>
      <c r="V604" s="3"/>
      <c r="W604" s="3"/>
      <c r="X604" s="3"/>
      <c r="Y604" s="3"/>
      <c r="Z604" s="3"/>
      <c r="AA604" s="3"/>
    </row>
    <row r="605">
      <c r="A605" s="3"/>
      <c r="B605" s="3"/>
      <c r="C605" s="3"/>
      <c r="D605" s="3"/>
      <c r="E605" s="3"/>
      <c r="F605" s="3"/>
      <c r="G605" s="3"/>
      <c r="H605" s="3"/>
      <c r="I605" s="3"/>
      <c r="J605" s="3"/>
      <c r="K605" s="3"/>
      <c r="L605" s="3"/>
      <c r="M605" s="3"/>
      <c r="N605" s="3"/>
      <c r="O605" s="3"/>
      <c r="P605" s="3"/>
      <c r="Q605" s="3"/>
      <c r="R605" s="3"/>
      <c r="S605" s="3"/>
      <c r="T605" s="3"/>
      <c r="U605" s="3"/>
      <c r="V605" s="3"/>
      <c r="W605" s="3"/>
      <c r="X605" s="3"/>
      <c r="Y605" s="3"/>
      <c r="Z605" s="3"/>
      <c r="AA605" s="3"/>
    </row>
    <row r="606">
      <c r="A606" s="3"/>
      <c r="B606" s="3"/>
      <c r="C606" s="3"/>
      <c r="D606" s="3"/>
      <c r="E606" s="3"/>
      <c r="F606" s="3"/>
      <c r="G606" s="3"/>
      <c r="H606" s="3"/>
      <c r="I606" s="3"/>
      <c r="J606" s="3"/>
      <c r="K606" s="3"/>
      <c r="L606" s="3"/>
      <c r="M606" s="3"/>
      <c r="N606" s="3"/>
      <c r="O606" s="3"/>
      <c r="P606" s="3"/>
      <c r="Q606" s="3"/>
      <c r="R606" s="3"/>
      <c r="S606" s="3"/>
      <c r="T606" s="3"/>
      <c r="U606" s="3"/>
      <c r="V606" s="3"/>
      <c r="W606" s="3"/>
      <c r="X606" s="3"/>
      <c r="Y606" s="3"/>
      <c r="Z606" s="3"/>
      <c r="AA606" s="3"/>
    </row>
    <row r="607">
      <c r="A607" s="3"/>
      <c r="B607" s="3"/>
      <c r="C607" s="3"/>
      <c r="D607" s="3"/>
      <c r="E607" s="3"/>
      <c r="F607" s="3"/>
      <c r="G607" s="3"/>
      <c r="H607" s="3"/>
      <c r="I607" s="3"/>
      <c r="J607" s="3"/>
      <c r="K607" s="3"/>
      <c r="L607" s="3"/>
      <c r="M607" s="3"/>
      <c r="N607" s="3"/>
      <c r="O607" s="3"/>
      <c r="P607" s="3"/>
      <c r="Q607" s="3"/>
      <c r="R607" s="3"/>
      <c r="S607" s="3"/>
      <c r="T607" s="3"/>
      <c r="U607" s="3"/>
      <c r="V607" s="3"/>
      <c r="W607" s="3"/>
      <c r="X607" s="3"/>
      <c r="Y607" s="3"/>
      <c r="Z607" s="3"/>
      <c r="AA607" s="3"/>
    </row>
    <row r="608">
      <c r="A608" s="3"/>
      <c r="B608" s="3"/>
      <c r="C608" s="3"/>
      <c r="D608" s="3"/>
      <c r="E608" s="3"/>
      <c r="F608" s="3"/>
      <c r="G608" s="3"/>
      <c r="H608" s="3"/>
      <c r="I608" s="3"/>
      <c r="J608" s="3"/>
      <c r="K608" s="3"/>
      <c r="L608" s="3"/>
      <c r="M608" s="3"/>
      <c r="N608" s="3"/>
      <c r="O608" s="3"/>
      <c r="P608" s="3"/>
      <c r="Q608" s="3"/>
      <c r="R608" s="3"/>
      <c r="S608" s="3"/>
      <c r="T608" s="3"/>
      <c r="U608" s="3"/>
      <c r="V608" s="3"/>
      <c r="W608" s="3"/>
      <c r="X608" s="3"/>
      <c r="Y608" s="3"/>
      <c r="Z608" s="3"/>
      <c r="AA608" s="3"/>
    </row>
    <row r="609">
      <c r="A609" s="3"/>
      <c r="B609" s="3"/>
      <c r="C609" s="3"/>
      <c r="D609" s="3"/>
      <c r="E609" s="3"/>
      <c r="F609" s="3"/>
      <c r="G609" s="3"/>
      <c r="H609" s="3"/>
      <c r="I609" s="3"/>
      <c r="J609" s="3"/>
      <c r="K609" s="3"/>
      <c r="L609" s="3"/>
      <c r="M609" s="3"/>
      <c r="N609" s="3"/>
      <c r="O609" s="3"/>
      <c r="P609" s="3"/>
      <c r="Q609" s="3"/>
      <c r="R609" s="3"/>
      <c r="S609" s="3"/>
      <c r="T609" s="3"/>
      <c r="U609" s="3"/>
      <c r="V609" s="3"/>
      <c r="W609" s="3"/>
      <c r="X609" s="3"/>
      <c r="Y609" s="3"/>
      <c r="Z609" s="3"/>
      <c r="AA609" s="3"/>
    </row>
    <row r="610">
      <c r="A610" s="3"/>
      <c r="B610" s="3"/>
      <c r="C610" s="3"/>
      <c r="D610" s="3"/>
      <c r="E610" s="3"/>
      <c r="F610" s="3"/>
      <c r="G610" s="3"/>
      <c r="H610" s="3"/>
      <c r="I610" s="3"/>
      <c r="J610" s="3"/>
      <c r="K610" s="3"/>
      <c r="L610" s="3"/>
      <c r="M610" s="3"/>
      <c r="N610" s="3"/>
      <c r="O610" s="3"/>
      <c r="P610" s="3"/>
      <c r="Q610" s="3"/>
      <c r="R610" s="3"/>
      <c r="S610" s="3"/>
      <c r="T610" s="3"/>
      <c r="U610" s="3"/>
      <c r="V610" s="3"/>
      <c r="W610" s="3"/>
      <c r="X610" s="3"/>
      <c r="Y610" s="3"/>
      <c r="Z610" s="3"/>
      <c r="AA610" s="3"/>
    </row>
    <row r="611">
      <c r="A611" s="3"/>
      <c r="B611" s="3"/>
      <c r="C611" s="3"/>
      <c r="D611" s="3"/>
      <c r="E611" s="3"/>
      <c r="F611" s="3"/>
      <c r="G611" s="3"/>
      <c r="H611" s="3"/>
      <c r="I611" s="3"/>
      <c r="J611" s="3"/>
      <c r="K611" s="3"/>
      <c r="L611" s="3"/>
      <c r="M611" s="3"/>
      <c r="N611" s="3"/>
      <c r="O611" s="3"/>
      <c r="P611" s="3"/>
      <c r="Q611" s="3"/>
      <c r="R611" s="3"/>
      <c r="S611" s="3"/>
      <c r="T611" s="3"/>
      <c r="U611" s="3"/>
      <c r="V611" s="3"/>
      <c r="W611" s="3"/>
      <c r="X611" s="3"/>
      <c r="Y611" s="3"/>
      <c r="Z611" s="3"/>
      <c r="AA611" s="3"/>
    </row>
    <row r="612">
      <c r="A612" s="3"/>
      <c r="B612" s="3"/>
      <c r="C612" s="3"/>
      <c r="D612" s="3"/>
      <c r="E612" s="3"/>
      <c r="F612" s="3"/>
      <c r="G612" s="3"/>
      <c r="H612" s="3"/>
      <c r="I612" s="3"/>
      <c r="J612" s="3"/>
      <c r="K612" s="3"/>
      <c r="L612" s="3"/>
      <c r="M612" s="3"/>
      <c r="N612" s="3"/>
      <c r="O612" s="3"/>
      <c r="P612" s="3"/>
      <c r="Q612" s="3"/>
      <c r="R612" s="3"/>
      <c r="S612" s="3"/>
      <c r="T612" s="3"/>
      <c r="U612" s="3"/>
      <c r="V612" s="3"/>
      <c r="W612" s="3"/>
      <c r="X612" s="3"/>
      <c r="Y612" s="3"/>
      <c r="Z612" s="3"/>
      <c r="AA612" s="3"/>
    </row>
    <row r="613">
      <c r="A613" s="3"/>
      <c r="B613" s="3"/>
      <c r="C613" s="3"/>
      <c r="D613" s="3"/>
      <c r="E613" s="3"/>
      <c r="F613" s="3"/>
      <c r="G613" s="3"/>
      <c r="H613" s="3"/>
      <c r="I613" s="3"/>
      <c r="J613" s="3"/>
      <c r="K613" s="3"/>
      <c r="L613" s="3"/>
      <c r="M613" s="3"/>
      <c r="N613" s="3"/>
      <c r="O613" s="3"/>
      <c r="P613" s="3"/>
      <c r="Q613" s="3"/>
      <c r="R613" s="3"/>
      <c r="S613" s="3"/>
      <c r="T613" s="3"/>
      <c r="U613" s="3"/>
      <c r="V613" s="3"/>
      <c r="W613" s="3"/>
      <c r="X613" s="3"/>
      <c r="Y613" s="3"/>
      <c r="Z613" s="3"/>
      <c r="AA613" s="3"/>
    </row>
    <row r="614">
      <c r="A614" s="3"/>
      <c r="B614" s="3"/>
      <c r="C614" s="3"/>
      <c r="D614" s="3"/>
      <c r="E614" s="3"/>
      <c r="F614" s="3"/>
      <c r="G614" s="3"/>
      <c r="H614" s="3"/>
      <c r="I614" s="3"/>
      <c r="J614" s="3"/>
      <c r="K614" s="3"/>
      <c r="L614" s="3"/>
      <c r="M614" s="3"/>
      <c r="N614" s="3"/>
      <c r="O614" s="3"/>
      <c r="P614" s="3"/>
      <c r="Q614" s="3"/>
      <c r="R614" s="3"/>
      <c r="S614" s="3"/>
      <c r="T614" s="3"/>
      <c r="U614" s="3"/>
      <c r="V614" s="3"/>
      <c r="W614" s="3"/>
      <c r="X614" s="3"/>
      <c r="Y614" s="3"/>
      <c r="Z614" s="3"/>
      <c r="AA614" s="3"/>
    </row>
    <row r="615">
      <c r="A615" s="3"/>
      <c r="B615" s="3"/>
      <c r="C615" s="3"/>
      <c r="D615" s="3"/>
      <c r="E615" s="3"/>
      <c r="F615" s="3"/>
      <c r="G615" s="3"/>
      <c r="H615" s="3"/>
      <c r="I615" s="3"/>
      <c r="J615" s="3"/>
      <c r="K615" s="3"/>
      <c r="L615" s="3"/>
      <c r="M615" s="3"/>
      <c r="N615" s="3"/>
      <c r="O615" s="3"/>
      <c r="P615" s="3"/>
      <c r="Q615" s="3"/>
      <c r="R615" s="3"/>
      <c r="S615" s="3"/>
      <c r="T615" s="3"/>
      <c r="U615" s="3"/>
      <c r="V615" s="3"/>
      <c r="W615" s="3"/>
      <c r="X615" s="3"/>
      <c r="Y615" s="3"/>
      <c r="Z615" s="3"/>
      <c r="AA615" s="3"/>
    </row>
    <row r="616">
      <c r="A616" s="3"/>
      <c r="B616" s="3"/>
      <c r="C616" s="3"/>
      <c r="D616" s="3"/>
      <c r="E616" s="3"/>
      <c r="F616" s="3"/>
      <c r="G616" s="3"/>
      <c r="H616" s="3"/>
      <c r="I616" s="3"/>
      <c r="J616" s="3"/>
      <c r="K616" s="3"/>
      <c r="L616" s="3"/>
      <c r="M616" s="3"/>
      <c r="N616" s="3"/>
      <c r="O616" s="3"/>
      <c r="P616" s="3"/>
      <c r="Q616" s="3"/>
      <c r="R616" s="3"/>
      <c r="S616" s="3"/>
      <c r="T616" s="3"/>
      <c r="U616" s="3"/>
      <c r="V616" s="3"/>
      <c r="W616" s="3"/>
      <c r="X616" s="3"/>
      <c r="Y616" s="3"/>
      <c r="Z616" s="3"/>
      <c r="AA616" s="3"/>
    </row>
    <row r="617">
      <c r="A617" s="3"/>
      <c r="B617" s="3"/>
      <c r="C617" s="3"/>
      <c r="D617" s="3"/>
      <c r="E617" s="3"/>
      <c r="F617" s="3"/>
      <c r="G617" s="3"/>
      <c r="H617" s="3"/>
      <c r="I617" s="3"/>
      <c r="J617" s="3"/>
      <c r="K617" s="3"/>
      <c r="L617" s="3"/>
      <c r="M617" s="3"/>
      <c r="N617" s="3"/>
      <c r="O617" s="3"/>
      <c r="P617" s="3"/>
      <c r="Q617" s="3"/>
      <c r="R617" s="3"/>
      <c r="S617" s="3"/>
      <c r="T617" s="3"/>
      <c r="U617" s="3"/>
      <c r="V617" s="3"/>
      <c r="W617" s="3"/>
      <c r="X617" s="3"/>
      <c r="Y617" s="3"/>
      <c r="Z617" s="3"/>
      <c r="AA617" s="3"/>
    </row>
    <row r="618">
      <c r="A618" s="3"/>
      <c r="B618" s="3"/>
      <c r="C618" s="3"/>
      <c r="D618" s="3"/>
      <c r="E618" s="3"/>
      <c r="F618" s="3"/>
      <c r="G618" s="3"/>
      <c r="H618" s="3"/>
      <c r="I618" s="3"/>
      <c r="J618" s="3"/>
      <c r="K618" s="3"/>
      <c r="L618" s="3"/>
      <c r="M618" s="3"/>
      <c r="N618" s="3"/>
      <c r="O618" s="3"/>
      <c r="P618" s="3"/>
      <c r="Q618" s="3"/>
      <c r="R618" s="3"/>
      <c r="S618" s="3"/>
      <c r="T618" s="3"/>
      <c r="U618" s="3"/>
      <c r="V618" s="3"/>
      <c r="W618" s="3"/>
      <c r="X618" s="3"/>
      <c r="Y618" s="3"/>
      <c r="Z618" s="3"/>
      <c r="AA618" s="3"/>
    </row>
    <row r="619">
      <c r="A619" s="3"/>
      <c r="B619" s="3"/>
      <c r="C619" s="3"/>
      <c r="D619" s="3"/>
      <c r="E619" s="3"/>
      <c r="F619" s="3"/>
      <c r="G619" s="3"/>
      <c r="H619" s="3"/>
      <c r="I619" s="3"/>
      <c r="J619" s="3"/>
      <c r="K619" s="3"/>
      <c r="L619" s="3"/>
      <c r="M619" s="3"/>
      <c r="N619" s="3"/>
      <c r="O619" s="3"/>
      <c r="P619" s="3"/>
      <c r="Q619" s="3"/>
      <c r="R619" s="3"/>
      <c r="S619" s="3"/>
      <c r="T619" s="3"/>
      <c r="U619" s="3"/>
      <c r="V619" s="3"/>
      <c r="W619" s="3"/>
      <c r="X619" s="3"/>
      <c r="Y619" s="3"/>
      <c r="Z619" s="3"/>
      <c r="AA619" s="3"/>
    </row>
    <row r="620">
      <c r="A620" s="3"/>
      <c r="B620" s="3"/>
      <c r="C620" s="3"/>
      <c r="D620" s="3"/>
      <c r="E620" s="3"/>
      <c r="F620" s="3"/>
      <c r="G620" s="3"/>
      <c r="H620" s="3"/>
      <c r="I620" s="3"/>
      <c r="J620" s="3"/>
      <c r="K620" s="3"/>
      <c r="L620" s="3"/>
      <c r="M620" s="3"/>
      <c r="N620" s="3"/>
      <c r="O620" s="3"/>
      <c r="P620" s="3"/>
      <c r="Q620" s="3"/>
      <c r="R620" s="3"/>
      <c r="S620" s="3"/>
      <c r="T620" s="3"/>
      <c r="U620" s="3"/>
      <c r="V620" s="3"/>
      <c r="W620" s="3"/>
      <c r="X620" s="3"/>
      <c r="Y620" s="3"/>
      <c r="Z620" s="3"/>
      <c r="AA620" s="3"/>
    </row>
    <row r="621">
      <c r="A621" s="3"/>
      <c r="B621" s="3"/>
      <c r="C621" s="3"/>
      <c r="D621" s="3"/>
      <c r="E621" s="3"/>
      <c r="F621" s="3"/>
      <c r="G621" s="3"/>
      <c r="H621" s="3"/>
      <c r="I621" s="3"/>
      <c r="J621" s="3"/>
      <c r="K621" s="3"/>
      <c r="L621" s="3"/>
      <c r="M621" s="3"/>
      <c r="N621" s="3"/>
      <c r="O621" s="3"/>
      <c r="P621" s="3"/>
      <c r="Q621" s="3"/>
      <c r="R621" s="3"/>
      <c r="S621" s="3"/>
      <c r="T621" s="3"/>
      <c r="U621" s="3"/>
      <c r="V621" s="3"/>
      <c r="W621" s="3"/>
      <c r="X621" s="3"/>
      <c r="Y621" s="3"/>
      <c r="Z621" s="3"/>
      <c r="AA621" s="3"/>
    </row>
    <row r="622">
      <c r="A622" s="3"/>
      <c r="B622" s="3"/>
      <c r="C622" s="3"/>
      <c r="D622" s="3"/>
      <c r="E622" s="3"/>
      <c r="F622" s="3"/>
      <c r="G622" s="3"/>
      <c r="H622" s="3"/>
      <c r="I622" s="3"/>
      <c r="J622" s="3"/>
      <c r="K622" s="3"/>
      <c r="L622" s="3"/>
      <c r="M622" s="3"/>
      <c r="N622" s="3"/>
      <c r="O622" s="3"/>
      <c r="P622" s="3"/>
      <c r="Q622" s="3"/>
      <c r="R622" s="3"/>
      <c r="S622" s="3"/>
      <c r="T622" s="3"/>
      <c r="U622" s="3"/>
      <c r="V622" s="3"/>
      <c r="W622" s="3"/>
      <c r="X622" s="3"/>
      <c r="Y622" s="3"/>
      <c r="Z622" s="3"/>
      <c r="AA622" s="3"/>
    </row>
    <row r="623">
      <c r="A623" s="3"/>
      <c r="B623" s="3"/>
      <c r="C623" s="3"/>
      <c r="D623" s="3"/>
      <c r="E623" s="3"/>
      <c r="F623" s="3"/>
      <c r="G623" s="3"/>
      <c r="H623" s="3"/>
      <c r="I623" s="3"/>
      <c r="J623" s="3"/>
      <c r="K623" s="3"/>
      <c r="L623" s="3"/>
      <c r="M623" s="3"/>
      <c r="N623" s="3"/>
      <c r="O623" s="3"/>
      <c r="P623" s="3"/>
      <c r="Q623" s="3"/>
      <c r="R623" s="3"/>
      <c r="S623" s="3"/>
      <c r="T623" s="3"/>
      <c r="U623" s="3"/>
      <c r="V623" s="3"/>
      <c r="W623" s="3"/>
      <c r="X623" s="3"/>
      <c r="Y623" s="3"/>
      <c r="Z623" s="3"/>
      <c r="AA623" s="3"/>
    </row>
    <row r="624">
      <c r="A624" s="3"/>
      <c r="B624" s="3"/>
      <c r="C624" s="3"/>
      <c r="D624" s="3"/>
      <c r="E624" s="3"/>
      <c r="F624" s="3"/>
      <c r="G624" s="3"/>
      <c r="H624" s="3"/>
      <c r="I624" s="3"/>
      <c r="J624" s="3"/>
      <c r="K624" s="3"/>
      <c r="L624" s="3"/>
      <c r="M624" s="3"/>
      <c r="N624" s="3"/>
      <c r="O624" s="3"/>
      <c r="P624" s="3"/>
      <c r="Q624" s="3"/>
      <c r="R624" s="3"/>
      <c r="S624" s="3"/>
      <c r="T624" s="3"/>
      <c r="U624" s="3"/>
      <c r="V624" s="3"/>
      <c r="W624" s="3"/>
      <c r="X624" s="3"/>
      <c r="Y624" s="3"/>
      <c r="Z624" s="3"/>
      <c r="AA624" s="3"/>
    </row>
    <row r="625">
      <c r="A625" s="3"/>
      <c r="B625" s="3"/>
      <c r="C625" s="3"/>
      <c r="D625" s="3"/>
      <c r="E625" s="3"/>
      <c r="F625" s="3"/>
      <c r="G625" s="3"/>
      <c r="H625" s="3"/>
      <c r="I625" s="3"/>
      <c r="J625" s="3"/>
      <c r="K625" s="3"/>
      <c r="L625" s="3"/>
      <c r="M625" s="3"/>
      <c r="N625" s="3"/>
      <c r="O625" s="3"/>
      <c r="P625" s="3"/>
      <c r="Q625" s="3"/>
      <c r="R625" s="3"/>
      <c r="S625" s="3"/>
      <c r="T625" s="3"/>
      <c r="U625" s="3"/>
      <c r="V625" s="3"/>
      <c r="W625" s="3"/>
      <c r="X625" s="3"/>
      <c r="Y625" s="3"/>
      <c r="Z625" s="3"/>
      <c r="AA625" s="3"/>
    </row>
    <row r="626">
      <c r="A626" s="3"/>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row>
    <row r="627">
      <c r="A627" s="3"/>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row>
    <row r="628">
      <c r="A628" s="3"/>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row>
    <row r="629">
      <c r="A629" s="3"/>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row>
    <row r="630">
      <c r="A630" s="3"/>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row>
    <row r="631">
      <c r="A631" s="3"/>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row>
    <row r="632">
      <c r="A632" s="3"/>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row>
    <row r="633">
      <c r="A633" s="3"/>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row>
    <row r="634">
      <c r="A634" s="3"/>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row>
    <row r="635">
      <c r="A635" s="3"/>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row>
    <row r="636">
      <c r="A636" s="3"/>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row>
    <row r="637">
      <c r="A637" s="3"/>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row>
    <row r="638">
      <c r="A638" s="3"/>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row>
    <row r="639">
      <c r="A639" s="3"/>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row>
    <row r="640">
      <c r="A640" s="3"/>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row>
    <row r="641">
      <c r="A641" s="3"/>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row>
    <row r="642">
      <c r="A642" s="3"/>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row>
    <row r="643">
      <c r="A643" s="3"/>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row>
    <row r="644">
      <c r="A644" s="3"/>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row>
    <row r="645">
      <c r="A645" s="3"/>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row>
    <row r="646">
      <c r="A646" s="3"/>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row>
    <row r="647">
      <c r="A647" s="3"/>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row>
    <row r="648">
      <c r="A648" s="3"/>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row>
    <row r="649">
      <c r="A649" s="3"/>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row>
    <row r="650">
      <c r="A650" s="3"/>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row>
    <row r="651">
      <c r="A651" s="3"/>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row>
    <row r="652">
      <c r="A652" s="3"/>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row>
    <row r="653">
      <c r="A653" s="3"/>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row>
    <row r="654">
      <c r="A654" s="3"/>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row>
    <row r="655">
      <c r="A655" s="3"/>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row>
    <row r="656">
      <c r="A656" s="3"/>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row>
    <row r="657">
      <c r="A657" s="3"/>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row>
    <row r="658">
      <c r="A658" s="3"/>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row>
    <row r="659">
      <c r="A659" s="3"/>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row>
    <row r="660">
      <c r="A660" s="3"/>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row>
    <row r="661">
      <c r="A661" s="3"/>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row>
    <row r="662">
      <c r="A662" s="3"/>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row>
    <row r="663">
      <c r="A663" s="3"/>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row>
    <row r="664">
      <c r="A664" s="3"/>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row>
    <row r="665">
      <c r="A665" s="3"/>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row>
    <row r="666">
      <c r="A666" s="3"/>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row>
    <row r="667">
      <c r="A667" s="3"/>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row>
    <row r="668">
      <c r="A668" s="3"/>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row>
    <row r="669">
      <c r="A669" s="3"/>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row>
    <row r="670">
      <c r="A670" s="3"/>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row>
    <row r="671">
      <c r="A671" s="3"/>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row>
    <row r="672">
      <c r="A672" s="3"/>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row>
    <row r="673">
      <c r="A673" s="3"/>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row>
    <row r="674">
      <c r="A674" s="3"/>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row>
    <row r="675">
      <c r="A675" s="3"/>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row>
    <row r="676">
      <c r="A676" s="3"/>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row>
    <row r="677">
      <c r="A677" s="3"/>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row>
    <row r="678">
      <c r="A678" s="3"/>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row>
    <row r="679">
      <c r="A679" s="3"/>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row>
    <row r="680">
      <c r="A680" s="3"/>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row>
    <row r="681">
      <c r="A681" s="3"/>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row>
    <row r="682">
      <c r="A682" s="3"/>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row>
    <row r="683">
      <c r="A683" s="3"/>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row>
    <row r="684">
      <c r="A684" s="3"/>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row>
    <row r="685">
      <c r="A685" s="3"/>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row>
    <row r="686">
      <c r="A686" s="3"/>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row>
    <row r="687">
      <c r="A687" s="3"/>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row>
    <row r="688">
      <c r="A688" s="3"/>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row>
    <row r="689">
      <c r="A689" s="3"/>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row>
    <row r="690">
      <c r="A690" s="3"/>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row>
    <row r="691">
      <c r="A691" s="3"/>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row>
    <row r="692">
      <c r="A692" s="3"/>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row>
    <row r="693">
      <c r="A693" s="3"/>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row>
    <row r="694">
      <c r="A694" s="3"/>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row>
    <row r="695">
      <c r="A695" s="3"/>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row>
    <row r="696">
      <c r="A696" s="3"/>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row>
    <row r="697">
      <c r="A697" s="3"/>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row>
    <row r="698">
      <c r="A698" s="3"/>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row>
    <row r="699">
      <c r="A699" s="3"/>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row>
    <row r="700">
      <c r="A700" s="3"/>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row>
    <row r="701">
      <c r="A701" s="3"/>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row>
    <row r="702">
      <c r="A702" s="3"/>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row>
    <row r="703">
      <c r="A703" s="3"/>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row>
    <row r="704">
      <c r="A704" s="3"/>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row>
    <row r="705">
      <c r="A705" s="3"/>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row>
    <row r="706">
      <c r="A706" s="3"/>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row>
    <row r="707">
      <c r="A707" s="3"/>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row>
    <row r="708">
      <c r="A708" s="3"/>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row>
    <row r="709">
      <c r="A709" s="3"/>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row>
    <row r="710">
      <c r="A710" s="3"/>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row>
    <row r="711">
      <c r="A711" s="3"/>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row>
    <row r="712">
      <c r="A712" s="3"/>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row>
    <row r="713">
      <c r="A713" s="3"/>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row>
    <row r="714">
      <c r="A714" s="3"/>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row>
    <row r="715">
      <c r="A715" s="3"/>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row>
    <row r="716">
      <c r="A716" s="3"/>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row>
    <row r="717">
      <c r="A717" s="3"/>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row>
    <row r="718">
      <c r="A718" s="3"/>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row>
    <row r="719">
      <c r="A719" s="3"/>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row>
    <row r="720">
      <c r="A720" s="3"/>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row>
    <row r="721">
      <c r="A721" s="3"/>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row>
    <row r="722">
      <c r="A722" s="3"/>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row>
    <row r="723">
      <c r="A723" s="3"/>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row>
    <row r="724">
      <c r="A724" s="3"/>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row>
    <row r="725">
      <c r="A725" s="3"/>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row>
    <row r="726">
      <c r="A726" s="3"/>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row>
    <row r="727">
      <c r="A727" s="3"/>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row>
    <row r="728">
      <c r="A728" s="3"/>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row>
    <row r="729">
      <c r="A729" s="3"/>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row>
    <row r="730">
      <c r="A730" s="3"/>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row>
    <row r="731">
      <c r="A731" s="3"/>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row>
    <row r="732">
      <c r="A732" s="3"/>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row>
    <row r="733">
      <c r="A733" s="3"/>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row>
    <row r="734">
      <c r="A734" s="3"/>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row>
    <row r="735">
      <c r="A735" s="3"/>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row>
    <row r="736">
      <c r="A736" s="3"/>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row>
    <row r="737">
      <c r="A737" s="3"/>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row>
    <row r="738">
      <c r="A738" s="3"/>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row>
    <row r="739">
      <c r="A739" s="3"/>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row>
    <row r="740">
      <c r="A740" s="3"/>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row>
    <row r="741">
      <c r="A741" s="3"/>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row>
    <row r="742">
      <c r="A742" s="3"/>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row>
    <row r="743">
      <c r="A743" s="3"/>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row>
    <row r="744">
      <c r="A744" s="3"/>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row>
    <row r="745">
      <c r="A745" s="3"/>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row>
    <row r="746">
      <c r="A746" s="3"/>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row>
    <row r="747">
      <c r="A747" s="3"/>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row>
    <row r="748">
      <c r="A748" s="3"/>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row>
    <row r="749">
      <c r="A749" s="3"/>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row>
    <row r="750">
      <c r="A750" s="3"/>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row>
    <row r="751">
      <c r="A751" s="3"/>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row>
    <row r="752">
      <c r="A752" s="3"/>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row>
    <row r="753">
      <c r="A753" s="3"/>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row>
    <row r="754">
      <c r="A754" s="3"/>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row>
    <row r="755">
      <c r="A755" s="3"/>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row>
    <row r="756">
      <c r="A756" s="3"/>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row>
    <row r="757">
      <c r="A757" s="3"/>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row>
    <row r="758">
      <c r="A758" s="3"/>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row>
    <row r="759">
      <c r="A759" s="3"/>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row>
    <row r="760">
      <c r="A760" s="3"/>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row>
    <row r="761">
      <c r="A761" s="3"/>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row>
    <row r="762">
      <c r="A762" s="3"/>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row>
    <row r="763">
      <c r="A763" s="3"/>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row>
    <row r="764">
      <c r="A764" s="3"/>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row>
    <row r="765">
      <c r="A765" s="3"/>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row>
    <row r="766">
      <c r="A766" s="3"/>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row>
    <row r="767">
      <c r="A767" s="3"/>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row>
    <row r="768">
      <c r="A768" s="3"/>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row>
    <row r="769">
      <c r="A769" s="3"/>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row>
    <row r="770">
      <c r="A770" s="3"/>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row>
    <row r="771">
      <c r="A771" s="3"/>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row>
    <row r="772">
      <c r="A772" s="3"/>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row>
    <row r="773">
      <c r="A773" s="3"/>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row>
    <row r="774">
      <c r="A774" s="3"/>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row>
    <row r="775">
      <c r="A775" s="3"/>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row>
    <row r="776">
      <c r="A776" s="3"/>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row>
    <row r="777">
      <c r="A777" s="3"/>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row>
    <row r="778">
      <c r="A778" s="3"/>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row>
    <row r="779">
      <c r="A779" s="3"/>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row>
    <row r="780">
      <c r="A780" s="3"/>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row>
    <row r="781">
      <c r="A781" s="3"/>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row>
    <row r="782">
      <c r="A782" s="3"/>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row>
    <row r="783">
      <c r="A783" s="3"/>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row>
    <row r="784">
      <c r="A784" s="3"/>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row>
    <row r="785">
      <c r="A785" s="3"/>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row>
    <row r="786">
      <c r="A786" s="3"/>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row>
    <row r="787">
      <c r="A787" s="3"/>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row>
    <row r="788">
      <c r="A788" s="3"/>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row>
    <row r="789">
      <c r="A789" s="3"/>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row>
    <row r="790">
      <c r="A790" s="3"/>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row>
    <row r="791">
      <c r="A791" s="3"/>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row>
    <row r="792">
      <c r="A792" s="3"/>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row>
    <row r="793">
      <c r="A793" s="3"/>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row>
    <row r="794">
      <c r="A794" s="3"/>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row>
    <row r="795">
      <c r="A795" s="3"/>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row>
    <row r="796">
      <c r="A796" s="3"/>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row>
    <row r="797">
      <c r="A797" s="3"/>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row>
    <row r="798">
      <c r="A798" s="3"/>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row>
    <row r="799">
      <c r="A799" s="3"/>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row>
    <row r="800">
      <c r="A800" s="3"/>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row>
    <row r="801">
      <c r="A801" s="3"/>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row>
    <row r="802">
      <c r="A802" s="3"/>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row>
    <row r="803">
      <c r="A803" s="3"/>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row>
    <row r="804">
      <c r="A804" s="3"/>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row>
    <row r="805">
      <c r="A805" s="3"/>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row>
    <row r="806">
      <c r="A806" s="3"/>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row>
    <row r="807">
      <c r="A807" s="3"/>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row>
    <row r="808">
      <c r="A808" s="3"/>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row>
    <row r="809">
      <c r="A809" s="3"/>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row>
    <row r="810">
      <c r="A810" s="3"/>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row>
    <row r="811">
      <c r="A811" s="3"/>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row>
    <row r="812">
      <c r="A812" s="3"/>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row>
    <row r="813">
      <c r="A813" s="3"/>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row>
    <row r="814">
      <c r="A814" s="3"/>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row>
    <row r="815">
      <c r="A815" s="3"/>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row>
    <row r="816">
      <c r="A816" s="3"/>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row>
    <row r="817">
      <c r="A817" s="3"/>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row>
    <row r="818">
      <c r="A818" s="3"/>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row>
    <row r="819">
      <c r="A819" s="3"/>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row>
    <row r="820">
      <c r="A820" s="3"/>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row>
    <row r="821">
      <c r="A821" s="3"/>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row>
    <row r="822">
      <c r="A822" s="3"/>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row>
    <row r="823">
      <c r="A823" s="3"/>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row>
    <row r="824">
      <c r="A824" s="3"/>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row>
    <row r="825">
      <c r="A825" s="3"/>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row>
    <row r="826">
      <c r="A826" s="3"/>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row>
    <row r="827">
      <c r="A827" s="3"/>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row>
    <row r="828">
      <c r="A828" s="3"/>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row>
    <row r="829">
      <c r="A829" s="3"/>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row>
    <row r="830">
      <c r="A830" s="3"/>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row>
    <row r="831">
      <c r="A831" s="3"/>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row>
    <row r="832">
      <c r="A832" s="3"/>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row>
    <row r="833">
      <c r="A833" s="3"/>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row>
    <row r="834">
      <c r="A834" s="3"/>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row>
    <row r="835">
      <c r="A835" s="3"/>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row>
    <row r="836">
      <c r="A836" s="3"/>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row>
    <row r="837">
      <c r="A837" s="3"/>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row>
    <row r="838">
      <c r="A838" s="3"/>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row>
    <row r="839">
      <c r="A839" s="3"/>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row>
    <row r="840">
      <c r="A840" s="3"/>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row>
    <row r="841">
      <c r="A841" s="3"/>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row>
    <row r="842">
      <c r="A842" s="3"/>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row>
    <row r="843">
      <c r="A843" s="3"/>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row>
    <row r="844">
      <c r="A844" s="3"/>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row>
    <row r="845">
      <c r="A845" s="3"/>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row>
    <row r="846">
      <c r="A846" s="3"/>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row>
    <row r="847">
      <c r="A847" s="3"/>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row>
    <row r="848">
      <c r="A848" s="3"/>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row>
    <row r="849">
      <c r="A849" s="3"/>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row>
    <row r="850">
      <c r="A850" s="3"/>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row>
    <row r="851">
      <c r="A851" s="3"/>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row>
    <row r="852">
      <c r="A852" s="3"/>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row>
    <row r="853">
      <c r="A853" s="3"/>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row>
    <row r="854">
      <c r="A854" s="3"/>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row>
    <row r="855">
      <c r="A855" s="3"/>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row>
    <row r="856">
      <c r="A856" s="3"/>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row>
    <row r="857">
      <c r="A857" s="3"/>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row>
    <row r="858">
      <c r="A858" s="3"/>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row>
    <row r="859">
      <c r="A859" s="3"/>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row>
    <row r="860">
      <c r="A860" s="3"/>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row>
    <row r="861">
      <c r="A861" s="3"/>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row>
    <row r="862">
      <c r="A862" s="3"/>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row>
    <row r="863">
      <c r="A863" s="3"/>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row>
    <row r="864">
      <c r="A864" s="3"/>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row>
    <row r="865">
      <c r="A865" s="3"/>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row>
    <row r="866">
      <c r="A866" s="3"/>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row>
    <row r="867">
      <c r="A867" s="3"/>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row>
    <row r="868">
      <c r="A868" s="3"/>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row>
    <row r="869">
      <c r="A869" s="3"/>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row>
    <row r="870">
      <c r="A870" s="3"/>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row>
    <row r="871">
      <c r="A871" s="3"/>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row>
    <row r="872">
      <c r="A872" s="3"/>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row>
    <row r="873">
      <c r="A873" s="3"/>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row>
    <row r="874">
      <c r="A874" s="3"/>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row>
    <row r="875">
      <c r="A875" s="3"/>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row>
    <row r="876">
      <c r="A876" s="3"/>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row>
    <row r="877">
      <c r="A877" s="3"/>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row>
    <row r="878">
      <c r="A878" s="3"/>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row>
    <row r="879">
      <c r="A879" s="3"/>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row>
    <row r="880">
      <c r="A880" s="3"/>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row>
    <row r="881">
      <c r="A881" s="3"/>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row>
    <row r="882">
      <c r="A882" s="3"/>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row>
    <row r="883">
      <c r="A883" s="3"/>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row>
    <row r="884">
      <c r="A884" s="3"/>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row>
    <row r="885">
      <c r="A885" s="3"/>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row>
    <row r="886">
      <c r="A886" s="3"/>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row>
    <row r="887">
      <c r="A887" s="3"/>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row>
    <row r="888">
      <c r="A888" s="3"/>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row>
    <row r="889">
      <c r="A889" s="3"/>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row>
    <row r="890">
      <c r="A890" s="3"/>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row>
    <row r="891">
      <c r="A891" s="3"/>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row>
    <row r="892">
      <c r="A892" s="3"/>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row>
    <row r="893">
      <c r="A893" s="3"/>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row>
    <row r="894">
      <c r="A894" s="3"/>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row>
    <row r="895">
      <c r="A895" s="3"/>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row>
    <row r="896">
      <c r="A896" s="3"/>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row>
    <row r="897">
      <c r="A897" s="3"/>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row>
    <row r="898">
      <c r="A898" s="3"/>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row>
    <row r="899">
      <c r="A899" s="3"/>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row>
    <row r="900">
      <c r="A900" s="3"/>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row>
    <row r="901">
      <c r="A901" s="3"/>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row>
    <row r="902">
      <c r="A902" s="3"/>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row>
    <row r="903">
      <c r="A903" s="3"/>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row>
    <row r="904">
      <c r="A904" s="3"/>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row>
    <row r="905">
      <c r="A905" s="3"/>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row>
    <row r="906">
      <c r="A906" s="3"/>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row>
    <row r="907">
      <c r="A907" s="3"/>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row>
    <row r="908">
      <c r="A908" s="3"/>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row>
    <row r="909">
      <c r="A909" s="3"/>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row>
    <row r="910">
      <c r="A910" s="3"/>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row>
    <row r="911">
      <c r="A911" s="3"/>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row>
    <row r="912">
      <c r="A912" s="3"/>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row>
    <row r="913">
      <c r="A913" s="3"/>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row>
    <row r="914">
      <c r="A914" s="3"/>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row>
    <row r="915">
      <c r="A915" s="3"/>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row>
    <row r="916">
      <c r="A916" s="3"/>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row>
    <row r="917">
      <c r="A917" s="3"/>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row>
    <row r="918">
      <c r="A918" s="3"/>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row>
    <row r="919">
      <c r="A919" s="3"/>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row>
    <row r="920">
      <c r="A920" s="3"/>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row>
    <row r="921">
      <c r="A921" s="3"/>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row>
    <row r="922">
      <c r="A922" s="3"/>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row>
    <row r="923">
      <c r="A923" s="3"/>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row>
    <row r="924">
      <c r="A924" s="3"/>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row>
    <row r="925">
      <c r="A925" s="3"/>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row>
    <row r="926">
      <c r="A926" s="3"/>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row>
    <row r="927">
      <c r="A927" s="3"/>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row>
    <row r="928">
      <c r="A928" s="3"/>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row>
    <row r="929">
      <c r="A929" s="3"/>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row>
    <row r="930">
      <c r="A930" s="3"/>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row>
    <row r="931">
      <c r="A931" s="3"/>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row>
    <row r="932">
      <c r="A932" s="3"/>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row>
    <row r="933">
      <c r="A933" s="3"/>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row>
    <row r="934">
      <c r="A934" s="3"/>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row>
    <row r="935">
      <c r="A935" s="3"/>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row>
    <row r="936">
      <c r="A936" s="3"/>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row>
    <row r="937">
      <c r="A937" s="3"/>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row>
    <row r="938">
      <c r="A938" s="3"/>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row>
    <row r="939">
      <c r="A939" s="3"/>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row>
    <row r="940">
      <c r="A940" s="3"/>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row>
    <row r="941">
      <c r="A941" s="3"/>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row>
    <row r="942">
      <c r="A942" s="3"/>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row>
    <row r="943">
      <c r="A943" s="3"/>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row>
    <row r="944">
      <c r="A944" s="3"/>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row>
    <row r="945">
      <c r="A945" s="3"/>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row>
    <row r="946">
      <c r="A946" s="3"/>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row>
    <row r="947">
      <c r="A947" s="3"/>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row>
    <row r="948">
      <c r="A948" s="3"/>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row>
    <row r="949">
      <c r="A949" s="3"/>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row>
    <row r="950">
      <c r="A950" s="3"/>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row>
    <row r="951">
      <c r="A951" s="3"/>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row>
    <row r="952">
      <c r="A952" s="3"/>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row>
    <row r="953">
      <c r="A953" s="3"/>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row>
    <row r="954">
      <c r="A954" s="3"/>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row>
    <row r="955">
      <c r="A955" s="3"/>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row>
    <row r="956">
      <c r="A956" s="3"/>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row>
    <row r="957">
      <c r="A957" s="3"/>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row>
    <row r="958">
      <c r="A958" s="3"/>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row>
  </sheetData>
  <hyperlinks>
    <hyperlink r:id="rId1" ref="P5"/>
    <hyperlink r:id="rId2" ref="P6"/>
    <hyperlink r:id="rId3" ref="P8"/>
    <hyperlink r:id="rId4" ref="P9"/>
  </hyperlinks>
  <drawing r:id="rId5"/>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5.0"/>
    <col customWidth="1" min="3" max="3" width="6.75"/>
    <col customWidth="1" min="4" max="4" width="20.38"/>
    <col customWidth="1" min="5" max="5" width="7.75"/>
    <col customWidth="1" min="6" max="12" width="5.0"/>
    <col customWidth="1" min="13" max="13" width="14.63"/>
    <col customWidth="1" min="14" max="14" width="22.13"/>
    <col customWidth="1" min="17" max="17" width="22.13"/>
    <col customWidth="1" min="18" max="18" width="5.88"/>
    <col customWidth="1" min="19" max="19" width="62.13"/>
    <col customWidth="1" min="20" max="20" width="51.13"/>
  </cols>
  <sheetData>
    <row r="1">
      <c r="A1" s="86" t="s">
        <v>79</v>
      </c>
      <c r="B1" s="86" t="s">
        <v>89</v>
      </c>
      <c r="C1" s="87" t="s">
        <v>80</v>
      </c>
      <c r="D1" s="87" t="s">
        <v>81</v>
      </c>
      <c r="E1" s="87" t="s">
        <v>2023</v>
      </c>
      <c r="F1" s="87" t="s">
        <v>83</v>
      </c>
      <c r="G1" s="87" t="s">
        <v>84</v>
      </c>
      <c r="H1" s="87" t="s">
        <v>2024</v>
      </c>
      <c r="I1" s="87" t="s">
        <v>2025</v>
      </c>
      <c r="J1" s="87" t="s">
        <v>2026</v>
      </c>
      <c r="K1" s="87" t="s">
        <v>2027</v>
      </c>
      <c r="L1" s="87" t="s">
        <v>2028</v>
      </c>
      <c r="M1" s="87" t="s">
        <v>2029</v>
      </c>
      <c r="N1" s="87" t="s">
        <v>2030</v>
      </c>
      <c r="O1" s="88" t="s">
        <v>1822</v>
      </c>
      <c r="P1" s="89" t="s">
        <v>1823</v>
      </c>
      <c r="Q1" s="89" t="s">
        <v>2031</v>
      </c>
      <c r="R1" s="90" t="s">
        <v>2032</v>
      </c>
      <c r="S1" s="89" t="s">
        <v>1824</v>
      </c>
      <c r="T1" s="89" t="s">
        <v>1825</v>
      </c>
      <c r="U1" s="91"/>
      <c r="V1" s="91"/>
      <c r="W1" s="91"/>
      <c r="X1" s="91"/>
      <c r="Y1" s="91"/>
      <c r="Z1" s="91"/>
      <c r="AA1" s="91"/>
      <c r="AB1" s="91"/>
      <c r="AC1" s="91"/>
      <c r="AD1" s="91"/>
      <c r="AE1" s="91"/>
      <c r="AF1" s="91"/>
      <c r="AG1" s="91"/>
      <c r="AH1" s="91"/>
      <c r="AI1" s="91"/>
      <c r="AJ1" s="91"/>
      <c r="AK1" s="91"/>
      <c r="AL1" s="91"/>
    </row>
    <row r="2" hidden="1">
      <c r="A2" s="92"/>
      <c r="B2" s="93"/>
      <c r="C2" s="93"/>
      <c r="D2" s="93"/>
      <c r="E2" s="93"/>
      <c r="F2" s="93"/>
      <c r="G2" s="92"/>
      <c r="H2" s="93"/>
      <c r="I2" s="93"/>
      <c r="J2" s="92"/>
      <c r="K2" s="92"/>
      <c r="L2" s="93"/>
      <c r="M2" s="92"/>
      <c r="N2" s="92"/>
      <c r="O2" s="94"/>
      <c r="P2" s="94"/>
      <c r="Q2" s="94"/>
      <c r="R2" s="94"/>
      <c r="S2" s="94"/>
      <c r="T2" s="94"/>
      <c r="U2" s="94"/>
      <c r="V2" s="94"/>
      <c r="W2" s="94"/>
      <c r="X2" s="94"/>
      <c r="Y2" s="94"/>
      <c r="Z2" s="94"/>
      <c r="AA2" s="94"/>
      <c r="AB2" s="94"/>
      <c r="AC2" s="94"/>
      <c r="AD2" s="94"/>
      <c r="AE2" s="94"/>
      <c r="AF2" s="94"/>
      <c r="AG2" s="94"/>
      <c r="AH2" s="94"/>
      <c r="AI2" s="94"/>
      <c r="AJ2" s="94"/>
      <c r="AK2" s="94"/>
      <c r="AL2" s="94"/>
    </row>
    <row r="3" hidden="1">
      <c r="A3" s="92"/>
      <c r="B3" s="93"/>
      <c r="C3" s="93"/>
      <c r="D3" s="93"/>
      <c r="E3" s="93"/>
      <c r="F3" s="93"/>
      <c r="G3" s="92"/>
      <c r="H3" s="93"/>
      <c r="I3" s="93"/>
      <c r="J3" s="92"/>
      <c r="K3" s="92"/>
      <c r="L3" s="93"/>
      <c r="M3" s="92"/>
      <c r="N3" s="92"/>
      <c r="O3" s="94"/>
      <c r="P3" s="94"/>
      <c r="Q3" s="94"/>
      <c r="R3" s="94"/>
      <c r="S3" s="94"/>
      <c r="T3" s="94"/>
      <c r="U3" s="94"/>
      <c r="V3" s="94"/>
      <c r="W3" s="94"/>
      <c r="X3" s="94"/>
      <c r="Y3" s="94"/>
      <c r="Z3" s="94"/>
      <c r="AA3" s="94"/>
      <c r="AB3" s="94"/>
      <c r="AC3" s="94"/>
      <c r="AD3" s="94"/>
      <c r="AE3" s="94"/>
      <c r="AF3" s="94"/>
      <c r="AG3" s="94"/>
      <c r="AH3" s="94"/>
      <c r="AI3" s="94"/>
      <c r="AJ3" s="94"/>
      <c r="AK3" s="94"/>
      <c r="AL3" s="94"/>
    </row>
    <row r="4" hidden="1">
      <c r="A4" s="92"/>
      <c r="B4" s="93"/>
      <c r="C4" s="93"/>
      <c r="D4" s="93"/>
      <c r="E4" s="93"/>
      <c r="F4" s="93"/>
      <c r="G4" s="92"/>
      <c r="H4" s="93"/>
      <c r="I4" s="93"/>
      <c r="J4" s="92"/>
      <c r="K4" s="92"/>
      <c r="L4" s="93"/>
      <c r="M4" s="92"/>
      <c r="N4" s="92"/>
      <c r="O4" s="94"/>
      <c r="P4" s="94"/>
      <c r="Q4" s="94"/>
      <c r="R4" s="94"/>
      <c r="S4" s="94"/>
      <c r="T4" s="94"/>
      <c r="U4" s="94"/>
      <c r="V4" s="94"/>
      <c r="W4" s="94"/>
      <c r="X4" s="94"/>
      <c r="Y4" s="94"/>
      <c r="Z4" s="94"/>
      <c r="AA4" s="94"/>
      <c r="AB4" s="94"/>
      <c r="AC4" s="94"/>
      <c r="AD4" s="94"/>
      <c r="AE4" s="94"/>
      <c r="AF4" s="94"/>
      <c r="AG4" s="94"/>
      <c r="AH4" s="94"/>
      <c r="AI4" s="94"/>
      <c r="AJ4" s="94"/>
      <c r="AK4" s="94"/>
      <c r="AL4" s="94"/>
    </row>
    <row r="5" hidden="1">
      <c r="A5" s="86" t="s">
        <v>661</v>
      </c>
      <c r="B5" s="95" t="str">
        <f t="shared" ref="B5:B485" si="2">IF(AND(S5&lt;&gt;"",T5="Por responder"),"Pregunta","Otro")</f>
        <v>Otro</v>
      </c>
      <c r="C5" s="96"/>
      <c r="D5" s="96"/>
      <c r="E5" s="96"/>
      <c r="F5" s="96" t="str">
        <f t="shared" ref="F5:F884" si="3">IF(OR(P5="IMPRESCINDIBLES", P5="ESPERABLES", P5="DESEABLES"),O5,F4)</f>
        <v/>
      </c>
      <c r="G5" s="97" t="str">
        <f t="shared" ref="G5:G884" si="4">IF(OR(P5="IMPRESCINDIBLES", P5="ESPERABLES", P5="DESEABLES"),P5,G4)</f>
        <v/>
      </c>
      <c r="H5" s="96"/>
      <c r="I5" s="96" t="str">
        <f t="shared" ref="I5:I884" si="5">IF(AND(O5&lt;&gt;"",P5&lt;&gt;"",Q5&lt;&gt;"",O5&lt;&gt;"N°"),O5,"")</f>
        <v/>
      </c>
      <c r="J5" s="98" t="str">
        <f t="shared" ref="J5:J884" si="6">IF(I5="","",P5)</f>
        <v/>
      </c>
      <c r="K5" s="97" t="str">
        <f t="shared" ref="K5:K884" si="7">IF(I5="","",Q5)</f>
        <v/>
      </c>
      <c r="L5" s="96"/>
      <c r="M5" s="97" t="str">
        <f t="shared" ref="M5:N5" si="1">IF(J5="",M4,J5)</f>
        <v/>
      </c>
      <c r="N5" s="97" t="str">
        <f t="shared" si="1"/>
        <v/>
      </c>
      <c r="O5" s="99"/>
      <c r="P5" s="100"/>
      <c r="Q5" s="101" t="s">
        <v>661</v>
      </c>
      <c r="R5" s="102"/>
      <c r="S5" s="103"/>
      <c r="T5" s="104"/>
      <c r="U5" s="94"/>
      <c r="V5" s="94"/>
      <c r="W5" s="94"/>
      <c r="X5" s="94"/>
      <c r="Y5" s="94"/>
      <c r="Z5" s="94"/>
      <c r="AA5" s="94"/>
      <c r="AB5" s="94"/>
      <c r="AC5" s="94"/>
      <c r="AD5" s="94"/>
      <c r="AE5" s="94"/>
      <c r="AF5" s="94"/>
      <c r="AG5" s="94"/>
      <c r="AH5" s="94"/>
      <c r="AI5" s="94"/>
      <c r="AJ5" s="94"/>
      <c r="AK5" s="94"/>
      <c r="AL5" s="94"/>
    </row>
    <row r="6" hidden="1">
      <c r="A6" s="105" t="s">
        <v>661</v>
      </c>
      <c r="B6" s="106" t="str">
        <f t="shared" si="2"/>
        <v>Otro</v>
      </c>
      <c r="C6" s="106" t="str">
        <f t="shared" ref="C6:C884" si="9">IF(AND(O6&lt;&gt;"",P6&lt;&gt;"",MID(T6,1,2)="% "),O6,C5)</f>
        <v>1.</v>
      </c>
      <c r="D6" s="106" t="str">
        <f t="shared" ref="D6:D884" si="10">IF(AND(O6&lt;&gt;"",P6&lt;&gt;"",MID(T6,1,2)="% "),P6,D5)</f>
        <v>Contenido y lenguaje claro</v>
      </c>
      <c r="E6" s="106" t="str">
        <f t="shared" ref="E6:E884" si="11">IF(C6&lt;&gt;C5,S6,E5)</f>
        <v>Información representada por texto, imagen, video, sonido u otros tipos de medios. Debe utilizarse un lenguaje comprensible para la ciudadanía, además de cumplir con criterios de relevancia, actualización, precisión, fiabilidad y legibilidad, entre otros.</v>
      </c>
      <c r="F6" s="107" t="str">
        <f t="shared" si="3"/>
        <v/>
      </c>
      <c r="G6" s="108" t="str">
        <f t="shared" si="4"/>
        <v/>
      </c>
      <c r="H6" s="109"/>
      <c r="I6" s="109" t="str">
        <f t="shared" si="5"/>
        <v/>
      </c>
      <c r="J6" s="98" t="str">
        <f t="shared" si="6"/>
        <v/>
      </c>
      <c r="K6" s="110" t="str">
        <f t="shared" si="7"/>
        <v/>
      </c>
      <c r="L6" s="109"/>
      <c r="M6" s="108" t="str">
        <f t="shared" ref="M6:N6" si="8">IF(J6="",M5,J6)</f>
        <v/>
      </c>
      <c r="N6" s="108" t="str">
        <f t="shared" si="8"/>
        <v/>
      </c>
      <c r="O6" s="111" t="s">
        <v>17</v>
      </c>
      <c r="P6" s="112" t="s">
        <v>18</v>
      </c>
      <c r="Q6" s="113"/>
      <c r="R6" s="114"/>
      <c r="S6" s="115" t="s">
        <v>662</v>
      </c>
      <c r="T6" s="116" t="s">
        <v>16</v>
      </c>
      <c r="U6" s="94"/>
      <c r="V6" s="94"/>
      <c r="W6" s="94"/>
      <c r="X6" s="94"/>
      <c r="Y6" s="94"/>
      <c r="Z6" s="94"/>
      <c r="AA6" s="94"/>
      <c r="AB6" s="94"/>
      <c r="AC6" s="94"/>
      <c r="AD6" s="94"/>
      <c r="AE6" s="94"/>
      <c r="AF6" s="94"/>
      <c r="AG6" s="94"/>
      <c r="AH6" s="94"/>
      <c r="AI6" s="94"/>
      <c r="AJ6" s="94"/>
      <c r="AK6" s="94"/>
      <c r="AL6" s="94"/>
    </row>
    <row r="7" hidden="1">
      <c r="A7" s="105" t="s">
        <v>661</v>
      </c>
      <c r="B7" s="106" t="str">
        <f t="shared" si="2"/>
        <v>Otro</v>
      </c>
      <c r="C7" s="106" t="str">
        <f t="shared" si="9"/>
        <v>1.</v>
      </c>
      <c r="D7" s="106" t="str">
        <f t="shared" si="10"/>
        <v>Contenido y lenguaje claro</v>
      </c>
      <c r="E7"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7" s="107" t="str">
        <f t="shared" si="3"/>
        <v/>
      </c>
      <c r="G7" s="108" t="str">
        <f t="shared" si="4"/>
        <v/>
      </c>
      <c r="H7" s="109"/>
      <c r="I7" s="109" t="str">
        <f t="shared" si="5"/>
        <v/>
      </c>
      <c r="J7" s="98" t="str">
        <f t="shared" si="6"/>
        <v/>
      </c>
      <c r="K7" s="110" t="str">
        <f t="shared" si="7"/>
        <v/>
      </c>
      <c r="L7" s="109"/>
      <c r="M7" s="108" t="str">
        <f t="shared" ref="M7:N7" si="12">IF(J7="",M6,J7)</f>
        <v/>
      </c>
      <c r="N7" s="108" t="str">
        <f t="shared" si="12"/>
        <v/>
      </c>
      <c r="O7" s="117"/>
      <c r="P7" s="118"/>
      <c r="Q7" s="119"/>
      <c r="R7" s="114"/>
      <c r="S7" s="120"/>
      <c r="T7" s="116" t="s">
        <v>19</v>
      </c>
      <c r="U7" s="94"/>
      <c r="V7" s="94"/>
      <c r="W7" s="94"/>
      <c r="X7" s="94"/>
      <c r="Y7" s="94"/>
      <c r="Z7" s="94"/>
      <c r="AA7" s="94"/>
      <c r="AB7" s="94"/>
      <c r="AC7" s="94"/>
      <c r="AD7" s="94"/>
      <c r="AE7" s="94"/>
      <c r="AF7" s="94"/>
      <c r="AG7" s="94"/>
      <c r="AH7" s="94"/>
      <c r="AI7" s="94"/>
      <c r="AJ7" s="94"/>
      <c r="AK7" s="94"/>
      <c r="AL7" s="94"/>
    </row>
    <row r="8" hidden="1">
      <c r="A8" s="105" t="s">
        <v>661</v>
      </c>
      <c r="B8" s="106" t="str">
        <f t="shared" si="2"/>
        <v>Otro</v>
      </c>
      <c r="C8" s="106" t="str">
        <f t="shared" si="9"/>
        <v>1.</v>
      </c>
      <c r="D8" s="106" t="str">
        <f t="shared" si="10"/>
        <v>Contenido y lenguaje claro</v>
      </c>
      <c r="E8"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8" s="107" t="str">
        <f t="shared" si="3"/>
        <v/>
      </c>
      <c r="G8" s="108" t="str">
        <f t="shared" si="4"/>
        <v/>
      </c>
      <c r="H8" s="109"/>
      <c r="I8" s="109" t="str">
        <f t="shared" si="5"/>
        <v/>
      </c>
      <c r="J8" s="98" t="str">
        <f t="shared" si="6"/>
        <v/>
      </c>
      <c r="K8" s="110" t="str">
        <f t="shared" si="7"/>
        <v/>
      </c>
      <c r="L8" s="109"/>
      <c r="M8" s="108" t="str">
        <f t="shared" ref="M8:N8" si="13">IF(J8="",M7,J8)</f>
        <v/>
      </c>
      <c r="N8" s="108" t="str">
        <f t="shared" si="13"/>
        <v/>
      </c>
      <c r="O8" s="121"/>
      <c r="P8" s="122"/>
      <c r="Q8" s="123"/>
      <c r="R8" s="114"/>
      <c r="S8" s="124"/>
      <c r="T8" s="116" t="s">
        <v>22</v>
      </c>
      <c r="U8" s="94"/>
      <c r="V8" s="94"/>
      <c r="W8" s="94"/>
      <c r="X8" s="94"/>
      <c r="Y8" s="94"/>
      <c r="Z8" s="94"/>
      <c r="AA8" s="94"/>
      <c r="AB8" s="94"/>
      <c r="AC8" s="94"/>
      <c r="AD8" s="94"/>
      <c r="AE8" s="94"/>
      <c r="AF8" s="94"/>
      <c r="AG8" s="94"/>
      <c r="AH8" s="94"/>
      <c r="AI8" s="94"/>
      <c r="AJ8" s="94"/>
      <c r="AK8" s="94"/>
      <c r="AL8" s="94"/>
    </row>
    <row r="9" hidden="1">
      <c r="A9" s="105" t="s">
        <v>661</v>
      </c>
      <c r="B9" s="106" t="str">
        <f t="shared" si="2"/>
        <v>Otro</v>
      </c>
      <c r="C9" s="106" t="str">
        <f t="shared" si="9"/>
        <v>1.</v>
      </c>
      <c r="D9" s="106" t="str">
        <f t="shared" si="10"/>
        <v>Contenido y lenguaje claro</v>
      </c>
      <c r="E9"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9" s="96" t="str">
        <f t="shared" si="3"/>
        <v/>
      </c>
      <c r="G9" s="97" t="str">
        <f t="shared" si="4"/>
        <v/>
      </c>
      <c r="H9" s="125"/>
      <c r="I9" s="125" t="str">
        <f t="shared" si="5"/>
        <v/>
      </c>
      <c r="J9" s="98" t="str">
        <f t="shared" si="6"/>
        <v/>
      </c>
      <c r="K9" s="95" t="str">
        <f t="shared" si="7"/>
        <v/>
      </c>
      <c r="L9" s="125"/>
      <c r="M9" s="97" t="str">
        <f t="shared" ref="M9:N9" si="14">IF(J9="",M8,J9)</f>
        <v/>
      </c>
      <c r="N9" s="97" t="str">
        <f t="shared" si="14"/>
        <v/>
      </c>
      <c r="O9" s="126"/>
      <c r="P9" s="114"/>
      <c r="Q9" s="114"/>
      <c r="R9" s="114"/>
      <c r="S9" s="114"/>
      <c r="T9" s="127"/>
      <c r="U9" s="94"/>
      <c r="V9" s="94"/>
      <c r="W9" s="94"/>
      <c r="X9" s="94"/>
      <c r="Y9" s="94"/>
      <c r="Z9" s="94"/>
      <c r="AA9" s="94"/>
      <c r="AB9" s="94"/>
      <c r="AC9" s="94"/>
      <c r="AD9" s="94"/>
      <c r="AE9" s="94"/>
      <c r="AF9" s="94"/>
      <c r="AG9" s="94"/>
      <c r="AH9" s="94"/>
      <c r="AI9" s="94"/>
      <c r="AJ9" s="94"/>
      <c r="AK9" s="94"/>
      <c r="AL9" s="94"/>
    </row>
    <row r="10" hidden="1">
      <c r="A10" s="86" t="s">
        <v>661</v>
      </c>
      <c r="B10" s="95" t="str">
        <f t="shared" si="2"/>
        <v>Otro</v>
      </c>
      <c r="C10" s="106" t="str">
        <f t="shared" si="9"/>
        <v>1.</v>
      </c>
      <c r="D10" s="106" t="str">
        <f t="shared" si="10"/>
        <v>Contenido y lenguaje claro</v>
      </c>
      <c r="E10"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10" s="128" t="str">
        <f t="shared" si="3"/>
        <v/>
      </c>
      <c r="G10" s="129" t="str">
        <f t="shared" si="4"/>
        <v/>
      </c>
      <c r="H10" s="130"/>
      <c r="I10" s="130" t="str">
        <f t="shared" si="5"/>
        <v/>
      </c>
      <c r="J10" s="98" t="str">
        <f t="shared" si="6"/>
        <v/>
      </c>
      <c r="K10" s="131" t="str">
        <f t="shared" si="7"/>
        <v/>
      </c>
      <c r="L10" s="130"/>
      <c r="M10" s="129" t="str">
        <f t="shared" ref="M10:N10" si="15">IF(J10="",M9,J10)</f>
        <v/>
      </c>
      <c r="N10" s="129" t="str">
        <f t="shared" si="15"/>
        <v/>
      </c>
      <c r="O10" s="132" t="s">
        <v>1822</v>
      </c>
      <c r="P10" s="133" t="s">
        <v>1823</v>
      </c>
      <c r="Q10" s="133" t="s">
        <v>2031</v>
      </c>
      <c r="R10" s="134"/>
      <c r="S10" s="133" t="s">
        <v>1824</v>
      </c>
      <c r="T10" s="133" t="s">
        <v>1825</v>
      </c>
      <c r="U10" s="94"/>
      <c r="V10" s="94"/>
      <c r="W10" s="94"/>
      <c r="X10" s="94"/>
      <c r="Y10" s="94"/>
      <c r="Z10" s="94"/>
      <c r="AA10" s="94"/>
      <c r="AB10" s="94"/>
      <c r="AC10" s="94"/>
      <c r="AD10" s="94"/>
      <c r="AE10" s="94"/>
      <c r="AF10" s="94"/>
      <c r="AG10" s="94"/>
      <c r="AH10" s="94"/>
      <c r="AI10" s="94"/>
      <c r="AJ10" s="94"/>
      <c r="AK10" s="94"/>
      <c r="AL10" s="94"/>
    </row>
    <row r="11" hidden="1">
      <c r="A11" s="86" t="s">
        <v>661</v>
      </c>
      <c r="B11" s="95" t="str">
        <f t="shared" si="2"/>
        <v>Otro</v>
      </c>
      <c r="C11" s="106" t="str">
        <f t="shared" si="9"/>
        <v>1.</v>
      </c>
      <c r="D11" s="106" t="str">
        <f t="shared" si="10"/>
        <v>Contenido y lenguaje claro</v>
      </c>
      <c r="E11"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11" s="135" t="str">
        <f t="shared" si="3"/>
        <v>1.1</v>
      </c>
      <c r="G11" s="92" t="str">
        <f t="shared" si="4"/>
        <v>IMPRESCINDIBLES</v>
      </c>
      <c r="H11" s="135"/>
      <c r="I11" s="135" t="str">
        <f t="shared" si="5"/>
        <v/>
      </c>
      <c r="J11" s="98" t="str">
        <f t="shared" si="6"/>
        <v/>
      </c>
      <c r="K11" s="92" t="str">
        <f t="shared" si="7"/>
        <v/>
      </c>
      <c r="L11" s="135"/>
      <c r="M11" s="98" t="str">
        <f t="shared" ref="M11:N11" si="16">IF(J11="",M10,J11)</f>
        <v/>
      </c>
      <c r="N11" s="98" t="str">
        <f t="shared" si="16"/>
        <v/>
      </c>
      <c r="O11" s="136" t="s">
        <v>663</v>
      </c>
      <c r="P11" s="137" t="s">
        <v>664</v>
      </c>
      <c r="Q11" s="138"/>
      <c r="R11" s="138"/>
      <c r="S11" s="139">
        <f>COUNTA(P12:P34)</f>
        <v>8</v>
      </c>
      <c r="T11" s="140">
        <f>COUNTIF(U12:U34,"n/a")</f>
        <v>0</v>
      </c>
      <c r="U11" s="94"/>
      <c r="V11" s="94"/>
      <c r="W11" s="94"/>
      <c r="X11" s="94"/>
      <c r="Y11" s="94"/>
      <c r="Z11" s="94"/>
      <c r="AA11" s="94"/>
      <c r="AB11" s="94"/>
      <c r="AC11" s="94"/>
      <c r="AD11" s="94"/>
      <c r="AE11" s="94"/>
      <c r="AF11" s="94"/>
      <c r="AG11" s="94"/>
      <c r="AH11" s="94"/>
      <c r="AI11" s="94"/>
      <c r="AJ11" s="94"/>
      <c r="AK11" s="94"/>
      <c r="AL11" s="94"/>
    </row>
    <row r="12">
      <c r="A12" s="105" t="s">
        <v>661</v>
      </c>
      <c r="B12" s="92" t="str">
        <f t="shared" si="2"/>
        <v>Pregunta</v>
      </c>
      <c r="C12" s="106" t="str">
        <f t="shared" si="9"/>
        <v>1.</v>
      </c>
      <c r="D12" s="106" t="str">
        <f t="shared" si="10"/>
        <v>Contenido y lenguaje claro</v>
      </c>
      <c r="E12"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12" s="135" t="str">
        <f t="shared" si="3"/>
        <v>1.1</v>
      </c>
      <c r="G12" s="92" t="str">
        <f t="shared" si="4"/>
        <v>IMPRESCINDIBLES</v>
      </c>
      <c r="H12" s="141"/>
      <c r="I12" s="141" t="str">
        <f t="shared" si="5"/>
        <v>1.1.1</v>
      </c>
      <c r="J12" s="98" t="str">
        <f t="shared" si="6"/>
        <v>Fiabilidad</v>
      </c>
      <c r="K12" s="98" t="str">
        <f t="shared" si="7"/>
        <v>Entrega de información veraz, segura y rigurosa.</v>
      </c>
      <c r="L12" s="141" t="str">
        <f t="shared" ref="L12:N12" si="17">IF(I12="",L11,I12)</f>
        <v>1.1.1</v>
      </c>
      <c r="M12" s="98" t="str">
        <f t="shared" si="17"/>
        <v>Fiabilidad</v>
      </c>
      <c r="N12" s="98" t="str">
        <f t="shared" si="17"/>
        <v>Entrega de información veraz, segura y rigurosa.</v>
      </c>
      <c r="O12" s="142" t="s">
        <v>665</v>
      </c>
      <c r="P12" s="143" t="s">
        <v>666</v>
      </c>
      <c r="Q12" s="143" t="s">
        <v>667</v>
      </c>
      <c r="R12" s="144"/>
      <c r="S12" s="145" t="s">
        <v>668</v>
      </c>
      <c r="T12" s="146" t="s">
        <v>2033</v>
      </c>
      <c r="U12" s="94"/>
      <c r="V12" s="94"/>
      <c r="W12" s="94"/>
      <c r="X12" s="94"/>
      <c r="Y12" s="94"/>
      <c r="Z12" s="94"/>
      <c r="AA12" s="94"/>
      <c r="AB12" s="94"/>
      <c r="AC12" s="94"/>
      <c r="AD12" s="94"/>
      <c r="AE12" s="94"/>
      <c r="AF12" s="94"/>
      <c r="AG12" s="94"/>
      <c r="AH12" s="94"/>
      <c r="AI12" s="94"/>
      <c r="AJ12" s="94"/>
      <c r="AK12" s="94"/>
      <c r="AL12" s="94"/>
    </row>
    <row r="13">
      <c r="A13" s="105" t="s">
        <v>661</v>
      </c>
      <c r="B13" s="92" t="str">
        <f t="shared" si="2"/>
        <v>Pregunta</v>
      </c>
      <c r="C13" s="106" t="str">
        <f t="shared" si="9"/>
        <v>1.</v>
      </c>
      <c r="D13" s="106" t="str">
        <f t="shared" si="10"/>
        <v>Contenido y lenguaje claro</v>
      </c>
      <c r="E13"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13" s="135" t="str">
        <f t="shared" si="3"/>
        <v>1.1</v>
      </c>
      <c r="G13" s="92" t="str">
        <f t="shared" si="4"/>
        <v>IMPRESCINDIBLES</v>
      </c>
      <c r="H13" s="141"/>
      <c r="I13" s="141" t="str">
        <f t="shared" si="5"/>
        <v>1.1.2</v>
      </c>
      <c r="J13" s="98" t="str">
        <f t="shared" si="6"/>
        <v>Completitud</v>
      </c>
      <c r="K13" s="98" t="str">
        <f t="shared" si="7"/>
        <v>Entrega de información con la cobertura y datos necesarios para divulgar un tema con exhaustividad.</v>
      </c>
      <c r="L13" s="141" t="str">
        <f t="shared" ref="L13:N13" si="18">IF(I13="",L12,I13)</f>
        <v>1.1.2</v>
      </c>
      <c r="M13" s="98" t="str">
        <f t="shared" si="18"/>
        <v>Completitud</v>
      </c>
      <c r="N13" s="98" t="str">
        <f t="shared" si="18"/>
        <v>Entrega de información con la cobertura y datos necesarios para divulgar un tema con exhaustividad.</v>
      </c>
      <c r="O13" s="147" t="s">
        <v>670</v>
      </c>
      <c r="P13" s="148" t="s">
        <v>671</v>
      </c>
      <c r="Q13" s="148" t="s">
        <v>672</v>
      </c>
      <c r="R13" s="149"/>
      <c r="S13" s="150" t="s">
        <v>673</v>
      </c>
      <c r="T13" s="151" t="s">
        <v>2033</v>
      </c>
      <c r="U13" s="94"/>
      <c r="V13" s="94"/>
      <c r="W13" s="94"/>
      <c r="X13" s="94"/>
      <c r="Y13" s="94"/>
      <c r="Z13" s="94"/>
      <c r="AA13" s="94"/>
      <c r="AB13" s="94"/>
      <c r="AC13" s="94"/>
      <c r="AD13" s="94"/>
      <c r="AE13" s="94"/>
      <c r="AF13" s="94"/>
      <c r="AG13" s="94"/>
      <c r="AH13" s="94"/>
      <c r="AI13" s="94"/>
      <c r="AJ13" s="94"/>
      <c r="AK13" s="94"/>
      <c r="AL13" s="94"/>
    </row>
    <row r="14">
      <c r="A14" s="86" t="s">
        <v>661</v>
      </c>
      <c r="B14" s="95" t="str">
        <f t="shared" si="2"/>
        <v>Pregunta</v>
      </c>
      <c r="C14" s="106" t="str">
        <f t="shared" si="9"/>
        <v>1.</v>
      </c>
      <c r="D14" s="106" t="str">
        <f t="shared" si="10"/>
        <v>Contenido y lenguaje claro</v>
      </c>
      <c r="E14"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14" s="135" t="str">
        <f t="shared" si="3"/>
        <v>1.1</v>
      </c>
      <c r="G14" s="92" t="str">
        <f t="shared" si="4"/>
        <v>IMPRESCINDIBLES</v>
      </c>
      <c r="H14" s="141"/>
      <c r="I14" s="141" t="str">
        <f t="shared" si="5"/>
        <v/>
      </c>
      <c r="J14" s="98" t="str">
        <f t="shared" si="6"/>
        <v/>
      </c>
      <c r="K14" s="98" t="str">
        <f t="shared" si="7"/>
        <v/>
      </c>
      <c r="L14" s="141" t="str">
        <f t="shared" ref="L14:N14" si="19">IF(I14="",L13,I14)</f>
        <v>1.1.2</v>
      </c>
      <c r="M14" s="98" t="str">
        <f t="shared" si="19"/>
        <v>Completitud</v>
      </c>
      <c r="N14" s="98" t="str">
        <f t="shared" si="19"/>
        <v>Entrega de información con la cobertura y datos necesarios para divulgar un tema con exhaustividad.</v>
      </c>
      <c r="O14" s="152"/>
      <c r="P14" s="153"/>
      <c r="Q14" s="153"/>
      <c r="R14" s="154"/>
      <c r="S14" s="155" t="s">
        <v>674</v>
      </c>
      <c r="T14" s="151" t="s">
        <v>2033</v>
      </c>
      <c r="U14" s="94"/>
      <c r="V14" s="94"/>
      <c r="W14" s="94"/>
      <c r="X14" s="94"/>
      <c r="Y14" s="94"/>
      <c r="Z14" s="94"/>
      <c r="AA14" s="94"/>
      <c r="AB14" s="94"/>
      <c r="AC14" s="94"/>
      <c r="AD14" s="94"/>
      <c r="AE14" s="94"/>
      <c r="AF14" s="94"/>
      <c r="AG14" s="94"/>
      <c r="AH14" s="94"/>
      <c r="AI14" s="94"/>
      <c r="AJ14" s="94"/>
      <c r="AK14" s="94"/>
      <c r="AL14" s="94"/>
    </row>
    <row r="15">
      <c r="A15" s="86" t="s">
        <v>661</v>
      </c>
      <c r="B15" s="95" t="str">
        <f t="shared" si="2"/>
        <v>Pregunta</v>
      </c>
      <c r="C15" s="106" t="str">
        <f t="shared" si="9"/>
        <v>1.</v>
      </c>
      <c r="D15" s="106" t="str">
        <f t="shared" si="10"/>
        <v>Contenido y lenguaje claro</v>
      </c>
      <c r="E15"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15" s="135" t="str">
        <f t="shared" si="3"/>
        <v>1.1</v>
      </c>
      <c r="G15" s="92" t="str">
        <f t="shared" si="4"/>
        <v>IMPRESCINDIBLES</v>
      </c>
      <c r="H15" s="141"/>
      <c r="I15" s="141" t="str">
        <f t="shared" si="5"/>
        <v/>
      </c>
      <c r="J15" s="98" t="str">
        <f t="shared" si="6"/>
        <v/>
      </c>
      <c r="K15" s="98" t="str">
        <f t="shared" si="7"/>
        <v/>
      </c>
      <c r="L15" s="141" t="str">
        <f t="shared" ref="L15:N15" si="20">IF(I15="",L14,I15)</f>
        <v>1.1.2</v>
      </c>
      <c r="M15" s="98" t="str">
        <f t="shared" si="20"/>
        <v>Completitud</v>
      </c>
      <c r="N15" s="98" t="str">
        <f t="shared" si="20"/>
        <v>Entrega de información con la cobertura y datos necesarios para divulgar un tema con exhaustividad.</v>
      </c>
      <c r="O15" s="152"/>
      <c r="P15" s="153"/>
      <c r="Q15" s="153"/>
      <c r="R15" s="154"/>
      <c r="S15" s="155" t="s">
        <v>675</v>
      </c>
      <c r="T15" s="151" t="s">
        <v>2033</v>
      </c>
      <c r="U15" s="94"/>
      <c r="V15" s="94"/>
      <c r="W15" s="94"/>
      <c r="X15" s="94"/>
      <c r="Y15" s="94"/>
      <c r="Z15" s="94"/>
      <c r="AA15" s="94"/>
      <c r="AB15" s="94"/>
      <c r="AC15" s="94"/>
      <c r="AD15" s="94"/>
      <c r="AE15" s="94"/>
      <c r="AF15" s="94"/>
      <c r="AG15" s="94"/>
      <c r="AH15" s="94"/>
      <c r="AI15" s="94"/>
      <c r="AJ15" s="94"/>
      <c r="AK15" s="94"/>
      <c r="AL15" s="94"/>
    </row>
    <row r="16">
      <c r="A16" s="86" t="s">
        <v>661</v>
      </c>
      <c r="B16" s="95" t="str">
        <f t="shared" si="2"/>
        <v>Pregunta</v>
      </c>
      <c r="C16" s="106" t="str">
        <f t="shared" si="9"/>
        <v>1.</v>
      </c>
      <c r="D16" s="106" t="str">
        <f t="shared" si="10"/>
        <v>Contenido y lenguaje claro</v>
      </c>
      <c r="E16"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16" s="135" t="str">
        <f t="shared" si="3"/>
        <v>1.1</v>
      </c>
      <c r="G16" s="92" t="str">
        <f t="shared" si="4"/>
        <v>IMPRESCINDIBLES</v>
      </c>
      <c r="H16" s="141"/>
      <c r="I16" s="141" t="str">
        <f t="shared" si="5"/>
        <v/>
      </c>
      <c r="J16" s="98" t="str">
        <f t="shared" si="6"/>
        <v/>
      </c>
      <c r="K16" s="98" t="str">
        <f t="shared" si="7"/>
        <v/>
      </c>
      <c r="L16" s="141" t="str">
        <f t="shared" ref="L16:N16" si="21">IF(I16="",L15,I16)</f>
        <v>1.1.2</v>
      </c>
      <c r="M16" s="98" t="str">
        <f t="shared" si="21"/>
        <v>Completitud</v>
      </c>
      <c r="N16" s="98" t="str">
        <f t="shared" si="21"/>
        <v>Entrega de información con la cobertura y datos necesarios para divulgar un tema con exhaustividad.</v>
      </c>
      <c r="O16" s="142"/>
      <c r="P16" s="143"/>
      <c r="Q16" s="143"/>
      <c r="R16" s="156"/>
      <c r="S16" s="157" t="s">
        <v>2034</v>
      </c>
      <c r="T16" s="146" t="s">
        <v>2033</v>
      </c>
      <c r="U16" s="94"/>
      <c r="V16" s="94"/>
      <c r="W16" s="94"/>
      <c r="X16" s="94"/>
      <c r="Y16" s="94"/>
      <c r="Z16" s="94"/>
      <c r="AA16" s="94"/>
      <c r="AB16" s="94"/>
      <c r="AC16" s="94"/>
      <c r="AD16" s="94"/>
      <c r="AE16" s="94"/>
      <c r="AF16" s="94"/>
      <c r="AG16" s="94"/>
      <c r="AH16" s="94"/>
      <c r="AI16" s="94"/>
      <c r="AJ16" s="94"/>
      <c r="AK16" s="94"/>
      <c r="AL16" s="94"/>
    </row>
    <row r="17">
      <c r="A17" s="105" t="s">
        <v>661</v>
      </c>
      <c r="B17" s="92" t="str">
        <f t="shared" si="2"/>
        <v>Pregunta</v>
      </c>
      <c r="C17" s="106" t="str">
        <f t="shared" si="9"/>
        <v>1.</v>
      </c>
      <c r="D17" s="106" t="str">
        <f t="shared" si="10"/>
        <v>Contenido y lenguaje claro</v>
      </c>
      <c r="E17"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17" s="135" t="str">
        <f t="shared" si="3"/>
        <v>1.1</v>
      </c>
      <c r="G17" s="92" t="str">
        <f t="shared" si="4"/>
        <v>IMPRESCINDIBLES</v>
      </c>
      <c r="H17" s="141"/>
      <c r="I17" s="141" t="str">
        <f t="shared" si="5"/>
        <v>1.1.3</v>
      </c>
      <c r="J17" s="98" t="str">
        <f t="shared" si="6"/>
        <v>Lenguaje plano</v>
      </c>
      <c r="K17" s="98" t="str">
        <f t="shared" si="7"/>
        <v>Estilo de redacción simple y centrado en las personas usuarias, alejado de jergas legales y tecnicismos.</v>
      </c>
      <c r="L17" s="141" t="str">
        <f t="shared" ref="L17:N17" si="22">IF(I17="",L16,I17)</f>
        <v>1.1.3</v>
      </c>
      <c r="M17" s="98" t="str">
        <f t="shared" si="22"/>
        <v>Lenguaje plano</v>
      </c>
      <c r="N17" s="98" t="str">
        <f t="shared" si="22"/>
        <v>Estilo de redacción simple y centrado en las personas usuarias, alejado de jergas legales y tecnicismos.</v>
      </c>
      <c r="O17" s="147" t="s">
        <v>677</v>
      </c>
      <c r="P17" s="148" t="s">
        <v>678</v>
      </c>
      <c r="Q17" s="148" t="s">
        <v>679</v>
      </c>
      <c r="R17" s="158"/>
      <c r="S17" s="159" t="s">
        <v>2035</v>
      </c>
      <c r="T17" s="160" t="s">
        <v>2033</v>
      </c>
      <c r="U17" s="94"/>
      <c r="V17" s="94"/>
      <c r="W17" s="94"/>
      <c r="X17" s="94"/>
      <c r="Y17" s="94"/>
      <c r="Z17" s="94"/>
      <c r="AA17" s="94"/>
      <c r="AB17" s="94"/>
      <c r="AC17" s="94"/>
      <c r="AD17" s="94"/>
      <c r="AE17" s="94"/>
      <c r="AF17" s="94"/>
      <c r="AG17" s="94"/>
      <c r="AH17" s="94"/>
      <c r="AI17" s="94"/>
      <c r="AJ17" s="94"/>
      <c r="AK17" s="94"/>
      <c r="AL17" s="94"/>
    </row>
    <row r="18">
      <c r="A18" s="86" t="s">
        <v>661</v>
      </c>
      <c r="B18" s="95" t="str">
        <f t="shared" si="2"/>
        <v>Pregunta</v>
      </c>
      <c r="C18" s="106" t="str">
        <f t="shared" si="9"/>
        <v>1.</v>
      </c>
      <c r="D18" s="106" t="str">
        <f t="shared" si="10"/>
        <v>Contenido y lenguaje claro</v>
      </c>
      <c r="E18"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18" s="135" t="str">
        <f t="shared" si="3"/>
        <v>1.1</v>
      </c>
      <c r="G18" s="92" t="str">
        <f t="shared" si="4"/>
        <v>IMPRESCINDIBLES</v>
      </c>
      <c r="H18" s="141"/>
      <c r="I18" s="141" t="str">
        <f t="shared" si="5"/>
        <v/>
      </c>
      <c r="J18" s="98" t="str">
        <f t="shared" si="6"/>
        <v/>
      </c>
      <c r="K18" s="98" t="str">
        <f t="shared" si="7"/>
        <v/>
      </c>
      <c r="L18" s="141" t="str">
        <f t="shared" ref="L18:N18" si="23">IF(I18="",L17,I18)</f>
        <v>1.1.3</v>
      </c>
      <c r="M18" s="98" t="str">
        <f t="shared" si="23"/>
        <v>Lenguaje plano</v>
      </c>
      <c r="N18" s="98" t="str">
        <f t="shared" si="23"/>
        <v>Estilo de redacción simple y centrado en las personas usuarias, alejado de jergas legales y tecnicismos.</v>
      </c>
      <c r="O18" s="152"/>
      <c r="P18" s="153"/>
      <c r="Q18" s="153"/>
      <c r="R18" s="154"/>
      <c r="S18" s="155" t="s">
        <v>681</v>
      </c>
      <c r="T18" s="160" t="s">
        <v>2033</v>
      </c>
      <c r="U18" s="94"/>
      <c r="V18" s="94"/>
      <c r="W18" s="94"/>
      <c r="X18" s="94"/>
      <c r="Y18" s="94"/>
      <c r="Z18" s="94"/>
      <c r="AA18" s="94"/>
      <c r="AB18" s="94"/>
      <c r="AC18" s="94"/>
      <c r="AD18" s="94"/>
      <c r="AE18" s="94"/>
      <c r="AF18" s="94"/>
      <c r="AG18" s="94"/>
      <c r="AH18" s="94"/>
      <c r="AI18" s="94"/>
      <c r="AJ18" s="94"/>
      <c r="AK18" s="94"/>
      <c r="AL18" s="94"/>
    </row>
    <row r="19">
      <c r="A19" s="86" t="s">
        <v>661</v>
      </c>
      <c r="B19" s="95" t="str">
        <f t="shared" si="2"/>
        <v>Pregunta</v>
      </c>
      <c r="C19" s="106" t="str">
        <f t="shared" si="9"/>
        <v>1.</v>
      </c>
      <c r="D19" s="106" t="str">
        <f t="shared" si="10"/>
        <v>Contenido y lenguaje claro</v>
      </c>
      <c r="E19"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19" s="135" t="str">
        <f t="shared" si="3"/>
        <v>1.1</v>
      </c>
      <c r="G19" s="92" t="str">
        <f t="shared" si="4"/>
        <v>IMPRESCINDIBLES</v>
      </c>
      <c r="H19" s="141"/>
      <c r="I19" s="141" t="str">
        <f t="shared" si="5"/>
        <v/>
      </c>
      <c r="J19" s="98" t="str">
        <f t="shared" si="6"/>
        <v/>
      </c>
      <c r="K19" s="98" t="str">
        <f t="shared" si="7"/>
        <v/>
      </c>
      <c r="L19" s="141" t="str">
        <f t="shared" ref="L19:N19" si="24">IF(I19="",L18,I19)</f>
        <v>1.1.3</v>
      </c>
      <c r="M19" s="98" t="str">
        <f t="shared" si="24"/>
        <v>Lenguaje plano</v>
      </c>
      <c r="N19" s="98" t="str">
        <f t="shared" si="24"/>
        <v>Estilo de redacción simple y centrado en las personas usuarias, alejado de jergas legales y tecnicismos.</v>
      </c>
      <c r="O19" s="152"/>
      <c r="P19" s="153"/>
      <c r="Q19" s="153"/>
      <c r="R19" s="154"/>
      <c r="S19" s="155" t="s">
        <v>682</v>
      </c>
      <c r="T19" s="160" t="s">
        <v>2033</v>
      </c>
      <c r="U19" s="94"/>
      <c r="V19" s="94"/>
      <c r="W19" s="94"/>
      <c r="X19" s="94"/>
      <c r="Y19" s="94"/>
      <c r="Z19" s="94"/>
      <c r="AA19" s="94"/>
      <c r="AB19" s="94"/>
      <c r="AC19" s="94"/>
      <c r="AD19" s="94"/>
      <c r="AE19" s="94"/>
      <c r="AF19" s="94"/>
      <c r="AG19" s="94"/>
      <c r="AH19" s="94"/>
      <c r="AI19" s="94"/>
      <c r="AJ19" s="94"/>
      <c r="AK19" s="94"/>
      <c r="AL19" s="94"/>
    </row>
    <row r="20">
      <c r="A20" s="86" t="s">
        <v>661</v>
      </c>
      <c r="B20" s="95" t="str">
        <f t="shared" si="2"/>
        <v>Pregunta</v>
      </c>
      <c r="C20" s="106" t="str">
        <f t="shared" si="9"/>
        <v>1.</v>
      </c>
      <c r="D20" s="106" t="str">
        <f t="shared" si="10"/>
        <v>Contenido y lenguaje claro</v>
      </c>
      <c r="E20"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20" s="135" t="str">
        <f t="shared" si="3"/>
        <v>1.1</v>
      </c>
      <c r="G20" s="92" t="str">
        <f t="shared" si="4"/>
        <v>IMPRESCINDIBLES</v>
      </c>
      <c r="H20" s="141"/>
      <c r="I20" s="141" t="str">
        <f t="shared" si="5"/>
        <v/>
      </c>
      <c r="J20" s="98" t="str">
        <f t="shared" si="6"/>
        <v/>
      </c>
      <c r="K20" s="98" t="str">
        <f t="shared" si="7"/>
        <v/>
      </c>
      <c r="L20" s="141" t="str">
        <f t="shared" ref="L20:N20" si="25">IF(I20="",L19,I20)</f>
        <v>1.1.3</v>
      </c>
      <c r="M20" s="98" t="str">
        <f t="shared" si="25"/>
        <v>Lenguaje plano</v>
      </c>
      <c r="N20" s="98" t="str">
        <f t="shared" si="25"/>
        <v>Estilo de redacción simple y centrado en las personas usuarias, alejado de jergas legales y tecnicismos.</v>
      </c>
      <c r="O20" s="152"/>
      <c r="P20" s="153"/>
      <c r="Q20" s="153"/>
      <c r="R20" s="161"/>
      <c r="S20" s="162" t="s">
        <v>683</v>
      </c>
      <c r="T20" s="160" t="s">
        <v>2033</v>
      </c>
      <c r="U20" s="94"/>
      <c r="V20" s="94"/>
      <c r="W20" s="94"/>
      <c r="X20" s="94"/>
      <c r="Y20" s="94"/>
      <c r="Z20" s="94"/>
      <c r="AA20" s="94"/>
      <c r="AB20" s="94"/>
      <c r="AC20" s="94"/>
      <c r="AD20" s="94"/>
      <c r="AE20" s="94"/>
      <c r="AF20" s="94"/>
      <c r="AG20" s="94"/>
      <c r="AH20" s="94"/>
      <c r="AI20" s="94"/>
      <c r="AJ20" s="94"/>
      <c r="AK20" s="94"/>
      <c r="AL20" s="94"/>
    </row>
    <row r="21">
      <c r="A21" s="86" t="s">
        <v>661</v>
      </c>
      <c r="B21" s="95" t="str">
        <f t="shared" si="2"/>
        <v>Pregunta</v>
      </c>
      <c r="C21" s="106" t="str">
        <f t="shared" si="9"/>
        <v>1.</v>
      </c>
      <c r="D21" s="106" t="str">
        <f t="shared" si="10"/>
        <v>Contenido y lenguaje claro</v>
      </c>
      <c r="E21"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21" s="135" t="str">
        <f t="shared" si="3"/>
        <v>1.1</v>
      </c>
      <c r="G21" s="92" t="str">
        <f t="shared" si="4"/>
        <v>IMPRESCINDIBLES</v>
      </c>
      <c r="H21" s="141"/>
      <c r="I21" s="141" t="str">
        <f t="shared" si="5"/>
        <v/>
      </c>
      <c r="J21" s="98" t="str">
        <f t="shared" si="6"/>
        <v/>
      </c>
      <c r="K21" s="98" t="str">
        <f t="shared" si="7"/>
        <v/>
      </c>
      <c r="L21" s="141" t="str">
        <f t="shared" ref="L21:N21" si="26">IF(I21="",L20,I21)</f>
        <v>1.1.3</v>
      </c>
      <c r="M21" s="98" t="str">
        <f t="shared" si="26"/>
        <v>Lenguaje plano</v>
      </c>
      <c r="N21" s="98" t="str">
        <f t="shared" si="26"/>
        <v>Estilo de redacción simple y centrado en las personas usuarias, alejado de jergas legales y tecnicismos.</v>
      </c>
      <c r="O21" s="152"/>
      <c r="P21" s="153"/>
      <c r="Q21" s="153"/>
      <c r="R21" s="154"/>
      <c r="S21" s="155" t="s">
        <v>2036</v>
      </c>
      <c r="T21" s="160" t="s">
        <v>2033</v>
      </c>
      <c r="U21" s="94"/>
      <c r="V21" s="94"/>
      <c r="W21" s="94"/>
      <c r="X21" s="94"/>
      <c r="Y21" s="94"/>
      <c r="Z21" s="94"/>
      <c r="AA21" s="94"/>
      <c r="AB21" s="94"/>
      <c r="AC21" s="94"/>
      <c r="AD21" s="94"/>
      <c r="AE21" s="94"/>
      <c r="AF21" s="94"/>
      <c r="AG21" s="94"/>
      <c r="AH21" s="94"/>
      <c r="AI21" s="94"/>
      <c r="AJ21" s="94"/>
      <c r="AK21" s="94"/>
      <c r="AL21" s="94"/>
    </row>
    <row r="22">
      <c r="A22" s="86" t="s">
        <v>661</v>
      </c>
      <c r="B22" s="95" t="str">
        <f t="shared" si="2"/>
        <v>Pregunta</v>
      </c>
      <c r="C22" s="106" t="str">
        <f t="shared" si="9"/>
        <v>1.</v>
      </c>
      <c r="D22" s="106" t="str">
        <f t="shared" si="10"/>
        <v>Contenido y lenguaje claro</v>
      </c>
      <c r="E22"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22" s="135" t="str">
        <f t="shared" si="3"/>
        <v>1.1</v>
      </c>
      <c r="G22" s="92" t="str">
        <f t="shared" si="4"/>
        <v>IMPRESCINDIBLES</v>
      </c>
      <c r="H22" s="141"/>
      <c r="I22" s="141" t="str">
        <f t="shared" si="5"/>
        <v/>
      </c>
      <c r="J22" s="98" t="str">
        <f t="shared" si="6"/>
        <v/>
      </c>
      <c r="K22" s="98" t="str">
        <f t="shared" si="7"/>
        <v/>
      </c>
      <c r="L22" s="141" t="str">
        <f t="shared" ref="L22:N22" si="27">IF(I22="",L21,I22)</f>
        <v>1.1.3</v>
      </c>
      <c r="M22" s="98" t="str">
        <f t="shared" si="27"/>
        <v>Lenguaje plano</v>
      </c>
      <c r="N22" s="98" t="str">
        <f t="shared" si="27"/>
        <v>Estilo de redacción simple y centrado en las personas usuarias, alejado de jergas legales y tecnicismos.</v>
      </c>
      <c r="O22" s="142"/>
      <c r="P22" s="143"/>
      <c r="Q22" s="143"/>
      <c r="R22" s="156"/>
      <c r="S22" s="163" t="s">
        <v>685</v>
      </c>
      <c r="T22" s="164" t="s">
        <v>2033</v>
      </c>
      <c r="U22" s="94"/>
      <c r="V22" s="94"/>
      <c r="W22" s="94"/>
      <c r="X22" s="94"/>
      <c r="Y22" s="94"/>
      <c r="Z22" s="94"/>
      <c r="AA22" s="94"/>
      <c r="AB22" s="94"/>
      <c r="AC22" s="94"/>
      <c r="AD22" s="94"/>
      <c r="AE22" s="94"/>
      <c r="AF22" s="94"/>
      <c r="AG22" s="94"/>
      <c r="AH22" s="94"/>
      <c r="AI22" s="94"/>
      <c r="AJ22" s="94"/>
      <c r="AK22" s="94"/>
      <c r="AL22" s="94"/>
    </row>
    <row r="23">
      <c r="A23" s="105" t="s">
        <v>661</v>
      </c>
      <c r="B23" s="92" t="str">
        <f t="shared" si="2"/>
        <v>Pregunta</v>
      </c>
      <c r="C23" s="106" t="str">
        <f t="shared" si="9"/>
        <v>1.</v>
      </c>
      <c r="D23" s="106" t="str">
        <f t="shared" si="10"/>
        <v>Contenido y lenguaje claro</v>
      </c>
      <c r="E23"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23" s="135" t="str">
        <f t="shared" si="3"/>
        <v>1.1</v>
      </c>
      <c r="G23" s="92" t="str">
        <f t="shared" si="4"/>
        <v>IMPRESCINDIBLES</v>
      </c>
      <c r="H23" s="141"/>
      <c r="I23" s="141" t="str">
        <f t="shared" si="5"/>
        <v>1.1.4</v>
      </c>
      <c r="J23" s="98" t="str">
        <f t="shared" si="6"/>
        <v>Actualización</v>
      </c>
      <c r="K23" s="98" t="str">
        <f t="shared" si="7"/>
        <v>Renovación permanente de los contenidos, con el objeto de garantizar la entrega de información eficaz y oportuna a la ciudadanía.
</v>
      </c>
      <c r="L23" s="141" t="str">
        <f t="shared" ref="L23:N23" si="28">IF(I23="",L22,I23)</f>
        <v>1.1.4</v>
      </c>
      <c r="M23" s="98" t="str">
        <f t="shared" si="28"/>
        <v>Actualización</v>
      </c>
      <c r="N23" s="98" t="str">
        <f t="shared" si="28"/>
        <v>Renovación permanente de los contenidos, con el objeto de garantizar la entrega de información eficaz y oportuna a la ciudadanía.
</v>
      </c>
      <c r="O23" s="165" t="s">
        <v>686</v>
      </c>
      <c r="P23" s="166" t="s">
        <v>687</v>
      </c>
      <c r="Q23" s="166" t="s">
        <v>688</v>
      </c>
      <c r="R23" s="167"/>
      <c r="S23" s="166" t="s">
        <v>689</v>
      </c>
      <c r="T23" s="164" t="s">
        <v>2033</v>
      </c>
      <c r="U23" s="94"/>
      <c r="V23" s="94"/>
      <c r="W23" s="94"/>
      <c r="X23" s="94"/>
      <c r="Y23" s="94"/>
      <c r="Z23" s="94"/>
      <c r="AA23" s="94"/>
      <c r="AB23" s="94"/>
      <c r="AC23" s="94"/>
      <c r="AD23" s="94"/>
      <c r="AE23" s="94"/>
      <c r="AF23" s="94"/>
      <c r="AG23" s="94"/>
      <c r="AH23" s="94"/>
      <c r="AI23" s="94"/>
      <c r="AJ23" s="94"/>
      <c r="AK23" s="94"/>
      <c r="AL23" s="94"/>
    </row>
    <row r="24">
      <c r="A24" s="105" t="s">
        <v>661</v>
      </c>
      <c r="B24" s="92" t="str">
        <f t="shared" si="2"/>
        <v>Pregunta</v>
      </c>
      <c r="C24" s="106" t="str">
        <f t="shared" si="9"/>
        <v>1.</v>
      </c>
      <c r="D24" s="106" t="str">
        <f t="shared" si="10"/>
        <v>Contenido y lenguaje claro</v>
      </c>
      <c r="E24"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24" s="135" t="str">
        <f t="shared" si="3"/>
        <v>1.1</v>
      </c>
      <c r="G24" s="92" t="str">
        <f t="shared" si="4"/>
        <v>IMPRESCINDIBLES</v>
      </c>
      <c r="H24" s="141"/>
      <c r="I24" s="141" t="str">
        <f t="shared" si="5"/>
        <v>1.1.5</v>
      </c>
      <c r="J24" s="98" t="str">
        <f t="shared" si="6"/>
        <v>Redacción y ortografía</v>
      </c>
      <c r="K24" s="98" t="str">
        <f t="shared" si="7"/>
        <v>Correcta escritura de los textos publicados.</v>
      </c>
      <c r="L24" s="141" t="str">
        <f t="shared" ref="L24:N24" si="29">IF(I24="",L23,I24)</f>
        <v>1.1.5</v>
      </c>
      <c r="M24" s="98" t="str">
        <f t="shared" si="29"/>
        <v>Redacción y ortografía</v>
      </c>
      <c r="N24" s="98" t="str">
        <f t="shared" si="29"/>
        <v>Correcta escritura de los textos publicados.</v>
      </c>
      <c r="O24" s="147" t="s">
        <v>690</v>
      </c>
      <c r="P24" s="148" t="s">
        <v>691</v>
      </c>
      <c r="Q24" s="148" t="s">
        <v>692</v>
      </c>
      <c r="R24" s="158"/>
      <c r="S24" s="159" t="s">
        <v>2037</v>
      </c>
      <c r="T24" s="160" t="s">
        <v>2033</v>
      </c>
      <c r="U24" s="94"/>
      <c r="V24" s="94"/>
      <c r="W24" s="94"/>
      <c r="X24" s="94"/>
      <c r="Y24" s="94"/>
      <c r="Z24" s="94"/>
      <c r="AA24" s="94"/>
      <c r="AB24" s="94"/>
      <c r="AC24" s="94"/>
      <c r="AD24" s="94"/>
      <c r="AE24" s="94"/>
      <c r="AF24" s="94"/>
      <c r="AG24" s="94"/>
      <c r="AH24" s="94"/>
      <c r="AI24" s="94"/>
      <c r="AJ24" s="94"/>
      <c r="AK24" s="94"/>
      <c r="AL24" s="94"/>
    </row>
    <row r="25">
      <c r="A25" s="86" t="s">
        <v>661</v>
      </c>
      <c r="B25" s="95" t="str">
        <f t="shared" si="2"/>
        <v>Pregunta</v>
      </c>
      <c r="C25" s="106" t="str">
        <f t="shared" si="9"/>
        <v>1.</v>
      </c>
      <c r="D25" s="106" t="str">
        <f t="shared" si="10"/>
        <v>Contenido y lenguaje claro</v>
      </c>
      <c r="E25"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25" s="135" t="str">
        <f t="shared" si="3"/>
        <v>1.1</v>
      </c>
      <c r="G25" s="92" t="str">
        <f t="shared" si="4"/>
        <v>IMPRESCINDIBLES</v>
      </c>
      <c r="H25" s="141"/>
      <c r="I25" s="141" t="str">
        <f t="shared" si="5"/>
        <v/>
      </c>
      <c r="J25" s="98" t="str">
        <f t="shared" si="6"/>
        <v/>
      </c>
      <c r="K25" s="98" t="str">
        <f t="shared" si="7"/>
        <v/>
      </c>
      <c r="L25" s="141" t="str">
        <f t="shared" ref="L25:N25" si="30">IF(I25="",L24,I25)</f>
        <v>1.1.5</v>
      </c>
      <c r="M25" s="98" t="str">
        <f t="shared" si="30"/>
        <v>Redacción y ortografía</v>
      </c>
      <c r="N25" s="98" t="str">
        <f t="shared" si="30"/>
        <v>Correcta escritura de los textos publicados.</v>
      </c>
      <c r="O25" s="152"/>
      <c r="P25" s="153"/>
      <c r="Q25" s="153"/>
      <c r="R25" s="161"/>
      <c r="S25" s="162" t="s">
        <v>694</v>
      </c>
      <c r="T25" s="160" t="s">
        <v>2033</v>
      </c>
      <c r="U25" s="94"/>
      <c r="V25" s="94"/>
      <c r="W25" s="94"/>
      <c r="X25" s="94"/>
      <c r="Y25" s="94"/>
      <c r="Z25" s="94"/>
      <c r="AA25" s="94"/>
      <c r="AB25" s="94"/>
      <c r="AC25" s="94"/>
      <c r="AD25" s="94"/>
      <c r="AE25" s="94"/>
      <c r="AF25" s="94"/>
      <c r="AG25" s="94"/>
      <c r="AH25" s="94"/>
      <c r="AI25" s="94"/>
      <c r="AJ25" s="94"/>
      <c r="AK25" s="94"/>
      <c r="AL25" s="94"/>
    </row>
    <row r="26">
      <c r="A26" s="86" t="s">
        <v>661</v>
      </c>
      <c r="B26" s="95" t="str">
        <f t="shared" si="2"/>
        <v>Pregunta</v>
      </c>
      <c r="C26" s="106" t="str">
        <f t="shared" si="9"/>
        <v>1.</v>
      </c>
      <c r="D26" s="106" t="str">
        <f t="shared" si="10"/>
        <v>Contenido y lenguaje claro</v>
      </c>
      <c r="E26"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26" s="135" t="str">
        <f t="shared" si="3"/>
        <v>1.1</v>
      </c>
      <c r="G26" s="92" t="str">
        <f t="shared" si="4"/>
        <v>IMPRESCINDIBLES</v>
      </c>
      <c r="H26" s="141"/>
      <c r="I26" s="141" t="str">
        <f t="shared" si="5"/>
        <v/>
      </c>
      <c r="J26" s="98" t="str">
        <f t="shared" si="6"/>
        <v/>
      </c>
      <c r="K26" s="98" t="str">
        <f t="shared" si="7"/>
        <v/>
      </c>
      <c r="L26" s="141" t="str">
        <f t="shared" ref="L26:N26" si="31">IF(I26="",L25,I26)</f>
        <v>1.1.5</v>
      </c>
      <c r="M26" s="98" t="str">
        <f t="shared" si="31"/>
        <v>Redacción y ortografía</v>
      </c>
      <c r="N26" s="98" t="str">
        <f t="shared" si="31"/>
        <v>Correcta escritura de los textos publicados.</v>
      </c>
      <c r="O26" s="142"/>
      <c r="P26" s="143"/>
      <c r="Q26" s="143"/>
      <c r="R26" s="168"/>
      <c r="S26" s="169" t="s">
        <v>695</v>
      </c>
      <c r="T26" s="164" t="s">
        <v>2033</v>
      </c>
      <c r="U26" s="94"/>
      <c r="V26" s="94"/>
      <c r="W26" s="94"/>
      <c r="X26" s="94"/>
      <c r="Y26" s="94"/>
      <c r="Z26" s="94"/>
      <c r="AA26" s="94"/>
      <c r="AB26" s="94"/>
      <c r="AC26" s="94"/>
      <c r="AD26" s="94"/>
      <c r="AE26" s="94"/>
      <c r="AF26" s="94"/>
      <c r="AG26" s="94"/>
      <c r="AH26" s="94"/>
      <c r="AI26" s="94"/>
      <c r="AJ26" s="94"/>
      <c r="AK26" s="94"/>
      <c r="AL26" s="94"/>
    </row>
    <row r="27">
      <c r="A27" s="105" t="s">
        <v>661</v>
      </c>
      <c r="B27" s="92" t="str">
        <f t="shared" si="2"/>
        <v>Pregunta</v>
      </c>
      <c r="C27" s="106" t="str">
        <f t="shared" si="9"/>
        <v>1.</v>
      </c>
      <c r="D27" s="106" t="str">
        <f t="shared" si="10"/>
        <v>Contenido y lenguaje claro</v>
      </c>
      <c r="E27"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27" s="135" t="str">
        <f t="shared" si="3"/>
        <v>1.1</v>
      </c>
      <c r="G27" s="92" t="str">
        <f t="shared" si="4"/>
        <v>IMPRESCINDIBLES</v>
      </c>
      <c r="H27" s="141"/>
      <c r="I27" s="141" t="str">
        <f t="shared" si="5"/>
        <v>1.1.6</v>
      </c>
      <c r="J27" s="98" t="str">
        <f t="shared" si="6"/>
        <v>Propiedad intelectual</v>
      </c>
      <c r="K27" s="98" t="str">
        <f t="shared" si="7"/>
        <v>Posesión de los derechos de uso de contenidos publicados en un sitio web.</v>
      </c>
      <c r="L27" s="141" t="str">
        <f t="shared" ref="L27:N27" si="32">IF(I27="",L26,I27)</f>
        <v>1.1.6</v>
      </c>
      <c r="M27" s="98" t="str">
        <f t="shared" si="32"/>
        <v>Propiedad intelectual</v>
      </c>
      <c r="N27" s="98" t="str">
        <f t="shared" si="32"/>
        <v>Posesión de los derechos de uso de contenidos publicados en un sitio web.</v>
      </c>
      <c r="O27" s="147" t="s">
        <v>696</v>
      </c>
      <c r="P27" s="148" t="s">
        <v>697</v>
      </c>
      <c r="Q27" s="148" t="s">
        <v>698</v>
      </c>
      <c r="R27" s="158"/>
      <c r="S27" s="170" t="s">
        <v>2038</v>
      </c>
      <c r="T27" s="160" t="s">
        <v>2033</v>
      </c>
      <c r="U27" s="94"/>
      <c r="V27" s="94"/>
      <c r="W27" s="94"/>
      <c r="X27" s="94"/>
      <c r="Y27" s="94"/>
      <c r="Z27" s="94"/>
      <c r="AA27" s="94"/>
      <c r="AB27" s="94"/>
      <c r="AC27" s="94"/>
      <c r="AD27" s="94"/>
      <c r="AE27" s="94"/>
      <c r="AF27" s="94"/>
      <c r="AG27" s="94"/>
      <c r="AH27" s="94"/>
      <c r="AI27" s="94"/>
      <c r="AJ27" s="94"/>
      <c r="AK27" s="94"/>
      <c r="AL27" s="94"/>
    </row>
    <row r="28">
      <c r="A28" s="86" t="s">
        <v>661</v>
      </c>
      <c r="B28" s="95" t="str">
        <f t="shared" si="2"/>
        <v>Pregunta</v>
      </c>
      <c r="C28" s="106" t="str">
        <f t="shared" si="9"/>
        <v>1.</v>
      </c>
      <c r="D28" s="106" t="str">
        <f t="shared" si="10"/>
        <v>Contenido y lenguaje claro</v>
      </c>
      <c r="E28"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28" s="135" t="str">
        <f t="shared" si="3"/>
        <v>1.1</v>
      </c>
      <c r="G28" s="92" t="str">
        <f t="shared" si="4"/>
        <v>IMPRESCINDIBLES</v>
      </c>
      <c r="H28" s="141"/>
      <c r="I28" s="141" t="str">
        <f t="shared" si="5"/>
        <v/>
      </c>
      <c r="J28" s="98" t="str">
        <f t="shared" si="6"/>
        <v/>
      </c>
      <c r="K28" s="98" t="str">
        <f t="shared" si="7"/>
        <v/>
      </c>
      <c r="L28" s="141" t="str">
        <f t="shared" ref="L28:N28" si="33">IF(I28="",L27,I28)</f>
        <v>1.1.6</v>
      </c>
      <c r="M28" s="98" t="str">
        <f t="shared" si="33"/>
        <v>Propiedad intelectual</v>
      </c>
      <c r="N28" s="98" t="str">
        <f t="shared" si="33"/>
        <v>Posesión de los derechos de uso de contenidos publicados en un sitio web.</v>
      </c>
      <c r="O28" s="142"/>
      <c r="P28" s="143"/>
      <c r="Q28" s="143"/>
      <c r="R28" s="168"/>
      <c r="S28" s="169" t="s">
        <v>700</v>
      </c>
      <c r="T28" s="164" t="s">
        <v>2033</v>
      </c>
      <c r="U28" s="94"/>
      <c r="V28" s="94"/>
      <c r="W28" s="94"/>
      <c r="X28" s="94"/>
      <c r="Y28" s="94"/>
      <c r="Z28" s="94"/>
      <c r="AA28" s="94"/>
      <c r="AB28" s="94"/>
      <c r="AC28" s="94"/>
      <c r="AD28" s="94"/>
      <c r="AE28" s="94"/>
      <c r="AF28" s="94"/>
      <c r="AG28" s="94"/>
      <c r="AH28" s="94"/>
      <c r="AI28" s="94"/>
      <c r="AJ28" s="94"/>
      <c r="AK28" s="94"/>
      <c r="AL28" s="94"/>
    </row>
    <row r="29">
      <c r="A29" s="105" t="s">
        <v>661</v>
      </c>
      <c r="B29" s="92" t="str">
        <f t="shared" si="2"/>
        <v>Pregunta</v>
      </c>
      <c r="C29" s="106" t="str">
        <f t="shared" si="9"/>
        <v>1.</v>
      </c>
      <c r="D29" s="106" t="str">
        <f t="shared" si="10"/>
        <v>Contenido y lenguaje claro</v>
      </c>
      <c r="E29"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29" s="135" t="str">
        <f t="shared" si="3"/>
        <v>1.1</v>
      </c>
      <c r="G29" s="92" t="str">
        <f t="shared" si="4"/>
        <v>IMPRESCINDIBLES</v>
      </c>
      <c r="H29" s="141"/>
      <c r="I29" s="141" t="str">
        <f t="shared" si="5"/>
        <v>1.1.7</v>
      </c>
      <c r="J29" s="98" t="str">
        <f t="shared" si="6"/>
        <v>Privacidad y datos personales</v>
      </c>
      <c r="K29" s="98" t="str">
        <f t="shared" si="7"/>
        <v>Protección de los datos e información personal de las personas usuarias de un sitio web.</v>
      </c>
      <c r="L29" s="141" t="str">
        <f t="shared" ref="L29:N29" si="34">IF(I29="",L28,I29)</f>
        <v>1.1.7</v>
      </c>
      <c r="M29" s="98" t="str">
        <f t="shared" si="34"/>
        <v>Privacidad y datos personales</v>
      </c>
      <c r="N29" s="98" t="str">
        <f t="shared" si="34"/>
        <v>Protección de los datos e información personal de las personas usuarias de un sitio web.</v>
      </c>
      <c r="O29" s="147" t="s">
        <v>701</v>
      </c>
      <c r="P29" s="148" t="s">
        <v>702</v>
      </c>
      <c r="Q29" s="148" t="s">
        <v>703</v>
      </c>
      <c r="R29" s="158"/>
      <c r="S29" s="170" t="s">
        <v>2039</v>
      </c>
      <c r="T29" s="160" t="s">
        <v>2033</v>
      </c>
      <c r="U29" s="94"/>
      <c r="V29" s="94"/>
      <c r="W29" s="94"/>
      <c r="X29" s="94"/>
      <c r="Y29" s="94"/>
      <c r="Z29" s="94"/>
      <c r="AA29" s="94"/>
      <c r="AB29" s="94"/>
      <c r="AC29" s="94"/>
      <c r="AD29" s="94"/>
      <c r="AE29" s="94"/>
      <c r="AF29" s="94"/>
      <c r="AG29" s="94"/>
      <c r="AH29" s="94"/>
      <c r="AI29" s="94"/>
      <c r="AJ29" s="94"/>
      <c r="AK29" s="94"/>
      <c r="AL29" s="94"/>
    </row>
    <row r="30">
      <c r="A30" s="86" t="s">
        <v>661</v>
      </c>
      <c r="B30" s="95" t="str">
        <f t="shared" si="2"/>
        <v>Pregunta</v>
      </c>
      <c r="C30" s="106" t="str">
        <f t="shared" si="9"/>
        <v>1.</v>
      </c>
      <c r="D30" s="106" t="str">
        <f t="shared" si="10"/>
        <v>Contenido y lenguaje claro</v>
      </c>
      <c r="E30"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30" s="135" t="str">
        <f t="shared" si="3"/>
        <v>1.1</v>
      </c>
      <c r="G30" s="92" t="str">
        <f t="shared" si="4"/>
        <v>IMPRESCINDIBLES</v>
      </c>
      <c r="H30" s="141"/>
      <c r="I30" s="141" t="str">
        <f t="shared" si="5"/>
        <v/>
      </c>
      <c r="J30" s="98" t="str">
        <f t="shared" si="6"/>
        <v/>
      </c>
      <c r="K30" s="98" t="str">
        <f t="shared" si="7"/>
        <v/>
      </c>
      <c r="L30" s="141" t="str">
        <f t="shared" ref="L30:N30" si="35">IF(I30="",L29,I30)</f>
        <v>1.1.7</v>
      </c>
      <c r="M30" s="98" t="str">
        <f t="shared" si="35"/>
        <v>Privacidad y datos personales</v>
      </c>
      <c r="N30" s="98" t="str">
        <f t="shared" si="35"/>
        <v>Protección de los datos e información personal de las personas usuarias de un sitio web.</v>
      </c>
      <c r="O30" s="152"/>
      <c r="P30" s="150"/>
      <c r="Q30" s="150"/>
      <c r="R30" s="171"/>
      <c r="S30" s="162" t="s">
        <v>705</v>
      </c>
      <c r="T30" s="160" t="s">
        <v>2033</v>
      </c>
      <c r="U30" s="94"/>
      <c r="V30" s="94"/>
      <c r="W30" s="94"/>
      <c r="X30" s="94"/>
      <c r="Y30" s="94"/>
      <c r="Z30" s="94"/>
      <c r="AA30" s="94"/>
      <c r="AB30" s="94"/>
      <c r="AC30" s="94"/>
      <c r="AD30" s="94"/>
      <c r="AE30" s="94"/>
      <c r="AF30" s="94"/>
      <c r="AG30" s="94"/>
      <c r="AH30" s="94"/>
      <c r="AI30" s="94"/>
      <c r="AJ30" s="94"/>
      <c r="AK30" s="94"/>
      <c r="AL30" s="94"/>
    </row>
    <row r="31">
      <c r="A31" s="86" t="s">
        <v>661</v>
      </c>
      <c r="B31" s="95" t="str">
        <f t="shared" si="2"/>
        <v>Pregunta</v>
      </c>
      <c r="C31" s="106" t="str">
        <f t="shared" si="9"/>
        <v>1.</v>
      </c>
      <c r="D31" s="106" t="str">
        <f t="shared" si="10"/>
        <v>Contenido y lenguaje claro</v>
      </c>
      <c r="E31"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31" s="135" t="str">
        <f t="shared" si="3"/>
        <v>1.1</v>
      </c>
      <c r="G31" s="92" t="str">
        <f t="shared" si="4"/>
        <v>IMPRESCINDIBLES</v>
      </c>
      <c r="H31" s="141"/>
      <c r="I31" s="141" t="str">
        <f t="shared" si="5"/>
        <v/>
      </c>
      <c r="J31" s="98" t="str">
        <f t="shared" si="6"/>
        <v/>
      </c>
      <c r="K31" s="98" t="str">
        <f t="shared" si="7"/>
        <v/>
      </c>
      <c r="L31" s="141" t="str">
        <f t="shared" ref="L31:N31" si="36">IF(I31="",L30,I31)</f>
        <v>1.1.7</v>
      </c>
      <c r="M31" s="98" t="str">
        <f t="shared" si="36"/>
        <v>Privacidad y datos personales</v>
      </c>
      <c r="N31" s="98" t="str">
        <f t="shared" si="36"/>
        <v>Protección de los datos e información personal de las personas usuarias de un sitio web.</v>
      </c>
      <c r="O31" s="172"/>
      <c r="P31" s="171"/>
      <c r="Q31" s="171"/>
      <c r="R31" s="171"/>
      <c r="S31" s="173" t="s">
        <v>706</v>
      </c>
      <c r="T31" s="164" t="s">
        <v>2033</v>
      </c>
      <c r="U31" s="94"/>
      <c r="V31" s="94"/>
      <c r="W31" s="94"/>
      <c r="X31" s="94"/>
      <c r="Y31" s="94"/>
      <c r="Z31" s="94"/>
      <c r="AA31" s="94"/>
      <c r="AB31" s="94"/>
      <c r="AC31" s="94"/>
      <c r="AD31" s="94"/>
      <c r="AE31" s="94"/>
      <c r="AF31" s="94"/>
      <c r="AG31" s="94"/>
      <c r="AH31" s="94"/>
      <c r="AI31" s="94"/>
      <c r="AJ31" s="94"/>
      <c r="AK31" s="94"/>
      <c r="AL31" s="94"/>
    </row>
    <row r="32">
      <c r="A32" s="105" t="s">
        <v>661</v>
      </c>
      <c r="B32" s="92" t="str">
        <f t="shared" si="2"/>
        <v>Pregunta</v>
      </c>
      <c r="C32" s="106" t="str">
        <f t="shared" si="9"/>
        <v>1.</v>
      </c>
      <c r="D32" s="106" t="str">
        <f t="shared" si="10"/>
        <v>Contenido y lenguaje claro</v>
      </c>
      <c r="E32"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32" s="135" t="str">
        <f t="shared" si="3"/>
        <v>1.1</v>
      </c>
      <c r="G32" s="92" t="str">
        <f t="shared" si="4"/>
        <v>IMPRESCINDIBLES</v>
      </c>
      <c r="H32" s="141"/>
      <c r="I32" s="141" t="str">
        <f t="shared" si="5"/>
        <v>1.1.8</v>
      </c>
      <c r="J32" s="98" t="str">
        <f t="shared" si="6"/>
        <v>Contenidos sensibles</v>
      </c>
      <c r="K32" s="98" t="str">
        <f t="shared" si="7"/>
        <v>Respeto de la intimidad de las personas usuarias de un sitio web a partir de la no publicación de información que pueda menoscabar su honra y perjudicar su imagen personal en Internet.</v>
      </c>
      <c r="L32" s="141" t="str">
        <f t="shared" ref="L32:N32" si="37">IF(I32="",L31,I32)</f>
        <v>1.1.8</v>
      </c>
      <c r="M32" s="98" t="str">
        <f t="shared" si="37"/>
        <v>Contenidos sensibles</v>
      </c>
      <c r="N32" s="98" t="str">
        <f t="shared" si="37"/>
        <v>Respeto de la intimidad de las personas usuarias de un sitio web a partir de la no publicación de información que pueda menoscabar su honra y perjudicar su imagen personal en Internet.</v>
      </c>
      <c r="O32" s="152" t="s">
        <v>707</v>
      </c>
      <c r="P32" s="148" t="s">
        <v>708</v>
      </c>
      <c r="Q32" s="148" t="s">
        <v>709</v>
      </c>
      <c r="R32" s="158"/>
      <c r="S32" s="170" t="s">
        <v>2040</v>
      </c>
      <c r="T32" s="160" t="s">
        <v>2033</v>
      </c>
      <c r="U32" s="94"/>
      <c r="V32" s="94"/>
      <c r="W32" s="94"/>
      <c r="X32" s="94"/>
      <c r="Y32" s="94"/>
      <c r="Z32" s="94"/>
      <c r="AA32" s="94"/>
      <c r="AB32" s="94"/>
      <c r="AC32" s="94"/>
      <c r="AD32" s="94"/>
      <c r="AE32" s="94"/>
      <c r="AF32" s="94"/>
      <c r="AG32" s="94"/>
      <c r="AH32" s="94"/>
      <c r="AI32" s="94"/>
      <c r="AJ32" s="94"/>
      <c r="AK32" s="94"/>
      <c r="AL32" s="94"/>
    </row>
    <row r="33">
      <c r="A33" s="86" t="s">
        <v>661</v>
      </c>
      <c r="B33" s="95" t="str">
        <f t="shared" si="2"/>
        <v>Pregunta</v>
      </c>
      <c r="C33" s="106" t="str">
        <f t="shared" si="9"/>
        <v>1.</v>
      </c>
      <c r="D33" s="106" t="str">
        <f t="shared" si="10"/>
        <v>Contenido y lenguaje claro</v>
      </c>
      <c r="E33"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33" s="135" t="str">
        <f t="shared" si="3"/>
        <v>1.1</v>
      </c>
      <c r="G33" s="92" t="str">
        <f t="shared" si="4"/>
        <v>IMPRESCINDIBLES</v>
      </c>
      <c r="H33" s="141"/>
      <c r="I33" s="141" t="str">
        <f t="shared" si="5"/>
        <v/>
      </c>
      <c r="J33" s="98" t="str">
        <f t="shared" si="6"/>
        <v/>
      </c>
      <c r="K33" s="98" t="str">
        <f t="shared" si="7"/>
        <v/>
      </c>
      <c r="L33" s="141" t="str">
        <f t="shared" ref="L33:N33" si="38">IF(I33="",L32,I33)</f>
        <v>1.1.8</v>
      </c>
      <c r="M33" s="98" t="str">
        <f t="shared" si="38"/>
        <v>Contenidos sensibles</v>
      </c>
      <c r="N33" s="98" t="str">
        <f t="shared" si="38"/>
        <v>Respeto de la intimidad de las personas usuarias de un sitio web a partir de la no publicación de información que pueda menoscabar su honra y perjudicar su imagen personal en Internet.</v>
      </c>
      <c r="O33" s="152"/>
      <c r="P33" s="153"/>
      <c r="Q33" s="153"/>
      <c r="R33" s="149"/>
      <c r="S33" s="162" t="s">
        <v>711</v>
      </c>
      <c r="T33" s="160" t="s">
        <v>2033</v>
      </c>
      <c r="U33" s="94"/>
      <c r="V33" s="94"/>
      <c r="W33" s="94"/>
      <c r="X33" s="94"/>
      <c r="Y33" s="94"/>
      <c r="Z33" s="94"/>
      <c r="AA33" s="94"/>
      <c r="AB33" s="94"/>
      <c r="AC33" s="94"/>
      <c r="AD33" s="94"/>
      <c r="AE33" s="94"/>
      <c r="AF33" s="94"/>
      <c r="AG33" s="94"/>
      <c r="AH33" s="94"/>
      <c r="AI33" s="94"/>
      <c r="AJ33" s="94"/>
      <c r="AK33" s="94"/>
      <c r="AL33" s="94"/>
    </row>
    <row r="34">
      <c r="A34" s="86" t="s">
        <v>661</v>
      </c>
      <c r="B34" s="95" t="str">
        <f t="shared" si="2"/>
        <v>Pregunta</v>
      </c>
      <c r="C34" s="106" t="str">
        <f t="shared" si="9"/>
        <v>1.</v>
      </c>
      <c r="D34" s="106" t="str">
        <f t="shared" si="10"/>
        <v>Contenido y lenguaje claro</v>
      </c>
      <c r="E34"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34" s="135" t="str">
        <f t="shared" si="3"/>
        <v>1.1</v>
      </c>
      <c r="G34" s="92" t="str">
        <f t="shared" si="4"/>
        <v>IMPRESCINDIBLES</v>
      </c>
      <c r="H34" s="141"/>
      <c r="I34" s="141" t="str">
        <f t="shared" si="5"/>
        <v/>
      </c>
      <c r="J34" s="98" t="str">
        <f t="shared" si="6"/>
        <v/>
      </c>
      <c r="K34" s="98" t="str">
        <f t="shared" si="7"/>
        <v/>
      </c>
      <c r="L34" s="141" t="str">
        <f t="shared" ref="L34:N34" si="39">IF(I34="",L33,I34)</f>
        <v>1.1.8</v>
      </c>
      <c r="M34" s="98" t="str">
        <f t="shared" si="39"/>
        <v>Contenidos sensibles</v>
      </c>
      <c r="N34" s="98" t="str">
        <f t="shared" si="39"/>
        <v>Respeto de la intimidad de las personas usuarias de un sitio web a partir de la no publicación de información que pueda menoscabar su honra y perjudicar su imagen personal en Internet.</v>
      </c>
      <c r="O34" s="142"/>
      <c r="P34" s="143"/>
      <c r="Q34" s="143"/>
      <c r="R34" s="174"/>
      <c r="S34" s="169" t="s">
        <v>712</v>
      </c>
      <c r="T34" s="164" t="s">
        <v>2033</v>
      </c>
      <c r="U34" s="94"/>
      <c r="V34" s="94"/>
      <c r="W34" s="94"/>
      <c r="X34" s="94"/>
      <c r="Y34" s="94"/>
      <c r="Z34" s="94"/>
      <c r="AA34" s="94"/>
      <c r="AB34" s="94"/>
      <c r="AC34" s="94"/>
      <c r="AD34" s="94"/>
      <c r="AE34" s="94"/>
      <c r="AF34" s="94"/>
      <c r="AG34" s="94"/>
      <c r="AH34" s="94"/>
      <c r="AI34" s="94"/>
      <c r="AJ34" s="94"/>
      <c r="AK34" s="94"/>
      <c r="AL34" s="94"/>
    </row>
    <row r="35" hidden="1">
      <c r="A35" s="86" t="s">
        <v>661</v>
      </c>
      <c r="B35" s="95" t="str">
        <f t="shared" si="2"/>
        <v>Otro</v>
      </c>
      <c r="C35" s="106" t="str">
        <f t="shared" si="9"/>
        <v>1.</v>
      </c>
      <c r="D35" s="106" t="str">
        <f t="shared" si="10"/>
        <v>Contenido y lenguaje claro</v>
      </c>
      <c r="E35"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35" s="141" t="str">
        <f t="shared" si="3"/>
        <v>1.2</v>
      </c>
      <c r="G35" s="92" t="str">
        <f t="shared" si="4"/>
        <v>ESPERABLES</v>
      </c>
      <c r="H35" s="141"/>
      <c r="I35" s="141" t="str">
        <f t="shared" si="5"/>
        <v/>
      </c>
      <c r="J35" s="98" t="str">
        <f t="shared" si="6"/>
        <v/>
      </c>
      <c r="K35" s="98" t="str">
        <f t="shared" si="7"/>
        <v/>
      </c>
      <c r="L35" s="141" t="str">
        <f t="shared" ref="L35:N35" si="40">IF(I35="",L34,I35)</f>
        <v>1.1.8</v>
      </c>
      <c r="M35" s="98" t="str">
        <f t="shared" si="40"/>
        <v>Contenidos sensibles</v>
      </c>
      <c r="N35" s="98" t="str">
        <f t="shared" si="40"/>
        <v>Respeto de la intimidad de las personas usuarias de un sitio web a partir de la no publicación de información que pueda menoscabar su honra y perjudicar su imagen personal en Internet.</v>
      </c>
      <c r="O35" s="175" t="s">
        <v>713</v>
      </c>
      <c r="P35" s="176" t="s">
        <v>714</v>
      </c>
      <c r="Q35" s="177"/>
      <c r="R35" s="177"/>
      <c r="S35" s="178">
        <f>COUNTA(P36:P56)</f>
        <v>4</v>
      </c>
      <c r="T35" s="178">
        <f>COUNTIF(U36:U56,"n/a")</f>
        <v>0</v>
      </c>
      <c r="U35" s="94"/>
      <c r="V35" s="94"/>
      <c r="W35" s="94"/>
      <c r="X35" s="94"/>
      <c r="Y35" s="94"/>
      <c r="Z35" s="94"/>
      <c r="AA35" s="94"/>
      <c r="AB35" s="94"/>
      <c r="AC35" s="94"/>
      <c r="AD35" s="94"/>
      <c r="AE35" s="94"/>
      <c r="AF35" s="94"/>
      <c r="AG35" s="94"/>
      <c r="AH35" s="94"/>
      <c r="AI35" s="94"/>
      <c r="AJ35" s="94"/>
      <c r="AK35" s="94"/>
      <c r="AL35" s="94"/>
    </row>
    <row r="36">
      <c r="A36" s="105" t="s">
        <v>661</v>
      </c>
      <c r="B36" s="92" t="str">
        <f t="shared" si="2"/>
        <v>Pregunta</v>
      </c>
      <c r="C36" s="106" t="str">
        <f t="shared" si="9"/>
        <v>1.</v>
      </c>
      <c r="D36" s="106" t="str">
        <f t="shared" si="10"/>
        <v>Contenido y lenguaje claro</v>
      </c>
      <c r="E36"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36" s="141" t="str">
        <f t="shared" si="3"/>
        <v>1.2</v>
      </c>
      <c r="G36" s="92" t="str">
        <f t="shared" si="4"/>
        <v>ESPERABLES</v>
      </c>
      <c r="H36" s="141"/>
      <c r="I36" s="141" t="str">
        <f t="shared" si="5"/>
        <v>1.2.1</v>
      </c>
      <c r="J36" s="98" t="str">
        <f t="shared" si="6"/>
        <v>Claridad</v>
      </c>
      <c r="K36" s="98" t="str">
        <f t="shared" si="7"/>
        <v>Redacción orientada hacia una facilidad de comprensión de los contenidos.</v>
      </c>
      <c r="L36" s="141" t="str">
        <f t="shared" ref="L36:N36" si="41">IF(I36="",L35,I36)</f>
        <v>1.2.1</v>
      </c>
      <c r="M36" s="98" t="str">
        <f t="shared" si="41"/>
        <v>Claridad</v>
      </c>
      <c r="N36" s="98" t="str">
        <f t="shared" si="41"/>
        <v>Redacción orientada hacia una facilidad de comprensión de los contenidos.</v>
      </c>
      <c r="O36" s="152" t="s">
        <v>715</v>
      </c>
      <c r="P36" s="179" t="s">
        <v>716</v>
      </c>
      <c r="Q36" s="153" t="s">
        <v>717</v>
      </c>
      <c r="R36" s="149"/>
      <c r="S36" s="162" t="s">
        <v>718</v>
      </c>
      <c r="T36" s="160" t="s">
        <v>2033</v>
      </c>
      <c r="U36" s="94"/>
      <c r="V36" s="94"/>
      <c r="W36" s="94"/>
      <c r="X36" s="94"/>
      <c r="Y36" s="94"/>
      <c r="Z36" s="94"/>
      <c r="AA36" s="94"/>
      <c r="AB36" s="94"/>
      <c r="AC36" s="94"/>
      <c r="AD36" s="94"/>
      <c r="AE36" s="94"/>
      <c r="AF36" s="94"/>
      <c r="AG36" s="94"/>
      <c r="AH36" s="94"/>
      <c r="AI36" s="94"/>
      <c r="AJ36" s="94"/>
      <c r="AK36" s="94"/>
      <c r="AL36" s="94"/>
    </row>
    <row r="37">
      <c r="A37" s="86" t="s">
        <v>661</v>
      </c>
      <c r="B37" s="95" t="str">
        <f t="shared" si="2"/>
        <v>Pregunta</v>
      </c>
      <c r="C37" s="106" t="str">
        <f t="shared" si="9"/>
        <v>1.</v>
      </c>
      <c r="D37" s="106" t="str">
        <f t="shared" si="10"/>
        <v>Contenido y lenguaje claro</v>
      </c>
      <c r="E37"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37" s="141" t="str">
        <f t="shared" si="3"/>
        <v>1.2</v>
      </c>
      <c r="G37" s="92" t="str">
        <f t="shared" si="4"/>
        <v>ESPERABLES</v>
      </c>
      <c r="H37" s="141"/>
      <c r="I37" s="141" t="str">
        <f t="shared" si="5"/>
        <v/>
      </c>
      <c r="J37" s="98" t="str">
        <f t="shared" si="6"/>
        <v/>
      </c>
      <c r="K37" s="98" t="str">
        <f t="shared" si="7"/>
        <v/>
      </c>
      <c r="L37" s="141" t="str">
        <f t="shared" ref="L37:N37" si="42">IF(I37="",L36,I37)</f>
        <v>1.2.1</v>
      </c>
      <c r="M37" s="98" t="str">
        <f t="shared" si="42"/>
        <v>Claridad</v>
      </c>
      <c r="N37" s="98" t="str">
        <f t="shared" si="42"/>
        <v>Redacción orientada hacia una facilidad de comprensión de los contenidos.</v>
      </c>
      <c r="O37" s="152"/>
      <c r="P37" s="179"/>
      <c r="Q37" s="153"/>
      <c r="R37" s="161"/>
      <c r="S37" s="162" t="s">
        <v>719</v>
      </c>
      <c r="T37" s="160" t="s">
        <v>2033</v>
      </c>
      <c r="U37" s="94"/>
      <c r="V37" s="94"/>
      <c r="W37" s="94"/>
      <c r="X37" s="94"/>
      <c r="Y37" s="94"/>
      <c r="Z37" s="94"/>
      <c r="AA37" s="94"/>
      <c r="AB37" s="94"/>
      <c r="AC37" s="94"/>
      <c r="AD37" s="94"/>
      <c r="AE37" s="94"/>
      <c r="AF37" s="94"/>
      <c r="AG37" s="94"/>
      <c r="AH37" s="94"/>
      <c r="AI37" s="94"/>
      <c r="AJ37" s="94"/>
      <c r="AK37" s="94"/>
      <c r="AL37" s="94"/>
    </row>
    <row r="38">
      <c r="A38" s="86" t="s">
        <v>661</v>
      </c>
      <c r="B38" s="95" t="str">
        <f t="shared" si="2"/>
        <v>Pregunta</v>
      </c>
      <c r="C38" s="106" t="str">
        <f t="shared" si="9"/>
        <v>1.</v>
      </c>
      <c r="D38" s="106" t="str">
        <f t="shared" si="10"/>
        <v>Contenido y lenguaje claro</v>
      </c>
      <c r="E38"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38" s="141" t="str">
        <f t="shared" si="3"/>
        <v>1.2</v>
      </c>
      <c r="G38" s="92" t="str">
        <f t="shared" si="4"/>
        <v>ESPERABLES</v>
      </c>
      <c r="H38" s="141"/>
      <c r="I38" s="141" t="str">
        <f t="shared" si="5"/>
        <v/>
      </c>
      <c r="J38" s="98" t="str">
        <f t="shared" si="6"/>
        <v/>
      </c>
      <c r="K38" s="98" t="str">
        <f t="shared" si="7"/>
        <v/>
      </c>
      <c r="L38" s="141" t="str">
        <f t="shared" ref="L38:N38" si="43">IF(I38="",L37,I38)</f>
        <v>1.2.1</v>
      </c>
      <c r="M38" s="98" t="str">
        <f t="shared" si="43"/>
        <v>Claridad</v>
      </c>
      <c r="N38" s="98" t="str">
        <f t="shared" si="43"/>
        <v>Redacción orientada hacia una facilidad de comprensión de los contenidos.</v>
      </c>
      <c r="O38" s="152"/>
      <c r="P38" s="179"/>
      <c r="Q38" s="153"/>
      <c r="R38" s="161"/>
      <c r="S38" s="162" t="s">
        <v>720</v>
      </c>
      <c r="T38" s="160" t="s">
        <v>2033</v>
      </c>
      <c r="U38" s="94"/>
      <c r="V38" s="94"/>
      <c r="W38" s="94"/>
      <c r="X38" s="94"/>
      <c r="Y38" s="94"/>
      <c r="Z38" s="94"/>
      <c r="AA38" s="94"/>
      <c r="AB38" s="94"/>
      <c r="AC38" s="94"/>
      <c r="AD38" s="94"/>
      <c r="AE38" s="94"/>
      <c r="AF38" s="94"/>
      <c r="AG38" s="94"/>
      <c r="AH38" s="94"/>
      <c r="AI38" s="94"/>
      <c r="AJ38" s="94"/>
      <c r="AK38" s="94"/>
      <c r="AL38" s="94"/>
    </row>
    <row r="39">
      <c r="A39" s="86" t="s">
        <v>661</v>
      </c>
      <c r="B39" s="95" t="str">
        <f t="shared" si="2"/>
        <v>Pregunta</v>
      </c>
      <c r="C39" s="106" t="str">
        <f t="shared" si="9"/>
        <v>1.</v>
      </c>
      <c r="D39" s="106" t="str">
        <f t="shared" si="10"/>
        <v>Contenido y lenguaje claro</v>
      </c>
      <c r="E39"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39" s="141" t="str">
        <f t="shared" si="3"/>
        <v>1.2</v>
      </c>
      <c r="G39" s="92" t="str">
        <f t="shared" si="4"/>
        <v>ESPERABLES</v>
      </c>
      <c r="H39" s="141"/>
      <c r="I39" s="141" t="str">
        <f t="shared" si="5"/>
        <v/>
      </c>
      <c r="J39" s="98" t="str">
        <f t="shared" si="6"/>
        <v/>
      </c>
      <c r="K39" s="98" t="str">
        <f t="shared" si="7"/>
        <v/>
      </c>
      <c r="L39" s="141" t="str">
        <f t="shared" ref="L39:N39" si="44">IF(I39="",L38,I39)</f>
        <v>1.2.1</v>
      </c>
      <c r="M39" s="98" t="str">
        <f t="shared" si="44"/>
        <v>Claridad</v>
      </c>
      <c r="N39" s="98" t="str">
        <f t="shared" si="44"/>
        <v>Redacción orientada hacia una facilidad de comprensión de los contenidos.</v>
      </c>
      <c r="O39" s="152"/>
      <c r="P39" s="179"/>
      <c r="Q39" s="153"/>
      <c r="R39" s="161"/>
      <c r="S39" s="162" t="s">
        <v>721</v>
      </c>
      <c r="T39" s="160" t="s">
        <v>2033</v>
      </c>
      <c r="U39" s="94"/>
      <c r="V39" s="94"/>
      <c r="W39" s="94"/>
      <c r="X39" s="94"/>
      <c r="Y39" s="94"/>
      <c r="Z39" s="94"/>
      <c r="AA39" s="94"/>
      <c r="AB39" s="94"/>
      <c r="AC39" s="94"/>
      <c r="AD39" s="94"/>
      <c r="AE39" s="94"/>
      <c r="AF39" s="94"/>
      <c r="AG39" s="94"/>
      <c r="AH39" s="94"/>
      <c r="AI39" s="94"/>
      <c r="AJ39" s="94"/>
      <c r="AK39" s="94"/>
      <c r="AL39" s="94"/>
    </row>
    <row r="40">
      <c r="A40" s="86" t="s">
        <v>661</v>
      </c>
      <c r="B40" s="95" t="str">
        <f t="shared" si="2"/>
        <v>Pregunta</v>
      </c>
      <c r="C40" s="106" t="str">
        <f t="shared" si="9"/>
        <v>1.</v>
      </c>
      <c r="D40" s="106" t="str">
        <f t="shared" si="10"/>
        <v>Contenido y lenguaje claro</v>
      </c>
      <c r="E40"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40" s="141" t="str">
        <f t="shared" si="3"/>
        <v>1.2</v>
      </c>
      <c r="G40" s="92" t="str">
        <f t="shared" si="4"/>
        <v>ESPERABLES</v>
      </c>
      <c r="H40" s="141"/>
      <c r="I40" s="141" t="str">
        <f t="shared" si="5"/>
        <v/>
      </c>
      <c r="J40" s="98" t="str">
        <f t="shared" si="6"/>
        <v/>
      </c>
      <c r="K40" s="98" t="str">
        <f t="shared" si="7"/>
        <v/>
      </c>
      <c r="L40" s="141" t="str">
        <f t="shared" ref="L40:N40" si="45">IF(I40="",L39,I40)</f>
        <v>1.2.1</v>
      </c>
      <c r="M40" s="98" t="str">
        <f t="shared" si="45"/>
        <v>Claridad</v>
      </c>
      <c r="N40" s="98" t="str">
        <f t="shared" si="45"/>
        <v>Redacción orientada hacia una facilidad de comprensión de los contenidos.</v>
      </c>
      <c r="O40" s="142"/>
      <c r="P40" s="145"/>
      <c r="Q40" s="143"/>
      <c r="R40" s="161"/>
      <c r="S40" s="169" t="s">
        <v>2041</v>
      </c>
      <c r="T40" s="164" t="s">
        <v>2033</v>
      </c>
      <c r="U40" s="94"/>
      <c r="V40" s="94"/>
      <c r="W40" s="94"/>
      <c r="X40" s="94"/>
      <c r="Y40" s="94"/>
      <c r="Z40" s="94"/>
      <c r="AA40" s="94"/>
      <c r="AB40" s="94"/>
      <c r="AC40" s="94"/>
      <c r="AD40" s="94"/>
      <c r="AE40" s="94"/>
      <c r="AF40" s="94"/>
      <c r="AG40" s="94"/>
      <c r="AH40" s="94"/>
      <c r="AI40" s="94"/>
      <c r="AJ40" s="94"/>
      <c r="AK40" s="94"/>
      <c r="AL40" s="94"/>
    </row>
    <row r="41">
      <c r="A41" s="105" t="s">
        <v>661</v>
      </c>
      <c r="B41" s="92" t="str">
        <f t="shared" si="2"/>
        <v>Pregunta</v>
      </c>
      <c r="C41" s="106" t="str">
        <f t="shared" si="9"/>
        <v>1.</v>
      </c>
      <c r="D41" s="106" t="str">
        <f t="shared" si="10"/>
        <v>Contenido y lenguaje claro</v>
      </c>
      <c r="E41"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41" s="141" t="str">
        <f t="shared" si="3"/>
        <v>1.2</v>
      </c>
      <c r="G41" s="92" t="str">
        <f t="shared" si="4"/>
        <v>ESPERABLES</v>
      </c>
      <c r="H41" s="141"/>
      <c r="I41" s="141" t="str">
        <f t="shared" si="5"/>
        <v>1.2.2</v>
      </c>
      <c r="J41" s="98" t="str">
        <f t="shared" si="6"/>
        <v>Concisión</v>
      </c>
      <c r="K41" s="98" t="str">
        <f t="shared" si="7"/>
        <v>Capacidad de los sitios de presentar sus contenidos de manera breve.</v>
      </c>
      <c r="L41" s="141" t="str">
        <f t="shared" ref="L41:N41" si="46">IF(I41="",L40,I41)</f>
        <v>1.2.2</v>
      </c>
      <c r="M41" s="98" t="str">
        <f t="shared" si="46"/>
        <v>Concisión</v>
      </c>
      <c r="N41" s="98" t="str">
        <f t="shared" si="46"/>
        <v>Capacidad de los sitios de presentar sus contenidos de manera breve.</v>
      </c>
      <c r="O41" s="147" t="s">
        <v>723</v>
      </c>
      <c r="P41" s="148" t="s">
        <v>724</v>
      </c>
      <c r="Q41" s="148" t="s">
        <v>725</v>
      </c>
      <c r="R41" s="158"/>
      <c r="S41" s="170" t="s">
        <v>726</v>
      </c>
      <c r="T41" s="160" t="s">
        <v>2033</v>
      </c>
      <c r="U41" s="94"/>
      <c r="V41" s="94"/>
      <c r="W41" s="94"/>
      <c r="X41" s="94"/>
      <c r="Y41" s="94"/>
      <c r="Z41" s="94"/>
      <c r="AA41" s="94"/>
      <c r="AB41" s="94"/>
      <c r="AC41" s="94"/>
      <c r="AD41" s="94"/>
      <c r="AE41" s="94"/>
      <c r="AF41" s="94"/>
      <c r="AG41" s="94"/>
      <c r="AH41" s="94"/>
      <c r="AI41" s="94"/>
      <c r="AJ41" s="94"/>
      <c r="AK41" s="94"/>
      <c r="AL41" s="94"/>
    </row>
    <row r="42">
      <c r="A42" s="86" t="s">
        <v>661</v>
      </c>
      <c r="B42" s="95" t="str">
        <f t="shared" si="2"/>
        <v>Pregunta</v>
      </c>
      <c r="C42" s="106" t="str">
        <f t="shared" si="9"/>
        <v>1.</v>
      </c>
      <c r="D42" s="106" t="str">
        <f t="shared" si="10"/>
        <v>Contenido y lenguaje claro</v>
      </c>
      <c r="E42"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42" s="141" t="str">
        <f t="shared" si="3"/>
        <v>1.2</v>
      </c>
      <c r="G42" s="92" t="str">
        <f t="shared" si="4"/>
        <v>ESPERABLES</v>
      </c>
      <c r="H42" s="141"/>
      <c r="I42" s="141" t="str">
        <f t="shared" si="5"/>
        <v/>
      </c>
      <c r="J42" s="98" t="str">
        <f t="shared" si="6"/>
        <v/>
      </c>
      <c r="K42" s="98" t="str">
        <f t="shared" si="7"/>
        <v/>
      </c>
      <c r="L42" s="141" t="str">
        <f t="shared" ref="L42:N42" si="47">IF(I42="",L41,I42)</f>
        <v>1.2.2</v>
      </c>
      <c r="M42" s="98" t="str">
        <f t="shared" si="47"/>
        <v>Concisión</v>
      </c>
      <c r="N42" s="98" t="str">
        <f t="shared" si="47"/>
        <v>Capacidad de los sitios de presentar sus contenidos de manera breve.</v>
      </c>
      <c r="O42" s="152"/>
      <c r="P42" s="153"/>
      <c r="Q42" s="153"/>
      <c r="R42" s="161"/>
      <c r="S42" s="162" t="s">
        <v>727</v>
      </c>
      <c r="T42" s="160" t="s">
        <v>2033</v>
      </c>
      <c r="U42" s="94"/>
      <c r="V42" s="94"/>
      <c r="W42" s="94"/>
      <c r="X42" s="94"/>
      <c r="Y42" s="94"/>
      <c r="Z42" s="94"/>
      <c r="AA42" s="94"/>
      <c r="AB42" s="94"/>
      <c r="AC42" s="94"/>
      <c r="AD42" s="94"/>
      <c r="AE42" s="94"/>
      <c r="AF42" s="94"/>
      <c r="AG42" s="94"/>
      <c r="AH42" s="94"/>
      <c r="AI42" s="94"/>
      <c r="AJ42" s="94"/>
      <c r="AK42" s="94"/>
      <c r="AL42" s="94"/>
    </row>
    <row r="43">
      <c r="A43" s="86" t="s">
        <v>661</v>
      </c>
      <c r="B43" s="95" t="str">
        <f t="shared" si="2"/>
        <v>Pregunta</v>
      </c>
      <c r="C43" s="106" t="str">
        <f t="shared" si="9"/>
        <v>1.</v>
      </c>
      <c r="D43" s="106" t="str">
        <f t="shared" si="10"/>
        <v>Contenido y lenguaje claro</v>
      </c>
      <c r="E43"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43" s="141" t="str">
        <f t="shared" si="3"/>
        <v>1.2</v>
      </c>
      <c r="G43" s="92" t="str">
        <f t="shared" si="4"/>
        <v>ESPERABLES</v>
      </c>
      <c r="H43" s="141"/>
      <c r="I43" s="141" t="str">
        <f t="shared" si="5"/>
        <v/>
      </c>
      <c r="J43" s="98" t="str">
        <f t="shared" si="6"/>
        <v/>
      </c>
      <c r="K43" s="98" t="str">
        <f t="shared" si="7"/>
        <v/>
      </c>
      <c r="L43" s="141" t="str">
        <f t="shared" ref="L43:N43" si="48">IF(I43="",L42,I43)</f>
        <v>1.2.2</v>
      </c>
      <c r="M43" s="98" t="str">
        <f t="shared" si="48"/>
        <v>Concisión</v>
      </c>
      <c r="N43" s="98" t="str">
        <f t="shared" si="48"/>
        <v>Capacidad de los sitios de presentar sus contenidos de manera breve.</v>
      </c>
      <c r="O43" s="152"/>
      <c r="P43" s="153"/>
      <c r="Q43" s="153"/>
      <c r="R43" s="161"/>
      <c r="S43" s="162" t="s">
        <v>728</v>
      </c>
      <c r="T43" s="160" t="s">
        <v>2033</v>
      </c>
      <c r="U43" s="94"/>
      <c r="V43" s="94"/>
      <c r="W43" s="94"/>
      <c r="X43" s="94"/>
      <c r="Y43" s="94"/>
      <c r="Z43" s="94"/>
      <c r="AA43" s="94"/>
      <c r="AB43" s="94"/>
      <c r="AC43" s="94"/>
      <c r="AD43" s="94"/>
      <c r="AE43" s="94"/>
      <c r="AF43" s="94"/>
      <c r="AG43" s="94"/>
      <c r="AH43" s="94"/>
      <c r="AI43" s="94"/>
      <c r="AJ43" s="94"/>
      <c r="AK43" s="94"/>
      <c r="AL43" s="94"/>
    </row>
    <row r="44">
      <c r="A44" s="86" t="s">
        <v>661</v>
      </c>
      <c r="B44" s="95" t="str">
        <f t="shared" si="2"/>
        <v>Pregunta</v>
      </c>
      <c r="C44" s="106" t="str">
        <f t="shared" si="9"/>
        <v>1.</v>
      </c>
      <c r="D44" s="106" t="str">
        <f t="shared" si="10"/>
        <v>Contenido y lenguaje claro</v>
      </c>
      <c r="E44"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44" s="141" t="str">
        <f t="shared" si="3"/>
        <v>1.2</v>
      </c>
      <c r="G44" s="92" t="str">
        <f t="shared" si="4"/>
        <v>ESPERABLES</v>
      </c>
      <c r="H44" s="141"/>
      <c r="I44" s="141" t="str">
        <f t="shared" si="5"/>
        <v/>
      </c>
      <c r="J44" s="98" t="str">
        <f t="shared" si="6"/>
        <v/>
      </c>
      <c r="K44" s="98" t="str">
        <f t="shared" si="7"/>
        <v/>
      </c>
      <c r="L44" s="141" t="str">
        <f t="shared" ref="L44:N44" si="49">IF(I44="",L43,I44)</f>
        <v>1.2.2</v>
      </c>
      <c r="M44" s="98" t="str">
        <f t="shared" si="49"/>
        <v>Concisión</v>
      </c>
      <c r="N44" s="98" t="str">
        <f t="shared" si="49"/>
        <v>Capacidad de los sitios de presentar sus contenidos de manera breve.</v>
      </c>
      <c r="O44" s="152"/>
      <c r="P44" s="153"/>
      <c r="Q44" s="153"/>
      <c r="R44" s="161"/>
      <c r="S44" s="162" t="s">
        <v>729</v>
      </c>
      <c r="T44" s="160" t="s">
        <v>2033</v>
      </c>
      <c r="U44" s="94"/>
      <c r="V44" s="94"/>
      <c r="W44" s="94"/>
      <c r="X44" s="94"/>
      <c r="Y44" s="94"/>
      <c r="Z44" s="94"/>
      <c r="AA44" s="94"/>
      <c r="AB44" s="94"/>
      <c r="AC44" s="94"/>
      <c r="AD44" s="94"/>
      <c r="AE44" s="94"/>
      <c r="AF44" s="94"/>
      <c r="AG44" s="94"/>
      <c r="AH44" s="94"/>
      <c r="AI44" s="94"/>
      <c r="AJ44" s="94"/>
      <c r="AK44" s="94"/>
      <c r="AL44" s="94"/>
    </row>
    <row r="45">
      <c r="A45" s="86" t="s">
        <v>661</v>
      </c>
      <c r="B45" s="95" t="str">
        <f t="shared" si="2"/>
        <v>Pregunta</v>
      </c>
      <c r="C45" s="106" t="str">
        <f t="shared" si="9"/>
        <v>1.</v>
      </c>
      <c r="D45" s="106" t="str">
        <f t="shared" si="10"/>
        <v>Contenido y lenguaje claro</v>
      </c>
      <c r="E45"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45" s="141" t="str">
        <f t="shared" si="3"/>
        <v>1.2</v>
      </c>
      <c r="G45" s="92" t="str">
        <f t="shared" si="4"/>
        <v>ESPERABLES</v>
      </c>
      <c r="H45" s="141"/>
      <c r="I45" s="141" t="str">
        <f t="shared" si="5"/>
        <v/>
      </c>
      <c r="J45" s="98" t="str">
        <f t="shared" si="6"/>
        <v/>
      </c>
      <c r="K45" s="98" t="str">
        <f t="shared" si="7"/>
        <v/>
      </c>
      <c r="L45" s="141" t="str">
        <f t="shared" ref="L45:N45" si="50">IF(I45="",L44,I45)</f>
        <v>1.2.2</v>
      </c>
      <c r="M45" s="98" t="str">
        <f t="shared" si="50"/>
        <v>Concisión</v>
      </c>
      <c r="N45" s="98" t="str">
        <f t="shared" si="50"/>
        <v>Capacidad de los sitios de presentar sus contenidos de manera breve.</v>
      </c>
      <c r="O45" s="142"/>
      <c r="P45" s="143"/>
      <c r="Q45" s="143"/>
      <c r="R45" s="168"/>
      <c r="S45" s="169" t="s">
        <v>2042</v>
      </c>
      <c r="T45" s="164" t="s">
        <v>2033</v>
      </c>
      <c r="U45" s="94"/>
      <c r="V45" s="94"/>
      <c r="W45" s="94"/>
      <c r="X45" s="94"/>
      <c r="Y45" s="94"/>
      <c r="Z45" s="94"/>
      <c r="AA45" s="94"/>
      <c r="AB45" s="94"/>
      <c r="AC45" s="94"/>
      <c r="AD45" s="94"/>
      <c r="AE45" s="94"/>
      <c r="AF45" s="94"/>
      <c r="AG45" s="94"/>
      <c r="AH45" s="94"/>
      <c r="AI45" s="94"/>
      <c r="AJ45" s="94"/>
      <c r="AK45" s="94"/>
      <c r="AL45" s="94"/>
    </row>
    <row r="46">
      <c r="A46" s="105" t="s">
        <v>661</v>
      </c>
      <c r="B46" s="92" t="str">
        <f t="shared" si="2"/>
        <v>Pregunta</v>
      </c>
      <c r="C46" s="106" t="str">
        <f t="shared" si="9"/>
        <v>1.</v>
      </c>
      <c r="D46" s="106" t="str">
        <f t="shared" si="10"/>
        <v>Contenido y lenguaje claro</v>
      </c>
      <c r="E46"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46" s="141" t="str">
        <f t="shared" si="3"/>
        <v>1.2</v>
      </c>
      <c r="G46" s="92" t="str">
        <f t="shared" si="4"/>
        <v>ESPERABLES</v>
      </c>
      <c r="H46" s="141"/>
      <c r="I46" s="141" t="str">
        <f t="shared" si="5"/>
        <v>1.2.3</v>
      </c>
      <c r="J46" s="98" t="str">
        <f t="shared" si="6"/>
        <v>Legibilidad</v>
      </c>
      <c r="K46" s="98" t="str">
        <f t="shared" si="7"/>
        <v>Facilidad de lectura de los contenidos publicados.</v>
      </c>
      <c r="L46" s="141" t="str">
        <f t="shared" ref="L46:N46" si="51">IF(I46="",L45,I46)</f>
        <v>1.2.3</v>
      </c>
      <c r="M46" s="98" t="str">
        <f t="shared" si="51"/>
        <v>Legibilidad</v>
      </c>
      <c r="N46" s="98" t="str">
        <f t="shared" si="51"/>
        <v>Facilidad de lectura de los contenidos publicados.</v>
      </c>
      <c r="O46" s="147" t="s">
        <v>731</v>
      </c>
      <c r="P46" s="148" t="s">
        <v>732</v>
      </c>
      <c r="Q46" s="148" t="s">
        <v>733</v>
      </c>
      <c r="R46" s="158"/>
      <c r="S46" s="150" t="s">
        <v>734</v>
      </c>
      <c r="T46" s="160" t="s">
        <v>2033</v>
      </c>
      <c r="U46" s="94"/>
      <c r="V46" s="94"/>
      <c r="W46" s="94"/>
      <c r="X46" s="94"/>
      <c r="Y46" s="94"/>
      <c r="Z46" s="94"/>
      <c r="AA46" s="94"/>
      <c r="AB46" s="94"/>
      <c r="AC46" s="94"/>
      <c r="AD46" s="94"/>
      <c r="AE46" s="94"/>
      <c r="AF46" s="94"/>
      <c r="AG46" s="94"/>
      <c r="AH46" s="94"/>
      <c r="AI46" s="94"/>
      <c r="AJ46" s="94"/>
      <c r="AK46" s="94"/>
      <c r="AL46" s="94"/>
    </row>
    <row r="47">
      <c r="A47" s="86" t="s">
        <v>661</v>
      </c>
      <c r="B47" s="95" t="str">
        <f t="shared" si="2"/>
        <v>Pregunta</v>
      </c>
      <c r="C47" s="106" t="str">
        <f t="shared" si="9"/>
        <v>1.</v>
      </c>
      <c r="D47" s="106" t="str">
        <f t="shared" si="10"/>
        <v>Contenido y lenguaje claro</v>
      </c>
      <c r="E47"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47" s="141" t="str">
        <f t="shared" si="3"/>
        <v>1.2</v>
      </c>
      <c r="G47" s="92" t="str">
        <f t="shared" si="4"/>
        <v>ESPERABLES</v>
      </c>
      <c r="H47" s="141"/>
      <c r="I47" s="141" t="str">
        <f t="shared" si="5"/>
        <v/>
      </c>
      <c r="J47" s="98" t="str">
        <f t="shared" si="6"/>
        <v/>
      </c>
      <c r="K47" s="98" t="str">
        <f t="shared" si="7"/>
        <v/>
      </c>
      <c r="L47" s="141" t="str">
        <f t="shared" ref="L47:N47" si="52">IF(I47="",L46,I47)</f>
        <v>1.2.3</v>
      </c>
      <c r="M47" s="98" t="str">
        <f t="shared" si="52"/>
        <v>Legibilidad</v>
      </c>
      <c r="N47" s="98" t="str">
        <f t="shared" si="52"/>
        <v>Facilidad de lectura de los contenidos publicados.</v>
      </c>
      <c r="O47" s="152"/>
      <c r="P47" s="153"/>
      <c r="Q47" s="153"/>
      <c r="R47" s="161"/>
      <c r="S47" s="180" t="s">
        <v>735</v>
      </c>
      <c r="T47" s="160" t="s">
        <v>2033</v>
      </c>
      <c r="U47" s="94"/>
      <c r="V47" s="94"/>
      <c r="W47" s="94"/>
      <c r="X47" s="94"/>
      <c r="Y47" s="94"/>
      <c r="Z47" s="94"/>
      <c r="AA47" s="94"/>
      <c r="AB47" s="94"/>
      <c r="AC47" s="94"/>
      <c r="AD47" s="94"/>
      <c r="AE47" s="94"/>
      <c r="AF47" s="94"/>
      <c r="AG47" s="94"/>
      <c r="AH47" s="94"/>
      <c r="AI47" s="94"/>
      <c r="AJ47" s="94"/>
      <c r="AK47" s="94"/>
      <c r="AL47" s="94"/>
    </row>
    <row r="48">
      <c r="A48" s="86" t="s">
        <v>661</v>
      </c>
      <c r="B48" s="95" t="str">
        <f t="shared" si="2"/>
        <v>Pregunta</v>
      </c>
      <c r="C48" s="106" t="str">
        <f t="shared" si="9"/>
        <v>1.</v>
      </c>
      <c r="D48" s="106" t="str">
        <f t="shared" si="10"/>
        <v>Contenido y lenguaje claro</v>
      </c>
      <c r="E48"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48" s="141" t="str">
        <f t="shared" si="3"/>
        <v>1.2</v>
      </c>
      <c r="G48" s="92" t="str">
        <f t="shared" si="4"/>
        <v>ESPERABLES</v>
      </c>
      <c r="H48" s="141"/>
      <c r="I48" s="141" t="str">
        <f t="shared" si="5"/>
        <v/>
      </c>
      <c r="J48" s="98" t="str">
        <f t="shared" si="6"/>
        <v/>
      </c>
      <c r="K48" s="98" t="str">
        <f t="shared" si="7"/>
        <v/>
      </c>
      <c r="L48" s="141" t="str">
        <f t="shared" ref="L48:N48" si="53">IF(I48="",L47,I48)</f>
        <v>1.2.3</v>
      </c>
      <c r="M48" s="98" t="str">
        <f t="shared" si="53"/>
        <v>Legibilidad</v>
      </c>
      <c r="N48" s="98" t="str">
        <f t="shared" si="53"/>
        <v>Facilidad de lectura de los contenidos publicados.</v>
      </c>
      <c r="O48" s="142"/>
      <c r="P48" s="143"/>
      <c r="Q48" s="143"/>
      <c r="R48" s="168"/>
      <c r="S48" s="169" t="s">
        <v>736</v>
      </c>
      <c r="T48" s="164" t="s">
        <v>2033</v>
      </c>
      <c r="U48" s="94"/>
      <c r="V48" s="94"/>
      <c r="W48" s="94"/>
      <c r="X48" s="94"/>
      <c r="Y48" s="94"/>
      <c r="Z48" s="94"/>
      <c r="AA48" s="94"/>
      <c r="AB48" s="94"/>
      <c r="AC48" s="94"/>
      <c r="AD48" s="94"/>
      <c r="AE48" s="94"/>
      <c r="AF48" s="94"/>
      <c r="AG48" s="94"/>
      <c r="AH48" s="94"/>
      <c r="AI48" s="94"/>
      <c r="AJ48" s="94"/>
      <c r="AK48" s="94"/>
      <c r="AL48" s="94"/>
    </row>
    <row r="49">
      <c r="A49" s="105" t="s">
        <v>661</v>
      </c>
      <c r="B49" s="92" t="str">
        <f t="shared" si="2"/>
        <v>Pregunta</v>
      </c>
      <c r="C49" s="106" t="str">
        <f t="shared" si="9"/>
        <v>1.</v>
      </c>
      <c r="D49" s="106" t="str">
        <f t="shared" si="10"/>
        <v>Contenido y lenguaje claro</v>
      </c>
      <c r="E49"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49" s="141" t="str">
        <f t="shared" si="3"/>
        <v>1.2</v>
      </c>
      <c r="G49" s="92" t="str">
        <f t="shared" si="4"/>
        <v>ESPERABLES</v>
      </c>
      <c r="H49" s="141"/>
      <c r="I49" s="141" t="str">
        <f t="shared" si="5"/>
        <v>1.2.4</v>
      </c>
      <c r="J49" s="98" t="str">
        <f t="shared" si="6"/>
        <v>Escritura para la web</v>
      </c>
      <c r="K49" s="98" t="str">
        <f t="shared" si="7"/>
        <v>Adaptación de la redacción optimizada para su lectoría en una interfaz digital.</v>
      </c>
      <c r="L49" s="141" t="str">
        <f t="shared" ref="L49:N49" si="54">IF(I49="",L48,I49)</f>
        <v>1.2.4</v>
      </c>
      <c r="M49" s="98" t="str">
        <f t="shared" si="54"/>
        <v>Escritura para la web</v>
      </c>
      <c r="N49" s="98" t="str">
        <f t="shared" si="54"/>
        <v>Adaptación de la redacción optimizada para su lectoría en una interfaz digital.</v>
      </c>
      <c r="O49" s="147" t="s">
        <v>737</v>
      </c>
      <c r="P49" s="148" t="s">
        <v>738</v>
      </c>
      <c r="Q49" s="148" t="s">
        <v>739</v>
      </c>
      <c r="R49" s="158"/>
      <c r="S49" s="170" t="s">
        <v>740</v>
      </c>
      <c r="T49" s="160" t="s">
        <v>2033</v>
      </c>
      <c r="U49" s="94"/>
      <c r="V49" s="94"/>
      <c r="W49" s="94"/>
      <c r="X49" s="94"/>
      <c r="Y49" s="94"/>
      <c r="Z49" s="94"/>
      <c r="AA49" s="94"/>
      <c r="AB49" s="94"/>
      <c r="AC49" s="94"/>
      <c r="AD49" s="94"/>
      <c r="AE49" s="94"/>
      <c r="AF49" s="94"/>
      <c r="AG49" s="94"/>
      <c r="AH49" s="94"/>
      <c r="AI49" s="94"/>
      <c r="AJ49" s="94"/>
      <c r="AK49" s="94"/>
      <c r="AL49" s="94"/>
    </row>
    <row r="50">
      <c r="A50" s="86" t="s">
        <v>661</v>
      </c>
      <c r="B50" s="95" t="str">
        <f t="shared" si="2"/>
        <v>Pregunta</v>
      </c>
      <c r="C50" s="106" t="str">
        <f t="shared" si="9"/>
        <v>1.</v>
      </c>
      <c r="D50" s="106" t="str">
        <f t="shared" si="10"/>
        <v>Contenido y lenguaje claro</v>
      </c>
      <c r="E50"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0" s="141" t="str">
        <f t="shared" si="3"/>
        <v>1.2</v>
      </c>
      <c r="G50" s="92" t="str">
        <f t="shared" si="4"/>
        <v>ESPERABLES</v>
      </c>
      <c r="H50" s="141"/>
      <c r="I50" s="141" t="str">
        <f t="shared" si="5"/>
        <v/>
      </c>
      <c r="J50" s="98" t="str">
        <f t="shared" si="6"/>
        <v/>
      </c>
      <c r="K50" s="98" t="str">
        <f t="shared" si="7"/>
        <v/>
      </c>
      <c r="L50" s="141" t="str">
        <f t="shared" ref="L50:N50" si="55">IF(I50="",L49,I50)</f>
        <v>1.2.4</v>
      </c>
      <c r="M50" s="98" t="str">
        <f t="shared" si="55"/>
        <v>Escritura para la web</v>
      </c>
      <c r="N50" s="98" t="str">
        <f t="shared" si="55"/>
        <v>Adaptación de la redacción optimizada para su lectoría en una interfaz digital.</v>
      </c>
      <c r="O50" s="152"/>
      <c r="P50" s="153"/>
      <c r="Q50" s="153"/>
      <c r="R50" s="149"/>
      <c r="S50" s="162" t="s">
        <v>741</v>
      </c>
      <c r="T50" s="160" t="s">
        <v>2033</v>
      </c>
      <c r="U50" s="94"/>
      <c r="V50" s="94"/>
      <c r="W50" s="94"/>
      <c r="X50" s="94"/>
      <c r="Y50" s="94"/>
      <c r="Z50" s="94"/>
      <c r="AA50" s="94"/>
      <c r="AB50" s="94"/>
      <c r="AC50" s="94"/>
      <c r="AD50" s="94"/>
      <c r="AE50" s="94"/>
      <c r="AF50" s="94"/>
      <c r="AG50" s="94"/>
      <c r="AH50" s="94"/>
      <c r="AI50" s="94"/>
      <c r="AJ50" s="94"/>
      <c r="AK50" s="94"/>
      <c r="AL50" s="94"/>
    </row>
    <row r="51">
      <c r="A51" s="86" t="s">
        <v>661</v>
      </c>
      <c r="B51" s="95" t="str">
        <f t="shared" si="2"/>
        <v>Pregunta</v>
      </c>
      <c r="C51" s="106" t="str">
        <f t="shared" si="9"/>
        <v>1.</v>
      </c>
      <c r="D51" s="106" t="str">
        <f t="shared" si="10"/>
        <v>Contenido y lenguaje claro</v>
      </c>
      <c r="E51"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1" s="141" t="str">
        <f t="shared" si="3"/>
        <v>1.2</v>
      </c>
      <c r="G51" s="92" t="str">
        <f t="shared" si="4"/>
        <v>ESPERABLES</v>
      </c>
      <c r="H51" s="141"/>
      <c r="I51" s="141" t="str">
        <f t="shared" si="5"/>
        <v/>
      </c>
      <c r="J51" s="98" t="str">
        <f t="shared" si="6"/>
        <v/>
      </c>
      <c r="K51" s="98" t="str">
        <f t="shared" si="7"/>
        <v/>
      </c>
      <c r="L51" s="141" t="str">
        <f t="shared" ref="L51:N51" si="56">IF(I51="",L50,I51)</f>
        <v>1.2.4</v>
      </c>
      <c r="M51" s="98" t="str">
        <f t="shared" si="56"/>
        <v>Escritura para la web</v>
      </c>
      <c r="N51" s="98" t="str">
        <f t="shared" si="56"/>
        <v>Adaptación de la redacción optimizada para su lectoría en una interfaz digital.</v>
      </c>
      <c r="O51" s="152"/>
      <c r="P51" s="153"/>
      <c r="Q51" s="153"/>
      <c r="R51" s="149"/>
      <c r="S51" s="162" t="s">
        <v>742</v>
      </c>
      <c r="T51" s="160" t="s">
        <v>2033</v>
      </c>
      <c r="U51" s="94"/>
      <c r="V51" s="94"/>
      <c r="W51" s="94"/>
      <c r="X51" s="94"/>
      <c r="Y51" s="94"/>
      <c r="Z51" s="94"/>
      <c r="AA51" s="94"/>
      <c r="AB51" s="94"/>
      <c r="AC51" s="94"/>
      <c r="AD51" s="94"/>
      <c r="AE51" s="94"/>
      <c r="AF51" s="94"/>
      <c r="AG51" s="94"/>
      <c r="AH51" s="94"/>
      <c r="AI51" s="94"/>
      <c r="AJ51" s="94"/>
      <c r="AK51" s="94"/>
      <c r="AL51" s="94"/>
    </row>
    <row r="52">
      <c r="A52" s="86" t="s">
        <v>661</v>
      </c>
      <c r="B52" s="95" t="str">
        <f t="shared" si="2"/>
        <v>Pregunta</v>
      </c>
      <c r="C52" s="106" t="str">
        <f t="shared" si="9"/>
        <v>1.</v>
      </c>
      <c r="D52" s="106" t="str">
        <f t="shared" si="10"/>
        <v>Contenido y lenguaje claro</v>
      </c>
      <c r="E52"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2" s="141" t="str">
        <f t="shared" si="3"/>
        <v>1.2</v>
      </c>
      <c r="G52" s="92" t="str">
        <f t="shared" si="4"/>
        <v>ESPERABLES</v>
      </c>
      <c r="H52" s="141"/>
      <c r="I52" s="141" t="str">
        <f t="shared" si="5"/>
        <v/>
      </c>
      <c r="J52" s="98" t="str">
        <f t="shared" si="6"/>
        <v/>
      </c>
      <c r="K52" s="98" t="str">
        <f t="shared" si="7"/>
        <v/>
      </c>
      <c r="L52" s="141" t="str">
        <f t="shared" ref="L52:N52" si="57">IF(I52="",L51,I52)</f>
        <v>1.2.4</v>
      </c>
      <c r="M52" s="98" t="str">
        <f t="shared" si="57"/>
        <v>Escritura para la web</v>
      </c>
      <c r="N52" s="98" t="str">
        <f t="shared" si="57"/>
        <v>Adaptación de la redacción optimizada para su lectoría en una interfaz digital.</v>
      </c>
      <c r="O52" s="152"/>
      <c r="P52" s="153"/>
      <c r="Q52" s="153"/>
      <c r="R52" s="149"/>
      <c r="S52" s="162" t="s">
        <v>743</v>
      </c>
      <c r="T52" s="160" t="s">
        <v>2033</v>
      </c>
      <c r="U52" s="94"/>
      <c r="V52" s="94"/>
      <c r="W52" s="94"/>
      <c r="X52" s="94"/>
      <c r="Y52" s="94"/>
      <c r="Z52" s="94"/>
      <c r="AA52" s="94"/>
      <c r="AB52" s="94"/>
      <c r="AC52" s="94"/>
      <c r="AD52" s="94"/>
      <c r="AE52" s="94"/>
      <c r="AF52" s="94"/>
      <c r="AG52" s="94"/>
      <c r="AH52" s="94"/>
      <c r="AI52" s="94"/>
      <c r="AJ52" s="94"/>
      <c r="AK52" s="94"/>
      <c r="AL52" s="94"/>
    </row>
    <row r="53">
      <c r="A53" s="86" t="s">
        <v>661</v>
      </c>
      <c r="B53" s="95" t="str">
        <f t="shared" si="2"/>
        <v>Pregunta</v>
      </c>
      <c r="C53" s="106" t="str">
        <f t="shared" si="9"/>
        <v>1.</v>
      </c>
      <c r="D53" s="106" t="str">
        <f t="shared" si="10"/>
        <v>Contenido y lenguaje claro</v>
      </c>
      <c r="E53"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3" s="141" t="str">
        <f t="shared" si="3"/>
        <v>1.2</v>
      </c>
      <c r="G53" s="92" t="str">
        <f t="shared" si="4"/>
        <v>ESPERABLES</v>
      </c>
      <c r="H53" s="141"/>
      <c r="I53" s="141" t="str">
        <f t="shared" si="5"/>
        <v/>
      </c>
      <c r="J53" s="98" t="str">
        <f t="shared" si="6"/>
        <v/>
      </c>
      <c r="K53" s="98" t="str">
        <f t="shared" si="7"/>
        <v/>
      </c>
      <c r="L53" s="141" t="str">
        <f t="shared" ref="L53:N53" si="58">IF(I53="",L52,I53)</f>
        <v>1.2.4</v>
      </c>
      <c r="M53" s="98" t="str">
        <f t="shared" si="58"/>
        <v>Escritura para la web</v>
      </c>
      <c r="N53" s="98" t="str">
        <f t="shared" si="58"/>
        <v>Adaptación de la redacción optimizada para su lectoría en una interfaz digital.</v>
      </c>
      <c r="O53" s="152"/>
      <c r="P53" s="153"/>
      <c r="Q53" s="153"/>
      <c r="R53" s="149"/>
      <c r="S53" s="162" t="s">
        <v>744</v>
      </c>
      <c r="T53" s="160" t="s">
        <v>2033</v>
      </c>
      <c r="U53" s="94"/>
      <c r="V53" s="94"/>
      <c r="W53" s="94"/>
      <c r="X53" s="94"/>
      <c r="Y53" s="94"/>
      <c r="Z53" s="94"/>
      <c r="AA53" s="94"/>
      <c r="AB53" s="94"/>
      <c r="AC53" s="94"/>
      <c r="AD53" s="94"/>
      <c r="AE53" s="94"/>
      <c r="AF53" s="94"/>
      <c r="AG53" s="94"/>
      <c r="AH53" s="94"/>
      <c r="AI53" s="94"/>
      <c r="AJ53" s="94"/>
      <c r="AK53" s="94"/>
      <c r="AL53" s="94"/>
    </row>
    <row r="54">
      <c r="A54" s="86" t="s">
        <v>661</v>
      </c>
      <c r="B54" s="95" t="str">
        <f t="shared" si="2"/>
        <v>Pregunta</v>
      </c>
      <c r="C54" s="106" t="str">
        <f t="shared" si="9"/>
        <v>1.</v>
      </c>
      <c r="D54" s="106" t="str">
        <f t="shared" si="10"/>
        <v>Contenido y lenguaje claro</v>
      </c>
      <c r="E54"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4" s="141" t="str">
        <f t="shared" si="3"/>
        <v>1.2</v>
      </c>
      <c r="G54" s="92" t="str">
        <f t="shared" si="4"/>
        <v>ESPERABLES</v>
      </c>
      <c r="H54" s="141"/>
      <c r="I54" s="141" t="str">
        <f t="shared" si="5"/>
        <v/>
      </c>
      <c r="J54" s="98" t="str">
        <f t="shared" si="6"/>
        <v/>
      </c>
      <c r="K54" s="98" t="str">
        <f t="shared" si="7"/>
        <v/>
      </c>
      <c r="L54" s="141" t="str">
        <f t="shared" ref="L54:N54" si="59">IF(I54="",L53,I54)</f>
        <v>1.2.4</v>
      </c>
      <c r="M54" s="98" t="str">
        <f t="shared" si="59"/>
        <v>Escritura para la web</v>
      </c>
      <c r="N54" s="98" t="str">
        <f t="shared" si="59"/>
        <v>Adaptación de la redacción optimizada para su lectoría en una interfaz digital.</v>
      </c>
      <c r="O54" s="152"/>
      <c r="P54" s="153"/>
      <c r="Q54" s="153"/>
      <c r="R54" s="149"/>
      <c r="S54" s="162" t="s">
        <v>745</v>
      </c>
      <c r="T54" s="160" t="s">
        <v>2033</v>
      </c>
      <c r="U54" s="94"/>
      <c r="V54" s="94"/>
      <c r="W54" s="94"/>
      <c r="X54" s="94"/>
      <c r="Y54" s="94"/>
      <c r="Z54" s="94"/>
      <c r="AA54" s="94"/>
      <c r="AB54" s="94"/>
      <c r="AC54" s="94"/>
      <c r="AD54" s="94"/>
      <c r="AE54" s="94"/>
      <c r="AF54" s="94"/>
      <c r="AG54" s="94"/>
      <c r="AH54" s="94"/>
      <c r="AI54" s="94"/>
      <c r="AJ54" s="94"/>
      <c r="AK54" s="94"/>
      <c r="AL54" s="94"/>
    </row>
    <row r="55">
      <c r="A55" s="86" t="s">
        <v>661</v>
      </c>
      <c r="B55" s="95" t="str">
        <f t="shared" si="2"/>
        <v>Pregunta</v>
      </c>
      <c r="C55" s="106" t="str">
        <f t="shared" si="9"/>
        <v>1.</v>
      </c>
      <c r="D55" s="106" t="str">
        <f t="shared" si="10"/>
        <v>Contenido y lenguaje claro</v>
      </c>
      <c r="E55"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5" s="141" t="str">
        <f t="shared" si="3"/>
        <v>1.2</v>
      </c>
      <c r="G55" s="92" t="str">
        <f t="shared" si="4"/>
        <v>ESPERABLES</v>
      </c>
      <c r="H55" s="141"/>
      <c r="I55" s="141" t="str">
        <f t="shared" si="5"/>
        <v/>
      </c>
      <c r="J55" s="98" t="str">
        <f t="shared" si="6"/>
        <v/>
      </c>
      <c r="K55" s="98" t="str">
        <f t="shared" si="7"/>
        <v/>
      </c>
      <c r="L55" s="141" t="str">
        <f t="shared" ref="L55:N55" si="60">IF(I55="",L54,I55)</f>
        <v>1.2.4</v>
      </c>
      <c r="M55" s="98" t="str">
        <f t="shared" si="60"/>
        <v>Escritura para la web</v>
      </c>
      <c r="N55" s="98" t="str">
        <f t="shared" si="60"/>
        <v>Adaptación de la redacción optimizada para su lectoría en una interfaz digital.</v>
      </c>
      <c r="O55" s="152"/>
      <c r="P55" s="153"/>
      <c r="Q55" s="153"/>
      <c r="R55" s="149"/>
      <c r="S55" s="162" t="s">
        <v>746</v>
      </c>
      <c r="T55" s="160" t="s">
        <v>2033</v>
      </c>
      <c r="U55" s="94"/>
      <c r="V55" s="94"/>
      <c r="W55" s="94"/>
      <c r="X55" s="94"/>
      <c r="Y55" s="94"/>
      <c r="Z55" s="94"/>
      <c r="AA55" s="94"/>
      <c r="AB55" s="94"/>
      <c r="AC55" s="94"/>
      <c r="AD55" s="94"/>
      <c r="AE55" s="94"/>
      <c r="AF55" s="94"/>
      <c r="AG55" s="94"/>
      <c r="AH55" s="94"/>
      <c r="AI55" s="94"/>
      <c r="AJ55" s="94"/>
      <c r="AK55" s="94"/>
      <c r="AL55" s="94"/>
    </row>
    <row r="56">
      <c r="A56" s="86" t="s">
        <v>661</v>
      </c>
      <c r="B56" s="95" t="str">
        <f t="shared" si="2"/>
        <v>Pregunta</v>
      </c>
      <c r="C56" s="106" t="str">
        <f t="shared" si="9"/>
        <v>1.</v>
      </c>
      <c r="D56" s="106" t="str">
        <f t="shared" si="10"/>
        <v>Contenido y lenguaje claro</v>
      </c>
      <c r="E56"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6" s="141" t="str">
        <f t="shared" si="3"/>
        <v>1.2</v>
      </c>
      <c r="G56" s="92" t="str">
        <f t="shared" si="4"/>
        <v>ESPERABLES</v>
      </c>
      <c r="H56" s="141"/>
      <c r="I56" s="141" t="str">
        <f t="shared" si="5"/>
        <v/>
      </c>
      <c r="J56" s="98" t="str">
        <f t="shared" si="6"/>
        <v/>
      </c>
      <c r="K56" s="98" t="str">
        <f t="shared" si="7"/>
        <v/>
      </c>
      <c r="L56" s="141" t="str">
        <f t="shared" ref="L56:N56" si="61">IF(I56="",L55,I56)</f>
        <v>1.2.4</v>
      </c>
      <c r="M56" s="98" t="str">
        <f t="shared" si="61"/>
        <v>Escritura para la web</v>
      </c>
      <c r="N56" s="98" t="str">
        <f t="shared" si="61"/>
        <v>Adaptación de la redacción optimizada para su lectoría en una interfaz digital.</v>
      </c>
      <c r="O56" s="142"/>
      <c r="P56" s="143"/>
      <c r="Q56" s="143"/>
      <c r="R56" s="174"/>
      <c r="S56" s="169" t="s">
        <v>2043</v>
      </c>
      <c r="T56" s="164" t="s">
        <v>2033</v>
      </c>
      <c r="U56" s="94"/>
      <c r="V56" s="94"/>
      <c r="W56" s="94"/>
      <c r="X56" s="94"/>
      <c r="Y56" s="94"/>
      <c r="Z56" s="94"/>
      <c r="AA56" s="94"/>
      <c r="AB56" s="94"/>
      <c r="AC56" s="94"/>
      <c r="AD56" s="94"/>
      <c r="AE56" s="94"/>
      <c r="AF56" s="94"/>
      <c r="AG56" s="94"/>
      <c r="AH56" s="94"/>
      <c r="AI56" s="94"/>
      <c r="AJ56" s="94"/>
      <c r="AK56" s="94"/>
      <c r="AL56" s="94"/>
    </row>
    <row r="57" hidden="1">
      <c r="A57" s="86" t="s">
        <v>661</v>
      </c>
      <c r="B57" s="95" t="str">
        <f t="shared" si="2"/>
        <v>Otro</v>
      </c>
      <c r="C57" s="106" t="str">
        <f t="shared" si="9"/>
        <v>1.</v>
      </c>
      <c r="D57" s="106" t="str">
        <f t="shared" si="10"/>
        <v>Contenido y lenguaje claro</v>
      </c>
      <c r="E57"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7" s="141" t="str">
        <f t="shared" si="3"/>
        <v>1.3</v>
      </c>
      <c r="G57" s="92" t="str">
        <f t="shared" si="4"/>
        <v>DESEABLES</v>
      </c>
      <c r="H57" s="141"/>
      <c r="I57" s="141" t="str">
        <f t="shared" si="5"/>
        <v/>
      </c>
      <c r="J57" s="98" t="str">
        <f t="shared" si="6"/>
        <v/>
      </c>
      <c r="K57" s="98" t="str">
        <f t="shared" si="7"/>
        <v/>
      </c>
      <c r="L57" s="141" t="str">
        <f t="shared" ref="L57:N57" si="62">IF(I57="",L56,I57)</f>
        <v>1.2.4</v>
      </c>
      <c r="M57" s="98" t="str">
        <f t="shared" si="62"/>
        <v>Escritura para la web</v>
      </c>
      <c r="N57" s="98" t="str">
        <f t="shared" si="62"/>
        <v>Adaptación de la redacción optimizada para su lectoría en una interfaz digital.</v>
      </c>
      <c r="O57" s="181" t="s">
        <v>748</v>
      </c>
      <c r="P57" s="182" t="s">
        <v>749</v>
      </c>
      <c r="Q57" s="183"/>
      <c r="R57" s="183"/>
      <c r="S57" s="184">
        <f>COUNTA(P58:P61)</f>
        <v>3</v>
      </c>
      <c r="T57" s="184">
        <f>COUNTIF(U58:U61,"n/a")</f>
        <v>0</v>
      </c>
      <c r="U57" s="94"/>
      <c r="V57" s="94"/>
      <c r="W57" s="94"/>
      <c r="X57" s="94"/>
      <c r="Y57" s="94"/>
      <c r="Z57" s="94"/>
      <c r="AA57" s="94"/>
      <c r="AB57" s="94"/>
      <c r="AC57" s="94"/>
      <c r="AD57" s="94"/>
      <c r="AE57" s="94"/>
      <c r="AF57" s="94"/>
      <c r="AG57" s="94"/>
      <c r="AH57" s="94"/>
      <c r="AI57" s="94"/>
      <c r="AJ57" s="94"/>
      <c r="AK57" s="94"/>
      <c r="AL57" s="94"/>
    </row>
    <row r="58">
      <c r="A58" s="105" t="s">
        <v>661</v>
      </c>
      <c r="B58" s="92" t="str">
        <f t="shared" si="2"/>
        <v>Pregunta</v>
      </c>
      <c r="C58" s="106" t="str">
        <f t="shared" si="9"/>
        <v>1.</v>
      </c>
      <c r="D58" s="106" t="str">
        <f t="shared" si="10"/>
        <v>Contenido y lenguaje claro</v>
      </c>
      <c r="E58"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8" s="141" t="str">
        <f t="shared" si="3"/>
        <v>1.3</v>
      </c>
      <c r="G58" s="92" t="str">
        <f t="shared" si="4"/>
        <v>DESEABLES</v>
      </c>
      <c r="H58" s="141"/>
      <c r="I58" s="141" t="str">
        <f t="shared" si="5"/>
        <v>1.3.1</v>
      </c>
      <c r="J58" s="98" t="str">
        <f t="shared" si="6"/>
        <v>Visualización de la información</v>
      </c>
      <c r="K58" s="98" t="str">
        <f t="shared" si="7"/>
        <v>Uso de elementos visuales para presentar información o datos.
</v>
      </c>
      <c r="L58" s="141" t="str">
        <f t="shared" ref="L58:N58" si="63">IF(I58="",L57,I58)</f>
        <v>1.3.1</v>
      </c>
      <c r="M58" s="98" t="str">
        <f t="shared" si="63"/>
        <v>Visualización de la información</v>
      </c>
      <c r="N58" s="98" t="str">
        <f t="shared" si="63"/>
        <v>Uso de elementos visuales para presentar información o datos.
</v>
      </c>
      <c r="O58" s="142" t="s">
        <v>750</v>
      </c>
      <c r="P58" s="143" t="s">
        <v>751</v>
      </c>
      <c r="Q58" s="143" t="s">
        <v>752</v>
      </c>
      <c r="R58" s="174"/>
      <c r="S58" s="143" t="s">
        <v>2044</v>
      </c>
      <c r="T58" s="164" t="s">
        <v>2033</v>
      </c>
      <c r="U58" s="94"/>
      <c r="V58" s="94"/>
      <c r="W58" s="94"/>
      <c r="X58" s="94"/>
      <c r="Y58" s="94"/>
      <c r="Z58" s="94"/>
      <c r="AA58" s="94"/>
      <c r="AB58" s="94"/>
      <c r="AC58" s="94"/>
      <c r="AD58" s="94"/>
      <c r="AE58" s="94"/>
      <c r="AF58" s="94"/>
      <c r="AG58" s="94"/>
      <c r="AH58" s="94"/>
      <c r="AI58" s="94"/>
      <c r="AJ58" s="94"/>
      <c r="AK58" s="94"/>
      <c r="AL58" s="94"/>
    </row>
    <row r="59">
      <c r="A59" s="105" t="s">
        <v>661</v>
      </c>
      <c r="B59" s="92" t="str">
        <f t="shared" si="2"/>
        <v>Pregunta</v>
      </c>
      <c r="C59" s="106" t="str">
        <f t="shared" si="9"/>
        <v>1.</v>
      </c>
      <c r="D59" s="106" t="str">
        <f t="shared" si="10"/>
        <v>Contenido y lenguaje claro</v>
      </c>
      <c r="E59"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9" s="141" t="str">
        <f t="shared" si="3"/>
        <v>1.3</v>
      </c>
      <c r="G59" s="92" t="str">
        <f t="shared" si="4"/>
        <v>DESEABLES</v>
      </c>
      <c r="H59" s="141"/>
      <c r="I59" s="141" t="str">
        <f t="shared" si="5"/>
        <v>1.3.2</v>
      </c>
      <c r="J59" s="98" t="str">
        <f t="shared" si="6"/>
        <v>Objetividad</v>
      </c>
      <c r="K59" s="98" t="str">
        <f t="shared" si="7"/>
        <v>Imparcialidad y neutralidad de la información publicada.</v>
      </c>
      <c r="L59" s="141" t="str">
        <f t="shared" ref="L59:N59" si="64">IF(I59="",L58,I59)</f>
        <v>1.3.2</v>
      </c>
      <c r="M59" s="98" t="str">
        <f t="shared" si="64"/>
        <v>Objetividad</v>
      </c>
      <c r="N59" s="98" t="str">
        <f t="shared" si="64"/>
        <v>Imparcialidad y neutralidad de la información publicada.</v>
      </c>
      <c r="O59" s="147" t="s">
        <v>754</v>
      </c>
      <c r="P59" s="148" t="s">
        <v>755</v>
      </c>
      <c r="Q59" s="148" t="s">
        <v>756</v>
      </c>
      <c r="R59" s="185"/>
      <c r="S59" s="186" t="s">
        <v>757</v>
      </c>
      <c r="T59" s="160" t="s">
        <v>2033</v>
      </c>
      <c r="U59" s="94"/>
      <c r="V59" s="94"/>
      <c r="W59" s="94"/>
      <c r="X59" s="94"/>
      <c r="Y59" s="94"/>
      <c r="Z59" s="94"/>
      <c r="AA59" s="94"/>
      <c r="AB59" s="94"/>
      <c r="AC59" s="94"/>
      <c r="AD59" s="94"/>
      <c r="AE59" s="94"/>
      <c r="AF59" s="94"/>
      <c r="AG59" s="94"/>
      <c r="AH59" s="94"/>
      <c r="AI59" s="94"/>
      <c r="AJ59" s="94"/>
      <c r="AK59" s="94"/>
      <c r="AL59" s="94"/>
    </row>
    <row r="60">
      <c r="A60" s="86" t="s">
        <v>661</v>
      </c>
      <c r="B60" s="95" t="str">
        <f t="shared" si="2"/>
        <v>Pregunta</v>
      </c>
      <c r="C60" s="106" t="str">
        <f t="shared" si="9"/>
        <v>1.</v>
      </c>
      <c r="D60" s="106" t="str">
        <f t="shared" si="10"/>
        <v>Contenido y lenguaje claro</v>
      </c>
      <c r="E60"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60" s="141" t="str">
        <f t="shared" si="3"/>
        <v>1.3</v>
      </c>
      <c r="G60" s="92" t="str">
        <f t="shared" si="4"/>
        <v>DESEABLES</v>
      </c>
      <c r="H60" s="141"/>
      <c r="I60" s="141" t="str">
        <f t="shared" si="5"/>
        <v/>
      </c>
      <c r="J60" s="98" t="str">
        <f t="shared" si="6"/>
        <v/>
      </c>
      <c r="K60" s="98" t="str">
        <f t="shared" si="7"/>
        <v/>
      </c>
      <c r="L60" s="141" t="str">
        <f t="shared" ref="L60:N60" si="65">IF(I60="",L59,I60)</f>
        <v>1.3.2</v>
      </c>
      <c r="M60" s="98" t="str">
        <f t="shared" si="65"/>
        <v>Objetividad</v>
      </c>
      <c r="N60" s="98" t="str">
        <f t="shared" si="65"/>
        <v>Imparcialidad y neutralidad de la información publicada.</v>
      </c>
      <c r="O60" s="142"/>
      <c r="P60" s="143"/>
      <c r="Q60" s="143"/>
      <c r="R60" s="156"/>
      <c r="S60" s="187" t="s">
        <v>758</v>
      </c>
      <c r="T60" s="164" t="s">
        <v>2033</v>
      </c>
      <c r="U60" s="94"/>
      <c r="V60" s="94"/>
      <c r="W60" s="94"/>
      <c r="X60" s="94"/>
      <c r="Y60" s="94"/>
      <c r="Z60" s="94"/>
      <c r="AA60" s="94"/>
      <c r="AB60" s="94"/>
      <c r="AC60" s="94"/>
      <c r="AD60" s="94"/>
      <c r="AE60" s="94"/>
      <c r="AF60" s="94"/>
      <c r="AG60" s="94"/>
      <c r="AH60" s="94"/>
      <c r="AI60" s="94"/>
      <c r="AJ60" s="94"/>
      <c r="AK60" s="94"/>
      <c r="AL60" s="94"/>
    </row>
    <row r="61">
      <c r="A61" s="105" t="s">
        <v>661</v>
      </c>
      <c r="B61" s="92" t="str">
        <f t="shared" si="2"/>
        <v>Pregunta</v>
      </c>
      <c r="C61" s="106" t="str">
        <f t="shared" si="9"/>
        <v>1.</v>
      </c>
      <c r="D61" s="106" t="str">
        <f t="shared" si="10"/>
        <v>Contenido y lenguaje claro</v>
      </c>
      <c r="E61"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61" s="141" t="str">
        <f t="shared" si="3"/>
        <v>1.3</v>
      </c>
      <c r="G61" s="92" t="str">
        <f t="shared" si="4"/>
        <v>DESEABLES</v>
      </c>
      <c r="H61" s="141"/>
      <c r="I61" s="141" t="str">
        <f t="shared" si="5"/>
        <v>1.3.3</v>
      </c>
      <c r="J61" s="98" t="str">
        <f t="shared" si="6"/>
        <v>Archivo</v>
      </c>
      <c r="K61" s="98" t="str">
        <f t="shared" si="7"/>
        <v>Conservación del contenido histórico del sitio web cuando se realice un reemplazo del mismo.</v>
      </c>
      <c r="L61" s="141" t="str">
        <f t="shared" ref="L61:N61" si="66">IF(I61="",L60,I61)</f>
        <v>1.3.3</v>
      </c>
      <c r="M61" s="98" t="str">
        <f t="shared" si="66"/>
        <v>Archivo</v>
      </c>
      <c r="N61" s="98" t="str">
        <f t="shared" si="66"/>
        <v>Conservación del contenido histórico del sitio web cuando se realice un reemplazo del mismo.</v>
      </c>
      <c r="O61" s="147" t="s">
        <v>759</v>
      </c>
      <c r="P61" s="188" t="s">
        <v>760</v>
      </c>
      <c r="Q61" s="188" t="s">
        <v>761</v>
      </c>
      <c r="R61" s="189"/>
      <c r="S61" s="188" t="s">
        <v>2045</v>
      </c>
      <c r="T61" s="164" t="s">
        <v>2033</v>
      </c>
      <c r="U61" s="94"/>
      <c r="V61" s="94"/>
      <c r="W61" s="94"/>
      <c r="X61" s="94"/>
      <c r="Y61" s="94"/>
      <c r="Z61" s="94"/>
      <c r="AA61" s="94"/>
      <c r="AB61" s="94"/>
      <c r="AC61" s="94"/>
      <c r="AD61" s="94"/>
      <c r="AE61" s="94"/>
      <c r="AF61" s="94"/>
      <c r="AG61" s="94"/>
      <c r="AH61" s="94"/>
      <c r="AI61" s="94"/>
      <c r="AJ61" s="94"/>
      <c r="AK61" s="94"/>
      <c r="AL61" s="94"/>
    </row>
    <row r="62" hidden="1">
      <c r="A62" s="86" t="s">
        <v>661</v>
      </c>
      <c r="B62" s="95" t="str">
        <f t="shared" si="2"/>
        <v>Otro</v>
      </c>
      <c r="C62" s="106" t="str">
        <f t="shared" si="9"/>
        <v>2.</v>
      </c>
      <c r="D62" s="106" t="str">
        <f t="shared" si="10"/>
        <v>Usabilidad</v>
      </c>
      <c r="E62" s="106" t="str">
        <f t="shared" si="11"/>
        <v>Medida en que los usuarios pueden utilizar un sistema para lograr determinados objetivos con eficacia, eficiencia y satisfacción en un contexto de uso especificado.</v>
      </c>
      <c r="F62" s="141" t="str">
        <f t="shared" si="3"/>
        <v>1.3</v>
      </c>
      <c r="G62" s="92" t="str">
        <f t="shared" si="4"/>
        <v>DESEABLES</v>
      </c>
      <c r="H62" s="109"/>
      <c r="I62" s="109" t="str">
        <f t="shared" si="5"/>
        <v/>
      </c>
      <c r="J62" s="98" t="str">
        <f t="shared" si="6"/>
        <v/>
      </c>
      <c r="K62" s="98" t="str">
        <f t="shared" si="7"/>
        <v/>
      </c>
      <c r="L62" s="141" t="str">
        <f t="shared" ref="L62:N62" si="67">IF(I62="",L61,I62)</f>
        <v>1.3.3</v>
      </c>
      <c r="M62" s="98" t="str">
        <f t="shared" si="67"/>
        <v>Archivo</v>
      </c>
      <c r="N62" s="98" t="str">
        <f t="shared" si="67"/>
        <v>Conservación del contenido histórico del sitio web cuando se realice un reemplazo del mismo.</v>
      </c>
      <c r="O62" s="111" t="s">
        <v>20</v>
      </c>
      <c r="P62" s="112" t="s">
        <v>21</v>
      </c>
      <c r="Q62" s="113"/>
      <c r="R62" s="114"/>
      <c r="S62" s="115" t="s">
        <v>763</v>
      </c>
      <c r="T62" s="116" t="s">
        <v>16</v>
      </c>
      <c r="U62" s="94"/>
      <c r="V62" s="94"/>
      <c r="W62" s="94"/>
      <c r="X62" s="94"/>
      <c r="Y62" s="94"/>
      <c r="Z62" s="94"/>
      <c r="AA62" s="94"/>
      <c r="AB62" s="94"/>
      <c r="AC62" s="94"/>
      <c r="AD62" s="94"/>
      <c r="AE62" s="94"/>
      <c r="AF62" s="94"/>
      <c r="AG62" s="94"/>
      <c r="AH62" s="94"/>
      <c r="AI62" s="94"/>
      <c r="AJ62" s="94"/>
      <c r="AK62" s="94"/>
      <c r="AL62" s="94"/>
    </row>
    <row r="63" hidden="1">
      <c r="A63" s="86" t="s">
        <v>661</v>
      </c>
      <c r="B63" s="95" t="str">
        <f t="shared" si="2"/>
        <v>Otro</v>
      </c>
      <c r="C63" s="106" t="str">
        <f t="shared" si="9"/>
        <v>2.</v>
      </c>
      <c r="D63" s="106" t="str">
        <f t="shared" si="10"/>
        <v>Usabilidad</v>
      </c>
      <c r="E63" s="106" t="str">
        <f t="shared" si="11"/>
        <v>Medida en que los usuarios pueden utilizar un sistema para lograr determinados objetivos con eficacia, eficiencia y satisfacción en un contexto de uso especificado.</v>
      </c>
      <c r="F63" s="141" t="str">
        <f t="shared" si="3"/>
        <v>1.3</v>
      </c>
      <c r="G63" s="92" t="str">
        <f t="shared" si="4"/>
        <v>DESEABLES</v>
      </c>
      <c r="H63" s="109"/>
      <c r="I63" s="109" t="str">
        <f t="shared" si="5"/>
        <v/>
      </c>
      <c r="J63" s="98" t="str">
        <f t="shared" si="6"/>
        <v/>
      </c>
      <c r="K63" s="98" t="str">
        <f t="shared" si="7"/>
        <v/>
      </c>
      <c r="L63" s="141" t="str">
        <f t="shared" ref="L63:N63" si="68">IF(I63="",L62,I63)</f>
        <v>1.3.3</v>
      </c>
      <c r="M63" s="98" t="str">
        <f t="shared" si="68"/>
        <v>Archivo</v>
      </c>
      <c r="N63" s="98" t="str">
        <f t="shared" si="68"/>
        <v>Conservación del contenido histórico del sitio web cuando se realice un reemplazo del mismo.</v>
      </c>
      <c r="O63" s="117"/>
      <c r="P63" s="118"/>
      <c r="Q63" s="119"/>
      <c r="R63" s="114"/>
      <c r="S63" s="120"/>
      <c r="T63" s="116" t="s">
        <v>19</v>
      </c>
      <c r="U63" s="94"/>
      <c r="V63" s="94"/>
      <c r="W63" s="94"/>
      <c r="X63" s="94"/>
      <c r="Y63" s="94"/>
      <c r="Z63" s="94"/>
      <c r="AA63" s="94"/>
      <c r="AB63" s="94"/>
      <c r="AC63" s="94"/>
      <c r="AD63" s="94"/>
      <c r="AE63" s="94"/>
      <c r="AF63" s="94"/>
      <c r="AG63" s="94"/>
      <c r="AH63" s="94"/>
      <c r="AI63" s="94"/>
      <c r="AJ63" s="94"/>
      <c r="AK63" s="94"/>
      <c r="AL63" s="94"/>
    </row>
    <row r="64" hidden="1">
      <c r="A64" s="86" t="s">
        <v>661</v>
      </c>
      <c r="B64" s="95" t="str">
        <f t="shared" si="2"/>
        <v>Otro</v>
      </c>
      <c r="C64" s="106" t="str">
        <f t="shared" si="9"/>
        <v>2.</v>
      </c>
      <c r="D64" s="106" t="str">
        <f t="shared" si="10"/>
        <v>Usabilidad</v>
      </c>
      <c r="E64" s="106" t="str">
        <f t="shared" si="11"/>
        <v>Medida en que los usuarios pueden utilizar un sistema para lograr determinados objetivos con eficacia, eficiencia y satisfacción en un contexto de uso especificado.</v>
      </c>
      <c r="F64" s="141" t="str">
        <f t="shared" si="3"/>
        <v>1.3</v>
      </c>
      <c r="G64" s="92" t="str">
        <f t="shared" si="4"/>
        <v>DESEABLES</v>
      </c>
      <c r="H64" s="109"/>
      <c r="I64" s="109" t="str">
        <f t="shared" si="5"/>
        <v/>
      </c>
      <c r="J64" s="98" t="str">
        <f t="shared" si="6"/>
        <v/>
      </c>
      <c r="K64" s="98" t="str">
        <f t="shared" si="7"/>
        <v/>
      </c>
      <c r="L64" s="141" t="str">
        <f t="shared" ref="L64:N64" si="69">IF(I64="",L63,I64)</f>
        <v>1.3.3</v>
      </c>
      <c r="M64" s="98" t="str">
        <f t="shared" si="69"/>
        <v>Archivo</v>
      </c>
      <c r="N64" s="98" t="str">
        <f t="shared" si="69"/>
        <v>Conservación del contenido histórico del sitio web cuando se realice un reemplazo del mismo.</v>
      </c>
      <c r="O64" s="121"/>
      <c r="P64" s="122"/>
      <c r="Q64" s="123"/>
      <c r="R64" s="114"/>
      <c r="S64" s="124"/>
      <c r="T64" s="116" t="s">
        <v>22</v>
      </c>
      <c r="U64" s="94"/>
      <c r="V64" s="94"/>
      <c r="W64" s="94"/>
      <c r="X64" s="94"/>
      <c r="Y64" s="94"/>
      <c r="Z64" s="94"/>
      <c r="AA64" s="94"/>
      <c r="AB64" s="94"/>
      <c r="AC64" s="94"/>
      <c r="AD64" s="94"/>
      <c r="AE64" s="94"/>
      <c r="AF64" s="94"/>
      <c r="AG64" s="94"/>
      <c r="AH64" s="94"/>
      <c r="AI64" s="94"/>
      <c r="AJ64" s="94"/>
      <c r="AK64" s="94"/>
      <c r="AL64" s="94"/>
    </row>
    <row r="65" hidden="1">
      <c r="A65" s="86" t="s">
        <v>661</v>
      </c>
      <c r="B65" s="95" t="str">
        <f t="shared" si="2"/>
        <v>Otro</v>
      </c>
      <c r="C65" s="106" t="str">
        <f t="shared" si="9"/>
        <v>2.</v>
      </c>
      <c r="D65" s="106" t="str">
        <f t="shared" si="10"/>
        <v>Usabilidad</v>
      </c>
      <c r="E65" s="106" t="str">
        <f t="shared" si="11"/>
        <v>Medida en que los usuarios pueden utilizar un sistema para lograr determinados objetivos con eficacia, eficiencia y satisfacción en un contexto de uso especificado.</v>
      </c>
      <c r="F65" s="141" t="str">
        <f t="shared" si="3"/>
        <v>1.3</v>
      </c>
      <c r="G65" s="92" t="str">
        <f t="shared" si="4"/>
        <v>DESEABLES</v>
      </c>
      <c r="H65" s="125"/>
      <c r="I65" s="125" t="str">
        <f t="shared" si="5"/>
        <v/>
      </c>
      <c r="J65" s="98" t="str">
        <f t="shared" si="6"/>
        <v/>
      </c>
      <c r="K65" s="98" t="str">
        <f t="shared" si="7"/>
        <v/>
      </c>
      <c r="L65" s="141" t="str">
        <f t="shared" ref="L65:N65" si="70">IF(I65="",L64,I65)</f>
        <v>1.3.3</v>
      </c>
      <c r="M65" s="98" t="str">
        <f t="shared" si="70"/>
        <v>Archivo</v>
      </c>
      <c r="N65" s="98" t="str">
        <f t="shared" si="70"/>
        <v>Conservación del contenido histórico del sitio web cuando se realice un reemplazo del mismo.</v>
      </c>
      <c r="O65" s="126"/>
      <c r="P65" s="114"/>
      <c r="Q65" s="114"/>
      <c r="R65" s="127"/>
      <c r="S65" s="127"/>
      <c r="T65" s="127"/>
      <c r="U65" s="94"/>
      <c r="V65" s="94"/>
      <c r="W65" s="94"/>
      <c r="X65" s="94"/>
      <c r="Y65" s="94"/>
      <c r="Z65" s="94"/>
      <c r="AA65" s="94"/>
      <c r="AB65" s="94"/>
      <c r="AC65" s="94"/>
      <c r="AD65" s="94"/>
      <c r="AE65" s="94"/>
      <c r="AF65" s="94"/>
      <c r="AG65" s="94"/>
      <c r="AH65" s="94"/>
      <c r="AI65" s="94"/>
      <c r="AJ65" s="94"/>
      <c r="AK65" s="94"/>
      <c r="AL65" s="94"/>
    </row>
    <row r="66" hidden="1">
      <c r="A66" s="86" t="s">
        <v>661</v>
      </c>
      <c r="B66" s="95" t="str">
        <f t="shared" si="2"/>
        <v>Otro</v>
      </c>
      <c r="C66" s="106" t="str">
        <f t="shared" si="9"/>
        <v>2.</v>
      </c>
      <c r="D66" s="106" t="str">
        <f t="shared" si="10"/>
        <v>Usabilidad</v>
      </c>
      <c r="E66" s="106" t="str">
        <f t="shared" si="11"/>
        <v>Medida en que los usuarios pueden utilizar un sistema para lograr determinados objetivos con eficacia, eficiencia y satisfacción en un contexto de uso especificado.</v>
      </c>
      <c r="F66" s="141" t="str">
        <f t="shared" si="3"/>
        <v>1.3</v>
      </c>
      <c r="G66" s="92" t="str">
        <f t="shared" si="4"/>
        <v>DESEABLES</v>
      </c>
      <c r="H66" s="130"/>
      <c r="I66" s="130" t="str">
        <f t="shared" si="5"/>
        <v/>
      </c>
      <c r="J66" s="98" t="str">
        <f t="shared" si="6"/>
        <v/>
      </c>
      <c r="K66" s="98" t="str">
        <f t="shared" si="7"/>
        <v/>
      </c>
      <c r="L66" s="141" t="str">
        <f t="shared" ref="L66:N66" si="71">IF(I66="",L65,I66)</f>
        <v>1.3.3</v>
      </c>
      <c r="M66" s="98" t="str">
        <f t="shared" si="71"/>
        <v>Archivo</v>
      </c>
      <c r="N66" s="98" t="str">
        <f t="shared" si="71"/>
        <v>Conservación del contenido histórico del sitio web cuando se realice un reemplazo del mismo.</v>
      </c>
      <c r="O66" s="132" t="s">
        <v>1822</v>
      </c>
      <c r="P66" s="133" t="s">
        <v>1823</v>
      </c>
      <c r="Q66" s="133" t="s">
        <v>2031</v>
      </c>
      <c r="R66" s="134"/>
      <c r="S66" s="133" t="s">
        <v>1824</v>
      </c>
      <c r="T66" s="133" t="s">
        <v>1825</v>
      </c>
      <c r="U66" s="94"/>
      <c r="V66" s="94"/>
      <c r="W66" s="94"/>
      <c r="X66" s="94"/>
      <c r="Y66" s="94"/>
      <c r="Z66" s="94"/>
      <c r="AA66" s="94"/>
      <c r="AB66" s="94"/>
      <c r="AC66" s="94"/>
      <c r="AD66" s="94"/>
      <c r="AE66" s="94"/>
      <c r="AF66" s="94"/>
      <c r="AG66" s="94"/>
      <c r="AH66" s="94"/>
      <c r="AI66" s="94"/>
      <c r="AJ66" s="94"/>
      <c r="AK66" s="94"/>
      <c r="AL66" s="94"/>
    </row>
    <row r="67" hidden="1">
      <c r="A67" s="86" t="s">
        <v>661</v>
      </c>
      <c r="B67" s="95" t="str">
        <f t="shared" si="2"/>
        <v>Otro</v>
      </c>
      <c r="C67" s="106" t="str">
        <f t="shared" si="9"/>
        <v>2.</v>
      </c>
      <c r="D67" s="106" t="str">
        <f t="shared" si="10"/>
        <v>Usabilidad</v>
      </c>
      <c r="E67" s="106" t="str">
        <f t="shared" si="11"/>
        <v>Medida en que los usuarios pueden utilizar un sistema para lograr determinados objetivos con eficacia, eficiencia y satisfacción en un contexto de uso especificado.</v>
      </c>
      <c r="F67" s="135" t="str">
        <f t="shared" si="3"/>
        <v>2.1</v>
      </c>
      <c r="G67" s="92" t="str">
        <f t="shared" si="4"/>
        <v>IMPRESCINDIBLES</v>
      </c>
      <c r="H67" s="135"/>
      <c r="I67" s="135" t="str">
        <f t="shared" si="5"/>
        <v/>
      </c>
      <c r="J67" s="98" t="str">
        <f t="shared" si="6"/>
        <v/>
      </c>
      <c r="K67" s="98" t="str">
        <f t="shared" si="7"/>
        <v/>
      </c>
      <c r="L67" s="141" t="str">
        <f t="shared" ref="L67:N67" si="72">IF(I67="",L66,I67)</f>
        <v>1.3.3</v>
      </c>
      <c r="M67" s="98" t="str">
        <f t="shared" si="72"/>
        <v>Archivo</v>
      </c>
      <c r="N67" s="98" t="str">
        <f t="shared" si="72"/>
        <v>Conservación del contenido histórico del sitio web cuando se realice un reemplazo del mismo.</v>
      </c>
      <c r="O67" s="136" t="s">
        <v>764</v>
      </c>
      <c r="P67" s="137" t="s">
        <v>664</v>
      </c>
      <c r="Q67" s="138"/>
      <c r="R67" s="138"/>
      <c r="S67" s="139">
        <f>COUNTA(P68:P77)</f>
        <v>5</v>
      </c>
      <c r="T67" s="140">
        <f>COUNTIF(U68:U77,"n/a")</f>
        <v>0</v>
      </c>
      <c r="U67" s="94"/>
      <c r="V67" s="94"/>
      <c r="W67" s="94"/>
      <c r="X67" s="94"/>
      <c r="Y67" s="94"/>
      <c r="Z67" s="94"/>
      <c r="AA67" s="94"/>
      <c r="AB67" s="94"/>
      <c r="AC67" s="94"/>
      <c r="AD67" s="94"/>
      <c r="AE67" s="94"/>
      <c r="AF67" s="94"/>
      <c r="AG67" s="94"/>
      <c r="AH67" s="94"/>
      <c r="AI67" s="94"/>
      <c r="AJ67" s="94"/>
      <c r="AK67" s="94"/>
      <c r="AL67" s="94"/>
    </row>
    <row r="68">
      <c r="A68" s="105" t="s">
        <v>661</v>
      </c>
      <c r="B68" s="92" t="str">
        <f t="shared" si="2"/>
        <v>Pregunta</v>
      </c>
      <c r="C68" s="106" t="str">
        <f t="shared" si="9"/>
        <v>2.</v>
      </c>
      <c r="D68" s="106" t="str">
        <f t="shared" si="10"/>
        <v>Usabilidad</v>
      </c>
      <c r="E68" s="106" t="str">
        <f t="shared" si="11"/>
        <v>Medida en que los usuarios pueden utilizar un sistema para lograr determinados objetivos con eficacia, eficiencia y satisfacción en un contexto de uso especificado.</v>
      </c>
      <c r="F68" s="135" t="str">
        <f t="shared" si="3"/>
        <v>2.1</v>
      </c>
      <c r="G68" s="92" t="str">
        <f t="shared" si="4"/>
        <v>IMPRESCINDIBLES</v>
      </c>
      <c r="H68" s="141"/>
      <c r="I68" s="141" t="str">
        <f t="shared" si="5"/>
        <v>2.1.1</v>
      </c>
      <c r="J68" s="98" t="str">
        <f t="shared" si="6"/>
        <v>Coherencia y estandarización</v>
      </c>
      <c r="K68" s="98" t="str">
        <f t="shared" si="7"/>
        <v>Apego a las convenciones de los sitios web y servicios digitales, de manera tal que las personas usuarias no tengan que preguntarse si diferentes palabras, situaciones o acciones significan lo mismo en cada plataforma.
</v>
      </c>
      <c r="L68" s="141" t="str">
        <f t="shared" ref="L68:N68" si="73">IF(I68="",L67,I68)</f>
        <v>2.1.1</v>
      </c>
      <c r="M68" s="98" t="str">
        <f t="shared" si="73"/>
        <v>Coherencia y estandarización</v>
      </c>
      <c r="N68" s="98" t="str">
        <f t="shared" si="73"/>
        <v>Apego a las convenciones de los sitios web y servicios digitales, de manera tal que las personas usuarias no tengan que preguntarse si diferentes palabras, situaciones o acciones significan lo mismo en cada plataforma.
</v>
      </c>
      <c r="O68" s="152" t="s">
        <v>765</v>
      </c>
      <c r="P68" s="153" t="s">
        <v>766</v>
      </c>
      <c r="Q68" s="153" t="s">
        <v>767</v>
      </c>
      <c r="R68" s="149"/>
      <c r="S68" s="150" t="s">
        <v>768</v>
      </c>
      <c r="T68" s="160" t="s">
        <v>2033</v>
      </c>
      <c r="U68" s="94"/>
      <c r="V68" s="94"/>
      <c r="W68" s="94"/>
      <c r="X68" s="94"/>
      <c r="Y68" s="94"/>
      <c r="Z68" s="94"/>
      <c r="AA68" s="94"/>
      <c r="AB68" s="94"/>
      <c r="AC68" s="94"/>
      <c r="AD68" s="94"/>
      <c r="AE68" s="94"/>
      <c r="AF68" s="94"/>
      <c r="AG68" s="94"/>
      <c r="AH68" s="94"/>
      <c r="AI68" s="94"/>
      <c r="AJ68" s="94"/>
      <c r="AK68" s="94"/>
      <c r="AL68" s="94"/>
    </row>
    <row r="69">
      <c r="A69" s="86" t="s">
        <v>661</v>
      </c>
      <c r="B69" s="95" t="str">
        <f t="shared" si="2"/>
        <v>Pregunta</v>
      </c>
      <c r="C69" s="106" t="str">
        <f t="shared" si="9"/>
        <v>2.</v>
      </c>
      <c r="D69" s="106" t="str">
        <f t="shared" si="10"/>
        <v>Usabilidad</v>
      </c>
      <c r="E69" s="106" t="str">
        <f t="shared" si="11"/>
        <v>Medida en que los usuarios pueden utilizar un sistema para lograr determinados objetivos con eficacia, eficiencia y satisfacción en un contexto de uso especificado.</v>
      </c>
      <c r="F69" s="135" t="str">
        <f t="shared" si="3"/>
        <v>2.1</v>
      </c>
      <c r="G69" s="92" t="str">
        <f t="shared" si="4"/>
        <v>IMPRESCINDIBLES</v>
      </c>
      <c r="H69" s="141"/>
      <c r="I69" s="141" t="str">
        <f t="shared" si="5"/>
        <v/>
      </c>
      <c r="J69" s="98" t="str">
        <f t="shared" si="6"/>
        <v/>
      </c>
      <c r="K69" s="98" t="str">
        <f t="shared" si="7"/>
        <v/>
      </c>
      <c r="L69" s="141" t="str">
        <f t="shared" ref="L69:N69" si="74">IF(I69="",L68,I69)</f>
        <v>2.1.1</v>
      </c>
      <c r="M69" s="98" t="str">
        <f t="shared" si="74"/>
        <v>Coherencia y estandarización</v>
      </c>
      <c r="N69" s="98" t="str">
        <f t="shared" si="74"/>
        <v>Apego a las convenciones de los sitios web y servicios digitales, de manera tal que las personas usuarias no tengan que preguntarse si diferentes palabras, situaciones o acciones significan lo mismo en cada plataforma.
</v>
      </c>
      <c r="O69" s="152"/>
      <c r="P69" s="153"/>
      <c r="Q69" s="153"/>
      <c r="R69" s="161"/>
      <c r="S69" s="190" t="s">
        <v>2046</v>
      </c>
      <c r="T69" s="160" t="s">
        <v>2033</v>
      </c>
      <c r="U69" s="94"/>
      <c r="V69" s="94"/>
      <c r="W69" s="94"/>
      <c r="X69" s="94"/>
      <c r="Y69" s="94"/>
      <c r="Z69" s="94"/>
      <c r="AA69" s="94"/>
      <c r="AB69" s="94"/>
      <c r="AC69" s="94"/>
      <c r="AD69" s="94"/>
      <c r="AE69" s="94"/>
      <c r="AF69" s="94"/>
      <c r="AG69" s="94"/>
      <c r="AH69" s="94"/>
      <c r="AI69" s="94"/>
      <c r="AJ69" s="94"/>
      <c r="AK69" s="94"/>
      <c r="AL69" s="94"/>
    </row>
    <row r="70">
      <c r="A70" s="86" t="s">
        <v>661</v>
      </c>
      <c r="B70" s="95" t="str">
        <f t="shared" si="2"/>
        <v>Pregunta</v>
      </c>
      <c r="C70" s="106" t="str">
        <f t="shared" si="9"/>
        <v>2.</v>
      </c>
      <c r="D70" s="106" t="str">
        <f t="shared" si="10"/>
        <v>Usabilidad</v>
      </c>
      <c r="E70" s="106" t="str">
        <f t="shared" si="11"/>
        <v>Medida en que los usuarios pueden utilizar un sistema para lograr determinados objetivos con eficacia, eficiencia y satisfacción en un contexto de uso especificado.</v>
      </c>
      <c r="F70" s="135" t="str">
        <f t="shared" si="3"/>
        <v>2.1</v>
      </c>
      <c r="G70" s="92" t="str">
        <f t="shared" si="4"/>
        <v>IMPRESCINDIBLES</v>
      </c>
      <c r="H70" s="141"/>
      <c r="I70" s="141" t="str">
        <f t="shared" si="5"/>
        <v/>
      </c>
      <c r="J70" s="98" t="str">
        <f t="shared" si="6"/>
        <v/>
      </c>
      <c r="K70" s="98" t="str">
        <f t="shared" si="7"/>
        <v/>
      </c>
      <c r="L70" s="141" t="str">
        <f t="shared" ref="L70:N70" si="75">IF(I70="",L69,I70)</f>
        <v>2.1.1</v>
      </c>
      <c r="M70" s="98" t="str">
        <f t="shared" si="75"/>
        <v>Coherencia y estandarización</v>
      </c>
      <c r="N70" s="98" t="str">
        <f t="shared" si="75"/>
        <v>Apego a las convenciones de los sitios web y servicios digitales, de manera tal que las personas usuarias no tengan que preguntarse si diferentes palabras, situaciones o acciones significan lo mismo en cada plataforma.
</v>
      </c>
      <c r="O70" s="142"/>
      <c r="P70" s="143"/>
      <c r="Q70" s="143"/>
      <c r="R70" s="168"/>
      <c r="S70" s="169" t="s">
        <v>2047</v>
      </c>
      <c r="T70" s="164" t="s">
        <v>2033</v>
      </c>
      <c r="U70" s="94"/>
      <c r="V70" s="94"/>
      <c r="W70" s="94"/>
      <c r="X70" s="94"/>
      <c r="Y70" s="94"/>
      <c r="Z70" s="94"/>
      <c r="AA70" s="94"/>
      <c r="AB70" s="94"/>
      <c r="AC70" s="94"/>
      <c r="AD70" s="94"/>
      <c r="AE70" s="94"/>
      <c r="AF70" s="94"/>
      <c r="AG70" s="94"/>
      <c r="AH70" s="94"/>
      <c r="AI70" s="94"/>
      <c r="AJ70" s="94"/>
      <c r="AK70" s="94"/>
      <c r="AL70" s="94"/>
    </row>
    <row r="71">
      <c r="A71" s="105" t="s">
        <v>661</v>
      </c>
      <c r="B71" s="92" t="str">
        <f t="shared" si="2"/>
        <v>Pregunta</v>
      </c>
      <c r="C71" s="106" t="str">
        <f t="shared" si="9"/>
        <v>2.</v>
      </c>
      <c r="D71" s="106" t="str">
        <f t="shared" si="10"/>
        <v>Usabilidad</v>
      </c>
      <c r="E71" s="106" t="str">
        <f t="shared" si="11"/>
        <v>Medida en que los usuarios pueden utilizar un sistema para lograr determinados objetivos con eficacia, eficiencia y satisfacción en un contexto de uso especificado.</v>
      </c>
      <c r="F71" s="135" t="str">
        <f t="shared" si="3"/>
        <v>2.1</v>
      </c>
      <c r="G71" s="92" t="str">
        <f t="shared" si="4"/>
        <v>IMPRESCINDIBLES</v>
      </c>
      <c r="H71" s="141"/>
      <c r="I71" s="141" t="str">
        <f t="shared" si="5"/>
        <v>2.1.2</v>
      </c>
      <c r="J71" s="98" t="str">
        <f t="shared" si="6"/>
        <v>Diseño estético y minimalista</v>
      </c>
      <c r="K71" s="98" t="str">
        <f t="shared" si="7"/>
        <v>Simplicidad y limpieza de las interfaces, las que no deben contener información que sea irrelevante o que rara vez se necesite. Cada elemento en una interfaz compite con las unidades de información relevantes y disminuye su visibilidad relativa.
</v>
      </c>
      <c r="L71" s="141" t="str">
        <f t="shared" ref="L71:N71" si="76">IF(I71="",L70,I71)</f>
        <v>2.1.2</v>
      </c>
      <c r="M71" s="98" t="str">
        <f t="shared" si="76"/>
        <v>Diseño estético y minimalista</v>
      </c>
      <c r="N71" s="98" t="str">
        <f t="shared" si="76"/>
        <v>Simplicidad y limpieza de las interfaces, las que no deben contener información que sea irrelevante o que rara vez se necesite. Cada elemento en una interfaz compite con las unidades de información relevantes y disminuye su visibilidad relativa.
</v>
      </c>
      <c r="O71" s="147" t="s">
        <v>771</v>
      </c>
      <c r="P71" s="148" t="s">
        <v>772</v>
      </c>
      <c r="Q71" s="166" t="s">
        <v>773</v>
      </c>
      <c r="R71" s="158"/>
      <c r="S71" s="169" t="s">
        <v>774</v>
      </c>
      <c r="T71" s="164" t="s">
        <v>2033</v>
      </c>
      <c r="U71" s="94"/>
      <c r="V71" s="94"/>
      <c r="W71" s="94"/>
      <c r="X71" s="94"/>
      <c r="Y71" s="94"/>
      <c r="Z71" s="94"/>
      <c r="AA71" s="94"/>
      <c r="AB71" s="94"/>
      <c r="AC71" s="94"/>
      <c r="AD71" s="94"/>
      <c r="AE71" s="94"/>
      <c r="AF71" s="94"/>
      <c r="AG71" s="94"/>
      <c r="AH71" s="94"/>
      <c r="AI71" s="94"/>
      <c r="AJ71" s="94"/>
      <c r="AK71" s="94"/>
      <c r="AL71" s="94"/>
    </row>
    <row r="72">
      <c r="A72" s="105" t="s">
        <v>661</v>
      </c>
      <c r="B72" s="92" t="str">
        <f t="shared" si="2"/>
        <v>Pregunta</v>
      </c>
      <c r="C72" s="106" t="str">
        <f t="shared" si="9"/>
        <v>2.</v>
      </c>
      <c r="D72" s="106" t="str">
        <f t="shared" si="10"/>
        <v>Usabilidad</v>
      </c>
      <c r="E72" s="106" t="str">
        <f t="shared" si="11"/>
        <v>Medida en que los usuarios pueden utilizar un sistema para lograr determinados objetivos con eficacia, eficiencia y satisfacción en un contexto de uso especificado.</v>
      </c>
      <c r="F72" s="135" t="str">
        <f t="shared" si="3"/>
        <v>2.1</v>
      </c>
      <c r="G72" s="92" t="str">
        <f t="shared" si="4"/>
        <v>IMPRESCINDIBLES</v>
      </c>
      <c r="H72" s="141"/>
      <c r="I72" s="141" t="str">
        <f t="shared" si="5"/>
        <v>2.1.3</v>
      </c>
      <c r="J72" s="98" t="str">
        <f t="shared" si="6"/>
        <v>Diagnóstico y corrección de errores</v>
      </c>
      <c r="K72" s="98" t="str">
        <f t="shared" si="7"/>
        <v>Asistencia a las personas usuarias ante errores, brindándoles una solución o un acceso directo para que pueda resolver el error de inmediato.
Redacción de los mensajes de error en un lenguaje sencillo (sin códigos de error), indicando con precisión el problema y sugiriendo una solución de manera constructiva.</v>
      </c>
      <c r="L72" s="141" t="str">
        <f t="shared" ref="L72:N72" si="77">IF(I72="",L71,I72)</f>
        <v>2.1.3</v>
      </c>
      <c r="M72" s="98" t="str">
        <f t="shared" si="77"/>
        <v>Diagnóstico y corrección de errores</v>
      </c>
      <c r="N72" s="98" t="str">
        <f t="shared" si="77"/>
        <v>Asistencia a las personas usuarias ante errores, brindándoles una solución o un acceso directo para que pueda resolver el error de inmediato.
Redacción de los mensajes de error en un lenguaje sencillo (sin códigos de error), indicando con precisión el problema y sugiriendo una solución de manera constructiva.</v>
      </c>
      <c r="O72" s="147" t="s">
        <v>775</v>
      </c>
      <c r="P72" s="148" t="s">
        <v>776</v>
      </c>
      <c r="Q72" s="148" t="s">
        <v>777</v>
      </c>
      <c r="R72" s="158"/>
      <c r="S72" s="159" t="s">
        <v>2048</v>
      </c>
      <c r="T72" s="160" t="s">
        <v>2033</v>
      </c>
      <c r="U72" s="94"/>
      <c r="V72" s="94"/>
      <c r="W72" s="94"/>
      <c r="X72" s="94"/>
      <c r="Y72" s="94"/>
      <c r="Z72" s="94"/>
      <c r="AA72" s="94"/>
      <c r="AB72" s="94"/>
      <c r="AC72" s="94"/>
      <c r="AD72" s="94"/>
      <c r="AE72" s="94"/>
      <c r="AF72" s="94"/>
      <c r="AG72" s="94"/>
      <c r="AH72" s="94"/>
      <c r="AI72" s="94"/>
      <c r="AJ72" s="94"/>
      <c r="AK72" s="94"/>
      <c r="AL72" s="94"/>
    </row>
    <row r="73">
      <c r="A73" s="86" t="s">
        <v>661</v>
      </c>
      <c r="B73" s="95" t="str">
        <f t="shared" si="2"/>
        <v>Pregunta</v>
      </c>
      <c r="C73" s="106" t="str">
        <f t="shared" si="9"/>
        <v>2.</v>
      </c>
      <c r="D73" s="106" t="str">
        <f t="shared" si="10"/>
        <v>Usabilidad</v>
      </c>
      <c r="E73" s="106" t="str">
        <f t="shared" si="11"/>
        <v>Medida en que los usuarios pueden utilizar un sistema para lograr determinados objetivos con eficacia, eficiencia y satisfacción en un contexto de uso especificado.</v>
      </c>
      <c r="F73" s="135" t="str">
        <f t="shared" si="3"/>
        <v>2.1</v>
      </c>
      <c r="G73" s="92" t="str">
        <f t="shared" si="4"/>
        <v>IMPRESCINDIBLES</v>
      </c>
      <c r="H73" s="141"/>
      <c r="I73" s="141" t="str">
        <f t="shared" si="5"/>
        <v/>
      </c>
      <c r="J73" s="98" t="str">
        <f t="shared" si="6"/>
        <v/>
      </c>
      <c r="K73" s="98" t="str">
        <f t="shared" si="7"/>
        <v/>
      </c>
      <c r="L73" s="141" t="str">
        <f t="shared" ref="L73:N73" si="78">IF(I73="",L72,I73)</f>
        <v>2.1.3</v>
      </c>
      <c r="M73" s="98" t="str">
        <f t="shared" si="78"/>
        <v>Diagnóstico y corrección de errores</v>
      </c>
      <c r="N73" s="98" t="str">
        <f t="shared" si="78"/>
        <v>Asistencia a las personas usuarias ante errores, brindándoles una solución o un acceso directo para que pueda resolver el error de inmediato.
Redacción de los mensajes de error en un lenguaje sencillo (sin códigos de error), indicando con precisión el problema y sugiriendo una solución de manera constructiva.</v>
      </c>
      <c r="O73" s="142"/>
      <c r="P73" s="143"/>
      <c r="Q73" s="143"/>
      <c r="R73" s="168"/>
      <c r="S73" s="143" t="s">
        <v>2049</v>
      </c>
      <c r="T73" s="164" t="s">
        <v>2033</v>
      </c>
      <c r="U73" s="94"/>
      <c r="V73" s="94"/>
      <c r="W73" s="94"/>
      <c r="X73" s="94"/>
      <c r="Y73" s="94"/>
      <c r="Z73" s="94"/>
      <c r="AA73" s="94"/>
      <c r="AB73" s="94"/>
      <c r="AC73" s="94"/>
      <c r="AD73" s="94"/>
      <c r="AE73" s="94"/>
      <c r="AF73" s="94"/>
      <c r="AG73" s="94"/>
      <c r="AH73" s="94"/>
      <c r="AI73" s="94"/>
      <c r="AJ73" s="94"/>
      <c r="AK73" s="94"/>
      <c r="AL73" s="94"/>
    </row>
    <row r="74">
      <c r="A74" s="105" t="s">
        <v>661</v>
      </c>
      <c r="B74" s="92" t="str">
        <f t="shared" si="2"/>
        <v>Pregunta</v>
      </c>
      <c r="C74" s="106" t="str">
        <f t="shared" si="9"/>
        <v>2.</v>
      </c>
      <c r="D74" s="106" t="str">
        <f t="shared" si="10"/>
        <v>Usabilidad</v>
      </c>
      <c r="E74" s="106" t="str">
        <f t="shared" si="11"/>
        <v>Medida en que los usuarios pueden utilizar un sistema para lograr determinados objetivos con eficacia, eficiencia y satisfacción en un contexto de uso especificado.</v>
      </c>
      <c r="F74" s="135" t="str">
        <f t="shared" si="3"/>
        <v>2.1</v>
      </c>
      <c r="G74" s="92" t="str">
        <f t="shared" si="4"/>
        <v>IMPRESCINDIBLES</v>
      </c>
      <c r="H74" s="141"/>
      <c r="I74" s="141" t="str">
        <f t="shared" si="5"/>
        <v>2.1.4</v>
      </c>
      <c r="J74" s="98" t="str">
        <f t="shared" si="6"/>
        <v>Ventanas modales o emergentes (pop-up)</v>
      </c>
      <c r="K74" s="98" t="str">
        <f t="shared" si="7"/>
        <v>Cuidado de no utilizar excesiva o innecesariamente ventanas modales y emergentes (pop-up).
</v>
      </c>
      <c r="L74" s="141" t="str">
        <f t="shared" ref="L74:N74" si="79">IF(I74="",L73,I74)</f>
        <v>2.1.4</v>
      </c>
      <c r="M74" s="98" t="str">
        <f t="shared" si="79"/>
        <v>Ventanas modales o emergentes (pop-up)</v>
      </c>
      <c r="N74" s="98" t="str">
        <f t="shared" si="79"/>
        <v>Cuidado de no utilizar excesiva o innecesariamente ventanas modales y emergentes (pop-up).
</v>
      </c>
      <c r="O74" s="147" t="s">
        <v>780</v>
      </c>
      <c r="P74" s="191" t="s">
        <v>2050</v>
      </c>
      <c r="Q74" s="191" t="s">
        <v>2051</v>
      </c>
      <c r="R74" s="192"/>
      <c r="S74" s="193" t="s">
        <v>783</v>
      </c>
      <c r="T74" s="160" t="s">
        <v>2033</v>
      </c>
      <c r="U74" s="94"/>
      <c r="V74" s="94"/>
      <c r="W74" s="94"/>
      <c r="X74" s="94"/>
      <c r="Y74" s="94"/>
      <c r="Z74" s="94"/>
      <c r="AA74" s="94"/>
      <c r="AB74" s="94"/>
      <c r="AC74" s="94"/>
      <c r="AD74" s="94"/>
      <c r="AE74" s="94"/>
      <c r="AF74" s="94"/>
      <c r="AG74" s="94"/>
      <c r="AH74" s="94"/>
      <c r="AI74" s="94"/>
      <c r="AJ74" s="94"/>
      <c r="AK74" s="94"/>
      <c r="AL74" s="94"/>
    </row>
    <row r="75">
      <c r="A75" s="86" t="s">
        <v>661</v>
      </c>
      <c r="B75" s="95" t="str">
        <f t="shared" si="2"/>
        <v>Pregunta</v>
      </c>
      <c r="C75" s="106" t="str">
        <f t="shared" si="9"/>
        <v>2.</v>
      </c>
      <c r="D75" s="106" t="str">
        <f t="shared" si="10"/>
        <v>Usabilidad</v>
      </c>
      <c r="E75" s="106" t="str">
        <f t="shared" si="11"/>
        <v>Medida en que los usuarios pueden utilizar un sistema para lograr determinados objetivos con eficacia, eficiencia y satisfacción en un contexto de uso especificado.</v>
      </c>
      <c r="F75" s="135" t="str">
        <f t="shared" si="3"/>
        <v>2.1</v>
      </c>
      <c r="G75" s="92" t="str">
        <f t="shared" si="4"/>
        <v>IMPRESCINDIBLES</v>
      </c>
      <c r="H75" s="141"/>
      <c r="I75" s="141" t="str">
        <f t="shared" si="5"/>
        <v/>
      </c>
      <c r="J75" s="98" t="str">
        <f t="shared" si="6"/>
        <v/>
      </c>
      <c r="K75" s="98" t="str">
        <f t="shared" si="7"/>
        <v/>
      </c>
      <c r="L75" s="141" t="str">
        <f t="shared" ref="L75:N75" si="80">IF(I75="",L74,I75)</f>
        <v>2.1.4</v>
      </c>
      <c r="M75" s="98" t="str">
        <f t="shared" si="80"/>
        <v>Ventanas modales o emergentes (pop-up)</v>
      </c>
      <c r="N75" s="98" t="str">
        <f t="shared" si="80"/>
        <v>Cuidado de no utilizar excesiva o innecesariamente ventanas modales y emergentes (pop-up).
</v>
      </c>
      <c r="O75" s="142"/>
      <c r="P75" s="145"/>
      <c r="Q75" s="145"/>
      <c r="R75" s="144"/>
      <c r="S75" s="194" t="s">
        <v>2052</v>
      </c>
      <c r="T75" s="164" t="s">
        <v>2033</v>
      </c>
      <c r="U75" s="94"/>
      <c r="V75" s="94"/>
      <c r="W75" s="94"/>
      <c r="X75" s="94"/>
      <c r="Y75" s="94"/>
      <c r="Z75" s="94"/>
      <c r="AA75" s="94"/>
      <c r="AB75" s="94"/>
      <c r="AC75" s="94"/>
      <c r="AD75" s="94"/>
      <c r="AE75" s="94"/>
      <c r="AF75" s="94"/>
      <c r="AG75" s="94"/>
      <c r="AH75" s="94"/>
      <c r="AI75" s="94"/>
      <c r="AJ75" s="94"/>
      <c r="AK75" s="94"/>
      <c r="AL75" s="94"/>
    </row>
    <row r="76">
      <c r="A76" s="105" t="s">
        <v>661</v>
      </c>
      <c r="B76" s="92" t="str">
        <f t="shared" si="2"/>
        <v>Pregunta</v>
      </c>
      <c r="C76" s="106" t="str">
        <f t="shared" si="9"/>
        <v>2.</v>
      </c>
      <c r="D76" s="106" t="str">
        <f t="shared" si="10"/>
        <v>Usabilidad</v>
      </c>
      <c r="E76" s="106" t="str">
        <f t="shared" si="11"/>
        <v>Medida en que los usuarios pueden utilizar un sistema para lograr determinados objetivos con eficacia, eficiencia y satisfacción en un contexto de uso especificado.</v>
      </c>
      <c r="F76" s="135" t="str">
        <f t="shared" si="3"/>
        <v>2.1</v>
      </c>
      <c r="G76" s="92" t="str">
        <f t="shared" si="4"/>
        <v>IMPRESCINDIBLES</v>
      </c>
      <c r="H76" s="141"/>
      <c r="I76" s="141" t="str">
        <f t="shared" si="5"/>
        <v>2.1.5</v>
      </c>
      <c r="J76" s="98" t="str">
        <f t="shared" si="6"/>
        <v>Mensajes de error</v>
      </c>
      <c r="K76" s="98" t="str">
        <f t="shared" si="7"/>
        <v>Interrupción generada por el sistema que le informa a la persona usuaria de una situación incompleta, incompatible o indeseable dentro del flujo de navegación.
</v>
      </c>
      <c r="L76" s="141" t="str">
        <f t="shared" ref="L76:N76" si="81">IF(I76="",L75,I76)</f>
        <v>2.1.5</v>
      </c>
      <c r="M76" s="98" t="str">
        <f t="shared" si="81"/>
        <v>Mensajes de error</v>
      </c>
      <c r="N76" s="98" t="str">
        <f t="shared" si="81"/>
        <v>Interrupción generada por el sistema que le informa a la persona usuaria de una situación incompleta, incompatible o indeseable dentro del flujo de navegación.
</v>
      </c>
      <c r="O76" s="147" t="s">
        <v>785</v>
      </c>
      <c r="P76" s="170" t="s">
        <v>786</v>
      </c>
      <c r="Q76" s="148" t="s">
        <v>787</v>
      </c>
      <c r="R76" s="158"/>
      <c r="S76" s="170" t="s">
        <v>2053</v>
      </c>
      <c r="T76" s="160" t="s">
        <v>2033</v>
      </c>
      <c r="U76" s="94"/>
      <c r="V76" s="94"/>
      <c r="W76" s="94"/>
      <c r="X76" s="94"/>
      <c r="Y76" s="94"/>
      <c r="Z76" s="94"/>
      <c r="AA76" s="94"/>
      <c r="AB76" s="94"/>
      <c r="AC76" s="94"/>
      <c r="AD76" s="94"/>
      <c r="AE76" s="94"/>
      <c r="AF76" s="94"/>
      <c r="AG76" s="94"/>
      <c r="AH76" s="94"/>
      <c r="AI76" s="94"/>
      <c r="AJ76" s="94"/>
      <c r="AK76" s="94"/>
      <c r="AL76" s="94"/>
    </row>
    <row r="77">
      <c r="A77" s="86" t="s">
        <v>661</v>
      </c>
      <c r="B77" s="95" t="str">
        <f t="shared" si="2"/>
        <v>Pregunta</v>
      </c>
      <c r="C77" s="106" t="str">
        <f t="shared" si="9"/>
        <v>2.</v>
      </c>
      <c r="D77" s="106" t="str">
        <f t="shared" si="10"/>
        <v>Usabilidad</v>
      </c>
      <c r="E77" s="106" t="str">
        <f t="shared" si="11"/>
        <v>Medida en que los usuarios pueden utilizar un sistema para lograr determinados objetivos con eficacia, eficiencia y satisfacción en un contexto de uso especificado.</v>
      </c>
      <c r="F77" s="135" t="str">
        <f t="shared" si="3"/>
        <v>2.1</v>
      </c>
      <c r="G77" s="92" t="str">
        <f t="shared" si="4"/>
        <v>IMPRESCINDIBLES</v>
      </c>
      <c r="H77" s="141"/>
      <c r="I77" s="141" t="str">
        <f t="shared" si="5"/>
        <v/>
      </c>
      <c r="J77" s="98" t="str">
        <f t="shared" si="6"/>
        <v/>
      </c>
      <c r="K77" s="98" t="str">
        <f t="shared" si="7"/>
        <v/>
      </c>
      <c r="L77" s="141" t="str">
        <f t="shared" ref="L77:N77" si="82">IF(I77="",L76,I77)</f>
        <v>2.1.5</v>
      </c>
      <c r="M77" s="98" t="str">
        <f t="shared" si="82"/>
        <v>Mensajes de error</v>
      </c>
      <c r="N77" s="98" t="str">
        <f t="shared" si="82"/>
        <v>Interrupción generada por el sistema que le informa a la persona usuaria de una situación incompleta, incompatible o indeseable dentro del flujo de navegación.
</v>
      </c>
      <c r="O77" s="142"/>
      <c r="P77" s="174"/>
      <c r="Q77" s="143"/>
      <c r="R77" s="174"/>
      <c r="S77" s="143" t="s">
        <v>2054</v>
      </c>
      <c r="T77" s="164" t="s">
        <v>2033</v>
      </c>
      <c r="U77" s="94"/>
      <c r="V77" s="94"/>
      <c r="W77" s="94"/>
      <c r="X77" s="94"/>
      <c r="Y77" s="94"/>
      <c r="Z77" s="94"/>
      <c r="AA77" s="94"/>
      <c r="AB77" s="94"/>
      <c r="AC77" s="94"/>
      <c r="AD77" s="94"/>
      <c r="AE77" s="94"/>
      <c r="AF77" s="94"/>
      <c r="AG77" s="94"/>
      <c r="AH77" s="94"/>
      <c r="AI77" s="94"/>
      <c r="AJ77" s="94"/>
      <c r="AK77" s="94"/>
      <c r="AL77" s="94"/>
    </row>
    <row r="78" hidden="1">
      <c r="A78" s="86" t="s">
        <v>661</v>
      </c>
      <c r="B78" s="95" t="str">
        <f t="shared" si="2"/>
        <v>Otro</v>
      </c>
      <c r="C78" s="106" t="str">
        <f t="shared" si="9"/>
        <v>2.</v>
      </c>
      <c r="D78" s="106" t="str">
        <f t="shared" si="10"/>
        <v>Usabilidad</v>
      </c>
      <c r="E78" s="106" t="str">
        <f t="shared" si="11"/>
        <v>Medida en que los usuarios pueden utilizar un sistema para lograr determinados objetivos con eficacia, eficiencia y satisfacción en un contexto de uso especificado.</v>
      </c>
      <c r="F78" s="135" t="str">
        <f t="shared" si="3"/>
        <v>2.2</v>
      </c>
      <c r="G78" s="92" t="str">
        <f t="shared" si="4"/>
        <v>ESPERABLES</v>
      </c>
      <c r="H78" s="135"/>
      <c r="I78" s="135" t="str">
        <f t="shared" si="5"/>
        <v/>
      </c>
      <c r="J78" s="98" t="str">
        <f t="shared" si="6"/>
        <v/>
      </c>
      <c r="K78" s="98" t="str">
        <f t="shared" si="7"/>
        <v/>
      </c>
      <c r="L78" s="141" t="str">
        <f t="shared" ref="L78:N78" si="83">IF(I78="",L77,I78)</f>
        <v>2.1.5</v>
      </c>
      <c r="M78" s="98" t="str">
        <f t="shared" si="83"/>
        <v>Mensajes de error</v>
      </c>
      <c r="N78" s="98" t="str">
        <f t="shared" si="83"/>
        <v>Interrupción generada por el sistema que le informa a la persona usuaria de una situación incompleta, incompatible o indeseable dentro del flujo de navegación.
</v>
      </c>
      <c r="O78" s="195" t="s">
        <v>790</v>
      </c>
      <c r="P78" s="196" t="s">
        <v>714</v>
      </c>
      <c r="Q78" s="177"/>
      <c r="R78" s="177"/>
      <c r="S78" s="197">
        <f>COUNTA(P79:P82)</f>
        <v>2</v>
      </c>
      <c r="T78" s="197">
        <f>COUNTIF(U79:U82,"n/a")</f>
        <v>0</v>
      </c>
      <c r="U78" s="94"/>
      <c r="V78" s="94"/>
      <c r="W78" s="94"/>
      <c r="X78" s="94"/>
      <c r="Y78" s="94"/>
      <c r="Z78" s="94"/>
      <c r="AA78" s="94"/>
      <c r="AB78" s="94"/>
      <c r="AC78" s="94"/>
      <c r="AD78" s="94"/>
      <c r="AE78" s="94"/>
      <c r="AF78" s="94"/>
      <c r="AG78" s="94"/>
      <c r="AH78" s="94"/>
      <c r="AI78" s="94"/>
      <c r="AJ78" s="94"/>
      <c r="AK78" s="94"/>
      <c r="AL78" s="94"/>
    </row>
    <row r="79">
      <c r="A79" s="105" t="s">
        <v>661</v>
      </c>
      <c r="B79" s="92" t="str">
        <f t="shared" si="2"/>
        <v>Pregunta</v>
      </c>
      <c r="C79" s="106" t="str">
        <f t="shared" si="9"/>
        <v>2.</v>
      </c>
      <c r="D79" s="106" t="str">
        <f t="shared" si="10"/>
        <v>Usabilidad</v>
      </c>
      <c r="E79" s="106" t="str">
        <f t="shared" si="11"/>
        <v>Medida en que los usuarios pueden utilizar un sistema para lograr determinados objetivos con eficacia, eficiencia y satisfacción en un contexto de uso especificado.</v>
      </c>
      <c r="F79" s="135" t="str">
        <f t="shared" si="3"/>
        <v>2.2</v>
      </c>
      <c r="G79" s="92" t="str">
        <f t="shared" si="4"/>
        <v>ESPERABLES</v>
      </c>
      <c r="H79" s="141"/>
      <c r="I79" s="141" t="str">
        <f t="shared" si="5"/>
        <v>2.2.1</v>
      </c>
      <c r="J79" s="98" t="str">
        <f t="shared" si="6"/>
        <v>Similitud del sistema con el mundo real</v>
      </c>
      <c r="K79" s="98" t="str">
        <f t="shared" si="7"/>
        <v>Utilización de conceptos, frases y diseños familiares para las personas usuarias. Correspondencia con las convenciones del mundo real, haciendo que la información aparezca en un orden natural y lógico.</v>
      </c>
      <c r="L79" s="141" t="str">
        <f t="shared" ref="L79:N79" si="84">IF(I79="",L78,I79)</f>
        <v>2.2.1</v>
      </c>
      <c r="M79" s="98" t="str">
        <f t="shared" si="84"/>
        <v>Similitud del sistema con el mundo real</v>
      </c>
      <c r="N79" s="98" t="str">
        <f t="shared" si="84"/>
        <v>Utilización de conceptos, frases y diseños familiares para las personas usuarias. Correspondencia con las convenciones del mundo real, haciendo que la información aparezca en un orden natural y lógico.</v>
      </c>
      <c r="O79" s="142" t="s">
        <v>791</v>
      </c>
      <c r="P79" s="143" t="s">
        <v>792</v>
      </c>
      <c r="Q79" s="143" t="s">
        <v>793</v>
      </c>
      <c r="R79" s="149"/>
      <c r="S79" s="150" t="s">
        <v>794</v>
      </c>
      <c r="T79" s="164" t="s">
        <v>2033</v>
      </c>
      <c r="U79" s="94"/>
      <c r="V79" s="94"/>
      <c r="W79" s="94"/>
      <c r="X79" s="94"/>
      <c r="Y79" s="94"/>
      <c r="Z79" s="94"/>
      <c r="AA79" s="94"/>
      <c r="AB79" s="94"/>
      <c r="AC79" s="94"/>
      <c r="AD79" s="94"/>
      <c r="AE79" s="94"/>
      <c r="AF79" s="94"/>
      <c r="AG79" s="94"/>
      <c r="AH79" s="94"/>
      <c r="AI79" s="94"/>
      <c r="AJ79" s="94"/>
      <c r="AK79" s="94"/>
      <c r="AL79" s="94"/>
    </row>
    <row r="80">
      <c r="A80" s="105" t="s">
        <v>661</v>
      </c>
      <c r="B80" s="92" t="str">
        <f t="shared" si="2"/>
        <v>Pregunta</v>
      </c>
      <c r="C80" s="106" t="str">
        <f t="shared" si="9"/>
        <v>2.</v>
      </c>
      <c r="D80" s="106" t="str">
        <f t="shared" si="10"/>
        <v>Usabilidad</v>
      </c>
      <c r="E80" s="106" t="str">
        <f t="shared" si="11"/>
        <v>Medida en que los usuarios pueden utilizar un sistema para lograr determinados objetivos con eficacia, eficiencia y satisfacción en un contexto de uso especificado.</v>
      </c>
      <c r="F80" s="135" t="str">
        <f t="shared" si="3"/>
        <v>2.2</v>
      </c>
      <c r="G80" s="92" t="str">
        <f t="shared" si="4"/>
        <v>ESPERABLES</v>
      </c>
      <c r="H80" s="141"/>
      <c r="I80" s="141" t="str">
        <f t="shared" si="5"/>
        <v>2.2.2</v>
      </c>
      <c r="J80" s="98" t="str">
        <f t="shared" si="6"/>
        <v>Control y libertad para la persona usuaria</v>
      </c>
      <c r="K80" s="98" t="str">
        <f t="shared" si="7"/>
        <v>Alternativa claramente marcada para abandonar una acción no deseada o detener un proceso prolongado.</v>
      </c>
      <c r="L80" s="141" t="str">
        <f t="shared" ref="L80:N80" si="85">IF(I80="",L79,I80)</f>
        <v>2.2.2</v>
      </c>
      <c r="M80" s="98" t="str">
        <f t="shared" si="85"/>
        <v>Control y libertad para la persona usuaria</v>
      </c>
      <c r="N80" s="98" t="str">
        <f t="shared" si="85"/>
        <v>Alternativa claramente marcada para abandonar una acción no deseada o detener un proceso prolongado.</v>
      </c>
      <c r="O80" s="147" t="s">
        <v>795</v>
      </c>
      <c r="P80" s="148" t="s">
        <v>796</v>
      </c>
      <c r="Q80" s="148" t="s">
        <v>797</v>
      </c>
      <c r="R80" s="158"/>
      <c r="S80" s="170" t="s">
        <v>798</v>
      </c>
      <c r="T80" s="160" t="s">
        <v>2033</v>
      </c>
      <c r="U80" s="94"/>
      <c r="V80" s="94"/>
      <c r="W80" s="94"/>
      <c r="X80" s="94"/>
      <c r="Y80" s="94"/>
      <c r="Z80" s="94"/>
      <c r="AA80" s="94"/>
      <c r="AB80" s="94"/>
      <c r="AC80" s="94"/>
      <c r="AD80" s="94"/>
      <c r="AE80" s="94"/>
      <c r="AF80" s="94"/>
      <c r="AG80" s="94"/>
      <c r="AH80" s="94"/>
      <c r="AI80" s="94"/>
      <c r="AJ80" s="94"/>
      <c r="AK80" s="94"/>
      <c r="AL80" s="94"/>
    </row>
    <row r="81">
      <c r="A81" s="86" t="s">
        <v>661</v>
      </c>
      <c r="B81" s="95" t="str">
        <f t="shared" si="2"/>
        <v>Pregunta</v>
      </c>
      <c r="C81" s="106" t="str">
        <f t="shared" si="9"/>
        <v>2.</v>
      </c>
      <c r="D81" s="106" t="str">
        <f t="shared" si="10"/>
        <v>Usabilidad</v>
      </c>
      <c r="E81" s="106" t="str">
        <f t="shared" si="11"/>
        <v>Medida en que los usuarios pueden utilizar un sistema para lograr determinados objetivos con eficacia, eficiencia y satisfacción en un contexto de uso especificado.</v>
      </c>
      <c r="F81" s="135" t="str">
        <f t="shared" si="3"/>
        <v>2.2</v>
      </c>
      <c r="G81" s="92" t="str">
        <f t="shared" si="4"/>
        <v>ESPERABLES</v>
      </c>
      <c r="H81" s="141"/>
      <c r="I81" s="141" t="str">
        <f t="shared" si="5"/>
        <v/>
      </c>
      <c r="J81" s="98" t="str">
        <f t="shared" si="6"/>
        <v/>
      </c>
      <c r="K81" s="98" t="str">
        <f t="shared" si="7"/>
        <v/>
      </c>
      <c r="L81" s="141" t="str">
        <f t="shared" ref="L81:N81" si="86">IF(I81="",L80,I81)</f>
        <v>2.2.2</v>
      </c>
      <c r="M81" s="98" t="str">
        <f t="shared" si="86"/>
        <v>Control y libertad para la persona usuaria</v>
      </c>
      <c r="N81" s="98" t="str">
        <f t="shared" si="86"/>
        <v>Alternativa claramente marcada para abandonar una acción no deseada o detener un proceso prolongado.</v>
      </c>
      <c r="O81" s="152"/>
      <c r="P81" s="153"/>
      <c r="Q81" s="153"/>
      <c r="R81" s="149"/>
      <c r="S81" s="162" t="s">
        <v>2055</v>
      </c>
      <c r="T81" s="160" t="s">
        <v>2033</v>
      </c>
      <c r="U81" s="94"/>
      <c r="V81" s="94"/>
      <c r="W81" s="94"/>
      <c r="X81" s="94"/>
      <c r="Y81" s="94"/>
      <c r="Z81" s="94"/>
      <c r="AA81" s="94"/>
      <c r="AB81" s="94"/>
      <c r="AC81" s="94"/>
      <c r="AD81" s="94"/>
      <c r="AE81" s="94"/>
      <c r="AF81" s="94"/>
      <c r="AG81" s="94"/>
      <c r="AH81" s="94"/>
      <c r="AI81" s="94"/>
      <c r="AJ81" s="94"/>
      <c r="AK81" s="94"/>
      <c r="AL81" s="94"/>
    </row>
    <row r="82">
      <c r="A82" s="86" t="s">
        <v>661</v>
      </c>
      <c r="B82" s="95" t="str">
        <f t="shared" si="2"/>
        <v>Pregunta</v>
      </c>
      <c r="C82" s="106" t="str">
        <f t="shared" si="9"/>
        <v>2.</v>
      </c>
      <c r="D82" s="106" t="str">
        <f t="shared" si="10"/>
        <v>Usabilidad</v>
      </c>
      <c r="E82" s="106" t="str">
        <f t="shared" si="11"/>
        <v>Medida en que los usuarios pueden utilizar un sistema para lograr determinados objetivos con eficacia, eficiencia y satisfacción en un contexto de uso especificado.</v>
      </c>
      <c r="F82" s="135" t="str">
        <f t="shared" si="3"/>
        <v>2.2</v>
      </c>
      <c r="G82" s="92" t="str">
        <f t="shared" si="4"/>
        <v>ESPERABLES</v>
      </c>
      <c r="H82" s="141"/>
      <c r="I82" s="141" t="str">
        <f t="shared" si="5"/>
        <v/>
      </c>
      <c r="J82" s="98" t="str">
        <f t="shared" si="6"/>
        <v/>
      </c>
      <c r="K82" s="98" t="str">
        <f t="shared" si="7"/>
        <v/>
      </c>
      <c r="L82" s="141" t="str">
        <f t="shared" ref="L82:N82" si="87">IF(I82="",L81,I82)</f>
        <v>2.2.2</v>
      </c>
      <c r="M82" s="98" t="str">
        <f t="shared" si="87"/>
        <v>Control y libertad para la persona usuaria</v>
      </c>
      <c r="N82" s="98" t="str">
        <f t="shared" si="87"/>
        <v>Alternativa claramente marcada para abandonar una acción no deseada o detener un proceso prolongado.</v>
      </c>
      <c r="O82" s="142"/>
      <c r="P82" s="143"/>
      <c r="Q82" s="143"/>
      <c r="R82" s="174"/>
      <c r="S82" s="169" t="s">
        <v>2056</v>
      </c>
      <c r="T82" s="164" t="s">
        <v>2033</v>
      </c>
      <c r="U82" s="94"/>
      <c r="V82" s="94"/>
      <c r="W82" s="94"/>
      <c r="X82" s="94"/>
      <c r="Y82" s="94"/>
      <c r="Z82" s="94"/>
      <c r="AA82" s="94"/>
      <c r="AB82" s="94"/>
      <c r="AC82" s="94"/>
      <c r="AD82" s="94"/>
      <c r="AE82" s="94"/>
      <c r="AF82" s="94"/>
      <c r="AG82" s="94"/>
      <c r="AH82" s="94"/>
      <c r="AI82" s="94"/>
      <c r="AJ82" s="94"/>
      <c r="AK82" s="94"/>
      <c r="AL82" s="94"/>
    </row>
    <row r="83" hidden="1">
      <c r="A83" s="86" t="s">
        <v>661</v>
      </c>
      <c r="B83" s="95" t="str">
        <f t="shared" si="2"/>
        <v>Otro</v>
      </c>
      <c r="C83" s="106" t="str">
        <f t="shared" si="9"/>
        <v>2.</v>
      </c>
      <c r="D83" s="106" t="str">
        <f t="shared" si="10"/>
        <v>Usabilidad</v>
      </c>
      <c r="E83" s="106" t="str">
        <f t="shared" si="11"/>
        <v>Medida en que los usuarios pueden utilizar un sistema para lograr determinados objetivos con eficacia, eficiencia y satisfacción en un contexto de uso especificado.</v>
      </c>
      <c r="F83" s="135" t="str">
        <f t="shared" si="3"/>
        <v>2.3</v>
      </c>
      <c r="G83" s="92" t="str">
        <f t="shared" si="4"/>
        <v>DESEABLES</v>
      </c>
      <c r="H83" s="135"/>
      <c r="I83" s="135" t="str">
        <f t="shared" si="5"/>
        <v/>
      </c>
      <c r="J83" s="98" t="str">
        <f t="shared" si="6"/>
        <v/>
      </c>
      <c r="K83" s="98" t="str">
        <f t="shared" si="7"/>
        <v/>
      </c>
      <c r="L83" s="141" t="str">
        <f t="shared" ref="L83:N83" si="88">IF(I83="",L82,I83)</f>
        <v>2.2.2</v>
      </c>
      <c r="M83" s="98" t="str">
        <f t="shared" si="88"/>
        <v>Control y libertad para la persona usuaria</v>
      </c>
      <c r="N83" s="98" t="str">
        <f t="shared" si="88"/>
        <v>Alternativa claramente marcada para abandonar una acción no deseada o detener un proceso prolongado.</v>
      </c>
      <c r="O83" s="198" t="s">
        <v>801</v>
      </c>
      <c r="P83" s="182" t="s">
        <v>749</v>
      </c>
      <c r="Q83" s="183"/>
      <c r="R83" s="183"/>
      <c r="S83" s="199">
        <f>COUNTA(P84:P86)</f>
        <v>2</v>
      </c>
      <c r="T83" s="199">
        <f>COUNTIF(U84:U86,"n/a")</f>
        <v>0</v>
      </c>
      <c r="U83" s="94"/>
      <c r="V83" s="94"/>
      <c r="W83" s="94"/>
      <c r="X83" s="94"/>
      <c r="Y83" s="94"/>
      <c r="Z83" s="94"/>
      <c r="AA83" s="94"/>
      <c r="AB83" s="94"/>
      <c r="AC83" s="94"/>
      <c r="AD83" s="94"/>
      <c r="AE83" s="94"/>
      <c r="AF83" s="94"/>
      <c r="AG83" s="94"/>
      <c r="AH83" s="94"/>
      <c r="AI83" s="94"/>
      <c r="AJ83" s="94"/>
      <c r="AK83" s="94"/>
      <c r="AL83" s="94"/>
    </row>
    <row r="84">
      <c r="A84" s="105" t="s">
        <v>661</v>
      </c>
      <c r="B84" s="92" t="str">
        <f t="shared" si="2"/>
        <v>Pregunta</v>
      </c>
      <c r="C84" s="106" t="str">
        <f t="shared" si="9"/>
        <v>2.</v>
      </c>
      <c r="D84" s="106" t="str">
        <f t="shared" si="10"/>
        <v>Usabilidad</v>
      </c>
      <c r="E84" s="106" t="str">
        <f t="shared" si="11"/>
        <v>Medida en que los usuarios pueden utilizar un sistema para lograr determinados objetivos con eficacia, eficiencia y satisfacción en un contexto de uso especificado.</v>
      </c>
      <c r="F84" s="135" t="str">
        <f t="shared" si="3"/>
        <v>2.3</v>
      </c>
      <c r="G84" s="92" t="str">
        <f t="shared" si="4"/>
        <v>DESEABLES</v>
      </c>
      <c r="H84" s="141"/>
      <c r="I84" s="141" t="str">
        <f t="shared" si="5"/>
        <v>2.3.1</v>
      </c>
      <c r="J84" s="98" t="str">
        <f t="shared" si="6"/>
        <v>Reducción del esfuerzo cognitivo</v>
      </c>
      <c r="K84" s="98" t="str">
        <f t="shared" si="7"/>
        <v>Disminución de la carga de memoria a corto plazo para la persona usuaria, haciendo fácilmente reconocibles los elementos, acciones y opciones. El sistema debería ayudar a los usuarios a reconocer los elementos de la interfaz sin la necesidad de analizarlos cada vez en detalle, gastando más energía y tiempo.
</v>
      </c>
      <c r="L84" s="141" t="str">
        <f t="shared" ref="L84:N84" si="89">IF(I84="",L83,I84)</f>
        <v>2.3.1</v>
      </c>
      <c r="M84" s="98" t="str">
        <f t="shared" si="89"/>
        <v>Reducción del esfuerzo cognitivo</v>
      </c>
      <c r="N84" s="98" t="str">
        <f t="shared" si="89"/>
        <v>Disminución de la carga de memoria a corto plazo para la persona usuaria, haciendo fácilmente reconocibles los elementos, acciones y opciones. El sistema debería ayudar a los usuarios a reconocer los elementos de la interfaz sin la necesidad de analizarlos cada vez en detalle, gastando más energía y tiempo.
</v>
      </c>
      <c r="O84" s="152" t="s">
        <v>802</v>
      </c>
      <c r="P84" s="153" t="s">
        <v>803</v>
      </c>
      <c r="Q84" s="153" t="s">
        <v>804</v>
      </c>
      <c r="R84" s="149"/>
      <c r="S84" s="162" t="s">
        <v>805</v>
      </c>
      <c r="T84" s="160" t="s">
        <v>2033</v>
      </c>
      <c r="U84" s="94"/>
      <c r="V84" s="94"/>
      <c r="W84" s="94"/>
      <c r="X84" s="94"/>
      <c r="Y84" s="94"/>
      <c r="Z84" s="94"/>
      <c r="AA84" s="94"/>
      <c r="AB84" s="94"/>
      <c r="AC84" s="94"/>
      <c r="AD84" s="94"/>
      <c r="AE84" s="94"/>
      <c r="AF84" s="94"/>
      <c r="AG84" s="94"/>
      <c r="AH84" s="94"/>
      <c r="AI84" s="94"/>
      <c r="AJ84" s="94"/>
      <c r="AK84" s="94"/>
      <c r="AL84" s="94"/>
    </row>
    <row r="85">
      <c r="A85" s="86" t="s">
        <v>661</v>
      </c>
      <c r="B85" s="95" t="str">
        <f t="shared" si="2"/>
        <v>Pregunta</v>
      </c>
      <c r="C85" s="106" t="str">
        <f t="shared" si="9"/>
        <v>2.</v>
      </c>
      <c r="D85" s="106" t="str">
        <f t="shared" si="10"/>
        <v>Usabilidad</v>
      </c>
      <c r="E85" s="106" t="str">
        <f t="shared" si="11"/>
        <v>Medida en que los usuarios pueden utilizar un sistema para lograr determinados objetivos con eficacia, eficiencia y satisfacción en un contexto de uso especificado.</v>
      </c>
      <c r="F85" s="135" t="str">
        <f t="shared" si="3"/>
        <v>2.3</v>
      </c>
      <c r="G85" s="92" t="str">
        <f t="shared" si="4"/>
        <v>DESEABLES</v>
      </c>
      <c r="H85" s="141"/>
      <c r="I85" s="141" t="str">
        <f t="shared" si="5"/>
        <v/>
      </c>
      <c r="J85" s="98" t="str">
        <f t="shared" si="6"/>
        <v/>
      </c>
      <c r="K85" s="98" t="str">
        <f t="shared" si="7"/>
        <v/>
      </c>
      <c r="L85" s="141" t="str">
        <f t="shared" ref="L85:N85" si="90">IF(I85="",L84,I85)</f>
        <v>2.3.1</v>
      </c>
      <c r="M85" s="98" t="str">
        <f t="shared" si="90"/>
        <v>Reducción del esfuerzo cognitivo</v>
      </c>
      <c r="N85" s="98" t="str">
        <f t="shared" si="90"/>
        <v>Disminución de la carga de memoria a corto plazo para la persona usuaria, haciendo fácilmente reconocibles los elementos, acciones y opciones. El sistema debería ayudar a los usuarios a reconocer los elementos de la interfaz sin la necesidad de analizarlos cada vez en detalle, gastando más energía y tiempo.
</v>
      </c>
      <c r="O85" s="142"/>
      <c r="P85" s="143"/>
      <c r="Q85" s="143"/>
      <c r="R85" s="168"/>
      <c r="S85" s="169" t="s">
        <v>2057</v>
      </c>
      <c r="T85" s="164" t="s">
        <v>2033</v>
      </c>
      <c r="U85" s="94"/>
      <c r="V85" s="94"/>
      <c r="W85" s="94"/>
      <c r="X85" s="94"/>
      <c r="Y85" s="94"/>
      <c r="Z85" s="94"/>
      <c r="AA85" s="94"/>
      <c r="AB85" s="94"/>
      <c r="AC85" s="94"/>
      <c r="AD85" s="94"/>
      <c r="AE85" s="94"/>
      <c r="AF85" s="94"/>
      <c r="AG85" s="94"/>
      <c r="AH85" s="94"/>
      <c r="AI85" s="94"/>
      <c r="AJ85" s="94"/>
      <c r="AK85" s="94"/>
      <c r="AL85" s="94"/>
    </row>
    <row r="86">
      <c r="A86" s="105" t="s">
        <v>661</v>
      </c>
      <c r="B86" s="92" t="str">
        <f t="shared" si="2"/>
        <v>Pregunta</v>
      </c>
      <c r="C86" s="106" t="str">
        <f t="shared" si="9"/>
        <v>2.</v>
      </c>
      <c r="D86" s="106" t="str">
        <f t="shared" si="10"/>
        <v>Usabilidad</v>
      </c>
      <c r="E86" s="106" t="str">
        <f t="shared" si="11"/>
        <v>Medida en que los usuarios pueden utilizar un sistema para lograr determinados objetivos con eficacia, eficiencia y satisfacción en un contexto de uso especificado.</v>
      </c>
      <c r="F86" s="135" t="str">
        <f t="shared" si="3"/>
        <v>2.3</v>
      </c>
      <c r="G86" s="92" t="str">
        <f t="shared" si="4"/>
        <v>DESEABLES</v>
      </c>
      <c r="H86" s="141"/>
      <c r="I86" s="141" t="str">
        <f t="shared" si="5"/>
        <v>2.3.2</v>
      </c>
      <c r="J86" s="98" t="str">
        <f t="shared" si="6"/>
        <v>Flexibilidad y eficiencia de uso</v>
      </c>
      <c r="K86" s="98" t="str">
        <f t="shared" si="7"/>
        <v>Oferta de distintas maneras para acceder al contenido y opción de aceleradores y acciones personalizadas tanto para personas usuarias avanzadas como menos experimentadas.</v>
      </c>
      <c r="L86" s="141" t="str">
        <f t="shared" ref="L86:N86" si="91">IF(I86="",L85,I86)</f>
        <v>2.3.2</v>
      </c>
      <c r="M86" s="98" t="str">
        <f t="shared" si="91"/>
        <v>Flexibilidad y eficiencia de uso</v>
      </c>
      <c r="N86" s="98" t="str">
        <f t="shared" si="91"/>
        <v>Oferta de distintas maneras para acceder al contenido y opción de aceleradores y acciones personalizadas tanto para personas usuarias avanzadas como menos experimentadas.</v>
      </c>
      <c r="O86" s="165" t="s">
        <v>807</v>
      </c>
      <c r="P86" s="166" t="s">
        <v>808</v>
      </c>
      <c r="Q86" s="148" t="s">
        <v>809</v>
      </c>
      <c r="R86" s="200"/>
      <c r="S86" s="153" t="s">
        <v>2058</v>
      </c>
      <c r="T86" s="164" t="s">
        <v>2033</v>
      </c>
      <c r="U86" s="94"/>
      <c r="V86" s="94"/>
      <c r="W86" s="94"/>
      <c r="X86" s="94"/>
      <c r="Y86" s="94"/>
      <c r="Z86" s="94"/>
      <c r="AA86" s="94"/>
      <c r="AB86" s="94"/>
      <c r="AC86" s="94"/>
      <c r="AD86" s="94"/>
      <c r="AE86" s="94"/>
      <c r="AF86" s="94"/>
      <c r="AG86" s="94"/>
      <c r="AH86" s="94"/>
      <c r="AI86" s="94"/>
      <c r="AJ86" s="94"/>
      <c r="AK86" s="94"/>
      <c r="AL86" s="94"/>
    </row>
    <row r="87" hidden="1">
      <c r="A87" s="86" t="s">
        <v>661</v>
      </c>
      <c r="B87" s="95" t="str">
        <f t="shared" si="2"/>
        <v>Otro</v>
      </c>
      <c r="C87" s="106" t="str">
        <f t="shared" si="9"/>
        <v>2.</v>
      </c>
      <c r="D87" s="106" t="str">
        <f t="shared" si="10"/>
        <v>Usabilidad</v>
      </c>
      <c r="E87" s="106" t="str">
        <f t="shared" si="11"/>
        <v>Medida en que los usuarios pueden utilizar un sistema para lograr determinados objetivos con eficacia, eficiencia y satisfacción en un contexto de uso especificado.</v>
      </c>
      <c r="F87" s="135" t="str">
        <f t="shared" si="3"/>
        <v>2.3</v>
      </c>
      <c r="G87" s="92" t="str">
        <f t="shared" si="4"/>
        <v>DESEABLES</v>
      </c>
      <c r="H87" s="96"/>
      <c r="I87" s="96" t="str">
        <f t="shared" si="5"/>
        <v/>
      </c>
      <c r="J87" s="98" t="str">
        <f t="shared" si="6"/>
        <v/>
      </c>
      <c r="K87" s="98" t="str">
        <f t="shared" si="7"/>
        <v/>
      </c>
      <c r="L87" s="141" t="str">
        <f t="shared" ref="L87:N87" si="92">IF(I87="",L86,I87)</f>
        <v>2.3.2</v>
      </c>
      <c r="M87" s="98" t="str">
        <f t="shared" si="92"/>
        <v>Flexibilidad y eficiencia de uso</v>
      </c>
      <c r="N87" s="98" t="str">
        <f t="shared" si="92"/>
        <v>Oferta de distintas maneras para acceder al contenido y opción de aceleradores y acciones personalizadas tanto para personas usuarias avanzadas como menos experimentadas.</v>
      </c>
      <c r="O87" s="99"/>
      <c r="P87" s="100"/>
      <c r="Q87" s="101" t="s">
        <v>661</v>
      </c>
      <c r="R87" s="102"/>
      <c r="S87" s="103"/>
      <c r="T87" s="104"/>
      <c r="U87" s="94"/>
      <c r="V87" s="94"/>
      <c r="W87" s="94"/>
      <c r="X87" s="94"/>
      <c r="Y87" s="94"/>
      <c r="Z87" s="94"/>
      <c r="AA87" s="94"/>
      <c r="AB87" s="94"/>
      <c r="AC87" s="94"/>
      <c r="AD87" s="94"/>
      <c r="AE87" s="94"/>
      <c r="AF87" s="94"/>
      <c r="AG87" s="94"/>
      <c r="AH87" s="94"/>
      <c r="AI87" s="94"/>
      <c r="AJ87" s="94"/>
      <c r="AK87" s="94"/>
      <c r="AL87" s="94"/>
    </row>
    <row r="88" hidden="1">
      <c r="A88" s="86" t="s">
        <v>661</v>
      </c>
      <c r="B88" s="201" t="str">
        <f t="shared" si="2"/>
        <v>Otro</v>
      </c>
      <c r="C88" s="106" t="str">
        <f t="shared" si="9"/>
        <v>3.</v>
      </c>
      <c r="D88" s="106" t="str">
        <f t="shared" si="10"/>
        <v>Accesibilidad web</v>
      </c>
      <c r="E88"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88" s="135" t="str">
        <f t="shared" si="3"/>
        <v>2.3</v>
      </c>
      <c r="G88" s="92" t="str">
        <f t="shared" si="4"/>
        <v>DESEABLES</v>
      </c>
      <c r="H88" s="109"/>
      <c r="I88" s="109" t="str">
        <f t="shared" si="5"/>
        <v/>
      </c>
      <c r="J88" s="98" t="str">
        <f t="shared" si="6"/>
        <v/>
      </c>
      <c r="K88" s="98" t="str">
        <f t="shared" si="7"/>
        <v/>
      </c>
      <c r="L88" s="141" t="str">
        <f t="shared" ref="L88:N88" si="93">IF(I88="",L87,I88)</f>
        <v>2.3.2</v>
      </c>
      <c r="M88" s="98" t="str">
        <f t="shared" si="93"/>
        <v>Flexibilidad y eficiencia de uso</v>
      </c>
      <c r="N88" s="98" t="str">
        <f t="shared" si="93"/>
        <v>Oferta de distintas maneras para acceder al contenido y opción de aceleradores y acciones personalizadas tanto para personas usuarias avanzadas como menos experimentadas.</v>
      </c>
      <c r="O88" s="111" t="s">
        <v>23</v>
      </c>
      <c r="P88" s="112" t="s">
        <v>24</v>
      </c>
      <c r="Q88" s="113"/>
      <c r="R88" s="114"/>
      <c r="S88" s="203" t="s">
        <v>2059</v>
      </c>
      <c r="T88" s="116" t="s">
        <v>16</v>
      </c>
      <c r="U88" s="94"/>
      <c r="V88" s="94"/>
      <c r="W88" s="94"/>
      <c r="X88" s="94"/>
      <c r="Y88" s="94"/>
      <c r="Z88" s="94"/>
      <c r="AA88" s="94"/>
      <c r="AB88" s="94"/>
      <c r="AC88" s="94"/>
      <c r="AD88" s="94"/>
      <c r="AE88" s="94"/>
      <c r="AF88" s="94"/>
      <c r="AG88" s="94"/>
      <c r="AH88" s="94"/>
      <c r="AI88" s="94"/>
      <c r="AJ88" s="94"/>
      <c r="AK88" s="94"/>
      <c r="AL88" s="94"/>
    </row>
    <row r="89" hidden="1">
      <c r="A89" s="86" t="s">
        <v>661</v>
      </c>
      <c r="B89" s="201" t="str">
        <f t="shared" si="2"/>
        <v>Otro</v>
      </c>
      <c r="C89" s="106" t="str">
        <f t="shared" si="9"/>
        <v>3.</v>
      </c>
      <c r="D89" s="106" t="str">
        <f t="shared" si="10"/>
        <v>Accesibilidad web</v>
      </c>
      <c r="E89"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89" s="135" t="str">
        <f t="shared" si="3"/>
        <v>2.3</v>
      </c>
      <c r="G89" s="92" t="str">
        <f t="shared" si="4"/>
        <v>DESEABLES</v>
      </c>
      <c r="H89" s="109"/>
      <c r="I89" s="109" t="str">
        <f t="shared" si="5"/>
        <v/>
      </c>
      <c r="J89" s="98" t="str">
        <f t="shared" si="6"/>
        <v/>
      </c>
      <c r="K89" s="98" t="str">
        <f t="shared" si="7"/>
        <v/>
      </c>
      <c r="L89" s="141" t="str">
        <f t="shared" ref="L89:N89" si="94">IF(I89="",L88,I89)</f>
        <v>2.3.2</v>
      </c>
      <c r="M89" s="98" t="str">
        <f t="shared" si="94"/>
        <v>Flexibilidad y eficiencia de uso</v>
      </c>
      <c r="N89" s="98" t="str">
        <f t="shared" si="94"/>
        <v>Oferta de distintas maneras para acceder al contenido y opción de aceleradores y acciones personalizadas tanto para personas usuarias avanzadas como menos experimentadas.</v>
      </c>
      <c r="O89" s="117"/>
      <c r="P89" s="118"/>
      <c r="Q89" s="119"/>
      <c r="R89" s="114"/>
      <c r="S89" s="120"/>
      <c r="T89" s="116" t="s">
        <v>19</v>
      </c>
      <c r="U89" s="94"/>
      <c r="V89" s="94"/>
      <c r="W89" s="94"/>
      <c r="X89" s="94"/>
      <c r="Y89" s="94"/>
      <c r="Z89" s="94"/>
      <c r="AA89" s="94"/>
      <c r="AB89" s="94"/>
      <c r="AC89" s="94"/>
      <c r="AD89" s="94"/>
      <c r="AE89" s="94"/>
      <c r="AF89" s="94"/>
      <c r="AG89" s="94"/>
      <c r="AH89" s="94"/>
      <c r="AI89" s="94"/>
      <c r="AJ89" s="94"/>
      <c r="AK89" s="94"/>
      <c r="AL89" s="94"/>
    </row>
    <row r="90" hidden="1">
      <c r="A90" s="86" t="s">
        <v>661</v>
      </c>
      <c r="B90" s="201" t="str">
        <f t="shared" si="2"/>
        <v>Otro</v>
      </c>
      <c r="C90" s="106" t="str">
        <f t="shared" si="9"/>
        <v>3.</v>
      </c>
      <c r="D90" s="106" t="str">
        <f t="shared" si="10"/>
        <v>Accesibilidad web</v>
      </c>
      <c r="E90"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90" s="135" t="str">
        <f t="shared" si="3"/>
        <v>2.3</v>
      </c>
      <c r="G90" s="92" t="str">
        <f t="shared" si="4"/>
        <v>DESEABLES</v>
      </c>
      <c r="H90" s="109"/>
      <c r="I90" s="109" t="str">
        <f t="shared" si="5"/>
        <v/>
      </c>
      <c r="J90" s="98" t="str">
        <f t="shared" si="6"/>
        <v/>
      </c>
      <c r="K90" s="98" t="str">
        <f t="shared" si="7"/>
        <v/>
      </c>
      <c r="L90" s="141" t="str">
        <f t="shared" ref="L90:N90" si="95">IF(I90="",L89,I90)</f>
        <v>2.3.2</v>
      </c>
      <c r="M90" s="98" t="str">
        <f t="shared" si="95"/>
        <v>Flexibilidad y eficiencia de uso</v>
      </c>
      <c r="N90" s="98" t="str">
        <f t="shared" si="95"/>
        <v>Oferta de distintas maneras para acceder al contenido y opción de aceleradores y acciones personalizadas tanto para personas usuarias avanzadas como menos experimentadas.</v>
      </c>
      <c r="O90" s="121"/>
      <c r="P90" s="122"/>
      <c r="Q90" s="123"/>
      <c r="R90" s="114"/>
      <c r="S90" s="124"/>
      <c r="T90" s="116" t="s">
        <v>22</v>
      </c>
      <c r="U90" s="94"/>
      <c r="V90" s="94"/>
      <c r="W90" s="94"/>
      <c r="X90" s="94"/>
      <c r="Y90" s="94"/>
      <c r="Z90" s="94"/>
      <c r="AA90" s="94"/>
      <c r="AB90" s="94"/>
      <c r="AC90" s="94"/>
      <c r="AD90" s="94"/>
      <c r="AE90" s="94"/>
      <c r="AF90" s="94"/>
      <c r="AG90" s="94"/>
      <c r="AH90" s="94"/>
      <c r="AI90" s="94"/>
      <c r="AJ90" s="94"/>
      <c r="AK90" s="94"/>
      <c r="AL90" s="94"/>
    </row>
    <row r="91" hidden="1">
      <c r="A91" s="86" t="s">
        <v>661</v>
      </c>
      <c r="B91" s="201" t="str">
        <f t="shared" si="2"/>
        <v>Otro</v>
      </c>
      <c r="C91" s="106" t="str">
        <f t="shared" si="9"/>
        <v>3.</v>
      </c>
      <c r="D91" s="106" t="str">
        <f t="shared" si="10"/>
        <v>Accesibilidad web</v>
      </c>
      <c r="E91"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91" s="135" t="str">
        <f t="shared" si="3"/>
        <v>2.3</v>
      </c>
      <c r="G91" s="92" t="str">
        <f t="shared" si="4"/>
        <v>DESEABLES</v>
      </c>
      <c r="H91" s="125"/>
      <c r="I91" s="125" t="str">
        <f t="shared" si="5"/>
        <v/>
      </c>
      <c r="J91" s="98" t="str">
        <f t="shared" si="6"/>
        <v/>
      </c>
      <c r="K91" s="98" t="str">
        <f t="shared" si="7"/>
        <v/>
      </c>
      <c r="L91" s="141" t="str">
        <f t="shared" ref="L91:N91" si="96">IF(I91="",L90,I91)</f>
        <v>2.3.2</v>
      </c>
      <c r="M91" s="98" t="str">
        <f t="shared" si="96"/>
        <v>Flexibilidad y eficiencia de uso</v>
      </c>
      <c r="N91" s="98" t="str">
        <f t="shared" si="96"/>
        <v>Oferta de distintas maneras para acceder al contenido y opción de aceleradores y acciones personalizadas tanto para personas usuarias avanzadas como menos experimentadas.</v>
      </c>
      <c r="O91" s="126"/>
      <c r="P91" s="114"/>
      <c r="Q91" s="114"/>
      <c r="R91" s="127"/>
      <c r="S91" s="127"/>
      <c r="T91" s="127"/>
      <c r="U91" s="94"/>
      <c r="V91" s="94"/>
      <c r="W91" s="94"/>
      <c r="X91" s="94"/>
      <c r="Y91" s="94"/>
      <c r="Z91" s="94"/>
      <c r="AA91" s="94"/>
      <c r="AB91" s="94"/>
      <c r="AC91" s="94"/>
      <c r="AD91" s="94"/>
      <c r="AE91" s="94"/>
      <c r="AF91" s="94"/>
      <c r="AG91" s="94"/>
      <c r="AH91" s="94"/>
      <c r="AI91" s="94"/>
      <c r="AJ91" s="94"/>
      <c r="AK91" s="94"/>
      <c r="AL91" s="94"/>
    </row>
    <row r="92" hidden="1">
      <c r="A92" s="86" t="s">
        <v>661</v>
      </c>
      <c r="B92" s="95" t="str">
        <f t="shared" si="2"/>
        <v>Otro</v>
      </c>
      <c r="C92" s="106" t="str">
        <f t="shared" si="9"/>
        <v>3.</v>
      </c>
      <c r="D92" s="106" t="str">
        <f t="shared" si="10"/>
        <v>Accesibilidad web</v>
      </c>
      <c r="E92"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92" s="135" t="str">
        <f t="shared" si="3"/>
        <v>2.3</v>
      </c>
      <c r="G92" s="92" t="str">
        <f t="shared" si="4"/>
        <v>DESEABLES</v>
      </c>
      <c r="H92" s="130"/>
      <c r="I92" s="130" t="str">
        <f t="shared" si="5"/>
        <v/>
      </c>
      <c r="J92" s="98" t="str">
        <f t="shared" si="6"/>
        <v/>
      </c>
      <c r="K92" s="98" t="str">
        <f t="shared" si="7"/>
        <v/>
      </c>
      <c r="L92" s="141" t="str">
        <f t="shared" ref="L92:N92" si="97">IF(I92="",L91,I92)</f>
        <v>2.3.2</v>
      </c>
      <c r="M92" s="98" t="str">
        <f t="shared" si="97"/>
        <v>Flexibilidad y eficiencia de uso</v>
      </c>
      <c r="N92" s="98" t="str">
        <f t="shared" si="97"/>
        <v>Oferta de distintas maneras para acceder al contenido y opción de aceleradores y acciones personalizadas tanto para personas usuarias avanzadas como menos experimentadas.</v>
      </c>
      <c r="O92" s="132" t="s">
        <v>1822</v>
      </c>
      <c r="P92" s="133" t="s">
        <v>1823</v>
      </c>
      <c r="Q92" s="133" t="s">
        <v>2031</v>
      </c>
      <c r="R92" s="134"/>
      <c r="S92" s="133" t="s">
        <v>1824</v>
      </c>
      <c r="T92" s="133" t="s">
        <v>1825</v>
      </c>
      <c r="U92" s="94"/>
      <c r="V92" s="94"/>
      <c r="W92" s="94"/>
      <c r="X92" s="94"/>
      <c r="Y92" s="94"/>
      <c r="Z92" s="94"/>
      <c r="AA92" s="94"/>
      <c r="AB92" s="94"/>
      <c r="AC92" s="94"/>
      <c r="AD92" s="94"/>
      <c r="AE92" s="94"/>
      <c r="AF92" s="94"/>
      <c r="AG92" s="94"/>
      <c r="AH92" s="94"/>
      <c r="AI92" s="94"/>
      <c r="AJ92" s="94"/>
      <c r="AK92" s="94"/>
      <c r="AL92" s="94"/>
    </row>
    <row r="93" hidden="1">
      <c r="A93" s="86" t="s">
        <v>661</v>
      </c>
      <c r="B93" s="95" t="str">
        <f t="shared" si="2"/>
        <v>Otro</v>
      </c>
      <c r="C93" s="106" t="str">
        <f t="shared" si="9"/>
        <v>3.</v>
      </c>
      <c r="D93" s="106" t="str">
        <f t="shared" si="10"/>
        <v>Accesibilidad web</v>
      </c>
      <c r="E93"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93" s="204">
        <f t="shared" si="3"/>
        <v>45294</v>
      </c>
      <c r="G93" s="92" t="str">
        <f t="shared" si="4"/>
        <v>IMPRESCINDIBLES</v>
      </c>
      <c r="H93" s="204"/>
      <c r="I93" s="204" t="str">
        <f t="shared" si="5"/>
        <v/>
      </c>
      <c r="J93" s="98" t="str">
        <f t="shared" si="6"/>
        <v/>
      </c>
      <c r="K93" s="98" t="str">
        <f t="shared" si="7"/>
        <v/>
      </c>
      <c r="L93" s="141" t="str">
        <f t="shared" ref="L93:N93" si="98">IF(I93="",L92,I93)</f>
        <v>2.3.2</v>
      </c>
      <c r="M93" s="98" t="str">
        <f t="shared" si="98"/>
        <v>Flexibilidad y eficiencia de uso</v>
      </c>
      <c r="N93" s="98" t="str">
        <f t="shared" si="98"/>
        <v>Oferta de distintas maneras para acceder al contenido y opción de aceleradores y acciones personalizadas tanto para personas usuarias avanzadas como menos experimentadas.</v>
      </c>
      <c r="O93" s="205">
        <v>45294.0</v>
      </c>
      <c r="P93" s="206" t="s">
        <v>664</v>
      </c>
      <c r="Q93" s="200"/>
      <c r="R93" s="138"/>
      <c r="S93" s="139">
        <f>COUNTA(P94:P108)</f>
        <v>10</v>
      </c>
      <c r="T93" s="140">
        <f>COUNTIF(U94:U108,"n/a")</f>
        <v>0</v>
      </c>
      <c r="U93" s="94"/>
      <c r="V93" s="94"/>
      <c r="W93" s="94"/>
      <c r="X93" s="94"/>
      <c r="Y93" s="94"/>
      <c r="Z93" s="94"/>
      <c r="AA93" s="94"/>
      <c r="AB93" s="94"/>
      <c r="AC93" s="94"/>
      <c r="AD93" s="94"/>
      <c r="AE93" s="94"/>
      <c r="AF93" s="94"/>
      <c r="AG93" s="94"/>
      <c r="AH93" s="94"/>
      <c r="AI93" s="94"/>
      <c r="AJ93" s="94"/>
      <c r="AK93" s="94"/>
      <c r="AL93" s="94"/>
    </row>
    <row r="94">
      <c r="A94" s="105" t="s">
        <v>661</v>
      </c>
      <c r="B94" s="92" t="str">
        <f t="shared" si="2"/>
        <v>Pregunta</v>
      </c>
      <c r="C94" s="106" t="str">
        <f t="shared" si="9"/>
        <v>3.</v>
      </c>
      <c r="D94" s="106" t="str">
        <f t="shared" si="10"/>
        <v>Accesibilidad web</v>
      </c>
      <c r="E94"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94" s="204">
        <f t="shared" si="3"/>
        <v>45294</v>
      </c>
      <c r="G94" s="92" t="str">
        <f t="shared" si="4"/>
        <v>IMPRESCINDIBLES</v>
      </c>
      <c r="H94" s="141"/>
      <c r="I94" s="141" t="str">
        <f t="shared" si="5"/>
        <v>3.1.1</v>
      </c>
      <c r="J94" s="98" t="str">
        <f t="shared" si="6"/>
        <v>Texto alternativo</v>
      </c>
      <c r="K94" s="98" t="str">
        <f t="shared" si="7"/>
        <v>Presentación de una alternativa textual a todo el contenido no textual (imágenes, botones, iconos), por ejemplo, mediante las etiquetas "alt", "title" o "description" del código HTML.
</v>
      </c>
      <c r="L94" s="141" t="str">
        <f t="shared" ref="L94:N94" si="99">IF(I94="",L93,I94)</f>
        <v>3.1.1</v>
      </c>
      <c r="M94" s="98" t="str">
        <f t="shared" si="99"/>
        <v>Texto alternativo</v>
      </c>
      <c r="N94" s="98" t="str">
        <f t="shared" si="99"/>
        <v>Presentación de una alternativa textual a todo el contenido no textual (imágenes, botones, iconos), por ejemplo, mediante las etiquetas "alt", "title" o "description" del código HTML.
</v>
      </c>
      <c r="O94" s="207" t="s">
        <v>812</v>
      </c>
      <c r="P94" s="180" t="s">
        <v>813</v>
      </c>
      <c r="Q94" s="180" t="s">
        <v>814</v>
      </c>
      <c r="R94" s="171"/>
      <c r="S94" s="208" t="s">
        <v>2060</v>
      </c>
      <c r="T94" s="160" t="s">
        <v>2033</v>
      </c>
      <c r="U94" s="94"/>
      <c r="V94" s="94"/>
      <c r="W94" s="94"/>
      <c r="X94" s="94"/>
      <c r="Y94" s="94"/>
      <c r="Z94" s="94"/>
      <c r="AA94" s="94"/>
      <c r="AB94" s="94"/>
      <c r="AC94" s="94"/>
      <c r="AD94" s="94"/>
      <c r="AE94" s="94"/>
      <c r="AF94" s="94"/>
      <c r="AG94" s="94"/>
      <c r="AH94" s="94"/>
      <c r="AI94" s="94"/>
      <c r="AJ94" s="94"/>
      <c r="AK94" s="94"/>
      <c r="AL94" s="94"/>
    </row>
    <row r="95">
      <c r="A95" s="86" t="s">
        <v>661</v>
      </c>
      <c r="B95" s="95" t="str">
        <f t="shared" si="2"/>
        <v>Pregunta</v>
      </c>
      <c r="C95" s="106" t="str">
        <f t="shared" si="9"/>
        <v>3.</v>
      </c>
      <c r="D95" s="106" t="str">
        <f t="shared" si="10"/>
        <v>Accesibilidad web</v>
      </c>
      <c r="E95"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95" s="204">
        <f t="shared" si="3"/>
        <v>45294</v>
      </c>
      <c r="G95" s="92" t="str">
        <f t="shared" si="4"/>
        <v>IMPRESCINDIBLES</v>
      </c>
      <c r="H95" s="141"/>
      <c r="I95" s="141" t="str">
        <f t="shared" si="5"/>
        <v/>
      </c>
      <c r="J95" s="98" t="str">
        <f t="shared" si="6"/>
        <v/>
      </c>
      <c r="K95" s="98" t="str">
        <f t="shared" si="7"/>
        <v/>
      </c>
      <c r="L95" s="141" t="str">
        <f t="shared" ref="L95:N95" si="100">IF(I95="",L94,I95)</f>
        <v>3.1.1</v>
      </c>
      <c r="M95" s="98" t="str">
        <f t="shared" si="100"/>
        <v>Texto alternativo</v>
      </c>
      <c r="N95" s="98" t="str">
        <f t="shared" si="100"/>
        <v>Presentación de una alternativa textual a todo el contenido no textual (imágenes, botones, iconos), por ejemplo, mediante las etiquetas "alt", "title" o "description" del código HTML.
</v>
      </c>
      <c r="O95" s="142"/>
      <c r="P95" s="143"/>
      <c r="Q95" s="143"/>
      <c r="R95" s="209"/>
      <c r="S95" s="210" t="s">
        <v>816</v>
      </c>
      <c r="T95" s="164" t="s">
        <v>2033</v>
      </c>
      <c r="U95" s="94"/>
      <c r="V95" s="94"/>
      <c r="W95" s="94"/>
      <c r="X95" s="94"/>
      <c r="Y95" s="94"/>
      <c r="Z95" s="94"/>
      <c r="AA95" s="94"/>
      <c r="AB95" s="94"/>
      <c r="AC95" s="94"/>
      <c r="AD95" s="94"/>
      <c r="AE95" s="94"/>
      <c r="AF95" s="94"/>
      <c r="AG95" s="94"/>
      <c r="AH95" s="94"/>
      <c r="AI95" s="94"/>
      <c r="AJ95" s="94"/>
      <c r="AK95" s="94"/>
      <c r="AL95" s="94"/>
    </row>
    <row r="96">
      <c r="A96" s="105" t="s">
        <v>661</v>
      </c>
      <c r="B96" s="92" t="str">
        <f t="shared" si="2"/>
        <v>Pregunta</v>
      </c>
      <c r="C96" s="106" t="str">
        <f t="shared" si="9"/>
        <v>3.</v>
      </c>
      <c r="D96" s="106" t="str">
        <f t="shared" si="10"/>
        <v>Accesibilidad web</v>
      </c>
      <c r="E96"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96" s="204">
        <f t="shared" si="3"/>
        <v>45294</v>
      </c>
      <c r="G96" s="92" t="str">
        <f t="shared" si="4"/>
        <v>IMPRESCINDIBLES</v>
      </c>
      <c r="H96" s="141"/>
      <c r="I96" s="141" t="str">
        <f t="shared" si="5"/>
        <v>3.1.2</v>
      </c>
      <c r="J96" s="98" t="str">
        <f t="shared" si="6"/>
        <v>Subtítulos</v>
      </c>
      <c r="K96" s="98" t="str">
        <f t="shared" si="7"/>
        <v>Alternativa textual para los diálogos presentes en los videos, en el caso de no poder escucharlos.
</v>
      </c>
      <c r="L96" s="141" t="str">
        <f t="shared" ref="L96:N96" si="101">IF(I96="",L95,I96)</f>
        <v>3.1.2</v>
      </c>
      <c r="M96" s="98" t="str">
        <f t="shared" si="101"/>
        <v>Subtítulos</v>
      </c>
      <c r="N96" s="98" t="str">
        <f t="shared" si="101"/>
        <v>Alternativa textual para los diálogos presentes en los videos, en el caso de no poder escucharlos.
</v>
      </c>
      <c r="O96" s="165" t="s">
        <v>817</v>
      </c>
      <c r="P96" s="166" t="s">
        <v>818</v>
      </c>
      <c r="Q96" s="166" t="s">
        <v>819</v>
      </c>
      <c r="R96" s="211"/>
      <c r="S96" s="166" t="s">
        <v>2061</v>
      </c>
      <c r="T96" s="164" t="s">
        <v>2033</v>
      </c>
      <c r="U96" s="94"/>
      <c r="V96" s="94"/>
      <c r="W96" s="94"/>
      <c r="X96" s="94"/>
      <c r="Y96" s="94"/>
      <c r="Z96" s="94"/>
      <c r="AA96" s="94"/>
      <c r="AB96" s="94"/>
      <c r="AC96" s="94"/>
      <c r="AD96" s="94"/>
      <c r="AE96" s="94"/>
      <c r="AF96" s="94"/>
      <c r="AG96" s="94"/>
      <c r="AH96" s="94"/>
      <c r="AI96" s="94"/>
      <c r="AJ96" s="94"/>
      <c r="AK96" s="94"/>
      <c r="AL96" s="94"/>
    </row>
    <row r="97">
      <c r="A97" s="105" t="s">
        <v>661</v>
      </c>
      <c r="B97" s="92" t="str">
        <f t="shared" si="2"/>
        <v>Pregunta</v>
      </c>
      <c r="C97" s="106" t="str">
        <f t="shared" si="9"/>
        <v>3.</v>
      </c>
      <c r="D97" s="106" t="str">
        <f t="shared" si="10"/>
        <v>Accesibilidad web</v>
      </c>
      <c r="E97"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97" s="204">
        <f t="shared" si="3"/>
        <v>45294</v>
      </c>
      <c r="G97" s="92" t="str">
        <f t="shared" si="4"/>
        <v>IMPRESCINDIBLES</v>
      </c>
      <c r="H97" s="141"/>
      <c r="I97" s="141" t="str">
        <f t="shared" si="5"/>
        <v>3.1.3</v>
      </c>
      <c r="J97" s="98" t="str">
        <f t="shared" si="6"/>
        <v>Navegación por teclado</v>
      </c>
      <c r="K97" s="98" t="str">
        <f t="shared" si="7"/>
        <v>Orden lógico y fluido al navegar el sitio web con el teclado en que se respeta el sentido de izquierda a derecha, de arriba hacia abajo, y sin una determinada velocidad de pulsación.</v>
      </c>
      <c r="L97" s="141" t="str">
        <f t="shared" ref="L97:N97" si="102">IF(I97="",L96,I97)</f>
        <v>3.1.3</v>
      </c>
      <c r="M97" s="98" t="str">
        <f t="shared" si="102"/>
        <v>Navegación por teclado</v>
      </c>
      <c r="N97" s="98" t="str">
        <f t="shared" si="102"/>
        <v>Orden lógico y fluido al navegar el sitio web con el teclado en que se respeta el sentido de izquierda a derecha, de arriba hacia abajo, y sin una determinada velocidad de pulsación.</v>
      </c>
      <c r="O97" s="147" t="s">
        <v>821</v>
      </c>
      <c r="P97" s="148" t="s">
        <v>822</v>
      </c>
      <c r="Q97" s="148" t="s">
        <v>823</v>
      </c>
      <c r="R97" s="158"/>
      <c r="S97" s="159" t="s">
        <v>2062</v>
      </c>
      <c r="T97" s="160" t="s">
        <v>2033</v>
      </c>
      <c r="U97" s="94"/>
      <c r="V97" s="94"/>
      <c r="W97" s="94"/>
      <c r="X97" s="94"/>
      <c r="Y97" s="94"/>
      <c r="Z97" s="94"/>
      <c r="AA97" s="94"/>
      <c r="AB97" s="94"/>
      <c r="AC97" s="94"/>
      <c r="AD97" s="94"/>
      <c r="AE97" s="94"/>
      <c r="AF97" s="94"/>
      <c r="AG97" s="94"/>
      <c r="AH97" s="94"/>
      <c r="AI97" s="94"/>
      <c r="AJ97" s="94"/>
      <c r="AK97" s="94"/>
      <c r="AL97" s="94"/>
    </row>
    <row r="98">
      <c r="A98" s="86" t="s">
        <v>661</v>
      </c>
      <c r="B98" s="95" t="str">
        <f t="shared" si="2"/>
        <v>Pregunta</v>
      </c>
      <c r="C98" s="106" t="str">
        <f t="shared" si="9"/>
        <v>3.</v>
      </c>
      <c r="D98" s="106" t="str">
        <f t="shared" si="10"/>
        <v>Accesibilidad web</v>
      </c>
      <c r="E98"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98" s="204">
        <f t="shared" si="3"/>
        <v>45294</v>
      </c>
      <c r="G98" s="92" t="str">
        <f t="shared" si="4"/>
        <v>IMPRESCINDIBLES</v>
      </c>
      <c r="H98" s="141"/>
      <c r="I98" s="141" t="str">
        <f t="shared" si="5"/>
        <v/>
      </c>
      <c r="J98" s="98" t="str">
        <f t="shared" si="6"/>
        <v/>
      </c>
      <c r="K98" s="98" t="str">
        <f t="shared" si="7"/>
        <v/>
      </c>
      <c r="L98" s="141" t="str">
        <f t="shared" ref="L98:N98" si="103">IF(I98="",L97,I98)</f>
        <v>3.1.3</v>
      </c>
      <c r="M98" s="98" t="str">
        <f t="shared" si="103"/>
        <v>Navegación por teclado</v>
      </c>
      <c r="N98" s="98" t="str">
        <f t="shared" si="103"/>
        <v>Orden lógico y fluido al navegar el sitio web con el teclado en que se respeta el sentido de izquierda a derecha, de arriba hacia abajo, y sin una determinada velocidad de pulsación.</v>
      </c>
      <c r="O98" s="152"/>
      <c r="P98" s="153"/>
      <c r="Q98" s="153"/>
      <c r="R98" s="161"/>
      <c r="S98" s="162" t="s">
        <v>825</v>
      </c>
      <c r="T98" s="160" t="s">
        <v>2033</v>
      </c>
      <c r="U98" s="94"/>
      <c r="V98" s="94"/>
      <c r="W98" s="94"/>
      <c r="X98" s="94"/>
      <c r="Y98" s="94"/>
      <c r="Z98" s="94"/>
      <c r="AA98" s="94"/>
      <c r="AB98" s="94"/>
      <c r="AC98" s="94"/>
      <c r="AD98" s="94"/>
      <c r="AE98" s="94"/>
      <c r="AF98" s="94"/>
      <c r="AG98" s="94"/>
      <c r="AH98" s="94"/>
      <c r="AI98" s="94"/>
      <c r="AJ98" s="94"/>
      <c r="AK98" s="94"/>
      <c r="AL98" s="94"/>
    </row>
    <row r="99">
      <c r="A99" s="86" t="s">
        <v>661</v>
      </c>
      <c r="B99" s="95" t="str">
        <f t="shared" si="2"/>
        <v>Pregunta</v>
      </c>
      <c r="C99" s="106" t="str">
        <f t="shared" si="9"/>
        <v>3.</v>
      </c>
      <c r="D99" s="106" t="str">
        <f t="shared" si="10"/>
        <v>Accesibilidad web</v>
      </c>
      <c r="E99"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99" s="204">
        <f t="shared" si="3"/>
        <v>45294</v>
      </c>
      <c r="G99" s="92" t="str">
        <f t="shared" si="4"/>
        <v>IMPRESCINDIBLES</v>
      </c>
      <c r="H99" s="141"/>
      <c r="I99" s="141" t="str">
        <f t="shared" si="5"/>
        <v/>
      </c>
      <c r="J99" s="98" t="str">
        <f t="shared" si="6"/>
        <v/>
      </c>
      <c r="K99" s="98" t="str">
        <f t="shared" si="7"/>
        <v/>
      </c>
      <c r="L99" s="141" t="str">
        <f t="shared" ref="L99:N99" si="104">IF(I99="",L98,I99)</f>
        <v>3.1.3</v>
      </c>
      <c r="M99" s="98" t="str">
        <f t="shared" si="104"/>
        <v>Navegación por teclado</v>
      </c>
      <c r="N99" s="98" t="str">
        <f t="shared" si="104"/>
        <v>Orden lógico y fluido al navegar el sitio web con el teclado en que se respeta el sentido de izquierda a derecha, de arriba hacia abajo, y sin una determinada velocidad de pulsación.</v>
      </c>
      <c r="O99" s="142"/>
      <c r="P99" s="143"/>
      <c r="Q99" s="143"/>
      <c r="R99" s="171"/>
      <c r="S99" s="169" t="s">
        <v>826</v>
      </c>
      <c r="T99" s="164" t="s">
        <v>2033</v>
      </c>
      <c r="U99" s="94"/>
      <c r="V99" s="94"/>
      <c r="W99" s="94"/>
      <c r="X99" s="94"/>
      <c r="Y99" s="94"/>
      <c r="Z99" s="94"/>
      <c r="AA99" s="94"/>
      <c r="AB99" s="94"/>
      <c r="AC99" s="94"/>
      <c r="AD99" s="94"/>
      <c r="AE99" s="94"/>
      <c r="AF99" s="94"/>
      <c r="AG99" s="94"/>
      <c r="AH99" s="94"/>
      <c r="AI99" s="94"/>
      <c r="AJ99" s="94"/>
      <c r="AK99" s="94"/>
      <c r="AL99" s="94"/>
    </row>
    <row r="100">
      <c r="A100" s="105" t="s">
        <v>661</v>
      </c>
      <c r="B100" s="92" t="str">
        <f t="shared" si="2"/>
        <v>Pregunta</v>
      </c>
      <c r="C100" s="106" t="str">
        <f t="shared" si="9"/>
        <v>3.</v>
      </c>
      <c r="D100" s="106" t="str">
        <f t="shared" si="10"/>
        <v>Accesibilidad web</v>
      </c>
      <c r="E100"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100" s="204">
        <f t="shared" si="3"/>
        <v>45294</v>
      </c>
      <c r="G100" s="92" t="str">
        <f t="shared" si="4"/>
        <v>IMPRESCINDIBLES</v>
      </c>
      <c r="H100" s="141"/>
      <c r="I100" s="141" t="str">
        <f t="shared" si="5"/>
        <v>3.1.4</v>
      </c>
      <c r="J100" s="98" t="str">
        <f t="shared" si="6"/>
        <v>Ajuste del tamaño de la fuente</v>
      </c>
      <c r="K100" s="98" t="str">
        <f t="shared" si="7"/>
        <v>Posibilidad de agrandar el texto del sitio web en hasta un 200% cuidando de que se mantenga el diseño y no se pierda funcionalidad.
</v>
      </c>
      <c r="L100" s="141" t="str">
        <f t="shared" ref="L100:N100" si="105">IF(I100="",L99,I100)</f>
        <v>3.1.4</v>
      </c>
      <c r="M100" s="98" t="str">
        <f t="shared" si="105"/>
        <v>Ajuste del tamaño de la fuente</v>
      </c>
      <c r="N100" s="98" t="str">
        <f t="shared" si="105"/>
        <v>Posibilidad de agrandar el texto del sitio web en hasta un 200% cuidando de que se mantenga el diseño y no se pierda funcionalidad.
</v>
      </c>
      <c r="O100" s="147" t="s">
        <v>827</v>
      </c>
      <c r="P100" s="148" t="s">
        <v>828</v>
      </c>
      <c r="Q100" s="148" t="s">
        <v>829</v>
      </c>
      <c r="R100" s="158"/>
      <c r="S100" s="150" t="s">
        <v>830</v>
      </c>
      <c r="T100" s="160" t="s">
        <v>2033</v>
      </c>
      <c r="U100" s="94"/>
      <c r="V100" s="94"/>
      <c r="W100" s="94"/>
      <c r="X100" s="94"/>
      <c r="Y100" s="94"/>
      <c r="Z100" s="94"/>
      <c r="AA100" s="94"/>
      <c r="AB100" s="94"/>
      <c r="AC100" s="94"/>
      <c r="AD100" s="94"/>
      <c r="AE100" s="94"/>
      <c r="AF100" s="94"/>
      <c r="AG100" s="94"/>
      <c r="AH100" s="94"/>
      <c r="AI100" s="94"/>
      <c r="AJ100" s="94"/>
      <c r="AK100" s="94"/>
      <c r="AL100" s="94"/>
    </row>
    <row r="101">
      <c r="A101" s="86" t="s">
        <v>661</v>
      </c>
      <c r="B101" s="95" t="str">
        <f t="shared" si="2"/>
        <v>Pregunta</v>
      </c>
      <c r="C101" s="106" t="str">
        <f t="shared" si="9"/>
        <v>3.</v>
      </c>
      <c r="D101" s="106" t="str">
        <f t="shared" si="10"/>
        <v>Accesibilidad web</v>
      </c>
      <c r="E101"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101" s="204">
        <f t="shared" si="3"/>
        <v>45294</v>
      </c>
      <c r="G101" s="92" t="str">
        <f t="shared" si="4"/>
        <v>IMPRESCINDIBLES</v>
      </c>
      <c r="H101" s="141"/>
      <c r="I101" s="141" t="str">
        <f t="shared" si="5"/>
        <v/>
      </c>
      <c r="J101" s="98" t="str">
        <f t="shared" si="6"/>
        <v/>
      </c>
      <c r="K101" s="98" t="str">
        <f t="shared" si="7"/>
        <v/>
      </c>
      <c r="L101" s="141" t="str">
        <f t="shared" ref="L101:N101" si="106">IF(I101="",L100,I101)</f>
        <v>3.1.4</v>
      </c>
      <c r="M101" s="98" t="str">
        <f t="shared" si="106"/>
        <v>Ajuste del tamaño de la fuente</v>
      </c>
      <c r="N101" s="98" t="str">
        <f t="shared" si="106"/>
        <v>Posibilidad de agrandar el texto del sitio web en hasta un 200% cuidando de que se mantenga el diseño y no se pierda funcionalidad.
</v>
      </c>
      <c r="O101" s="142"/>
      <c r="P101" s="143"/>
      <c r="Q101" s="143"/>
      <c r="R101" s="168"/>
      <c r="S101" s="169" t="s">
        <v>831</v>
      </c>
      <c r="T101" s="164" t="s">
        <v>2033</v>
      </c>
      <c r="U101" s="94"/>
      <c r="V101" s="94"/>
      <c r="W101" s="94"/>
      <c r="X101" s="94"/>
      <c r="Y101" s="94"/>
      <c r="Z101" s="94"/>
      <c r="AA101" s="94"/>
      <c r="AB101" s="94"/>
      <c r="AC101" s="94"/>
      <c r="AD101" s="94"/>
      <c r="AE101" s="94"/>
      <c r="AF101" s="94"/>
      <c r="AG101" s="94"/>
      <c r="AH101" s="94"/>
      <c r="AI101" s="94"/>
      <c r="AJ101" s="94"/>
      <c r="AK101" s="94"/>
      <c r="AL101" s="94"/>
    </row>
    <row r="102">
      <c r="A102" s="105" t="s">
        <v>661</v>
      </c>
      <c r="B102" s="92" t="str">
        <f t="shared" si="2"/>
        <v>Pregunta</v>
      </c>
      <c r="C102" s="106" t="str">
        <f t="shared" si="9"/>
        <v>3.</v>
      </c>
      <c r="D102" s="106" t="str">
        <f t="shared" si="10"/>
        <v>Accesibilidad web</v>
      </c>
      <c r="E102"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102" s="204">
        <f t="shared" si="3"/>
        <v>45294</v>
      </c>
      <c r="G102" s="92" t="str">
        <f t="shared" si="4"/>
        <v>IMPRESCINDIBLES</v>
      </c>
      <c r="H102" s="141"/>
      <c r="I102" s="141" t="str">
        <f t="shared" si="5"/>
        <v>3.1.5</v>
      </c>
      <c r="J102" s="98" t="str">
        <f t="shared" si="6"/>
        <v>Control de audio</v>
      </c>
      <c r="K102" s="98" t="str">
        <f t="shared" si="7"/>
        <v>Mecanismos para pausar audios de reproducción automática.</v>
      </c>
      <c r="L102" s="141" t="str">
        <f t="shared" ref="L102:N102" si="107">IF(I102="",L101,I102)</f>
        <v>3.1.5</v>
      </c>
      <c r="M102" s="98" t="str">
        <f t="shared" si="107"/>
        <v>Control de audio</v>
      </c>
      <c r="N102" s="98" t="str">
        <f t="shared" si="107"/>
        <v>Mecanismos para pausar audios de reproducción automática.</v>
      </c>
      <c r="O102" s="147" t="s">
        <v>832</v>
      </c>
      <c r="P102" s="148" t="s">
        <v>833</v>
      </c>
      <c r="Q102" s="148" t="s">
        <v>834</v>
      </c>
      <c r="R102" s="158"/>
      <c r="S102" s="170" t="s">
        <v>835</v>
      </c>
      <c r="T102" s="160" t="s">
        <v>2033</v>
      </c>
      <c r="U102" s="94"/>
      <c r="V102" s="94"/>
      <c r="W102" s="94"/>
      <c r="X102" s="94"/>
      <c r="Y102" s="94"/>
      <c r="Z102" s="94"/>
      <c r="AA102" s="94"/>
      <c r="AB102" s="94"/>
      <c r="AC102" s="94"/>
      <c r="AD102" s="94"/>
      <c r="AE102" s="94"/>
      <c r="AF102" s="94"/>
      <c r="AG102" s="94"/>
      <c r="AH102" s="94"/>
      <c r="AI102" s="94"/>
      <c r="AJ102" s="94"/>
      <c r="AK102" s="94"/>
      <c r="AL102" s="94"/>
    </row>
    <row r="103">
      <c r="A103" s="86" t="s">
        <v>661</v>
      </c>
      <c r="B103" s="95" t="str">
        <f t="shared" si="2"/>
        <v>Pregunta</v>
      </c>
      <c r="C103" s="106" t="str">
        <f t="shared" si="9"/>
        <v>3.</v>
      </c>
      <c r="D103" s="106" t="str">
        <f t="shared" si="10"/>
        <v>Accesibilidad web</v>
      </c>
      <c r="E103"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103" s="204">
        <f t="shared" si="3"/>
        <v>45294</v>
      </c>
      <c r="G103" s="92" t="str">
        <f t="shared" si="4"/>
        <v>IMPRESCINDIBLES</v>
      </c>
      <c r="H103" s="141"/>
      <c r="I103" s="141" t="str">
        <f t="shared" si="5"/>
        <v/>
      </c>
      <c r="J103" s="98" t="str">
        <f t="shared" si="6"/>
        <v/>
      </c>
      <c r="K103" s="98" t="str">
        <f t="shared" si="7"/>
        <v/>
      </c>
      <c r="L103" s="141" t="str">
        <f t="shared" ref="L103:N103" si="108">IF(I103="",L102,I103)</f>
        <v>3.1.5</v>
      </c>
      <c r="M103" s="98" t="str">
        <f t="shared" si="108"/>
        <v>Control de audio</v>
      </c>
      <c r="N103" s="98" t="str">
        <f t="shared" si="108"/>
        <v>Mecanismos para pausar audios de reproducción automática.</v>
      </c>
      <c r="O103" s="142"/>
      <c r="P103" s="143"/>
      <c r="Q103" s="143"/>
      <c r="R103" s="168"/>
      <c r="S103" s="169" t="s">
        <v>2063</v>
      </c>
      <c r="T103" s="164" t="s">
        <v>2033</v>
      </c>
      <c r="U103" s="94"/>
      <c r="V103" s="94"/>
      <c r="W103" s="94"/>
      <c r="X103" s="94"/>
      <c r="Y103" s="94"/>
      <c r="Z103" s="94"/>
      <c r="AA103" s="94"/>
      <c r="AB103" s="94"/>
      <c r="AC103" s="94"/>
      <c r="AD103" s="94"/>
      <c r="AE103" s="94"/>
      <c r="AF103" s="94"/>
      <c r="AG103" s="94"/>
      <c r="AH103" s="94"/>
      <c r="AI103" s="94"/>
      <c r="AJ103" s="94"/>
      <c r="AK103" s="94"/>
      <c r="AL103" s="94"/>
    </row>
    <row r="104">
      <c r="A104" s="105" t="s">
        <v>661</v>
      </c>
      <c r="B104" s="92" t="str">
        <f t="shared" si="2"/>
        <v>Pregunta</v>
      </c>
      <c r="C104" s="106" t="str">
        <f t="shared" si="9"/>
        <v>3.</v>
      </c>
      <c r="D104" s="106" t="str">
        <f t="shared" si="10"/>
        <v>Accesibilidad web</v>
      </c>
      <c r="E104"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104" s="204">
        <f t="shared" si="3"/>
        <v>45294</v>
      </c>
      <c r="G104" s="92" t="str">
        <f t="shared" si="4"/>
        <v>IMPRESCINDIBLES</v>
      </c>
      <c r="H104" s="141"/>
      <c r="I104" s="141" t="str">
        <f t="shared" si="5"/>
        <v>3.1.6</v>
      </c>
      <c r="J104" s="98" t="str">
        <f t="shared" si="6"/>
        <v>Umbral de destellos</v>
      </c>
      <c r="K104" s="98" t="str">
        <f t="shared" si="7"/>
        <v>Cuidado al implementar animaciones para que no destellen más de 3 veces en 1 segundo para evitar posibles convulsiones. Se entiende como destello, un cambio repentino y brusco en el contraste, generalmente de color blanco y de muy corta duración, de forma muy repetitiva puede provocar convulsiones en algunas personas.
</v>
      </c>
      <c r="L104" s="141" t="str">
        <f t="shared" ref="L104:N104" si="109">IF(I104="",L103,I104)</f>
        <v>3.1.6</v>
      </c>
      <c r="M104" s="98" t="str">
        <f t="shared" si="109"/>
        <v>Umbral de destellos</v>
      </c>
      <c r="N104" s="98" t="str">
        <f t="shared" si="109"/>
        <v>Cuidado al implementar animaciones para que no destellen más de 3 veces en 1 segundo para evitar posibles convulsiones. Se entiende como destello, un cambio repentino y brusco en el contraste, generalmente de color blanco y de muy corta duración, de forma muy repetitiva puede provocar convulsiones en algunas personas.
</v>
      </c>
      <c r="O104" s="165" t="s">
        <v>837</v>
      </c>
      <c r="P104" s="166" t="s">
        <v>838</v>
      </c>
      <c r="Q104" s="166" t="s">
        <v>839</v>
      </c>
      <c r="R104" s="211"/>
      <c r="S104" s="166" t="s">
        <v>840</v>
      </c>
      <c r="T104" s="164" t="s">
        <v>2033</v>
      </c>
      <c r="U104" s="94"/>
      <c r="V104" s="94"/>
      <c r="W104" s="94"/>
      <c r="X104" s="94"/>
      <c r="Y104" s="94"/>
      <c r="Z104" s="94"/>
      <c r="AA104" s="94"/>
      <c r="AB104" s="94"/>
      <c r="AC104" s="94"/>
      <c r="AD104" s="94"/>
      <c r="AE104" s="94"/>
      <c r="AF104" s="94"/>
      <c r="AG104" s="94"/>
      <c r="AH104" s="94"/>
      <c r="AI104" s="94"/>
      <c r="AJ104" s="94"/>
      <c r="AK104" s="94"/>
      <c r="AL104" s="94"/>
    </row>
    <row r="105">
      <c r="A105" s="105" t="s">
        <v>661</v>
      </c>
      <c r="B105" s="92" t="str">
        <f t="shared" si="2"/>
        <v>Pregunta</v>
      </c>
      <c r="C105" s="106" t="str">
        <f t="shared" si="9"/>
        <v>3.</v>
      </c>
      <c r="D105" s="106" t="str">
        <f t="shared" si="10"/>
        <v>Accesibilidad web</v>
      </c>
      <c r="E105"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105" s="204">
        <f t="shared" si="3"/>
        <v>45294</v>
      </c>
      <c r="G105" s="92" t="str">
        <f t="shared" si="4"/>
        <v>IMPRESCINDIBLES</v>
      </c>
      <c r="H105" s="141"/>
      <c r="I105" s="141" t="str">
        <f t="shared" si="5"/>
        <v>3.1.7</v>
      </c>
      <c r="J105" s="98" t="str">
        <f t="shared" si="6"/>
        <v>Etiquetas en iconos</v>
      </c>
      <c r="K105" s="98" t="str">
        <f t="shared" si="7"/>
        <v>Soporte textual que explique la función de los iconos utilizados para ejecutar una acción.
</v>
      </c>
      <c r="L105" s="141" t="str">
        <f t="shared" ref="L105:N105" si="110">IF(I105="",L104,I105)</f>
        <v>3.1.7</v>
      </c>
      <c r="M105" s="98" t="str">
        <f t="shared" si="110"/>
        <v>Etiquetas en iconos</v>
      </c>
      <c r="N105" s="98" t="str">
        <f t="shared" si="110"/>
        <v>Soporte textual que explique la función de los iconos utilizados para ejecutar una acción.
</v>
      </c>
      <c r="O105" s="165" t="s">
        <v>841</v>
      </c>
      <c r="P105" s="166" t="s">
        <v>842</v>
      </c>
      <c r="Q105" s="166" t="s">
        <v>843</v>
      </c>
      <c r="R105" s="211"/>
      <c r="S105" s="166" t="s">
        <v>2064</v>
      </c>
      <c r="T105" s="164" t="s">
        <v>2033</v>
      </c>
      <c r="U105" s="94"/>
      <c r="V105" s="94"/>
      <c r="W105" s="94"/>
      <c r="X105" s="94"/>
      <c r="Y105" s="94"/>
      <c r="Z105" s="94"/>
      <c r="AA105" s="94"/>
      <c r="AB105" s="94"/>
      <c r="AC105" s="94"/>
      <c r="AD105" s="94"/>
      <c r="AE105" s="94"/>
      <c r="AF105" s="94"/>
      <c r="AG105" s="94"/>
      <c r="AH105" s="94"/>
      <c r="AI105" s="94"/>
      <c r="AJ105" s="94"/>
      <c r="AK105" s="94"/>
      <c r="AL105" s="94"/>
    </row>
    <row r="106">
      <c r="A106" s="105" t="s">
        <v>661</v>
      </c>
      <c r="B106" s="92" t="str">
        <f t="shared" si="2"/>
        <v>Pregunta</v>
      </c>
      <c r="C106" s="106" t="str">
        <f t="shared" si="9"/>
        <v>3.</v>
      </c>
      <c r="D106" s="106" t="str">
        <f t="shared" si="10"/>
        <v>Accesibilidad web</v>
      </c>
      <c r="E106"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106" s="204">
        <f t="shared" si="3"/>
        <v>45294</v>
      </c>
      <c r="G106" s="92" t="str">
        <f t="shared" si="4"/>
        <v>IMPRESCINDIBLES</v>
      </c>
      <c r="H106" s="141"/>
      <c r="I106" s="141" t="str">
        <f t="shared" si="5"/>
        <v>3.1.8</v>
      </c>
      <c r="J106" s="98" t="str">
        <f t="shared" si="6"/>
        <v>Predecible al recibir el foco</v>
      </c>
      <c r="K106" s="98" t="str">
        <f t="shared" si="7"/>
        <v>Preocupación de que no se cambie el contexto al recibir el foco cuando se utiliza la navegación por teclado.</v>
      </c>
      <c r="L106" s="141" t="str">
        <f t="shared" ref="L106:N106" si="111">IF(I106="",L105,I106)</f>
        <v>3.1.8</v>
      </c>
      <c r="M106" s="98" t="str">
        <f t="shared" si="111"/>
        <v>Predecible al recibir el foco</v>
      </c>
      <c r="N106" s="98" t="str">
        <f t="shared" si="111"/>
        <v>Preocupación de que no se cambie el contexto al recibir el foco cuando se utiliza la navegación por teclado.</v>
      </c>
      <c r="O106" s="212" t="s">
        <v>845</v>
      </c>
      <c r="P106" s="170" t="s">
        <v>846</v>
      </c>
      <c r="Q106" s="170" t="s">
        <v>847</v>
      </c>
      <c r="R106" s="158"/>
      <c r="S106" s="166" t="s">
        <v>848</v>
      </c>
      <c r="T106" s="164" t="s">
        <v>2033</v>
      </c>
      <c r="U106" s="94"/>
      <c r="V106" s="94"/>
      <c r="W106" s="94"/>
      <c r="X106" s="94"/>
      <c r="Y106" s="94"/>
      <c r="Z106" s="94"/>
      <c r="AA106" s="94"/>
      <c r="AB106" s="94"/>
      <c r="AC106" s="94"/>
      <c r="AD106" s="94"/>
      <c r="AE106" s="94"/>
      <c r="AF106" s="94"/>
      <c r="AG106" s="94"/>
      <c r="AH106" s="94"/>
      <c r="AI106" s="94"/>
      <c r="AJ106" s="94"/>
      <c r="AK106" s="94"/>
      <c r="AL106" s="94"/>
    </row>
    <row r="107">
      <c r="A107" s="105" t="s">
        <v>661</v>
      </c>
      <c r="B107" s="92" t="str">
        <f t="shared" si="2"/>
        <v>Pregunta</v>
      </c>
      <c r="C107" s="106" t="str">
        <f t="shared" si="9"/>
        <v>3.</v>
      </c>
      <c r="D107" s="106" t="str">
        <f t="shared" si="10"/>
        <v>Accesibilidad web</v>
      </c>
      <c r="E107"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107" s="204">
        <f t="shared" si="3"/>
        <v>45294</v>
      </c>
      <c r="G107" s="92" t="str">
        <f t="shared" si="4"/>
        <v>IMPRESCINDIBLES</v>
      </c>
      <c r="H107" s="141"/>
      <c r="I107" s="141" t="str">
        <f t="shared" si="5"/>
        <v>3.1.9</v>
      </c>
      <c r="J107" s="98" t="str">
        <f t="shared" si="6"/>
        <v>Estructura de la interfaz</v>
      </c>
      <c r="K107" s="98" t="str">
        <f t="shared" si="7"/>
        <v>Identificación clara de las diferentes zonas de una página para que los software de lectura puedan identificar las estructuras y relaciones del contenido.
</v>
      </c>
      <c r="L107" s="141" t="str">
        <f t="shared" ref="L107:N107" si="112">IF(I107="",L106,I107)</f>
        <v>3.1.9</v>
      </c>
      <c r="M107" s="98" t="str">
        <f t="shared" si="112"/>
        <v>Estructura de la interfaz</v>
      </c>
      <c r="N107" s="98" t="str">
        <f t="shared" si="112"/>
        <v>Identificación clara de las diferentes zonas de una página para que los software de lectura puedan identificar las estructuras y relaciones del contenido.
</v>
      </c>
      <c r="O107" s="165" t="s">
        <v>849</v>
      </c>
      <c r="P107" s="166" t="s">
        <v>850</v>
      </c>
      <c r="Q107" s="166" t="s">
        <v>851</v>
      </c>
      <c r="R107" s="211"/>
      <c r="S107" s="166" t="s">
        <v>852</v>
      </c>
      <c r="T107" s="164" t="s">
        <v>2033</v>
      </c>
      <c r="U107" s="94"/>
      <c r="V107" s="94"/>
      <c r="W107" s="94"/>
      <c r="X107" s="94"/>
      <c r="Y107" s="94"/>
      <c r="Z107" s="94"/>
      <c r="AA107" s="94"/>
      <c r="AB107" s="94"/>
      <c r="AC107" s="94"/>
      <c r="AD107" s="94"/>
      <c r="AE107" s="94"/>
      <c r="AF107" s="94"/>
      <c r="AG107" s="94"/>
      <c r="AH107" s="94"/>
      <c r="AI107" s="94"/>
      <c r="AJ107" s="94"/>
      <c r="AK107" s="94"/>
      <c r="AL107" s="94"/>
    </row>
    <row r="108">
      <c r="A108" s="105" t="s">
        <v>661</v>
      </c>
      <c r="B108" s="92" t="str">
        <f t="shared" si="2"/>
        <v>Pregunta</v>
      </c>
      <c r="C108" s="106" t="str">
        <f t="shared" si="9"/>
        <v>3.</v>
      </c>
      <c r="D108" s="106" t="str">
        <f t="shared" si="10"/>
        <v>Accesibilidad web</v>
      </c>
      <c r="E108"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108" s="204">
        <f t="shared" si="3"/>
        <v>45294</v>
      </c>
      <c r="G108" s="92" t="str">
        <f t="shared" si="4"/>
        <v>IMPRESCINDIBLES</v>
      </c>
      <c r="H108" s="141"/>
      <c r="I108" s="141" t="str">
        <f t="shared" si="5"/>
        <v>3.1.10</v>
      </c>
      <c r="J108" s="98" t="str">
        <f t="shared" si="6"/>
        <v>Contraste mínimo</v>
      </c>
      <c r="K108" s="98" t="str">
        <f t="shared" si="7"/>
        <v>Atención a los contrastes de color al diseñar la interfaz, los textos e imágenes de texto, que deben tener un contraste mínimo de 4,5:1 entre el color de fondo y del texto o icono.
</v>
      </c>
      <c r="L108" s="141" t="str">
        <f t="shared" ref="L108:N108" si="113">IF(I108="",L107,I108)</f>
        <v>3.1.10</v>
      </c>
      <c r="M108" s="98" t="str">
        <f t="shared" si="113"/>
        <v>Contraste mínimo</v>
      </c>
      <c r="N108" s="98" t="str">
        <f t="shared" si="113"/>
        <v>Atención a los contrastes de color al diseñar la interfaz, los textos e imágenes de texto, que deben tener un contraste mínimo de 4,5:1 entre el color de fondo y del texto o icono.
</v>
      </c>
      <c r="O108" s="165" t="s">
        <v>853</v>
      </c>
      <c r="P108" s="166" t="s">
        <v>854</v>
      </c>
      <c r="Q108" s="166" t="s">
        <v>855</v>
      </c>
      <c r="R108" s="211"/>
      <c r="S108" s="213" t="s">
        <v>2065</v>
      </c>
      <c r="T108" s="164" t="s">
        <v>2033</v>
      </c>
      <c r="U108" s="94"/>
      <c r="V108" s="94"/>
      <c r="W108" s="94"/>
      <c r="X108" s="94"/>
      <c r="Y108" s="94"/>
      <c r="Z108" s="94"/>
      <c r="AA108" s="94"/>
      <c r="AB108" s="94"/>
      <c r="AC108" s="94"/>
      <c r="AD108" s="94"/>
      <c r="AE108" s="94"/>
      <c r="AF108" s="94"/>
      <c r="AG108" s="94"/>
      <c r="AH108" s="94"/>
      <c r="AI108" s="94"/>
      <c r="AJ108" s="94"/>
      <c r="AK108" s="94"/>
      <c r="AL108" s="94"/>
    </row>
    <row r="109" hidden="1">
      <c r="A109" s="86" t="s">
        <v>661</v>
      </c>
      <c r="B109" s="95" t="str">
        <f t="shared" si="2"/>
        <v>Otro</v>
      </c>
      <c r="C109" s="106" t="str">
        <f t="shared" si="9"/>
        <v>3.</v>
      </c>
      <c r="D109" s="106" t="str">
        <f t="shared" si="10"/>
        <v>Accesibilidad web</v>
      </c>
      <c r="E109"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109" s="135" t="str">
        <f t="shared" si="3"/>
        <v>3.2  </v>
      </c>
      <c r="G109" s="92" t="str">
        <f t="shared" si="4"/>
        <v>ESPERABLES</v>
      </c>
      <c r="H109" s="135"/>
      <c r="I109" s="135" t="str">
        <f t="shared" si="5"/>
        <v/>
      </c>
      <c r="J109" s="98" t="str">
        <f t="shared" si="6"/>
        <v/>
      </c>
      <c r="K109" s="98" t="str">
        <f t="shared" si="7"/>
        <v/>
      </c>
      <c r="L109" s="141" t="str">
        <f t="shared" ref="L109:N109" si="114">IF(I109="",L108,I109)</f>
        <v>3.1.10</v>
      </c>
      <c r="M109" s="98" t="str">
        <f t="shared" si="114"/>
        <v>Contraste mínimo</v>
      </c>
      <c r="N109" s="98" t="str">
        <f t="shared" si="114"/>
        <v>Atención a los contrastes de color al diseñar la interfaz, los textos e imágenes de texto, que deben tener un contraste mínimo de 4,5:1 entre el color de fondo y del texto o icono.
</v>
      </c>
      <c r="O109" s="195" t="s">
        <v>857</v>
      </c>
      <c r="P109" s="196" t="s">
        <v>714</v>
      </c>
      <c r="Q109" s="177"/>
      <c r="R109" s="177"/>
      <c r="S109" s="197">
        <f>COUNTA(P110:P114)</f>
        <v>5</v>
      </c>
      <c r="T109" s="197">
        <f>COUNTIF(U110:U114,"n/a")</f>
        <v>0</v>
      </c>
      <c r="U109" s="94"/>
      <c r="V109" s="94"/>
      <c r="W109" s="94"/>
      <c r="X109" s="94"/>
      <c r="Y109" s="94"/>
      <c r="Z109" s="94"/>
      <c r="AA109" s="94"/>
      <c r="AB109" s="94"/>
      <c r="AC109" s="94"/>
      <c r="AD109" s="94"/>
      <c r="AE109" s="94"/>
      <c r="AF109" s="94"/>
      <c r="AG109" s="94"/>
      <c r="AH109" s="94"/>
      <c r="AI109" s="94"/>
      <c r="AJ109" s="94"/>
      <c r="AK109" s="94"/>
      <c r="AL109" s="94"/>
    </row>
    <row r="110">
      <c r="A110" s="105" t="s">
        <v>661</v>
      </c>
      <c r="B110" s="92" t="str">
        <f t="shared" si="2"/>
        <v>Pregunta</v>
      </c>
      <c r="C110" s="106" t="str">
        <f t="shared" si="9"/>
        <v>3.</v>
      </c>
      <c r="D110" s="106" t="str">
        <f t="shared" si="10"/>
        <v>Accesibilidad web</v>
      </c>
      <c r="E110"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110" s="135" t="str">
        <f t="shared" si="3"/>
        <v>3.2  </v>
      </c>
      <c r="G110" s="92" t="str">
        <f t="shared" si="4"/>
        <v>ESPERABLES</v>
      </c>
      <c r="H110" s="141"/>
      <c r="I110" s="141" t="str">
        <f t="shared" si="5"/>
        <v>3.2.1</v>
      </c>
      <c r="J110" s="98" t="str">
        <f t="shared" si="6"/>
        <v>Audio y video con texto alternativo</v>
      </c>
      <c r="K110" s="98" t="str">
        <f t="shared" si="7"/>
        <v>Alternativa textual para los elementos de audio o video, en que se describe lo que está pasando en la escena.
</v>
      </c>
      <c r="L110" s="141" t="str">
        <f t="shared" ref="L110:N110" si="115">IF(I110="",L109,I110)</f>
        <v>3.2.1</v>
      </c>
      <c r="M110" s="98" t="str">
        <f t="shared" si="115"/>
        <v>Audio y video con texto alternativo</v>
      </c>
      <c r="N110" s="98" t="str">
        <f t="shared" si="115"/>
        <v>Alternativa textual para los elementos de audio o video, en que se describe lo que está pasando en la escena.
</v>
      </c>
      <c r="O110" s="214" t="s">
        <v>858</v>
      </c>
      <c r="P110" s="169" t="s">
        <v>859</v>
      </c>
      <c r="Q110" s="169" t="s">
        <v>860</v>
      </c>
      <c r="R110" s="168"/>
      <c r="S110" s="169" t="s">
        <v>2066</v>
      </c>
      <c r="T110" s="164" t="s">
        <v>2033</v>
      </c>
      <c r="U110" s="94"/>
      <c r="V110" s="94"/>
      <c r="W110" s="94"/>
      <c r="X110" s="94"/>
      <c r="Y110" s="94"/>
      <c r="Z110" s="94"/>
      <c r="AA110" s="94"/>
      <c r="AB110" s="94"/>
      <c r="AC110" s="94"/>
      <c r="AD110" s="94"/>
      <c r="AE110" s="94"/>
      <c r="AF110" s="94"/>
      <c r="AG110" s="94"/>
      <c r="AH110" s="94"/>
      <c r="AI110" s="94"/>
      <c r="AJ110" s="94"/>
      <c r="AK110" s="94"/>
      <c r="AL110" s="94"/>
    </row>
    <row r="111">
      <c r="A111" s="105" t="s">
        <v>661</v>
      </c>
      <c r="B111" s="92" t="str">
        <f t="shared" si="2"/>
        <v>Pregunta</v>
      </c>
      <c r="C111" s="106" t="str">
        <f t="shared" si="9"/>
        <v>3.</v>
      </c>
      <c r="D111" s="106" t="str">
        <f t="shared" si="10"/>
        <v>Accesibilidad web</v>
      </c>
      <c r="E111"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111" s="135" t="str">
        <f t="shared" si="3"/>
        <v>3.2  </v>
      </c>
      <c r="G111" s="92" t="str">
        <f t="shared" si="4"/>
        <v>ESPERABLES</v>
      </c>
      <c r="H111" s="141"/>
      <c r="I111" s="141" t="str">
        <f t="shared" si="5"/>
        <v>3.2.2</v>
      </c>
      <c r="J111" s="98" t="str">
        <f t="shared" si="6"/>
        <v>Componentes accesibles</v>
      </c>
      <c r="K111" s="98" t="str">
        <f t="shared" si="7"/>
        <v>Información de estados, roles e información de valor en todos los componentes de interfaz de usuario para permitir la compatibilidad con la tecnología asistiva utilizada para acceder al contenido. Por ejemplo: personas que utilizan lectores de pantalla, ampliadores de pantalla y software de reconocimiento de voz.
</v>
      </c>
      <c r="L111" s="141" t="str">
        <f t="shared" ref="L111:N111" si="116">IF(I111="",L110,I111)</f>
        <v>3.2.2</v>
      </c>
      <c r="M111" s="98" t="str">
        <f t="shared" si="116"/>
        <v>Componentes accesibles</v>
      </c>
      <c r="N111" s="98" t="str">
        <f t="shared" si="116"/>
        <v>Información de estados, roles e información de valor en todos los componentes de interfaz de usuario para permitir la compatibilidad con la tecnología asistiva utilizada para acceder al contenido. Por ejemplo: personas que utilizan lectores de pantalla, ampliadores de pantalla y software de reconocimiento de voz.
</v>
      </c>
      <c r="O111" s="212" t="s">
        <v>862</v>
      </c>
      <c r="P111" s="170" t="s">
        <v>863</v>
      </c>
      <c r="Q111" s="170" t="s">
        <v>864</v>
      </c>
      <c r="R111" s="158"/>
      <c r="S111" s="215" t="s">
        <v>865</v>
      </c>
      <c r="T111" s="164" t="s">
        <v>2033</v>
      </c>
      <c r="U111" s="94"/>
      <c r="V111" s="94"/>
      <c r="W111" s="94"/>
      <c r="X111" s="94"/>
      <c r="Y111" s="94"/>
      <c r="Z111" s="94"/>
      <c r="AA111" s="94"/>
      <c r="AB111" s="94"/>
      <c r="AC111" s="94"/>
      <c r="AD111" s="94"/>
      <c r="AE111" s="94"/>
      <c r="AF111" s="94"/>
      <c r="AG111" s="94"/>
      <c r="AH111" s="94"/>
      <c r="AI111" s="94"/>
      <c r="AJ111" s="94"/>
      <c r="AK111" s="94"/>
      <c r="AL111" s="94"/>
    </row>
    <row r="112">
      <c r="A112" s="105" t="s">
        <v>661</v>
      </c>
      <c r="B112" s="92" t="str">
        <f t="shared" si="2"/>
        <v>Pregunta</v>
      </c>
      <c r="C112" s="106" t="str">
        <f t="shared" si="9"/>
        <v>3.</v>
      </c>
      <c r="D112" s="106" t="str">
        <f t="shared" si="10"/>
        <v>Accesibilidad web</v>
      </c>
      <c r="E112"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112" s="135" t="str">
        <f t="shared" si="3"/>
        <v>3.2  </v>
      </c>
      <c r="G112" s="92" t="str">
        <f t="shared" si="4"/>
        <v>ESPERABLES</v>
      </c>
      <c r="H112" s="141"/>
      <c r="I112" s="141" t="str">
        <f t="shared" si="5"/>
        <v>3.2.3</v>
      </c>
      <c r="J112" s="98" t="str">
        <f t="shared" si="6"/>
        <v>Llamado a la acción claro</v>
      </c>
      <c r="K112" s="98" t="str">
        <f t="shared" si="7"/>
        <v>Presencia de enlaces y botones con llamados a la acción claros y descriptivos.
</v>
      </c>
      <c r="L112" s="141" t="str">
        <f t="shared" ref="L112:N112" si="117">IF(I112="",L111,I112)</f>
        <v>3.2.3</v>
      </c>
      <c r="M112" s="98" t="str">
        <f t="shared" si="117"/>
        <v>Llamado a la acción claro</v>
      </c>
      <c r="N112" s="98" t="str">
        <f t="shared" si="117"/>
        <v>Presencia de enlaces y botones con llamados a la acción claros y descriptivos.
</v>
      </c>
      <c r="O112" s="165" t="s">
        <v>866</v>
      </c>
      <c r="P112" s="166" t="s">
        <v>867</v>
      </c>
      <c r="Q112" s="166" t="s">
        <v>868</v>
      </c>
      <c r="R112" s="211"/>
      <c r="S112" s="166" t="s">
        <v>869</v>
      </c>
      <c r="T112" s="164" t="s">
        <v>2033</v>
      </c>
      <c r="U112" s="94"/>
      <c r="V112" s="94"/>
      <c r="W112" s="94"/>
      <c r="X112" s="94"/>
      <c r="Y112" s="94"/>
      <c r="Z112" s="94"/>
      <c r="AA112" s="94"/>
      <c r="AB112" s="94"/>
      <c r="AC112" s="94"/>
      <c r="AD112" s="94"/>
      <c r="AE112" s="94"/>
      <c r="AF112" s="94"/>
      <c r="AG112" s="94"/>
      <c r="AH112" s="94"/>
      <c r="AI112" s="94"/>
      <c r="AJ112" s="94"/>
      <c r="AK112" s="94"/>
      <c r="AL112" s="94"/>
    </row>
    <row r="113">
      <c r="A113" s="105" t="s">
        <v>661</v>
      </c>
      <c r="B113" s="92" t="str">
        <f t="shared" si="2"/>
        <v>Pregunta</v>
      </c>
      <c r="C113" s="106" t="str">
        <f t="shared" si="9"/>
        <v>3.</v>
      </c>
      <c r="D113" s="106" t="str">
        <f t="shared" si="10"/>
        <v>Accesibilidad web</v>
      </c>
      <c r="E113"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113" s="135" t="str">
        <f t="shared" si="3"/>
        <v>3.2  </v>
      </c>
      <c r="G113" s="92" t="str">
        <f t="shared" si="4"/>
        <v>ESPERABLES</v>
      </c>
      <c r="H113" s="141"/>
      <c r="I113" s="141" t="str">
        <f t="shared" si="5"/>
        <v>3.2.4</v>
      </c>
      <c r="J113" s="98" t="str">
        <f t="shared" si="6"/>
        <v>Predecible al recibir entrada</v>
      </c>
      <c r="K113" s="98" t="str">
        <f t="shared" si="7"/>
        <v>Preocupación por que los cambios y acciones que ocurran en el sitio web sean predecibles, esto se hace al explicar la acción antes de que se ejecute.
</v>
      </c>
      <c r="L113" s="141" t="str">
        <f t="shared" ref="L113:N113" si="118">IF(I113="",L112,I113)</f>
        <v>3.2.4</v>
      </c>
      <c r="M113" s="98" t="str">
        <f t="shared" si="118"/>
        <v>Predecible al recibir entrada</v>
      </c>
      <c r="N113" s="98" t="str">
        <f t="shared" si="118"/>
        <v>Preocupación por que los cambios y acciones que ocurran en el sitio web sean predecibles, esto se hace al explicar la acción antes de que se ejecute.
</v>
      </c>
      <c r="O113" s="165" t="s">
        <v>870</v>
      </c>
      <c r="P113" s="166" t="s">
        <v>871</v>
      </c>
      <c r="Q113" s="166" t="s">
        <v>872</v>
      </c>
      <c r="R113" s="211"/>
      <c r="S113" s="166" t="s">
        <v>873</v>
      </c>
      <c r="T113" s="164" t="s">
        <v>2033</v>
      </c>
      <c r="U113" s="94"/>
      <c r="V113" s="94"/>
      <c r="W113" s="94"/>
      <c r="X113" s="94"/>
      <c r="Y113" s="94"/>
      <c r="Z113" s="94"/>
      <c r="AA113" s="94"/>
      <c r="AB113" s="94"/>
      <c r="AC113" s="94"/>
      <c r="AD113" s="94"/>
      <c r="AE113" s="94"/>
      <c r="AF113" s="94"/>
      <c r="AG113" s="94"/>
      <c r="AH113" s="94"/>
      <c r="AI113" s="94"/>
      <c r="AJ113" s="94"/>
      <c r="AK113" s="94"/>
      <c r="AL113" s="94"/>
    </row>
    <row r="114">
      <c r="A114" s="105" t="s">
        <v>661</v>
      </c>
      <c r="B114" s="92" t="str">
        <f t="shared" si="2"/>
        <v>Pregunta</v>
      </c>
      <c r="C114" s="106" t="str">
        <f t="shared" si="9"/>
        <v>3.</v>
      </c>
      <c r="D114" s="106" t="str">
        <f t="shared" si="10"/>
        <v>Accesibilidad web</v>
      </c>
      <c r="E114"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114" s="135" t="str">
        <f t="shared" si="3"/>
        <v>3.2  </v>
      </c>
      <c r="G114" s="92" t="str">
        <f t="shared" si="4"/>
        <v>ESPERABLES</v>
      </c>
      <c r="H114" s="141"/>
      <c r="I114" s="141" t="str">
        <f t="shared" si="5"/>
        <v>3.2.5</v>
      </c>
      <c r="J114" s="98" t="str">
        <f t="shared" si="6"/>
        <v>Foco visible</v>
      </c>
      <c r="K114" s="98" t="str">
        <f t="shared" si="7"/>
        <v>Preocupación de que al navegar el sitio web por teclado se muestre de forma visible el indicador del foco donde está ubicado el usuario.
</v>
      </c>
      <c r="L114" s="141" t="str">
        <f t="shared" ref="L114:N114" si="119">IF(I114="",L113,I114)</f>
        <v>3.2.5</v>
      </c>
      <c r="M114" s="98" t="str">
        <f t="shared" si="119"/>
        <v>Foco visible</v>
      </c>
      <c r="N114" s="98" t="str">
        <f t="shared" si="119"/>
        <v>Preocupación de que al navegar el sitio web por teclado se muestre de forma visible el indicador del foco donde está ubicado el usuario.
</v>
      </c>
      <c r="O114" s="142" t="s">
        <v>874</v>
      </c>
      <c r="P114" s="143" t="s">
        <v>875</v>
      </c>
      <c r="Q114" s="143" t="s">
        <v>876</v>
      </c>
      <c r="R114" s="174"/>
      <c r="S114" s="143" t="s">
        <v>877</v>
      </c>
      <c r="T114" s="164" t="s">
        <v>2033</v>
      </c>
      <c r="U114" s="94"/>
      <c r="V114" s="94"/>
      <c r="W114" s="94"/>
      <c r="X114" s="94"/>
      <c r="Y114" s="94"/>
      <c r="Z114" s="94"/>
      <c r="AA114" s="94"/>
      <c r="AB114" s="94"/>
      <c r="AC114" s="94"/>
      <c r="AD114" s="94"/>
      <c r="AE114" s="94"/>
      <c r="AF114" s="94"/>
      <c r="AG114" s="94"/>
      <c r="AH114" s="94"/>
      <c r="AI114" s="94"/>
      <c r="AJ114" s="94"/>
      <c r="AK114" s="94"/>
      <c r="AL114" s="94"/>
    </row>
    <row r="115" hidden="1">
      <c r="A115" s="86" t="s">
        <v>661</v>
      </c>
      <c r="B115" s="95" t="str">
        <f t="shared" si="2"/>
        <v>Otro</v>
      </c>
      <c r="C115" s="106" t="str">
        <f t="shared" si="9"/>
        <v>3.</v>
      </c>
      <c r="D115" s="106" t="str">
        <f t="shared" si="10"/>
        <v>Accesibilidad web</v>
      </c>
      <c r="E115"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115" s="135" t="str">
        <f t="shared" si="3"/>
        <v>3.3  </v>
      </c>
      <c r="G115" s="92" t="str">
        <f t="shared" si="4"/>
        <v>DESEABLES</v>
      </c>
      <c r="H115" s="135"/>
      <c r="I115" s="135" t="str">
        <f t="shared" si="5"/>
        <v/>
      </c>
      <c r="J115" s="98" t="str">
        <f t="shared" si="6"/>
        <v/>
      </c>
      <c r="K115" s="98" t="str">
        <f t="shared" si="7"/>
        <v/>
      </c>
      <c r="L115" s="141" t="str">
        <f t="shared" ref="L115:N115" si="120">IF(I115="",L114,I115)</f>
        <v>3.2.5</v>
      </c>
      <c r="M115" s="98" t="str">
        <f t="shared" si="120"/>
        <v>Foco visible</v>
      </c>
      <c r="N115" s="98" t="str">
        <f t="shared" si="120"/>
        <v>Preocupación de que al navegar el sitio web por teclado se muestre de forma visible el indicador del foco donde está ubicado el usuario.
</v>
      </c>
      <c r="O115" s="198" t="s">
        <v>878</v>
      </c>
      <c r="P115" s="182" t="s">
        <v>749</v>
      </c>
      <c r="Q115" s="183"/>
      <c r="R115" s="183"/>
      <c r="S115" s="184">
        <f>COUNTA(P116:P120)</f>
        <v>5</v>
      </c>
      <c r="T115" s="184">
        <f>COUNTIF(U116:U120,"n/a")</f>
        <v>0</v>
      </c>
      <c r="U115" s="94"/>
      <c r="V115" s="94"/>
      <c r="W115" s="94"/>
      <c r="X115" s="94"/>
      <c r="Y115" s="94"/>
      <c r="Z115" s="94"/>
      <c r="AA115" s="94"/>
      <c r="AB115" s="94"/>
      <c r="AC115" s="94"/>
      <c r="AD115" s="94"/>
      <c r="AE115" s="94"/>
      <c r="AF115" s="94"/>
      <c r="AG115" s="94"/>
      <c r="AH115" s="94"/>
      <c r="AI115" s="94"/>
      <c r="AJ115" s="94"/>
      <c r="AK115" s="94"/>
      <c r="AL115" s="94"/>
    </row>
    <row r="116">
      <c r="A116" s="105" t="s">
        <v>661</v>
      </c>
      <c r="B116" s="92" t="str">
        <f t="shared" si="2"/>
        <v>Pregunta</v>
      </c>
      <c r="C116" s="106" t="str">
        <f t="shared" si="9"/>
        <v>3.</v>
      </c>
      <c r="D116" s="106" t="str">
        <f t="shared" si="10"/>
        <v>Accesibilidad web</v>
      </c>
      <c r="E116"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116" s="135" t="str">
        <f t="shared" si="3"/>
        <v>3.3  </v>
      </c>
      <c r="G116" s="92" t="str">
        <f t="shared" si="4"/>
        <v>DESEABLES</v>
      </c>
      <c r="H116" s="141"/>
      <c r="I116" s="141" t="str">
        <f t="shared" si="5"/>
        <v>3.3.1</v>
      </c>
      <c r="J116" s="98" t="str">
        <f t="shared" si="6"/>
        <v>Pausar, detener u ocultar</v>
      </c>
      <c r="K116" s="98" t="str">
        <f t="shared" si="7"/>
        <v>Alternativa para pausar, detener u ocultar cuando se presenta información que tiene movimiento o se actualiza automáticamente.
</v>
      </c>
      <c r="L116" s="141" t="str">
        <f t="shared" ref="L116:N116" si="121">IF(I116="",L115,I116)</f>
        <v>3.3.1</v>
      </c>
      <c r="M116" s="98" t="str">
        <f t="shared" si="121"/>
        <v>Pausar, detener u ocultar</v>
      </c>
      <c r="N116" s="98" t="str">
        <f t="shared" si="121"/>
        <v>Alternativa para pausar, detener u ocultar cuando se presenta información que tiene movimiento o se actualiza automáticamente.
</v>
      </c>
      <c r="O116" s="214" t="s">
        <v>879</v>
      </c>
      <c r="P116" s="169" t="s">
        <v>880</v>
      </c>
      <c r="Q116" s="169" t="s">
        <v>881</v>
      </c>
      <c r="R116" s="168"/>
      <c r="S116" s="169" t="s">
        <v>2067</v>
      </c>
      <c r="T116" s="164" t="s">
        <v>2033</v>
      </c>
      <c r="U116" s="94"/>
      <c r="V116" s="94"/>
      <c r="W116" s="94"/>
      <c r="X116" s="94"/>
      <c r="Y116" s="94"/>
      <c r="Z116" s="94"/>
      <c r="AA116" s="94"/>
      <c r="AB116" s="94"/>
      <c r="AC116" s="94"/>
      <c r="AD116" s="94"/>
      <c r="AE116" s="94"/>
      <c r="AF116" s="94"/>
      <c r="AG116" s="94"/>
      <c r="AH116" s="94"/>
      <c r="AI116" s="94"/>
      <c r="AJ116" s="94"/>
      <c r="AK116" s="94"/>
      <c r="AL116" s="94"/>
    </row>
    <row r="117">
      <c r="A117" s="105" t="s">
        <v>661</v>
      </c>
      <c r="B117" s="92" t="str">
        <f t="shared" si="2"/>
        <v>Pregunta</v>
      </c>
      <c r="C117" s="106" t="str">
        <f t="shared" si="9"/>
        <v>3.</v>
      </c>
      <c r="D117" s="106" t="str">
        <f t="shared" si="10"/>
        <v>Accesibilidad web</v>
      </c>
      <c r="E117"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117" s="135" t="str">
        <f t="shared" si="3"/>
        <v>3.3  </v>
      </c>
      <c r="G117" s="92" t="str">
        <f t="shared" si="4"/>
        <v>DESEABLES</v>
      </c>
      <c r="H117" s="141"/>
      <c r="I117" s="141" t="str">
        <f t="shared" si="5"/>
        <v>3.3.2</v>
      </c>
      <c r="J117" s="98" t="str">
        <f t="shared" si="6"/>
        <v>Audiodescripción</v>
      </c>
      <c r="K117" s="98" t="str">
        <f t="shared" si="7"/>
        <v>Descripción clara del contenido de un audio o video.</v>
      </c>
      <c r="L117" s="141" t="str">
        <f t="shared" ref="L117:N117" si="122">IF(I117="",L116,I117)</f>
        <v>3.3.2</v>
      </c>
      <c r="M117" s="98" t="str">
        <f t="shared" si="122"/>
        <v>Audiodescripción</v>
      </c>
      <c r="N117" s="98" t="str">
        <f t="shared" si="122"/>
        <v>Descripción clara del contenido de un audio o video.</v>
      </c>
      <c r="O117" s="165" t="s">
        <v>883</v>
      </c>
      <c r="P117" s="166" t="s">
        <v>884</v>
      </c>
      <c r="Q117" s="166" t="s">
        <v>885</v>
      </c>
      <c r="R117" s="211"/>
      <c r="S117" s="166" t="s">
        <v>2068</v>
      </c>
      <c r="T117" s="164" t="s">
        <v>2033</v>
      </c>
      <c r="U117" s="94"/>
      <c r="V117" s="94"/>
      <c r="W117" s="94"/>
      <c r="X117" s="94"/>
      <c r="Y117" s="94"/>
      <c r="Z117" s="94"/>
      <c r="AA117" s="94"/>
      <c r="AB117" s="94"/>
      <c r="AC117" s="94"/>
      <c r="AD117" s="94"/>
      <c r="AE117" s="94"/>
      <c r="AF117" s="94"/>
      <c r="AG117" s="94"/>
      <c r="AH117" s="94"/>
      <c r="AI117" s="94"/>
      <c r="AJ117" s="94"/>
      <c r="AK117" s="94"/>
      <c r="AL117" s="94"/>
    </row>
    <row r="118">
      <c r="A118" s="105" t="s">
        <v>661</v>
      </c>
      <c r="B118" s="92" t="str">
        <f t="shared" si="2"/>
        <v>Pregunta</v>
      </c>
      <c r="C118" s="106" t="str">
        <f t="shared" si="9"/>
        <v>3.</v>
      </c>
      <c r="D118" s="106" t="str">
        <f t="shared" si="10"/>
        <v>Accesibilidad web</v>
      </c>
      <c r="E118"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118" s="135" t="str">
        <f t="shared" si="3"/>
        <v>3.3  </v>
      </c>
      <c r="G118" s="92" t="str">
        <f t="shared" si="4"/>
        <v>DESEABLES</v>
      </c>
      <c r="H118" s="141"/>
      <c r="I118" s="141" t="str">
        <f t="shared" si="5"/>
        <v>3.3.3</v>
      </c>
      <c r="J118" s="98" t="str">
        <f t="shared" si="6"/>
        <v>Atajo hacia el contenido</v>
      </c>
      <c r="K118" s="98" t="str">
        <f t="shared" si="7"/>
        <v>Posibilidad de saltar el encabezado del sitio web y pasar directamente al contenido. Se recomienda el uso del atributo "accesskey" en el código HTML.</v>
      </c>
      <c r="L118" s="141" t="str">
        <f t="shared" ref="L118:N118" si="123">IF(I118="",L117,I118)</f>
        <v>3.3.3</v>
      </c>
      <c r="M118" s="98" t="str">
        <f t="shared" si="123"/>
        <v>Atajo hacia el contenido</v>
      </c>
      <c r="N118" s="98" t="str">
        <f t="shared" si="123"/>
        <v>Posibilidad de saltar el encabezado del sitio web y pasar directamente al contenido. Se recomienda el uso del atributo "accesskey" en el código HTML.</v>
      </c>
      <c r="O118" s="212" t="s">
        <v>887</v>
      </c>
      <c r="P118" s="170" t="s">
        <v>888</v>
      </c>
      <c r="Q118" s="170" t="s">
        <v>889</v>
      </c>
      <c r="R118" s="158"/>
      <c r="S118" s="166" t="s">
        <v>890</v>
      </c>
      <c r="T118" s="164" t="s">
        <v>2033</v>
      </c>
      <c r="U118" s="94"/>
      <c r="V118" s="94"/>
      <c r="W118" s="94"/>
      <c r="X118" s="94"/>
      <c r="Y118" s="94"/>
      <c r="Z118" s="94"/>
      <c r="AA118" s="94"/>
      <c r="AB118" s="94"/>
      <c r="AC118" s="94"/>
      <c r="AD118" s="94"/>
      <c r="AE118" s="94"/>
      <c r="AF118" s="94"/>
      <c r="AG118" s="94"/>
      <c r="AH118" s="94"/>
      <c r="AI118" s="94"/>
      <c r="AJ118" s="94"/>
      <c r="AK118" s="94"/>
      <c r="AL118" s="94"/>
    </row>
    <row r="119">
      <c r="A119" s="105" t="s">
        <v>661</v>
      </c>
      <c r="B119" s="92" t="str">
        <f t="shared" si="2"/>
        <v>Pregunta</v>
      </c>
      <c r="C119" s="106" t="str">
        <f t="shared" si="9"/>
        <v>3.</v>
      </c>
      <c r="D119" s="106" t="str">
        <f t="shared" si="10"/>
        <v>Accesibilidad web</v>
      </c>
      <c r="E119"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119" s="135" t="str">
        <f t="shared" si="3"/>
        <v>3.3  </v>
      </c>
      <c r="G119" s="92" t="str">
        <f t="shared" si="4"/>
        <v>DESEABLES</v>
      </c>
      <c r="H119" s="141"/>
      <c r="I119" s="141" t="str">
        <f t="shared" si="5"/>
        <v>3.3.4</v>
      </c>
      <c r="J119" s="98" t="str">
        <f t="shared" si="6"/>
        <v>Documentos accesibles</v>
      </c>
      <c r="K119" s="98" t="str">
        <f t="shared" si="7"/>
        <v>Preocupación de ofrecer documentos descargables accesibles para todos los usuarios.
</v>
      </c>
      <c r="L119" s="141" t="str">
        <f t="shared" ref="L119:N119" si="124">IF(I119="",L118,I119)</f>
        <v>3.3.4</v>
      </c>
      <c r="M119" s="98" t="str">
        <f t="shared" si="124"/>
        <v>Documentos accesibles</v>
      </c>
      <c r="N119" s="98" t="str">
        <f t="shared" si="124"/>
        <v>Preocupación de ofrecer documentos descargables accesibles para todos los usuarios.
</v>
      </c>
      <c r="O119" s="216" t="s">
        <v>891</v>
      </c>
      <c r="P119" s="217" t="s">
        <v>892</v>
      </c>
      <c r="Q119" s="217" t="s">
        <v>893</v>
      </c>
      <c r="R119" s="218"/>
      <c r="S119" s="219" t="s">
        <v>2069</v>
      </c>
      <c r="T119" s="164" t="s">
        <v>2033</v>
      </c>
      <c r="U119" s="94"/>
      <c r="V119" s="94"/>
      <c r="W119" s="94"/>
      <c r="X119" s="94"/>
      <c r="Y119" s="94"/>
      <c r="Z119" s="94"/>
      <c r="AA119" s="94"/>
      <c r="AB119" s="94"/>
      <c r="AC119" s="94"/>
      <c r="AD119" s="94"/>
      <c r="AE119" s="94"/>
      <c r="AF119" s="94"/>
      <c r="AG119" s="94"/>
      <c r="AH119" s="94"/>
      <c r="AI119" s="94"/>
      <c r="AJ119" s="94"/>
      <c r="AK119" s="94"/>
      <c r="AL119" s="94"/>
    </row>
    <row r="120">
      <c r="A120" s="105" t="s">
        <v>661</v>
      </c>
      <c r="B120" s="92" t="str">
        <f t="shared" si="2"/>
        <v>Pregunta</v>
      </c>
      <c r="C120" s="106" t="str">
        <f t="shared" si="9"/>
        <v>3.</v>
      </c>
      <c r="D120" s="106" t="str">
        <f t="shared" si="10"/>
        <v>Accesibilidad web</v>
      </c>
      <c r="E120" s="202"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120" s="135" t="str">
        <f t="shared" si="3"/>
        <v>3.3  </v>
      </c>
      <c r="G120" s="92" t="str">
        <f t="shared" si="4"/>
        <v>DESEABLES</v>
      </c>
      <c r="H120" s="141"/>
      <c r="I120" s="141" t="str">
        <f t="shared" si="5"/>
        <v>3.3.5</v>
      </c>
      <c r="J120" s="98" t="str">
        <f t="shared" si="6"/>
        <v>Declaración de accesibilidad</v>
      </c>
      <c r="K120" s="98" t="str">
        <f t="shared" si="7"/>
        <v>Presencia de una página que explique los aspectos de accesibilidad presentes en el sitio web y declare el nivel de conformidad obtenido al aplicar las Pautas de Accesibilidad para el Contenido Web (WCAG) de la W3C.
</v>
      </c>
      <c r="L120" s="141" t="str">
        <f t="shared" ref="L120:N120" si="125">IF(I120="",L119,I120)</f>
        <v>3.3.5</v>
      </c>
      <c r="M120" s="98" t="str">
        <f t="shared" si="125"/>
        <v>Declaración de accesibilidad</v>
      </c>
      <c r="N120" s="98" t="str">
        <f t="shared" si="125"/>
        <v>Presencia de una página que explique los aspectos de accesibilidad presentes en el sitio web y declare el nivel de conformidad obtenido al aplicar las Pautas de Accesibilidad para el Contenido Web (WCAG) de la W3C.
</v>
      </c>
      <c r="O120" s="152" t="s">
        <v>895</v>
      </c>
      <c r="P120" s="179" t="s">
        <v>896</v>
      </c>
      <c r="Q120" s="179" t="s">
        <v>897</v>
      </c>
      <c r="R120" s="144"/>
      <c r="S120" s="179" t="s">
        <v>898</v>
      </c>
      <c r="T120" s="164" t="s">
        <v>2033</v>
      </c>
      <c r="U120" s="94"/>
      <c r="V120" s="94"/>
      <c r="W120" s="94"/>
      <c r="X120" s="94"/>
      <c r="Y120" s="94"/>
      <c r="Z120" s="94"/>
      <c r="AA120" s="94"/>
      <c r="AB120" s="94"/>
      <c r="AC120" s="94"/>
      <c r="AD120" s="94"/>
      <c r="AE120" s="94"/>
      <c r="AF120" s="94"/>
      <c r="AG120" s="94"/>
      <c r="AH120" s="94"/>
      <c r="AI120" s="94"/>
      <c r="AJ120" s="94"/>
      <c r="AK120" s="94"/>
      <c r="AL120" s="94"/>
    </row>
    <row r="121" hidden="1">
      <c r="A121" s="86" t="s">
        <v>661</v>
      </c>
      <c r="B121" s="201" t="str">
        <f t="shared" si="2"/>
        <v>Otro</v>
      </c>
      <c r="C121" s="106" t="str">
        <f t="shared" si="9"/>
        <v>4.</v>
      </c>
      <c r="D121" s="106" t="str">
        <f t="shared" si="10"/>
        <v>Arquitectura de información</v>
      </c>
      <c r="E121" s="106" t="str">
        <f t="shared" si="11"/>
        <v>Práctica de decidir cómo organizar y rotular de forma lógica el contenido y la navegación de un producto digital para que sea comprensible y que las personas usuarias localicen fácilmente lo que buscan.</v>
      </c>
      <c r="F121" s="135" t="str">
        <f t="shared" si="3"/>
        <v>3.3  </v>
      </c>
      <c r="G121" s="92" t="str">
        <f t="shared" si="4"/>
        <v>DESEABLES</v>
      </c>
      <c r="H121" s="107"/>
      <c r="I121" s="107" t="str">
        <f t="shared" si="5"/>
        <v/>
      </c>
      <c r="J121" s="98" t="str">
        <f t="shared" si="6"/>
        <v/>
      </c>
      <c r="K121" s="98" t="str">
        <f t="shared" si="7"/>
        <v/>
      </c>
      <c r="L121" s="141" t="str">
        <f t="shared" ref="L121:N121" si="126">IF(I121="",L120,I121)</f>
        <v>3.3.5</v>
      </c>
      <c r="M121" s="98" t="str">
        <f t="shared" si="126"/>
        <v>Declaración de accesibilidad</v>
      </c>
      <c r="N121" s="98" t="str">
        <f t="shared" si="126"/>
        <v>Presencia de una página que explique los aspectos de accesibilidad presentes en el sitio web y declare el nivel de conformidad obtenido al aplicar las Pautas de Accesibilidad para el Contenido Web (WCAG) de la W3C.
</v>
      </c>
      <c r="O121" s="220" t="s">
        <v>25</v>
      </c>
      <c r="P121" s="112" t="s">
        <v>26</v>
      </c>
      <c r="Q121" s="113"/>
      <c r="R121" s="114"/>
      <c r="S121" s="115" t="s">
        <v>899</v>
      </c>
      <c r="T121" s="116" t="s">
        <v>16</v>
      </c>
      <c r="U121" s="94"/>
      <c r="V121" s="94"/>
      <c r="W121" s="94"/>
      <c r="X121" s="94"/>
      <c r="Y121" s="94"/>
      <c r="Z121" s="94"/>
      <c r="AA121" s="94"/>
      <c r="AB121" s="94"/>
      <c r="AC121" s="94"/>
      <c r="AD121" s="94"/>
      <c r="AE121" s="94"/>
      <c r="AF121" s="94"/>
      <c r="AG121" s="94"/>
      <c r="AH121" s="94"/>
      <c r="AI121" s="94"/>
      <c r="AJ121" s="94"/>
      <c r="AK121" s="94"/>
      <c r="AL121" s="94"/>
    </row>
    <row r="122" hidden="1">
      <c r="A122" s="86" t="s">
        <v>661</v>
      </c>
      <c r="B122" s="201" t="str">
        <f t="shared" si="2"/>
        <v>Otro</v>
      </c>
      <c r="C122" s="106" t="str">
        <f t="shared" si="9"/>
        <v>4.</v>
      </c>
      <c r="D122" s="106" t="str">
        <f t="shared" si="10"/>
        <v>Arquitectura de información</v>
      </c>
      <c r="E122" s="106" t="str">
        <f t="shared" si="11"/>
        <v>Práctica de decidir cómo organizar y rotular de forma lógica el contenido y la navegación de un producto digital para que sea comprensible y que las personas usuarias localicen fácilmente lo que buscan.</v>
      </c>
      <c r="F122" s="135" t="str">
        <f t="shared" si="3"/>
        <v>3.3  </v>
      </c>
      <c r="G122" s="92" t="str">
        <f t="shared" si="4"/>
        <v>DESEABLES</v>
      </c>
      <c r="H122" s="107"/>
      <c r="I122" s="107" t="str">
        <f t="shared" si="5"/>
        <v/>
      </c>
      <c r="J122" s="98" t="str">
        <f t="shared" si="6"/>
        <v/>
      </c>
      <c r="K122" s="98" t="str">
        <f t="shared" si="7"/>
        <v/>
      </c>
      <c r="L122" s="141" t="str">
        <f t="shared" ref="L122:N122" si="127">IF(I122="",L121,I122)</f>
        <v>3.3.5</v>
      </c>
      <c r="M122" s="98" t="str">
        <f t="shared" si="127"/>
        <v>Declaración de accesibilidad</v>
      </c>
      <c r="N122" s="98" t="str">
        <f t="shared" si="127"/>
        <v>Presencia de una página que explique los aspectos de accesibilidad presentes en el sitio web y declare el nivel de conformidad obtenido al aplicar las Pautas de Accesibilidad para el Contenido Web (WCAG) de la W3C.
</v>
      </c>
      <c r="O122" s="221"/>
      <c r="P122" s="118"/>
      <c r="Q122" s="119"/>
      <c r="R122" s="114"/>
      <c r="S122" s="120"/>
      <c r="T122" s="116" t="s">
        <v>19</v>
      </c>
      <c r="U122" s="94"/>
      <c r="V122" s="94"/>
      <c r="W122" s="94"/>
      <c r="X122" s="94"/>
      <c r="Y122" s="94"/>
      <c r="Z122" s="94"/>
      <c r="AA122" s="94"/>
      <c r="AB122" s="94"/>
      <c r="AC122" s="94"/>
      <c r="AD122" s="94"/>
      <c r="AE122" s="94"/>
      <c r="AF122" s="94"/>
      <c r="AG122" s="94"/>
      <c r="AH122" s="94"/>
      <c r="AI122" s="94"/>
      <c r="AJ122" s="94"/>
      <c r="AK122" s="94"/>
      <c r="AL122" s="94"/>
    </row>
    <row r="123" hidden="1">
      <c r="A123" s="86" t="s">
        <v>661</v>
      </c>
      <c r="B123" s="201" t="str">
        <f t="shared" si="2"/>
        <v>Otro</v>
      </c>
      <c r="C123" s="106" t="str">
        <f t="shared" si="9"/>
        <v>4.</v>
      </c>
      <c r="D123" s="106" t="str">
        <f t="shared" si="10"/>
        <v>Arquitectura de información</v>
      </c>
      <c r="E123" s="106" t="str">
        <f t="shared" si="11"/>
        <v>Práctica de decidir cómo organizar y rotular de forma lógica el contenido y la navegación de un producto digital para que sea comprensible y que las personas usuarias localicen fácilmente lo que buscan.</v>
      </c>
      <c r="F123" s="135" t="str">
        <f t="shared" si="3"/>
        <v>3.3  </v>
      </c>
      <c r="G123" s="92" t="str">
        <f t="shared" si="4"/>
        <v>DESEABLES</v>
      </c>
      <c r="H123" s="107"/>
      <c r="I123" s="107" t="str">
        <f t="shared" si="5"/>
        <v/>
      </c>
      <c r="J123" s="98" t="str">
        <f t="shared" si="6"/>
        <v/>
      </c>
      <c r="K123" s="98" t="str">
        <f t="shared" si="7"/>
        <v/>
      </c>
      <c r="L123" s="141" t="str">
        <f t="shared" ref="L123:N123" si="128">IF(I123="",L122,I123)</f>
        <v>3.3.5</v>
      </c>
      <c r="M123" s="98" t="str">
        <f t="shared" si="128"/>
        <v>Declaración de accesibilidad</v>
      </c>
      <c r="N123" s="98" t="str">
        <f t="shared" si="128"/>
        <v>Presencia de una página que explique los aspectos de accesibilidad presentes en el sitio web y declare el nivel de conformidad obtenido al aplicar las Pautas de Accesibilidad para el Contenido Web (WCAG) de la W3C.
</v>
      </c>
      <c r="O123" s="222"/>
      <c r="P123" s="122"/>
      <c r="Q123" s="123"/>
      <c r="R123" s="114"/>
      <c r="S123" s="124"/>
      <c r="T123" s="116" t="s">
        <v>22</v>
      </c>
      <c r="U123" s="94"/>
      <c r="V123" s="94"/>
      <c r="W123" s="94"/>
      <c r="X123" s="94"/>
      <c r="Y123" s="94"/>
      <c r="Z123" s="94"/>
      <c r="AA123" s="94"/>
      <c r="AB123" s="94"/>
      <c r="AC123" s="94"/>
      <c r="AD123" s="94"/>
      <c r="AE123" s="94"/>
      <c r="AF123" s="94"/>
      <c r="AG123" s="94"/>
      <c r="AH123" s="94"/>
      <c r="AI123" s="94"/>
      <c r="AJ123" s="94"/>
      <c r="AK123" s="94"/>
      <c r="AL123" s="94"/>
    </row>
    <row r="124" hidden="1">
      <c r="A124" s="86" t="s">
        <v>661</v>
      </c>
      <c r="B124" s="201" t="str">
        <f t="shared" si="2"/>
        <v>Otro</v>
      </c>
      <c r="C124" s="106" t="str">
        <f t="shared" si="9"/>
        <v>4.</v>
      </c>
      <c r="D124" s="106" t="str">
        <f t="shared" si="10"/>
        <v>Arquitectura de información</v>
      </c>
      <c r="E124" s="106" t="str">
        <f t="shared" si="11"/>
        <v>Práctica de decidir cómo organizar y rotular de forma lógica el contenido y la navegación de un producto digital para que sea comprensible y que las personas usuarias localicen fácilmente lo que buscan.</v>
      </c>
      <c r="F124" s="135" t="str">
        <f t="shared" si="3"/>
        <v>3.3  </v>
      </c>
      <c r="G124" s="92" t="str">
        <f t="shared" si="4"/>
        <v>DESEABLES</v>
      </c>
      <c r="H124" s="125"/>
      <c r="I124" s="125" t="str">
        <f t="shared" si="5"/>
        <v/>
      </c>
      <c r="J124" s="98" t="str">
        <f t="shared" si="6"/>
        <v/>
      </c>
      <c r="K124" s="98" t="str">
        <f t="shared" si="7"/>
        <v/>
      </c>
      <c r="L124" s="141" t="str">
        <f t="shared" ref="L124:N124" si="129">IF(I124="",L123,I124)</f>
        <v>3.3.5</v>
      </c>
      <c r="M124" s="98" t="str">
        <f t="shared" si="129"/>
        <v>Declaración de accesibilidad</v>
      </c>
      <c r="N124" s="98" t="str">
        <f t="shared" si="129"/>
        <v>Presencia de una página que explique los aspectos de accesibilidad presentes en el sitio web y declare el nivel de conformidad obtenido al aplicar las Pautas de Accesibilidad para el Contenido Web (WCAG) de la W3C.
</v>
      </c>
      <c r="O124" s="126"/>
      <c r="P124" s="114"/>
      <c r="Q124" s="114"/>
      <c r="R124" s="127"/>
      <c r="S124" s="127"/>
      <c r="T124" s="127"/>
      <c r="U124" s="94"/>
      <c r="V124" s="94"/>
      <c r="W124" s="94"/>
      <c r="X124" s="94"/>
      <c r="Y124" s="94"/>
      <c r="Z124" s="94"/>
      <c r="AA124" s="94"/>
      <c r="AB124" s="94"/>
      <c r="AC124" s="94"/>
      <c r="AD124" s="94"/>
      <c r="AE124" s="94"/>
      <c r="AF124" s="94"/>
      <c r="AG124" s="94"/>
      <c r="AH124" s="94"/>
      <c r="AI124" s="94"/>
      <c r="AJ124" s="94"/>
      <c r="AK124" s="94"/>
      <c r="AL124" s="94"/>
    </row>
    <row r="125" hidden="1">
      <c r="A125" s="86" t="s">
        <v>661</v>
      </c>
      <c r="B125" s="95" t="str">
        <f t="shared" si="2"/>
        <v>Otro</v>
      </c>
      <c r="C125" s="106" t="str">
        <f t="shared" si="9"/>
        <v>4.</v>
      </c>
      <c r="D125" s="106" t="str">
        <f t="shared" si="10"/>
        <v>Arquitectura de información</v>
      </c>
      <c r="E125" s="106" t="str">
        <f t="shared" si="11"/>
        <v>Práctica de decidir cómo organizar y rotular de forma lógica el contenido y la navegación de un producto digital para que sea comprensible y que las personas usuarias localicen fácilmente lo que buscan.</v>
      </c>
      <c r="F125" s="135" t="str">
        <f t="shared" si="3"/>
        <v>3.3  </v>
      </c>
      <c r="G125" s="92" t="str">
        <f t="shared" si="4"/>
        <v>DESEABLES</v>
      </c>
      <c r="H125" s="128"/>
      <c r="I125" s="128" t="str">
        <f t="shared" si="5"/>
        <v/>
      </c>
      <c r="J125" s="98" t="str">
        <f t="shared" si="6"/>
        <v/>
      </c>
      <c r="K125" s="98" t="str">
        <f t="shared" si="7"/>
        <v/>
      </c>
      <c r="L125" s="141" t="str">
        <f t="shared" ref="L125:N125" si="130">IF(I125="",L124,I125)</f>
        <v>3.3.5</v>
      </c>
      <c r="M125" s="98" t="str">
        <f t="shared" si="130"/>
        <v>Declaración de accesibilidad</v>
      </c>
      <c r="N125" s="98" t="str">
        <f t="shared" si="130"/>
        <v>Presencia de una página que explique los aspectos de accesibilidad presentes en el sitio web y declare el nivel de conformidad obtenido al aplicar las Pautas de Accesibilidad para el Contenido Web (WCAG) de la W3C.
</v>
      </c>
      <c r="O125" s="223" t="s">
        <v>1822</v>
      </c>
      <c r="P125" s="133" t="s">
        <v>1823</v>
      </c>
      <c r="Q125" s="133" t="s">
        <v>2031</v>
      </c>
      <c r="R125" s="134"/>
      <c r="S125" s="133" t="s">
        <v>1824</v>
      </c>
      <c r="T125" s="133" t="s">
        <v>1825</v>
      </c>
      <c r="U125" s="94"/>
      <c r="V125" s="94"/>
      <c r="W125" s="94"/>
      <c r="X125" s="94"/>
      <c r="Y125" s="94"/>
      <c r="Z125" s="94"/>
      <c r="AA125" s="94"/>
      <c r="AB125" s="94"/>
      <c r="AC125" s="94"/>
      <c r="AD125" s="94"/>
      <c r="AE125" s="94"/>
      <c r="AF125" s="94"/>
      <c r="AG125" s="94"/>
      <c r="AH125" s="94"/>
      <c r="AI125" s="94"/>
      <c r="AJ125" s="94"/>
      <c r="AK125" s="94"/>
      <c r="AL125" s="94"/>
    </row>
    <row r="126" hidden="1">
      <c r="A126" s="86" t="s">
        <v>661</v>
      </c>
      <c r="B126" s="95" t="str">
        <f t="shared" si="2"/>
        <v>Otro</v>
      </c>
      <c r="C126" s="106" t="str">
        <f t="shared" si="9"/>
        <v>4.</v>
      </c>
      <c r="D126" s="106" t="str">
        <f t="shared" si="10"/>
        <v>Arquitectura de información</v>
      </c>
      <c r="E126" s="106" t="str">
        <f t="shared" si="11"/>
        <v>Práctica de decidir cómo organizar y rotular de forma lógica el contenido y la navegación de un producto digital para que sea comprensible y que las personas usuarias localicen fácilmente lo que buscan.</v>
      </c>
      <c r="F126" s="135" t="str">
        <f t="shared" si="3"/>
        <v>4.1</v>
      </c>
      <c r="G126" s="92" t="str">
        <f t="shared" si="4"/>
        <v>IMPRESCINDIBLES</v>
      </c>
      <c r="H126" s="135"/>
      <c r="I126" s="135" t="str">
        <f t="shared" si="5"/>
        <v/>
      </c>
      <c r="J126" s="98" t="str">
        <f t="shared" si="6"/>
        <v/>
      </c>
      <c r="K126" s="98" t="str">
        <f t="shared" si="7"/>
        <v/>
      </c>
      <c r="L126" s="141" t="str">
        <f t="shared" ref="L126:N126" si="131">IF(I126="",L125,I126)</f>
        <v>3.3.5</v>
      </c>
      <c r="M126" s="98" t="str">
        <f t="shared" si="131"/>
        <v>Declaración de accesibilidad</v>
      </c>
      <c r="N126" s="98" t="str">
        <f t="shared" si="131"/>
        <v>Presencia de una página que explique los aspectos de accesibilidad presentes en el sitio web y declare el nivel de conformidad obtenido al aplicar las Pautas de Accesibilidad para el Contenido Web (WCAG) de la W3C.
</v>
      </c>
      <c r="O126" s="136" t="s">
        <v>900</v>
      </c>
      <c r="P126" s="137" t="s">
        <v>664</v>
      </c>
      <c r="Q126" s="138"/>
      <c r="R126" s="138"/>
      <c r="S126" s="139">
        <f>COUNTA(P127:P142)</f>
        <v>6</v>
      </c>
      <c r="T126" s="140">
        <f>COUNTIF(U127:U142,"n/a")</f>
        <v>0</v>
      </c>
      <c r="U126" s="94"/>
      <c r="V126" s="94"/>
      <c r="W126" s="94"/>
      <c r="X126" s="94"/>
      <c r="Y126" s="94"/>
      <c r="Z126" s="94"/>
      <c r="AA126" s="94"/>
      <c r="AB126" s="94"/>
      <c r="AC126" s="94"/>
      <c r="AD126" s="94"/>
      <c r="AE126" s="94"/>
      <c r="AF126" s="94"/>
      <c r="AG126" s="94"/>
      <c r="AH126" s="94"/>
      <c r="AI126" s="94"/>
      <c r="AJ126" s="94"/>
      <c r="AK126" s="94"/>
      <c r="AL126" s="94"/>
    </row>
    <row r="127">
      <c r="A127" s="105" t="s">
        <v>661</v>
      </c>
      <c r="B127" s="92" t="str">
        <f t="shared" si="2"/>
        <v>Pregunta</v>
      </c>
      <c r="C127" s="106" t="str">
        <f t="shared" si="9"/>
        <v>4.</v>
      </c>
      <c r="D127" s="106" t="str">
        <f t="shared" si="10"/>
        <v>Arquitectura de información</v>
      </c>
      <c r="E127" s="106" t="str">
        <f t="shared" si="11"/>
        <v>Práctica de decidir cómo organizar y rotular de forma lógica el contenido y la navegación de un producto digital para que sea comprensible y que las personas usuarias localicen fácilmente lo que buscan.</v>
      </c>
      <c r="F127" s="135" t="str">
        <f t="shared" si="3"/>
        <v>4.1</v>
      </c>
      <c r="G127" s="92" t="str">
        <f t="shared" si="4"/>
        <v>IMPRESCINDIBLES</v>
      </c>
      <c r="H127" s="135"/>
      <c r="I127" s="135" t="str">
        <f t="shared" si="5"/>
        <v>4.1.1</v>
      </c>
      <c r="J127" s="98" t="str">
        <f t="shared" si="6"/>
        <v>Similitud de criterio de organización</v>
      </c>
      <c r="K127" s="98" t="str">
        <f t="shared" si="7"/>
        <v>Organización de los contenidos según el criterio más adecuado para el contexto, nivel cultural, hábitos informacionales y estructuras mentales de su público objetivo.
</v>
      </c>
      <c r="L127" s="141" t="str">
        <f t="shared" ref="L127:N127" si="132">IF(I127="",L126,I127)</f>
        <v>4.1.1</v>
      </c>
      <c r="M127" s="98" t="str">
        <f t="shared" si="132"/>
        <v>Similitud de criterio de organización</v>
      </c>
      <c r="N127" s="98" t="str">
        <f t="shared" si="132"/>
        <v>Organización de los contenidos según el criterio más adecuado para el contexto, nivel cultural, hábitos informacionales y estructuras mentales de su público objetivo.
</v>
      </c>
      <c r="O127" s="224" t="s">
        <v>901</v>
      </c>
      <c r="P127" s="169" t="s">
        <v>902</v>
      </c>
      <c r="Q127" s="169" t="s">
        <v>903</v>
      </c>
      <c r="R127" s="168"/>
      <c r="S127" s="169" t="s">
        <v>904</v>
      </c>
      <c r="T127" s="164" t="s">
        <v>2033</v>
      </c>
      <c r="U127" s="94"/>
      <c r="V127" s="94"/>
      <c r="W127" s="94"/>
      <c r="X127" s="94"/>
      <c r="Y127" s="94"/>
      <c r="Z127" s="94"/>
      <c r="AA127" s="94"/>
      <c r="AB127" s="94"/>
      <c r="AC127" s="94"/>
      <c r="AD127" s="94"/>
      <c r="AE127" s="94"/>
      <c r="AF127" s="94"/>
      <c r="AG127" s="94"/>
      <c r="AH127" s="94"/>
      <c r="AI127" s="94"/>
      <c r="AJ127" s="94"/>
      <c r="AK127" s="94"/>
      <c r="AL127" s="94"/>
    </row>
    <row r="128">
      <c r="A128" s="105" t="s">
        <v>661</v>
      </c>
      <c r="B128" s="92" t="str">
        <f t="shared" si="2"/>
        <v>Pregunta</v>
      </c>
      <c r="C128" s="106" t="str">
        <f t="shared" si="9"/>
        <v>4.</v>
      </c>
      <c r="D128" s="106" t="str">
        <f t="shared" si="10"/>
        <v>Arquitectura de información</v>
      </c>
      <c r="E128" s="106" t="str">
        <f t="shared" si="11"/>
        <v>Práctica de decidir cómo organizar y rotular de forma lógica el contenido y la navegación de un producto digital para que sea comprensible y que las personas usuarias localicen fácilmente lo que buscan.</v>
      </c>
      <c r="F128" s="135" t="str">
        <f t="shared" si="3"/>
        <v>4.1</v>
      </c>
      <c r="G128" s="92" t="str">
        <f t="shared" si="4"/>
        <v>IMPRESCINDIBLES</v>
      </c>
      <c r="H128" s="141"/>
      <c r="I128" s="141" t="str">
        <f t="shared" si="5"/>
        <v>4.1.2</v>
      </c>
      <c r="J128" s="98" t="str">
        <f t="shared" si="6"/>
        <v>Jerarquización de la portada</v>
      </c>
      <c r="K128" s="98" t="str">
        <f t="shared" si="7"/>
        <v>Consonancia entre la distribución de las secciones de la página de inicio y las necesidades de las personas usuarias.
</v>
      </c>
      <c r="L128" s="141" t="str">
        <f t="shared" ref="L128:N128" si="133">IF(I128="",L127,I128)</f>
        <v>4.1.2</v>
      </c>
      <c r="M128" s="98" t="str">
        <f t="shared" si="133"/>
        <v>Jerarquización de la portada</v>
      </c>
      <c r="N128" s="98" t="str">
        <f t="shared" si="133"/>
        <v>Consonancia entre la distribución de las secciones de la página de inicio y las necesidades de las personas usuarias.
</v>
      </c>
      <c r="O128" s="225" t="s">
        <v>905</v>
      </c>
      <c r="P128" s="148" t="s">
        <v>906</v>
      </c>
      <c r="Q128" s="148" t="s">
        <v>907</v>
      </c>
      <c r="R128" s="158"/>
      <c r="S128" s="170" t="s">
        <v>908</v>
      </c>
      <c r="T128" s="160" t="s">
        <v>2033</v>
      </c>
      <c r="U128" s="94"/>
      <c r="V128" s="94"/>
      <c r="W128" s="94"/>
      <c r="X128" s="94"/>
      <c r="Y128" s="94"/>
      <c r="Z128" s="94"/>
      <c r="AA128" s="94"/>
      <c r="AB128" s="94"/>
      <c r="AC128" s="94"/>
      <c r="AD128" s="94"/>
      <c r="AE128" s="94"/>
      <c r="AF128" s="94"/>
      <c r="AG128" s="94"/>
      <c r="AH128" s="94"/>
      <c r="AI128" s="94"/>
      <c r="AJ128" s="94"/>
      <c r="AK128" s="94"/>
      <c r="AL128" s="94"/>
    </row>
    <row r="129">
      <c r="A129" s="86" t="s">
        <v>661</v>
      </c>
      <c r="B129" s="95" t="str">
        <f t="shared" si="2"/>
        <v>Pregunta</v>
      </c>
      <c r="C129" s="106" t="str">
        <f t="shared" si="9"/>
        <v>4.</v>
      </c>
      <c r="D129" s="106" t="str">
        <f t="shared" si="10"/>
        <v>Arquitectura de información</v>
      </c>
      <c r="E129" s="106" t="str">
        <f t="shared" si="11"/>
        <v>Práctica de decidir cómo organizar y rotular de forma lógica el contenido y la navegación de un producto digital para que sea comprensible y que las personas usuarias localicen fácilmente lo que buscan.</v>
      </c>
      <c r="F129" s="135" t="str">
        <f t="shared" si="3"/>
        <v>4.1</v>
      </c>
      <c r="G129" s="92" t="str">
        <f t="shared" si="4"/>
        <v>IMPRESCINDIBLES</v>
      </c>
      <c r="H129" s="141"/>
      <c r="I129" s="141" t="str">
        <f t="shared" si="5"/>
        <v/>
      </c>
      <c r="J129" s="98" t="str">
        <f t="shared" si="6"/>
        <v/>
      </c>
      <c r="K129" s="98" t="str">
        <f t="shared" si="7"/>
        <v/>
      </c>
      <c r="L129" s="141" t="str">
        <f t="shared" ref="L129:N129" si="134">IF(I129="",L128,I129)</f>
        <v>4.1.2</v>
      </c>
      <c r="M129" s="98" t="str">
        <f t="shared" si="134"/>
        <v>Jerarquización de la portada</v>
      </c>
      <c r="N129" s="98" t="str">
        <f t="shared" si="134"/>
        <v>Consonancia entre la distribución de las secciones de la página de inicio y las necesidades de las personas usuarias.
</v>
      </c>
      <c r="O129" s="225"/>
      <c r="P129" s="153"/>
      <c r="Q129" s="153"/>
      <c r="R129" s="161"/>
      <c r="S129" s="162" t="s">
        <v>2070</v>
      </c>
      <c r="T129" s="160" t="s">
        <v>2033</v>
      </c>
      <c r="U129" s="94"/>
      <c r="V129" s="94"/>
      <c r="W129" s="94"/>
      <c r="X129" s="94"/>
      <c r="Y129" s="94"/>
      <c r="Z129" s="94"/>
      <c r="AA129" s="94"/>
      <c r="AB129" s="94"/>
      <c r="AC129" s="94"/>
      <c r="AD129" s="94"/>
      <c r="AE129" s="94"/>
      <c r="AF129" s="94"/>
      <c r="AG129" s="94"/>
      <c r="AH129" s="94"/>
      <c r="AI129" s="94"/>
      <c r="AJ129" s="94"/>
      <c r="AK129" s="94"/>
      <c r="AL129" s="94"/>
    </row>
    <row r="130">
      <c r="A130" s="86" t="s">
        <v>661</v>
      </c>
      <c r="B130" s="95" t="str">
        <f t="shared" si="2"/>
        <v>Pregunta</v>
      </c>
      <c r="C130" s="106" t="str">
        <f t="shared" si="9"/>
        <v>4.</v>
      </c>
      <c r="D130" s="106" t="str">
        <f t="shared" si="10"/>
        <v>Arquitectura de información</v>
      </c>
      <c r="E130" s="106" t="str">
        <f t="shared" si="11"/>
        <v>Práctica de decidir cómo organizar y rotular de forma lógica el contenido y la navegación de un producto digital para que sea comprensible y que las personas usuarias localicen fácilmente lo que buscan.</v>
      </c>
      <c r="F130" s="135" t="str">
        <f t="shared" si="3"/>
        <v>4.1</v>
      </c>
      <c r="G130" s="92" t="str">
        <f t="shared" si="4"/>
        <v>IMPRESCINDIBLES</v>
      </c>
      <c r="H130" s="141"/>
      <c r="I130" s="141" t="str">
        <f t="shared" si="5"/>
        <v/>
      </c>
      <c r="J130" s="98" t="str">
        <f t="shared" si="6"/>
        <v/>
      </c>
      <c r="K130" s="98" t="str">
        <f t="shared" si="7"/>
        <v/>
      </c>
      <c r="L130" s="141" t="str">
        <f t="shared" ref="L130:N130" si="135">IF(I130="",L129,I130)</f>
        <v>4.1.2</v>
      </c>
      <c r="M130" s="98" t="str">
        <f t="shared" si="135"/>
        <v>Jerarquización de la portada</v>
      </c>
      <c r="N130" s="98" t="str">
        <f t="shared" si="135"/>
        <v>Consonancia entre la distribución de las secciones de la página de inicio y las necesidades de las personas usuarias.
</v>
      </c>
      <c r="O130" s="226"/>
      <c r="P130" s="150"/>
      <c r="Q130" s="150"/>
      <c r="R130" s="161"/>
      <c r="S130" s="162" t="s">
        <v>910</v>
      </c>
      <c r="T130" s="160" t="s">
        <v>2033</v>
      </c>
      <c r="U130" s="94"/>
      <c r="V130" s="94"/>
      <c r="W130" s="94"/>
      <c r="X130" s="94"/>
      <c r="Y130" s="94"/>
      <c r="Z130" s="94"/>
      <c r="AA130" s="94"/>
      <c r="AB130" s="94"/>
      <c r="AC130" s="94"/>
      <c r="AD130" s="94"/>
      <c r="AE130" s="94"/>
      <c r="AF130" s="94"/>
      <c r="AG130" s="94"/>
      <c r="AH130" s="94"/>
      <c r="AI130" s="94"/>
      <c r="AJ130" s="94"/>
      <c r="AK130" s="94"/>
      <c r="AL130" s="94"/>
    </row>
    <row r="131">
      <c r="A131" s="86" t="s">
        <v>661</v>
      </c>
      <c r="B131" s="95" t="str">
        <f t="shared" si="2"/>
        <v>Pregunta</v>
      </c>
      <c r="C131" s="106" t="str">
        <f t="shared" si="9"/>
        <v>4.</v>
      </c>
      <c r="D131" s="106" t="str">
        <f t="shared" si="10"/>
        <v>Arquitectura de información</v>
      </c>
      <c r="E131" s="106" t="str">
        <f t="shared" si="11"/>
        <v>Práctica de decidir cómo organizar y rotular de forma lógica el contenido y la navegación de un producto digital para que sea comprensible y que las personas usuarias localicen fácilmente lo que buscan.</v>
      </c>
      <c r="F131" s="135" t="str">
        <f t="shared" si="3"/>
        <v>4.1</v>
      </c>
      <c r="G131" s="92" t="str">
        <f t="shared" si="4"/>
        <v>IMPRESCINDIBLES</v>
      </c>
      <c r="H131" s="96"/>
      <c r="I131" s="96" t="str">
        <f t="shared" si="5"/>
        <v/>
      </c>
      <c r="J131" s="98" t="str">
        <f t="shared" si="6"/>
        <v/>
      </c>
      <c r="K131" s="98" t="str">
        <f t="shared" si="7"/>
        <v/>
      </c>
      <c r="L131" s="141" t="str">
        <f t="shared" ref="L131:N131" si="136">IF(I131="",L130,I131)</f>
        <v>4.1.2</v>
      </c>
      <c r="M131" s="98" t="str">
        <f t="shared" si="136"/>
        <v>Jerarquización de la portada</v>
      </c>
      <c r="N131" s="98" t="str">
        <f t="shared" si="136"/>
        <v>Consonancia entre la distribución de las secciones de la página de inicio y las necesidades de las personas usuarias.
</v>
      </c>
      <c r="O131" s="227"/>
      <c r="P131" s="174"/>
      <c r="Q131" s="174"/>
      <c r="R131" s="174"/>
      <c r="S131" s="228" t="s">
        <v>2071</v>
      </c>
      <c r="T131" s="164" t="s">
        <v>2033</v>
      </c>
      <c r="U131" s="94"/>
      <c r="V131" s="94"/>
      <c r="W131" s="94"/>
      <c r="X131" s="94"/>
      <c r="Y131" s="94"/>
      <c r="Z131" s="94"/>
      <c r="AA131" s="94"/>
      <c r="AB131" s="94"/>
      <c r="AC131" s="94"/>
      <c r="AD131" s="94"/>
      <c r="AE131" s="94"/>
      <c r="AF131" s="94"/>
      <c r="AG131" s="94"/>
      <c r="AH131" s="94"/>
      <c r="AI131" s="94"/>
      <c r="AJ131" s="94"/>
      <c r="AK131" s="94"/>
      <c r="AL131" s="94"/>
    </row>
    <row r="132">
      <c r="A132" s="105" t="s">
        <v>661</v>
      </c>
      <c r="B132" s="92" t="str">
        <f t="shared" si="2"/>
        <v>Pregunta</v>
      </c>
      <c r="C132" s="106" t="str">
        <f t="shared" si="9"/>
        <v>4.</v>
      </c>
      <c r="D132" s="106" t="str">
        <f t="shared" si="10"/>
        <v>Arquitectura de información</v>
      </c>
      <c r="E132" s="106" t="str">
        <f t="shared" si="11"/>
        <v>Práctica de decidir cómo organizar y rotular de forma lógica el contenido y la navegación de un producto digital para que sea comprensible y que las personas usuarias localicen fácilmente lo que buscan.</v>
      </c>
      <c r="F132" s="135" t="str">
        <f t="shared" si="3"/>
        <v>4.1</v>
      </c>
      <c r="G132" s="92" t="str">
        <f t="shared" si="4"/>
        <v>IMPRESCINDIBLES</v>
      </c>
      <c r="H132" s="141"/>
      <c r="I132" s="141" t="str">
        <f t="shared" si="5"/>
        <v>4.1.3</v>
      </c>
      <c r="J132" s="98" t="str">
        <f t="shared" si="6"/>
        <v>Consistencia del rotulado</v>
      </c>
      <c r="K132" s="98" t="str">
        <f t="shared" si="7"/>
        <v>Coherencia en el uso y estilo de las etiquetas en todo el sitio.
</v>
      </c>
      <c r="L132" s="141" t="str">
        <f t="shared" ref="L132:N132" si="137">IF(I132="",L131,I132)</f>
        <v>4.1.3</v>
      </c>
      <c r="M132" s="98" t="str">
        <f t="shared" si="137"/>
        <v>Consistencia del rotulado</v>
      </c>
      <c r="N132" s="98" t="str">
        <f t="shared" si="137"/>
        <v>Coherencia en el uso y estilo de las etiquetas en todo el sitio.
</v>
      </c>
      <c r="O132" s="229" t="s">
        <v>912</v>
      </c>
      <c r="P132" s="166" t="s">
        <v>913</v>
      </c>
      <c r="Q132" s="166" t="s">
        <v>914</v>
      </c>
      <c r="R132" s="211"/>
      <c r="S132" s="166" t="s">
        <v>915</v>
      </c>
      <c r="T132" s="164" t="s">
        <v>2033</v>
      </c>
      <c r="U132" s="94"/>
      <c r="V132" s="94"/>
      <c r="W132" s="94"/>
      <c r="X132" s="94"/>
      <c r="Y132" s="94"/>
      <c r="Z132" s="94"/>
      <c r="AA132" s="94"/>
      <c r="AB132" s="94"/>
      <c r="AC132" s="94"/>
      <c r="AD132" s="94"/>
      <c r="AE132" s="94"/>
      <c r="AF132" s="94"/>
      <c r="AG132" s="94"/>
      <c r="AH132" s="94"/>
      <c r="AI132" s="94"/>
      <c r="AJ132" s="94"/>
      <c r="AK132" s="94"/>
      <c r="AL132" s="94"/>
    </row>
    <row r="133">
      <c r="A133" s="105" t="s">
        <v>661</v>
      </c>
      <c r="B133" s="92" t="str">
        <f t="shared" si="2"/>
        <v>Pregunta</v>
      </c>
      <c r="C133" s="106" t="str">
        <f t="shared" si="9"/>
        <v>4.</v>
      </c>
      <c r="D133" s="106" t="str">
        <f t="shared" si="10"/>
        <v>Arquitectura de información</v>
      </c>
      <c r="E133" s="106" t="str">
        <f t="shared" si="11"/>
        <v>Práctica de decidir cómo organizar y rotular de forma lógica el contenido y la navegación de un producto digital para que sea comprensible y que las personas usuarias localicen fácilmente lo que buscan.</v>
      </c>
      <c r="F133" s="135" t="str">
        <f t="shared" si="3"/>
        <v>4.1</v>
      </c>
      <c r="G133" s="92" t="str">
        <f t="shared" si="4"/>
        <v>IMPRESCINDIBLES</v>
      </c>
      <c r="H133" s="141"/>
      <c r="I133" s="141" t="str">
        <f t="shared" si="5"/>
        <v>4.1.4</v>
      </c>
      <c r="J133" s="98" t="str">
        <f t="shared" si="6"/>
        <v>Claridad del rotulado</v>
      </c>
      <c r="K133" s="98" t="str">
        <f t="shared" si="7"/>
        <v>Facilidad de comprensión de las etiquetas del menú.</v>
      </c>
      <c r="L133" s="141" t="str">
        <f t="shared" ref="L133:N133" si="138">IF(I133="",L132,I133)</f>
        <v>4.1.4</v>
      </c>
      <c r="M133" s="98" t="str">
        <f t="shared" si="138"/>
        <v>Claridad del rotulado</v>
      </c>
      <c r="N133" s="98" t="str">
        <f t="shared" si="138"/>
        <v>Facilidad de comprensión de las etiquetas del menú.</v>
      </c>
      <c r="O133" s="165" t="s">
        <v>916</v>
      </c>
      <c r="P133" s="166" t="s">
        <v>917</v>
      </c>
      <c r="Q133" s="166" t="s">
        <v>918</v>
      </c>
      <c r="R133" s="158"/>
      <c r="S133" s="170" t="s">
        <v>919</v>
      </c>
      <c r="T133" s="164" t="s">
        <v>2033</v>
      </c>
      <c r="U133" s="94"/>
      <c r="V133" s="94"/>
      <c r="W133" s="94"/>
      <c r="X133" s="94"/>
      <c r="Y133" s="94"/>
      <c r="Z133" s="94"/>
      <c r="AA133" s="94"/>
      <c r="AB133" s="94"/>
      <c r="AC133" s="94"/>
      <c r="AD133" s="94"/>
      <c r="AE133" s="94"/>
      <c r="AF133" s="94"/>
      <c r="AG133" s="94"/>
      <c r="AH133" s="94"/>
      <c r="AI133" s="94"/>
      <c r="AJ133" s="94"/>
      <c r="AK133" s="94"/>
      <c r="AL133" s="94"/>
    </row>
    <row r="134">
      <c r="A134" s="105" t="s">
        <v>661</v>
      </c>
      <c r="B134" s="92" t="str">
        <f t="shared" si="2"/>
        <v>Pregunta</v>
      </c>
      <c r="C134" s="106" t="str">
        <f t="shared" si="9"/>
        <v>4.</v>
      </c>
      <c r="D134" s="106" t="str">
        <f t="shared" si="10"/>
        <v>Arquitectura de información</v>
      </c>
      <c r="E134" s="106" t="str">
        <f t="shared" si="11"/>
        <v>Práctica de decidir cómo organizar y rotular de forma lógica el contenido y la navegación de un producto digital para que sea comprensible y que las personas usuarias localicen fácilmente lo que buscan.</v>
      </c>
      <c r="F134" s="135" t="str">
        <f t="shared" si="3"/>
        <v>4.1</v>
      </c>
      <c r="G134" s="92" t="str">
        <f t="shared" si="4"/>
        <v>IMPRESCINDIBLES</v>
      </c>
      <c r="H134" s="141"/>
      <c r="I134" s="141" t="str">
        <f t="shared" si="5"/>
        <v>4.1.5</v>
      </c>
      <c r="J134" s="98" t="str">
        <f t="shared" si="6"/>
        <v>Notoriedad de la navegación</v>
      </c>
      <c r="K134" s="98" t="str">
        <f t="shared" si="7"/>
        <v>Presencia y visibilidad del menú de navegación, sus opciones, localización del usuario, estado del sistema y etapa o paso del trámite.</v>
      </c>
      <c r="L134" s="141" t="str">
        <f t="shared" ref="L134:N134" si="139">IF(I134="",L133,I134)</f>
        <v>4.1.5</v>
      </c>
      <c r="M134" s="98" t="str">
        <f t="shared" si="139"/>
        <v>Notoriedad de la navegación</v>
      </c>
      <c r="N134" s="98" t="str">
        <f t="shared" si="139"/>
        <v>Presencia y visibilidad del menú de navegación, sus opciones, localización del usuario, estado del sistema y etapa o paso del trámite.</v>
      </c>
      <c r="O134" s="230" t="s">
        <v>920</v>
      </c>
      <c r="P134" s="148" t="s">
        <v>921</v>
      </c>
      <c r="Q134" s="148" t="s">
        <v>922</v>
      </c>
      <c r="R134" s="158"/>
      <c r="S134" s="170" t="s">
        <v>923</v>
      </c>
      <c r="T134" s="160" t="s">
        <v>2033</v>
      </c>
      <c r="U134" s="94"/>
      <c r="V134" s="94"/>
      <c r="W134" s="94"/>
      <c r="X134" s="94"/>
      <c r="Y134" s="94"/>
      <c r="Z134" s="94"/>
      <c r="AA134" s="94"/>
      <c r="AB134" s="94"/>
      <c r="AC134" s="94"/>
      <c r="AD134" s="94"/>
      <c r="AE134" s="94"/>
      <c r="AF134" s="94"/>
      <c r="AG134" s="94"/>
      <c r="AH134" s="94"/>
      <c r="AI134" s="94"/>
      <c r="AJ134" s="94"/>
      <c r="AK134" s="94"/>
      <c r="AL134" s="94"/>
    </row>
    <row r="135">
      <c r="A135" s="86" t="s">
        <v>661</v>
      </c>
      <c r="B135" s="95" t="str">
        <f t="shared" si="2"/>
        <v>Pregunta</v>
      </c>
      <c r="C135" s="106" t="str">
        <f t="shared" si="9"/>
        <v>4.</v>
      </c>
      <c r="D135" s="106" t="str">
        <f t="shared" si="10"/>
        <v>Arquitectura de información</v>
      </c>
      <c r="E135" s="106" t="str">
        <f t="shared" si="11"/>
        <v>Práctica de decidir cómo organizar y rotular de forma lógica el contenido y la navegación de un producto digital para que sea comprensible y que las personas usuarias localicen fácilmente lo que buscan.</v>
      </c>
      <c r="F135" s="135" t="str">
        <f t="shared" si="3"/>
        <v>4.1</v>
      </c>
      <c r="G135" s="92" t="str">
        <f t="shared" si="4"/>
        <v>IMPRESCINDIBLES</v>
      </c>
      <c r="H135" s="141"/>
      <c r="I135" s="141" t="str">
        <f t="shared" si="5"/>
        <v/>
      </c>
      <c r="J135" s="98" t="str">
        <f t="shared" si="6"/>
        <v/>
      </c>
      <c r="K135" s="98" t="str">
        <f t="shared" si="7"/>
        <v/>
      </c>
      <c r="L135" s="141" t="str">
        <f t="shared" ref="L135:N135" si="140">IF(I135="",L134,I135)</f>
        <v>4.1.5</v>
      </c>
      <c r="M135" s="98" t="str">
        <f t="shared" si="140"/>
        <v>Notoriedad de la navegación</v>
      </c>
      <c r="N135" s="98" t="str">
        <f t="shared" si="140"/>
        <v>Presencia y visibilidad del menú de navegación, sus opciones, localización del usuario, estado del sistema y etapa o paso del trámite.</v>
      </c>
      <c r="O135" s="225"/>
      <c r="P135" s="153"/>
      <c r="Q135" s="153"/>
      <c r="R135" s="149"/>
      <c r="S135" s="162" t="s">
        <v>924</v>
      </c>
      <c r="T135" s="160" t="s">
        <v>2033</v>
      </c>
      <c r="U135" s="94"/>
      <c r="V135" s="94"/>
      <c r="W135" s="94"/>
      <c r="X135" s="94"/>
      <c r="Y135" s="94"/>
      <c r="Z135" s="94"/>
      <c r="AA135" s="94"/>
      <c r="AB135" s="94"/>
      <c r="AC135" s="94"/>
      <c r="AD135" s="94"/>
      <c r="AE135" s="94"/>
      <c r="AF135" s="94"/>
      <c r="AG135" s="94"/>
      <c r="AH135" s="94"/>
      <c r="AI135" s="94"/>
      <c r="AJ135" s="94"/>
      <c r="AK135" s="94"/>
      <c r="AL135" s="94"/>
    </row>
    <row r="136">
      <c r="A136" s="86" t="s">
        <v>661</v>
      </c>
      <c r="B136" s="95" t="str">
        <f t="shared" si="2"/>
        <v>Pregunta</v>
      </c>
      <c r="C136" s="106" t="str">
        <f t="shared" si="9"/>
        <v>4.</v>
      </c>
      <c r="D136" s="106" t="str">
        <f t="shared" si="10"/>
        <v>Arquitectura de información</v>
      </c>
      <c r="E136" s="106" t="str">
        <f t="shared" si="11"/>
        <v>Práctica de decidir cómo organizar y rotular de forma lógica el contenido y la navegación de un producto digital para que sea comprensible y que las personas usuarias localicen fácilmente lo que buscan.</v>
      </c>
      <c r="F136" s="135" t="str">
        <f t="shared" si="3"/>
        <v>4.1</v>
      </c>
      <c r="G136" s="92" t="str">
        <f t="shared" si="4"/>
        <v>IMPRESCINDIBLES</v>
      </c>
      <c r="H136" s="141"/>
      <c r="I136" s="141" t="str">
        <f t="shared" si="5"/>
        <v/>
      </c>
      <c r="J136" s="98" t="str">
        <f t="shared" si="6"/>
        <v/>
      </c>
      <c r="K136" s="98" t="str">
        <f t="shared" si="7"/>
        <v/>
      </c>
      <c r="L136" s="141" t="str">
        <f t="shared" ref="L136:N136" si="141">IF(I136="",L135,I136)</f>
        <v>4.1.5</v>
      </c>
      <c r="M136" s="98" t="str">
        <f t="shared" si="141"/>
        <v>Notoriedad de la navegación</v>
      </c>
      <c r="N136" s="98" t="str">
        <f t="shared" si="141"/>
        <v>Presencia y visibilidad del menú de navegación, sus opciones, localización del usuario, estado del sistema y etapa o paso del trámite.</v>
      </c>
      <c r="O136" s="225"/>
      <c r="P136" s="153"/>
      <c r="Q136" s="153"/>
      <c r="R136" s="149"/>
      <c r="S136" s="162" t="s">
        <v>925</v>
      </c>
      <c r="T136" s="160" t="s">
        <v>2033</v>
      </c>
      <c r="U136" s="94"/>
      <c r="V136" s="94"/>
      <c r="W136" s="94"/>
      <c r="X136" s="94"/>
      <c r="Y136" s="94"/>
      <c r="Z136" s="94"/>
      <c r="AA136" s="94"/>
      <c r="AB136" s="94"/>
      <c r="AC136" s="94"/>
      <c r="AD136" s="94"/>
      <c r="AE136" s="94"/>
      <c r="AF136" s="94"/>
      <c r="AG136" s="94"/>
      <c r="AH136" s="94"/>
      <c r="AI136" s="94"/>
      <c r="AJ136" s="94"/>
      <c r="AK136" s="94"/>
      <c r="AL136" s="94"/>
    </row>
    <row r="137">
      <c r="A137" s="86" t="s">
        <v>661</v>
      </c>
      <c r="B137" s="95" t="str">
        <f t="shared" si="2"/>
        <v>Pregunta</v>
      </c>
      <c r="C137" s="106" t="str">
        <f t="shared" si="9"/>
        <v>4.</v>
      </c>
      <c r="D137" s="106" t="str">
        <f t="shared" si="10"/>
        <v>Arquitectura de información</v>
      </c>
      <c r="E137" s="106" t="str">
        <f t="shared" si="11"/>
        <v>Práctica de decidir cómo organizar y rotular de forma lógica el contenido y la navegación de un producto digital para que sea comprensible y que las personas usuarias localicen fácilmente lo que buscan.</v>
      </c>
      <c r="F137" s="135" t="str">
        <f t="shared" si="3"/>
        <v>4.1</v>
      </c>
      <c r="G137" s="92" t="str">
        <f t="shared" si="4"/>
        <v>IMPRESCINDIBLES</v>
      </c>
      <c r="H137" s="141"/>
      <c r="I137" s="141" t="str">
        <f t="shared" si="5"/>
        <v/>
      </c>
      <c r="J137" s="98" t="str">
        <f t="shared" si="6"/>
        <v/>
      </c>
      <c r="K137" s="98" t="str">
        <f t="shared" si="7"/>
        <v/>
      </c>
      <c r="L137" s="141" t="str">
        <f t="shared" ref="L137:N137" si="142">IF(I137="",L136,I137)</f>
        <v>4.1.5</v>
      </c>
      <c r="M137" s="98" t="str">
        <f t="shared" si="142"/>
        <v>Notoriedad de la navegación</v>
      </c>
      <c r="N137" s="98" t="str">
        <f t="shared" si="142"/>
        <v>Presencia y visibilidad del menú de navegación, sus opciones, localización del usuario, estado del sistema y etapa o paso del trámite.</v>
      </c>
      <c r="O137" s="225"/>
      <c r="P137" s="150"/>
      <c r="Q137" s="150"/>
      <c r="R137" s="200"/>
      <c r="S137" s="169" t="s">
        <v>926</v>
      </c>
      <c r="T137" s="164" t="s">
        <v>2033</v>
      </c>
      <c r="U137" s="94"/>
      <c r="V137" s="94"/>
      <c r="W137" s="94"/>
      <c r="X137" s="94"/>
      <c r="Y137" s="94"/>
      <c r="Z137" s="94"/>
      <c r="AA137" s="94"/>
      <c r="AB137" s="94"/>
      <c r="AC137" s="94"/>
      <c r="AD137" s="94"/>
      <c r="AE137" s="94"/>
      <c r="AF137" s="94"/>
      <c r="AG137" s="94"/>
      <c r="AH137" s="94"/>
      <c r="AI137" s="94"/>
      <c r="AJ137" s="94"/>
      <c r="AK137" s="94"/>
      <c r="AL137" s="94"/>
    </row>
    <row r="138">
      <c r="A138" s="105" t="s">
        <v>661</v>
      </c>
      <c r="B138" s="92" t="str">
        <f t="shared" si="2"/>
        <v>Pregunta</v>
      </c>
      <c r="C138" s="106" t="str">
        <f t="shared" si="9"/>
        <v>4.</v>
      </c>
      <c r="D138" s="106" t="str">
        <f t="shared" si="10"/>
        <v>Arquitectura de información</v>
      </c>
      <c r="E138" s="106" t="str">
        <f t="shared" si="11"/>
        <v>Práctica de decidir cómo organizar y rotular de forma lógica el contenido y la navegación de un producto digital para que sea comprensible y que las personas usuarias localicen fácilmente lo que buscan.</v>
      </c>
      <c r="F138" s="135" t="str">
        <f t="shared" si="3"/>
        <v>4.1</v>
      </c>
      <c r="G138" s="92" t="str">
        <f t="shared" si="4"/>
        <v>IMPRESCINDIBLES</v>
      </c>
      <c r="H138" s="141"/>
      <c r="I138" s="141" t="str">
        <f t="shared" si="5"/>
        <v>4.1.6</v>
      </c>
      <c r="J138" s="98" t="str">
        <f t="shared" si="6"/>
        <v>Menú de navegación principal</v>
      </c>
      <c r="K138" s="98" t="str">
        <f t="shared" si="7"/>
        <v>Presencia de una navegación principal clara y consistente para las personas usuarias, que además privilegie la navegación dentro del mismo sitio web.</v>
      </c>
      <c r="L138" s="141" t="str">
        <f t="shared" ref="L138:N138" si="143">IF(I138="",L137,I138)</f>
        <v>4.1.6</v>
      </c>
      <c r="M138" s="98" t="str">
        <f t="shared" si="143"/>
        <v>Menú de navegación principal</v>
      </c>
      <c r="N138" s="98" t="str">
        <f t="shared" si="143"/>
        <v>Presencia de una navegación principal clara y consistente para las personas usuarias, que además privilegie la navegación dentro del mismo sitio web.</v>
      </c>
      <c r="O138" s="230" t="s">
        <v>927</v>
      </c>
      <c r="P138" s="153" t="s">
        <v>928</v>
      </c>
      <c r="Q138" s="153" t="s">
        <v>929</v>
      </c>
      <c r="R138" s="158"/>
      <c r="S138" s="170" t="s">
        <v>930</v>
      </c>
      <c r="T138" s="160" t="s">
        <v>2033</v>
      </c>
      <c r="U138" s="94"/>
      <c r="V138" s="94"/>
      <c r="W138" s="94"/>
      <c r="X138" s="94"/>
      <c r="Y138" s="94"/>
      <c r="Z138" s="94"/>
      <c r="AA138" s="94"/>
      <c r="AB138" s="94"/>
      <c r="AC138" s="94"/>
      <c r="AD138" s="94"/>
      <c r="AE138" s="94"/>
      <c r="AF138" s="94"/>
      <c r="AG138" s="94"/>
      <c r="AH138" s="94"/>
      <c r="AI138" s="94"/>
      <c r="AJ138" s="94"/>
      <c r="AK138" s="94"/>
      <c r="AL138" s="94"/>
    </row>
    <row r="139">
      <c r="A139" s="86" t="s">
        <v>661</v>
      </c>
      <c r="B139" s="95" t="str">
        <f t="shared" si="2"/>
        <v>Pregunta</v>
      </c>
      <c r="C139" s="106" t="str">
        <f t="shared" si="9"/>
        <v>4.</v>
      </c>
      <c r="D139" s="106" t="str">
        <f t="shared" si="10"/>
        <v>Arquitectura de información</v>
      </c>
      <c r="E139" s="106" t="str">
        <f t="shared" si="11"/>
        <v>Práctica de decidir cómo organizar y rotular de forma lógica el contenido y la navegación de un producto digital para que sea comprensible y que las personas usuarias localicen fácilmente lo que buscan.</v>
      </c>
      <c r="F139" s="135" t="str">
        <f t="shared" si="3"/>
        <v>4.1</v>
      </c>
      <c r="G139" s="92" t="str">
        <f t="shared" si="4"/>
        <v>IMPRESCINDIBLES</v>
      </c>
      <c r="H139" s="141"/>
      <c r="I139" s="141" t="str">
        <f t="shared" si="5"/>
        <v/>
      </c>
      <c r="J139" s="98" t="str">
        <f t="shared" si="6"/>
        <v/>
      </c>
      <c r="K139" s="98" t="str">
        <f t="shared" si="7"/>
        <v/>
      </c>
      <c r="L139" s="141" t="str">
        <f t="shared" ref="L139:N139" si="144">IF(I139="",L138,I139)</f>
        <v>4.1.6</v>
      </c>
      <c r="M139" s="98" t="str">
        <f t="shared" si="144"/>
        <v>Menú de navegación principal</v>
      </c>
      <c r="N139" s="98" t="str">
        <f t="shared" si="144"/>
        <v>Presencia de una navegación principal clara y consistente para las personas usuarias, que además privilegie la navegación dentro del mismo sitio web.</v>
      </c>
      <c r="O139" s="225"/>
      <c r="P139" s="153"/>
      <c r="Q139" s="153"/>
      <c r="R139" s="161"/>
      <c r="S139" s="162" t="s">
        <v>931</v>
      </c>
      <c r="T139" s="160" t="s">
        <v>2033</v>
      </c>
      <c r="U139" s="94"/>
      <c r="V139" s="94"/>
      <c r="W139" s="94"/>
      <c r="X139" s="94"/>
      <c r="Y139" s="94"/>
      <c r="Z139" s="94"/>
      <c r="AA139" s="94"/>
      <c r="AB139" s="94"/>
      <c r="AC139" s="94"/>
      <c r="AD139" s="94"/>
      <c r="AE139" s="94"/>
      <c r="AF139" s="94"/>
      <c r="AG139" s="94"/>
      <c r="AH139" s="94"/>
      <c r="AI139" s="94"/>
      <c r="AJ139" s="94"/>
      <c r="AK139" s="94"/>
      <c r="AL139" s="94"/>
    </row>
    <row r="140">
      <c r="A140" s="86" t="s">
        <v>661</v>
      </c>
      <c r="B140" s="95" t="str">
        <f t="shared" si="2"/>
        <v>Pregunta</v>
      </c>
      <c r="C140" s="106" t="str">
        <f t="shared" si="9"/>
        <v>4.</v>
      </c>
      <c r="D140" s="106" t="str">
        <f t="shared" si="10"/>
        <v>Arquitectura de información</v>
      </c>
      <c r="E140" s="106" t="str">
        <f t="shared" si="11"/>
        <v>Práctica de decidir cómo organizar y rotular de forma lógica el contenido y la navegación de un producto digital para que sea comprensible y que las personas usuarias localicen fácilmente lo que buscan.</v>
      </c>
      <c r="F140" s="135" t="str">
        <f t="shared" si="3"/>
        <v>4.1</v>
      </c>
      <c r="G140" s="92" t="str">
        <f t="shared" si="4"/>
        <v>IMPRESCINDIBLES</v>
      </c>
      <c r="H140" s="141"/>
      <c r="I140" s="141" t="str">
        <f t="shared" si="5"/>
        <v/>
      </c>
      <c r="J140" s="98" t="str">
        <f t="shared" si="6"/>
        <v/>
      </c>
      <c r="K140" s="98" t="str">
        <f t="shared" si="7"/>
        <v/>
      </c>
      <c r="L140" s="141" t="str">
        <f t="shared" ref="L140:N140" si="145">IF(I140="",L139,I140)</f>
        <v>4.1.6</v>
      </c>
      <c r="M140" s="98" t="str">
        <f t="shared" si="145"/>
        <v>Menú de navegación principal</v>
      </c>
      <c r="N140" s="98" t="str">
        <f t="shared" si="145"/>
        <v>Presencia de una navegación principal clara y consistente para las personas usuarias, que además privilegie la navegación dentro del mismo sitio web.</v>
      </c>
      <c r="O140" s="225"/>
      <c r="P140" s="153"/>
      <c r="Q140" s="153"/>
      <c r="R140" s="161"/>
      <c r="S140" s="162" t="s">
        <v>932</v>
      </c>
      <c r="T140" s="160" t="s">
        <v>2033</v>
      </c>
      <c r="U140" s="94"/>
      <c r="V140" s="94"/>
      <c r="W140" s="94"/>
      <c r="X140" s="94"/>
      <c r="Y140" s="94"/>
      <c r="Z140" s="94"/>
      <c r="AA140" s="94"/>
      <c r="AB140" s="94"/>
      <c r="AC140" s="94"/>
      <c r="AD140" s="94"/>
      <c r="AE140" s="94"/>
      <c r="AF140" s="94"/>
      <c r="AG140" s="94"/>
      <c r="AH140" s="94"/>
      <c r="AI140" s="94"/>
      <c r="AJ140" s="94"/>
      <c r="AK140" s="94"/>
      <c r="AL140" s="94"/>
    </row>
    <row r="141">
      <c r="A141" s="86" t="s">
        <v>661</v>
      </c>
      <c r="B141" s="95" t="str">
        <f t="shared" si="2"/>
        <v>Pregunta</v>
      </c>
      <c r="C141" s="106" t="str">
        <f t="shared" si="9"/>
        <v>4.</v>
      </c>
      <c r="D141" s="106" t="str">
        <f t="shared" si="10"/>
        <v>Arquitectura de información</v>
      </c>
      <c r="E141" s="106" t="str">
        <f t="shared" si="11"/>
        <v>Práctica de decidir cómo organizar y rotular de forma lógica el contenido y la navegación de un producto digital para que sea comprensible y que las personas usuarias localicen fácilmente lo que buscan.</v>
      </c>
      <c r="F141" s="135" t="str">
        <f t="shared" si="3"/>
        <v>4.1</v>
      </c>
      <c r="G141" s="92" t="str">
        <f t="shared" si="4"/>
        <v>IMPRESCINDIBLES</v>
      </c>
      <c r="H141" s="141"/>
      <c r="I141" s="141" t="str">
        <f t="shared" si="5"/>
        <v/>
      </c>
      <c r="J141" s="98" t="str">
        <f t="shared" si="6"/>
        <v/>
      </c>
      <c r="K141" s="98" t="str">
        <f t="shared" si="7"/>
        <v/>
      </c>
      <c r="L141" s="141" t="str">
        <f t="shared" ref="L141:N141" si="146">IF(I141="",L140,I141)</f>
        <v>4.1.6</v>
      </c>
      <c r="M141" s="98" t="str">
        <f t="shared" si="146"/>
        <v>Menú de navegación principal</v>
      </c>
      <c r="N141" s="98" t="str">
        <f t="shared" si="146"/>
        <v>Presencia de una navegación principal clara y consistente para las personas usuarias, que además privilegie la navegación dentro del mismo sitio web.</v>
      </c>
      <c r="O141" s="225"/>
      <c r="P141" s="153"/>
      <c r="Q141" s="153"/>
      <c r="R141" s="161"/>
      <c r="S141" s="162" t="s">
        <v>933</v>
      </c>
      <c r="T141" s="160" t="s">
        <v>2033</v>
      </c>
      <c r="U141" s="94"/>
      <c r="V141" s="94"/>
      <c r="W141" s="94"/>
      <c r="X141" s="94"/>
      <c r="Y141" s="94"/>
      <c r="Z141" s="94"/>
      <c r="AA141" s="94"/>
      <c r="AB141" s="94"/>
      <c r="AC141" s="94"/>
      <c r="AD141" s="94"/>
      <c r="AE141" s="94"/>
      <c r="AF141" s="94"/>
      <c r="AG141" s="94"/>
      <c r="AH141" s="94"/>
      <c r="AI141" s="94"/>
      <c r="AJ141" s="94"/>
      <c r="AK141" s="94"/>
      <c r="AL141" s="94"/>
    </row>
    <row r="142">
      <c r="A142" s="86" t="s">
        <v>661</v>
      </c>
      <c r="B142" s="95" t="str">
        <f t="shared" si="2"/>
        <v>Pregunta</v>
      </c>
      <c r="C142" s="106" t="str">
        <f t="shared" si="9"/>
        <v>4.</v>
      </c>
      <c r="D142" s="106" t="str">
        <f t="shared" si="10"/>
        <v>Arquitectura de información</v>
      </c>
      <c r="E142" s="106" t="str">
        <f t="shared" si="11"/>
        <v>Práctica de decidir cómo organizar y rotular de forma lógica el contenido y la navegación de un producto digital para que sea comprensible y que las personas usuarias localicen fácilmente lo que buscan.</v>
      </c>
      <c r="F142" s="135" t="str">
        <f t="shared" si="3"/>
        <v>4.1</v>
      </c>
      <c r="G142" s="92" t="str">
        <f t="shared" si="4"/>
        <v>IMPRESCINDIBLES</v>
      </c>
      <c r="H142" s="141"/>
      <c r="I142" s="141" t="str">
        <f t="shared" si="5"/>
        <v/>
      </c>
      <c r="J142" s="98" t="str">
        <f t="shared" si="6"/>
        <v/>
      </c>
      <c r="K142" s="98" t="str">
        <f t="shared" si="7"/>
        <v/>
      </c>
      <c r="L142" s="141" t="str">
        <f t="shared" ref="L142:N142" si="147">IF(I142="",L141,I142)</f>
        <v>4.1.6</v>
      </c>
      <c r="M142" s="98" t="str">
        <f t="shared" si="147"/>
        <v>Menú de navegación principal</v>
      </c>
      <c r="N142" s="98" t="str">
        <f t="shared" si="147"/>
        <v>Presencia de una navegación principal clara y consistente para las personas usuarias, que además privilegie la navegación dentro del mismo sitio web.</v>
      </c>
      <c r="O142" s="231"/>
      <c r="P142" s="143"/>
      <c r="Q142" s="143"/>
      <c r="R142" s="168"/>
      <c r="S142" s="169" t="s">
        <v>934</v>
      </c>
      <c r="T142" s="164" t="s">
        <v>2033</v>
      </c>
      <c r="U142" s="94"/>
      <c r="V142" s="94"/>
      <c r="W142" s="94"/>
      <c r="X142" s="94"/>
      <c r="Y142" s="94"/>
      <c r="Z142" s="94"/>
      <c r="AA142" s="94"/>
      <c r="AB142" s="94"/>
      <c r="AC142" s="94"/>
      <c r="AD142" s="94"/>
      <c r="AE142" s="94"/>
      <c r="AF142" s="94"/>
      <c r="AG142" s="94"/>
      <c r="AH142" s="94"/>
      <c r="AI142" s="94"/>
      <c r="AJ142" s="94"/>
      <c r="AK142" s="94"/>
      <c r="AL142" s="94"/>
    </row>
    <row r="143" hidden="1">
      <c r="A143" s="86" t="s">
        <v>661</v>
      </c>
      <c r="B143" s="95" t="str">
        <f t="shared" si="2"/>
        <v>Otro</v>
      </c>
      <c r="C143" s="106" t="str">
        <f t="shared" si="9"/>
        <v>4.</v>
      </c>
      <c r="D143" s="106" t="str">
        <f t="shared" si="10"/>
        <v>Arquitectura de información</v>
      </c>
      <c r="E143" s="106" t="str">
        <f t="shared" si="11"/>
        <v>Práctica de decidir cómo organizar y rotular de forma lógica el contenido y la navegación de un producto digital para que sea comprensible y que las personas usuarias localicen fácilmente lo que buscan.</v>
      </c>
      <c r="F143" s="135" t="str">
        <f t="shared" si="3"/>
        <v>4.2</v>
      </c>
      <c r="G143" s="92" t="str">
        <f t="shared" si="4"/>
        <v>ESPERABLES</v>
      </c>
      <c r="H143" s="135"/>
      <c r="I143" s="135" t="str">
        <f t="shared" si="5"/>
        <v/>
      </c>
      <c r="J143" s="98" t="str">
        <f t="shared" si="6"/>
        <v/>
      </c>
      <c r="K143" s="98" t="str">
        <f t="shared" si="7"/>
        <v/>
      </c>
      <c r="L143" s="141" t="str">
        <f t="shared" ref="L143:N143" si="148">IF(I143="",L142,I143)</f>
        <v>4.1.6</v>
      </c>
      <c r="M143" s="98" t="str">
        <f t="shared" si="148"/>
        <v>Menú de navegación principal</v>
      </c>
      <c r="N143" s="98" t="str">
        <f t="shared" si="148"/>
        <v>Presencia de una navegación principal clara y consistente para las personas usuarias, que además privilegie la navegación dentro del mismo sitio web.</v>
      </c>
      <c r="O143" s="195" t="s">
        <v>935</v>
      </c>
      <c r="P143" s="196" t="s">
        <v>714</v>
      </c>
      <c r="Q143" s="177"/>
      <c r="R143" s="177"/>
      <c r="S143" s="197">
        <f>COUNTA(P144:P155)</f>
        <v>6</v>
      </c>
      <c r="T143" s="197">
        <f>COUNTIF(U144:U155,"n/a")</f>
        <v>0</v>
      </c>
      <c r="U143" s="94"/>
      <c r="V143" s="94"/>
      <c r="W143" s="94"/>
      <c r="X143" s="94"/>
      <c r="Y143" s="94"/>
      <c r="Z143" s="94"/>
      <c r="AA143" s="94"/>
      <c r="AB143" s="94"/>
      <c r="AC143" s="94"/>
      <c r="AD143" s="94"/>
      <c r="AE143" s="94"/>
      <c r="AF143" s="94"/>
      <c r="AG143" s="94"/>
      <c r="AH143" s="94"/>
      <c r="AI143" s="94"/>
      <c r="AJ143" s="94"/>
      <c r="AK143" s="94"/>
      <c r="AL143" s="94"/>
    </row>
    <row r="144">
      <c r="A144" s="105" t="s">
        <v>661</v>
      </c>
      <c r="B144" s="92" t="str">
        <f t="shared" si="2"/>
        <v>Pregunta</v>
      </c>
      <c r="C144" s="106" t="str">
        <f t="shared" si="9"/>
        <v>4.</v>
      </c>
      <c r="D144" s="106" t="str">
        <f t="shared" si="10"/>
        <v>Arquitectura de información</v>
      </c>
      <c r="E144" s="106" t="str">
        <f t="shared" si="11"/>
        <v>Práctica de decidir cómo organizar y rotular de forma lógica el contenido y la navegación de un producto digital para que sea comprensible y que las personas usuarias localicen fácilmente lo que buscan.</v>
      </c>
      <c r="F144" s="135" t="str">
        <f t="shared" si="3"/>
        <v>4.2</v>
      </c>
      <c r="G144" s="92" t="str">
        <f t="shared" si="4"/>
        <v>ESPERABLES</v>
      </c>
      <c r="H144" s="135"/>
      <c r="I144" s="135" t="str">
        <f t="shared" si="5"/>
        <v>4.2.1</v>
      </c>
      <c r="J144" s="98" t="str">
        <f t="shared" si="6"/>
        <v>Marca o nombre de fantasía</v>
      </c>
      <c r="K144" s="98" t="str">
        <f t="shared" si="7"/>
        <v>Identificación formal de la institución que usa un nombre de fantasía.</v>
      </c>
      <c r="L144" s="141" t="str">
        <f t="shared" ref="L144:N144" si="149">IF(I144="",L143,I144)</f>
        <v>4.2.1</v>
      </c>
      <c r="M144" s="98" t="str">
        <f t="shared" si="149"/>
        <v>Marca o nombre de fantasía</v>
      </c>
      <c r="N144" s="98" t="str">
        <f t="shared" si="149"/>
        <v>Identificación formal de la institución que usa un nombre de fantasía.</v>
      </c>
      <c r="O144" s="232" t="s">
        <v>936</v>
      </c>
      <c r="P144" s="180" t="s">
        <v>937</v>
      </c>
      <c r="Q144" s="180" t="s">
        <v>938</v>
      </c>
      <c r="R144" s="171"/>
      <c r="S144" s="169" t="s">
        <v>2072</v>
      </c>
      <c r="T144" s="164" t="s">
        <v>2033</v>
      </c>
      <c r="U144" s="94"/>
      <c r="V144" s="94"/>
      <c r="W144" s="94"/>
      <c r="X144" s="94"/>
      <c r="Y144" s="94"/>
      <c r="Z144" s="94"/>
      <c r="AA144" s="94"/>
      <c r="AB144" s="94"/>
      <c r="AC144" s="94"/>
      <c r="AD144" s="94"/>
      <c r="AE144" s="94"/>
      <c r="AF144" s="94"/>
      <c r="AG144" s="94"/>
      <c r="AH144" s="94"/>
      <c r="AI144" s="94"/>
      <c r="AJ144" s="94"/>
      <c r="AK144" s="94"/>
      <c r="AL144" s="94"/>
    </row>
    <row r="145">
      <c r="A145" s="105" t="s">
        <v>661</v>
      </c>
      <c r="B145" s="92" t="str">
        <f t="shared" si="2"/>
        <v>Pregunta</v>
      </c>
      <c r="C145" s="106" t="str">
        <f t="shared" si="9"/>
        <v>4.</v>
      </c>
      <c r="D145" s="106" t="str">
        <f t="shared" si="10"/>
        <v>Arquitectura de información</v>
      </c>
      <c r="E145" s="106" t="str">
        <f t="shared" si="11"/>
        <v>Práctica de decidir cómo organizar y rotular de forma lógica el contenido y la navegación de un producto digital para que sea comprensible y que las personas usuarias localicen fácilmente lo que buscan.</v>
      </c>
      <c r="F145" s="135" t="str">
        <f t="shared" si="3"/>
        <v>4.2</v>
      </c>
      <c r="G145" s="92" t="str">
        <f t="shared" si="4"/>
        <v>ESPERABLES</v>
      </c>
      <c r="H145" s="141"/>
      <c r="I145" s="141" t="str">
        <f t="shared" si="5"/>
        <v>4.2.2</v>
      </c>
      <c r="J145" s="98" t="str">
        <f t="shared" si="6"/>
        <v>Regla de los 3 clics</v>
      </c>
      <c r="K145" s="98" t="str">
        <f t="shared" si="7"/>
        <v>Acceso a los contenidos desde portada o cualquier parte del sitio web en no más de tres enlaces de distancia.
</v>
      </c>
      <c r="L145" s="141" t="str">
        <f t="shared" ref="L145:N145" si="150">IF(I145="",L144,I145)</f>
        <v>4.2.2</v>
      </c>
      <c r="M145" s="98" t="str">
        <f t="shared" si="150"/>
        <v>Regla de los 3 clics</v>
      </c>
      <c r="N145" s="98" t="str">
        <f t="shared" si="150"/>
        <v>Acceso a los contenidos desde portada o cualquier parte del sitio web en no más de tres enlaces de distancia.
</v>
      </c>
      <c r="O145" s="165" t="s">
        <v>940</v>
      </c>
      <c r="P145" s="166" t="s">
        <v>941</v>
      </c>
      <c r="Q145" s="166" t="s">
        <v>942</v>
      </c>
      <c r="R145" s="211"/>
      <c r="S145" s="166" t="s">
        <v>943</v>
      </c>
      <c r="T145" s="164" t="s">
        <v>2033</v>
      </c>
      <c r="U145" s="94"/>
      <c r="V145" s="94"/>
      <c r="W145" s="94"/>
      <c r="X145" s="94"/>
      <c r="Y145" s="94"/>
      <c r="Z145" s="94"/>
      <c r="AA145" s="94"/>
      <c r="AB145" s="94"/>
      <c r="AC145" s="94"/>
      <c r="AD145" s="94"/>
      <c r="AE145" s="94"/>
      <c r="AF145" s="94"/>
      <c r="AG145" s="94"/>
      <c r="AH145" s="94"/>
      <c r="AI145" s="94"/>
      <c r="AJ145" s="94"/>
      <c r="AK145" s="94"/>
      <c r="AL145" s="94"/>
    </row>
    <row r="146">
      <c r="A146" s="105" t="s">
        <v>661</v>
      </c>
      <c r="B146" s="92" t="str">
        <f t="shared" si="2"/>
        <v>Pregunta</v>
      </c>
      <c r="C146" s="106" t="str">
        <f t="shared" si="9"/>
        <v>4.</v>
      </c>
      <c r="D146" s="106" t="str">
        <f t="shared" si="10"/>
        <v>Arquitectura de información</v>
      </c>
      <c r="E146" s="106" t="str">
        <f t="shared" si="11"/>
        <v>Práctica de decidir cómo organizar y rotular de forma lógica el contenido y la navegación de un producto digital para que sea comprensible y que las personas usuarias localicen fácilmente lo que buscan.</v>
      </c>
      <c r="F146" s="135" t="str">
        <f t="shared" si="3"/>
        <v>4.2</v>
      </c>
      <c r="G146" s="92" t="str">
        <f t="shared" si="4"/>
        <v>ESPERABLES</v>
      </c>
      <c r="H146" s="141"/>
      <c r="I146" s="141" t="str">
        <f t="shared" si="5"/>
        <v>4.2.3</v>
      </c>
      <c r="J146" s="98" t="str">
        <f t="shared" si="6"/>
        <v>Precisión del rotulado</v>
      </c>
      <c r="K146" s="98" t="str">
        <f t="shared" si="7"/>
        <v>Capacidad de los rótulos para expresar su significado de manera directa y concisa.</v>
      </c>
      <c r="L146" s="141" t="str">
        <f t="shared" ref="L146:N146" si="151">IF(I146="",L145,I146)</f>
        <v>4.2.3</v>
      </c>
      <c r="M146" s="98" t="str">
        <f t="shared" si="151"/>
        <v>Precisión del rotulado</v>
      </c>
      <c r="N146" s="98" t="str">
        <f t="shared" si="151"/>
        <v>Capacidad de los rótulos para expresar su significado de manera directa y concisa.</v>
      </c>
      <c r="O146" s="147" t="s">
        <v>944</v>
      </c>
      <c r="P146" s="148" t="s">
        <v>945</v>
      </c>
      <c r="Q146" s="148" t="s">
        <v>946</v>
      </c>
      <c r="R146" s="158"/>
      <c r="S146" s="162" t="s">
        <v>947</v>
      </c>
      <c r="T146" s="160" t="s">
        <v>2033</v>
      </c>
      <c r="U146" s="94"/>
      <c r="V146" s="94"/>
      <c r="W146" s="94"/>
      <c r="X146" s="94"/>
      <c r="Y146" s="94"/>
      <c r="Z146" s="94"/>
      <c r="AA146" s="94"/>
      <c r="AB146" s="94"/>
      <c r="AC146" s="94"/>
      <c r="AD146" s="94"/>
      <c r="AE146" s="94"/>
      <c r="AF146" s="94"/>
      <c r="AG146" s="94"/>
      <c r="AH146" s="94"/>
      <c r="AI146" s="94"/>
      <c r="AJ146" s="94"/>
      <c r="AK146" s="94"/>
      <c r="AL146" s="94"/>
    </row>
    <row r="147">
      <c r="A147" s="86" t="s">
        <v>661</v>
      </c>
      <c r="B147" s="95" t="str">
        <f t="shared" si="2"/>
        <v>Pregunta</v>
      </c>
      <c r="C147" s="106" t="str">
        <f t="shared" si="9"/>
        <v>4.</v>
      </c>
      <c r="D147" s="106" t="str">
        <f t="shared" si="10"/>
        <v>Arquitectura de información</v>
      </c>
      <c r="E147" s="106" t="str">
        <f t="shared" si="11"/>
        <v>Práctica de decidir cómo organizar y rotular de forma lógica el contenido y la navegación de un producto digital para que sea comprensible y que las personas usuarias localicen fácilmente lo que buscan.</v>
      </c>
      <c r="F147" s="135" t="str">
        <f t="shared" si="3"/>
        <v>4.2</v>
      </c>
      <c r="G147" s="92" t="str">
        <f t="shared" si="4"/>
        <v>ESPERABLES</v>
      </c>
      <c r="H147" s="141"/>
      <c r="I147" s="141" t="str">
        <f t="shared" si="5"/>
        <v/>
      </c>
      <c r="J147" s="98" t="str">
        <f t="shared" si="6"/>
        <v/>
      </c>
      <c r="K147" s="98" t="str">
        <f t="shared" si="7"/>
        <v/>
      </c>
      <c r="L147" s="141" t="str">
        <f t="shared" ref="L147:N147" si="152">IF(I147="",L146,I147)</f>
        <v>4.2.3</v>
      </c>
      <c r="M147" s="98" t="str">
        <f t="shared" si="152"/>
        <v>Precisión del rotulado</v>
      </c>
      <c r="N147" s="98" t="str">
        <f t="shared" si="152"/>
        <v>Capacidad de los rótulos para expresar su significado de manera directa y concisa.</v>
      </c>
      <c r="O147" s="152"/>
      <c r="P147" s="153"/>
      <c r="Q147" s="153"/>
      <c r="R147" s="161"/>
      <c r="S147" s="162" t="s">
        <v>948</v>
      </c>
      <c r="T147" s="160" t="s">
        <v>2033</v>
      </c>
      <c r="U147" s="94"/>
      <c r="V147" s="94"/>
      <c r="W147" s="94"/>
      <c r="X147" s="94"/>
      <c r="Y147" s="94"/>
      <c r="Z147" s="94"/>
      <c r="AA147" s="94"/>
      <c r="AB147" s="94"/>
      <c r="AC147" s="94"/>
      <c r="AD147" s="94"/>
      <c r="AE147" s="94"/>
      <c r="AF147" s="94"/>
      <c r="AG147" s="94"/>
      <c r="AH147" s="94"/>
      <c r="AI147" s="94"/>
      <c r="AJ147" s="94"/>
      <c r="AK147" s="94"/>
      <c r="AL147" s="94"/>
    </row>
    <row r="148">
      <c r="A148" s="86" t="s">
        <v>661</v>
      </c>
      <c r="B148" s="95" t="str">
        <f t="shared" si="2"/>
        <v>Pregunta</v>
      </c>
      <c r="C148" s="106" t="str">
        <f t="shared" si="9"/>
        <v>4.</v>
      </c>
      <c r="D148" s="106" t="str">
        <f t="shared" si="10"/>
        <v>Arquitectura de información</v>
      </c>
      <c r="E148" s="106" t="str">
        <f t="shared" si="11"/>
        <v>Práctica de decidir cómo organizar y rotular de forma lógica el contenido y la navegación de un producto digital para que sea comprensible y que las personas usuarias localicen fácilmente lo que buscan.</v>
      </c>
      <c r="F148" s="135" t="str">
        <f t="shared" si="3"/>
        <v>4.2</v>
      </c>
      <c r="G148" s="92" t="str">
        <f t="shared" si="4"/>
        <v>ESPERABLES</v>
      </c>
      <c r="H148" s="141"/>
      <c r="I148" s="141" t="str">
        <f t="shared" si="5"/>
        <v/>
      </c>
      <c r="J148" s="98" t="str">
        <f t="shared" si="6"/>
        <v/>
      </c>
      <c r="K148" s="98" t="str">
        <f t="shared" si="7"/>
        <v/>
      </c>
      <c r="L148" s="141" t="str">
        <f t="shared" ref="L148:N148" si="153">IF(I148="",L147,I148)</f>
        <v>4.2.3</v>
      </c>
      <c r="M148" s="98" t="str">
        <f t="shared" si="153"/>
        <v>Precisión del rotulado</v>
      </c>
      <c r="N148" s="98" t="str">
        <f t="shared" si="153"/>
        <v>Capacidad de los rótulos para expresar su significado de manera directa y concisa.</v>
      </c>
      <c r="O148" s="142"/>
      <c r="P148" s="143"/>
      <c r="Q148" s="143"/>
      <c r="R148" s="161"/>
      <c r="S148" s="169" t="s">
        <v>949</v>
      </c>
      <c r="T148" s="164" t="s">
        <v>2033</v>
      </c>
      <c r="U148" s="94"/>
      <c r="V148" s="94"/>
      <c r="W148" s="94"/>
      <c r="X148" s="94"/>
      <c r="Y148" s="94"/>
      <c r="Z148" s="94"/>
      <c r="AA148" s="94"/>
      <c r="AB148" s="94"/>
      <c r="AC148" s="94"/>
      <c r="AD148" s="94"/>
      <c r="AE148" s="94"/>
      <c r="AF148" s="94"/>
      <c r="AG148" s="94"/>
      <c r="AH148" s="94"/>
      <c r="AI148" s="94"/>
      <c r="AJ148" s="94"/>
      <c r="AK148" s="94"/>
      <c r="AL148" s="94"/>
    </row>
    <row r="149">
      <c r="A149" s="105" t="s">
        <v>661</v>
      </c>
      <c r="B149" s="92" t="str">
        <f t="shared" si="2"/>
        <v>Pregunta</v>
      </c>
      <c r="C149" s="106" t="str">
        <f t="shared" si="9"/>
        <v>4.</v>
      </c>
      <c r="D149" s="106" t="str">
        <f t="shared" si="10"/>
        <v>Arquitectura de información</v>
      </c>
      <c r="E149" s="106" t="str">
        <f t="shared" si="11"/>
        <v>Práctica de decidir cómo organizar y rotular de forma lógica el contenido y la navegación de un producto digital para que sea comprensible y que las personas usuarias localicen fácilmente lo que buscan.</v>
      </c>
      <c r="F149" s="135" t="str">
        <f t="shared" si="3"/>
        <v>4.2</v>
      </c>
      <c r="G149" s="92" t="str">
        <f t="shared" si="4"/>
        <v>ESPERABLES</v>
      </c>
      <c r="H149" s="141"/>
      <c r="I149" s="141" t="str">
        <f t="shared" si="5"/>
        <v>4.2.4</v>
      </c>
      <c r="J149" s="98" t="str">
        <f t="shared" si="6"/>
        <v>Concisión del rotulado</v>
      </c>
      <c r="K149" s="98" t="str">
        <f t="shared" si="7"/>
        <v>Brevedad y economía de palabras en las etiquetas, acorde al tiempo de lectura en internet y al espacio reducido en dispositivos móviles.
</v>
      </c>
      <c r="L149" s="141" t="str">
        <f t="shared" ref="L149:N149" si="154">IF(I149="",L148,I149)</f>
        <v>4.2.4</v>
      </c>
      <c r="M149" s="98" t="str">
        <f t="shared" si="154"/>
        <v>Concisión del rotulado</v>
      </c>
      <c r="N149" s="98" t="str">
        <f t="shared" si="154"/>
        <v>Brevedad y economía de palabras en las etiquetas, acorde al tiempo de lectura en internet y al espacio reducido en dispositivos móviles.
</v>
      </c>
      <c r="O149" s="147" t="s">
        <v>950</v>
      </c>
      <c r="P149" s="148" t="s">
        <v>951</v>
      </c>
      <c r="Q149" s="148" t="s">
        <v>952</v>
      </c>
      <c r="R149" s="158"/>
      <c r="S149" s="170" t="s">
        <v>953</v>
      </c>
      <c r="T149" s="160" t="s">
        <v>2033</v>
      </c>
      <c r="U149" s="94"/>
      <c r="V149" s="94"/>
      <c r="W149" s="94"/>
      <c r="X149" s="94"/>
      <c r="Y149" s="94"/>
      <c r="Z149" s="94"/>
      <c r="AA149" s="94"/>
      <c r="AB149" s="94"/>
      <c r="AC149" s="94"/>
      <c r="AD149" s="94"/>
      <c r="AE149" s="94"/>
      <c r="AF149" s="94"/>
      <c r="AG149" s="94"/>
      <c r="AH149" s="94"/>
      <c r="AI149" s="94"/>
      <c r="AJ149" s="94"/>
      <c r="AK149" s="94"/>
      <c r="AL149" s="94"/>
    </row>
    <row r="150">
      <c r="A150" s="86" t="s">
        <v>661</v>
      </c>
      <c r="B150" s="95" t="str">
        <f t="shared" si="2"/>
        <v>Pregunta</v>
      </c>
      <c r="C150" s="106" t="str">
        <f t="shared" si="9"/>
        <v>4.</v>
      </c>
      <c r="D150" s="106" t="str">
        <f t="shared" si="10"/>
        <v>Arquitectura de información</v>
      </c>
      <c r="E150" s="106" t="str">
        <f t="shared" si="11"/>
        <v>Práctica de decidir cómo organizar y rotular de forma lógica el contenido y la navegación de un producto digital para que sea comprensible y que las personas usuarias localicen fácilmente lo que buscan.</v>
      </c>
      <c r="F150" s="135" t="str">
        <f t="shared" si="3"/>
        <v>4.2</v>
      </c>
      <c r="G150" s="92" t="str">
        <f t="shared" si="4"/>
        <v>ESPERABLES</v>
      </c>
      <c r="H150" s="141"/>
      <c r="I150" s="141" t="str">
        <f t="shared" si="5"/>
        <v/>
      </c>
      <c r="J150" s="98" t="str">
        <f t="shared" si="6"/>
        <v/>
      </c>
      <c r="K150" s="98" t="str">
        <f t="shared" si="7"/>
        <v/>
      </c>
      <c r="L150" s="141" t="str">
        <f t="shared" ref="L150:N150" si="155">IF(I150="",L149,I150)</f>
        <v>4.2.4</v>
      </c>
      <c r="M150" s="98" t="str">
        <f t="shared" si="155"/>
        <v>Concisión del rotulado</v>
      </c>
      <c r="N150" s="98" t="str">
        <f t="shared" si="155"/>
        <v>Brevedad y economía de palabras en las etiquetas, acorde al tiempo de lectura en internet y al espacio reducido en dispositivos móviles.
</v>
      </c>
      <c r="O150" s="142"/>
      <c r="P150" s="143"/>
      <c r="Q150" s="143"/>
      <c r="R150" s="168"/>
      <c r="S150" s="169" t="s">
        <v>954</v>
      </c>
      <c r="T150" s="164" t="s">
        <v>2033</v>
      </c>
      <c r="U150" s="94"/>
      <c r="V150" s="94"/>
      <c r="W150" s="94"/>
      <c r="X150" s="94"/>
      <c r="Y150" s="94"/>
      <c r="Z150" s="94"/>
      <c r="AA150" s="94"/>
      <c r="AB150" s="94"/>
      <c r="AC150" s="94"/>
      <c r="AD150" s="94"/>
      <c r="AE150" s="94"/>
      <c r="AF150" s="94"/>
      <c r="AG150" s="94"/>
      <c r="AH150" s="94"/>
      <c r="AI150" s="94"/>
      <c r="AJ150" s="94"/>
      <c r="AK150" s="94"/>
      <c r="AL150" s="94"/>
    </row>
    <row r="151">
      <c r="A151" s="105" t="s">
        <v>661</v>
      </c>
      <c r="B151" s="92" t="str">
        <f t="shared" si="2"/>
        <v>Pregunta</v>
      </c>
      <c r="C151" s="106" t="str">
        <f t="shared" si="9"/>
        <v>4.</v>
      </c>
      <c r="D151" s="106" t="str">
        <f t="shared" si="10"/>
        <v>Arquitectura de información</v>
      </c>
      <c r="E151" s="106" t="str">
        <f t="shared" si="11"/>
        <v>Práctica de decidir cómo organizar y rotular de forma lógica el contenido y la navegación de un producto digital para que sea comprensible y que las personas usuarias localicen fácilmente lo que buscan.</v>
      </c>
      <c r="F151" s="135" t="str">
        <f t="shared" si="3"/>
        <v>4.2</v>
      </c>
      <c r="G151" s="92" t="str">
        <f t="shared" si="4"/>
        <v>ESPERABLES</v>
      </c>
      <c r="H151" s="141"/>
      <c r="I151" s="141" t="str">
        <f t="shared" si="5"/>
        <v>4.2.5</v>
      </c>
      <c r="J151" s="98" t="str">
        <f t="shared" si="6"/>
        <v>Equilibrio de la navegación</v>
      </c>
      <c r="K151" s="98" t="str">
        <f t="shared" si="7"/>
        <v>Apropiado número de opciones del menú. Balance entre su extensión y nivel de profundidad.
</v>
      </c>
      <c r="L151" s="141" t="str">
        <f t="shared" ref="L151:N151" si="156">IF(I151="",L150,I151)</f>
        <v>4.2.5</v>
      </c>
      <c r="M151" s="98" t="str">
        <f t="shared" si="156"/>
        <v>Equilibrio de la navegación</v>
      </c>
      <c r="N151" s="98" t="str">
        <f t="shared" si="156"/>
        <v>Apropiado número de opciones del menú. Balance entre su extensión y nivel de profundidad.
</v>
      </c>
      <c r="O151" s="147" t="s">
        <v>955</v>
      </c>
      <c r="P151" s="170" t="s">
        <v>956</v>
      </c>
      <c r="Q151" s="148" t="s">
        <v>957</v>
      </c>
      <c r="R151" s="158"/>
      <c r="S151" s="170" t="s">
        <v>958</v>
      </c>
      <c r="T151" s="160" t="s">
        <v>2033</v>
      </c>
      <c r="U151" s="94"/>
      <c r="V151" s="94"/>
      <c r="W151" s="94"/>
      <c r="X151" s="94"/>
      <c r="Y151" s="94"/>
      <c r="Z151" s="94"/>
      <c r="AA151" s="94"/>
      <c r="AB151" s="94"/>
      <c r="AC151" s="94"/>
      <c r="AD151" s="94"/>
      <c r="AE151" s="94"/>
      <c r="AF151" s="94"/>
      <c r="AG151" s="94"/>
      <c r="AH151" s="94"/>
      <c r="AI151" s="94"/>
      <c r="AJ151" s="94"/>
      <c r="AK151" s="94"/>
      <c r="AL151" s="94"/>
    </row>
    <row r="152">
      <c r="A152" s="86" t="s">
        <v>661</v>
      </c>
      <c r="B152" s="95" t="str">
        <f t="shared" si="2"/>
        <v>Pregunta</v>
      </c>
      <c r="C152" s="106" t="str">
        <f t="shared" si="9"/>
        <v>4.</v>
      </c>
      <c r="D152" s="106" t="str">
        <f t="shared" si="10"/>
        <v>Arquitectura de información</v>
      </c>
      <c r="E152" s="106" t="str">
        <f t="shared" si="11"/>
        <v>Práctica de decidir cómo organizar y rotular de forma lógica el contenido y la navegación de un producto digital para que sea comprensible y que las personas usuarias localicen fácilmente lo que buscan.</v>
      </c>
      <c r="F152" s="135" t="str">
        <f t="shared" si="3"/>
        <v>4.2</v>
      </c>
      <c r="G152" s="92" t="str">
        <f t="shared" si="4"/>
        <v>ESPERABLES</v>
      </c>
      <c r="H152" s="141"/>
      <c r="I152" s="141" t="str">
        <f t="shared" si="5"/>
        <v/>
      </c>
      <c r="J152" s="98" t="str">
        <f t="shared" si="6"/>
        <v/>
      </c>
      <c r="K152" s="98" t="str">
        <f t="shared" si="7"/>
        <v/>
      </c>
      <c r="L152" s="141" t="str">
        <f t="shared" ref="L152:N152" si="157">IF(I152="",L151,I152)</f>
        <v>4.2.5</v>
      </c>
      <c r="M152" s="98" t="str">
        <f t="shared" si="157"/>
        <v>Equilibrio de la navegación</v>
      </c>
      <c r="N152" s="98" t="str">
        <f t="shared" si="157"/>
        <v>Apropiado número de opciones del menú. Balance entre su extensión y nivel de profundidad.
</v>
      </c>
      <c r="O152" s="172"/>
      <c r="P152" s="171"/>
      <c r="Q152" s="150"/>
      <c r="R152" s="200"/>
      <c r="S152" s="169" t="s">
        <v>959</v>
      </c>
      <c r="T152" s="164" t="s">
        <v>2033</v>
      </c>
      <c r="U152" s="94"/>
      <c r="V152" s="94"/>
      <c r="W152" s="94"/>
      <c r="X152" s="94"/>
      <c r="Y152" s="94"/>
      <c r="Z152" s="94"/>
      <c r="AA152" s="94"/>
      <c r="AB152" s="94"/>
      <c r="AC152" s="94"/>
      <c r="AD152" s="94"/>
      <c r="AE152" s="94"/>
      <c r="AF152" s="94"/>
      <c r="AG152" s="94"/>
      <c r="AH152" s="94"/>
      <c r="AI152" s="94"/>
      <c r="AJ152" s="94"/>
      <c r="AK152" s="94"/>
      <c r="AL152" s="94"/>
    </row>
    <row r="153">
      <c r="A153" s="105" t="s">
        <v>661</v>
      </c>
      <c r="B153" s="92" t="str">
        <f t="shared" si="2"/>
        <v>Pregunta</v>
      </c>
      <c r="C153" s="106" t="str">
        <f t="shared" si="9"/>
        <v>4.</v>
      </c>
      <c r="D153" s="106" t="str">
        <f t="shared" si="10"/>
        <v>Arquitectura de información</v>
      </c>
      <c r="E153" s="106" t="str">
        <f t="shared" si="11"/>
        <v>Práctica de decidir cómo organizar y rotular de forma lógica el contenido y la navegación de un producto digital para que sea comprensible y que las personas usuarias localicen fácilmente lo que buscan.</v>
      </c>
      <c r="F153" s="135" t="str">
        <f t="shared" si="3"/>
        <v>4.2</v>
      </c>
      <c r="G153" s="92" t="str">
        <f t="shared" si="4"/>
        <v>ESPERABLES</v>
      </c>
      <c r="H153" s="141"/>
      <c r="I153" s="141" t="str">
        <f t="shared" si="5"/>
        <v>4.2.6</v>
      </c>
      <c r="J153" s="98" t="str">
        <f t="shared" si="6"/>
        <v>Pertinencia de la navegación</v>
      </c>
      <c r="K153" s="98" t="str">
        <f t="shared" si="7"/>
        <v>Adecuada ubicación de los enlaces, de manera tal que aparezcan en contexto y brinden acceso oportuno a la información.</v>
      </c>
      <c r="L153" s="141" t="str">
        <f t="shared" ref="L153:N153" si="158">IF(I153="",L152,I153)</f>
        <v>4.2.6</v>
      </c>
      <c r="M153" s="98" t="str">
        <f t="shared" si="158"/>
        <v>Pertinencia de la navegación</v>
      </c>
      <c r="N153" s="98" t="str">
        <f t="shared" si="158"/>
        <v>Adecuada ubicación de los enlaces, de manera tal que aparezcan en contexto y brinden acceso oportuno a la información.</v>
      </c>
      <c r="O153" s="152" t="s">
        <v>960</v>
      </c>
      <c r="P153" s="170" t="s">
        <v>961</v>
      </c>
      <c r="Q153" s="153" t="s">
        <v>962</v>
      </c>
      <c r="R153" s="158"/>
      <c r="S153" s="170" t="s">
        <v>963</v>
      </c>
      <c r="T153" s="160" t="s">
        <v>2033</v>
      </c>
      <c r="U153" s="94"/>
      <c r="V153" s="94"/>
      <c r="W153" s="94"/>
      <c r="X153" s="94"/>
      <c r="Y153" s="94"/>
      <c r="Z153" s="94"/>
      <c r="AA153" s="94"/>
      <c r="AB153" s="94"/>
      <c r="AC153" s="94"/>
      <c r="AD153" s="94"/>
      <c r="AE153" s="94"/>
      <c r="AF153" s="94"/>
      <c r="AG153" s="94"/>
      <c r="AH153" s="94"/>
      <c r="AI153" s="94"/>
      <c r="AJ153" s="94"/>
      <c r="AK153" s="94"/>
      <c r="AL153" s="94"/>
    </row>
    <row r="154">
      <c r="A154" s="86" t="s">
        <v>661</v>
      </c>
      <c r="B154" s="95" t="str">
        <f t="shared" si="2"/>
        <v>Pregunta</v>
      </c>
      <c r="C154" s="106" t="str">
        <f t="shared" si="9"/>
        <v>4.</v>
      </c>
      <c r="D154" s="106" t="str">
        <f t="shared" si="10"/>
        <v>Arquitectura de información</v>
      </c>
      <c r="E154" s="106" t="str">
        <f t="shared" si="11"/>
        <v>Práctica de decidir cómo organizar y rotular de forma lógica el contenido y la navegación de un producto digital para que sea comprensible y que las personas usuarias localicen fácilmente lo que buscan.</v>
      </c>
      <c r="F154" s="135" t="str">
        <f t="shared" si="3"/>
        <v>4.2</v>
      </c>
      <c r="G154" s="92" t="str">
        <f t="shared" si="4"/>
        <v>ESPERABLES</v>
      </c>
      <c r="H154" s="141"/>
      <c r="I154" s="141" t="str">
        <f t="shared" si="5"/>
        <v/>
      </c>
      <c r="J154" s="98" t="str">
        <f t="shared" si="6"/>
        <v/>
      </c>
      <c r="K154" s="98" t="str">
        <f t="shared" si="7"/>
        <v/>
      </c>
      <c r="L154" s="141" t="str">
        <f t="shared" ref="L154:N154" si="159">IF(I154="",L153,I154)</f>
        <v>4.2.6</v>
      </c>
      <c r="M154" s="98" t="str">
        <f t="shared" si="159"/>
        <v>Pertinencia de la navegación</v>
      </c>
      <c r="N154" s="98" t="str">
        <f t="shared" si="159"/>
        <v>Adecuada ubicación de los enlaces, de manera tal que aparezcan en contexto y brinden acceso oportuno a la información.</v>
      </c>
      <c r="O154" s="152"/>
      <c r="P154" s="161"/>
      <c r="Q154" s="153"/>
      <c r="R154" s="149"/>
      <c r="S154" s="162" t="s">
        <v>964</v>
      </c>
      <c r="T154" s="160" t="s">
        <v>2033</v>
      </c>
      <c r="U154" s="94"/>
      <c r="V154" s="94"/>
      <c r="W154" s="94"/>
      <c r="X154" s="94"/>
      <c r="Y154" s="94"/>
      <c r="Z154" s="94"/>
      <c r="AA154" s="94"/>
      <c r="AB154" s="94"/>
      <c r="AC154" s="94"/>
      <c r="AD154" s="94"/>
      <c r="AE154" s="94"/>
      <c r="AF154" s="94"/>
      <c r="AG154" s="94"/>
      <c r="AH154" s="94"/>
      <c r="AI154" s="94"/>
      <c r="AJ154" s="94"/>
      <c r="AK154" s="94"/>
      <c r="AL154" s="94"/>
    </row>
    <row r="155">
      <c r="A155" s="86" t="s">
        <v>661</v>
      </c>
      <c r="B155" s="95" t="str">
        <f t="shared" si="2"/>
        <v>Pregunta</v>
      </c>
      <c r="C155" s="106" t="str">
        <f t="shared" si="9"/>
        <v>4.</v>
      </c>
      <c r="D155" s="106" t="str">
        <f t="shared" si="10"/>
        <v>Arquitectura de información</v>
      </c>
      <c r="E155" s="106" t="str">
        <f t="shared" si="11"/>
        <v>Práctica de decidir cómo organizar y rotular de forma lógica el contenido y la navegación de un producto digital para que sea comprensible y que las personas usuarias localicen fácilmente lo que buscan.</v>
      </c>
      <c r="F155" s="135" t="str">
        <f t="shared" si="3"/>
        <v>4.2</v>
      </c>
      <c r="G155" s="92" t="str">
        <f t="shared" si="4"/>
        <v>ESPERABLES</v>
      </c>
      <c r="H155" s="141"/>
      <c r="I155" s="141" t="str">
        <f t="shared" si="5"/>
        <v/>
      </c>
      <c r="J155" s="98" t="str">
        <f t="shared" si="6"/>
        <v/>
      </c>
      <c r="K155" s="98" t="str">
        <f t="shared" si="7"/>
        <v/>
      </c>
      <c r="L155" s="141" t="str">
        <f t="shared" ref="L155:N155" si="160">IF(I155="",L154,I155)</f>
        <v>4.2.6</v>
      </c>
      <c r="M155" s="98" t="str">
        <f t="shared" si="160"/>
        <v>Pertinencia de la navegación</v>
      </c>
      <c r="N155" s="98" t="str">
        <f t="shared" si="160"/>
        <v>Adecuada ubicación de los enlaces, de manera tal que aparezcan en contexto y brinden acceso oportuno a la información.</v>
      </c>
      <c r="O155" s="142"/>
      <c r="P155" s="168"/>
      <c r="Q155" s="143"/>
      <c r="R155" s="174"/>
      <c r="S155" s="169" t="s">
        <v>2073</v>
      </c>
      <c r="T155" s="164" t="s">
        <v>2033</v>
      </c>
      <c r="U155" s="94"/>
      <c r="V155" s="94"/>
      <c r="W155" s="94"/>
      <c r="X155" s="94"/>
      <c r="Y155" s="94"/>
      <c r="Z155" s="94"/>
      <c r="AA155" s="94"/>
      <c r="AB155" s="94"/>
      <c r="AC155" s="94"/>
      <c r="AD155" s="94"/>
      <c r="AE155" s="94"/>
      <c r="AF155" s="94"/>
      <c r="AG155" s="94"/>
      <c r="AH155" s="94"/>
      <c r="AI155" s="94"/>
      <c r="AJ155" s="94"/>
      <c r="AK155" s="94"/>
      <c r="AL155" s="94"/>
    </row>
    <row r="156" hidden="1">
      <c r="A156" s="86" t="s">
        <v>661</v>
      </c>
      <c r="B156" s="95" t="str">
        <f t="shared" si="2"/>
        <v>Otro</v>
      </c>
      <c r="C156" s="106" t="str">
        <f t="shared" si="9"/>
        <v>4.</v>
      </c>
      <c r="D156" s="106" t="str">
        <f t="shared" si="10"/>
        <v>Arquitectura de información</v>
      </c>
      <c r="E156" s="106" t="str">
        <f t="shared" si="11"/>
        <v>Práctica de decidir cómo organizar y rotular de forma lógica el contenido y la navegación de un producto digital para que sea comprensible y que las personas usuarias localicen fácilmente lo que buscan.</v>
      </c>
      <c r="F156" s="135" t="str">
        <f t="shared" si="3"/>
        <v>4.3</v>
      </c>
      <c r="G156" s="92" t="str">
        <f t="shared" si="4"/>
        <v>DESEABLES</v>
      </c>
      <c r="H156" s="135"/>
      <c r="I156" s="135" t="str">
        <f t="shared" si="5"/>
        <v/>
      </c>
      <c r="J156" s="98" t="str">
        <f t="shared" si="6"/>
        <v/>
      </c>
      <c r="K156" s="98" t="str">
        <f t="shared" si="7"/>
        <v/>
      </c>
      <c r="L156" s="141" t="str">
        <f t="shared" ref="L156:N156" si="161">IF(I156="",L155,I156)</f>
        <v>4.2.6</v>
      </c>
      <c r="M156" s="98" t="str">
        <f t="shared" si="161"/>
        <v>Pertinencia de la navegación</v>
      </c>
      <c r="N156" s="98" t="str">
        <f t="shared" si="161"/>
        <v>Adecuada ubicación de los enlaces, de manera tal que aparezcan en contexto y brinden acceso oportuno a la información.</v>
      </c>
      <c r="O156" s="198" t="s">
        <v>966</v>
      </c>
      <c r="P156" s="182" t="s">
        <v>749</v>
      </c>
      <c r="Q156" s="183"/>
      <c r="R156" s="183"/>
      <c r="S156" s="199">
        <f>COUNTA(P157)</f>
        <v>1</v>
      </c>
      <c r="T156" s="199">
        <f>COUNTIF(U157,"n/a")</f>
        <v>0</v>
      </c>
      <c r="U156" s="94"/>
      <c r="V156" s="94"/>
      <c r="W156" s="94"/>
      <c r="X156" s="94"/>
      <c r="Y156" s="94"/>
      <c r="Z156" s="94"/>
      <c r="AA156" s="94"/>
      <c r="AB156" s="94"/>
      <c r="AC156" s="94"/>
      <c r="AD156" s="94"/>
      <c r="AE156" s="94"/>
      <c r="AF156" s="94"/>
      <c r="AG156" s="94"/>
      <c r="AH156" s="94"/>
      <c r="AI156" s="94"/>
      <c r="AJ156" s="94"/>
      <c r="AK156" s="94"/>
      <c r="AL156" s="94"/>
    </row>
    <row r="157">
      <c r="A157" s="105" t="s">
        <v>661</v>
      </c>
      <c r="B157" s="92" t="str">
        <f t="shared" si="2"/>
        <v>Pregunta</v>
      </c>
      <c r="C157" s="106" t="str">
        <f t="shared" si="9"/>
        <v>4.</v>
      </c>
      <c r="D157" s="106" t="str">
        <f t="shared" si="10"/>
        <v>Arquitectura de información</v>
      </c>
      <c r="E157" s="106" t="str">
        <f t="shared" si="11"/>
        <v>Práctica de decidir cómo organizar y rotular de forma lógica el contenido y la navegación de un producto digital para que sea comprensible y que las personas usuarias localicen fácilmente lo que buscan.</v>
      </c>
      <c r="F157" s="135" t="str">
        <f t="shared" si="3"/>
        <v>4.3</v>
      </c>
      <c r="G157" s="92" t="str">
        <f t="shared" si="4"/>
        <v>DESEABLES</v>
      </c>
      <c r="H157" s="135"/>
      <c r="I157" s="135" t="str">
        <f t="shared" si="5"/>
        <v>4.3.1</v>
      </c>
      <c r="J157" s="98" t="str">
        <f t="shared" si="6"/>
        <v>Flexibilidad de organización</v>
      </c>
      <c r="K157" s="98" t="str">
        <f t="shared" si="7"/>
        <v>Clasificación de la información por distintos esquemas o estructuras de organización con el objetivo de ofrecer opciones de acceso a los usuarios.
</v>
      </c>
      <c r="L157" s="141" t="str">
        <f t="shared" ref="L157:N157" si="162">IF(I157="",L156,I157)</f>
        <v>4.3.1</v>
      </c>
      <c r="M157" s="98" t="str">
        <f t="shared" si="162"/>
        <v>Flexibilidad de organización</v>
      </c>
      <c r="N157" s="98" t="str">
        <f t="shared" si="162"/>
        <v>Clasificación de la información por distintos esquemas o estructuras de organización con el objetivo de ofrecer opciones de acceso a los usuarios.
</v>
      </c>
      <c r="O157" s="233" t="s">
        <v>967</v>
      </c>
      <c r="P157" s="180" t="s">
        <v>968</v>
      </c>
      <c r="Q157" s="180" t="s">
        <v>969</v>
      </c>
      <c r="R157" s="168"/>
      <c r="S157" s="180" t="s">
        <v>970</v>
      </c>
      <c r="T157" s="164" t="s">
        <v>2033</v>
      </c>
      <c r="U157" s="94"/>
      <c r="V157" s="94"/>
      <c r="W157" s="94"/>
      <c r="X157" s="94"/>
      <c r="Y157" s="94"/>
      <c r="Z157" s="94"/>
      <c r="AA157" s="94"/>
      <c r="AB157" s="94"/>
      <c r="AC157" s="94"/>
      <c r="AD157" s="94"/>
      <c r="AE157" s="94"/>
      <c r="AF157" s="94"/>
      <c r="AG157" s="94"/>
      <c r="AH157" s="94"/>
      <c r="AI157" s="94"/>
      <c r="AJ157" s="94"/>
      <c r="AK157" s="94"/>
      <c r="AL157" s="94"/>
    </row>
    <row r="158" hidden="1">
      <c r="A158" s="86" t="s">
        <v>661</v>
      </c>
      <c r="B158" s="201" t="str">
        <f t="shared" si="2"/>
        <v>Otro</v>
      </c>
      <c r="C158" s="106" t="str">
        <f t="shared" si="9"/>
        <v>5.</v>
      </c>
      <c r="D158" s="106" t="str">
        <f t="shared" si="10"/>
        <v>Búsqueda y encontrabilidad</v>
      </c>
      <c r="E158" s="106" t="str">
        <f t="shared" si="11"/>
        <v>Disposición para ayudar a las personas usuarias a encontrar lo que necesitan: implica que debe contar con un sistema de navegación visible y completo, pero que además debe estar complementado por algún sistema de búsqueda que sea efectivo para acceder al contenido que no se encuentra a simple vista. </v>
      </c>
      <c r="F158" s="135" t="str">
        <f t="shared" si="3"/>
        <v>4.3</v>
      </c>
      <c r="G158" s="92" t="str">
        <f t="shared" si="4"/>
        <v>DESEABLES</v>
      </c>
      <c r="H158" s="109"/>
      <c r="I158" s="109" t="str">
        <f t="shared" si="5"/>
        <v/>
      </c>
      <c r="J158" s="98" t="str">
        <f t="shared" si="6"/>
        <v/>
      </c>
      <c r="K158" s="98" t="str">
        <f t="shared" si="7"/>
        <v/>
      </c>
      <c r="L158" s="141" t="str">
        <f t="shared" ref="L158:N158" si="163">IF(I158="",L157,I158)</f>
        <v>4.3.1</v>
      </c>
      <c r="M158" s="98" t="str">
        <f t="shared" si="163"/>
        <v>Flexibilidad de organización</v>
      </c>
      <c r="N158" s="98" t="str">
        <f t="shared" si="163"/>
        <v>Clasificación de la información por distintos esquemas o estructuras de organización con el objetivo de ofrecer opciones de acceso a los usuarios.
</v>
      </c>
      <c r="O158" s="111" t="s">
        <v>27</v>
      </c>
      <c r="P158" s="112" t="s">
        <v>28</v>
      </c>
      <c r="Q158" s="113"/>
      <c r="R158" s="114"/>
      <c r="S158" s="115" t="s">
        <v>971</v>
      </c>
      <c r="T158" s="116" t="s">
        <v>16</v>
      </c>
      <c r="U158" s="94"/>
      <c r="V158" s="94"/>
      <c r="W158" s="94"/>
      <c r="X158" s="94"/>
      <c r="Y158" s="94"/>
      <c r="Z158" s="94"/>
      <c r="AA158" s="94"/>
      <c r="AB158" s="94"/>
      <c r="AC158" s="94"/>
      <c r="AD158" s="94"/>
      <c r="AE158" s="94"/>
      <c r="AF158" s="94"/>
      <c r="AG158" s="94"/>
      <c r="AH158" s="94"/>
      <c r="AI158" s="94"/>
      <c r="AJ158" s="94"/>
      <c r="AK158" s="94"/>
      <c r="AL158" s="94"/>
    </row>
    <row r="159" hidden="1">
      <c r="A159" s="86" t="s">
        <v>661</v>
      </c>
      <c r="B159" s="201" t="str">
        <f t="shared" si="2"/>
        <v>Otro</v>
      </c>
      <c r="C159" s="106" t="str">
        <f t="shared" si="9"/>
        <v>5.</v>
      </c>
      <c r="D159" s="106" t="str">
        <f t="shared" si="10"/>
        <v>Búsqueda y encontrabilidad</v>
      </c>
      <c r="E159" s="106" t="str">
        <f t="shared" si="11"/>
        <v>Disposición para ayudar a las personas usuarias a encontrar lo que necesitan: implica que debe contar con un sistema de navegación visible y completo, pero que además debe estar complementado por algún sistema de búsqueda que sea efectivo para acceder al contenido que no se encuentra a simple vista. </v>
      </c>
      <c r="F159" s="135" t="str">
        <f t="shared" si="3"/>
        <v>4.3</v>
      </c>
      <c r="G159" s="92" t="str">
        <f t="shared" si="4"/>
        <v>DESEABLES</v>
      </c>
      <c r="H159" s="109"/>
      <c r="I159" s="109" t="str">
        <f t="shared" si="5"/>
        <v/>
      </c>
      <c r="J159" s="98" t="str">
        <f t="shared" si="6"/>
        <v/>
      </c>
      <c r="K159" s="98" t="str">
        <f t="shared" si="7"/>
        <v/>
      </c>
      <c r="L159" s="141" t="str">
        <f t="shared" ref="L159:N159" si="164">IF(I159="",L158,I159)</f>
        <v>4.3.1</v>
      </c>
      <c r="M159" s="98" t="str">
        <f t="shared" si="164"/>
        <v>Flexibilidad de organización</v>
      </c>
      <c r="N159" s="98" t="str">
        <f t="shared" si="164"/>
        <v>Clasificación de la información por distintos esquemas o estructuras de organización con el objetivo de ofrecer opciones de acceso a los usuarios.
</v>
      </c>
      <c r="O159" s="117"/>
      <c r="P159" s="118"/>
      <c r="Q159" s="119"/>
      <c r="R159" s="114"/>
      <c r="S159" s="120"/>
      <c r="T159" s="116" t="s">
        <v>19</v>
      </c>
      <c r="U159" s="94"/>
      <c r="V159" s="94"/>
      <c r="W159" s="94"/>
      <c r="X159" s="94"/>
      <c r="Y159" s="94"/>
      <c r="Z159" s="94"/>
      <c r="AA159" s="94"/>
      <c r="AB159" s="94"/>
      <c r="AC159" s="94"/>
      <c r="AD159" s="94"/>
      <c r="AE159" s="94"/>
      <c r="AF159" s="94"/>
      <c r="AG159" s="94"/>
      <c r="AH159" s="94"/>
      <c r="AI159" s="94"/>
      <c r="AJ159" s="94"/>
      <c r="AK159" s="94"/>
      <c r="AL159" s="94"/>
    </row>
    <row r="160" hidden="1">
      <c r="A160" s="86" t="s">
        <v>661</v>
      </c>
      <c r="B160" s="201" t="str">
        <f t="shared" si="2"/>
        <v>Otro</v>
      </c>
      <c r="C160" s="106" t="str">
        <f t="shared" si="9"/>
        <v>5.</v>
      </c>
      <c r="D160" s="106" t="str">
        <f t="shared" si="10"/>
        <v>Búsqueda y encontrabilidad</v>
      </c>
      <c r="E160" s="106" t="str">
        <f t="shared" si="11"/>
        <v>Disposición para ayudar a las personas usuarias a encontrar lo que necesitan: implica que debe contar con un sistema de navegación visible y completo, pero que además debe estar complementado por algún sistema de búsqueda que sea efectivo para acceder al contenido que no se encuentra a simple vista. </v>
      </c>
      <c r="F160" s="135" t="str">
        <f t="shared" si="3"/>
        <v>4.3</v>
      </c>
      <c r="G160" s="92" t="str">
        <f t="shared" si="4"/>
        <v>DESEABLES</v>
      </c>
      <c r="H160" s="109"/>
      <c r="I160" s="109" t="str">
        <f t="shared" si="5"/>
        <v/>
      </c>
      <c r="J160" s="98" t="str">
        <f t="shared" si="6"/>
        <v/>
      </c>
      <c r="K160" s="98" t="str">
        <f t="shared" si="7"/>
        <v/>
      </c>
      <c r="L160" s="141" t="str">
        <f t="shared" ref="L160:N160" si="165">IF(I160="",L159,I160)</f>
        <v>4.3.1</v>
      </c>
      <c r="M160" s="98" t="str">
        <f t="shared" si="165"/>
        <v>Flexibilidad de organización</v>
      </c>
      <c r="N160" s="98" t="str">
        <f t="shared" si="165"/>
        <v>Clasificación de la información por distintos esquemas o estructuras de organización con el objetivo de ofrecer opciones de acceso a los usuarios.
</v>
      </c>
      <c r="O160" s="121"/>
      <c r="P160" s="122"/>
      <c r="Q160" s="123"/>
      <c r="R160" s="114"/>
      <c r="S160" s="124"/>
      <c r="T160" s="116" t="s">
        <v>22</v>
      </c>
      <c r="U160" s="94"/>
      <c r="V160" s="94"/>
      <c r="W160" s="94"/>
      <c r="X160" s="94"/>
      <c r="Y160" s="94"/>
      <c r="Z160" s="94"/>
      <c r="AA160" s="94"/>
      <c r="AB160" s="94"/>
      <c r="AC160" s="94"/>
      <c r="AD160" s="94"/>
      <c r="AE160" s="94"/>
      <c r="AF160" s="94"/>
      <c r="AG160" s="94"/>
      <c r="AH160" s="94"/>
      <c r="AI160" s="94"/>
      <c r="AJ160" s="94"/>
      <c r="AK160" s="94"/>
      <c r="AL160" s="94"/>
    </row>
    <row r="161" hidden="1">
      <c r="A161" s="86" t="s">
        <v>661</v>
      </c>
      <c r="B161" s="201" t="str">
        <f t="shared" si="2"/>
        <v>Otro</v>
      </c>
      <c r="C161" s="106" t="str">
        <f t="shared" si="9"/>
        <v>5.</v>
      </c>
      <c r="D161" s="106" t="str">
        <f t="shared" si="10"/>
        <v>Búsqueda y encontrabilidad</v>
      </c>
      <c r="E161" s="106" t="str">
        <f t="shared" si="11"/>
        <v>Disposición para ayudar a las personas usuarias a encontrar lo que necesitan: implica que debe contar con un sistema de navegación visible y completo, pero que además debe estar complementado por algún sistema de búsqueda que sea efectivo para acceder al contenido que no se encuentra a simple vista. </v>
      </c>
      <c r="F161" s="135" t="str">
        <f t="shared" si="3"/>
        <v>4.3</v>
      </c>
      <c r="G161" s="92" t="str">
        <f t="shared" si="4"/>
        <v>DESEABLES</v>
      </c>
      <c r="H161" s="125"/>
      <c r="I161" s="125" t="str">
        <f t="shared" si="5"/>
        <v/>
      </c>
      <c r="J161" s="98" t="str">
        <f t="shared" si="6"/>
        <v/>
      </c>
      <c r="K161" s="98" t="str">
        <f t="shared" si="7"/>
        <v/>
      </c>
      <c r="L161" s="141" t="str">
        <f t="shared" ref="L161:N161" si="166">IF(I161="",L160,I161)</f>
        <v>4.3.1</v>
      </c>
      <c r="M161" s="98" t="str">
        <f t="shared" si="166"/>
        <v>Flexibilidad de organización</v>
      </c>
      <c r="N161" s="98" t="str">
        <f t="shared" si="166"/>
        <v>Clasificación de la información por distintos esquemas o estructuras de organización con el objetivo de ofrecer opciones de acceso a los usuarios.
</v>
      </c>
      <c r="O161" s="126"/>
      <c r="P161" s="114"/>
      <c r="Q161" s="114"/>
      <c r="R161" s="127"/>
      <c r="S161" s="127"/>
      <c r="T161" s="127"/>
      <c r="U161" s="94"/>
      <c r="V161" s="94"/>
      <c r="W161" s="94"/>
      <c r="X161" s="94"/>
      <c r="Y161" s="94"/>
      <c r="Z161" s="94"/>
      <c r="AA161" s="94"/>
      <c r="AB161" s="94"/>
      <c r="AC161" s="94"/>
      <c r="AD161" s="94"/>
      <c r="AE161" s="94"/>
      <c r="AF161" s="94"/>
      <c r="AG161" s="94"/>
      <c r="AH161" s="94"/>
      <c r="AI161" s="94"/>
      <c r="AJ161" s="94"/>
      <c r="AK161" s="94"/>
      <c r="AL161" s="94"/>
    </row>
    <row r="162" hidden="1">
      <c r="A162" s="86" t="s">
        <v>661</v>
      </c>
      <c r="B162" s="95" t="str">
        <f t="shared" si="2"/>
        <v>Otro</v>
      </c>
      <c r="C162" s="106" t="str">
        <f t="shared" si="9"/>
        <v>5.</v>
      </c>
      <c r="D162" s="106" t="str">
        <f t="shared" si="10"/>
        <v>Búsqueda y encontrabilidad</v>
      </c>
      <c r="E162" s="106" t="str">
        <f t="shared" si="11"/>
        <v>Disposición para ayudar a las personas usuarias a encontrar lo que necesitan: implica que debe contar con un sistema de navegación visible y completo, pero que además debe estar complementado por algún sistema de búsqueda que sea efectivo para acceder al contenido que no se encuentra a simple vista. </v>
      </c>
      <c r="F162" s="135" t="str">
        <f t="shared" si="3"/>
        <v>4.3</v>
      </c>
      <c r="G162" s="92" t="str">
        <f t="shared" si="4"/>
        <v>DESEABLES</v>
      </c>
      <c r="H162" s="130"/>
      <c r="I162" s="130" t="str">
        <f t="shared" si="5"/>
        <v/>
      </c>
      <c r="J162" s="98" t="str">
        <f t="shared" si="6"/>
        <v/>
      </c>
      <c r="K162" s="98" t="str">
        <f t="shared" si="7"/>
        <v/>
      </c>
      <c r="L162" s="141" t="str">
        <f t="shared" ref="L162:N162" si="167">IF(I162="",L161,I162)</f>
        <v>4.3.1</v>
      </c>
      <c r="M162" s="98" t="str">
        <f t="shared" si="167"/>
        <v>Flexibilidad de organización</v>
      </c>
      <c r="N162" s="98" t="str">
        <f t="shared" si="167"/>
        <v>Clasificación de la información por distintos esquemas o estructuras de organización con el objetivo de ofrecer opciones de acceso a los usuarios.
</v>
      </c>
      <c r="O162" s="132" t="s">
        <v>1822</v>
      </c>
      <c r="P162" s="133" t="s">
        <v>1823</v>
      </c>
      <c r="Q162" s="133" t="s">
        <v>2031</v>
      </c>
      <c r="R162" s="134"/>
      <c r="S162" s="133" t="s">
        <v>1824</v>
      </c>
      <c r="T162" s="133" t="s">
        <v>1825</v>
      </c>
      <c r="U162" s="94"/>
      <c r="V162" s="94"/>
      <c r="W162" s="94"/>
      <c r="X162" s="94"/>
      <c r="Y162" s="94"/>
      <c r="Z162" s="94"/>
      <c r="AA162" s="94"/>
      <c r="AB162" s="94"/>
      <c r="AC162" s="94"/>
      <c r="AD162" s="94"/>
      <c r="AE162" s="94"/>
      <c r="AF162" s="94"/>
      <c r="AG162" s="94"/>
      <c r="AH162" s="94"/>
      <c r="AI162" s="94"/>
      <c r="AJ162" s="94"/>
      <c r="AK162" s="94"/>
      <c r="AL162" s="94"/>
    </row>
    <row r="163" hidden="1">
      <c r="A163" s="86" t="s">
        <v>661</v>
      </c>
      <c r="B163" s="95" t="str">
        <f t="shared" si="2"/>
        <v>Otro</v>
      </c>
      <c r="C163" s="106" t="str">
        <f t="shared" si="9"/>
        <v>5.</v>
      </c>
      <c r="D163" s="106" t="str">
        <f t="shared" si="10"/>
        <v>Búsqueda y encontrabilidad</v>
      </c>
      <c r="E163" s="106" t="str">
        <f t="shared" si="11"/>
        <v>Disposición para ayudar a las personas usuarias a encontrar lo que necesitan: implica que debe contar con un sistema de navegación visible y completo, pero que además debe estar complementado por algún sistema de búsqueda que sea efectivo para acceder al contenido que no se encuentra a simple vista. </v>
      </c>
      <c r="F163" s="135" t="str">
        <f t="shared" si="3"/>
        <v>5.1</v>
      </c>
      <c r="G163" s="92" t="str">
        <f t="shared" si="4"/>
        <v>IMPRESCINDIBLES</v>
      </c>
      <c r="H163" s="135"/>
      <c r="I163" s="135" t="str">
        <f t="shared" si="5"/>
        <v/>
      </c>
      <c r="J163" s="98" t="str">
        <f t="shared" si="6"/>
        <v/>
      </c>
      <c r="K163" s="98" t="str">
        <f t="shared" si="7"/>
        <v/>
      </c>
      <c r="L163" s="141" t="str">
        <f t="shared" ref="L163:N163" si="168">IF(I163="",L162,I163)</f>
        <v>4.3.1</v>
      </c>
      <c r="M163" s="98" t="str">
        <f t="shared" si="168"/>
        <v>Flexibilidad de organización</v>
      </c>
      <c r="N163" s="98" t="str">
        <f t="shared" si="168"/>
        <v>Clasificación de la información por distintos esquemas o estructuras de organización con el objetivo de ofrecer opciones de acceso a los usuarios.
</v>
      </c>
      <c r="O163" s="234" t="s">
        <v>972</v>
      </c>
      <c r="P163" s="206" t="s">
        <v>664</v>
      </c>
      <c r="Q163" s="200"/>
      <c r="R163" s="138"/>
      <c r="S163" s="139">
        <f>COUNTA(P164:P168)</f>
        <v>1</v>
      </c>
      <c r="T163" s="140">
        <f>COUNTIF(U164:U168,"n/a")</f>
        <v>0</v>
      </c>
      <c r="U163" s="94"/>
      <c r="V163" s="94"/>
      <c r="W163" s="94"/>
      <c r="X163" s="94"/>
      <c r="Y163" s="94"/>
      <c r="Z163" s="94"/>
      <c r="AA163" s="94"/>
      <c r="AB163" s="94"/>
      <c r="AC163" s="94"/>
      <c r="AD163" s="94"/>
      <c r="AE163" s="94"/>
      <c r="AF163" s="94"/>
      <c r="AG163" s="94"/>
      <c r="AH163" s="94"/>
      <c r="AI163" s="94"/>
      <c r="AJ163" s="94"/>
      <c r="AK163" s="94"/>
      <c r="AL163" s="94"/>
    </row>
    <row r="164">
      <c r="A164" s="105" t="s">
        <v>661</v>
      </c>
      <c r="B164" s="92" t="str">
        <f t="shared" si="2"/>
        <v>Pregunta</v>
      </c>
      <c r="C164" s="106" t="str">
        <f t="shared" si="9"/>
        <v>5.</v>
      </c>
      <c r="D164" s="106" t="str">
        <f t="shared" si="10"/>
        <v>Búsqueda y encontrabilidad</v>
      </c>
      <c r="E164" s="106" t="str">
        <f t="shared" si="11"/>
        <v>Disposición para ayudar a las personas usuarias a encontrar lo que necesitan: implica que debe contar con un sistema de navegación visible y completo, pero que además debe estar complementado por algún sistema de búsqueda que sea efectivo para acceder al contenido que no se encuentra a simple vista. </v>
      </c>
      <c r="F164" s="135" t="str">
        <f t="shared" si="3"/>
        <v>5.1</v>
      </c>
      <c r="G164" s="92" t="str">
        <f t="shared" si="4"/>
        <v>IMPRESCINDIBLES</v>
      </c>
      <c r="H164" s="141"/>
      <c r="I164" s="141" t="str">
        <f t="shared" si="5"/>
        <v>5.1.1</v>
      </c>
      <c r="J164" s="98" t="str">
        <f t="shared" si="6"/>
        <v>Búsqueda interna</v>
      </c>
      <c r="K164" s="98" t="str">
        <f t="shared" si="7"/>
        <v>Presencia destacada de un buscador interno, que rastree, indexe y recupere todas las páginas del sitio y ofrezca eficientemente los contenidos más relevantes frente a las consultas de las personas usuarias.
</v>
      </c>
      <c r="L164" s="141" t="str">
        <f t="shared" ref="L164:N164" si="169">IF(I164="",L163,I164)</f>
        <v>5.1.1</v>
      </c>
      <c r="M164" s="98" t="str">
        <f t="shared" si="169"/>
        <v>Búsqueda interna</v>
      </c>
      <c r="N164" s="98" t="str">
        <f t="shared" si="169"/>
        <v>Presencia destacada de un buscador interno, que rastree, indexe y recupere todas las páginas del sitio y ofrezca eficientemente los contenidos más relevantes frente a las consultas de las personas usuarias.
</v>
      </c>
      <c r="O164" s="207" t="s">
        <v>973</v>
      </c>
      <c r="P164" s="180" t="s">
        <v>974</v>
      </c>
      <c r="Q164" s="180" t="s">
        <v>975</v>
      </c>
      <c r="R164" s="161"/>
      <c r="S164" s="162" t="s">
        <v>976</v>
      </c>
      <c r="T164" s="160" t="s">
        <v>2033</v>
      </c>
      <c r="U164" s="94"/>
      <c r="V164" s="94"/>
      <c r="W164" s="94"/>
      <c r="X164" s="94"/>
      <c r="Y164" s="94"/>
      <c r="Z164" s="94"/>
      <c r="AA164" s="94"/>
      <c r="AB164" s="94"/>
      <c r="AC164" s="94"/>
      <c r="AD164" s="94"/>
      <c r="AE164" s="94"/>
      <c r="AF164" s="94"/>
      <c r="AG164" s="94"/>
      <c r="AH164" s="94"/>
      <c r="AI164" s="94"/>
      <c r="AJ164" s="94"/>
      <c r="AK164" s="94"/>
      <c r="AL164" s="94"/>
    </row>
    <row r="165">
      <c r="A165" s="86" t="s">
        <v>661</v>
      </c>
      <c r="B165" s="95" t="str">
        <f t="shared" si="2"/>
        <v>Pregunta</v>
      </c>
      <c r="C165" s="106" t="str">
        <f t="shared" si="9"/>
        <v>5.</v>
      </c>
      <c r="D165" s="106" t="str">
        <f t="shared" si="10"/>
        <v>Búsqueda y encontrabilidad</v>
      </c>
      <c r="E165" s="106" t="str">
        <f t="shared" si="11"/>
        <v>Disposición para ayudar a las personas usuarias a encontrar lo que necesitan: implica que debe contar con un sistema de navegación visible y completo, pero que además debe estar complementado por algún sistema de búsqueda que sea efectivo para acceder al contenido que no se encuentra a simple vista. </v>
      </c>
      <c r="F165" s="135" t="str">
        <f t="shared" si="3"/>
        <v>5.1</v>
      </c>
      <c r="G165" s="92" t="str">
        <f t="shared" si="4"/>
        <v>IMPRESCINDIBLES</v>
      </c>
      <c r="H165" s="141"/>
      <c r="I165" s="141" t="str">
        <f t="shared" si="5"/>
        <v/>
      </c>
      <c r="J165" s="98" t="str">
        <f t="shared" si="6"/>
        <v/>
      </c>
      <c r="K165" s="98" t="str">
        <f t="shared" si="7"/>
        <v/>
      </c>
      <c r="L165" s="141" t="str">
        <f t="shared" ref="L165:N165" si="170">IF(I165="",L164,I165)</f>
        <v>5.1.1</v>
      </c>
      <c r="M165" s="98" t="str">
        <f t="shared" si="170"/>
        <v>Búsqueda interna</v>
      </c>
      <c r="N165" s="98" t="str">
        <f t="shared" si="170"/>
        <v>Presencia destacada de un buscador interno, que rastree, indexe y recupere todas las páginas del sitio y ofrezca eficientemente los contenidos más relevantes frente a las consultas de las personas usuarias.
</v>
      </c>
      <c r="O165" s="152"/>
      <c r="P165" s="153"/>
      <c r="Q165" s="153"/>
      <c r="R165" s="161"/>
      <c r="S165" s="162" t="s">
        <v>977</v>
      </c>
      <c r="T165" s="160" t="s">
        <v>2033</v>
      </c>
      <c r="U165" s="94"/>
      <c r="V165" s="94"/>
      <c r="W165" s="94"/>
      <c r="X165" s="94"/>
      <c r="Y165" s="94"/>
      <c r="Z165" s="94"/>
      <c r="AA165" s="94"/>
      <c r="AB165" s="94"/>
      <c r="AC165" s="94"/>
      <c r="AD165" s="94"/>
      <c r="AE165" s="94"/>
      <c r="AF165" s="94"/>
      <c r="AG165" s="94"/>
      <c r="AH165" s="94"/>
      <c r="AI165" s="94"/>
      <c r="AJ165" s="94"/>
      <c r="AK165" s="94"/>
      <c r="AL165" s="94"/>
    </row>
    <row r="166">
      <c r="A166" s="86" t="s">
        <v>661</v>
      </c>
      <c r="B166" s="95" t="str">
        <f t="shared" si="2"/>
        <v>Pregunta</v>
      </c>
      <c r="C166" s="106" t="str">
        <f t="shared" si="9"/>
        <v>5.</v>
      </c>
      <c r="D166" s="106" t="str">
        <f t="shared" si="10"/>
        <v>Búsqueda y encontrabilidad</v>
      </c>
      <c r="E166" s="106" t="str">
        <f t="shared" si="11"/>
        <v>Disposición para ayudar a las personas usuarias a encontrar lo que necesitan: implica que debe contar con un sistema de navegación visible y completo, pero que además debe estar complementado por algún sistema de búsqueda que sea efectivo para acceder al contenido que no se encuentra a simple vista. </v>
      </c>
      <c r="F166" s="135" t="str">
        <f t="shared" si="3"/>
        <v>5.1</v>
      </c>
      <c r="G166" s="92" t="str">
        <f t="shared" si="4"/>
        <v>IMPRESCINDIBLES</v>
      </c>
      <c r="H166" s="141"/>
      <c r="I166" s="141" t="str">
        <f t="shared" si="5"/>
        <v/>
      </c>
      <c r="J166" s="98" t="str">
        <f t="shared" si="6"/>
        <v/>
      </c>
      <c r="K166" s="98" t="str">
        <f t="shared" si="7"/>
        <v/>
      </c>
      <c r="L166" s="141" t="str">
        <f t="shared" ref="L166:N166" si="171">IF(I166="",L165,I166)</f>
        <v>5.1.1</v>
      </c>
      <c r="M166" s="98" t="str">
        <f t="shared" si="171"/>
        <v>Búsqueda interna</v>
      </c>
      <c r="N166" s="98" t="str">
        <f t="shared" si="171"/>
        <v>Presencia destacada de un buscador interno, que rastree, indexe y recupere todas las páginas del sitio y ofrezca eficientemente los contenidos más relevantes frente a las consultas de las personas usuarias.
</v>
      </c>
      <c r="O166" s="172"/>
      <c r="P166" s="150"/>
      <c r="Q166" s="150"/>
      <c r="R166" s="161"/>
      <c r="S166" s="162" t="s">
        <v>978</v>
      </c>
      <c r="T166" s="160" t="s">
        <v>2033</v>
      </c>
      <c r="U166" s="94"/>
      <c r="V166" s="94"/>
      <c r="W166" s="94"/>
      <c r="X166" s="94"/>
      <c r="Y166" s="94"/>
      <c r="Z166" s="94"/>
      <c r="AA166" s="94"/>
      <c r="AB166" s="94"/>
      <c r="AC166" s="94"/>
      <c r="AD166" s="94"/>
      <c r="AE166" s="94"/>
      <c r="AF166" s="94"/>
      <c r="AG166" s="94"/>
      <c r="AH166" s="94"/>
      <c r="AI166" s="94"/>
      <c r="AJ166" s="94"/>
      <c r="AK166" s="94"/>
      <c r="AL166" s="94"/>
    </row>
    <row r="167">
      <c r="A167" s="86" t="s">
        <v>661</v>
      </c>
      <c r="B167" s="95" t="str">
        <f t="shared" si="2"/>
        <v>Pregunta</v>
      </c>
      <c r="C167" s="106" t="str">
        <f t="shared" si="9"/>
        <v>5.</v>
      </c>
      <c r="D167" s="106" t="str">
        <f t="shared" si="10"/>
        <v>Búsqueda y encontrabilidad</v>
      </c>
      <c r="E167" s="106" t="str">
        <f t="shared" si="11"/>
        <v>Disposición para ayudar a las personas usuarias a encontrar lo que necesitan: implica que debe contar con un sistema de navegación visible y completo, pero que además debe estar complementado por algún sistema de búsqueda que sea efectivo para acceder al contenido que no se encuentra a simple vista. </v>
      </c>
      <c r="F167" s="135" t="str">
        <f t="shared" si="3"/>
        <v>5.1</v>
      </c>
      <c r="G167" s="92" t="str">
        <f t="shared" si="4"/>
        <v>IMPRESCINDIBLES</v>
      </c>
      <c r="H167" s="96"/>
      <c r="I167" s="96" t="str">
        <f t="shared" si="5"/>
        <v/>
      </c>
      <c r="J167" s="98" t="str">
        <f t="shared" si="6"/>
        <v/>
      </c>
      <c r="K167" s="98" t="str">
        <f t="shared" si="7"/>
        <v/>
      </c>
      <c r="L167" s="141" t="str">
        <f t="shared" ref="L167:N167" si="172">IF(I167="",L166,I167)</f>
        <v>5.1.1</v>
      </c>
      <c r="M167" s="98" t="str">
        <f t="shared" si="172"/>
        <v>Búsqueda interna</v>
      </c>
      <c r="N167" s="98" t="str">
        <f t="shared" si="172"/>
        <v>Presencia destacada de un buscador interno, que rastree, indexe y recupere todas las páginas del sitio y ofrezca eficientemente los contenidos más relevantes frente a las consultas de las personas usuarias.
</v>
      </c>
      <c r="O167" s="235"/>
      <c r="P167" s="149"/>
      <c r="Q167" s="149"/>
      <c r="R167" s="149"/>
      <c r="S167" s="150" t="s">
        <v>979</v>
      </c>
      <c r="T167" s="160" t="s">
        <v>2033</v>
      </c>
      <c r="U167" s="94"/>
      <c r="V167" s="94"/>
      <c r="W167" s="94"/>
      <c r="X167" s="94"/>
      <c r="Y167" s="94"/>
      <c r="Z167" s="94"/>
      <c r="AA167" s="94"/>
      <c r="AB167" s="94"/>
      <c r="AC167" s="94"/>
      <c r="AD167" s="94"/>
      <c r="AE167" s="94"/>
      <c r="AF167" s="94"/>
      <c r="AG167" s="94"/>
      <c r="AH167" s="94"/>
      <c r="AI167" s="94"/>
      <c r="AJ167" s="94"/>
      <c r="AK167" s="94"/>
      <c r="AL167" s="94"/>
    </row>
    <row r="168">
      <c r="A168" s="86" t="s">
        <v>661</v>
      </c>
      <c r="B168" s="95" t="str">
        <f t="shared" si="2"/>
        <v>Pregunta</v>
      </c>
      <c r="C168" s="106" t="str">
        <f t="shared" si="9"/>
        <v>5.</v>
      </c>
      <c r="D168" s="106" t="str">
        <f t="shared" si="10"/>
        <v>Búsqueda y encontrabilidad</v>
      </c>
      <c r="E168" s="106" t="str">
        <f t="shared" si="11"/>
        <v>Disposición para ayudar a las personas usuarias a encontrar lo que necesitan: implica que debe contar con un sistema de navegación visible y completo, pero que además debe estar complementado por algún sistema de búsqueda que sea efectivo para acceder al contenido que no se encuentra a simple vista. </v>
      </c>
      <c r="F168" s="135" t="str">
        <f t="shared" si="3"/>
        <v>5.1</v>
      </c>
      <c r="G168" s="92" t="str">
        <f t="shared" si="4"/>
        <v>IMPRESCINDIBLES</v>
      </c>
      <c r="H168" s="96"/>
      <c r="I168" s="96" t="str">
        <f t="shared" si="5"/>
        <v/>
      </c>
      <c r="J168" s="98" t="str">
        <f t="shared" si="6"/>
        <v/>
      </c>
      <c r="K168" s="98" t="str">
        <f t="shared" si="7"/>
        <v/>
      </c>
      <c r="L168" s="141" t="str">
        <f t="shared" ref="L168:N168" si="173">IF(I168="",L167,I168)</f>
        <v>5.1.1</v>
      </c>
      <c r="M168" s="98" t="str">
        <f t="shared" si="173"/>
        <v>Búsqueda interna</v>
      </c>
      <c r="N168" s="98" t="str">
        <f t="shared" si="173"/>
        <v>Presencia destacada de un buscador interno, que rastree, indexe y recupere todas las páginas del sitio y ofrezca eficientemente los contenidos más relevantes frente a las consultas de las personas usuarias.
</v>
      </c>
      <c r="O168" s="236"/>
      <c r="P168" s="174"/>
      <c r="Q168" s="174"/>
      <c r="R168" s="174"/>
      <c r="S168" s="143" t="s">
        <v>980</v>
      </c>
      <c r="T168" s="164" t="s">
        <v>2033</v>
      </c>
      <c r="U168" s="94"/>
      <c r="V168" s="94"/>
      <c r="W168" s="94"/>
      <c r="X168" s="94"/>
      <c r="Y168" s="94"/>
      <c r="Z168" s="94"/>
      <c r="AA168" s="94"/>
      <c r="AB168" s="94"/>
      <c r="AC168" s="94"/>
      <c r="AD168" s="94"/>
      <c r="AE168" s="94"/>
      <c r="AF168" s="94"/>
      <c r="AG168" s="94"/>
      <c r="AH168" s="94"/>
      <c r="AI168" s="94"/>
      <c r="AJ168" s="94"/>
      <c r="AK168" s="94"/>
      <c r="AL168" s="94"/>
    </row>
    <row r="169" hidden="1">
      <c r="A169" s="86" t="s">
        <v>661</v>
      </c>
      <c r="B169" s="95" t="str">
        <f t="shared" si="2"/>
        <v>Otro</v>
      </c>
      <c r="C169" s="106" t="str">
        <f t="shared" si="9"/>
        <v>5.</v>
      </c>
      <c r="D169" s="106" t="str">
        <f t="shared" si="10"/>
        <v>Búsqueda y encontrabilidad</v>
      </c>
      <c r="E169" s="106" t="str">
        <f t="shared" si="11"/>
        <v>Disposición para ayudar a las personas usuarias a encontrar lo que necesitan: implica que debe contar con un sistema de navegación visible y completo, pero que además debe estar complementado por algún sistema de búsqueda que sea efectivo para acceder al contenido que no se encuentra a simple vista. </v>
      </c>
      <c r="F169" s="141" t="str">
        <f t="shared" si="3"/>
        <v>5.2</v>
      </c>
      <c r="G169" s="92" t="str">
        <f t="shared" si="4"/>
        <v>ESPERABLES</v>
      </c>
      <c r="H169" s="141"/>
      <c r="I169" s="141" t="str">
        <f t="shared" si="5"/>
        <v/>
      </c>
      <c r="J169" s="98" t="str">
        <f t="shared" si="6"/>
        <v/>
      </c>
      <c r="K169" s="98" t="str">
        <f t="shared" si="7"/>
        <v/>
      </c>
      <c r="L169" s="141" t="str">
        <f t="shared" ref="L169:N169" si="174">IF(I169="",L168,I169)</f>
        <v>5.1.1</v>
      </c>
      <c r="M169" s="98" t="str">
        <f t="shared" si="174"/>
        <v>Búsqueda interna</v>
      </c>
      <c r="N169" s="98" t="str">
        <f t="shared" si="174"/>
        <v>Presencia destacada de un buscador interno, que rastree, indexe y recupere todas las páginas del sitio y ofrezca eficientemente los contenidos más relevantes frente a las consultas de las personas usuarias.
</v>
      </c>
      <c r="O169" s="175" t="s">
        <v>981</v>
      </c>
      <c r="P169" s="196" t="s">
        <v>714</v>
      </c>
      <c r="Q169" s="177"/>
      <c r="R169" s="177"/>
      <c r="S169" s="197">
        <f>COUNTA(P170:P173)</f>
        <v>2</v>
      </c>
      <c r="T169" s="197">
        <f>COUNTIF(U170:U173,"n/a")</f>
        <v>0</v>
      </c>
      <c r="U169" s="94"/>
      <c r="V169" s="94"/>
      <c r="W169" s="94"/>
      <c r="X169" s="94"/>
      <c r="Y169" s="94"/>
      <c r="Z169" s="94"/>
      <c r="AA169" s="94"/>
      <c r="AB169" s="94"/>
      <c r="AC169" s="94"/>
      <c r="AD169" s="94"/>
      <c r="AE169" s="94"/>
      <c r="AF169" s="94"/>
      <c r="AG169" s="94"/>
      <c r="AH169" s="94"/>
      <c r="AI169" s="94"/>
      <c r="AJ169" s="94"/>
      <c r="AK169" s="94"/>
      <c r="AL169" s="94"/>
    </row>
    <row r="170">
      <c r="A170" s="105" t="s">
        <v>661</v>
      </c>
      <c r="B170" s="92" t="str">
        <f t="shared" si="2"/>
        <v>Pregunta</v>
      </c>
      <c r="C170" s="106" t="str">
        <f t="shared" si="9"/>
        <v>5.</v>
      </c>
      <c r="D170" s="106" t="str">
        <f t="shared" si="10"/>
        <v>Búsqueda y encontrabilidad</v>
      </c>
      <c r="E170" s="106" t="str">
        <f t="shared" si="11"/>
        <v>Disposición para ayudar a las personas usuarias a encontrar lo que necesitan: implica que debe contar con un sistema de navegación visible y completo, pero que además debe estar complementado por algún sistema de búsqueda que sea efectivo para acceder al contenido que no se encuentra a simple vista. </v>
      </c>
      <c r="F170" s="141" t="str">
        <f t="shared" si="3"/>
        <v>5.2</v>
      </c>
      <c r="G170" s="92" t="str">
        <f t="shared" si="4"/>
        <v>ESPERABLES</v>
      </c>
      <c r="H170" s="141"/>
      <c r="I170" s="141" t="str">
        <f t="shared" si="5"/>
        <v>5.2.1</v>
      </c>
      <c r="J170" s="98" t="str">
        <f t="shared" si="6"/>
        <v>Mapa del sitio</v>
      </c>
      <c r="K170" s="98" t="str">
        <f t="shared" si="7"/>
        <v>Opción de navegación suplementaria que enlaza todo el sitio, refleja su estructura y evita la presencia de páginas aisladas.
</v>
      </c>
      <c r="L170" s="141" t="str">
        <f t="shared" ref="L170:N170" si="175">IF(I170="",L169,I170)</f>
        <v>5.2.1</v>
      </c>
      <c r="M170" s="98" t="str">
        <f t="shared" si="175"/>
        <v>Mapa del sitio</v>
      </c>
      <c r="N170" s="98" t="str">
        <f t="shared" si="175"/>
        <v>Opción de navegación suplementaria que enlaza todo el sitio, refleja su estructura y evita la presencia de páginas aisladas.
</v>
      </c>
      <c r="O170" s="165" t="s">
        <v>982</v>
      </c>
      <c r="P170" s="166" t="s">
        <v>983</v>
      </c>
      <c r="Q170" s="166" t="s">
        <v>984</v>
      </c>
      <c r="R170" s="211"/>
      <c r="S170" s="166" t="s">
        <v>985</v>
      </c>
      <c r="T170" s="164" t="s">
        <v>2033</v>
      </c>
      <c r="U170" s="94"/>
      <c r="V170" s="94"/>
      <c r="W170" s="94"/>
      <c r="X170" s="94"/>
      <c r="Y170" s="94"/>
      <c r="Z170" s="94"/>
      <c r="AA170" s="94"/>
      <c r="AB170" s="94"/>
      <c r="AC170" s="94"/>
      <c r="AD170" s="94"/>
      <c r="AE170" s="94"/>
      <c r="AF170" s="94"/>
      <c r="AG170" s="94"/>
      <c r="AH170" s="94"/>
      <c r="AI170" s="94"/>
      <c r="AJ170" s="94"/>
      <c r="AK170" s="94"/>
      <c r="AL170" s="94"/>
    </row>
    <row r="171">
      <c r="A171" s="105" t="s">
        <v>661</v>
      </c>
      <c r="B171" s="92" t="str">
        <f t="shared" si="2"/>
        <v>Pregunta</v>
      </c>
      <c r="C171" s="106" t="str">
        <f t="shared" si="9"/>
        <v>5.</v>
      </c>
      <c r="D171" s="106" t="str">
        <f t="shared" si="10"/>
        <v>Búsqueda y encontrabilidad</v>
      </c>
      <c r="E171" s="106" t="str">
        <f t="shared" si="11"/>
        <v>Disposición para ayudar a las personas usuarias a encontrar lo que necesitan: implica que debe contar con un sistema de navegación visible y completo, pero que además debe estar complementado por algún sistema de búsqueda que sea efectivo para acceder al contenido que no se encuentra a simple vista. </v>
      </c>
      <c r="F171" s="141" t="str">
        <f t="shared" si="3"/>
        <v>5.2</v>
      </c>
      <c r="G171" s="92" t="str">
        <f t="shared" si="4"/>
        <v>ESPERABLES</v>
      </c>
      <c r="H171" s="141"/>
      <c r="I171" s="141" t="str">
        <f t="shared" si="5"/>
        <v>5.2.2</v>
      </c>
      <c r="J171" s="98" t="str">
        <f t="shared" si="6"/>
        <v>Optimización</v>
      </c>
      <c r="K171" s="98" t="str">
        <f t="shared" si="7"/>
        <v>Adecuación y jerarquización del contenido sobre la base de las palabras más buscadas y el patrón de navegación de las personas usuarias.
</v>
      </c>
      <c r="L171" s="141" t="str">
        <f t="shared" ref="L171:N171" si="176">IF(I171="",L170,I171)</f>
        <v>5.2.2</v>
      </c>
      <c r="M171" s="98" t="str">
        <f t="shared" si="176"/>
        <v>Optimización</v>
      </c>
      <c r="N171" s="98" t="str">
        <f t="shared" si="176"/>
        <v>Adecuación y jerarquización del contenido sobre la base de las palabras más buscadas y el patrón de navegación de las personas usuarias.
</v>
      </c>
      <c r="O171" s="152" t="s">
        <v>986</v>
      </c>
      <c r="P171" s="237" t="s">
        <v>987</v>
      </c>
      <c r="Q171" s="237" t="s">
        <v>988</v>
      </c>
      <c r="R171" s="149"/>
      <c r="S171" s="237" t="s">
        <v>989</v>
      </c>
      <c r="T171" s="160" t="s">
        <v>2033</v>
      </c>
      <c r="U171" s="94"/>
      <c r="V171" s="94"/>
      <c r="W171" s="94"/>
      <c r="X171" s="94"/>
      <c r="Y171" s="94"/>
      <c r="Z171" s="94"/>
      <c r="AA171" s="94"/>
      <c r="AB171" s="94"/>
      <c r="AC171" s="94"/>
      <c r="AD171" s="94"/>
      <c r="AE171" s="94"/>
      <c r="AF171" s="94"/>
      <c r="AG171" s="94"/>
      <c r="AH171" s="94"/>
      <c r="AI171" s="94"/>
      <c r="AJ171" s="94"/>
      <c r="AK171" s="94"/>
      <c r="AL171" s="94"/>
    </row>
    <row r="172">
      <c r="A172" s="86" t="s">
        <v>661</v>
      </c>
      <c r="B172" s="95" t="str">
        <f t="shared" si="2"/>
        <v>Pregunta</v>
      </c>
      <c r="C172" s="106" t="str">
        <f t="shared" si="9"/>
        <v>5.</v>
      </c>
      <c r="D172" s="106" t="str">
        <f t="shared" si="10"/>
        <v>Búsqueda y encontrabilidad</v>
      </c>
      <c r="E172" s="106" t="str">
        <f t="shared" si="11"/>
        <v>Disposición para ayudar a las personas usuarias a encontrar lo que necesitan: implica que debe contar con un sistema de navegación visible y completo, pero que además debe estar complementado por algún sistema de búsqueda que sea efectivo para acceder al contenido que no se encuentra a simple vista. </v>
      </c>
      <c r="F172" s="141" t="str">
        <f t="shared" si="3"/>
        <v>5.2</v>
      </c>
      <c r="G172" s="92" t="str">
        <f t="shared" si="4"/>
        <v>ESPERABLES</v>
      </c>
      <c r="H172" s="141"/>
      <c r="I172" s="141" t="str">
        <f t="shared" si="5"/>
        <v/>
      </c>
      <c r="J172" s="98" t="str">
        <f t="shared" si="6"/>
        <v/>
      </c>
      <c r="K172" s="98" t="str">
        <f t="shared" si="7"/>
        <v/>
      </c>
      <c r="L172" s="141" t="str">
        <f t="shared" ref="L172:N172" si="177">IF(I172="",L171,I172)</f>
        <v>5.2.2</v>
      </c>
      <c r="M172" s="98" t="str">
        <f t="shared" si="177"/>
        <v>Optimización</v>
      </c>
      <c r="N172" s="98" t="str">
        <f t="shared" si="177"/>
        <v>Adecuación y jerarquización del contenido sobre la base de las palabras más buscadas y el patrón de navegación de las personas usuarias.
</v>
      </c>
      <c r="O172" s="152"/>
      <c r="P172" s="238"/>
      <c r="Q172" s="238"/>
      <c r="R172" s="161"/>
      <c r="S172" s="162" t="s">
        <v>990</v>
      </c>
      <c r="T172" s="160" t="s">
        <v>2033</v>
      </c>
      <c r="U172" s="94"/>
      <c r="V172" s="94"/>
      <c r="W172" s="94"/>
      <c r="X172" s="94"/>
      <c r="Y172" s="94"/>
      <c r="Z172" s="94"/>
      <c r="AA172" s="94"/>
      <c r="AB172" s="94"/>
      <c r="AC172" s="94"/>
      <c r="AD172" s="94"/>
      <c r="AE172" s="94"/>
      <c r="AF172" s="94"/>
      <c r="AG172" s="94"/>
      <c r="AH172" s="94"/>
      <c r="AI172" s="94"/>
      <c r="AJ172" s="94"/>
      <c r="AK172" s="94"/>
      <c r="AL172" s="94"/>
    </row>
    <row r="173">
      <c r="A173" s="86" t="s">
        <v>661</v>
      </c>
      <c r="B173" s="95" t="str">
        <f t="shared" si="2"/>
        <v>Pregunta</v>
      </c>
      <c r="C173" s="106" t="str">
        <f t="shared" si="9"/>
        <v>5.</v>
      </c>
      <c r="D173" s="106" t="str">
        <f t="shared" si="10"/>
        <v>Búsqueda y encontrabilidad</v>
      </c>
      <c r="E173" s="106" t="str">
        <f t="shared" si="11"/>
        <v>Disposición para ayudar a las personas usuarias a encontrar lo que necesitan: implica que debe contar con un sistema de navegación visible y completo, pero que además debe estar complementado por algún sistema de búsqueda que sea efectivo para acceder al contenido que no se encuentra a simple vista. </v>
      </c>
      <c r="F173" s="141" t="str">
        <f t="shared" si="3"/>
        <v>5.2</v>
      </c>
      <c r="G173" s="92" t="str">
        <f t="shared" si="4"/>
        <v>ESPERABLES</v>
      </c>
      <c r="H173" s="141"/>
      <c r="I173" s="141" t="str">
        <f t="shared" si="5"/>
        <v/>
      </c>
      <c r="J173" s="98" t="str">
        <f t="shared" si="6"/>
        <v/>
      </c>
      <c r="K173" s="98" t="str">
        <f t="shared" si="7"/>
        <v/>
      </c>
      <c r="L173" s="141" t="str">
        <f t="shared" ref="L173:N173" si="178">IF(I173="",L172,I173)</f>
        <v>5.2.2</v>
      </c>
      <c r="M173" s="98" t="str">
        <f t="shared" si="178"/>
        <v>Optimización</v>
      </c>
      <c r="N173" s="98" t="str">
        <f t="shared" si="178"/>
        <v>Adecuación y jerarquización del contenido sobre la base de las palabras más buscadas y el patrón de navegación de las personas usuarias.
</v>
      </c>
      <c r="O173" s="142"/>
      <c r="P173" s="174"/>
      <c r="Q173" s="174"/>
      <c r="R173" s="168"/>
      <c r="S173" s="169" t="s">
        <v>991</v>
      </c>
      <c r="T173" s="164" t="s">
        <v>2033</v>
      </c>
      <c r="U173" s="94"/>
      <c r="V173" s="94"/>
      <c r="W173" s="94"/>
      <c r="X173" s="94"/>
      <c r="Y173" s="94"/>
      <c r="Z173" s="94"/>
      <c r="AA173" s="94"/>
      <c r="AB173" s="94"/>
      <c r="AC173" s="94"/>
      <c r="AD173" s="94"/>
      <c r="AE173" s="94"/>
      <c r="AF173" s="94"/>
      <c r="AG173" s="94"/>
      <c r="AH173" s="94"/>
      <c r="AI173" s="94"/>
      <c r="AJ173" s="94"/>
      <c r="AK173" s="94"/>
      <c r="AL173" s="94"/>
    </row>
    <row r="174" hidden="1">
      <c r="A174" s="86" t="s">
        <v>661</v>
      </c>
      <c r="B174" s="95" t="str">
        <f t="shared" si="2"/>
        <v>Otro</v>
      </c>
      <c r="C174" s="106" t="str">
        <f t="shared" si="9"/>
        <v>5.</v>
      </c>
      <c r="D174" s="106" t="str">
        <f t="shared" si="10"/>
        <v>Búsqueda y encontrabilidad</v>
      </c>
      <c r="E174" s="106" t="str">
        <f t="shared" si="11"/>
        <v>Disposición para ayudar a las personas usuarias a encontrar lo que necesitan: implica que debe contar con un sistema de navegación visible y completo, pero que además debe estar complementado por algún sistema de búsqueda que sea efectivo para acceder al contenido que no se encuentra a simple vista. </v>
      </c>
      <c r="F174" s="141" t="str">
        <f t="shared" si="3"/>
        <v>5.3</v>
      </c>
      <c r="G174" s="92" t="str">
        <f t="shared" si="4"/>
        <v>DESEABLES</v>
      </c>
      <c r="H174" s="141"/>
      <c r="I174" s="141" t="str">
        <f t="shared" si="5"/>
        <v/>
      </c>
      <c r="J174" s="98" t="str">
        <f t="shared" si="6"/>
        <v/>
      </c>
      <c r="K174" s="98" t="str">
        <f t="shared" si="7"/>
        <v/>
      </c>
      <c r="L174" s="141" t="str">
        <f t="shared" ref="L174:N174" si="179">IF(I174="",L173,I174)</f>
        <v>5.2.2</v>
      </c>
      <c r="M174" s="98" t="str">
        <f t="shared" si="179"/>
        <v>Optimización</v>
      </c>
      <c r="N174" s="98" t="str">
        <f t="shared" si="179"/>
        <v>Adecuación y jerarquización del contenido sobre la base de las palabras más buscadas y el patrón de navegación de las personas usuarias.
</v>
      </c>
      <c r="O174" s="181" t="s">
        <v>992</v>
      </c>
      <c r="P174" s="182" t="s">
        <v>749</v>
      </c>
      <c r="Q174" s="183"/>
      <c r="R174" s="183"/>
      <c r="S174" s="199">
        <f>COUNTA(P175:P179)</f>
        <v>4</v>
      </c>
      <c r="T174" s="199">
        <f>COUNTIF(U175:U179,"n/a")</f>
        <v>0</v>
      </c>
      <c r="U174" s="94"/>
      <c r="V174" s="94"/>
      <c r="W174" s="94"/>
      <c r="X174" s="94"/>
      <c r="Y174" s="94"/>
      <c r="Z174" s="94"/>
      <c r="AA174" s="94"/>
      <c r="AB174" s="94"/>
      <c r="AC174" s="94"/>
      <c r="AD174" s="94"/>
      <c r="AE174" s="94"/>
      <c r="AF174" s="94"/>
      <c r="AG174" s="94"/>
      <c r="AH174" s="94"/>
      <c r="AI174" s="94"/>
      <c r="AJ174" s="94"/>
      <c r="AK174" s="94"/>
      <c r="AL174" s="94"/>
    </row>
    <row r="175">
      <c r="A175" s="105" t="s">
        <v>661</v>
      </c>
      <c r="B175" s="92" t="str">
        <f t="shared" si="2"/>
        <v>Pregunta</v>
      </c>
      <c r="C175" s="106" t="str">
        <f t="shared" si="9"/>
        <v>5.</v>
      </c>
      <c r="D175" s="106" t="str">
        <f t="shared" si="10"/>
        <v>Búsqueda y encontrabilidad</v>
      </c>
      <c r="E175" s="106" t="str">
        <f t="shared" si="11"/>
        <v>Disposición para ayudar a las personas usuarias a encontrar lo que necesitan: implica que debe contar con un sistema de navegación visible y completo, pero que además debe estar complementado por algún sistema de búsqueda que sea efectivo para acceder al contenido que no se encuentra a simple vista. </v>
      </c>
      <c r="F175" s="141" t="str">
        <f t="shared" si="3"/>
        <v>5.3</v>
      </c>
      <c r="G175" s="92" t="str">
        <f t="shared" si="4"/>
        <v>DESEABLES</v>
      </c>
      <c r="H175" s="141"/>
      <c r="I175" s="141" t="str">
        <f t="shared" si="5"/>
        <v>5.3.1</v>
      </c>
      <c r="J175" s="98" t="str">
        <f t="shared" si="6"/>
        <v>Búsqueda predictiva</v>
      </c>
      <c r="K175" s="98" t="str">
        <f t="shared" si="7"/>
        <v>Proporción de un texto predictivo en la búsqueda para minimizar los errores.
</v>
      </c>
      <c r="L175" s="141" t="str">
        <f t="shared" ref="L175:N175" si="180">IF(I175="",L174,I175)</f>
        <v>5.3.1</v>
      </c>
      <c r="M175" s="98" t="str">
        <f t="shared" si="180"/>
        <v>Búsqueda predictiva</v>
      </c>
      <c r="N175" s="98" t="str">
        <f t="shared" si="180"/>
        <v>Proporción de un texto predictivo en la búsqueda para minimizar los errores.
</v>
      </c>
      <c r="O175" s="165" t="s">
        <v>993</v>
      </c>
      <c r="P175" s="166" t="s">
        <v>994</v>
      </c>
      <c r="Q175" s="166" t="s">
        <v>995</v>
      </c>
      <c r="R175" s="211"/>
      <c r="S175" s="166" t="s">
        <v>996</v>
      </c>
      <c r="T175" s="164" t="s">
        <v>2033</v>
      </c>
      <c r="U175" s="94"/>
      <c r="V175" s="94"/>
      <c r="W175" s="94"/>
      <c r="X175" s="94"/>
      <c r="Y175" s="94"/>
      <c r="Z175" s="94"/>
      <c r="AA175" s="94"/>
      <c r="AB175" s="94"/>
      <c r="AC175" s="94"/>
      <c r="AD175" s="94"/>
      <c r="AE175" s="94"/>
      <c r="AF175" s="94"/>
      <c r="AG175" s="94"/>
      <c r="AH175" s="94"/>
      <c r="AI175" s="94"/>
      <c r="AJ175" s="94"/>
      <c r="AK175" s="94"/>
      <c r="AL175" s="94"/>
    </row>
    <row r="176">
      <c r="A176" s="105" t="s">
        <v>661</v>
      </c>
      <c r="B176" s="92" t="str">
        <f t="shared" si="2"/>
        <v>Pregunta</v>
      </c>
      <c r="C176" s="106" t="str">
        <f t="shared" si="9"/>
        <v>5.</v>
      </c>
      <c r="D176" s="106" t="str">
        <f t="shared" si="10"/>
        <v>Búsqueda y encontrabilidad</v>
      </c>
      <c r="E176" s="106" t="str">
        <f t="shared" si="11"/>
        <v>Disposición para ayudar a las personas usuarias a encontrar lo que necesitan: implica que debe contar con un sistema de navegación visible y completo, pero que además debe estar complementado por algún sistema de búsqueda que sea efectivo para acceder al contenido que no se encuentra a simple vista. </v>
      </c>
      <c r="F176" s="141" t="str">
        <f t="shared" si="3"/>
        <v>5.3</v>
      </c>
      <c r="G176" s="92" t="str">
        <f t="shared" si="4"/>
        <v>DESEABLES</v>
      </c>
      <c r="H176" s="141"/>
      <c r="I176" s="141" t="str">
        <f t="shared" si="5"/>
        <v>5.3.2</v>
      </c>
      <c r="J176" s="98" t="str">
        <f t="shared" si="6"/>
        <v>Búsqueda avanzada</v>
      </c>
      <c r="K176" s="98" t="str">
        <f t="shared" si="7"/>
        <v>Buscador interno con mayores opciones de refinamiento de las consultas y parametrización de los resultados.</v>
      </c>
      <c r="L176" s="141" t="str">
        <f t="shared" ref="L176:N176" si="181">IF(I176="",L175,I176)</f>
        <v>5.3.2</v>
      </c>
      <c r="M176" s="98" t="str">
        <f t="shared" si="181"/>
        <v>Búsqueda avanzada</v>
      </c>
      <c r="N176" s="98" t="str">
        <f t="shared" si="181"/>
        <v>Buscador interno con mayores opciones de refinamiento de las consultas y parametrización de los resultados.</v>
      </c>
      <c r="O176" s="147" t="s">
        <v>997</v>
      </c>
      <c r="P176" s="148" t="s">
        <v>998</v>
      </c>
      <c r="Q176" s="148" t="s">
        <v>999</v>
      </c>
      <c r="R176" s="149"/>
      <c r="S176" s="150" t="s">
        <v>1000</v>
      </c>
      <c r="T176" s="160" t="s">
        <v>2033</v>
      </c>
      <c r="U176" s="94"/>
      <c r="V176" s="94"/>
      <c r="W176" s="94"/>
      <c r="X176" s="94"/>
      <c r="Y176" s="94"/>
      <c r="Z176" s="94"/>
      <c r="AA176" s="94"/>
      <c r="AB176" s="94"/>
      <c r="AC176" s="94"/>
      <c r="AD176" s="94"/>
      <c r="AE176" s="94"/>
      <c r="AF176" s="94"/>
      <c r="AG176" s="94"/>
      <c r="AH176" s="94"/>
      <c r="AI176" s="94"/>
      <c r="AJ176" s="94"/>
      <c r="AK176" s="94"/>
      <c r="AL176" s="94"/>
    </row>
    <row r="177">
      <c r="A177" s="86" t="s">
        <v>661</v>
      </c>
      <c r="B177" s="95" t="str">
        <f t="shared" si="2"/>
        <v>Pregunta</v>
      </c>
      <c r="C177" s="106" t="str">
        <f t="shared" si="9"/>
        <v>5.</v>
      </c>
      <c r="D177" s="106" t="str">
        <f t="shared" si="10"/>
        <v>Búsqueda y encontrabilidad</v>
      </c>
      <c r="E177" s="106" t="str">
        <f t="shared" si="11"/>
        <v>Disposición para ayudar a las personas usuarias a encontrar lo que necesitan: implica que debe contar con un sistema de navegación visible y completo, pero que además debe estar complementado por algún sistema de búsqueda que sea efectivo para acceder al contenido que no se encuentra a simple vista. </v>
      </c>
      <c r="F177" s="141" t="str">
        <f t="shared" si="3"/>
        <v>5.3</v>
      </c>
      <c r="G177" s="92" t="str">
        <f t="shared" si="4"/>
        <v>DESEABLES</v>
      </c>
      <c r="H177" s="141"/>
      <c r="I177" s="141" t="str">
        <f t="shared" si="5"/>
        <v/>
      </c>
      <c r="J177" s="98" t="str">
        <f t="shared" si="6"/>
        <v/>
      </c>
      <c r="K177" s="98" t="str">
        <f t="shared" si="7"/>
        <v/>
      </c>
      <c r="L177" s="141" t="str">
        <f t="shared" ref="L177:N177" si="182">IF(I177="",L176,I177)</f>
        <v>5.3.2</v>
      </c>
      <c r="M177" s="98" t="str">
        <f t="shared" si="182"/>
        <v>Búsqueda avanzada</v>
      </c>
      <c r="N177" s="98" t="str">
        <f t="shared" si="182"/>
        <v>Buscador interno con mayores opciones de refinamiento de las consultas y parametrización de los resultados.</v>
      </c>
      <c r="O177" s="172"/>
      <c r="P177" s="150"/>
      <c r="Q177" s="150"/>
      <c r="R177" s="149"/>
      <c r="S177" s="169" t="s">
        <v>1001</v>
      </c>
      <c r="T177" s="164" t="s">
        <v>2033</v>
      </c>
      <c r="U177" s="94"/>
      <c r="V177" s="94"/>
      <c r="W177" s="94"/>
      <c r="X177" s="94"/>
      <c r="Y177" s="94"/>
      <c r="Z177" s="94"/>
      <c r="AA177" s="94"/>
      <c r="AB177" s="94"/>
      <c r="AC177" s="94"/>
      <c r="AD177" s="94"/>
      <c r="AE177" s="94"/>
      <c r="AF177" s="94"/>
      <c r="AG177" s="94"/>
      <c r="AH177" s="94"/>
      <c r="AI177" s="94"/>
      <c r="AJ177" s="94"/>
      <c r="AK177" s="94"/>
      <c r="AL177" s="94"/>
    </row>
    <row r="178">
      <c r="A178" s="105" t="s">
        <v>661</v>
      </c>
      <c r="B178" s="92" t="str">
        <f t="shared" si="2"/>
        <v>Pregunta</v>
      </c>
      <c r="C178" s="106" t="str">
        <f t="shared" si="9"/>
        <v>5.</v>
      </c>
      <c r="D178" s="106" t="str">
        <f t="shared" si="10"/>
        <v>Búsqueda y encontrabilidad</v>
      </c>
      <c r="E178" s="106" t="str">
        <f t="shared" si="11"/>
        <v>Disposición para ayudar a las personas usuarias a encontrar lo que necesitan: implica que debe contar con un sistema de navegación visible y completo, pero que además debe estar complementado por algún sistema de búsqueda que sea efectivo para acceder al contenido que no se encuentra a simple vista. </v>
      </c>
      <c r="F178" s="141" t="str">
        <f t="shared" si="3"/>
        <v>5.3</v>
      </c>
      <c r="G178" s="92" t="str">
        <f t="shared" si="4"/>
        <v>DESEABLES</v>
      </c>
      <c r="H178" s="141"/>
      <c r="I178" s="141" t="str">
        <f t="shared" si="5"/>
        <v>5.3.3</v>
      </c>
      <c r="J178" s="98" t="str">
        <f t="shared" si="6"/>
        <v>Recomendación predictiva</v>
      </c>
      <c r="K178" s="98" t="str">
        <f t="shared" si="7"/>
        <v>Oferta de contenidos y enlaces relacionados que permita a los usuarios profundizar o descubrir nueva información, sobre la base de sus preferencias y patrones de navegación previos.
</v>
      </c>
      <c r="L178" s="141" t="str">
        <f t="shared" ref="L178:N178" si="183">IF(I178="",L177,I178)</f>
        <v>5.3.3</v>
      </c>
      <c r="M178" s="98" t="str">
        <f t="shared" si="183"/>
        <v>Recomendación predictiva</v>
      </c>
      <c r="N178" s="98" t="str">
        <f t="shared" si="183"/>
        <v>Oferta de contenidos y enlaces relacionados que permita a los usuarios profundizar o descubrir nueva información, sobre la base de sus preferencias y patrones de navegación previos.
</v>
      </c>
      <c r="O178" s="142" t="s">
        <v>1002</v>
      </c>
      <c r="P178" s="143" t="s">
        <v>1003</v>
      </c>
      <c r="Q178" s="143" t="s">
        <v>1004</v>
      </c>
      <c r="R178" s="211"/>
      <c r="S178" s="166" t="s">
        <v>1005</v>
      </c>
      <c r="T178" s="164" t="s">
        <v>2033</v>
      </c>
      <c r="U178" s="94"/>
      <c r="V178" s="94"/>
      <c r="W178" s="94"/>
      <c r="X178" s="94"/>
      <c r="Y178" s="94"/>
      <c r="Z178" s="94"/>
      <c r="AA178" s="94"/>
      <c r="AB178" s="94"/>
      <c r="AC178" s="94"/>
      <c r="AD178" s="94"/>
      <c r="AE178" s="94"/>
      <c r="AF178" s="94"/>
      <c r="AG178" s="94"/>
      <c r="AH178" s="94"/>
      <c r="AI178" s="94"/>
      <c r="AJ178" s="94"/>
      <c r="AK178" s="94"/>
      <c r="AL178" s="94"/>
    </row>
    <row r="179">
      <c r="A179" s="105" t="s">
        <v>661</v>
      </c>
      <c r="B179" s="92" t="str">
        <f t="shared" si="2"/>
        <v>Pregunta</v>
      </c>
      <c r="C179" s="106" t="str">
        <f t="shared" si="9"/>
        <v>5.</v>
      </c>
      <c r="D179" s="106" t="str">
        <f t="shared" si="10"/>
        <v>Búsqueda y encontrabilidad</v>
      </c>
      <c r="E179" s="106" t="str">
        <f t="shared" si="11"/>
        <v>Disposición para ayudar a las personas usuarias a encontrar lo que necesitan: implica que debe contar con un sistema de navegación visible y completo, pero que además debe estar complementado por algún sistema de búsqueda que sea efectivo para acceder al contenido que no se encuentra a simple vista. </v>
      </c>
      <c r="F179" s="141" t="str">
        <f t="shared" si="3"/>
        <v>5.3</v>
      </c>
      <c r="G179" s="92" t="str">
        <f t="shared" si="4"/>
        <v>DESEABLES</v>
      </c>
      <c r="H179" s="141"/>
      <c r="I179" s="141" t="str">
        <f t="shared" si="5"/>
        <v>5.3.4</v>
      </c>
      <c r="J179" s="98" t="str">
        <f t="shared" si="6"/>
        <v>Alternativas de búsqueda</v>
      </c>
      <c r="K179" s="98" t="str">
        <f t="shared" si="7"/>
        <v>Entrega de opciones de búsqueda en caso de no encontrar resultados.</v>
      </c>
      <c r="L179" s="141" t="str">
        <f t="shared" ref="L179:N179" si="184">IF(I179="",L178,I179)</f>
        <v>5.3.4</v>
      </c>
      <c r="M179" s="98" t="str">
        <f t="shared" si="184"/>
        <v>Alternativas de búsqueda</v>
      </c>
      <c r="N179" s="98" t="str">
        <f t="shared" si="184"/>
        <v>Entrega de opciones de búsqueda en caso de no encontrar resultados.</v>
      </c>
      <c r="O179" s="152" t="s">
        <v>1006</v>
      </c>
      <c r="P179" s="153" t="s">
        <v>1007</v>
      </c>
      <c r="Q179" s="153" t="s">
        <v>1008</v>
      </c>
      <c r="R179" s="174"/>
      <c r="S179" s="143" t="s">
        <v>1009</v>
      </c>
      <c r="T179" s="164" t="s">
        <v>2033</v>
      </c>
      <c r="U179" s="94"/>
      <c r="V179" s="94"/>
      <c r="W179" s="94"/>
      <c r="X179" s="94"/>
      <c r="Y179" s="94"/>
      <c r="Z179" s="94"/>
      <c r="AA179" s="94"/>
      <c r="AB179" s="94"/>
      <c r="AC179" s="94"/>
      <c r="AD179" s="94"/>
      <c r="AE179" s="94"/>
      <c r="AF179" s="94"/>
      <c r="AG179" s="94"/>
      <c r="AH179" s="94"/>
      <c r="AI179" s="94"/>
      <c r="AJ179" s="94"/>
      <c r="AK179" s="94"/>
      <c r="AL179" s="94"/>
    </row>
    <row r="180" hidden="1">
      <c r="A180" s="86" t="s">
        <v>661</v>
      </c>
      <c r="B180" s="201" t="str">
        <f t="shared" si="2"/>
        <v>Otro</v>
      </c>
      <c r="C180" s="106" t="str">
        <f t="shared" si="9"/>
        <v>6.</v>
      </c>
      <c r="D180" s="106" t="str">
        <f t="shared" si="10"/>
        <v>Responsividad móvil</v>
      </c>
      <c r="E180" s="106" t="str">
        <f t="shared" si="11"/>
        <v>Cualidad que posee un sitio web para adaptarse a todos los dispositivos y tamaños de pantalla, sin perder calidad ni información esencial.</v>
      </c>
      <c r="F180" s="141" t="str">
        <f t="shared" si="3"/>
        <v>5.3</v>
      </c>
      <c r="G180" s="92" t="str">
        <f t="shared" si="4"/>
        <v>DESEABLES</v>
      </c>
      <c r="H180" s="109"/>
      <c r="I180" s="109" t="str">
        <f t="shared" si="5"/>
        <v/>
      </c>
      <c r="J180" s="98" t="str">
        <f t="shared" si="6"/>
        <v/>
      </c>
      <c r="K180" s="98" t="str">
        <f t="shared" si="7"/>
        <v/>
      </c>
      <c r="L180" s="141" t="str">
        <f t="shared" ref="L180:N180" si="185">IF(I180="",L179,I180)</f>
        <v>5.3.4</v>
      </c>
      <c r="M180" s="98" t="str">
        <f t="shared" si="185"/>
        <v>Alternativas de búsqueda</v>
      </c>
      <c r="N180" s="98" t="str">
        <f t="shared" si="185"/>
        <v>Entrega de opciones de búsqueda en caso de no encontrar resultados.</v>
      </c>
      <c r="O180" s="111" t="s">
        <v>29</v>
      </c>
      <c r="P180" s="112" t="s">
        <v>30</v>
      </c>
      <c r="Q180" s="113"/>
      <c r="R180" s="114"/>
      <c r="S180" s="115" t="s">
        <v>1010</v>
      </c>
      <c r="T180" s="116" t="s">
        <v>16</v>
      </c>
      <c r="U180" s="94"/>
      <c r="V180" s="94"/>
      <c r="W180" s="94"/>
      <c r="X180" s="94"/>
      <c r="Y180" s="94"/>
      <c r="Z180" s="94"/>
      <c r="AA180" s="94"/>
      <c r="AB180" s="94"/>
      <c r="AC180" s="94"/>
      <c r="AD180" s="94"/>
      <c r="AE180" s="94"/>
      <c r="AF180" s="94"/>
      <c r="AG180" s="94"/>
      <c r="AH180" s="94"/>
      <c r="AI180" s="94"/>
      <c r="AJ180" s="94"/>
      <c r="AK180" s="94"/>
      <c r="AL180" s="94"/>
    </row>
    <row r="181" hidden="1">
      <c r="A181" s="86" t="s">
        <v>661</v>
      </c>
      <c r="B181" s="201" t="str">
        <f t="shared" si="2"/>
        <v>Otro</v>
      </c>
      <c r="C181" s="106" t="str">
        <f t="shared" si="9"/>
        <v>6.</v>
      </c>
      <c r="D181" s="106" t="str">
        <f t="shared" si="10"/>
        <v>Responsividad móvil</v>
      </c>
      <c r="E181" s="106" t="str">
        <f t="shared" si="11"/>
        <v>Cualidad que posee un sitio web para adaptarse a todos los dispositivos y tamaños de pantalla, sin perder calidad ni información esencial.</v>
      </c>
      <c r="F181" s="141" t="str">
        <f t="shared" si="3"/>
        <v>5.3</v>
      </c>
      <c r="G181" s="92" t="str">
        <f t="shared" si="4"/>
        <v>DESEABLES</v>
      </c>
      <c r="H181" s="109"/>
      <c r="I181" s="109" t="str">
        <f t="shared" si="5"/>
        <v/>
      </c>
      <c r="J181" s="98" t="str">
        <f t="shared" si="6"/>
        <v/>
      </c>
      <c r="K181" s="98" t="str">
        <f t="shared" si="7"/>
        <v/>
      </c>
      <c r="L181" s="141" t="str">
        <f t="shared" ref="L181:N181" si="186">IF(I181="",L180,I181)</f>
        <v>5.3.4</v>
      </c>
      <c r="M181" s="98" t="str">
        <f t="shared" si="186"/>
        <v>Alternativas de búsqueda</v>
      </c>
      <c r="N181" s="98" t="str">
        <f t="shared" si="186"/>
        <v>Entrega de opciones de búsqueda en caso de no encontrar resultados.</v>
      </c>
      <c r="O181" s="117"/>
      <c r="P181" s="118"/>
      <c r="Q181" s="119"/>
      <c r="R181" s="114"/>
      <c r="S181" s="239"/>
      <c r="T181" s="116" t="s">
        <v>19</v>
      </c>
      <c r="U181" s="94"/>
      <c r="V181" s="94"/>
      <c r="W181" s="94"/>
      <c r="X181" s="94"/>
      <c r="Y181" s="94"/>
      <c r="Z181" s="94"/>
      <c r="AA181" s="94"/>
      <c r="AB181" s="94"/>
      <c r="AC181" s="94"/>
      <c r="AD181" s="94"/>
      <c r="AE181" s="94"/>
      <c r="AF181" s="94"/>
      <c r="AG181" s="94"/>
      <c r="AH181" s="94"/>
      <c r="AI181" s="94"/>
      <c r="AJ181" s="94"/>
      <c r="AK181" s="94"/>
      <c r="AL181" s="94"/>
    </row>
    <row r="182" hidden="1">
      <c r="A182" s="86" t="s">
        <v>661</v>
      </c>
      <c r="B182" s="201" t="str">
        <f t="shared" si="2"/>
        <v>Otro</v>
      </c>
      <c r="C182" s="106" t="str">
        <f t="shared" si="9"/>
        <v>6.</v>
      </c>
      <c r="D182" s="106" t="str">
        <f t="shared" si="10"/>
        <v>Responsividad móvil</v>
      </c>
      <c r="E182" s="106" t="str">
        <f t="shared" si="11"/>
        <v>Cualidad que posee un sitio web para adaptarse a todos los dispositivos y tamaños de pantalla, sin perder calidad ni información esencial.</v>
      </c>
      <c r="F182" s="141" t="str">
        <f t="shared" si="3"/>
        <v>5.3</v>
      </c>
      <c r="G182" s="92" t="str">
        <f t="shared" si="4"/>
        <v>DESEABLES</v>
      </c>
      <c r="H182" s="109"/>
      <c r="I182" s="109" t="str">
        <f t="shared" si="5"/>
        <v/>
      </c>
      <c r="J182" s="98" t="str">
        <f t="shared" si="6"/>
        <v/>
      </c>
      <c r="K182" s="98" t="str">
        <f t="shared" si="7"/>
        <v/>
      </c>
      <c r="L182" s="141" t="str">
        <f t="shared" ref="L182:N182" si="187">IF(I182="",L181,I182)</f>
        <v>5.3.4</v>
      </c>
      <c r="M182" s="98" t="str">
        <f t="shared" si="187"/>
        <v>Alternativas de búsqueda</v>
      </c>
      <c r="N182" s="98" t="str">
        <f t="shared" si="187"/>
        <v>Entrega de opciones de búsqueda en caso de no encontrar resultados.</v>
      </c>
      <c r="O182" s="121"/>
      <c r="P182" s="122"/>
      <c r="Q182" s="123"/>
      <c r="R182" s="114"/>
      <c r="S182" s="240"/>
      <c r="T182" s="241"/>
      <c r="U182" s="94"/>
      <c r="V182" s="94"/>
      <c r="W182" s="94"/>
      <c r="X182" s="94"/>
      <c r="Y182" s="94"/>
      <c r="Z182" s="94"/>
      <c r="AA182" s="94"/>
      <c r="AB182" s="94"/>
      <c r="AC182" s="94"/>
      <c r="AD182" s="94"/>
      <c r="AE182" s="94"/>
      <c r="AF182" s="94"/>
      <c r="AG182" s="94"/>
      <c r="AH182" s="94"/>
      <c r="AI182" s="94"/>
      <c r="AJ182" s="94"/>
      <c r="AK182" s="94"/>
      <c r="AL182" s="94"/>
    </row>
    <row r="183" hidden="1">
      <c r="A183" s="86" t="s">
        <v>661</v>
      </c>
      <c r="B183" s="201" t="str">
        <f t="shared" si="2"/>
        <v>Otro</v>
      </c>
      <c r="C183" s="106" t="str">
        <f t="shared" si="9"/>
        <v>6.</v>
      </c>
      <c r="D183" s="106" t="str">
        <f t="shared" si="10"/>
        <v>Responsividad móvil</v>
      </c>
      <c r="E183" s="106" t="str">
        <f t="shared" si="11"/>
        <v>Cualidad que posee un sitio web para adaptarse a todos los dispositivos y tamaños de pantalla, sin perder calidad ni información esencial.</v>
      </c>
      <c r="F183" s="141" t="str">
        <f t="shared" si="3"/>
        <v>5.3</v>
      </c>
      <c r="G183" s="92" t="str">
        <f t="shared" si="4"/>
        <v>DESEABLES</v>
      </c>
      <c r="H183" s="125"/>
      <c r="I183" s="125" t="str">
        <f t="shared" si="5"/>
        <v/>
      </c>
      <c r="J183" s="98" t="str">
        <f t="shared" si="6"/>
        <v/>
      </c>
      <c r="K183" s="98" t="str">
        <f t="shared" si="7"/>
        <v/>
      </c>
      <c r="L183" s="141" t="str">
        <f t="shared" ref="L183:N183" si="188">IF(I183="",L182,I183)</f>
        <v>5.3.4</v>
      </c>
      <c r="M183" s="98" t="str">
        <f t="shared" si="188"/>
        <v>Alternativas de búsqueda</v>
      </c>
      <c r="N183" s="98" t="str">
        <f t="shared" si="188"/>
        <v>Entrega de opciones de búsqueda en caso de no encontrar resultados.</v>
      </c>
      <c r="O183" s="126"/>
      <c r="P183" s="114"/>
      <c r="Q183" s="114"/>
      <c r="R183" s="127"/>
      <c r="S183" s="127"/>
      <c r="T183" s="127"/>
      <c r="U183" s="94"/>
      <c r="V183" s="94"/>
      <c r="W183" s="94"/>
      <c r="X183" s="94"/>
      <c r="Y183" s="94"/>
      <c r="Z183" s="94"/>
      <c r="AA183" s="94"/>
      <c r="AB183" s="94"/>
      <c r="AC183" s="94"/>
      <c r="AD183" s="94"/>
      <c r="AE183" s="94"/>
      <c r="AF183" s="94"/>
      <c r="AG183" s="94"/>
      <c r="AH183" s="94"/>
      <c r="AI183" s="94"/>
      <c r="AJ183" s="94"/>
      <c r="AK183" s="94"/>
      <c r="AL183" s="94"/>
    </row>
    <row r="184" hidden="1">
      <c r="A184" s="86" t="s">
        <v>661</v>
      </c>
      <c r="B184" s="95" t="str">
        <f t="shared" si="2"/>
        <v>Otro</v>
      </c>
      <c r="C184" s="106" t="str">
        <f t="shared" si="9"/>
        <v>6.</v>
      </c>
      <c r="D184" s="106" t="str">
        <f t="shared" si="10"/>
        <v>Responsividad móvil</v>
      </c>
      <c r="E184" s="106" t="str">
        <f t="shared" si="11"/>
        <v>Cualidad que posee un sitio web para adaptarse a todos los dispositivos y tamaños de pantalla, sin perder calidad ni información esencial.</v>
      </c>
      <c r="F184" s="141" t="str">
        <f t="shared" si="3"/>
        <v>5.3</v>
      </c>
      <c r="G184" s="92" t="str">
        <f t="shared" si="4"/>
        <v>DESEABLES</v>
      </c>
      <c r="H184" s="130"/>
      <c r="I184" s="130" t="str">
        <f t="shared" si="5"/>
        <v/>
      </c>
      <c r="J184" s="98" t="str">
        <f t="shared" si="6"/>
        <v/>
      </c>
      <c r="K184" s="98" t="str">
        <f t="shared" si="7"/>
        <v/>
      </c>
      <c r="L184" s="141" t="str">
        <f t="shared" ref="L184:N184" si="189">IF(I184="",L183,I184)</f>
        <v>5.3.4</v>
      </c>
      <c r="M184" s="98" t="str">
        <f t="shared" si="189"/>
        <v>Alternativas de búsqueda</v>
      </c>
      <c r="N184" s="98" t="str">
        <f t="shared" si="189"/>
        <v>Entrega de opciones de búsqueda en caso de no encontrar resultados.</v>
      </c>
      <c r="O184" s="132" t="s">
        <v>1822</v>
      </c>
      <c r="P184" s="133" t="s">
        <v>1823</v>
      </c>
      <c r="Q184" s="133" t="s">
        <v>2031</v>
      </c>
      <c r="R184" s="134"/>
      <c r="S184" s="133" t="s">
        <v>1824</v>
      </c>
      <c r="T184" s="133" t="s">
        <v>1825</v>
      </c>
      <c r="U184" s="94"/>
      <c r="V184" s="94"/>
      <c r="W184" s="94"/>
      <c r="X184" s="94"/>
      <c r="Y184" s="94"/>
      <c r="Z184" s="94"/>
      <c r="AA184" s="94"/>
      <c r="AB184" s="94"/>
      <c r="AC184" s="94"/>
      <c r="AD184" s="94"/>
      <c r="AE184" s="94"/>
      <c r="AF184" s="94"/>
      <c r="AG184" s="94"/>
      <c r="AH184" s="94"/>
      <c r="AI184" s="94"/>
      <c r="AJ184" s="94"/>
      <c r="AK184" s="94"/>
      <c r="AL184" s="94"/>
    </row>
    <row r="185" hidden="1">
      <c r="A185" s="86" t="s">
        <v>661</v>
      </c>
      <c r="B185" s="95" t="str">
        <f t="shared" si="2"/>
        <v>Otro</v>
      </c>
      <c r="C185" s="106" t="str">
        <f t="shared" si="9"/>
        <v>6.</v>
      </c>
      <c r="D185" s="106" t="str">
        <f t="shared" si="10"/>
        <v>Responsividad móvil</v>
      </c>
      <c r="E185" s="106" t="str">
        <f t="shared" si="11"/>
        <v>Cualidad que posee un sitio web para adaptarse a todos los dispositivos y tamaños de pantalla, sin perder calidad ni información esencial.</v>
      </c>
      <c r="F185" s="141" t="str">
        <f t="shared" si="3"/>
        <v>6.1</v>
      </c>
      <c r="G185" s="92" t="str">
        <f t="shared" si="4"/>
        <v>IMPRESCINDIBLES</v>
      </c>
      <c r="H185" s="141"/>
      <c r="I185" s="141" t="str">
        <f t="shared" si="5"/>
        <v/>
      </c>
      <c r="J185" s="98" t="str">
        <f t="shared" si="6"/>
        <v/>
      </c>
      <c r="K185" s="98" t="str">
        <f t="shared" si="7"/>
        <v/>
      </c>
      <c r="L185" s="141" t="str">
        <f t="shared" ref="L185:N185" si="190">IF(I185="",L184,I185)</f>
        <v>5.3.4</v>
      </c>
      <c r="M185" s="98" t="str">
        <f t="shared" si="190"/>
        <v>Alternativas de búsqueda</v>
      </c>
      <c r="N185" s="98" t="str">
        <f t="shared" si="190"/>
        <v>Entrega de opciones de búsqueda en caso de no encontrar resultados.</v>
      </c>
      <c r="O185" s="152" t="s">
        <v>1011</v>
      </c>
      <c r="P185" s="206" t="s">
        <v>664</v>
      </c>
      <c r="Q185" s="200"/>
      <c r="R185" s="138"/>
      <c r="S185" s="139">
        <f>COUNTA(P186:P191)</f>
        <v>1</v>
      </c>
      <c r="T185" s="140">
        <f>COUNTIF(U186:U191,"n/a")</f>
        <v>0</v>
      </c>
      <c r="U185" s="94"/>
      <c r="V185" s="94"/>
      <c r="W185" s="94"/>
      <c r="X185" s="94"/>
      <c r="Y185" s="94"/>
      <c r="Z185" s="94"/>
      <c r="AA185" s="94"/>
      <c r="AB185" s="94"/>
      <c r="AC185" s="94"/>
      <c r="AD185" s="94"/>
      <c r="AE185" s="94"/>
      <c r="AF185" s="94"/>
      <c r="AG185" s="94"/>
      <c r="AH185" s="94"/>
      <c r="AI185" s="94"/>
      <c r="AJ185" s="94"/>
      <c r="AK185" s="94"/>
      <c r="AL185" s="94"/>
    </row>
    <row r="186">
      <c r="A186" s="105" t="s">
        <v>661</v>
      </c>
      <c r="B186" s="92" t="str">
        <f t="shared" si="2"/>
        <v>Pregunta</v>
      </c>
      <c r="C186" s="106" t="str">
        <f t="shared" si="9"/>
        <v>6.</v>
      </c>
      <c r="D186" s="106" t="str">
        <f t="shared" si="10"/>
        <v>Responsividad móvil</v>
      </c>
      <c r="E186" s="106" t="str">
        <f t="shared" si="11"/>
        <v>Cualidad que posee un sitio web para adaptarse a todos los dispositivos y tamaños de pantalla, sin perder calidad ni información esencial.</v>
      </c>
      <c r="F186" s="141" t="str">
        <f t="shared" si="3"/>
        <v>6.1</v>
      </c>
      <c r="G186" s="92" t="str">
        <f t="shared" si="4"/>
        <v>IMPRESCINDIBLES</v>
      </c>
      <c r="H186" s="141"/>
      <c r="I186" s="141" t="str">
        <f t="shared" si="5"/>
        <v>6.1.1</v>
      </c>
      <c r="J186" s="98" t="str">
        <f t="shared" si="6"/>
        <v>Visualización móvil</v>
      </c>
      <c r="K186" s="98" t="str">
        <f t="shared" si="7"/>
        <v>Diseño responsivo, formulado y desarrollado para ser accesible desde cualquier dispositivo móvil.</v>
      </c>
      <c r="L186" s="141" t="str">
        <f t="shared" ref="L186:N186" si="191">IF(I186="",L185,I186)</f>
        <v>6.1.1</v>
      </c>
      <c r="M186" s="98" t="str">
        <f t="shared" si="191"/>
        <v>Visualización móvil</v>
      </c>
      <c r="N186" s="98" t="str">
        <f t="shared" si="191"/>
        <v>Diseño responsivo, formulado y desarrollado para ser accesible desde cualquier dispositivo móvil.</v>
      </c>
      <c r="O186" s="207" t="s">
        <v>1012</v>
      </c>
      <c r="P186" s="180" t="s">
        <v>1013</v>
      </c>
      <c r="Q186" s="180" t="s">
        <v>1014</v>
      </c>
      <c r="R186" s="161"/>
      <c r="S186" s="162" t="s">
        <v>2074</v>
      </c>
      <c r="T186" s="160" t="s">
        <v>2033</v>
      </c>
      <c r="U186" s="94"/>
      <c r="V186" s="94"/>
      <c r="W186" s="94"/>
      <c r="X186" s="94"/>
      <c r="Y186" s="94"/>
      <c r="Z186" s="94"/>
      <c r="AA186" s="94"/>
      <c r="AB186" s="94"/>
      <c r="AC186" s="94"/>
      <c r="AD186" s="94"/>
      <c r="AE186" s="94"/>
      <c r="AF186" s="94"/>
      <c r="AG186" s="94"/>
      <c r="AH186" s="94"/>
      <c r="AI186" s="94"/>
      <c r="AJ186" s="94"/>
      <c r="AK186" s="94"/>
      <c r="AL186" s="94"/>
    </row>
    <row r="187">
      <c r="A187" s="86" t="s">
        <v>661</v>
      </c>
      <c r="B187" s="95" t="str">
        <f t="shared" si="2"/>
        <v>Pregunta</v>
      </c>
      <c r="C187" s="106" t="str">
        <f t="shared" si="9"/>
        <v>6.</v>
      </c>
      <c r="D187" s="106" t="str">
        <f t="shared" si="10"/>
        <v>Responsividad móvil</v>
      </c>
      <c r="E187" s="106" t="str">
        <f t="shared" si="11"/>
        <v>Cualidad que posee un sitio web para adaptarse a todos los dispositivos y tamaños de pantalla, sin perder calidad ni información esencial.</v>
      </c>
      <c r="F187" s="141" t="str">
        <f t="shared" si="3"/>
        <v>6.1</v>
      </c>
      <c r="G187" s="92" t="str">
        <f t="shared" si="4"/>
        <v>IMPRESCINDIBLES</v>
      </c>
      <c r="H187" s="141"/>
      <c r="I187" s="141" t="str">
        <f t="shared" si="5"/>
        <v/>
      </c>
      <c r="J187" s="98" t="str">
        <f t="shared" si="6"/>
        <v/>
      </c>
      <c r="K187" s="98" t="str">
        <f t="shared" si="7"/>
        <v/>
      </c>
      <c r="L187" s="141" t="str">
        <f t="shared" ref="L187:N187" si="192">IF(I187="",L186,I187)</f>
        <v>6.1.1</v>
      </c>
      <c r="M187" s="98" t="str">
        <f t="shared" si="192"/>
        <v>Visualización móvil</v>
      </c>
      <c r="N187" s="98" t="str">
        <f t="shared" si="192"/>
        <v>Diseño responsivo, formulado y desarrollado para ser accesible desde cualquier dispositivo móvil.</v>
      </c>
      <c r="O187" s="152"/>
      <c r="P187" s="153"/>
      <c r="Q187" s="153"/>
      <c r="R187" s="161"/>
      <c r="S187" s="162" t="s">
        <v>2075</v>
      </c>
      <c r="T187" s="160" t="s">
        <v>2033</v>
      </c>
      <c r="U187" s="94"/>
      <c r="V187" s="94"/>
      <c r="W187" s="94"/>
      <c r="X187" s="94"/>
      <c r="Y187" s="94"/>
      <c r="Z187" s="94"/>
      <c r="AA187" s="94"/>
      <c r="AB187" s="94"/>
      <c r="AC187" s="94"/>
      <c r="AD187" s="94"/>
      <c r="AE187" s="94"/>
      <c r="AF187" s="94"/>
      <c r="AG187" s="94"/>
      <c r="AH187" s="94"/>
      <c r="AI187" s="94"/>
      <c r="AJ187" s="94"/>
      <c r="AK187" s="94"/>
      <c r="AL187" s="94"/>
    </row>
    <row r="188">
      <c r="A188" s="86" t="s">
        <v>661</v>
      </c>
      <c r="B188" s="95" t="str">
        <f t="shared" si="2"/>
        <v>Pregunta</v>
      </c>
      <c r="C188" s="106" t="str">
        <f t="shared" si="9"/>
        <v>6.</v>
      </c>
      <c r="D188" s="106" t="str">
        <f t="shared" si="10"/>
        <v>Responsividad móvil</v>
      </c>
      <c r="E188" s="106" t="str">
        <f t="shared" si="11"/>
        <v>Cualidad que posee un sitio web para adaptarse a todos los dispositivos y tamaños de pantalla, sin perder calidad ni información esencial.</v>
      </c>
      <c r="F188" s="141" t="str">
        <f t="shared" si="3"/>
        <v>6.1</v>
      </c>
      <c r="G188" s="92" t="str">
        <f t="shared" si="4"/>
        <v>IMPRESCINDIBLES</v>
      </c>
      <c r="H188" s="141"/>
      <c r="I188" s="141" t="str">
        <f t="shared" si="5"/>
        <v/>
      </c>
      <c r="J188" s="98" t="str">
        <f t="shared" si="6"/>
        <v/>
      </c>
      <c r="K188" s="98" t="str">
        <f t="shared" si="7"/>
        <v/>
      </c>
      <c r="L188" s="141" t="str">
        <f t="shared" ref="L188:N188" si="193">IF(I188="",L187,I188)</f>
        <v>6.1.1</v>
      </c>
      <c r="M188" s="98" t="str">
        <f t="shared" si="193"/>
        <v>Visualización móvil</v>
      </c>
      <c r="N188" s="98" t="str">
        <f t="shared" si="193"/>
        <v>Diseño responsivo, formulado y desarrollado para ser accesible desde cualquier dispositivo móvil.</v>
      </c>
      <c r="O188" s="152"/>
      <c r="P188" s="153"/>
      <c r="Q188" s="153"/>
      <c r="R188" s="161"/>
      <c r="S188" s="162" t="s">
        <v>1017</v>
      </c>
      <c r="T188" s="160" t="s">
        <v>2033</v>
      </c>
      <c r="U188" s="94"/>
      <c r="V188" s="94"/>
      <c r="W188" s="94"/>
      <c r="X188" s="94"/>
      <c r="Y188" s="94"/>
      <c r="Z188" s="94"/>
      <c r="AA188" s="94"/>
      <c r="AB188" s="94"/>
      <c r="AC188" s="94"/>
      <c r="AD188" s="94"/>
      <c r="AE188" s="94"/>
      <c r="AF188" s="94"/>
      <c r="AG188" s="94"/>
      <c r="AH188" s="94"/>
      <c r="AI188" s="94"/>
      <c r="AJ188" s="94"/>
      <c r="AK188" s="94"/>
      <c r="AL188" s="94"/>
    </row>
    <row r="189">
      <c r="A189" s="86" t="s">
        <v>661</v>
      </c>
      <c r="B189" s="95" t="str">
        <f t="shared" si="2"/>
        <v>Pregunta</v>
      </c>
      <c r="C189" s="106" t="str">
        <f t="shared" si="9"/>
        <v>6.</v>
      </c>
      <c r="D189" s="106" t="str">
        <f t="shared" si="10"/>
        <v>Responsividad móvil</v>
      </c>
      <c r="E189" s="106" t="str">
        <f t="shared" si="11"/>
        <v>Cualidad que posee un sitio web para adaptarse a todos los dispositivos y tamaños de pantalla, sin perder calidad ni información esencial.</v>
      </c>
      <c r="F189" s="141" t="str">
        <f t="shared" si="3"/>
        <v>6.1</v>
      </c>
      <c r="G189" s="92" t="str">
        <f t="shared" si="4"/>
        <v>IMPRESCINDIBLES</v>
      </c>
      <c r="H189" s="141"/>
      <c r="I189" s="141" t="str">
        <f t="shared" si="5"/>
        <v/>
      </c>
      <c r="J189" s="98" t="str">
        <f t="shared" si="6"/>
        <v/>
      </c>
      <c r="K189" s="98" t="str">
        <f t="shared" si="7"/>
        <v/>
      </c>
      <c r="L189" s="141" t="str">
        <f t="shared" ref="L189:N189" si="194">IF(I189="",L188,I189)</f>
        <v>6.1.1</v>
      </c>
      <c r="M189" s="98" t="str">
        <f t="shared" si="194"/>
        <v>Visualización móvil</v>
      </c>
      <c r="N189" s="98" t="str">
        <f t="shared" si="194"/>
        <v>Diseño responsivo, formulado y desarrollado para ser accesible desde cualquier dispositivo móvil.</v>
      </c>
      <c r="O189" s="152"/>
      <c r="P189" s="153"/>
      <c r="Q189" s="153"/>
      <c r="R189" s="161"/>
      <c r="S189" s="162" t="s">
        <v>1018</v>
      </c>
      <c r="T189" s="160" t="s">
        <v>2033</v>
      </c>
      <c r="U189" s="94"/>
      <c r="V189" s="94"/>
      <c r="W189" s="94"/>
      <c r="X189" s="94"/>
      <c r="Y189" s="94"/>
      <c r="Z189" s="94"/>
      <c r="AA189" s="94"/>
      <c r="AB189" s="94"/>
      <c r="AC189" s="94"/>
      <c r="AD189" s="94"/>
      <c r="AE189" s="94"/>
      <c r="AF189" s="94"/>
      <c r="AG189" s="94"/>
      <c r="AH189" s="94"/>
      <c r="AI189" s="94"/>
      <c r="AJ189" s="94"/>
      <c r="AK189" s="94"/>
      <c r="AL189" s="94"/>
    </row>
    <row r="190">
      <c r="A190" s="86" t="s">
        <v>661</v>
      </c>
      <c r="B190" s="95" t="str">
        <f t="shared" si="2"/>
        <v>Pregunta</v>
      </c>
      <c r="C190" s="106" t="str">
        <f t="shared" si="9"/>
        <v>6.</v>
      </c>
      <c r="D190" s="106" t="str">
        <f t="shared" si="10"/>
        <v>Responsividad móvil</v>
      </c>
      <c r="E190" s="106" t="str">
        <f t="shared" si="11"/>
        <v>Cualidad que posee un sitio web para adaptarse a todos los dispositivos y tamaños de pantalla, sin perder calidad ni información esencial.</v>
      </c>
      <c r="F190" s="141" t="str">
        <f t="shared" si="3"/>
        <v>6.1</v>
      </c>
      <c r="G190" s="92" t="str">
        <f t="shared" si="4"/>
        <v>IMPRESCINDIBLES</v>
      </c>
      <c r="H190" s="141"/>
      <c r="I190" s="141" t="str">
        <f t="shared" si="5"/>
        <v/>
      </c>
      <c r="J190" s="98" t="str">
        <f t="shared" si="6"/>
        <v/>
      </c>
      <c r="K190" s="98" t="str">
        <f t="shared" si="7"/>
        <v/>
      </c>
      <c r="L190" s="141" t="str">
        <f t="shared" ref="L190:N190" si="195">IF(I190="",L189,I190)</f>
        <v>6.1.1</v>
      </c>
      <c r="M190" s="98" t="str">
        <f t="shared" si="195"/>
        <v>Visualización móvil</v>
      </c>
      <c r="N190" s="98" t="str">
        <f t="shared" si="195"/>
        <v>Diseño responsivo, formulado y desarrollado para ser accesible desde cualquier dispositivo móvil.</v>
      </c>
      <c r="O190" s="152"/>
      <c r="P190" s="153"/>
      <c r="Q190" s="153"/>
      <c r="R190" s="161"/>
      <c r="S190" s="162" t="s">
        <v>1019</v>
      </c>
      <c r="T190" s="160" t="s">
        <v>2033</v>
      </c>
      <c r="U190" s="94"/>
      <c r="V190" s="94"/>
      <c r="W190" s="94"/>
      <c r="X190" s="94"/>
      <c r="Y190" s="94"/>
      <c r="Z190" s="94"/>
      <c r="AA190" s="94"/>
      <c r="AB190" s="94"/>
      <c r="AC190" s="94"/>
      <c r="AD190" s="94"/>
      <c r="AE190" s="94"/>
      <c r="AF190" s="94"/>
      <c r="AG190" s="94"/>
      <c r="AH190" s="94"/>
      <c r="AI190" s="94"/>
      <c r="AJ190" s="94"/>
      <c r="AK190" s="94"/>
      <c r="AL190" s="94"/>
    </row>
    <row r="191">
      <c r="A191" s="86" t="s">
        <v>661</v>
      </c>
      <c r="B191" s="95" t="str">
        <f t="shared" si="2"/>
        <v>Pregunta</v>
      </c>
      <c r="C191" s="106" t="str">
        <f t="shared" si="9"/>
        <v>6.</v>
      </c>
      <c r="D191" s="106" t="str">
        <f t="shared" si="10"/>
        <v>Responsividad móvil</v>
      </c>
      <c r="E191" s="106" t="str">
        <f t="shared" si="11"/>
        <v>Cualidad que posee un sitio web para adaptarse a todos los dispositivos y tamaños de pantalla, sin perder calidad ni información esencial.</v>
      </c>
      <c r="F191" s="141" t="str">
        <f t="shared" si="3"/>
        <v>6.1</v>
      </c>
      <c r="G191" s="92" t="str">
        <f t="shared" si="4"/>
        <v>IMPRESCINDIBLES</v>
      </c>
      <c r="H191" s="141"/>
      <c r="I191" s="141" t="str">
        <f t="shared" si="5"/>
        <v/>
      </c>
      <c r="J191" s="98" t="str">
        <f t="shared" si="6"/>
        <v/>
      </c>
      <c r="K191" s="98" t="str">
        <f t="shared" si="7"/>
        <v/>
      </c>
      <c r="L191" s="141" t="str">
        <f t="shared" ref="L191:N191" si="196">IF(I191="",L190,I191)</f>
        <v>6.1.1</v>
      </c>
      <c r="M191" s="98" t="str">
        <f t="shared" si="196"/>
        <v>Visualización móvil</v>
      </c>
      <c r="N191" s="98" t="str">
        <f t="shared" si="196"/>
        <v>Diseño responsivo, formulado y desarrollado para ser accesible desde cualquier dispositivo móvil.</v>
      </c>
      <c r="O191" s="142"/>
      <c r="P191" s="143"/>
      <c r="Q191" s="143"/>
      <c r="R191" s="168"/>
      <c r="S191" s="169" t="s">
        <v>1020</v>
      </c>
      <c r="T191" s="164" t="s">
        <v>2033</v>
      </c>
      <c r="U191" s="94"/>
      <c r="V191" s="94"/>
      <c r="W191" s="94"/>
      <c r="X191" s="94"/>
      <c r="Y191" s="94"/>
      <c r="Z191" s="94"/>
      <c r="AA191" s="94"/>
      <c r="AB191" s="94"/>
      <c r="AC191" s="94"/>
      <c r="AD191" s="94"/>
      <c r="AE191" s="94"/>
      <c r="AF191" s="94"/>
      <c r="AG191" s="94"/>
      <c r="AH191" s="94"/>
      <c r="AI191" s="94"/>
      <c r="AJ191" s="94"/>
      <c r="AK191" s="94"/>
      <c r="AL191" s="94"/>
    </row>
    <row r="192" hidden="1">
      <c r="A192" s="86" t="s">
        <v>661</v>
      </c>
      <c r="B192" s="95" t="str">
        <f t="shared" si="2"/>
        <v>Otro</v>
      </c>
      <c r="C192" s="106" t="str">
        <f t="shared" si="9"/>
        <v>6.</v>
      </c>
      <c r="D192" s="106" t="str">
        <f t="shared" si="10"/>
        <v>Responsividad móvil</v>
      </c>
      <c r="E192" s="106" t="str">
        <f t="shared" si="11"/>
        <v>Cualidad que posee un sitio web para adaptarse a todos los dispositivos y tamaños de pantalla, sin perder calidad ni información esencial.</v>
      </c>
      <c r="F192" s="141" t="str">
        <f t="shared" si="3"/>
        <v>6.2</v>
      </c>
      <c r="G192" s="92" t="str">
        <f t="shared" si="4"/>
        <v>ESPERABLES</v>
      </c>
      <c r="H192" s="141"/>
      <c r="I192" s="141" t="str">
        <f t="shared" si="5"/>
        <v/>
      </c>
      <c r="J192" s="98" t="str">
        <f t="shared" si="6"/>
        <v/>
      </c>
      <c r="K192" s="98" t="str">
        <f t="shared" si="7"/>
        <v/>
      </c>
      <c r="L192" s="141" t="str">
        <f t="shared" ref="L192:N192" si="197">IF(I192="",L191,I192)</f>
        <v>6.1.1</v>
      </c>
      <c r="M192" s="98" t="str">
        <f t="shared" si="197"/>
        <v>Visualización móvil</v>
      </c>
      <c r="N192" s="98" t="str">
        <f t="shared" si="197"/>
        <v>Diseño responsivo, formulado y desarrollado para ser accesible desde cualquier dispositivo móvil.</v>
      </c>
      <c r="O192" s="152" t="s">
        <v>1021</v>
      </c>
      <c r="P192" s="206" t="s">
        <v>714</v>
      </c>
      <c r="Q192" s="200"/>
      <c r="R192" s="177"/>
      <c r="S192" s="197">
        <f>COUNTA(P193:P194)</f>
        <v>1</v>
      </c>
      <c r="T192" s="197">
        <f>COUNTIF(U193:U194,"n/a")</f>
        <v>0</v>
      </c>
      <c r="U192" s="94"/>
      <c r="V192" s="94"/>
      <c r="W192" s="94"/>
      <c r="X192" s="94"/>
      <c r="Y192" s="94"/>
      <c r="Z192" s="94"/>
      <c r="AA192" s="94"/>
      <c r="AB192" s="94"/>
      <c r="AC192" s="94"/>
      <c r="AD192" s="94"/>
      <c r="AE192" s="94"/>
      <c r="AF192" s="94"/>
      <c r="AG192" s="94"/>
      <c r="AH192" s="94"/>
      <c r="AI192" s="94"/>
      <c r="AJ192" s="94"/>
      <c r="AK192" s="94"/>
      <c r="AL192" s="94"/>
    </row>
    <row r="193">
      <c r="A193" s="105" t="s">
        <v>661</v>
      </c>
      <c r="B193" s="92" t="str">
        <f t="shared" si="2"/>
        <v>Pregunta</v>
      </c>
      <c r="C193" s="106" t="str">
        <f t="shared" si="9"/>
        <v>6.</v>
      </c>
      <c r="D193" s="106" t="str">
        <f t="shared" si="10"/>
        <v>Responsividad móvil</v>
      </c>
      <c r="E193" s="106" t="str">
        <f t="shared" si="11"/>
        <v>Cualidad que posee un sitio web para adaptarse a todos los dispositivos y tamaños de pantalla, sin perder calidad ni información esencial.</v>
      </c>
      <c r="F193" s="141" t="str">
        <f t="shared" si="3"/>
        <v>6.2</v>
      </c>
      <c r="G193" s="92" t="str">
        <f t="shared" si="4"/>
        <v>ESPERABLES</v>
      </c>
      <c r="H193" s="141"/>
      <c r="I193" s="141" t="str">
        <f t="shared" si="5"/>
        <v>6.2.1</v>
      </c>
      <c r="J193" s="98" t="str">
        <f t="shared" si="6"/>
        <v>Adaptabilidad</v>
      </c>
      <c r="K193" s="98" t="str">
        <f t="shared" si="7"/>
        <v>Adecuación automática de un sitio web con sus elementos visuales y contenidos para que sean visualizados correctamente en cualquier dispositivo.
</v>
      </c>
      <c r="L193" s="141" t="str">
        <f t="shared" ref="L193:N193" si="198">IF(I193="",L192,I193)</f>
        <v>6.2.1</v>
      </c>
      <c r="M193" s="98" t="str">
        <f t="shared" si="198"/>
        <v>Adaptabilidad</v>
      </c>
      <c r="N193" s="98" t="str">
        <f t="shared" si="198"/>
        <v>Adecuación automática de un sitio web con sus elementos visuales y contenidos para que sean visualizados correctamente en cualquier dispositivo.
</v>
      </c>
      <c r="O193" s="207" t="s">
        <v>1022</v>
      </c>
      <c r="P193" s="180" t="s">
        <v>1023</v>
      </c>
      <c r="Q193" s="180" t="s">
        <v>1024</v>
      </c>
      <c r="R193" s="161"/>
      <c r="S193" s="162" t="s">
        <v>1025</v>
      </c>
      <c r="T193" s="160" t="s">
        <v>2033</v>
      </c>
      <c r="U193" s="94"/>
      <c r="V193" s="94"/>
      <c r="W193" s="94"/>
      <c r="X193" s="94"/>
      <c r="Y193" s="94"/>
      <c r="Z193" s="94"/>
      <c r="AA193" s="94"/>
      <c r="AB193" s="94"/>
      <c r="AC193" s="94"/>
      <c r="AD193" s="94"/>
      <c r="AE193" s="94"/>
      <c r="AF193" s="94"/>
      <c r="AG193" s="94"/>
      <c r="AH193" s="94"/>
      <c r="AI193" s="94"/>
      <c r="AJ193" s="94"/>
      <c r="AK193" s="94"/>
      <c r="AL193" s="94"/>
    </row>
    <row r="194">
      <c r="A194" s="86" t="s">
        <v>661</v>
      </c>
      <c r="B194" s="95" t="str">
        <f t="shared" si="2"/>
        <v>Pregunta</v>
      </c>
      <c r="C194" s="106" t="str">
        <f t="shared" si="9"/>
        <v>6.</v>
      </c>
      <c r="D194" s="106" t="str">
        <f t="shared" si="10"/>
        <v>Responsividad móvil</v>
      </c>
      <c r="E194" s="106" t="str">
        <f t="shared" si="11"/>
        <v>Cualidad que posee un sitio web para adaptarse a todos los dispositivos y tamaños de pantalla, sin perder calidad ni información esencial.</v>
      </c>
      <c r="F194" s="141" t="str">
        <f t="shared" si="3"/>
        <v>6.2</v>
      </c>
      <c r="G194" s="92" t="str">
        <f t="shared" si="4"/>
        <v>ESPERABLES</v>
      </c>
      <c r="H194" s="141"/>
      <c r="I194" s="141" t="str">
        <f t="shared" si="5"/>
        <v/>
      </c>
      <c r="J194" s="98" t="str">
        <f t="shared" si="6"/>
        <v/>
      </c>
      <c r="K194" s="98" t="str">
        <f t="shared" si="7"/>
        <v/>
      </c>
      <c r="L194" s="141" t="str">
        <f t="shared" ref="L194:N194" si="199">IF(I194="",L193,I194)</f>
        <v>6.2.1</v>
      </c>
      <c r="M194" s="98" t="str">
        <f t="shared" si="199"/>
        <v>Adaptabilidad</v>
      </c>
      <c r="N194" s="98" t="str">
        <f t="shared" si="199"/>
        <v>Adecuación automática de un sitio web con sus elementos visuales y contenidos para que sean visualizados correctamente en cualquier dispositivo.
</v>
      </c>
      <c r="O194" s="142"/>
      <c r="P194" s="143"/>
      <c r="Q194" s="143"/>
      <c r="R194" s="174"/>
      <c r="S194" s="143" t="s">
        <v>1026</v>
      </c>
      <c r="T194" s="164" t="s">
        <v>2033</v>
      </c>
      <c r="U194" s="94"/>
      <c r="V194" s="94"/>
      <c r="W194" s="94"/>
      <c r="X194" s="94"/>
      <c r="Y194" s="94"/>
      <c r="Z194" s="94"/>
      <c r="AA194" s="94"/>
      <c r="AB194" s="94"/>
      <c r="AC194" s="94"/>
      <c r="AD194" s="94"/>
      <c r="AE194" s="94"/>
      <c r="AF194" s="94"/>
      <c r="AG194" s="94"/>
      <c r="AH194" s="94"/>
      <c r="AI194" s="94"/>
      <c r="AJ194" s="94"/>
      <c r="AK194" s="94"/>
      <c r="AL194" s="94"/>
    </row>
    <row r="195" hidden="1">
      <c r="A195" s="86" t="s">
        <v>661</v>
      </c>
      <c r="B195" s="201" t="str">
        <f t="shared" si="2"/>
        <v>Otro</v>
      </c>
      <c r="C195" s="106" t="str">
        <f t="shared" si="9"/>
        <v>7.</v>
      </c>
      <c r="D195" s="106" t="str">
        <f t="shared" si="10"/>
        <v>Diseño e imagen institucional</v>
      </c>
      <c r="E195"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195" s="141" t="str">
        <f t="shared" si="3"/>
        <v>6.2</v>
      </c>
      <c r="G195" s="92" t="str">
        <f t="shared" si="4"/>
        <v>ESPERABLES</v>
      </c>
      <c r="H195" s="109"/>
      <c r="I195" s="109" t="str">
        <f t="shared" si="5"/>
        <v/>
      </c>
      <c r="J195" s="98" t="str">
        <f t="shared" si="6"/>
        <v/>
      </c>
      <c r="K195" s="98" t="str">
        <f t="shared" si="7"/>
        <v/>
      </c>
      <c r="L195" s="141" t="str">
        <f t="shared" ref="L195:N195" si="200">IF(I195="",L194,I195)</f>
        <v>6.2.1</v>
      </c>
      <c r="M195" s="98" t="str">
        <f t="shared" si="200"/>
        <v>Adaptabilidad</v>
      </c>
      <c r="N195" s="98" t="str">
        <f t="shared" si="200"/>
        <v>Adecuación automática de un sitio web con sus elementos visuales y contenidos para que sean visualizados correctamente en cualquier dispositivo.
</v>
      </c>
      <c r="O195" s="117" t="s">
        <v>31</v>
      </c>
      <c r="P195" s="118" t="s">
        <v>32</v>
      </c>
      <c r="Q195" s="119"/>
      <c r="R195" s="114"/>
      <c r="S195" s="115" t="s">
        <v>1027</v>
      </c>
      <c r="T195" s="116" t="s">
        <v>16</v>
      </c>
      <c r="U195" s="94"/>
      <c r="V195" s="94"/>
      <c r="W195" s="94"/>
      <c r="X195" s="94"/>
      <c r="Y195" s="94"/>
      <c r="Z195" s="94"/>
      <c r="AA195" s="94"/>
      <c r="AB195" s="94"/>
      <c r="AC195" s="94"/>
      <c r="AD195" s="94"/>
      <c r="AE195" s="94"/>
      <c r="AF195" s="94"/>
      <c r="AG195" s="94"/>
      <c r="AH195" s="94"/>
      <c r="AI195" s="94"/>
      <c r="AJ195" s="94"/>
      <c r="AK195" s="94"/>
      <c r="AL195" s="94"/>
    </row>
    <row r="196" hidden="1">
      <c r="A196" s="86" t="s">
        <v>661</v>
      </c>
      <c r="B196" s="201" t="str">
        <f t="shared" si="2"/>
        <v>Otro</v>
      </c>
      <c r="C196" s="106" t="str">
        <f t="shared" si="9"/>
        <v>7.</v>
      </c>
      <c r="D196" s="106" t="str">
        <f t="shared" si="10"/>
        <v>Diseño e imagen institucional</v>
      </c>
      <c r="E196"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196" s="141" t="str">
        <f t="shared" si="3"/>
        <v>6.2</v>
      </c>
      <c r="G196" s="92" t="str">
        <f t="shared" si="4"/>
        <v>ESPERABLES</v>
      </c>
      <c r="H196" s="109"/>
      <c r="I196" s="109" t="str">
        <f t="shared" si="5"/>
        <v/>
      </c>
      <c r="J196" s="98" t="str">
        <f t="shared" si="6"/>
        <v/>
      </c>
      <c r="K196" s="98" t="str">
        <f t="shared" si="7"/>
        <v/>
      </c>
      <c r="L196" s="141" t="str">
        <f t="shared" ref="L196:N196" si="201">IF(I196="",L195,I196)</f>
        <v>6.2.1</v>
      </c>
      <c r="M196" s="98" t="str">
        <f t="shared" si="201"/>
        <v>Adaptabilidad</v>
      </c>
      <c r="N196" s="98" t="str">
        <f t="shared" si="201"/>
        <v>Adecuación automática de un sitio web con sus elementos visuales y contenidos para que sean visualizados correctamente en cualquier dispositivo.
</v>
      </c>
      <c r="O196" s="117"/>
      <c r="P196" s="118"/>
      <c r="Q196" s="119"/>
      <c r="R196" s="114"/>
      <c r="S196" s="239"/>
      <c r="T196" s="116" t="s">
        <v>19</v>
      </c>
      <c r="U196" s="94"/>
      <c r="V196" s="94"/>
      <c r="W196" s="94"/>
      <c r="X196" s="94"/>
      <c r="Y196" s="94"/>
      <c r="Z196" s="94"/>
      <c r="AA196" s="94"/>
      <c r="AB196" s="94"/>
      <c r="AC196" s="94"/>
      <c r="AD196" s="94"/>
      <c r="AE196" s="94"/>
      <c r="AF196" s="94"/>
      <c r="AG196" s="94"/>
      <c r="AH196" s="94"/>
      <c r="AI196" s="94"/>
      <c r="AJ196" s="94"/>
      <c r="AK196" s="94"/>
      <c r="AL196" s="94"/>
    </row>
    <row r="197" hidden="1">
      <c r="A197" s="86" t="s">
        <v>661</v>
      </c>
      <c r="B197" s="201" t="str">
        <f t="shared" si="2"/>
        <v>Otro</v>
      </c>
      <c r="C197" s="106" t="str">
        <f t="shared" si="9"/>
        <v>7.</v>
      </c>
      <c r="D197" s="106" t="str">
        <f t="shared" si="10"/>
        <v>Diseño e imagen institucional</v>
      </c>
      <c r="E197"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197" s="141" t="str">
        <f t="shared" si="3"/>
        <v>6.2</v>
      </c>
      <c r="G197" s="92" t="str">
        <f t="shared" si="4"/>
        <v>ESPERABLES</v>
      </c>
      <c r="H197" s="109"/>
      <c r="I197" s="109" t="str">
        <f t="shared" si="5"/>
        <v/>
      </c>
      <c r="J197" s="98" t="str">
        <f t="shared" si="6"/>
        <v/>
      </c>
      <c r="K197" s="98" t="str">
        <f t="shared" si="7"/>
        <v/>
      </c>
      <c r="L197" s="141" t="str">
        <f t="shared" ref="L197:N197" si="202">IF(I197="",L196,I197)</f>
        <v>6.2.1</v>
      </c>
      <c r="M197" s="98" t="str">
        <f t="shared" si="202"/>
        <v>Adaptabilidad</v>
      </c>
      <c r="N197" s="98" t="str">
        <f t="shared" si="202"/>
        <v>Adecuación automática de un sitio web con sus elementos visuales y contenidos para que sean visualizados correctamente en cualquier dispositivo.
</v>
      </c>
      <c r="O197" s="121"/>
      <c r="P197" s="122"/>
      <c r="Q197" s="123"/>
      <c r="R197" s="114"/>
      <c r="S197" s="240"/>
      <c r="T197" s="116" t="s">
        <v>22</v>
      </c>
      <c r="U197" s="94"/>
      <c r="V197" s="94"/>
      <c r="W197" s="94"/>
      <c r="X197" s="94"/>
      <c r="Y197" s="94"/>
      <c r="Z197" s="94"/>
      <c r="AA197" s="94"/>
      <c r="AB197" s="94"/>
      <c r="AC197" s="94"/>
      <c r="AD197" s="94"/>
      <c r="AE197" s="94"/>
      <c r="AF197" s="94"/>
      <c r="AG197" s="94"/>
      <c r="AH197" s="94"/>
      <c r="AI197" s="94"/>
      <c r="AJ197" s="94"/>
      <c r="AK197" s="94"/>
      <c r="AL197" s="94"/>
    </row>
    <row r="198" hidden="1">
      <c r="A198" s="86" t="s">
        <v>661</v>
      </c>
      <c r="B198" s="201" t="str">
        <f t="shared" si="2"/>
        <v>Otro</v>
      </c>
      <c r="C198" s="106" t="str">
        <f t="shared" si="9"/>
        <v>7.</v>
      </c>
      <c r="D198" s="106" t="str">
        <f t="shared" si="10"/>
        <v>Diseño e imagen institucional</v>
      </c>
      <c r="E198"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198" s="141" t="str">
        <f t="shared" si="3"/>
        <v>6.2</v>
      </c>
      <c r="G198" s="92" t="str">
        <f t="shared" si="4"/>
        <v>ESPERABLES</v>
      </c>
      <c r="H198" s="96"/>
      <c r="I198" s="96" t="str">
        <f t="shared" si="5"/>
        <v/>
      </c>
      <c r="J198" s="98" t="str">
        <f t="shared" si="6"/>
        <v/>
      </c>
      <c r="K198" s="98" t="str">
        <f t="shared" si="7"/>
        <v/>
      </c>
      <c r="L198" s="141" t="str">
        <f t="shared" ref="L198:N198" si="203">IF(I198="",L197,I198)</f>
        <v>6.2.1</v>
      </c>
      <c r="M198" s="98" t="str">
        <f t="shared" si="203"/>
        <v>Adaptabilidad</v>
      </c>
      <c r="N198" s="98" t="str">
        <f t="shared" si="203"/>
        <v>Adecuación automática de un sitio web con sus elementos visuales y contenidos para que sean visualizados correctamente en cualquier dispositivo.
</v>
      </c>
      <c r="O198" s="104"/>
      <c r="P198" s="114"/>
      <c r="Q198" s="114"/>
      <c r="R198" s="242"/>
      <c r="S198" s="242"/>
      <c r="T198" s="127"/>
      <c r="U198" s="94"/>
      <c r="V198" s="94"/>
      <c r="W198" s="94"/>
      <c r="X198" s="94"/>
      <c r="Y198" s="94"/>
      <c r="Z198" s="94"/>
      <c r="AA198" s="94"/>
      <c r="AB198" s="94"/>
      <c r="AC198" s="94"/>
      <c r="AD198" s="94"/>
      <c r="AE198" s="94"/>
      <c r="AF198" s="94"/>
      <c r="AG198" s="94"/>
      <c r="AH198" s="94"/>
      <c r="AI198" s="94"/>
      <c r="AJ198" s="94"/>
      <c r="AK198" s="94"/>
      <c r="AL198" s="94"/>
    </row>
    <row r="199" hidden="1">
      <c r="A199" s="86" t="s">
        <v>661</v>
      </c>
      <c r="B199" s="95" t="str">
        <f t="shared" si="2"/>
        <v>Otro</v>
      </c>
      <c r="C199" s="106" t="str">
        <f t="shared" si="9"/>
        <v>7.</v>
      </c>
      <c r="D199" s="106" t="str">
        <f t="shared" si="10"/>
        <v>Diseño e imagen institucional</v>
      </c>
      <c r="E199"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199" s="141" t="str">
        <f t="shared" si="3"/>
        <v>6.2</v>
      </c>
      <c r="G199" s="92" t="str">
        <f t="shared" si="4"/>
        <v>ESPERABLES</v>
      </c>
      <c r="H199" s="130"/>
      <c r="I199" s="130" t="str">
        <f t="shared" si="5"/>
        <v/>
      </c>
      <c r="J199" s="98" t="str">
        <f t="shared" si="6"/>
        <v/>
      </c>
      <c r="K199" s="98" t="str">
        <f t="shared" si="7"/>
        <v/>
      </c>
      <c r="L199" s="141" t="str">
        <f t="shared" ref="L199:N199" si="204">IF(I199="",L198,I199)</f>
        <v>6.2.1</v>
      </c>
      <c r="M199" s="98" t="str">
        <f t="shared" si="204"/>
        <v>Adaptabilidad</v>
      </c>
      <c r="N199" s="98" t="str">
        <f t="shared" si="204"/>
        <v>Adecuación automática de un sitio web con sus elementos visuales y contenidos para que sean visualizados correctamente en cualquier dispositivo.
</v>
      </c>
      <c r="O199" s="132" t="s">
        <v>1822</v>
      </c>
      <c r="P199" s="133" t="s">
        <v>1823</v>
      </c>
      <c r="Q199" s="133" t="s">
        <v>2031</v>
      </c>
      <c r="R199" s="134"/>
      <c r="S199" s="133" t="s">
        <v>1824</v>
      </c>
      <c r="T199" s="133" t="s">
        <v>1825</v>
      </c>
      <c r="U199" s="94"/>
      <c r="V199" s="94"/>
      <c r="W199" s="94"/>
      <c r="X199" s="94"/>
      <c r="Y199" s="94"/>
      <c r="Z199" s="94"/>
      <c r="AA199" s="94"/>
      <c r="AB199" s="94"/>
      <c r="AC199" s="94"/>
      <c r="AD199" s="94"/>
      <c r="AE199" s="94"/>
      <c r="AF199" s="94"/>
      <c r="AG199" s="94"/>
      <c r="AH199" s="94"/>
      <c r="AI199" s="94"/>
      <c r="AJ199" s="94"/>
      <c r="AK199" s="94"/>
      <c r="AL199" s="94"/>
    </row>
    <row r="200" hidden="1">
      <c r="A200" s="86" t="s">
        <v>661</v>
      </c>
      <c r="B200" s="95" t="str">
        <f t="shared" si="2"/>
        <v>Otro</v>
      </c>
      <c r="C200" s="106" t="str">
        <f t="shared" si="9"/>
        <v>7.</v>
      </c>
      <c r="D200" s="106" t="str">
        <f t="shared" si="10"/>
        <v>Diseño e imagen institucional</v>
      </c>
      <c r="E200"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200" s="135" t="str">
        <f t="shared" si="3"/>
        <v>7.1</v>
      </c>
      <c r="G200" s="92" t="str">
        <f t="shared" si="4"/>
        <v>IMPRESCINDIBLES</v>
      </c>
      <c r="H200" s="135"/>
      <c r="I200" s="135" t="str">
        <f t="shared" si="5"/>
        <v/>
      </c>
      <c r="J200" s="98" t="str">
        <f t="shared" si="6"/>
        <v/>
      </c>
      <c r="K200" s="98" t="str">
        <f t="shared" si="7"/>
        <v/>
      </c>
      <c r="L200" s="141" t="str">
        <f t="shared" ref="L200:N200" si="205">IF(I200="",L199,I200)</f>
        <v>6.2.1</v>
      </c>
      <c r="M200" s="98" t="str">
        <f t="shared" si="205"/>
        <v>Adaptabilidad</v>
      </c>
      <c r="N200" s="98" t="str">
        <f t="shared" si="205"/>
        <v>Adecuación automática de un sitio web con sus elementos visuales y contenidos para que sean visualizados correctamente en cualquier dispositivo.
</v>
      </c>
      <c r="O200" s="136" t="s">
        <v>1028</v>
      </c>
      <c r="P200" s="137" t="s">
        <v>664</v>
      </c>
      <c r="Q200" s="138"/>
      <c r="R200" s="138"/>
      <c r="S200" s="139">
        <f>COUNTA(P201:P205)</f>
        <v>3</v>
      </c>
      <c r="T200" s="139">
        <f>COUNTIF(U201:U205,"n/a")</f>
        <v>0</v>
      </c>
      <c r="U200" s="94"/>
      <c r="V200" s="94"/>
      <c r="W200" s="94"/>
      <c r="X200" s="94"/>
      <c r="Y200" s="94"/>
      <c r="Z200" s="94"/>
      <c r="AA200" s="94"/>
      <c r="AB200" s="94"/>
      <c r="AC200" s="94"/>
      <c r="AD200" s="94"/>
      <c r="AE200" s="94"/>
      <c r="AF200" s="94"/>
      <c r="AG200" s="94"/>
      <c r="AH200" s="94"/>
      <c r="AI200" s="94"/>
      <c r="AJ200" s="94"/>
      <c r="AK200" s="94"/>
      <c r="AL200" s="94"/>
    </row>
    <row r="201">
      <c r="A201" s="105" t="s">
        <v>661</v>
      </c>
      <c r="B201" s="92" t="str">
        <f t="shared" si="2"/>
        <v>Pregunta</v>
      </c>
      <c r="C201" s="106" t="str">
        <f t="shared" si="9"/>
        <v>7.</v>
      </c>
      <c r="D201" s="106" t="str">
        <f t="shared" si="10"/>
        <v>Diseño e imagen institucional</v>
      </c>
      <c r="E201"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201" s="135" t="str">
        <f t="shared" si="3"/>
        <v>7.1</v>
      </c>
      <c r="G201" s="92" t="str">
        <f t="shared" si="4"/>
        <v>IMPRESCINDIBLES</v>
      </c>
      <c r="H201" s="135"/>
      <c r="I201" s="135" t="str">
        <f t="shared" si="5"/>
        <v>7.1.1</v>
      </c>
      <c r="J201" s="98" t="str">
        <f t="shared" si="6"/>
        <v>Imagen gubernamental</v>
      </c>
      <c r="K201" s="98" t="str">
        <f t="shared" si="7"/>
        <v>Conectores visuales que vinculan e identifican a los organismos de administración del Estado, como tipografías, colores y definiciones gráficas.
</v>
      </c>
      <c r="L201" s="141" t="str">
        <f t="shared" ref="L201:N201" si="206">IF(I201="",L200,I201)</f>
        <v>7.1.1</v>
      </c>
      <c r="M201" s="98" t="str">
        <f t="shared" si="206"/>
        <v>Imagen gubernamental</v>
      </c>
      <c r="N201" s="98" t="str">
        <f t="shared" si="206"/>
        <v>Conectores visuales que vinculan e identifican a los organismos de administración del Estado, como tipografías, colores y definiciones gráficas.
</v>
      </c>
      <c r="O201" s="234" t="s">
        <v>1029</v>
      </c>
      <c r="P201" s="153" t="s">
        <v>1030</v>
      </c>
      <c r="Q201" s="153" t="s">
        <v>1031</v>
      </c>
      <c r="R201" s="238"/>
      <c r="S201" s="162" t="s">
        <v>1032</v>
      </c>
      <c r="T201" s="160" t="s">
        <v>2033</v>
      </c>
      <c r="U201" s="94"/>
      <c r="V201" s="94"/>
      <c r="W201" s="94"/>
      <c r="X201" s="94"/>
      <c r="Y201" s="94"/>
      <c r="Z201" s="94"/>
      <c r="AA201" s="94"/>
      <c r="AB201" s="94"/>
      <c r="AC201" s="94"/>
      <c r="AD201" s="94"/>
      <c r="AE201" s="94"/>
      <c r="AF201" s="94"/>
      <c r="AG201" s="94"/>
      <c r="AH201" s="94"/>
      <c r="AI201" s="94"/>
      <c r="AJ201" s="94"/>
      <c r="AK201" s="94"/>
      <c r="AL201" s="94"/>
    </row>
    <row r="202">
      <c r="A202" s="86" t="s">
        <v>661</v>
      </c>
      <c r="B202" s="95" t="str">
        <f t="shared" si="2"/>
        <v>Pregunta</v>
      </c>
      <c r="C202" s="106" t="str">
        <f t="shared" si="9"/>
        <v>7.</v>
      </c>
      <c r="D202" s="106" t="str">
        <f t="shared" si="10"/>
        <v>Diseño e imagen institucional</v>
      </c>
      <c r="E202"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202" s="135" t="str">
        <f t="shared" si="3"/>
        <v>7.1</v>
      </c>
      <c r="G202" s="92" t="str">
        <f t="shared" si="4"/>
        <v>IMPRESCINDIBLES</v>
      </c>
      <c r="H202" s="135"/>
      <c r="I202" s="135" t="str">
        <f t="shared" si="5"/>
        <v/>
      </c>
      <c r="J202" s="98" t="str">
        <f t="shared" si="6"/>
        <v/>
      </c>
      <c r="K202" s="98" t="str">
        <f t="shared" si="7"/>
        <v/>
      </c>
      <c r="L202" s="141" t="str">
        <f t="shared" ref="L202:N202" si="207">IF(I202="",L201,I202)</f>
        <v>7.1.1</v>
      </c>
      <c r="M202" s="98" t="str">
        <f t="shared" si="207"/>
        <v>Imagen gubernamental</v>
      </c>
      <c r="N202" s="98" t="str">
        <f t="shared" si="207"/>
        <v>Conectores visuales que vinculan e identifican a los organismos de administración del Estado, como tipografías, colores y definiciones gráficas.
</v>
      </c>
      <c r="O202" s="243"/>
      <c r="P202" s="153"/>
      <c r="Q202" s="153"/>
      <c r="R202" s="244"/>
      <c r="S202" s="245" t="s">
        <v>2076</v>
      </c>
      <c r="T202" s="160" t="s">
        <v>2033</v>
      </c>
      <c r="U202" s="94"/>
      <c r="V202" s="94"/>
      <c r="W202" s="94"/>
      <c r="X202" s="94"/>
      <c r="Y202" s="94"/>
      <c r="Z202" s="94"/>
      <c r="AA202" s="94"/>
      <c r="AB202" s="94"/>
      <c r="AC202" s="94"/>
      <c r="AD202" s="94"/>
      <c r="AE202" s="94"/>
      <c r="AF202" s="94"/>
      <c r="AG202" s="94"/>
      <c r="AH202" s="94"/>
      <c r="AI202" s="94"/>
      <c r="AJ202" s="94"/>
      <c r="AK202" s="94"/>
      <c r="AL202" s="94"/>
    </row>
    <row r="203">
      <c r="A203" s="86" t="s">
        <v>661</v>
      </c>
      <c r="B203" s="95" t="str">
        <f t="shared" si="2"/>
        <v>Pregunta</v>
      </c>
      <c r="C203" s="106" t="str">
        <f t="shared" si="9"/>
        <v>7.</v>
      </c>
      <c r="D203" s="106" t="str">
        <f t="shared" si="10"/>
        <v>Diseño e imagen institucional</v>
      </c>
      <c r="E203"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203" s="135" t="str">
        <f t="shared" si="3"/>
        <v>7.1</v>
      </c>
      <c r="G203" s="92" t="str">
        <f t="shared" si="4"/>
        <v>IMPRESCINDIBLES</v>
      </c>
      <c r="H203" s="135"/>
      <c r="I203" s="135" t="str">
        <f t="shared" si="5"/>
        <v/>
      </c>
      <c r="J203" s="98" t="str">
        <f t="shared" si="6"/>
        <v/>
      </c>
      <c r="K203" s="98" t="str">
        <f t="shared" si="7"/>
        <v/>
      </c>
      <c r="L203" s="141" t="str">
        <f t="shared" ref="L203:N203" si="208">IF(I203="",L202,I203)</f>
        <v>7.1.1</v>
      </c>
      <c r="M203" s="98" t="str">
        <f t="shared" si="208"/>
        <v>Imagen gubernamental</v>
      </c>
      <c r="N203" s="98" t="str">
        <f t="shared" si="208"/>
        <v>Conectores visuales que vinculan e identifican a los organismos de administración del Estado, como tipografías, colores y definiciones gráficas.
</v>
      </c>
      <c r="O203" s="246"/>
      <c r="P203" s="143"/>
      <c r="Q203" s="143"/>
      <c r="R203" s="247"/>
      <c r="S203" s="248" t="s">
        <v>1034</v>
      </c>
      <c r="T203" s="164" t="s">
        <v>2033</v>
      </c>
      <c r="U203" s="94"/>
      <c r="V203" s="94"/>
      <c r="W203" s="94"/>
      <c r="X203" s="94"/>
      <c r="Y203" s="94"/>
      <c r="Z203" s="94"/>
      <c r="AA203" s="94"/>
      <c r="AB203" s="94"/>
      <c r="AC203" s="94"/>
      <c r="AD203" s="94"/>
      <c r="AE203" s="94"/>
      <c r="AF203" s="94"/>
      <c r="AG203" s="94"/>
      <c r="AH203" s="94"/>
      <c r="AI203" s="94"/>
      <c r="AJ203" s="94"/>
      <c r="AK203" s="94"/>
      <c r="AL203" s="94"/>
    </row>
    <row r="204">
      <c r="A204" s="105" t="s">
        <v>661</v>
      </c>
      <c r="B204" s="92" t="str">
        <f t="shared" si="2"/>
        <v>Pregunta</v>
      </c>
      <c r="C204" s="106" t="str">
        <f t="shared" si="9"/>
        <v>7.</v>
      </c>
      <c r="D204" s="106" t="str">
        <f t="shared" si="10"/>
        <v>Diseño e imagen institucional</v>
      </c>
      <c r="E204"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204" s="135" t="str">
        <f t="shared" si="3"/>
        <v>7.1</v>
      </c>
      <c r="G204" s="92" t="str">
        <f t="shared" si="4"/>
        <v>IMPRESCINDIBLES</v>
      </c>
      <c r="H204" s="135"/>
      <c r="I204" s="135" t="str">
        <f t="shared" si="5"/>
        <v>7.1.2</v>
      </c>
      <c r="J204" s="98" t="str">
        <f t="shared" si="6"/>
        <v>Enlaces perceptibles</v>
      </c>
      <c r="K204" s="98" t="str">
        <f t="shared" si="7"/>
        <v>Condición de los enlaces del sitio web, que se deben diferenciar claramente de un párrafo de texto o títulos.</v>
      </c>
      <c r="L204" s="141" t="str">
        <f t="shared" ref="L204:N204" si="209">IF(I204="",L203,I204)</f>
        <v>7.1.2</v>
      </c>
      <c r="M204" s="98" t="str">
        <f t="shared" si="209"/>
        <v>Enlaces perceptibles</v>
      </c>
      <c r="N204" s="98" t="str">
        <f t="shared" si="209"/>
        <v>Condición de los enlaces del sitio web, que se deben diferenciar claramente de un párrafo de texto o títulos.</v>
      </c>
      <c r="O204" s="249" t="s">
        <v>1035</v>
      </c>
      <c r="P204" s="170" t="s">
        <v>1036</v>
      </c>
      <c r="Q204" s="170" t="s">
        <v>1037</v>
      </c>
      <c r="R204" s="158"/>
      <c r="S204" s="250" t="s">
        <v>1038</v>
      </c>
      <c r="T204" s="164" t="s">
        <v>2033</v>
      </c>
      <c r="U204" s="94"/>
      <c r="V204" s="94"/>
      <c r="W204" s="94"/>
      <c r="X204" s="94"/>
      <c r="Y204" s="94"/>
      <c r="Z204" s="94"/>
      <c r="AA204" s="94"/>
      <c r="AB204" s="94"/>
      <c r="AC204" s="94"/>
      <c r="AD204" s="94"/>
      <c r="AE204" s="94"/>
      <c r="AF204" s="94"/>
      <c r="AG204" s="94"/>
      <c r="AH204" s="94"/>
      <c r="AI204" s="94"/>
      <c r="AJ204" s="94"/>
      <c r="AK204" s="94"/>
      <c r="AL204" s="94"/>
    </row>
    <row r="205">
      <c r="A205" s="105" t="s">
        <v>661</v>
      </c>
      <c r="B205" s="92" t="str">
        <f t="shared" si="2"/>
        <v>Pregunta</v>
      </c>
      <c r="C205" s="106" t="str">
        <f t="shared" si="9"/>
        <v>7.</v>
      </c>
      <c r="D205" s="106" t="str">
        <f t="shared" si="10"/>
        <v>Diseño e imagen institucional</v>
      </c>
      <c r="E205"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205" s="135" t="str">
        <f t="shared" si="3"/>
        <v>7.1</v>
      </c>
      <c r="G205" s="92" t="str">
        <f t="shared" si="4"/>
        <v>IMPRESCINDIBLES</v>
      </c>
      <c r="H205" s="135"/>
      <c r="I205" s="135" t="str">
        <f t="shared" si="5"/>
        <v>7.1.3</v>
      </c>
      <c r="J205" s="98" t="str">
        <f t="shared" si="6"/>
        <v>Integridad estética</v>
      </c>
      <c r="K205" s="98" t="str">
        <f t="shared" si="7"/>
        <v>Coherencia de los elementos visuales, los que deben disponerse de la misma manera y permitir mantener una apariencia consistente en todo el sitio, para que brinden una experiencia visual unificada para las personas usuarias.
</v>
      </c>
      <c r="L205" s="141" t="str">
        <f t="shared" ref="L205:N205" si="210">IF(I205="",L204,I205)</f>
        <v>7.1.3</v>
      </c>
      <c r="M205" s="98" t="str">
        <f t="shared" si="210"/>
        <v>Integridad estética</v>
      </c>
      <c r="N205" s="98" t="str">
        <f t="shared" si="210"/>
        <v>Coherencia de los elementos visuales, los que deben disponerse de la misma manera y permitir mantener una apariencia consistente en todo el sitio, para que brinden una experiencia visual unificada para las personas usuarias.
</v>
      </c>
      <c r="O205" s="251" t="s">
        <v>1039</v>
      </c>
      <c r="P205" s="166" t="s">
        <v>1040</v>
      </c>
      <c r="Q205" s="166" t="s">
        <v>1041</v>
      </c>
      <c r="R205" s="211"/>
      <c r="S205" s="252" t="s">
        <v>1042</v>
      </c>
      <c r="T205" s="164" t="s">
        <v>2033</v>
      </c>
      <c r="U205" s="94"/>
      <c r="V205" s="94"/>
      <c r="W205" s="94"/>
      <c r="X205" s="94"/>
      <c r="Y205" s="94"/>
      <c r="Z205" s="94"/>
      <c r="AA205" s="94"/>
      <c r="AB205" s="94"/>
      <c r="AC205" s="94"/>
      <c r="AD205" s="94"/>
      <c r="AE205" s="94"/>
      <c r="AF205" s="94"/>
      <c r="AG205" s="94"/>
      <c r="AH205" s="94"/>
      <c r="AI205" s="94"/>
      <c r="AJ205" s="94"/>
      <c r="AK205" s="94"/>
      <c r="AL205" s="94"/>
    </row>
    <row r="206" hidden="1">
      <c r="A206" s="86" t="s">
        <v>661</v>
      </c>
      <c r="B206" s="95" t="str">
        <f t="shared" si="2"/>
        <v>Otro</v>
      </c>
      <c r="C206" s="106" t="str">
        <f t="shared" si="9"/>
        <v>7.</v>
      </c>
      <c r="D206" s="106" t="str">
        <f t="shared" si="10"/>
        <v>Diseño e imagen institucional</v>
      </c>
      <c r="E206"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206" s="135" t="str">
        <f t="shared" si="3"/>
        <v>7.2</v>
      </c>
      <c r="G206" s="92" t="str">
        <f t="shared" si="4"/>
        <v>ESPERABLES</v>
      </c>
      <c r="H206" s="135"/>
      <c r="I206" s="135" t="str">
        <f t="shared" si="5"/>
        <v/>
      </c>
      <c r="J206" s="98" t="str">
        <f t="shared" si="6"/>
        <v/>
      </c>
      <c r="K206" s="98" t="str">
        <f t="shared" si="7"/>
        <v/>
      </c>
      <c r="L206" s="141" t="str">
        <f t="shared" ref="L206:N206" si="211">IF(I206="",L205,I206)</f>
        <v>7.1.3</v>
      </c>
      <c r="M206" s="98" t="str">
        <f t="shared" si="211"/>
        <v>Integridad estética</v>
      </c>
      <c r="N206" s="98" t="str">
        <f t="shared" si="211"/>
        <v>Coherencia de los elementos visuales, los que deben disponerse de la misma manera y permitir mantener una apariencia consistente en todo el sitio, para que brinden una experiencia visual unificada para las personas usuarias.
</v>
      </c>
      <c r="O206" s="234" t="s">
        <v>1043</v>
      </c>
      <c r="P206" s="206" t="s">
        <v>714</v>
      </c>
      <c r="Q206" s="200"/>
      <c r="R206" s="177"/>
      <c r="S206" s="253">
        <f>COUNTA(P207:P222)</f>
        <v>6</v>
      </c>
      <c r="T206" s="253">
        <f>COUNTIF(U207:U222,"n/a")</f>
        <v>0</v>
      </c>
      <c r="U206" s="94"/>
      <c r="V206" s="94"/>
      <c r="W206" s="94"/>
      <c r="X206" s="94"/>
      <c r="Y206" s="94"/>
      <c r="Z206" s="94"/>
      <c r="AA206" s="94"/>
      <c r="AB206" s="94"/>
      <c r="AC206" s="94"/>
      <c r="AD206" s="94"/>
      <c r="AE206" s="94"/>
      <c r="AF206" s="94"/>
      <c r="AG206" s="94"/>
      <c r="AH206" s="94"/>
      <c r="AI206" s="94"/>
      <c r="AJ206" s="94"/>
      <c r="AK206" s="94"/>
      <c r="AL206" s="94"/>
    </row>
    <row r="207">
      <c r="A207" s="105" t="s">
        <v>661</v>
      </c>
      <c r="B207" s="92" t="str">
        <f t="shared" si="2"/>
        <v>Pregunta</v>
      </c>
      <c r="C207" s="106" t="str">
        <f t="shared" si="9"/>
        <v>7.</v>
      </c>
      <c r="D207" s="106" t="str">
        <f t="shared" si="10"/>
        <v>Diseño e imagen institucional</v>
      </c>
      <c r="E207"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207" s="135" t="str">
        <f t="shared" si="3"/>
        <v>7.2</v>
      </c>
      <c r="G207" s="92" t="str">
        <f t="shared" si="4"/>
        <v>ESPERABLES</v>
      </c>
      <c r="H207" s="135"/>
      <c r="I207" s="135" t="str">
        <f t="shared" si="5"/>
        <v>7.2.1</v>
      </c>
      <c r="J207" s="98" t="str">
        <f t="shared" si="6"/>
        <v>Tipografía</v>
      </c>
      <c r="K207" s="98" t="str">
        <f t="shared" si="7"/>
        <v>Uso de tipografías que faciliten la legibilidad, con un tamaño adaptable a las diferentes condiciones de las personas usuarias y dispositivos. Adopción de las familias tipográficas establecidas en el sistema de diseño gubernamental.</v>
      </c>
      <c r="L207" s="141" t="str">
        <f t="shared" ref="L207:N207" si="212">IF(I207="",L206,I207)</f>
        <v>7.2.1</v>
      </c>
      <c r="M207" s="98" t="str">
        <f t="shared" si="212"/>
        <v>Tipografía</v>
      </c>
      <c r="N207" s="98" t="str">
        <f t="shared" si="212"/>
        <v>Uso de tipografías que faciliten la legibilidad, con un tamaño adaptable a las diferentes condiciones de las personas usuarias y dispositivos. Adopción de las familias tipográficas establecidas en el sistema de diseño gubernamental.</v>
      </c>
      <c r="O207" s="232" t="s">
        <v>1044</v>
      </c>
      <c r="P207" s="180" t="s">
        <v>1045</v>
      </c>
      <c r="Q207" s="180" t="s">
        <v>1046</v>
      </c>
      <c r="R207" s="171"/>
      <c r="S207" s="254" t="s">
        <v>2077</v>
      </c>
      <c r="T207" s="160" t="s">
        <v>2033</v>
      </c>
      <c r="U207" s="94"/>
      <c r="V207" s="94"/>
      <c r="W207" s="94"/>
      <c r="X207" s="94"/>
      <c r="Y207" s="94"/>
      <c r="Z207" s="94"/>
      <c r="AA207" s="94"/>
      <c r="AB207" s="94"/>
      <c r="AC207" s="94"/>
      <c r="AD207" s="94"/>
      <c r="AE207" s="94"/>
      <c r="AF207" s="94"/>
      <c r="AG207" s="94"/>
      <c r="AH207" s="94"/>
      <c r="AI207" s="94"/>
      <c r="AJ207" s="94"/>
      <c r="AK207" s="94"/>
      <c r="AL207" s="94"/>
    </row>
    <row r="208">
      <c r="A208" s="86" t="s">
        <v>661</v>
      </c>
      <c r="B208" s="95" t="str">
        <f t="shared" si="2"/>
        <v>Pregunta</v>
      </c>
      <c r="C208" s="106" t="str">
        <f t="shared" si="9"/>
        <v>7.</v>
      </c>
      <c r="D208" s="106" t="str">
        <f t="shared" si="10"/>
        <v>Diseño e imagen institucional</v>
      </c>
      <c r="E208"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208" s="135" t="str">
        <f t="shared" si="3"/>
        <v>7.2</v>
      </c>
      <c r="G208" s="92" t="str">
        <f t="shared" si="4"/>
        <v>ESPERABLES</v>
      </c>
      <c r="H208" s="135"/>
      <c r="I208" s="135" t="str">
        <f t="shared" si="5"/>
        <v/>
      </c>
      <c r="J208" s="98" t="str">
        <f t="shared" si="6"/>
        <v/>
      </c>
      <c r="K208" s="98" t="str">
        <f t="shared" si="7"/>
        <v/>
      </c>
      <c r="L208" s="141" t="str">
        <f t="shared" ref="L208:N208" si="213">IF(I208="",L207,I208)</f>
        <v>7.2.1</v>
      </c>
      <c r="M208" s="98" t="str">
        <f t="shared" si="213"/>
        <v>Tipografía</v>
      </c>
      <c r="N208" s="98" t="str">
        <f t="shared" si="213"/>
        <v>Uso de tipografías que faciliten la legibilidad, con un tamaño adaptable a las diferentes condiciones de las personas usuarias y dispositivos. Adopción de las familias tipográficas establecidas en el sistema de diseño gubernamental.</v>
      </c>
      <c r="O208" s="243"/>
      <c r="P208" s="153"/>
      <c r="Q208" s="153"/>
      <c r="R208" s="171"/>
      <c r="S208" s="254" t="s">
        <v>2078</v>
      </c>
      <c r="T208" s="160" t="s">
        <v>2033</v>
      </c>
      <c r="U208" s="94"/>
      <c r="V208" s="94"/>
      <c r="W208" s="94"/>
      <c r="X208" s="94"/>
      <c r="Y208" s="94"/>
      <c r="Z208" s="94"/>
      <c r="AA208" s="94"/>
      <c r="AB208" s="94"/>
      <c r="AC208" s="94"/>
      <c r="AD208" s="94"/>
      <c r="AE208" s="94"/>
      <c r="AF208" s="94"/>
      <c r="AG208" s="94"/>
      <c r="AH208" s="94"/>
      <c r="AI208" s="94"/>
      <c r="AJ208" s="94"/>
      <c r="AK208" s="94"/>
      <c r="AL208" s="94"/>
    </row>
    <row r="209">
      <c r="A209" s="86" t="s">
        <v>661</v>
      </c>
      <c r="B209" s="95" t="str">
        <f t="shared" si="2"/>
        <v>Pregunta</v>
      </c>
      <c r="C209" s="106" t="str">
        <f t="shared" si="9"/>
        <v>7.</v>
      </c>
      <c r="D209" s="106" t="str">
        <f t="shared" si="10"/>
        <v>Diseño e imagen institucional</v>
      </c>
      <c r="E209"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209" s="135" t="str">
        <f t="shared" si="3"/>
        <v>7.2</v>
      </c>
      <c r="G209" s="92" t="str">
        <f t="shared" si="4"/>
        <v>ESPERABLES</v>
      </c>
      <c r="H209" s="135"/>
      <c r="I209" s="135" t="str">
        <f t="shared" si="5"/>
        <v/>
      </c>
      <c r="J209" s="98" t="str">
        <f t="shared" si="6"/>
        <v/>
      </c>
      <c r="K209" s="98" t="str">
        <f t="shared" si="7"/>
        <v/>
      </c>
      <c r="L209" s="141" t="str">
        <f t="shared" ref="L209:N209" si="214">IF(I209="",L208,I209)</f>
        <v>7.2.1</v>
      </c>
      <c r="M209" s="98" t="str">
        <f t="shared" si="214"/>
        <v>Tipografía</v>
      </c>
      <c r="N209" s="98" t="str">
        <f t="shared" si="214"/>
        <v>Uso de tipografías que faciliten la legibilidad, con un tamaño adaptable a las diferentes condiciones de las personas usuarias y dispositivos. Adopción de las familias tipográficas establecidas en el sistema de diseño gubernamental.</v>
      </c>
      <c r="O209" s="243"/>
      <c r="P209" s="153"/>
      <c r="Q209" s="153"/>
      <c r="R209" s="171"/>
      <c r="S209" s="162" t="s">
        <v>1049</v>
      </c>
      <c r="T209" s="160" t="s">
        <v>2033</v>
      </c>
      <c r="U209" s="94"/>
      <c r="V209" s="94"/>
      <c r="W209" s="94"/>
      <c r="X209" s="94"/>
      <c r="Y209" s="94"/>
      <c r="Z209" s="94"/>
      <c r="AA209" s="94"/>
      <c r="AB209" s="94"/>
      <c r="AC209" s="94"/>
      <c r="AD209" s="94"/>
      <c r="AE209" s="94"/>
      <c r="AF209" s="94"/>
      <c r="AG209" s="94"/>
      <c r="AH209" s="94"/>
      <c r="AI209" s="94"/>
      <c r="AJ209" s="94"/>
      <c r="AK209" s="94"/>
      <c r="AL209" s="94"/>
    </row>
    <row r="210">
      <c r="A210" s="86" t="s">
        <v>661</v>
      </c>
      <c r="B210" s="95" t="str">
        <f t="shared" si="2"/>
        <v>Pregunta</v>
      </c>
      <c r="C210" s="106" t="str">
        <f t="shared" si="9"/>
        <v>7.</v>
      </c>
      <c r="D210" s="106" t="str">
        <f t="shared" si="10"/>
        <v>Diseño e imagen institucional</v>
      </c>
      <c r="E210"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210" s="135" t="str">
        <f t="shared" si="3"/>
        <v>7.2</v>
      </c>
      <c r="G210" s="92" t="str">
        <f t="shared" si="4"/>
        <v>ESPERABLES</v>
      </c>
      <c r="H210" s="135"/>
      <c r="I210" s="135" t="str">
        <f t="shared" si="5"/>
        <v/>
      </c>
      <c r="J210" s="98" t="str">
        <f t="shared" si="6"/>
        <v/>
      </c>
      <c r="K210" s="98" t="str">
        <f t="shared" si="7"/>
        <v/>
      </c>
      <c r="L210" s="141" t="str">
        <f t="shared" ref="L210:N210" si="215">IF(I210="",L209,I210)</f>
        <v>7.2.1</v>
      </c>
      <c r="M210" s="98" t="str">
        <f t="shared" si="215"/>
        <v>Tipografía</v>
      </c>
      <c r="N210" s="98" t="str">
        <f t="shared" si="215"/>
        <v>Uso de tipografías que faciliten la legibilidad, con un tamaño adaptable a las diferentes condiciones de las personas usuarias y dispositivos. Adopción de las familias tipográficas establecidas en el sistema de diseño gubernamental.</v>
      </c>
      <c r="O210" s="246"/>
      <c r="P210" s="143"/>
      <c r="Q210" s="143"/>
      <c r="R210" s="171"/>
      <c r="S210" s="169" t="s">
        <v>2079</v>
      </c>
      <c r="T210" s="164" t="s">
        <v>2033</v>
      </c>
      <c r="U210" s="94"/>
      <c r="V210" s="94"/>
      <c r="W210" s="94"/>
      <c r="X210" s="94"/>
      <c r="Y210" s="94"/>
      <c r="Z210" s="94"/>
      <c r="AA210" s="94"/>
      <c r="AB210" s="94"/>
      <c r="AC210" s="94"/>
      <c r="AD210" s="94"/>
      <c r="AE210" s="94"/>
      <c r="AF210" s="94"/>
      <c r="AG210" s="94"/>
      <c r="AH210" s="94"/>
      <c r="AI210" s="94"/>
      <c r="AJ210" s="94"/>
      <c r="AK210" s="94"/>
      <c r="AL210" s="94"/>
    </row>
    <row r="211">
      <c r="A211" s="105" t="s">
        <v>661</v>
      </c>
      <c r="B211" s="92" t="str">
        <f t="shared" si="2"/>
        <v>Pregunta</v>
      </c>
      <c r="C211" s="106" t="str">
        <f t="shared" si="9"/>
        <v>7.</v>
      </c>
      <c r="D211" s="106" t="str">
        <f t="shared" si="10"/>
        <v>Diseño e imagen institucional</v>
      </c>
      <c r="E211"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211" s="135" t="str">
        <f t="shared" si="3"/>
        <v>7.2</v>
      </c>
      <c r="G211" s="92" t="str">
        <f t="shared" si="4"/>
        <v>ESPERABLES</v>
      </c>
      <c r="H211" s="135"/>
      <c r="I211" s="135" t="str">
        <f t="shared" si="5"/>
        <v>7.2.2</v>
      </c>
      <c r="J211" s="98" t="str">
        <f t="shared" si="6"/>
        <v>Uso del color</v>
      </c>
      <c r="K211" s="98" t="str">
        <f t="shared" si="7"/>
        <v>Definición de una paleta de colores formulada para afianzar la imagen de la institución, sobre la base de criterios de una adecuada combinación, atractivo visual, coherencia y contraste. Estos deberán estar sujetos a las normas de accesibilidad y, si corresponde, adoptar los lineamientos del sistema de diseño gubernamental.
</v>
      </c>
      <c r="L211" s="141" t="str">
        <f t="shared" ref="L211:N211" si="216">IF(I211="",L210,I211)</f>
        <v>7.2.2</v>
      </c>
      <c r="M211" s="98" t="str">
        <f t="shared" si="216"/>
        <v>Uso del color</v>
      </c>
      <c r="N211" s="98" t="str">
        <f t="shared" si="216"/>
        <v>Definición de una paleta de colores formulada para afianzar la imagen de la institución, sobre la base de criterios de una adecuada combinación, atractivo visual, coherencia y contraste. Estos deberán estar sujetos a las normas de accesibilidad y, si corresponde, adoptar los lineamientos del sistema de diseño gubernamental.
</v>
      </c>
      <c r="O211" s="255" t="s">
        <v>1051</v>
      </c>
      <c r="P211" s="148" t="s">
        <v>1052</v>
      </c>
      <c r="Q211" s="148" t="s">
        <v>1053</v>
      </c>
      <c r="R211" s="158"/>
      <c r="S211" s="170" t="s">
        <v>1054</v>
      </c>
      <c r="T211" s="160" t="s">
        <v>2033</v>
      </c>
      <c r="U211" s="94"/>
      <c r="V211" s="94"/>
      <c r="W211" s="94"/>
      <c r="X211" s="94"/>
      <c r="Y211" s="94"/>
      <c r="Z211" s="94"/>
      <c r="AA211" s="94"/>
      <c r="AB211" s="94"/>
      <c r="AC211" s="94"/>
      <c r="AD211" s="94"/>
      <c r="AE211" s="94"/>
      <c r="AF211" s="94"/>
      <c r="AG211" s="94"/>
      <c r="AH211" s="94"/>
      <c r="AI211" s="94"/>
      <c r="AJ211" s="94"/>
      <c r="AK211" s="94"/>
      <c r="AL211" s="94"/>
    </row>
    <row r="212">
      <c r="A212" s="86" t="s">
        <v>661</v>
      </c>
      <c r="B212" s="95" t="str">
        <f t="shared" si="2"/>
        <v>Pregunta</v>
      </c>
      <c r="C212" s="106" t="str">
        <f t="shared" si="9"/>
        <v>7.</v>
      </c>
      <c r="D212" s="106" t="str">
        <f t="shared" si="10"/>
        <v>Diseño e imagen institucional</v>
      </c>
      <c r="E212"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212" s="135" t="str">
        <f t="shared" si="3"/>
        <v>7.2</v>
      </c>
      <c r="G212" s="92" t="str">
        <f t="shared" si="4"/>
        <v>ESPERABLES</v>
      </c>
      <c r="H212" s="135"/>
      <c r="I212" s="135" t="str">
        <f t="shared" si="5"/>
        <v/>
      </c>
      <c r="J212" s="98" t="str">
        <f t="shared" si="6"/>
        <v/>
      </c>
      <c r="K212" s="98" t="str">
        <f t="shared" si="7"/>
        <v/>
      </c>
      <c r="L212" s="141" t="str">
        <f t="shared" ref="L212:N212" si="217">IF(I212="",L211,I212)</f>
        <v>7.2.2</v>
      </c>
      <c r="M212" s="98" t="str">
        <f t="shared" si="217"/>
        <v>Uso del color</v>
      </c>
      <c r="N212" s="98" t="str">
        <f t="shared" si="217"/>
        <v>Definición de una paleta de colores formulada para afianzar la imagen de la institución, sobre la base de criterios de una adecuada combinación, atractivo visual, coherencia y contraste. Estos deberán estar sujetos a las normas de accesibilidad y, si corresponde, adoptar los lineamientos del sistema de diseño gubernamental.
</v>
      </c>
      <c r="O212" s="246"/>
      <c r="P212" s="143"/>
      <c r="Q212" s="143"/>
      <c r="R212" s="161"/>
      <c r="S212" s="256" t="s">
        <v>2080</v>
      </c>
      <c r="T212" s="164" t="s">
        <v>2033</v>
      </c>
      <c r="U212" s="94"/>
      <c r="V212" s="94"/>
      <c r="W212" s="94"/>
      <c r="X212" s="94"/>
      <c r="Y212" s="94"/>
      <c r="Z212" s="94"/>
      <c r="AA212" s="94"/>
      <c r="AB212" s="94"/>
      <c r="AC212" s="94"/>
      <c r="AD212" s="94"/>
      <c r="AE212" s="94"/>
      <c r="AF212" s="94"/>
      <c r="AG212" s="94"/>
      <c r="AH212" s="94"/>
      <c r="AI212" s="94"/>
      <c r="AJ212" s="94"/>
      <c r="AK212" s="94"/>
      <c r="AL212" s="94"/>
    </row>
    <row r="213">
      <c r="A213" s="105" t="s">
        <v>661</v>
      </c>
      <c r="B213" s="92" t="str">
        <f t="shared" si="2"/>
        <v>Pregunta</v>
      </c>
      <c r="C213" s="106" t="str">
        <f t="shared" si="9"/>
        <v>7.</v>
      </c>
      <c r="D213" s="106" t="str">
        <f t="shared" si="10"/>
        <v>Diseño e imagen institucional</v>
      </c>
      <c r="E213"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213" s="135" t="str">
        <f t="shared" si="3"/>
        <v>7.2</v>
      </c>
      <c r="G213" s="92" t="str">
        <f t="shared" si="4"/>
        <v>ESPERABLES</v>
      </c>
      <c r="H213" s="135"/>
      <c r="I213" s="135" t="str">
        <f t="shared" si="5"/>
        <v>7.2.3</v>
      </c>
      <c r="J213" s="98" t="str">
        <f t="shared" si="6"/>
        <v>Uso de imágenes</v>
      </c>
      <c r="K213" s="98" t="str">
        <f t="shared" si="7"/>
        <v>Selección cuidadosa de imágenes, fotografías y visualizaciones para afianzar la identidad institucional y complementar la información entregada. Es decir, que cuenten con un tratamiento y optimización técnica para el soporte web.</v>
      </c>
      <c r="L213" s="141" t="str">
        <f t="shared" ref="L213:N213" si="218">IF(I213="",L212,I213)</f>
        <v>7.2.3</v>
      </c>
      <c r="M213" s="98" t="str">
        <f t="shared" si="218"/>
        <v>Uso de imágenes</v>
      </c>
      <c r="N213" s="98" t="str">
        <f t="shared" si="218"/>
        <v>Selección cuidadosa de imágenes, fotografías y visualizaciones para afianzar la identidad institucional y complementar la información entregada. Es decir, que cuenten con un tratamiento y optimización técnica para el soporte web.</v>
      </c>
      <c r="O213" s="255" t="s">
        <v>1056</v>
      </c>
      <c r="P213" s="148" t="s">
        <v>1057</v>
      </c>
      <c r="Q213" s="148" t="s">
        <v>1058</v>
      </c>
      <c r="R213" s="158"/>
      <c r="S213" s="170" t="s">
        <v>1059</v>
      </c>
      <c r="T213" s="160" t="s">
        <v>2033</v>
      </c>
      <c r="U213" s="94"/>
      <c r="V213" s="94"/>
      <c r="W213" s="94"/>
      <c r="X213" s="94"/>
      <c r="Y213" s="94"/>
      <c r="Z213" s="94"/>
      <c r="AA213" s="94"/>
      <c r="AB213" s="94"/>
      <c r="AC213" s="94"/>
      <c r="AD213" s="94"/>
      <c r="AE213" s="94"/>
      <c r="AF213" s="94"/>
      <c r="AG213" s="94"/>
      <c r="AH213" s="94"/>
      <c r="AI213" s="94"/>
      <c r="AJ213" s="94"/>
      <c r="AK213" s="94"/>
      <c r="AL213" s="94"/>
    </row>
    <row r="214">
      <c r="A214" s="86" t="s">
        <v>661</v>
      </c>
      <c r="B214" s="95" t="str">
        <f t="shared" si="2"/>
        <v>Pregunta</v>
      </c>
      <c r="C214" s="106" t="str">
        <f t="shared" si="9"/>
        <v>7.</v>
      </c>
      <c r="D214" s="106" t="str">
        <f t="shared" si="10"/>
        <v>Diseño e imagen institucional</v>
      </c>
      <c r="E214"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214" s="135" t="str">
        <f t="shared" si="3"/>
        <v>7.2</v>
      </c>
      <c r="G214" s="92" t="str">
        <f t="shared" si="4"/>
        <v>ESPERABLES</v>
      </c>
      <c r="H214" s="135"/>
      <c r="I214" s="135" t="str">
        <f t="shared" si="5"/>
        <v/>
      </c>
      <c r="J214" s="98" t="str">
        <f t="shared" si="6"/>
        <v/>
      </c>
      <c r="K214" s="98" t="str">
        <f t="shared" si="7"/>
        <v/>
      </c>
      <c r="L214" s="141" t="str">
        <f t="shared" ref="L214:N214" si="219">IF(I214="",L213,I214)</f>
        <v>7.2.3</v>
      </c>
      <c r="M214" s="98" t="str">
        <f t="shared" si="219"/>
        <v>Uso de imágenes</v>
      </c>
      <c r="N214" s="98" t="str">
        <f t="shared" si="219"/>
        <v>Selección cuidadosa de imágenes, fotografías y visualizaciones para afianzar la identidad institucional y complementar la información entregada. Es decir, que cuenten con un tratamiento y optimización técnica para el soporte web.</v>
      </c>
      <c r="O214" s="243"/>
      <c r="P214" s="153"/>
      <c r="Q214" s="153"/>
      <c r="R214" s="161"/>
      <c r="S214" s="162" t="s">
        <v>2081</v>
      </c>
      <c r="T214" s="160" t="s">
        <v>2033</v>
      </c>
      <c r="U214" s="94"/>
      <c r="V214" s="94"/>
      <c r="W214" s="94"/>
      <c r="X214" s="94"/>
      <c r="Y214" s="94"/>
      <c r="Z214" s="94"/>
      <c r="AA214" s="94"/>
      <c r="AB214" s="94"/>
      <c r="AC214" s="94"/>
      <c r="AD214" s="94"/>
      <c r="AE214" s="94"/>
      <c r="AF214" s="94"/>
      <c r="AG214" s="94"/>
      <c r="AH214" s="94"/>
      <c r="AI214" s="94"/>
      <c r="AJ214" s="94"/>
      <c r="AK214" s="94"/>
      <c r="AL214" s="94"/>
    </row>
    <row r="215">
      <c r="A215" s="86" t="s">
        <v>661</v>
      </c>
      <c r="B215" s="95" t="str">
        <f t="shared" si="2"/>
        <v>Pregunta</v>
      </c>
      <c r="C215" s="106" t="str">
        <f t="shared" si="9"/>
        <v>7.</v>
      </c>
      <c r="D215" s="106" t="str">
        <f t="shared" si="10"/>
        <v>Diseño e imagen institucional</v>
      </c>
      <c r="E215"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215" s="135" t="str">
        <f t="shared" si="3"/>
        <v>7.2</v>
      </c>
      <c r="G215" s="92" t="str">
        <f t="shared" si="4"/>
        <v>ESPERABLES</v>
      </c>
      <c r="H215" s="135"/>
      <c r="I215" s="135" t="str">
        <f t="shared" si="5"/>
        <v/>
      </c>
      <c r="J215" s="98" t="str">
        <f t="shared" si="6"/>
        <v/>
      </c>
      <c r="K215" s="98" t="str">
        <f t="shared" si="7"/>
        <v/>
      </c>
      <c r="L215" s="141" t="str">
        <f t="shared" ref="L215:N215" si="220">IF(I215="",L214,I215)</f>
        <v>7.2.3</v>
      </c>
      <c r="M215" s="98" t="str">
        <f t="shared" si="220"/>
        <v>Uso de imágenes</v>
      </c>
      <c r="N215" s="98" t="str">
        <f t="shared" si="220"/>
        <v>Selección cuidadosa de imágenes, fotografías y visualizaciones para afianzar la identidad institucional y complementar la información entregada. Es decir, que cuenten con un tratamiento y optimización técnica para el soporte web.</v>
      </c>
      <c r="O215" s="243"/>
      <c r="P215" s="153"/>
      <c r="Q215" s="153"/>
      <c r="R215" s="161"/>
      <c r="S215" s="162" t="s">
        <v>2082</v>
      </c>
      <c r="T215" s="160" t="s">
        <v>2033</v>
      </c>
      <c r="U215" s="94"/>
      <c r="V215" s="94"/>
      <c r="W215" s="94"/>
      <c r="X215" s="94"/>
      <c r="Y215" s="94"/>
      <c r="Z215" s="94"/>
      <c r="AA215" s="94"/>
      <c r="AB215" s="94"/>
      <c r="AC215" s="94"/>
      <c r="AD215" s="94"/>
      <c r="AE215" s="94"/>
      <c r="AF215" s="94"/>
      <c r="AG215" s="94"/>
      <c r="AH215" s="94"/>
      <c r="AI215" s="94"/>
      <c r="AJ215" s="94"/>
      <c r="AK215" s="94"/>
      <c r="AL215" s="94"/>
    </row>
    <row r="216">
      <c r="A216" s="86" t="s">
        <v>661</v>
      </c>
      <c r="B216" s="95" t="str">
        <f t="shared" si="2"/>
        <v>Pregunta</v>
      </c>
      <c r="C216" s="106" t="str">
        <f t="shared" si="9"/>
        <v>7.</v>
      </c>
      <c r="D216" s="106" t="str">
        <f t="shared" si="10"/>
        <v>Diseño e imagen institucional</v>
      </c>
      <c r="E216"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216" s="135" t="str">
        <f t="shared" si="3"/>
        <v>7.2</v>
      </c>
      <c r="G216" s="92" t="str">
        <f t="shared" si="4"/>
        <v>ESPERABLES</v>
      </c>
      <c r="H216" s="135"/>
      <c r="I216" s="135" t="str">
        <f t="shared" si="5"/>
        <v/>
      </c>
      <c r="J216" s="98" t="str">
        <f t="shared" si="6"/>
        <v/>
      </c>
      <c r="K216" s="98" t="str">
        <f t="shared" si="7"/>
        <v/>
      </c>
      <c r="L216" s="141" t="str">
        <f t="shared" ref="L216:N216" si="221">IF(I216="",L215,I216)</f>
        <v>7.2.3</v>
      </c>
      <c r="M216" s="98" t="str">
        <f t="shared" si="221"/>
        <v>Uso de imágenes</v>
      </c>
      <c r="N216" s="98" t="str">
        <f t="shared" si="221"/>
        <v>Selección cuidadosa de imágenes, fotografías y visualizaciones para afianzar la identidad institucional y complementar la información entregada. Es decir, que cuenten con un tratamiento y optimización técnica para el soporte web.</v>
      </c>
      <c r="O216" s="243"/>
      <c r="P216" s="153"/>
      <c r="Q216" s="153"/>
      <c r="R216" s="161"/>
      <c r="S216" s="162" t="s">
        <v>2083</v>
      </c>
      <c r="T216" s="160" t="s">
        <v>2033</v>
      </c>
      <c r="U216" s="94"/>
      <c r="V216" s="94"/>
      <c r="W216" s="94"/>
      <c r="X216" s="94"/>
      <c r="Y216" s="94"/>
      <c r="Z216" s="94"/>
      <c r="AA216" s="94"/>
      <c r="AB216" s="94"/>
      <c r="AC216" s="94"/>
      <c r="AD216" s="94"/>
      <c r="AE216" s="94"/>
      <c r="AF216" s="94"/>
      <c r="AG216" s="94"/>
      <c r="AH216" s="94"/>
      <c r="AI216" s="94"/>
      <c r="AJ216" s="94"/>
      <c r="AK216" s="94"/>
      <c r="AL216" s="94"/>
    </row>
    <row r="217">
      <c r="A217" s="86" t="s">
        <v>661</v>
      </c>
      <c r="B217" s="95" t="str">
        <f t="shared" si="2"/>
        <v>Pregunta</v>
      </c>
      <c r="C217" s="106" t="str">
        <f t="shared" si="9"/>
        <v>7.</v>
      </c>
      <c r="D217" s="106" t="str">
        <f t="shared" si="10"/>
        <v>Diseño e imagen institucional</v>
      </c>
      <c r="E217"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217" s="135" t="str">
        <f t="shared" si="3"/>
        <v>7.2</v>
      </c>
      <c r="G217" s="92" t="str">
        <f t="shared" si="4"/>
        <v>ESPERABLES</v>
      </c>
      <c r="H217" s="135"/>
      <c r="I217" s="135" t="str">
        <f t="shared" si="5"/>
        <v/>
      </c>
      <c r="J217" s="98" t="str">
        <f t="shared" si="6"/>
        <v/>
      </c>
      <c r="K217" s="98" t="str">
        <f t="shared" si="7"/>
        <v/>
      </c>
      <c r="L217" s="141" t="str">
        <f t="shared" ref="L217:N217" si="222">IF(I217="",L216,I217)</f>
        <v>7.2.3</v>
      </c>
      <c r="M217" s="98" t="str">
        <f t="shared" si="222"/>
        <v>Uso de imágenes</v>
      </c>
      <c r="N217" s="98" t="str">
        <f t="shared" si="222"/>
        <v>Selección cuidadosa de imágenes, fotografías y visualizaciones para afianzar la identidad institucional y complementar la información entregada. Es decir, que cuenten con un tratamiento y optimización técnica para el soporte web.</v>
      </c>
      <c r="O217" s="243"/>
      <c r="P217" s="153"/>
      <c r="Q217" s="153"/>
      <c r="R217" s="161"/>
      <c r="S217" s="162" t="s">
        <v>2084</v>
      </c>
      <c r="T217" s="160" t="s">
        <v>2033</v>
      </c>
      <c r="U217" s="94"/>
      <c r="V217" s="94"/>
      <c r="W217" s="94"/>
      <c r="X217" s="94"/>
      <c r="Y217" s="94"/>
      <c r="Z217" s="94"/>
      <c r="AA217" s="94"/>
      <c r="AB217" s="94"/>
      <c r="AC217" s="94"/>
      <c r="AD217" s="94"/>
      <c r="AE217" s="94"/>
      <c r="AF217" s="94"/>
      <c r="AG217" s="94"/>
      <c r="AH217" s="94"/>
      <c r="AI217" s="94"/>
      <c r="AJ217" s="94"/>
      <c r="AK217" s="94"/>
      <c r="AL217" s="94"/>
    </row>
    <row r="218">
      <c r="A218" s="86" t="s">
        <v>661</v>
      </c>
      <c r="B218" s="95" t="str">
        <f t="shared" si="2"/>
        <v>Pregunta</v>
      </c>
      <c r="C218" s="106" t="str">
        <f t="shared" si="9"/>
        <v>7.</v>
      </c>
      <c r="D218" s="106" t="str">
        <f t="shared" si="10"/>
        <v>Diseño e imagen institucional</v>
      </c>
      <c r="E218"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218" s="135" t="str">
        <f t="shared" si="3"/>
        <v>7.2</v>
      </c>
      <c r="G218" s="92" t="str">
        <f t="shared" si="4"/>
        <v>ESPERABLES</v>
      </c>
      <c r="H218" s="135"/>
      <c r="I218" s="135" t="str">
        <f t="shared" si="5"/>
        <v/>
      </c>
      <c r="J218" s="98" t="str">
        <f t="shared" si="6"/>
        <v/>
      </c>
      <c r="K218" s="98" t="str">
        <f t="shared" si="7"/>
        <v/>
      </c>
      <c r="L218" s="141" t="str">
        <f t="shared" ref="L218:N218" si="223">IF(I218="",L217,I218)</f>
        <v>7.2.3</v>
      </c>
      <c r="M218" s="98" t="str">
        <f t="shared" si="223"/>
        <v>Uso de imágenes</v>
      </c>
      <c r="N218" s="98" t="str">
        <f t="shared" si="223"/>
        <v>Selección cuidadosa de imágenes, fotografías y visualizaciones para afianzar la identidad institucional y complementar la información entregada. Es decir, que cuenten con un tratamiento y optimización técnica para el soporte web.</v>
      </c>
      <c r="O218" s="246"/>
      <c r="P218" s="143"/>
      <c r="Q218" s="143"/>
      <c r="R218" s="171"/>
      <c r="S218" s="169" t="s">
        <v>2085</v>
      </c>
      <c r="T218" s="164" t="s">
        <v>2033</v>
      </c>
      <c r="U218" s="94"/>
      <c r="V218" s="94"/>
      <c r="W218" s="94"/>
      <c r="X218" s="94"/>
      <c r="Y218" s="94"/>
      <c r="Z218" s="94"/>
      <c r="AA218" s="94"/>
      <c r="AB218" s="94"/>
      <c r="AC218" s="94"/>
      <c r="AD218" s="94"/>
      <c r="AE218" s="94"/>
      <c r="AF218" s="94"/>
      <c r="AG218" s="94"/>
      <c r="AH218" s="94"/>
      <c r="AI218" s="94"/>
      <c r="AJ218" s="94"/>
      <c r="AK218" s="94"/>
      <c r="AL218" s="94"/>
    </row>
    <row r="219">
      <c r="A219" s="105" t="s">
        <v>661</v>
      </c>
      <c r="B219" s="92" t="str">
        <f t="shared" si="2"/>
        <v>Pregunta</v>
      </c>
      <c r="C219" s="106" t="str">
        <f t="shared" si="9"/>
        <v>7.</v>
      </c>
      <c r="D219" s="106" t="str">
        <f t="shared" si="10"/>
        <v>Diseño e imagen institucional</v>
      </c>
      <c r="E219"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219" s="135" t="str">
        <f t="shared" si="3"/>
        <v>7.2</v>
      </c>
      <c r="G219" s="92" t="str">
        <f t="shared" si="4"/>
        <v>ESPERABLES</v>
      </c>
      <c r="H219" s="135"/>
      <c r="I219" s="135" t="str">
        <f t="shared" si="5"/>
        <v>7.2.4</v>
      </c>
      <c r="J219" s="98" t="str">
        <f t="shared" si="6"/>
        <v>Distribución de los elementos</v>
      </c>
      <c r="K219" s="98" t="str">
        <f t="shared" si="7"/>
        <v>Jerarquía de los elementos que se deben comprender a primera vista, sin ruido visual ni sobrecarga informativa.</v>
      </c>
      <c r="L219" s="141" t="str">
        <f t="shared" ref="L219:N219" si="224">IF(I219="",L218,I219)</f>
        <v>7.2.4</v>
      </c>
      <c r="M219" s="98" t="str">
        <f t="shared" si="224"/>
        <v>Distribución de los elementos</v>
      </c>
      <c r="N219" s="98" t="str">
        <f t="shared" si="224"/>
        <v>Jerarquía de los elementos que se deben comprender a primera vista, sin ruido visual ni sobrecarga informativa.</v>
      </c>
      <c r="O219" s="255" t="s">
        <v>1065</v>
      </c>
      <c r="P219" s="148" t="s">
        <v>1066</v>
      </c>
      <c r="Q219" s="148" t="s">
        <v>1067</v>
      </c>
      <c r="R219" s="158"/>
      <c r="S219" s="170" t="s">
        <v>1068</v>
      </c>
      <c r="T219" s="160" t="s">
        <v>2033</v>
      </c>
      <c r="U219" s="94"/>
      <c r="V219" s="94"/>
      <c r="W219" s="94"/>
      <c r="X219" s="94"/>
      <c r="Y219" s="94"/>
      <c r="Z219" s="94"/>
      <c r="AA219" s="94"/>
      <c r="AB219" s="94"/>
      <c r="AC219" s="94"/>
      <c r="AD219" s="94"/>
      <c r="AE219" s="94"/>
      <c r="AF219" s="94"/>
      <c r="AG219" s="94"/>
      <c r="AH219" s="94"/>
      <c r="AI219" s="94"/>
      <c r="AJ219" s="94"/>
      <c r="AK219" s="94"/>
      <c r="AL219" s="94"/>
    </row>
    <row r="220">
      <c r="A220" s="86" t="s">
        <v>661</v>
      </c>
      <c r="B220" s="95" t="str">
        <f t="shared" si="2"/>
        <v>Pregunta</v>
      </c>
      <c r="C220" s="106" t="str">
        <f t="shared" si="9"/>
        <v>7.</v>
      </c>
      <c r="D220" s="106" t="str">
        <f t="shared" si="10"/>
        <v>Diseño e imagen institucional</v>
      </c>
      <c r="E220"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220" s="135" t="str">
        <f t="shared" si="3"/>
        <v>7.2</v>
      </c>
      <c r="G220" s="92" t="str">
        <f t="shared" si="4"/>
        <v>ESPERABLES</v>
      </c>
      <c r="H220" s="135"/>
      <c r="I220" s="135" t="str">
        <f t="shared" si="5"/>
        <v/>
      </c>
      <c r="J220" s="98" t="str">
        <f t="shared" si="6"/>
        <v/>
      </c>
      <c r="K220" s="98" t="str">
        <f t="shared" si="7"/>
        <v/>
      </c>
      <c r="L220" s="141" t="str">
        <f t="shared" ref="L220:N220" si="225">IF(I220="",L219,I220)</f>
        <v>7.2.4</v>
      </c>
      <c r="M220" s="98" t="str">
        <f t="shared" si="225"/>
        <v>Distribución de los elementos</v>
      </c>
      <c r="N220" s="98" t="str">
        <f t="shared" si="225"/>
        <v>Jerarquía de los elementos que se deben comprender a primera vista, sin ruido visual ni sobrecarga informativa.</v>
      </c>
      <c r="O220" s="246"/>
      <c r="P220" s="143"/>
      <c r="Q220" s="143"/>
      <c r="R220" s="171"/>
      <c r="S220" s="169" t="s">
        <v>1069</v>
      </c>
      <c r="T220" s="164" t="s">
        <v>2033</v>
      </c>
      <c r="U220" s="94"/>
      <c r="V220" s="94"/>
      <c r="W220" s="94"/>
      <c r="X220" s="94"/>
      <c r="Y220" s="94"/>
      <c r="Z220" s="94"/>
      <c r="AA220" s="94"/>
      <c r="AB220" s="94"/>
      <c r="AC220" s="94"/>
      <c r="AD220" s="94"/>
      <c r="AE220" s="94"/>
      <c r="AF220" s="94"/>
      <c r="AG220" s="94"/>
      <c r="AH220" s="94"/>
      <c r="AI220" s="94"/>
      <c r="AJ220" s="94"/>
      <c r="AK220" s="94"/>
      <c r="AL220" s="94"/>
    </row>
    <row r="221">
      <c r="A221" s="105" t="s">
        <v>661</v>
      </c>
      <c r="B221" s="92" t="str">
        <f t="shared" si="2"/>
        <v>Pregunta</v>
      </c>
      <c r="C221" s="106" t="str">
        <f t="shared" si="9"/>
        <v>7.</v>
      </c>
      <c r="D221" s="106" t="str">
        <f t="shared" si="10"/>
        <v>Diseño e imagen institucional</v>
      </c>
      <c r="E221"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221" s="135" t="str">
        <f t="shared" si="3"/>
        <v>7.2</v>
      </c>
      <c r="G221" s="92" t="str">
        <f t="shared" si="4"/>
        <v>ESPERABLES</v>
      </c>
      <c r="H221" s="135"/>
      <c r="I221" s="135" t="str">
        <f t="shared" si="5"/>
        <v>7.2.5</v>
      </c>
      <c r="J221" s="98" t="str">
        <f t="shared" si="6"/>
        <v>Atractivo visual</v>
      </c>
      <c r="K221" s="98" t="str">
        <f t="shared" si="7"/>
        <v>Apariencia atractiva y armoniosa que logra captar la atención del usuario.</v>
      </c>
      <c r="L221" s="141" t="str">
        <f t="shared" ref="L221:N221" si="226">IF(I221="",L220,I221)</f>
        <v>7.2.5</v>
      </c>
      <c r="M221" s="98" t="str">
        <f t="shared" si="226"/>
        <v>Atractivo visual</v>
      </c>
      <c r="N221" s="98" t="str">
        <f t="shared" si="226"/>
        <v>Apariencia atractiva y armoniosa que logra captar la atención del usuario.</v>
      </c>
      <c r="O221" s="251" t="s">
        <v>1070</v>
      </c>
      <c r="P221" s="166" t="s">
        <v>1071</v>
      </c>
      <c r="Q221" s="166" t="s">
        <v>1072</v>
      </c>
      <c r="R221" s="167"/>
      <c r="S221" s="166" t="s">
        <v>1073</v>
      </c>
      <c r="T221" s="164" t="s">
        <v>2033</v>
      </c>
      <c r="U221" s="94"/>
      <c r="V221" s="94"/>
      <c r="W221" s="94"/>
      <c r="X221" s="94"/>
      <c r="Y221" s="94"/>
      <c r="Z221" s="94"/>
      <c r="AA221" s="94"/>
      <c r="AB221" s="94"/>
      <c r="AC221" s="94"/>
      <c r="AD221" s="94"/>
      <c r="AE221" s="94"/>
      <c r="AF221" s="94"/>
      <c r="AG221" s="94"/>
      <c r="AH221" s="94"/>
      <c r="AI221" s="94"/>
      <c r="AJ221" s="94"/>
      <c r="AK221" s="94"/>
      <c r="AL221" s="94"/>
    </row>
    <row r="222">
      <c r="A222" s="105" t="s">
        <v>661</v>
      </c>
      <c r="B222" s="92" t="str">
        <f t="shared" si="2"/>
        <v>Pregunta</v>
      </c>
      <c r="C222" s="106" t="str">
        <f t="shared" si="9"/>
        <v>7.</v>
      </c>
      <c r="D222" s="106" t="str">
        <f t="shared" si="10"/>
        <v>Diseño e imagen institucional</v>
      </c>
      <c r="E222"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222" s="135" t="str">
        <f t="shared" si="3"/>
        <v>7.2</v>
      </c>
      <c r="G222" s="92" t="str">
        <f t="shared" si="4"/>
        <v>ESPERABLES</v>
      </c>
      <c r="H222" s="135"/>
      <c r="I222" s="135" t="str">
        <f t="shared" si="5"/>
        <v>7.2.6</v>
      </c>
      <c r="J222" s="98" t="str">
        <f t="shared" si="6"/>
        <v>Expresividad de iconos</v>
      </c>
      <c r="K222" s="98" t="str">
        <f t="shared" si="7"/>
        <v>Capacidad de los iconos para ser claros y precisos en lo que quieren expresar, sin llevar a una interpretación o confusión.
</v>
      </c>
      <c r="L222" s="141" t="str">
        <f t="shared" ref="L222:N222" si="227">IF(I222="",L221,I222)</f>
        <v>7.2.6</v>
      </c>
      <c r="M222" s="98" t="str">
        <f t="shared" si="227"/>
        <v>Expresividad de iconos</v>
      </c>
      <c r="N222" s="98" t="str">
        <f t="shared" si="227"/>
        <v>Capacidad de los iconos para ser claros y precisos en lo que quieren expresar, sin llevar a una interpretación o confusión.
</v>
      </c>
      <c r="O222" s="251" t="s">
        <v>1074</v>
      </c>
      <c r="P222" s="166" t="s">
        <v>1075</v>
      </c>
      <c r="Q222" s="166" t="s">
        <v>1076</v>
      </c>
      <c r="R222" s="211"/>
      <c r="S222" s="166" t="s">
        <v>2086</v>
      </c>
      <c r="T222" s="164" t="s">
        <v>2033</v>
      </c>
      <c r="U222" s="94"/>
      <c r="V222" s="94"/>
      <c r="W222" s="94"/>
      <c r="X222" s="94"/>
      <c r="Y222" s="94"/>
      <c r="Z222" s="94"/>
      <c r="AA222" s="94"/>
      <c r="AB222" s="94"/>
      <c r="AC222" s="94"/>
      <c r="AD222" s="94"/>
      <c r="AE222" s="94"/>
      <c r="AF222" s="94"/>
      <c r="AG222" s="94"/>
      <c r="AH222" s="94"/>
      <c r="AI222" s="94"/>
      <c r="AJ222" s="94"/>
      <c r="AK222" s="94"/>
      <c r="AL222" s="94"/>
    </row>
    <row r="223" hidden="1">
      <c r="A223" s="86" t="s">
        <v>661</v>
      </c>
      <c r="B223" s="95" t="str">
        <f t="shared" si="2"/>
        <v>Otro</v>
      </c>
      <c r="C223" s="106" t="str">
        <f t="shared" si="9"/>
        <v>7.</v>
      </c>
      <c r="D223" s="106" t="str">
        <f t="shared" si="10"/>
        <v>Diseño e imagen institucional</v>
      </c>
      <c r="E223"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223" s="135" t="str">
        <f t="shared" si="3"/>
        <v>7.3</v>
      </c>
      <c r="G223" s="92" t="str">
        <f t="shared" si="4"/>
        <v>DESEABLES</v>
      </c>
      <c r="H223" s="135"/>
      <c r="I223" s="135" t="str">
        <f t="shared" si="5"/>
        <v/>
      </c>
      <c r="J223" s="98" t="str">
        <f t="shared" si="6"/>
        <v/>
      </c>
      <c r="K223" s="98" t="str">
        <f t="shared" si="7"/>
        <v/>
      </c>
      <c r="L223" s="141" t="str">
        <f t="shared" ref="L223:N223" si="228">IF(I223="",L222,I223)</f>
        <v>7.2.6</v>
      </c>
      <c r="M223" s="98" t="str">
        <f t="shared" si="228"/>
        <v>Expresividad de iconos</v>
      </c>
      <c r="N223" s="98" t="str">
        <f t="shared" si="228"/>
        <v>Capacidad de los iconos para ser claros y precisos en lo que quieren expresar, sin llevar a una interpretación o confusión.
</v>
      </c>
      <c r="O223" s="198" t="s">
        <v>1078</v>
      </c>
      <c r="P223" s="182" t="s">
        <v>749</v>
      </c>
      <c r="Q223" s="183"/>
      <c r="R223" s="183"/>
      <c r="S223" s="199">
        <f>COUNTA(P224)</f>
        <v>1</v>
      </c>
      <c r="T223" s="199">
        <f>COUNTIF(U224,"n/a")</f>
        <v>0</v>
      </c>
      <c r="U223" s="94"/>
      <c r="V223" s="94"/>
      <c r="W223" s="94"/>
      <c r="X223" s="94"/>
      <c r="Y223" s="94"/>
      <c r="Z223" s="94"/>
      <c r="AA223" s="94"/>
      <c r="AB223" s="94"/>
      <c r="AC223" s="94"/>
      <c r="AD223" s="94"/>
      <c r="AE223" s="94"/>
      <c r="AF223" s="94"/>
      <c r="AG223" s="94"/>
      <c r="AH223" s="94"/>
      <c r="AI223" s="94"/>
      <c r="AJ223" s="94"/>
      <c r="AK223" s="94"/>
      <c r="AL223" s="94"/>
    </row>
    <row r="224">
      <c r="A224" s="105" t="s">
        <v>661</v>
      </c>
      <c r="B224" s="92" t="str">
        <f t="shared" si="2"/>
        <v>Pregunta</v>
      </c>
      <c r="C224" s="106" t="str">
        <f t="shared" si="9"/>
        <v>7.</v>
      </c>
      <c r="D224" s="106" t="str">
        <f t="shared" si="10"/>
        <v>Diseño e imagen institucional</v>
      </c>
      <c r="E224"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224" s="135" t="str">
        <f t="shared" si="3"/>
        <v>7.3</v>
      </c>
      <c r="G224" s="92" t="str">
        <f t="shared" si="4"/>
        <v>DESEABLES</v>
      </c>
      <c r="H224" s="135"/>
      <c r="I224" s="135" t="str">
        <f t="shared" si="5"/>
        <v>7.3.1</v>
      </c>
      <c r="J224" s="98" t="str">
        <f t="shared" si="6"/>
        <v>Familiaridad</v>
      </c>
      <c r="K224" s="98" t="str">
        <f t="shared" si="7"/>
        <v>Cercanía y capacidad de reconocimiento a simple vista del diseño, sin necesidad de un aprendizaje previo.
</v>
      </c>
      <c r="L224" s="141" t="str">
        <f t="shared" ref="L224:N224" si="229">IF(I224="",L223,I224)</f>
        <v>7.3.1</v>
      </c>
      <c r="M224" s="98" t="str">
        <f t="shared" si="229"/>
        <v>Familiaridad</v>
      </c>
      <c r="N224" s="98" t="str">
        <f t="shared" si="229"/>
        <v>Cercanía y capacidad de reconocimiento a simple vista del diseño, sin necesidad de un aprendizaje previo.
</v>
      </c>
      <c r="O224" s="255" t="s">
        <v>1079</v>
      </c>
      <c r="P224" s="148" t="s">
        <v>1080</v>
      </c>
      <c r="Q224" s="148" t="s">
        <v>1081</v>
      </c>
      <c r="R224" s="211"/>
      <c r="S224" s="257" t="s">
        <v>1082</v>
      </c>
      <c r="T224" s="164" t="s">
        <v>2033</v>
      </c>
      <c r="U224" s="94"/>
      <c r="V224" s="94"/>
      <c r="W224" s="94"/>
      <c r="X224" s="94"/>
      <c r="Y224" s="94"/>
      <c r="Z224" s="94"/>
      <c r="AA224" s="94"/>
      <c r="AB224" s="94"/>
      <c r="AC224" s="94"/>
      <c r="AD224" s="94"/>
      <c r="AE224" s="94"/>
      <c r="AF224" s="94"/>
      <c r="AG224" s="94"/>
      <c r="AH224" s="94"/>
      <c r="AI224" s="94"/>
      <c r="AJ224" s="94"/>
      <c r="AK224" s="94"/>
      <c r="AL224" s="94"/>
    </row>
    <row r="225" hidden="1">
      <c r="A225" s="105" t="s">
        <v>661</v>
      </c>
      <c r="B225" s="106" t="str">
        <f t="shared" si="2"/>
        <v>Otro</v>
      </c>
      <c r="C225" s="106" t="str">
        <f t="shared" si="9"/>
        <v>8.</v>
      </c>
      <c r="D225" s="106" t="str">
        <f t="shared" si="10"/>
        <v>Seguridad</v>
      </c>
      <c r="E225" s="106" t="str">
        <f t="shared" si="11"/>
        <v>Apego a estándares de desarrollo, compatibilidad y directrices para cautelar la seguridad de los sistemas. Esto protege la disponibilidad, integridad y confidencialidad de la información y datos institucionales y personales.</v>
      </c>
      <c r="F225" s="135" t="str">
        <f t="shared" si="3"/>
        <v>7.3</v>
      </c>
      <c r="G225" s="92" t="str">
        <f t="shared" si="4"/>
        <v>DESEABLES</v>
      </c>
      <c r="H225" s="109"/>
      <c r="I225" s="109" t="str">
        <f t="shared" si="5"/>
        <v/>
      </c>
      <c r="J225" s="98" t="str">
        <f t="shared" si="6"/>
        <v/>
      </c>
      <c r="K225" s="98" t="str">
        <f t="shared" si="7"/>
        <v/>
      </c>
      <c r="L225" s="141" t="str">
        <f t="shared" ref="L225:N225" si="230">IF(I225="",L224,I225)</f>
        <v>7.3.1</v>
      </c>
      <c r="M225" s="98" t="str">
        <f t="shared" si="230"/>
        <v>Familiaridad</v>
      </c>
      <c r="N225" s="98" t="str">
        <f t="shared" si="230"/>
        <v>Cercanía y capacidad de reconocimiento a simple vista del diseño, sin necesidad de un aprendizaje previo.
</v>
      </c>
      <c r="O225" s="111" t="s">
        <v>33</v>
      </c>
      <c r="P225" s="112" t="s">
        <v>34</v>
      </c>
      <c r="Q225" s="113"/>
      <c r="R225" s="114"/>
      <c r="S225" s="115" t="s">
        <v>1083</v>
      </c>
      <c r="T225" s="116" t="s">
        <v>16</v>
      </c>
      <c r="U225" s="94"/>
      <c r="V225" s="94"/>
      <c r="W225" s="94"/>
      <c r="X225" s="94"/>
      <c r="Y225" s="94"/>
      <c r="Z225" s="94"/>
      <c r="AA225" s="94"/>
      <c r="AB225" s="94"/>
      <c r="AC225" s="94"/>
      <c r="AD225" s="94"/>
      <c r="AE225" s="94"/>
      <c r="AF225" s="94"/>
      <c r="AG225" s="94"/>
      <c r="AH225" s="94"/>
      <c r="AI225" s="94"/>
      <c r="AJ225" s="94"/>
      <c r="AK225" s="94"/>
      <c r="AL225" s="94"/>
    </row>
    <row r="226" hidden="1">
      <c r="A226" s="105" t="s">
        <v>661</v>
      </c>
      <c r="B226" s="106" t="str">
        <f t="shared" si="2"/>
        <v>Otro</v>
      </c>
      <c r="C226" s="106" t="str">
        <f t="shared" si="9"/>
        <v>8.</v>
      </c>
      <c r="D226" s="106" t="str">
        <f t="shared" si="10"/>
        <v>Seguridad</v>
      </c>
      <c r="E226" s="106" t="str">
        <f t="shared" si="11"/>
        <v>Apego a estándares de desarrollo, compatibilidad y directrices para cautelar la seguridad de los sistemas. Esto protege la disponibilidad, integridad y confidencialidad de la información y datos institucionales y personales.</v>
      </c>
      <c r="F226" s="135" t="str">
        <f t="shared" si="3"/>
        <v>7.3</v>
      </c>
      <c r="G226" s="92" t="str">
        <f t="shared" si="4"/>
        <v>DESEABLES</v>
      </c>
      <c r="H226" s="109"/>
      <c r="I226" s="109" t="str">
        <f t="shared" si="5"/>
        <v/>
      </c>
      <c r="J226" s="98" t="str">
        <f t="shared" si="6"/>
        <v/>
      </c>
      <c r="K226" s="98" t="str">
        <f t="shared" si="7"/>
        <v/>
      </c>
      <c r="L226" s="141" t="str">
        <f t="shared" ref="L226:N226" si="231">IF(I226="",L225,I226)</f>
        <v>7.3.1</v>
      </c>
      <c r="M226" s="98" t="str">
        <f t="shared" si="231"/>
        <v>Familiaridad</v>
      </c>
      <c r="N226" s="98" t="str">
        <f t="shared" si="231"/>
        <v>Cercanía y capacidad de reconocimiento a simple vista del diseño, sin necesidad de un aprendizaje previo.
</v>
      </c>
      <c r="O226" s="117"/>
      <c r="P226" s="118"/>
      <c r="Q226" s="119"/>
      <c r="R226" s="114"/>
      <c r="S226" s="239"/>
      <c r="T226" s="116" t="s">
        <v>19</v>
      </c>
      <c r="U226" s="94"/>
      <c r="V226" s="94"/>
      <c r="W226" s="94"/>
      <c r="X226" s="94"/>
      <c r="Y226" s="94"/>
      <c r="Z226" s="94"/>
      <c r="AA226" s="94"/>
      <c r="AB226" s="94"/>
      <c r="AC226" s="94"/>
      <c r="AD226" s="94"/>
      <c r="AE226" s="94"/>
      <c r="AF226" s="94"/>
      <c r="AG226" s="94"/>
      <c r="AH226" s="94"/>
      <c r="AI226" s="94"/>
      <c r="AJ226" s="94"/>
      <c r="AK226" s="94"/>
      <c r="AL226" s="94"/>
    </row>
    <row r="227" hidden="1">
      <c r="A227" s="105" t="s">
        <v>661</v>
      </c>
      <c r="B227" s="106" t="str">
        <f t="shared" si="2"/>
        <v>Otro</v>
      </c>
      <c r="C227" s="106" t="str">
        <f t="shared" si="9"/>
        <v>8.</v>
      </c>
      <c r="D227" s="106" t="str">
        <f t="shared" si="10"/>
        <v>Seguridad</v>
      </c>
      <c r="E227" s="106" t="str">
        <f t="shared" si="11"/>
        <v>Apego a estándares de desarrollo, compatibilidad y directrices para cautelar la seguridad de los sistemas. Esto protege la disponibilidad, integridad y confidencialidad de la información y datos institucionales y personales.</v>
      </c>
      <c r="F227" s="135" t="str">
        <f t="shared" si="3"/>
        <v>7.3</v>
      </c>
      <c r="G227" s="92" t="str">
        <f t="shared" si="4"/>
        <v>DESEABLES</v>
      </c>
      <c r="H227" s="109"/>
      <c r="I227" s="109" t="str">
        <f t="shared" si="5"/>
        <v/>
      </c>
      <c r="J227" s="98" t="str">
        <f t="shared" si="6"/>
        <v/>
      </c>
      <c r="K227" s="98" t="str">
        <f t="shared" si="7"/>
        <v/>
      </c>
      <c r="L227" s="141" t="str">
        <f t="shared" ref="L227:N227" si="232">IF(I227="",L226,I227)</f>
        <v>7.3.1</v>
      </c>
      <c r="M227" s="98" t="str">
        <f t="shared" si="232"/>
        <v>Familiaridad</v>
      </c>
      <c r="N227" s="98" t="str">
        <f t="shared" si="232"/>
        <v>Cercanía y capacidad de reconocimiento a simple vista del diseño, sin necesidad de un aprendizaje previo.
</v>
      </c>
      <c r="O227" s="121"/>
      <c r="P227" s="122"/>
      <c r="Q227" s="123"/>
      <c r="R227" s="114"/>
      <c r="S227" s="240"/>
      <c r="T227" s="116" t="s">
        <v>22</v>
      </c>
      <c r="U227" s="94"/>
      <c r="V227" s="94"/>
      <c r="W227" s="94"/>
      <c r="X227" s="94"/>
      <c r="Y227" s="94"/>
      <c r="Z227" s="94"/>
      <c r="AA227" s="94"/>
      <c r="AB227" s="94"/>
      <c r="AC227" s="94"/>
      <c r="AD227" s="94"/>
      <c r="AE227" s="94"/>
      <c r="AF227" s="94"/>
      <c r="AG227" s="94"/>
      <c r="AH227" s="94"/>
      <c r="AI227" s="94"/>
      <c r="AJ227" s="94"/>
      <c r="AK227" s="94"/>
      <c r="AL227" s="94"/>
    </row>
    <row r="228" hidden="1">
      <c r="A228" s="105" t="s">
        <v>661</v>
      </c>
      <c r="B228" s="106" t="str">
        <f t="shared" si="2"/>
        <v>Otro</v>
      </c>
      <c r="C228" s="106" t="str">
        <f t="shared" si="9"/>
        <v>8.</v>
      </c>
      <c r="D228" s="106" t="str">
        <f t="shared" si="10"/>
        <v>Seguridad</v>
      </c>
      <c r="E228" s="106" t="str">
        <f t="shared" si="11"/>
        <v>Apego a estándares de desarrollo, compatibilidad y directrices para cautelar la seguridad de los sistemas. Esto protege la disponibilidad, integridad y confidencialidad de la información y datos institucionales y personales.</v>
      </c>
      <c r="F228" s="135" t="str">
        <f t="shared" si="3"/>
        <v>7.3</v>
      </c>
      <c r="G228" s="92" t="str">
        <f t="shared" si="4"/>
        <v>DESEABLES</v>
      </c>
      <c r="H228" s="96"/>
      <c r="I228" s="96" t="str">
        <f t="shared" si="5"/>
        <v/>
      </c>
      <c r="J228" s="98" t="str">
        <f t="shared" si="6"/>
        <v/>
      </c>
      <c r="K228" s="98" t="str">
        <f t="shared" si="7"/>
        <v/>
      </c>
      <c r="L228" s="141" t="str">
        <f t="shared" ref="L228:N228" si="233">IF(I228="",L227,I228)</f>
        <v>7.3.1</v>
      </c>
      <c r="M228" s="98" t="str">
        <f t="shared" si="233"/>
        <v>Familiaridad</v>
      </c>
      <c r="N228" s="98" t="str">
        <f t="shared" si="233"/>
        <v>Cercanía y capacidad de reconocimiento a simple vista del diseño, sin necesidad de un aprendizaje previo.
</v>
      </c>
      <c r="O228" s="104"/>
      <c r="P228" s="114"/>
      <c r="Q228" s="114"/>
      <c r="R228" s="242"/>
      <c r="S228" s="242"/>
      <c r="T228" s="127"/>
      <c r="U228" s="94"/>
      <c r="V228" s="94"/>
      <c r="W228" s="94"/>
      <c r="X228" s="94"/>
      <c r="Y228" s="94"/>
      <c r="Z228" s="94"/>
      <c r="AA228" s="94"/>
      <c r="AB228" s="94"/>
      <c r="AC228" s="94"/>
      <c r="AD228" s="94"/>
      <c r="AE228" s="94"/>
      <c r="AF228" s="94"/>
      <c r="AG228" s="94"/>
      <c r="AH228" s="94"/>
      <c r="AI228" s="94"/>
      <c r="AJ228" s="94"/>
      <c r="AK228" s="94"/>
      <c r="AL228" s="94"/>
    </row>
    <row r="229" hidden="1">
      <c r="A229" s="86" t="s">
        <v>661</v>
      </c>
      <c r="B229" s="95" t="str">
        <f t="shared" si="2"/>
        <v>Otro</v>
      </c>
      <c r="C229" s="106" t="str">
        <f t="shared" si="9"/>
        <v>8.</v>
      </c>
      <c r="D229" s="106" t="str">
        <f t="shared" si="10"/>
        <v>Seguridad</v>
      </c>
      <c r="E229" s="106" t="str">
        <f t="shared" si="11"/>
        <v>Apego a estándares de desarrollo, compatibilidad y directrices para cautelar la seguridad de los sistemas. Esto protege la disponibilidad, integridad y confidencialidad de la información y datos institucionales y personales.</v>
      </c>
      <c r="F229" s="135" t="str">
        <f t="shared" si="3"/>
        <v>7.3</v>
      </c>
      <c r="G229" s="92" t="str">
        <f t="shared" si="4"/>
        <v>DESEABLES</v>
      </c>
      <c r="H229" s="130"/>
      <c r="I229" s="130" t="str">
        <f t="shared" si="5"/>
        <v/>
      </c>
      <c r="J229" s="98" t="str">
        <f t="shared" si="6"/>
        <v/>
      </c>
      <c r="K229" s="98" t="str">
        <f t="shared" si="7"/>
        <v/>
      </c>
      <c r="L229" s="141" t="str">
        <f t="shared" ref="L229:N229" si="234">IF(I229="",L228,I229)</f>
        <v>7.3.1</v>
      </c>
      <c r="M229" s="98" t="str">
        <f t="shared" si="234"/>
        <v>Familiaridad</v>
      </c>
      <c r="N229" s="98" t="str">
        <f t="shared" si="234"/>
        <v>Cercanía y capacidad de reconocimiento a simple vista del diseño, sin necesidad de un aprendizaje previo.
</v>
      </c>
      <c r="O229" s="132" t="s">
        <v>1822</v>
      </c>
      <c r="P229" s="133" t="s">
        <v>1823</v>
      </c>
      <c r="Q229" s="133" t="s">
        <v>2031</v>
      </c>
      <c r="R229" s="134"/>
      <c r="S229" s="133" t="s">
        <v>1824</v>
      </c>
      <c r="T229" s="133" t="s">
        <v>1825</v>
      </c>
      <c r="U229" s="94"/>
      <c r="V229" s="94"/>
      <c r="W229" s="94"/>
      <c r="X229" s="94"/>
      <c r="Y229" s="94"/>
      <c r="Z229" s="94"/>
      <c r="AA229" s="94"/>
      <c r="AB229" s="94"/>
      <c r="AC229" s="94"/>
      <c r="AD229" s="94"/>
      <c r="AE229" s="94"/>
      <c r="AF229" s="94"/>
      <c r="AG229" s="94"/>
      <c r="AH229" s="94"/>
      <c r="AI229" s="94"/>
      <c r="AJ229" s="94"/>
      <c r="AK229" s="94"/>
      <c r="AL229" s="94"/>
    </row>
    <row r="230" hidden="1">
      <c r="A230" s="86" t="s">
        <v>661</v>
      </c>
      <c r="B230" s="95" t="str">
        <f t="shared" si="2"/>
        <v>Otro</v>
      </c>
      <c r="C230" s="106" t="str">
        <f t="shared" si="9"/>
        <v>8.</v>
      </c>
      <c r="D230" s="106" t="str">
        <f t="shared" si="10"/>
        <v>Seguridad</v>
      </c>
      <c r="E230" s="106" t="str">
        <f t="shared" si="11"/>
        <v>Apego a estándares de desarrollo, compatibilidad y directrices para cautelar la seguridad de los sistemas. Esto protege la disponibilidad, integridad y confidencialidad de la información y datos institucionales y personales.</v>
      </c>
      <c r="F230" s="141" t="str">
        <f t="shared" si="3"/>
        <v>8.1</v>
      </c>
      <c r="G230" s="92" t="str">
        <f t="shared" si="4"/>
        <v>IMPRESCINDIBLES</v>
      </c>
      <c r="H230" s="141"/>
      <c r="I230" s="141" t="str">
        <f t="shared" si="5"/>
        <v/>
      </c>
      <c r="J230" s="98" t="str">
        <f t="shared" si="6"/>
        <v/>
      </c>
      <c r="K230" s="98" t="str">
        <f t="shared" si="7"/>
        <v/>
      </c>
      <c r="L230" s="141" t="str">
        <f t="shared" ref="L230:N230" si="235">IF(I230="",L229,I230)</f>
        <v>7.3.1</v>
      </c>
      <c r="M230" s="98" t="str">
        <f t="shared" si="235"/>
        <v>Familiaridad</v>
      </c>
      <c r="N230" s="98" t="str">
        <f t="shared" si="235"/>
        <v>Cercanía y capacidad de reconocimiento a simple vista del diseño, sin necesidad de un aprendizaje previo.
</v>
      </c>
      <c r="O230" s="258" t="s">
        <v>1084</v>
      </c>
      <c r="P230" s="137" t="s">
        <v>664</v>
      </c>
      <c r="Q230" s="138"/>
      <c r="R230" s="138"/>
      <c r="S230" s="139">
        <f>COUNTA(P231:P235)</f>
        <v>4</v>
      </c>
      <c r="T230" s="140">
        <f>COUNTIF(U231:U235,"n/a")</f>
        <v>0</v>
      </c>
      <c r="U230" s="94"/>
      <c r="V230" s="94"/>
      <c r="W230" s="94"/>
      <c r="X230" s="94"/>
      <c r="Y230" s="94"/>
      <c r="Z230" s="94"/>
      <c r="AA230" s="94"/>
      <c r="AB230" s="94"/>
      <c r="AC230" s="94"/>
      <c r="AD230" s="94"/>
      <c r="AE230" s="94"/>
      <c r="AF230" s="94"/>
      <c r="AG230" s="94"/>
      <c r="AH230" s="94"/>
      <c r="AI230" s="94"/>
      <c r="AJ230" s="94"/>
      <c r="AK230" s="94"/>
      <c r="AL230" s="94"/>
    </row>
    <row r="231">
      <c r="A231" s="105" t="s">
        <v>661</v>
      </c>
      <c r="B231" s="92" t="str">
        <f t="shared" si="2"/>
        <v>Pregunta</v>
      </c>
      <c r="C231" s="106" t="str">
        <f t="shared" si="9"/>
        <v>8.</v>
      </c>
      <c r="D231" s="106" t="str">
        <f t="shared" si="10"/>
        <v>Seguridad</v>
      </c>
      <c r="E231" s="106" t="str">
        <f t="shared" si="11"/>
        <v>Apego a estándares de desarrollo, compatibilidad y directrices para cautelar la seguridad de los sistemas. Esto protege la disponibilidad, integridad y confidencialidad de la información y datos institucionales y personales.</v>
      </c>
      <c r="F231" s="141" t="str">
        <f t="shared" si="3"/>
        <v>8.1</v>
      </c>
      <c r="G231" s="92" t="str">
        <f t="shared" si="4"/>
        <v>IMPRESCINDIBLES</v>
      </c>
      <c r="H231" s="141"/>
      <c r="I231" s="141" t="str">
        <f t="shared" si="5"/>
        <v>8.1.1</v>
      </c>
      <c r="J231" s="98" t="str">
        <f t="shared" si="6"/>
        <v>Certificado SSL válido y vigente</v>
      </c>
      <c r="K231" s="98" t="str">
        <f t="shared" si="7"/>
        <v>Utilización de mecanismos SSL/TLS o los protocolos de seguridad que los reemplacen. El certificado debe ser válido y estar vigente.</v>
      </c>
      <c r="L231" s="141" t="str">
        <f t="shared" ref="L231:N231" si="236">IF(I231="",L230,I231)</f>
        <v>8.1.1</v>
      </c>
      <c r="M231" s="98" t="str">
        <f t="shared" si="236"/>
        <v>Certificado SSL válido y vigente</v>
      </c>
      <c r="N231" s="98" t="str">
        <f t="shared" si="236"/>
        <v>Utilización de mecanismos SSL/TLS o los protocolos de seguridad que los reemplacen. El certificado debe ser válido y estar vigente.</v>
      </c>
      <c r="O231" s="259" t="s">
        <v>1085</v>
      </c>
      <c r="P231" s="179" t="s">
        <v>1086</v>
      </c>
      <c r="Q231" s="179" t="s">
        <v>1087</v>
      </c>
      <c r="R231" s="185"/>
      <c r="S231" s="260" t="s">
        <v>1088</v>
      </c>
      <c r="T231" s="160" t="s">
        <v>2033</v>
      </c>
      <c r="U231" s="94"/>
      <c r="V231" s="94"/>
      <c r="W231" s="94"/>
      <c r="X231" s="94"/>
      <c r="Y231" s="94"/>
      <c r="Z231" s="94"/>
      <c r="AA231" s="94"/>
      <c r="AB231" s="94"/>
      <c r="AC231" s="94"/>
      <c r="AD231" s="94"/>
      <c r="AE231" s="94"/>
      <c r="AF231" s="94"/>
      <c r="AG231" s="94"/>
      <c r="AH231" s="94"/>
      <c r="AI231" s="94"/>
      <c r="AJ231" s="94"/>
      <c r="AK231" s="94"/>
      <c r="AL231" s="94"/>
    </row>
    <row r="232">
      <c r="A232" s="86" t="s">
        <v>661</v>
      </c>
      <c r="B232" s="95" t="str">
        <f t="shared" si="2"/>
        <v>Pregunta</v>
      </c>
      <c r="C232" s="106" t="str">
        <f t="shared" si="9"/>
        <v>8.</v>
      </c>
      <c r="D232" s="106" t="str">
        <f t="shared" si="10"/>
        <v>Seguridad</v>
      </c>
      <c r="E232" s="106" t="str">
        <f t="shared" si="11"/>
        <v>Apego a estándares de desarrollo, compatibilidad y directrices para cautelar la seguridad de los sistemas. Esto protege la disponibilidad, integridad y confidencialidad de la información y datos institucionales y personales.</v>
      </c>
      <c r="F232" s="141" t="str">
        <f t="shared" si="3"/>
        <v>8.1</v>
      </c>
      <c r="G232" s="92" t="str">
        <f t="shared" si="4"/>
        <v>IMPRESCINDIBLES</v>
      </c>
      <c r="H232" s="141"/>
      <c r="I232" s="141" t="str">
        <f t="shared" si="5"/>
        <v/>
      </c>
      <c r="J232" s="98" t="str">
        <f t="shared" si="6"/>
        <v/>
      </c>
      <c r="K232" s="98" t="str">
        <f t="shared" si="7"/>
        <v/>
      </c>
      <c r="L232" s="141" t="str">
        <f t="shared" ref="L232:N232" si="237">IF(I232="",L231,I232)</f>
        <v>8.1.1</v>
      </c>
      <c r="M232" s="98" t="str">
        <f t="shared" si="237"/>
        <v>Certificado SSL válido y vigente</v>
      </c>
      <c r="N232" s="98" t="str">
        <f t="shared" si="237"/>
        <v>Utilización de mecanismos SSL/TLS o los protocolos de seguridad que los reemplacen. El certificado debe ser válido y estar vigente.</v>
      </c>
      <c r="O232" s="142"/>
      <c r="P232" s="145"/>
      <c r="Q232" s="145"/>
      <c r="R232" s="261"/>
      <c r="S232" s="256" t="s">
        <v>2087</v>
      </c>
      <c r="T232" s="164" t="s">
        <v>2033</v>
      </c>
      <c r="U232" s="94"/>
      <c r="V232" s="94"/>
      <c r="W232" s="94"/>
      <c r="X232" s="94"/>
      <c r="Y232" s="94"/>
      <c r="Z232" s="94"/>
      <c r="AA232" s="94"/>
      <c r="AB232" s="94"/>
      <c r="AC232" s="94"/>
      <c r="AD232" s="94"/>
      <c r="AE232" s="94"/>
      <c r="AF232" s="94"/>
      <c r="AG232" s="94"/>
      <c r="AH232" s="94"/>
      <c r="AI232" s="94"/>
      <c r="AJ232" s="94"/>
      <c r="AK232" s="94"/>
      <c r="AL232" s="94"/>
    </row>
    <row r="233">
      <c r="A233" s="105" t="s">
        <v>661</v>
      </c>
      <c r="B233" s="92" t="str">
        <f t="shared" si="2"/>
        <v>Pregunta</v>
      </c>
      <c r="C233" s="106" t="str">
        <f t="shared" si="9"/>
        <v>8.</v>
      </c>
      <c r="D233" s="106" t="str">
        <f t="shared" si="10"/>
        <v>Seguridad</v>
      </c>
      <c r="E233" s="106" t="str">
        <f t="shared" si="11"/>
        <v>Apego a estándares de desarrollo, compatibilidad y directrices para cautelar la seguridad de los sistemas. Esto protege la disponibilidad, integridad y confidencialidad de la información y datos institucionales y personales.</v>
      </c>
      <c r="F233" s="141" t="str">
        <f t="shared" si="3"/>
        <v>8.1</v>
      </c>
      <c r="G233" s="92" t="str">
        <f t="shared" si="4"/>
        <v>IMPRESCINDIBLES</v>
      </c>
      <c r="H233" s="141"/>
      <c r="I233" s="141" t="str">
        <f t="shared" si="5"/>
        <v>8.1.2</v>
      </c>
      <c r="J233" s="98" t="str">
        <f t="shared" si="6"/>
        <v>Redirección de HTTP a HTTPS</v>
      </c>
      <c r="K233" s="98" t="str">
        <f t="shared" si="7"/>
        <v>Redirección de las solicitudes con protocolo HTTP a su equivalente con protocolo HTTPS.
</v>
      </c>
      <c r="L233" s="141" t="str">
        <f t="shared" ref="L233:N233" si="238">IF(I233="",L232,I233)</f>
        <v>8.1.2</v>
      </c>
      <c r="M233" s="98" t="str">
        <f t="shared" si="238"/>
        <v>Redirección de HTTP a HTTPS</v>
      </c>
      <c r="N233" s="98" t="str">
        <f t="shared" si="238"/>
        <v>Redirección de las solicitudes con protocolo HTTP a su equivalente con protocolo HTTPS.
</v>
      </c>
      <c r="O233" s="262" t="s">
        <v>1090</v>
      </c>
      <c r="P233" s="145" t="s">
        <v>1091</v>
      </c>
      <c r="Q233" s="263" t="s">
        <v>1092</v>
      </c>
      <c r="R233" s="144"/>
      <c r="S233" s="145" t="s">
        <v>1093</v>
      </c>
      <c r="T233" s="164" t="s">
        <v>2033</v>
      </c>
      <c r="U233" s="94"/>
      <c r="V233" s="94"/>
      <c r="W233" s="94"/>
      <c r="X233" s="94"/>
      <c r="Y233" s="94"/>
      <c r="Z233" s="94"/>
      <c r="AA233" s="94"/>
      <c r="AB233" s="94"/>
      <c r="AC233" s="94"/>
      <c r="AD233" s="94"/>
      <c r="AE233" s="94"/>
      <c r="AF233" s="94"/>
      <c r="AG233" s="94"/>
      <c r="AH233" s="94"/>
      <c r="AI233" s="94"/>
      <c r="AJ233" s="94"/>
      <c r="AK233" s="94"/>
      <c r="AL233" s="94"/>
    </row>
    <row r="234">
      <c r="A234" s="105" t="s">
        <v>661</v>
      </c>
      <c r="B234" s="92" t="str">
        <f t="shared" si="2"/>
        <v>Pregunta</v>
      </c>
      <c r="C234" s="106" t="str">
        <f t="shared" si="9"/>
        <v>8.</v>
      </c>
      <c r="D234" s="106" t="str">
        <f t="shared" si="10"/>
        <v>Seguridad</v>
      </c>
      <c r="E234" s="106" t="str">
        <f t="shared" si="11"/>
        <v>Apego a estándares de desarrollo, compatibilidad y directrices para cautelar la seguridad de los sistemas. Esto protege la disponibilidad, integridad y confidencialidad de la información y datos institucionales y personales.</v>
      </c>
      <c r="F234" s="141" t="str">
        <f t="shared" si="3"/>
        <v>8.1</v>
      </c>
      <c r="G234" s="92" t="str">
        <f t="shared" si="4"/>
        <v>IMPRESCINDIBLES</v>
      </c>
      <c r="H234" s="141"/>
      <c r="I234" s="141" t="str">
        <f t="shared" si="5"/>
        <v>8.1.3</v>
      </c>
      <c r="J234" s="98" t="str">
        <f t="shared" si="6"/>
        <v>Bloqueo de enmascarado</v>
      </c>
      <c r="K234" s="98" t="str">
        <f t="shared" si="7"/>
        <v>Inhibición de la posibilidad de enmascarar el sitio dentro de un sitio externo a través de un "frame".</v>
      </c>
      <c r="L234" s="141" t="str">
        <f t="shared" ref="L234:N234" si="239">IF(I234="",L233,I234)</f>
        <v>8.1.3</v>
      </c>
      <c r="M234" s="98" t="str">
        <f t="shared" si="239"/>
        <v>Bloqueo de enmascarado</v>
      </c>
      <c r="N234" s="98" t="str">
        <f t="shared" si="239"/>
        <v>Inhibición de la posibilidad de enmascarar el sitio dentro de un sitio externo a través de un "frame".</v>
      </c>
      <c r="O234" s="142" t="s">
        <v>1094</v>
      </c>
      <c r="P234" s="145" t="s">
        <v>1095</v>
      </c>
      <c r="Q234" s="263" t="s">
        <v>1096</v>
      </c>
      <c r="R234" s="144"/>
      <c r="S234" s="264" t="s">
        <v>2088</v>
      </c>
      <c r="T234" s="164" t="s">
        <v>2033</v>
      </c>
      <c r="U234" s="94"/>
      <c r="V234" s="94"/>
      <c r="W234" s="94"/>
      <c r="X234" s="94"/>
      <c r="Y234" s="94"/>
      <c r="Z234" s="94"/>
      <c r="AA234" s="94"/>
      <c r="AB234" s="94"/>
      <c r="AC234" s="94"/>
      <c r="AD234" s="94"/>
      <c r="AE234" s="94"/>
      <c r="AF234" s="94"/>
      <c r="AG234" s="94"/>
      <c r="AH234" s="94"/>
      <c r="AI234" s="94"/>
      <c r="AJ234" s="94"/>
      <c r="AK234" s="94"/>
      <c r="AL234" s="94"/>
    </row>
    <row r="235">
      <c r="A235" s="105" t="s">
        <v>661</v>
      </c>
      <c r="B235" s="92" t="str">
        <f t="shared" si="2"/>
        <v>Pregunta</v>
      </c>
      <c r="C235" s="106" t="str">
        <f t="shared" si="9"/>
        <v>8.</v>
      </c>
      <c r="D235" s="106" t="str">
        <f t="shared" si="10"/>
        <v>Seguridad</v>
      </c>
      <c r="E235" s="106" t="str">
        <f t="shared" si="11"/>
        <v>Apego a estándares de desarrollo, compatibilidad y directrices para cautelar la seguridad de los sistemas. Esto protege la disponibilidad, integridad y confidencialidad de la información y datos institucionales y personales.</v>
      </c>
      <c r="F235" s="141" t="str">
        <f t="shared" si="3"/>
        <v>8.1</v>
      </c>
      <c r="G235" s="92" t="str">
        <f t="shared" si="4"/>
        <v>IMPRESCINDIBLES</v>
      </c>
      <c r="H235" s="141"/>
      <c r="I235" s="141" t="str">
        <f t="shared" si="5"/>
        <v>8.1.4</v>
      </c>
      <c r="J235" s="98" t="str">
        <f t="shared" si="6"/>
        <v>Directorios desactivados</v>
      </c>
      <c r="K235" s="98" t="str">
        <f t="shared" si="7"/>
        <v>Configuración del servidor web debe mantener inhabilitado el acceso a ver los contenidos de los directorios.
</v>
      </c>
      <c r="L235" s="141" t="str">
        <f t="shared" ref="L235:N235" si="240">IF(I235="",L234,I235)</f>
        <v>8.1.4</v>
      </c>
      <c r="M235" s="98" t="str">
        <f t="shared" si="240"/>
        <v>Directorios desactivados</v>
      </c>
      <c r="N235" s="98" t="str">
        <f t="shared" si="240"/>
        <v>Configuración del servidor web debe mantener inhabilitado el acceso a ver los contenidos de los directorios.
</v>
      </c>
      <c r="O235" s="142" t="s">
        <v>1098</v>
      </c>
      <c r="P235" s="145" t="s">
        <v>1099</v>
      </c>
      <c r="Q235" s="145" t="s">
        <v>1100</v>
      </c>
      <c r="R235" s="144"/>
      <c r="S235" s="145" t="s">
        <v>1101</v>
      </c>
      <c r="T235" s="164" t="s">
        <v>2033</v>
      </c>
      <c r="U235" s="94"/>
      <c r="V235" s="94"/>
      <c r="W235" s="94"/>
      <c r="X235" s="94"/>
      <c r="Y235" s="94"/>
      <c r="Z235" s="94"/>
      <c r="AA235" s="94"/>
      <c r="AB235" s="94"/>
      <c r="AC235" s="94"/>
      <c r="AD235" s="94"/>
      <c r="AE235" s="94"/>
      <c r="AF235" s="94"/>
      <c r="AG235" s="94"/>
      <c r="AH235" s="94"/>
      <c r="AI235" s="94"/>
      <c r="AJ235" s="94"/>
      <c r="AK235" s="94"/>
      <c r="AL235" s="94"/>
    </row>
    <row r="236" hidden="1">
      <c r="A236" s="86" t="s">
        <v>661</v>
      </c>
      <c r="B236" s="95" t="str">
        <f t="shared" si="2"/>
        <v>Otro</v>
      </c>
      <c r="C236" s="106" t="str">
        <f t="shared" si="9"/>
        <v>8.</v>
      </c>
      <c r="D236" s="106" t="str">
        <f t="shared" si="10"/>
        <v>Seguridad</v>
      </c>
      <c r="E236" s="106" t="str">
        <f t="shared" si="11"/>
        <v>Apego a estándares de desarrollo, compatibilidad y directrices para cautelar la seguridad de los sistemas. Esto protege la disponibilidad, integridad y confidencialidad de la información y datos institucionales y personales.</v>
      </c>
      <c r="F236" s="141" t="str">
        <f t="shared" si="3"/>
        <v>8.2</v>
      </c>
      <c r="G236" s="92" t="str">
        <f t="shared" si="4"/>
        <v>ESPERABLES</v>
      </c>
      <c r="H236" s="141"/>
      <c r="I236" s="141" t="str">
        <f t="shared" si="5"/>
        <v/>
      </c>
      <c r="J236" s="98" t="str">
        <f t="shared" si="6"/>
        <v/>
      </c>
      <c r="K236" s="98" t="str">
        <f t="shared" si="7"/>
        <v/>
      </c>
      <c r="L236" s="141" t="str">
        <f t="shared" ref="L236:N236" si="241">IF(I236="",L235,I236)</f>
        <v>8.1.4</v>
      </c>
      <c r="M236" s="98" t="str">
        <f t="shared" si="241"/>
        <v>Directorios desactivados</v>
      </c>
      <c r="N236" s="98" t="str">
        <f t="shared" si="241"/>
        <v>Configuración del servidor web debe mantener inhabilitado el acceso a ver los contenidos de los directorios.
</v>
      </c>
      <c r="O236" s="175" t="s">
        <v>1102</v>
      </c>
      <c r="P236" s="176" t="s">
        <v>714</v>
      </c>
      <c r="Q236" s="265"/>
      <c r="R236" s="265"/>
      <c r="S236" s="253">
        <f>COUNTA(P237:P238)</f>
        <v>1</v>
      </c>
      <c r="T236" s="253">
        <f>COUNTIF(U237:U238,"n/a")</f>
        <v>0</v>
      </c>
      <c r="U236" s="94"/>
      <c r="V236" s="94"/>
      <c r="W236" s="94"/>
      <c r="X236" s="94"/>
      <c r="Y236" s="94"/>
      <c r="Z236" s="94"/>
      <c r="AA236" s="94"/>
      <c r="AB236" s="94"/>
      <c r="AC236" s="94"/>
      <c r="AD236" s="94"/>
      <c r="AE236" s="94"/>
      <c r="AF236" s="94"/>
      <c r="AG236" s="94"/>
      <c r="AH236" s="94"/>
      <c r="AI236" s="94"/>
      <c r="AJ236" s="94"/>
      <c r="AK236" s="94"/>
      <c r="AL236" s="94"/>
    </row>
    <row r="237">
      <c r="A237" s="105" t="s">
        <v>661</v>
      </c>
      <c r="B237" s="92" t="str">
        <f t="shared" si="2"/>
        <v>Pregunta</v>
      </c>
      <c r="C237" s="106" t="str">
        <f t="shared" si="9"/>
        <v>8.</v>
      </c>
      <c r="D237" s="106" t="str">
        <f t="shared" si="10"/>
        <v>Seguridad</v>
      </c>
      <c r="E237" s="106" t="str">
        <f t="shared" si="11"/>
        <v>Apego a estándares de desarrollo, compatibilidad y directrices para cautelar la seguridad de los sistemas. Esto protege la disponibilidad, integridad y confidencialidad de la información y datos institucionales y personales.</v>
      </c>
      <c r="F237" s="141" t="str">
        <f t="shared" si="3"/>
        <v>8.2</v>
      </c>
      <c r="G237" s="92" t="str">
        <f t="shared" si="4"/>
        <v>ESPERABLES</v>
      </c>
      <c r="H237" s="141"/>
      <c r="I237" s="141" t="str">
        <f t="shared" si="5"/>
        <v>8.2.1</v>
      </c>
      <c r="J237" s="98" t="str">
        <f t="shared" si="6"/>
        <v>Política de privacidad</v>
      </c>
      <c r="K237" s="98" t="str">
        <f t="shared" si="7"/>
        <v>Presencia de una política que describa cómo se recopila, utiliza, gestiona, protege y divulga la información de las personas usuarias que utilizan el sitio web.
</v>
      </c>
      <c r="L237" s="141" t="str">
        <f t="shared" ref="L237:N237" si="242">IF(I237="",L236,I237)</f>
        <v>8.2.1</v>
      </c>
      <c r="M237" s="98" t="str">
        <f t="shared" si="242"/>
        <v>Política de privacidad</v>
      </c>
      <c r="N237" s="98" t="str">
        <f t="shared" si="242"/>
        <v>Presencia de una política que describa cómo se recopila, utiliza, gestiona, protege y divulga la información de las personas usuarias que utilizan el sitio web.
</v>
      </c>
      <c r="O237" s="152" t="s">
        <v>1103</v>
      </c>
      <c r="P237" s="179" t="s">
        <v>1104</v>
      </c>
      <c r="Q237" s="179" t="s">
        <v>1105</v>
      </c>
      <c r="R237" s="185"/>
      <c r="S237" s="186" t="s">
        <v>1106</v>
      </c>
      <c r="T237" s="160" t="s">
        <v>2033</v>
      </c>
      <c r="U237" s="94"/>
      <c r="V237" s="94"/>
      <c r="W237" s="94"/>
      <c r="X237" s="94"/>
      <c r="Y237" s="94"/>
      <c r="Z237" s="94"/>
      <c r="AA237" s="94"/>
      <c r="AB237" s="94"/>
      <c r="AC237" s="94"/>
      <c r="AD237" s="94"/>
      <c r="AE237" s="94"/>
      <c r="AF237" s="94"/>
      <c r="AG237" s="94"/>
      <c r="AH237" s="94"/>
      <c r="AI237" s="94"/>
      <c r="AJ237" s="94"/>
      <c r="AK237" s="94"/>
      <c r="AL237" s="94"/>
    </row>
    <row r="238">
      <c r="A238" s="105" t="s">
        <v>661</v>
      </c>
      <c r="B238" s="92" t="str">
        <f t="shared" si="2"/>
        <v>Pregunta</v>
      </c>
      <c r="C238" s="106" t="str">
        <f t="shared" si="9"/>
        <v>8.</v>
      </c>
      <c r="D238" s="106" t="str">
        <f t="shared" si="10"/>
        <v>Seguridad</v>
      </c>
      <c r="E238" s="106" t="str">
        <f t="shared" si="11"/>
        <v>Apego a estándares de desarrollo, compatibilidad y directrices para cautelar la seguridad de los sistemas. Esto protege la disponibilidad, integridad y confidencialidad de la información y datos institucionales y personales.</v>
      </c>
      <c r="F238" s="141" t="str">
        <f t="shared" si="3"/>
        <v>8.2</v>
      </c>
      <c r="G238" s="92" t="str">
        <f t="shared" si="4"/>
        <v>ESPERABLES</v>
      </c>
      <c r="H238" s="141"/>
      <c r="I238" s="141" t="str">
        <f t="shared" si="5"/>
        <v/>
      </c>
      <c r="J238" s="98" t="str">
        <f t="shared" si="6"/>
        <v/>
      </c>
      <c r="K238" s="98" t="str">
        <f t="shared" si="7"/>
        <v/>
      </c>
      <c r="L238" s="141" t="str">
        <f t="shared" ref="L238:N238" si="243">IF(I238="",L237,I238)</f>
        <v>8.2.1</v>
      </c>
      <c r="M238" s="98" t="str">
        <f t="shared" si="243"/>
        <v>Política de privacidad</v>
      </c>
      <c r="N238" s="98" t="str">
        <f t="shared" si="243"/>
        <v>Presencia de una política que describa cómo se recopila, utiliza, gestiona, protege y divulga la información de las personas usuarias que utilizan el sitio web.
</v>
      </c>
      <c r="O238" s="142"/>
      <c r="P238" s="145"/>
      <c r="Q238" s="145"/>
      <c r="R238" s="144"/>
      <c r="S238" s="145" t="s">
        <v>2089</v>
      </c>
      <c r="T238" s="164" t="s">
        <v>2033</v>
      </c>
      <c r="U238" s="94"/>
      <c r="V238" s="94"/>
      <c r="W238" s="94"/>
      <c r="X238" s="94"/>
      <c r="Y238" s="94"/>
      <c r="Z238" s="94"/>
      <c r="AA238" s="94"/>
      <c r="AB238" s="94"/>
      <c r="AC238" s="94"/>
      <c r="AD238" s="94"/>
      <c r="AE238" s="94"/>
      <c r="AF238" s="94"/>
      <c r="AG238" s="94"/>
      <c r="AH238" s="94"/>
      <c r="AI238" s="94"/>
      <c r="AJ238" s="94"/>
      <c r="AK238" s="94"/>
      <c r="AL238" s="94"/>
    </row>
    <row r="239" hidden="1">
      <c r="A239" s="86" t="s">
        <v>661</v>
      </c>
      <c r="B239" s="95" t="str">
        <f t="shared" si="2"/>
        <v>Otro</v>
      </c>
      <c r="C239" s="106" t="str">
        <f t="shared" si="9"/>
        <v>8.</v>
      </c>
      <c r="D239" s="106" t="str">
        <f t="shared" si="10"/>
        <v>Seguridad</v>
      </c>
      <c r="E239" s="106" t="str">
        <f t="shared" si="11"/>
        <v>Apego a estándares de desarrollo, compatibilidad y directrices para cautelar la seguridad de los sistemas. Esto protege la disponibilidad, integridad y confidencialidad de la información y datos institucionales y personales.</v>
      </c>
      <c r="F239" s="141" t="str">
        <f t="shared" si="3"/>
        <v>8.3</v>
      </c>
      <c r="G239" s="92" t="str">
        <f t="shared" si="4"/>
        <v>DESEABLES</v>
      </c>
      <c r="H239" s="141"/>
      <c r="I239" s="141" t="str">
        <f t="shared" si="5"/>
        <v/>
      </c>
      <c r="J239" s="98" t="str">
        <f t="shared" si="6"/>
        <v/>
      </c>
      <c r="K239" s="98" t="str">
        <f t="shared" si="7"/>
        <v/>
      </c>
      <c r="L239" s="141" t="str">
        <f t="shared" ref="L239:N239" si="244">IF(I239="",L238,I239)</f>
        <v>8.2.1</v>
      </c>
      <c r="M239" s="98" t="str">
        <f t="shared" si="244"/>
        <v>Política de privacidad</v>
      </c>
      <c r="N239" s="98" t="str">
        <f t="shared" si="244"/>
        <v>Presencia de una política que describa cómo se recopila, utiliza, gestiona, protege y divulga la información de las personas usuarias que utilizan el sitio web.
</v>
      </c>
      <c r="O239" s="181" t="s">
        <v>1108</v>
      </c>
      <c r="P239" s="182" t="s">
        <v>749</v>
      </c>
      <c r="Q239" s="183"/>
      <c r="R239" s="183"/>
      <c r="S239" s="199">
        <f>COUNTA(P240:P242)</f>
        <v>3</v>
      </c>
      <c r="T239" s="199">
        <f>COUNTIF(U240:U242,"n/a")</f>
        <v>0</v>
      </c>
      <c r="U239" s="94"/>
      <c r="V239" s="94"/>
      <c r="W239" s="94"/>
      <c r="X239" s="94"/>
      <c r="Y239" s="94"/>
      <c r="Z239" s="94"/>
      <c r="AA239" s="94"/>
      <c r="AB239" s="94"/>
      <c r="AC239" s="94"/>
      <c r="AD239" s="94"/>
      <c r="AE239" s="94"/>
      <c r="AF239" s="94"/>
      <c r="AG239" s="94"/>
      <c r="AH239" s="94"/>
      <c r="AI239" s="94"/>
      <c r="AJ239" s="94"/>
      <c r="AK239" s="94"/>
      <c r="AL239" s="94"/>
    </row>
    <row r="240">
      <c r="A240" s="105" t="s">
        <v>661</v>
      </c>
      <c r="B240" s="92" t="str">
        <f t="shared" si="2"/>
        <v>Pregunta</v>
      </c>
      <c r="C240" s="106" t="str">
        <f t="shared" si="9"/>
        <v>8.</v>
      </c>
      <c r="D240" s="106" t="str">
        <f t="shared" si="10"/>
        <v>Seguridad</v>
      </c>
      <c r="E240" s="106" t="str">
        <f t="shared" si="11"/>
        <v>Apego a estándares de desarrollo, compatibilidad y directrices para cautelar la seguridad de los sistemas. Esto protege la disponibilidad, integridad y confidencialidad de la información y datos institucionales y personales.</v>
      </c>
      <c r="F240" s="141" t="str">
        <f t="shared" si="3"/>
        <v>8.3</v>
      </c>
      <c r="G240" s="92" t="str">
        <f t="shared" si="4"/>
        <v>DESEABLES</v>
      </c>
      <c r="H240" s="141"/>
      <c r="I240" s="141" t="str">
        <f t="shared" si="5"/>
        <v>8.3.1</v>
      </c>
      <c r="J240" s="98" t="str">
        <f t="shared" si="6"/>
        <v>Prevención de ataques MIME</v>
      </c>
      <c r="K240" s="98" t="str">
        <f t="shared" si="7"/>
        <v>Uso de la cabecera "X-Content-Type-Options" con el valor "nosniff" para así indicar a los navegadores que deben respetar el tipo MIME (Multipurpose Internet Mail Extensions) especificado por el servidor.
</v>
      </c>
      <c r="L240" s="141" t="str">
        <f t="shared" ref="L240:N240" si="245">IF(I240="",L239,I240)</f>
        <v>8.3.1</v>
      </c>
      <c r="M240" s="98" t="str">
        <f t="shared" si="245"/>
        <v>Prevención de ataques MIME</v>
      </c>
      <c r="N240" s="98" t="str">
        <f t="shared" si="245"/>
        <v>Uso de la cabecera "X-Content-Type-Options" con el valor "nosniff" para así indicar a los navegadores que deben respetar el tipo MIME (Multipurpose Internet Mail Extensions) especificado por el servidor.
</v>
      </c>
      <c r="O240" s="262" t="s">
        <v>1109</v>
      </c>
      <c r="P240" s="263" t="s">
        <v>1110</v>
      </c>
      <c r="Q240" s="263" t="s">
        <v>1111</v>
      </c>
      <c r="R240" s="144"/>
      <c r="S240" s="219" t="s">
        <v>2090</v>
      </c>
      <c r="T240" s="164" t="s">
        <v>2033</v>
      </c>
      <c r="U240" s="94"/>
      <c r="V240" s="94"/>
      <c r="W240" s="94"/>
      <c r="X240" s="94"/>
      <c r="Y240" s="94"/>
      <c r="Z240" s="94"/>
      <c r="AA240" s="94"/>
      <c r="AB240" s="94"/>
      <c r="AC240" s="94"/>
      <c r="AD240" s="94"/>
      <c r="AE240" s="94"/>
      <c r="AF240" s="94"/>
      <c r="AG240" s="94"/>
      <c r="AH240" s="94"/>
      <c r="AI240" s="94"/>
      <c r="AJ240" s="94"/>
      <c r="AK240" s="94"/>
      <c r="AL240" s="94"/>
    </row>
    <row r="241">
      <c r="A241" s="105" t="s">
        <v>661</v>
      </c>
      <c r="B241" s="92" t="str">
        <f t="shared" si="2"/>
        <v>Pregunta</v>
      </c>
      <c r="C241" s="106" t="str">
        <f t="shared" si="9"/>
        <v>8.</v>
      </c>
      <c r="D241" s="106" t="str">
        <f t="shared" si="10"/>
        <v>Seguridad</v>
      </c>
      <c r="E241" s="106" t="str">
        <f t="shared" si="11"/>
        <v>Apego a estándares de desarrollo, compatibilidad y directrices para cautelar la seguridad de los sistemas. Esto protege la disponibilidad, integridad y confidencialidad de la información y datos institucionales y personales.</v>
      </c>
      <c r="F241" s="141" t="str">
        <f t="shared" si="3"/>
        <v>8.3</v>
      </c>
      <c r="G241" s="92" t="str">
        <f t="shared" si="4"/>
        <v>DESEABLES</v>
      </c>
      <c r="H241" s="141"/>
      <c r="I241" s="141" t="str">
        <f t="shared" si="5"/>
        <v>8.3.2</v>
      </c>
      <c r="J241" s="98" t="str">
        <f t="shared" si="6"/>
        <v>Límite de referencias Referrer-Policy</v>
      </c>
      <c r="K241" s="98" t="str">
        <f t="shared" si="7"/>
        <v>Utilización de la cabecera "Referrer-Policy" con el valor "strict-origin" para controlar la cantidad de información de referencia que se envía al realizar solicitudes desde una página.
</v>
      </c>
      <c r="L241" s="141" t="str">
        <f t="shared" ref="L241:N241" si="246">IF(I241="",L240,I241)</f>
        <v>8.3.2</v>
      </c>
      <c r="M241" s="98" t="str">
        <f t="shared" si="246"/>
        <v>Límite de referencias Referrer-Policy</v>
      </c>
      <c r="N241" s="98" t="str">
        <f t="shared" si="246"/>
        <v>Utilización de la cabecera "Referrer-Policy" con el valor "strict-origin" para controlar la cantidad de información de referencia que se envía al realizar solicitudes desde una página.
</v>
      </c>
      <c r="O241" s="152" t="s">
        <v>1113</v>
      </c>
      <c r="P241" s="266" t="s">
        <v>1114</v>
      </c>
      <c r="Q241" s="266" t="s">
        <v>1115</v>
      </c>
      <c r="R241" s="267"/>
      <c r="S241" s="219" t="s">
        <v>2091</v>
      </c>
      <c r="T241" s="164" t="s">
        <v>2033</v>
      </c>
      <c r="U241" s="94"/>
      <c r="V241" s="94"/>
      <c r="W241" s="94"/>
      <c r="X241" s="94"/>
      <c r="Y241" s="94"/>
      <c r="Z241" s="94"/>
      <c r="AA241" s="94"/>
      <c r="AB241" s="94"/>
      <c r="AC241" s="94"/>
      <c r="AD241" s="94"/>
      <c r="AE241" s="94"/>
      <c r="AF241" s="94"/>
      <c r="AG241" s="94"/>
      <c r="AH241" s="94"/>
      <c r="AI241" s="94"/>
      <c r="AJ241" s="94"/>
      <c r="AK241" s="94"/>
      <c r="AL241" s="94"/>
    </row>
    <row r="242">
      <c r="A242" s="105" t="s">
        <v>661</v>
      </c>
      <c r="B242" s="92" t="str">
        <f t="shared" si="2"/>
        <v>Pregunta</v>
      </c>
      <c r="C242" s="106" t="str">
        <f t="shared" si="9"/>
        <v>8.</v>
      </c>
      <c r="D242" s="106" t="str">
        <f t="shared" si="10"/>
        <v>Seguridad</v>
      </c>
      <c r="E242" s="106" t="str">
        <f t="shared" si="11"/>
        <v>Apego a estándares de desarrollo, compatibilidad y directrices para cautelar la seguridad de los sistemas. Esto protege la disponibilidad, integridad y confidencialidad de la información y datos institucionales y personales.</v>
      </c>
      <c r="F242" s="141" t="str">
        <f t="shared" si="3"/>
        <v>8.3</v>
      </c>
      <c r="G242" s="92" t="str">
        <f t="shared" si="4"/>
        <v>DESEABLES</v>
      </c>
      <c r="H242" s="141"/>
      <c r="I242" s="141" t="str">
        <f t="shared" si="5"/>
        <v>8.3.3</v>
      </c>
      <c r="J242" s="98" t="str">
        <f t="shared" si="6"/>
        <v>Aviso de uso de cookies</v>
      </c>
      <c r="K242" s="98" t="str">
        <f t="shared" si="7"/>
        <v>Información clara que informe al usuario sobre la política de uso de cookies.
</v>
      </c>
      <c r="L242" s="141" t="str">
        <f t="shared" ref="L242:N242" si="247">IF(I242="",L241,I242)</f>
        <v>8.3.3</v>
      </c>
      <c r="M242" s="98" t="str">
        <f t="shared" si="247"/>
        <v>Aviso de uso de cookies</v>
      </c>
      <c r="N242" s="98" t="str">
        <f t="shared" si="247"/>
        <v>Información clara que informe al usuario sobre la política de uso de cookies.
</v>
      </c>
      <c r="O242" s="147" t="s">
        <v>1117</v>
      </c>
      <c r="P242" s="191" t="s">
        <v>1118</v>
      </c>
      <c r="Q242" s="191" t="s">
        <v>2092</v>
      </c>
      <c r="R242" s="268"/>
      <c r="S242" s="269" t="s">
        <v>2093</v>
      </c>
      <c r="T242" s="164" t="s">
        <v>2033</v>
      </c>
      <c r="U242" s="94"/>
      <c r="V242" s="94"/>
      <c r="W242" s="94"/>
      <c r="X242" s="94"/>
      <c r="Y242" s="94"/>
      <c r="Z242" s="94"/>
      <c r="AA242" s="94"/>
      <c r="AB242" s="94"/>
      <c r="AC242" s="94"/>
      <c r="AD242" s="94"/>
      <c r="AE242" s="94"/>
      <c r="AF242" s="94"/>
      <c r="AG242" s="94"/>
      <c r="AH242" s="94"/>
      <c r="AI242" s="94"/>
      <c r="AJ242" s="94"/>
      <c r="AK242" s="94"/>
      <c r="AL242" s="94"/>
    </row>
    <row r="243" hidden="1">
      <c r="A243" s="86" t="s">
        <v>661</v>
      </c>
      <c r="B243" s="201" t="str">
        <f t="shared" si="2"/>
        <v>Otro</v>
      </c>
      <c r="C243" s="106" t="str">
        <f t="shared" si="9"/>
        <v>9.</v>
      </c>
      <c r="D243" s="106" t="str">
        <f t="shared" si="10"/>
        <v>Tecnología</v>
      </c>
      <c r="E243"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243" s="141" t="str">
        <f t="shared" si="3"/>
        <v>8.3</v>
      </c>
      <c r="G243" s="92" t="str">
        <f t="shared" si="4"/>
        <v>DESEABLES</v>
      </c>
      <c r="H243" s="109"/>
      <c r="I243" s="109" t="str">
        <f t="shared" si="5"/>
        <v/>
      </c>
      <c r="J243" s="98" t="str">
        <f t="shared" si="6"/>
        <v/>
      </c>
      <c r="K243" s="98" t="str">
        <f t="shared" si="7"/>
        <v/>
      </c>
      <c r="L243" s="141" t="str">
        <f t="shared" ref="L243:N243" si="248">IF(I243="",L242,I243)</f>
        <v>8.3.3</v>
      </c>
      <c r="M243" s="98" t="str">
        <f t="shared" si="248"/>
        <v>Aviso de uso de cookies</v>
      </c>
      <c r="N243" s="98" t="str">
        <f t="shared" si="248"/>
        <v>Información clara que informe al usuario sobre la política de uso de cookies.
</v>
      </c>
      <c r="O243" s="111" t="s">
        <v>35</v>
      </c>
      <c r="P243" s="112" t="s">
        <v>36</v>
      </c>
      <c r="Q243" s="113"/>
      <c r="R243" s="114"/>
      <c r="S243" s="115" t="s">
        <v>1121</v>
      </c>
      <c r="T243" s="116" t="s">
        <v>16</v>
      </c>
      <c r="U243" s="94"/>
      <c r="V243" s="94"/>
      <c r="W243" s="94"/>
      <c r="X243" s="94"/>
      <c r="Y243" s="94"/>
      <c r="Z243" s="94"/>
      <c r="AA243" s="94"/>
      <c r="AB243" s="94"/>
      <c r="AC243" s="94"/>
      <c r="AD243" s="94"/>
      <c r="AE243" s="94"/>
      <c r="AF243" s="94"/>
      <c r="AG243" s="94"/>
      <c r="AH243" s="94"/>
      <c r="AI243" s="94"/>
      <c r="AJ243" s="94"/>
      <c r="AK243" s="94"/>
      <c r="AL243" s="94"/>
    </row>
    <row r="244" hidden="1">
      <c r="A244" s="86" t="s">
        <v>661</v>
      </c>
      <c r="B244" s="201" t="str">
        <f t="shared" si="2"/>
        <v>Otro</v>
      </c>
      <c r="C244" s="106" t="str">
        <f t="shared" si="9"/>
        <v>9.</v>
      </c>
      <c r="D244" s="106" t="str">
        <f t="shared" si="10"/>
        <v>Tecnología</v>
      </c>
      <c r="E244"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244" s="141" t="str">
        <f t="shared" si="3"/>
        <v>8.3</v>
      </c>
      <c r="G244" s="92" t="str">
        <f t="shared" si="4"/>
        <v>DESEABLES</v>
      </c>
      <c r="H244" s="109"/>
      <c r="I244" s="109" t="str">
        <f t="shared" si="5"/>
        <v/>
      </c>
      <c r="J244" s="98" t="str">
        <f t="shared" si="6"/>
        <v/>
      </c>
      <c r="K244" s="98" t="str">
        <f t="shared" si="7"/>
        <v/>
      </c>
      <c r="L244" s="141" t="str">
        <f t="shared" ref="L244:N244" si="249">IF(I244="",L243,I244)</f>
        <v>8.3.3</v>
      </c>
      <c r="M244" s="98" t="str">
        <f t="shared" si="249"/>
        <v>Aviso de uso de cookies</v>
      </c>
      <c r="N244" s="98" t="str">
        <f t="shared" si="249"/>
        <v>Información clara que informe al usuario sobre la política de uso de cookies.
</v>
      </c>
      <c r="O244" s="117"/>
      <c r="P244" s="118"/>
      <c r="Q244" s="119"/>
      <c r="R244" s="114"/>
      <c r="S244" s="239"/>
      <c r="T244" s="116" t="s">
        <v>19</v>
      </c>
      <c r="U244" s="94"/>
      <c r="V244" s="94"/>
      <c r="W244" s="94"/>
      <c r="X244" s="94"/>
      <c r="Y244" s="94"/>
      <c r="Z244" s="94"/>
      <c r="AA244" s="94"/>
      <c r="AB244" s="94"/>
      <c r="AC244" s="94"/>
      <c r="AD244" s="94"/>
      <c r="AE244" s="94"/>
      <c r="AF244" s="94"/>
      <c r="AG244" s="94"/>
      <c r="AH244" s="94"/>
      <c r="AI244" s="94"/>
      <c r="AJ244" s="94"/>
      <c r="AK244" s="94"/>
      <c r="AL244" s="94"/>
    </row>
    <row r="245" hidden="1">
      <c r="A245" s="86" t="s">
        <v>661</v>
      </c>
      <c r="B245" s="201" t="str">
        <f t="shared" si="2"/>
        <v>Otro</v>
      </c>
      <c r="C245" s="106" t="str">
        <f t="shared" si="9"/>
        <v>9.</v>
      </c>
      <c r="D245" s="106" t="str">
        <f t="shared" si="10"/>
        <v>Tecnología</v>
      </c>
      <c r="E245"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245" s="141" t="str">
        <f t="shared" si="3"/>
        <v>8.3</v>
      </c>
      <c r="G245" s="92" t="str">
        <f t="shared" si="4"/>
        <v>DESEABLES</v>
      </c>
      <c r="H245" s="109"/>
      <c r="I245" s="109" t="str">
        <f t="shared" si="5"/>
        <v/>
      </c>
      <c r="J245" s="98" t="str">
        <f t="shared" si="6"/>
        <v/>
      </c>
      <c r="K245" s="98" t="str">
        <f t="shared" si="7"/>
        <v/>
      </c>
      <c r="L245" s="141" t="str">
        <f t="shared" ref="L245:N245" si="250">IF(I245="",L244,I245)</f>
        <v>8.3.3</v>
      </c>
      <c r="M245" s="98" t="str">
        <f t="shared" si="250"/>
        <v>Aviso de uso de cookies</v>
      </c>
      <c r="N245" s="98" t="str">
        <f t="shared" si="250"/>
        <v>Información clara que informe al usuario sobre la política de uso de cookies.
</v>
      </c>
      <c r="O245" s="121"/>
      <c r="P245" s="122"/>
      <c r="Q245" s="123"/>
      <c r="R245" s="114"/>
      <c r="S245" s="240"/>
      <c r="T245" s="116" t="s">
        <v>22</v>
      </c>
      <c r="U245" s="94"/>
      <c r="V245" s="94"/>
      <c r="W245" s="94"/>
      <c r="X245" s="94"/>
      <c r="Y245" s="94"/>
      <c r="Z245" s="94"/>
      <c r="AA245" s="94"/>
      <c r="AB245" s="94"/>
      <c r="AC245" s="94"/>
      <c r="AD245" s="94"/>
      <c r="AE245" s="94"/>
      <c r="AF245" s="94"/>
      <c r="AG245" s="94"/>
      <c r="AH245" s="94"/>
      <c r="AI245" s="94"/>
      <c r="AJ245" s="94"/>
      <c r="AK245" s="94"/>
      <c r="AL245" s="94"/>
    </row>
    <row r="246" hidden="1">
      <c r="A246" s="86" t="s">
        <v>661</v>
      </c>
      <c r="B246" s="201" t="str">
        <f t="shared" si="2"/>
        <v>Otro</v>
      </c>
      <c r="C246" s="106" t="str">
        <f t="shared" si="9"/>
        <v>9.</v>
      </c>
      <c r="D246" s="106" t="str">
        <f t="shared" si="10"/>
        <v>Tecnología</v>
      </c>
      <c r="E246"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246" s="141" t="str">
        <f t="shared" si="3"/>
        <v>8.3</v>
      </c>
      <c r="G246" s="92" t="str">
        <f t="shared" si="4"/>
        <v>DESEABLES</v>
      </c>
      <c r="H246" s="96"/>
      <c r="I246" s="96" t="str">
        <f t="shared" si="5"/>
        <v/>
      </c>
      <c r="J246" s="98" t="str">
        <f t="shared" si="6"/>
        <v/>
      </c>
      <c r="K246" s="98" t="str">
        <f t="shared" si="7"/>
        <v/>
      </c>
      <c r="L246" s="141" t="str">
        <f t="shared" ref="L246:N246" si="251">IF(I246="",L245,I246)</f>
        <v>8.3.3</v>
      </c>
      <c r="M246" s="98" t="str">
        <f t="shared" si="251"/>
        <v>Aviso de uso de cookies</v>
      </c>
      <c r="N246" s="98" t="str">
        <f t="shared" si="251"/>
        <v>Información clara que informe al usuario sobre la política de uso de cookies.
</v>
      </c>
      <c r="O246" s="104"/>
      <c r="P246" s="114"/>
      <c r="Q246" s="114"/>
      <c r="R246" s="114"/>
      <c r="S246" s="114"/>
      <c r="T246" s="127"/>
      <c r="U246" s="94"/>
      <c r="V246" s="94"/>
      <c r="W246" s="94"/>
      <c r="X246" s="94"/>
      <c r="Y246" s="94"/>
      <c r="Z246" s="94"/>
      <c r="AA246" s="94"/>
      <c r="AB246" s="94"/>
      <c r="AC246" s="94"/>
      <c r="AD246" s="94"/>
      <c r="AE246" s="94"/>
      <c r="AF246" s="94"/>
      <c r="AG246" s="94"/>
      <c r="AH246" s="94"/>
      <c r="AI246" s="94"/>
      <c r="AJ246" s="94"/>
      <c r="AK246" s="94"/>
      <c r="AL246" s="94"/>
    </row>
    <row r="247" hidden="1">
      <c r="A247" s="86" t="s">
        <v>661</v>
      </c>
      <c r="B247" s="95" t="str">
        <f t="shared" si="2"/>
        <v>Otro</v>
      </c>
      <c r="C247" s="106" t="str">
        <f t="shared" si="9"/>
        <v>9.</v>
      </c>
      <c r="D247" s="106" t="str">
        <f t="shared" si="10"/>
        <v>Tecnología</v>
      </c>
      <c r="E247"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247" s="141" t="str">
        <f t="shared" si="3"/>
        <v>8.3</v>
      </c>
      <c r="G247" s="92" t="str">
        <f t="shared" si="4"/>
        <v>DESEABLES</v>
      </c>
      <c r="H247" s="130"/>
      <c r="I247" s="130" t="str">
        <f t="shared" si="5"/>
        <v/>
      </c>
      <c r="J247" s="98" t="str">
        <f t="shared" si="6"/>
        <v/>
      </c>
      <c r="K247" s="98" t="str">
        <f t="shared" si="7"/>
        <v/>
      </c>
      <c r="L247" s="141" t="str">
        <f t="shared" ref="L247:N247" si="252">IF(I247="",L246,I247)</f>
        <v>8.3.3</v>
      </c>
      <c r="M247" s="98" t="str">
        <f t="shared" si="252"/>
        <v>Aviso de uso de cookies</v>
      </c>
      <c r="N247" s="98" t="str">
        <f t="shared" si="252"/>
        <v>Información clara que informe al usuario sobre la política de uso de cookies.
</v>
      </c>
      <c r="O247" s="132" t="s">
        <v>1822</v>
      </c>
      <c r="P247" s="133" t="s">
        <v>1823</v>
      </c>
      <c r="Q247" s="133" t="s">
        <v>2031</v>
      </c>
      <c r="R247" s="134"/>
      <c r="S247" s="133" t="s">
        <v>1824</v>
      </c>
      <c r="T247" s="133" t="s">
        <v>1825</v>
      </c>
      <c r="U247" s="94"/>
      <c r="V247" s="94"/>
      <c r="W247" s="94"/>
      <c r="X247" s="94"/>
      <c r="Y247" s="94"/>
      <c r="Z247" s="94"/>
      <c r="AA247" s="94"/>
      <c r="AB247" s="94"/>
      <c r="AC247" s="94"/>
      <c r="AD247" s="94"/>
      <c r="AE247" s="94"/>
      <c r="AF247" s="94"/>
      <c r="AG247" s="94"/>
      <c r="AH247" s="94"/>
      <c r="AI247" s="94"/>
      <c r="AJ247" s="94"/>
      <c r="AK247" s="94"/>
      <c r="AL247" s="94"/>
    </row>
    <row r="248" hidden="1">
      <c r="A248" s="86" t="s">
        <v>661</v>
      </c>
      <c r="B248" s="95" t="str">
        <f t="shared" si="2"/>
        <v>Otro</v>
      </c>
      <c r="C248" s="106" t="str">
        <f t="shared" si="9"/>
        <v>9.</v>
      </c>
      <c r="D248" s="106" t="str">
        <f t="shared" si="10"/>
        <v>Tecnología</v>
      </c>
      <c r="E248"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248" s="141" t="str">
        <f t="shared" si="3"/>
        <v>9.1</v>
      </c>
      <c r="G248" s="92" t="str">
        <f t="shared" si="4"/>
        <v>IMPRESCINDIBLES</v>
      </c>
      <c r="H248" s="141"/>
      <c r="I248" s="141" t="str">
        <f t="shared" si="5"/>
        <v/>
      </c>
      <c r="J248" s="98" t="str">
        <f t="shared" si="6"/>
        <v/>
      </c>
      <c r="K248" s="98" t="str">
        <f t="shared" si="7"/>
        <v/>
      </c>
      <c r="L248" s="141" t="str">
        <f t="shared" ref="L248:N248" si="253">IF(I248="",L247,I248)</f>
        <v>8.3.3</v>
      </c>
      <c r="M248" s="98" t="str">
        <f t="shared" si="253"/>
        <v>Aviso de uso de cookies</v>
      </c>
      <c r="N248" s="98" t="str">
        <f t="shared" si="253"/>
        <v>Información clara que informe al usuario sobre la política de uso de cookies.
</v>
      </c>
      <c r="O248" s="258" t="s">
        <v>1122</v>
      </c>
      <c r="P248" s="137" t="s">
        <v>664</v>
      </c>
      <c r="Q248" s="138"/>
      <c r="R248" s="138"/>
      <c r="S248" s="139">
        <f>COUNTA(P249:P258)</f>
        <v>7</v>
      </c>
      <c r="T248" s="140">
        <f>COUNTIF(U249:U258,"n/a")</f>
        <v>0</v>
      </c>
      <c r="U248" s="94"/>
      <c r="V248" s="94"/>
      <c r="W248" s="94"/>
      <c r="X248" s="94"/>
      <c r="Y248" s="94"/>
      <c r="Z248" s="94"/>
      <c r="AA248" s="94"/>
      <c r="AB248" s="94"/>
      <c r="AC248" s="94"/>
      <c r="AD248" s="94"/>
      <c r="AE248" s="94"/>
      <c r="AF248" s="94"/>
      <c r="AG248" s="94"/>
      <c r="AH248" s="94"/>
      <c r="AI248" s="94"/>
      <c r="AJ248" s="94"/>
      <c r="AK248" s="94"/>
      <c r="AL248" s="94"/>
    </row>
    <row r="249">
      <c r="A249" s="105" t="s">
        <v>661</v>
      </c>
      <c r="B249" s="92" t="str">
        <f t="shared" si="2"/>
        <v>Pregunta</v>
      </c>
      <c r="C249" s="106" t="str">
        <f t="shared" si="9"/>
        <v>9.</v>
      </c>
      <c r="D249" s="106" t="str">
        <f t="shared" si="10"/>
        <v>Tecnología</v>
      </c>
      <c r="E249"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249" s="141" t="str">
        <f t="shared" si="3"/>
        <v>9.1</v>
      </c>
      <c r="G249" s="92" t="str">
        <f t="shared" si="4"/>
        <v>IMPRESCINDIBLES</v>
      </c>
      <c r="H249" s="141"/>
      <c r="I249" s="141" t="str">
        <f t="shared" si="5"/>
        <v>9.1.1</v>
      </c>
      <c r="J249" s="98" t="str">
        <f t="shared" si="6"/>
        <v>Disponibilidad y estabilidad</v>
      </c>
      <c r="K249" s="98" t="str">
        <f t="shared" si="7"/>
        <v>Capacidad de un sitio web para estar accesible y operativo en todo momento. Además de mantener su funcionamiento sin caídas, errores o interrupciones, proporcionando una experiencia consistente.
</v>
      </c>
      <c r="L249" s="141" t="str">
        <f t="shared" ref="L249:N249" si="254">IF(I249="",L248,I249)</f>
        <v>9.1.1</v>
      </c>
      <c r="M249" s="98" t="str">
        <f t="shared" si="254"/>
        <v>Disponibilidad y estabilidad</v>
      </c>
      <c r="N249" s="98" t="str">
        <f t="shared" si="254"/>
        <v>Capacidad de un sitio web para estar accesible y operativo en todo momento. Además de mantener su funcionamiento sin caídas, errores o interrupciones, proporcionando una experiencia consistente.
</v>
      </c>
      <c r="O249" s="259" t="s">
        <v>1123</v>
      </c>
      <c r="P249" s="153" t="s">
        <v>1124</v>
      </c>
      <c r="Q249" s="153" t="s">
        <v>1125</v>
      </c>
      <c r="R249" s="149"/>
      <c r="S249" s="150" t="s">
        <v>1126</v>
      </c>
      <c r="T249" s="160" t="s">
        <v>2033</v>
      </c>
      <c r="U249" s="94"/>
      <c r="V249" s="94"/>
      <c r="W249" s="94"/>
      <c r="X249" s="94"/>
      <c r="Y249" s="94"/>
      <c r="Z249" s="94"/>
      <c r="AA249" s="94"/>
      <c r="AB249" s="94"/>
      <c r="AC249" s="94"/>
      <c r="AD249" s="94"/>
      <c r="AE249" s="94"/>
      <c r="AF249" s="94"/>
      <c r="AG249" s="94"/>
      <c r="AH249" s="94"/>
      <c r="AI249" s="94"/>
      <c r="AJ249" s="94"/>
      <c r="AK249" s="94"/>
      <c r="AL249" s="94"/>
    </row>
    <row r="250">
      <c r="A250" s="86" t="s">
        <v>661</v>
      </c>
      <c r="B250" s="95" t="str">
        <f t="shared" si="2"/>
        <v>Pregunta</v>
      </c>
      <c r="C250" s="106" t="str">
        <f t="shared" si="9"/>
        <v>9.</v>
      </c>
      <c r="D250" s="106" t="str">
        <f t="shared" si="10"/>
        <v>Tecnología</v>
      </c>
      <c r="E250"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250" s="141" t="str">
        <f t="shared" si="3"/>
        <v>9.1</v>
      </c>
      <c r="G250" s="92" t="str">
        <f t="shared" si="4"/>
        <v>IMPRESCINDIBLES</v>
      </c>
      <c r="H250" s="141"/>
      <c r="I250" s="141" t="str">
        <f t="shared" si="5"/>
        <v/>
      </c>
      <c r="J250" s="98" t="str">
        <f t="shared" si="6"/>
        <v/>
      </c>
      <c r="K250" s="98" t="str">
        <f t="shared" si="7"/>
        <v/>
      </c>
      <c r="L250" s="141" t="str">
        <f t="shared" ref="L250:N250" si="255">IF(I250="",L249,I250)</f>
        <v>9.1.1</v>
      </c>
      <c r="M250" s="98" t="str">
        <f t="shared" si="255"/>
        <v>Disponibilidad y estabilidad</v>
      </c>
      <c r="N250" s="98" t="str">
        <f t="shared" si="255"/>
        <v>Capacidad de un sitio web para estar accesible y operativo en todo momento. Además de mantener su funcionamiento sin caídas, errores o interrupciones, proporcionando una experiencia consistente.
</v>
      </c>
      <c r="O250" s="172"/>
      <c r="P250" s="150"/>
      <c r="Q250" s="150"/>
      <c r="R250" s="154"/>
      <c r="S250" s="270" t="s">
        <v>2094</v>
      </c>
      <c r="T250" s="160" t="s">
        <v>2033</v>
      </c>
      <c r="U250" s="94"/>
      <c r="V250" s="94"/>
      <c r="W250" s="94"/>
      <c r="X250" s="94"/>
      <c r="Y250" s="94"/>
      <c r="Z250" s="94"/>
      <c r="AA250" s="94"/>
      <c r="AB250" s="94"/>
      <c r="AC250" s="94"/>
      <c r="AD250" s="94"/>
      <c r="AE250" s="94"/>
      <c r="AF250" s="94"/>
      <c r="AG250" s="94"/>
      <c r="AH250" s="94"/>
      <c r="AI250" s="94"/>
      <c r="AJ250" s="94"/>
      <c r="AK250" s="94"/>
      <c r="AL250" s="94"/>
    </row>
    <row r="251">
      <c r="A251" s="86" t="s">
        <v>661</v>
      </c>
      <c r="B251" s="95" t="str">
        <f t="shared" si="2"/>
        <v>Pregunta</v>
      </c>
      <c r="C251" s="106" t="str">
        <f t="shared" si="9"/>
        <v>9.</v>
      </c>
      <c r="D251" s="106" t="str">
        <f t="shared" si="10"/>
        <v>Tecnología</v>
      </c>
      <c r="E251"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251" s="141" t="str">
        <f t="shared" si="3"/>
        <v>9.1</v>
      </c>
      <c r="G251" s="92" t="str">
        <f t="shared" si="4"/>
        <v>IMPRESCINDIBLES</v>
      </c>
      <c r="H251" s="96"/>
      <c r="I251" s="96" t="str">
        <f t="shared" si="5"/>
        <v/>
      </c>
      <c r="J251" s="98" t="str">
        <f t="shared" si="6"/>
        <v/>
      </c>
      <c r="K251" s="98" t="str">
        <f t="shared" si="7"/>
        <v/>
      </c>
      <c r="L251" s="141" t="str">
        <f t="shared" ref="L251:N251" si="256">IF(I251="",L250,I251)</f>
        <v>9.1.1</v>
      </c>
      <c r="M251" s="98" t="str">
        <f t="shared" si="256"/>
        <v>Disponibilidad y estabilidad</v>
      </c>
      <c r="N251" s="98" t="str">
        <f t="shared" si="256"/>
        <v>Capacidad de un sitio web para estar accesible y operativo en todo momento. Además de mantener su funcionamiento sin caídas, errores o interrupciones, proporcionando una experiencia consistente.
</v>
      </c>
      <c r="O251" s="271"/>
      <c r="P251" s="168"/>
      <c r="Q251" s="168"/>
      <c r="R251" s="156"/>
      <c r="S251" s="272" t="s">
        <v>2095</v>
      </c>
      <c r="T251" s="164" t="s">
        <v>2033</v>
      </c>
      <c r="U251" s="94"/>
      <c r="V251" s="94"/>
      <c r="W251" s="94"/>
      <c r="X251" s="94"/>
      <c r="Y251" s="94"/>
      <c r="Z251" s="94"/>
      <c r="AA251" s="94"/>
      <c r="AB251" s="94"/>
      <c r="AC251" s="94"/>
      <c r="AD251" s="94"/>
      <c r="AE251" s="94"/>
      <c r="AF251" s="94"/>
      <c r="AG251" s="94"/>
      <c r="AH251" s="94"/>
      <c r="AI251" s="94"/>
      <c r="AJ251" s="94"/>
      <c r="AK251" s="94"/>
      <c r="AL251" s="94"/>
    </row>
    <row r="252">
      <c r="A252" s="105" t="s">
        <v>661</v>
      </c>
      <c r="B252" s="92" t="str">
        <f t="shared" si="2"/>
        <v>Pregunta</v>
      </c>
      <c r="C252" s="106" t="str">
        <f t="shared" si="9"/>
        <v>9.</v>
      </c>
      <c r="D252" s="106" t="str">
        <f t="shared" si="10"/>
        <v>Tecnología</v>
      </c>
      <c r="E252"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252" s="141" t="str">
        <f t="shared" si="3"/>
        <v>9.1</v>
      </c>
      <c r="G252" s="92" t="str">
        <f t="shared" si="4"/>
        <v>IMPRESCINDIBLES</v>
      </c>
      <c r="H252" s="141"/>
      <c r="I252" s="141" t="str">
        <f t="shared" si="5"/>
        <v>9.1.2</v>
      </c>
      <c r="J252" s="98" t="str">
        <f t="shared" si="6"/>
        <v>Codificación de caracteres</v>
      </c>
      <c r="K252" s="98" t="str">
        <f t="shared" si="7"/>
        <v>Definición del set de caracteres del sitio web, el que debe ser preferentemente "UTF-8".
</v>
      </c>
      <c r="L252" s="141" t="str">
        <f t="shared" ref="L252:N252" si="257">IF(I252="",L251,I252)</f>
        <v>9.1.2</v>
      </c>
      <c r="M252" s="98" t="str">
        <f t="shared" si="257"/>
        <v>Codificación de caracteres</v>
      </c>
      <c r="N252" s="98" t="str">
        <f t="shared" si="257"/>
        <v>Definición del set de caracteres del sitio web, el que debe ser preferentemente "UTF-8".
</v>
      </c>
      <c r="O252" s="273" t="s">
        <v>1129</v>
      </c>
      <c r="P252" s="166" t="s">
        <v>1130</v>
      </c>
      <c r="Q252" s="166" t="s">
        <v>1131</v>
      </c>
      <c r="R252" s="211"/>
      <c r="S252" s="166" t="s">
        <v>1132</v>
      </c>
      <c r="T252" s="164" t="s">
        <v>2033</v>
      </c>
      <c r="U252" s="94"/>
      <c r="V252" s="94"/>
      <c r="W252" s="94"/>
      <c r="X252" s="94"/>
      <c r="Y252" s="94"/>
      <c r="Z252" s="94"/>
      <c r="AA252" s="94"/>
      <c r="AB252" s="94"/>
      <c r="AC252" s="94"/>
      <c r="AD252" s="94"/>
      <c r="AE252" s="94"/>
      <c r="AF252" s="94"/>
      <c r="AG252" s="94"/>
      <c r="AH252" s="94"/>
      <c r="AI252" s="94"/>
      <c r="AJ252" s="94"/>
      <c r="AK252" s="94"/>
      <c r="AL252" s="94"/>
    </row>
    <row r="253">
      <c r="A253" s="105" t="s">
        <v>661</v>
      </c>
      <c r="B253" s="92" t="str">
        <f t="shared" si="2"/>
        <v>Pregunta</v>
      </c>
      <c r="C253" s="106" t="str">
        <f t="shared" si="9"/>
        <v>9.</v>
      </c>
      <c r="D253" s="106" t="str">
        <f t="shared" si="10"/>
        <v>Tecnología</v>
      </c>
      <c r="E253"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253" s="141" t="str">
        <f t="shared" si="3"/>
        <v>9.1</v>
      </c>
      <c r="G253" s="92" t="str">
        <f t="shared" si="4"/>
        <v>IMPRESCINDIBLES</v>
      </c>
      <c r="H253" s="141"/>
      <c r="I253" s="141" t="str">
        <f t="shared" si="5"/>
        <v>9.1.3</v>
      </c>
      <c r="J253" s="98" t="str">
        <f t="shared" si="6"/>
        <v>Hojas de estilo en cascada (CSS)</v>
      </c>
      <c r="K253" s="98" t="str">
        <f t="shared" si="7"/>
        <v>Utilización de código CSS (hojas de estilo en cascada), en la diagramación y diseño de las páginas, separando el contenido, la estructura y la presentación.
</v>
      </c>
      <c r="L253" s="141" t="str">
        <f t="shared" ref="L253:N253" si="258">IF(I253="",L252,I253)</f>
        <v>9.1.3</v>
      </c>
      <c r="M253" s="98" t="str">
        <f t="shared" si="258"/>
        <v>Hojas de estilo en cascada (CSS)</v>
      </c>
      <c r="N253" s="98" t="str">
        <f t="shared" si="258"/>
        <v>Utilización de código CSS (hojas de estilo en cascada), en la diagramación y diseño de las páginas, separando el contenido, la estructura y la presentación.
</v>
      </c>
      <c r="O253" s="273" t="s">
        <v>1133</v>
      </c>
      <c r="P253" s="166" t="s">
        <v>1134</v>
      </c>
      <c r="Q253" s="166" t="s">
        <v>1135</v>
      </c>
      <c r="R253" s="211"/>
      <c r="S253" s="166" t="s">
        <v>1136</v>
      </c>
      <c r="T253" s="164" t="s">
        <v>2033</v>
      </c>
      <c r="U253" s="94"/>
      <c r="V253" s="94"/>
      <c r="W253" s="94"/>
      <c r="X253" s="94"/>
      <c r="Y253" s="94"/>
      <c r="Z253" s="94"/>
      <c r="AA253" s="94"/>
      <c r="AB253" s="94"/>
      <c r="AC253" s="94"/>
      <c r="AD253" s="94"/>
      <c r="AE253" s="94"/>
      <c r="AF253" s="94"/>
      <c r="AG253" s="94"/>
      <c r="AH253" s="94"/>
      <c r="AI253" s="94"/>
      <c r="AJ253" s="94"/>
      <c r="AK253" s="94"/>
      <c r="AL253" s="94"/>
    </row>
    <row r="254">
      <c r="A254" s="105" t="s">
        <v>661</v>
      </c>
      <c r="B254" s="92" t="str">
        <f t="shared" si="2"/>
        <v>Pregunta</v>
      </c>
      <c r="C254" s="106" t="str">
        <f t="shared" si="9"/>
        <v>9.</v>
      </c>
      <c r="D254" s="106" t="str">
        <f t="shared" si="10"/>
        <v>Tecnología</v>
      </c>
      <c r="E254"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254" s="141" t="str">
        <f t="shared" si="3"/>
        <v>9.1</v>
      </c>
      <c r="G254" s="92" t="str">
        <f t="shared" si="4"/>
        <v>IMPRESCINDIBLES</v>
      </c>
      <c r="H254" s="141"/>
      <c r="I254" s="141" t="str">
        <f t="shared" si="5"/>
        <v>9.1.4</v>
      </c>
      <c r="J254" s="98" t="str">
        <f t="shared" si="6"/>
        <v>Especificación de idioma</v>
      </c>
      <c r="K254" s="98" t="str">
        <f t="shared" si="7"/>
        <v>Uso del atributo HTML "lang" para especificar el idioma del sitio o los textos del mismo.</v>
      </c>
      <c r="L254" s="141" t="str">
        <f t="shared" ref="L254:N254" si="259">IF(I254="",L253,I254)</f>
        <v>9.1.4</v>
      </c>
      <c r="M254" s="98" t="str">
        <f t="shared" si="259"/>
        <v>Especificación de idioma</v>
      </c>
      <c r="N254" s="98" t="str">
        <f t="shared" si="259"/>
        <v>Uso del atributo HTML "lang" para especificar el idioma del sitio o los textos del mismo.</v>
      </c>
      <c r="O254" s="273" t="s">
        <v>1137</v>
      </c>
      <c r="P254" s="166" t="s">
        <v>1138</v>
      </c>
      <c r="Q254" s="166" t="s">
        <v>1139</v>
      </c>
      <c r="R254" s="211"/>
      <c r="S254" s="166" t="s">
        <v>1140</v>
      </c>
      <c r="T254" s="164" t="s">
        <v>2033</v>
      </c>
      <c r="U254" s="94"/>
      <c r="V254" s="94"/>
      <c r="W254" s="94"/>
      <c r="X254" s="94"/>
      <c r="Y254" s="94"/>
      <c r="Z254" s="94"/>
      <c r="AA254" s="94"/>
      <c r="AB254" s="94"/>
      <c r="AC254" s="94"/>
      <c r="AD254" s="94"/>
      <c r="AE254" s="94"/>
      <c r="AF254" s="94"/>
      <c r="AG254" s="94"/>
      <c r="AH254" s="94"/>
      <c r="AI254" s="94"/>
      <c r="AJ254" s="94"/>
      <c r="AK254" s="94"/>
      <c r="AL254" s="94"/>
    </row>
    <row r="255">
      <c r="A255" s="105" t="s">
        <v>661</v>
      </c>
      <c r="B255" s="92" t="str">
        <f t="shared" si="2"/>
        <v>Pregunta</v>
      </c>
      <c r="C255" s="106" t="str">
        <f t="shared" si="9"/>
        <v>9.</v>
      </c>
      <c r="D255" s="106" t="str">
        <f t="shared" si="10"/>
        <v>Tecnología</v>
      </c>
      <c r="E255"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255" s="141" t="str">
        <f t="shared" si="3"/>
        <v>9.1</v>
      </c>
      <c r="G255" s="92" t="str">
        <f t="shared" si="4"/>
        <v>IMPRESCINDIBLES</v>
      </c>
      <c r="H255" s="141"/>
      <c r="I255" s="141" t="str">
        <f t="shared" si="5"/>
        <v>9.1.5</v>
      </c>
      <c r="J255" s="98" t="str">
        <f t="shared" si="6"/>
        <v>Funcionamiento de los enlaces</v>
      </c>
      <c r="K255" s="98" t="str">
        <f t="shared" si="7"/>
        <v>Ausencia de enlaces rotos, enlaces redirigidos y enlaces inválidos.
</v>
      </c>
      <c r="L255" s="141" t="str">
        <f t="shared" ref="L255:N255" si="260">IF(I255="",L254,I255)</f>
        <v>9.1.5</v>
      </c>
      <c r="M255" s="98" t="str">
        <f t="shared" si="260"/>
        <v>Funcionamiento de los enlaces</v>
      </c>
      <c r="N255" s="98" t="str">
        <f t="shared" si="260"/>
        <v>Ausencia de enlaces rotos, enlaces redirigidos y enlaces inválidos.
</v>
      </c>
      <c r="O255" s="273" t="s">
        <v>1141</v>
      </c>
      <c r="P255" s="166" t="s">
        <v>1142</v>
      </c>
      <c r="Q255" s="166" t="s">
        <v>1143</v>
      </c>
      <c r="R255" s="174"/>
      <c r="S255" s="274" t="s">
        <v>2096</v>
      </c>
      <c r="T255" s="164" t="s">
        <v>2033</v>
      </c>
      <c r="U255" s="94"/>
      <c r="V255" s="94"/>
      <c r="W255" s="94"/>
      <c r="X255" s="94"/>
      <c r="Y255" s="94"/>
      <c r="Z255" s="94"/>
      <c r="AA255" s="94"/>
      <c r="AB255" s="94"/>
      <c r="AC255" s="94"/>
      <c r="AD255" s="94"/>
      <c r="AE255" s="94"/>
      <c r="AF255" s="94"/>
      <c r="AG255" s="94"/>
      <c r="AH255" s="94"/>
      <c r="AI255" s="94"/>
      <c r="AJ255" s="94"/>
      <c r="AK255" s="94"/>
      <c r="AL255" s="94"/>
    </row>
    <row r="256">
      <c r="A256" s="105" t="s">
        <v>661</v>
      </c>
      <c r="B256" s="92" t="str">
        <f t="shared" si="2"/>
        <v>Pregunta</v>
      </c>
      <c r="C256" s="106" t="str">
        <f t="shared" si="9"/>
        <v>9.</v>
      </c>
      <c r="D256" s="106" t="str">
        <f t="shared" si="10"/>
        <v>Tecnología</v>
      </c>
      <c r="E256"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256" s="141" t="str">
        <f t="shared" si="3"/>
        <v>9.1</v>
      </c>
      <c r="G256" s="92" t="str">
        <f t="shared" si="4"/>
        <v>IMPRESCINDIBLES</v>
      </c>
      <c r="H256" s="141"/>
      <c r="I256" s="141" t="str">
        <f t="shared" si="5"/>
        <v>9.1.6</v>
      </c>
      <c r="J256" s="98" t="str">
        <f t="shared" si="6"/>
        <v>Soporte a URLs con y sin prefijo www</v>
      </c>
      <c r="K256" s="98" t="str">
        <f t="shared" si="7"/>
        <v>Habilitación de acceso utilizando o no el prefijo "www". Los sitios web deberán visualizarse independiente de la utilización de este prefijo, redirigiendo a la URL final del sitio.
</v>
      </c>
      <c r="L256" s="141" t="str">
        <f t="shared" ref="L256:N256" si="261">IF(I256="",L255,I256)</f>
        <v>9.1.6</v>
      </c>
      <c r="M256" s="98" t="str">
        <f t="shared" si="261"/>
        <v>Soporte a URLs con y sin prefijo www</v>
      </c>
      <c r="N256" s="98" t="str">
        <f t="shared" si="261"/>
        <v>Habilitación de acceso utilizando o no el prefijo "www". Los sitios web deberán visualizarse independiente de la utilización de este prefijo, redirigiendo a la URL final del sitio.
</v>
      </c>
      <c r="O256" s="262" t="s">
        <v>1145</v>
      </c>
      <c r="P256" s="148" t="s">
        <v>1146</v>
      </c>
      <c r="Q256" s="148" t="s">
        <v>1147</v>
      </c>
      <c r="R256" s="158"/>
      <c r="S256" s="166" t="s">
        <v>1148</v>
      </c>
      <c r="T256" s="164" t="s">
        <v>2033</v>
      </c>
      <c r="U256" s="94"/>
      <c r="V256" s="94"/>
      <c r="W256" s="94"/>
      <c r="X256" s="94"/>
      <c r="Y256" s="94"/>
      <c r="Z256" s="94"/>
      <c r="AA256" s="94"/>
      <c r="AB256" s="94"/>
      <c r="AC256" s="94"/>
      <c r="AD256" s="94"/>
      <c r="AE256" s="94"/>
      <c r="AF256" s="94"/>
      <c r="AG256" s="94"/>
      <c r="AH256" s="94"/>
      <c r="AI256" s="94"/>
      <c r="AJ256" s="94"/>
      <c r="AK256" s="94"/>
      <c r="AL256" s="94"/>
    </row>
    <row r="257">
      <c r="A257" s="86" t="s">
        <v>661</v>
      </c>
      <c r="B257" s="95" t="str">
        <f t="shared" si="2"/>
        <v>Pregunta</v>
      </c>
      <c r="C257" s="106" t="str">
        <f t="shared" si="9"/>
        <v>9.</v>
      </c>
      <c r="D257" s="106" t="str">
        <f t="shared" si="10"/>
        <v>Tecnología</v>
      </c>
      <c r="E257"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257" s="141" t="str">
        <f t="shared" si="3"/>
        <v>9.1</v>
      </c>
      <c r="G257" s="92" t="str">
        <f t="shared" si="4"/>
        <v>IMPRESCINDIBLES</v>
      </c>
      <c r="H257" s="141"/>
      <c r="I257" s="141" t="str">
        <f t="shared" si="5"/>
        <v>9.1.7</v>
      </c>
      <c r="J257" s="98" t="str">
        <f t="shared" si="6"/>
        <v>Dominio ".gob.cl"</v>
      </c>
      <c r="K257" s="98" t="str">
        <f t="shared" si="7"/>
        <v>Utilización del dominio ".gob.cl", registrándolo previamente ante la División de Informática del Ministerio del Interior y Seguridad Pública y en el sitio web Administración de Dominios gob.cl (nic.gob.cl).
</v>
      </c>
      <c r="L257" s="141" t="str">
        <f t="shared" ref="L257:N257" si="262">IF(I257="",L256,I257)</f>
        <v>9.1.7</v>
      </c>
      <c r="M257" s="98" t="str">
        <f t="shared" si="262"/>
        <v>Dominio ".gob.cl"</v>
      </c>
      <c r="N257" s="98" t="str">
        <f t="shared" si="262"/>
        <v>Utilización del dominio ".gob.cl", registrándolo previamente ante la División de Informática del Ministerio del Interior y Seguridad Pública y en el sitio web Administración de Dominios gob.cl (nic.gob.cl).
</v>
      </c>
      <c r="O257" s="152" t="s">
        <v>1149</v>
      </c>
      <c r="P257" s="148" t="s">
        <v>1150</v>
      </c>
      <c r="Q257" s="148" t="s">
        <v>1151</v>
      </c>
      <c r="R257" s="158"/>
      <c r="S257" s="170" t="s">
        <v>2097</v>
      </c>
      <c r="T257" s="160" t="s">
        <v>2033</v>
      </c>
      <c r="U257" s="94"/>
      <c r="V257" s="94"/>
      <c r="W257" s="94"/>
      <c r="X257" s="94"/>
      <c r="Y257" s="94"/>
      <c r="Z257" s="94"/>
      <c r="AA257" s="94"/>
      <c r="AB257" s="94"/>
      <c r="AC257" s="94"/>
      <c r="AD257" s="94"/>
      <c r="AE257" s="94"/>
      <c r="AF257" s="94"/>
      <c r="AG257" s="94"/>
      <c r="AH257" s="94"/>
      <c r="AI257" s="94"/>
      <c r="AJ257" s="94"/>
      <c r="AK257" s="94"/>
      <c r="AL257" s="94"/>
    </row>
    <row r="258">
      <c r="A258" s="86" t="s">
        <v>661</v>
      </c>
      <c r="B258" s="95" t="str">
        <f t="shared" si="2"/>
        <v>Pregunta</v>
      </c>
      <c r="C258" s="106" t="str">
        <f t="shared" si="9"/>
        <v>9.</v>
      </c>
      <c r="D258" s="106" t="str">
        <f t="shared" si="10"/>
        <v>Tecnología</v>
      </c>
      <c r="E258"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258" s="141" t="str">
        <f t="shared" si="3"/>
        <v>9.1</v>
      </c>
      <c r="G258" s="92" t="str">
        <f t="shared" si="4"/>
        <v>IMPRESCINDIBLES</v>
      </c>
      <c r="H258" s="141"/>
      <c r="I258" s="141" t="str">
        <f t="shared" si="5"/>
        <v/>
      </c>
      <c r="J258" s="98" t="str">
        <f t="shared" si="6"/>
        <v/>
      </c>
      <c r="K258" s="98" t="str">
        <f t="shared" si="7"/>
        <v/>
      </c>
      <c r="L258" s="141" t="str">
        <f t="shared" ref="L258:N258" si="263">IF(I258="",L257,I258)</f>
        <v>9.1.7</v>
      </c>
      <c r="M258" s="98" t="str">
        <f t="shared" si="263"/>
        <v>Dominio ".gob.cl"</v>
      </c>
      <c r="N258" s="98" t="str">
        <f t="shared" si="263"/>
        <v>Utilización del dominio ".gob.cl", registrándolo previamente ante la División de Informática del Ministerio del Interior y Seguridad Pública y en el sitio web Administración de Dominios gob.cl (nic.gob.cl).
</v>
      </c>
      <c r="O258" s="142"/>
      <c r="P258" s="143"/>
      <c r="Q258" s="143"/>
      <c r="R258" s="174"/>
      <c r="S258" s="169" t="s">
        <v>2098</v>
      </c>
      <c r="T258" s="164" t="s">
        <v>2033</v>
      </c>
      <c r="U258" s="94"/>
      <c r="V258" s="94"/>
      <c r="W258" s="94"/>
      <c r="X258" s="94"/>
      <c r="Y258" s="94"/>
      <c r="Z258" s="94"/>
      <c r="AA258" s="94"/>
      <c r="AB258" s="94"/>
      <c r="AC258" s="94"/>
      <c r="AD258" s="94"/>
      <c r="AE258" s="94"/>
      <c r="AF258" s="94"/>
      <c r="AG258" s="94"/>
      <c r="AH258" s="94"/>
      <c r="AI258" s="94"/>
      <c r="AJ258" s="94"/>
      <c r="AK258" s="94"/>
      <c r="AL258" s="94"/>
    </row>
    <row r="259" hidden="1">
      <c r="A259" s="86" t="s">
        <v>661</v>
      </c>
      <c r="B259" s="95" t="str">
        <f t="shared" si="2"/>
        <v>Otro</v>
      </c>
      <c r="C259" s="106" t="str">
        <f t="shared" si="9"/>
        <v>9.</v>
      </c>
      <c r="D259" s="106" t="str">
        <f t="shared" si="10"/>
        <v>Tecnología</v>
      </c>
      <c r="E259"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259" s="141" t="str">
        <f t="shared" si="3"/>
        <v>9.2</v>
      </c>
      <c r="G259" s="92" t="str">
        <f t="shared" si="4"/>
        <v>ESPERABLES</v>
      </c>
      <c r="H259" s="141"/>
      <c r="I259" s="141" t="str">
        <f t="shared" si="5"/>
        <v/>
      </c>
      <c r="J259" s="98" t="str">
        <f t="shared" si="6"/>
        <v/>
      </c>
      <c r="K259" s="98" t="str">
        <f t="shared" si="7"/>
        <v/>
      </c>
      <c r="L259" s="141" t="str">
        <f t="shared" ref="L259:N259" si="264">IF(I259="",L258,I259)</f>
        <v>9.1.7</v>
      </c>
      <c r="M259" s="98" t="str">
        <f t="shared" si="264"/>
        <v>Dominio ".gob.cl"</v>
      </c>
      <c r="N259" s="98" t="str">
        <f t="shared" si="264"/>
        <v>Utilización del dominio ".gob.cl", registrándolo previamente ante la División de Informática del Ministerio del Interior y Seguridad Pública y en el sitio web Administración de Dominios gob.cl (nic.gob.cl).
</v>
      </c>
      <c r="O259" s="175" t="s">
        <v>1154</v>
      </c>
      <c r="P259" s="196" t="s">
        <v>714</v>
      </c>
      <c r="Q259" s="177"/>
      <c r="R259" s="177"/>
      <c r="S259" s="197">
        <f>COUNTA(P260:P266)</f>
        <v>5</v>
      </c>
      <c r="T259" s="197">
        <f>COUNTIF(U260:U266,"n/a")</f>
        <v>0</v>
      </c>
      <c r="U259" s="94"/>
      <c r="V259" s="94"/>
      <c r="W259" s="94"/>
      <c r="X259" s="94"/>
      <c r="Y259" s="94"/>
      <c r="Z259" s="94"/>
      <c r="AA259" s="94"/>
      <c r="AB259" s="94"/>
      <c r="AC259" s="94"/>
      <c r="AD259" s="94"/>
      <c r="AE259" s="94"/>
      <c r="AF259" s="94"/>
      <c r="AG259" s="94"/>
      <c r="AH259" s="94"/>
      <c r="AI259" s="94"/>
      <c r="AJ259" s="94"/>
      <c r="AK259" s="94"/>
      <c r="AL259" s="94"/>
    </row>
    <row r="260">
      <c r="A260" s="105" t="s">
        <v>661</v>
      </c>
      <c r="B260" s="92" t="str">
        <f t="shared" si="2"/>
        <v>Pregunta</v>
      </c>
      <c r="C260" s="106" t="str">
        <f t="shared" si="9"/>
        <v>9.</v>
      </c>
      <c r="D260" s="106" t="str">
        <f t="shared" si="10"/>
        <v>Tecnología</v>
      </c>
      <c r="E260"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260" s="141" t="str">
        <f t="shared" si="3"/>
        <v>9.2</v>
      </c>
      <c r="G260" s="92" t="str">
        <f t="shared" si="4"/>
        <v>ESPERABLES</v>
      </c>
      <c r="H260" s="141"/>
      <c r="I260" s="141" t="str">
        <f t="shared" si="5"/>
        <v>9.2.1</v>
      </c>
      <c r="J260" s="98" t="str">
        <f t="shared" si="6"/>
        <v>Lenguaje HTML5</v>
      </c>
      <c r="K260" s="98" t="str">
        <f t="shared" si="7"/>
        <v>Utilización del lenguaje de marcado HTML5 para la creación y estructuración de contenido en las páginas web.
</v>
      </c>
      <c r="L260" s="141" t="str">
        <f t="shared" ref="L260:N260" si="265">IF(I260="",L259,I260)</f>
        <v>9.2.1</v>
      </c>
      <c r="M260" s="98" t="str">
        <f t="shared" si="265"/>
        <v>Lenguaje HTML5</v>
      </c>
      <c r="N260" s="98" t="str">
        <f t="shared" si="265"/>
        <v>Utilización del lenguaje de marcado HTML5 para la creación y estructuración de contenido en las páginas web.
</v>
      </c>
      <c r="O260" s="275" t="s">
        <v>1155</v>
      </c>
      <c r="P260" s="169" t="s">
        <v>1156</v>
      </c>
      <c r="Q260" s="169" t="s">
        <v>1157</v>
      </c>
      <c r="R260" s="168"/>
      <c r="S260" s="169" t="s">
        <v>1158</v>
      </c>
      <c r="T260" s="164" t="s">
        <v>2033</v>
      </c>
      <c r="U260" s="94"/>
      <c r="V260" s="94"/>
      <c r="W260" s="94"/>
      <c r="X260" s="94"/>
      <c r="Y260" s="94"/>
      <c r="Z260" s="94"/>
      <c r="AA260" s="94"/>
      <c r="AB260" s="94"/>
      <c r="AC260" s="94"/>
      <c r="AD260" s="94"/>
      <c r="AE260" s="94"/>
      <c r="AF260" s="94"/>
      <c r="AG260" s="94"/>
      <c r="AH260" s="94"/>
      <c r="AI260" s="94"/>
      <c r="AJ260" s="94"/>
      <c r="AK260" s="94"/>
      <c r="AL260" s="94"/>
    </row>
    <row r="261">
      <c r="A261" s="105" t="s">
        <v>661</v>
      </c>
      <c r="B261" s="92" t="str">
        <f t="shared" si="2"/>
        <v>Pregunta</v>
      </c>
      <c r="C261" s="106" t="str">
        <f t="shared" si="9"/>
        <v>9.</v>
      </c>
      <c r="D261" s="106" t="str">
        <f t="shared" si="10"/>
        <v>Tecnología</v>
      </c>
      <c r="E261"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261" s="141" t="str">
        <f t="shared" si="3"/>
        <v>9.2</v>
      </c>
      <c r="G261" s="92" t="str">
        <f t="shared" si="4"/>
        <v>ESPERABLES</v>
      </c>
      <c r="H261" s="141"/>
      <c r="I261" s="141" t="str">
        <f t="shared" si="5"/>
        <v>9.2.2</v>
      </c>
      <c r="J261" s="98" t="str">
        <f t="shared" si="6"/>
        <v>Compatibilidad HTML</v>
      </c>
      <c r="K261" s="98" t="str">
        <f t="shared" si="7"/>
        <v>Validación del código HTML en el validador de la W3C: el código debe cumplir o cumplir con reparos.
</v>
      </c>
      <c r="L261" s="141" t="str">
        <f t="shared" ref="L261:N261" si="266">IF(I261="",L260,I261)</f>
        <v>9.2.2</v>
      </c>
      <c r="M261" s="98" t="str">
        <f t="shared" si="266"/>
        <v>Compatibilidad HTML</v>
      </c>
      <c r="N261" s="98" t="str">
        <f t="shared" si="266"/>
        <v>Validación del código HTML en el validador de la W3C: el código debe cumplir o cumplir con reparos.
</v>
      </c>
      <c r="O261" s="214" t="s">
        <v>1159</v>
      </c>
      <c r="P261" s="166" t="s">
        <v>1160</v>
      </c>
      <c r="Q261" s="166" t="s">
        <v>1161</v>
      </c>
      <c r="R261" s="211"/>
      <c r="S261" s="213" t="s">
        <v>2099</v>
      </c>
      <c r="T261" s="164" t="s">
        <v>2033</v>
      </c>
      <c r="U261" s="94"/>
      <c r="V261" s="94"/>
      <c r="W261" s="94"/>
      <c r="X261" s="94"/>
      <c r="Y261" s="94"/>
      <c r="Z261" s="94"/>
      <c r="AA261" s="94"/>
      <c r="AB261" s="94"/>
      <c r="AC261" s="94"/>
      <c r="AD261" s="94"/>
      <c r="AE261" s="94"/>
      <c r="AF261" s="94"/>
      <c r="AG261" s="94"/>
      <c r="AH261" s="94"/>
      <c r="AI261" s="94"/>
      <c r="AJ261" s="94"/>
      <c r="AK261" s="94"/>
      <c r="AL261" s="94"/>
    </row>
    <row r="262">
      <c r="A262" s="105" t="s">
        <v>661</v>
      </c>
      <c r="B262" s="92" t="str">
        <f t="shared" si="2"/>
        <v>Pregunta</v>
      </c>
      <c r="C262" s="106" t="str">
        <f t="shared" si="9"/>
        <v>9.</v>
      </c>
      <c r="D262" s="106" t="str">
        <f t="shared" si="10"/>
        <v>Tecnología</v>
      </c>
      <c r="E262"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262" s="141" t="str">
        <f t="shared" si="3"/>
        <v>9.2</v>
      </c>
      <c r="G262" s="92" t="str">
        <f t="shared" si="4"/>
        <v>ESPERABLES</v>
      </c>
      <c r="H262" s="141"/>
      <c r="I262" s="141" t="str">
        <f t="shared" si="5"/>
        <v>9.2.3</v>
      </c>
      <c r="J262" s="98" t="str">
        <f t="shared" si="6"/>
        <v>Compatibilidad CSS</v>
      </c>
      <c r="K262" s="98" t="str">
        <f t="shared" si="7"/>
        <v>Validación de la escritura y compatibilidad del código CSS, el que no debe tener errores.
</v>
      </c>
      <c r="L262" s="141" t="str">
        <f t="shared" ref="L262:N262" si="267">IF(I262="",L261,I262)</f>
        <v>9.2.3</v>
      </c>
      <c r="M262" s="98" t="str">
        <f t="shared" si="267"/>
        <v>Compatibilidad CSS</v>
      </c>
      <c r="N262" s="98" t="str">
        <f t="shared" si="267"/>
        <v>Validación de la escritura y compatibilidad del código CSS, el que no debe tener errores.
</v>
      </c>
      <c r="O262" s="207" t="s">
        <v>1163</v>
      </c>
      <c r="P262" s="166" t="s">
        <v>1164</v>
      </c>
      <c r="Q262" s="166" t="s">
        <v>1165</v>
      </c>
      <c r="R262" s="211"/>
      <c r="S262" s="213" t="s">
        <v>2100</v>
      </c>
      <c r="T262" s="164" t="s">
        <v>2033</v>
      </c>
      <c r="U262" s="94"/>
      <c r="V262" s="94"/>
      <c r="W262" s="94"/>
      <c r="X262" s="94"/>
      <c r="Y262" s="94"/>
      <c r="Z262" s="94"/>
      <c r="AA262" s="94"/>
      <c r="AB262" s="94"/>
      <c r="AC262" s="94"/>
      <c r="AD262" s="94"/>
      <c r="AE262" s="94"/>
      <c r="AF262" s="94"/>
      <c r="AG262" s="94"/>
      <c r="AH262" s="94"/>
      <c r="AI262" s="94"/>
      <c r="AJ262" s="94"/>
      <c r="AK262" s="94"/>
      <c r="AL262" s="94"/>
    </row>
    <row r="263">
      <c r="A263" s="105" t="s">
        <v>661</v>
      </c>
      <c r="B263" s="92" t="str">
        <f t="shared" si="2"/>
        <v>Pregunta</v>
      </c>
      <c r="C263" s="106" t="str">
        <f t="shared" si="9"/>
        <v>9.</v>
      </c>
      <c r="D263" s="106" t="str">
        <f t="shared" si="10"/>
        <v>Tecnología</v>
      </c>
      <c r="E263"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263" s="141" t="str">
        <f t="shared" si="3"/>
        <v>9.2</v>
      </c>
      <c r="G263" s="92" t="str">
        <f t="shared" si="4"/>
        <v>ESPERABLES</v>
      </c>
      <c r="H263" s="141"/>
      <c r="I263" s="141" t="str">
        <f t="shared" si="5"/>
        <v>9.2.4</v>
      </c>
      <c r="J263" s="98" t="str">
        <f t="shared" si="6"/>
        <v>Optimización y rendimiento</v>
      </c>
      <c r="K263" s="98" t="str">
        <f t="shared" si="7"/>
        <v>Capacidad de un sitio web para manejar el aumento en el tráfico y la demanda sin comprometer la estabilidad o la rapidez de respuesta.
</v>
      </c>
      <c r="L263" s="141" t="str">
        <f t="shared" ref="L263:N263" si="268">IF(I263="",L262,I263)</f>
        <v>9.2.4</v>
      </c>
      <c r="M263" s="98" t="str">
        <f t="shared" si="268"/>
        <v>Optimización y rendimiento</v>
      </c>
      <c r="N263" s="98" t="str">
        <f t="shared" si="268"/>
        <v>Capacidad de un sitio web para manejar el aumento en el tráfico y la demanda sin comprometer la estabilidad o la rapidez de respuesta.
</v>
      </c>
      <c r="O263" s="207" t="s">
        <v>1167</v>
      </c>
      <c r="P263" s="148" t="s">
        <v>1168</v>
      </c>
      <c r="Q263" s="148" t="s">
        <v>1169</v>
      </c>
      <c r="R263" s="200"/>
      <c r="S263" s="276" t="s">
        <v>2101</v>
      </c>
      <c r="T263" s="160" t="s">
        <v>2033</v>
      </c>
      <c r="U263" s="94"/>
      <c r="V263" s="94"/>
      <c r="W263" s="94"/>
      <c r="X263" s="94"/>
      <c r="Y263" s="94"/>
      <c r="Z263" s="94"/>
      <c r="AA263" s="94"/>
      <c r="AB263" s="94"/>
      <c r="AC263" s="94"/>
      <c r="AD263" s="94"/>
      <c r="AE263" s="94"/>
      <c r="AF263" s="94"/>
      <c r="AG263" s="94"/>
      <c r="AH263" s="94"/>
      <c r="AI263" s="94"/>
      <c r="AJ263" s="94"/>
      <c r="AK263" s="94"/>
      <c r="AL263" s="94"/>
    </row>
    <row r="264">
      <c r="A264" s="86" t="s">
        <v>661</v>
      </c>
      <c r="B264" s="95" t="str">
        <f t="shared" si="2"/>
        <v>Pregunta</v>
      </c>
      <c r="C264" s="106" t="str">
        <f t="shared" si="9"/>
        <v>9.</v>
      </c>
      <c r="D264" s="106" t="str">
        <f t="shared" si="10"/>
        <v>Tecnología</v>
      </c>
      <c r="E264"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264" s="141" t="str">
        <f t="shared" si="3"/>
        <v>9.2</v>
      </c>
      <c r="G264" s="92" t="str">
        <f t="shared" si="4"/>
        <v>ESPERABLES</v>
      </c>
      <c r="H264" s="141"/>
      <c r="I264" s="141" t="str">
        <f t="shared" si="5"/>
        <v/>
      </c>
      <c r="J264" s="98" t="str">
        <f t="shared" si="6"/>
        <v/>
      </c>
      <c r="K264" s="98" t="str">
        <f t="shared" si="7"/>
        <v/>
      </c>
      <c r="L264" s="141" t="str">
        <f t="shared" ref="L264:N264" si="269">IF(I264="",L263,I264)</f>
        <v>9.2.4</v>
      </c>
      <c r="M264" s="98" t="str">
        <f t="shared" si="269"/>
        <v>Optimización y rendimiento</v>
      </c>
      <c r="N264" s="98" t="str">
        <f t="shared" si="269"/>
        <v>Capacidad de un sitio web para manejar el aumento en el tráfico y la demanda sin comprometer la estabilidad o la rapidez de respuesta.
</v>
      </c>
      <c r="O264" s="142"/>
      <c r="P264" s="153"/>
      <c r="Q264" s="171"/>
      <c r="R264" s="171"/>
      <c r="S264" s="277" t="s">
        <v>2102</v>
      </c>
      <c r="T264" s="164" t="s">
        <v>2033</v>
      </c>
      <c r="U264" s="94"/>
      <c r="V264" s="94"/>
      <c r="W264" s="94"/>
      <c r="X264" s="94"/>
      <c r="Y264" s="94"/>
      <c r="Z264" s="94"/>
      <c r="AA264" s="94"/>
      <c r="AB264" s="94"/>
      <c r="AC264" s="94"/>
      <c r="AD264" s="94"/>
      <c r="AE264" s="94"/>
      <c r="AF264" s="94"/>
      <c r="AG264" s="94"/>
      <c r="AH264" s="94"/>
      <c r="AI264" s="94"/>
      <c r="AJ264" s="94"/>
      <c r="AK264" s="94"/>
      <c r="AL264" s="94"/>
    </row>
    <row r="265">
      <c r="A265" s="105" t="s">
        <v>661</v>
      </c>
      <c r="B265" s="92" t="str">
        <f t="shared" si="2"/>
        <v>Pregunta</v>
      </c>
      <c r="C265" s="106" t="str">
        <f t="shared" si="9"/>
        <v>9.</v>
      </c>
      <c r="D265" s="106" t="str">
        <f t="shared" si="10"/>
        <v>Tecnología</v>
      </c>
      <c r="E265"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265" s="141" t="str">
        <f t="shared" si="3"/>
        <v>9.2</v>
      </c>
      <c r="G265" s="92" t="str">
        <f t="shared" si="4"/>
        <v>ESPERABLES</v>
      </c>
      <c r="H265" s="141"/>
      <c r="I265" s="141" t="str">
        <f t="shared" si="5"/>
        <v>9.2.5</v>
      </c>
      <c r="J265" s="98" t="str">
        <f t="shared" si="6"/>
        <v>Versión de impresión</v>
      </c>
      <c r="K265" s="98" t="str">
        <f t="shared" si="7"/>
        <v>Adaptación del contenido para una óptima impresión. La finalización de un trámite, sea ésta una página de entrega de información o un certificado, debe poder imprimirse sin dificultad o alteraciones significativas de su apariencia.
</v>
      </c>
      <c r="L265" s="141" t="str">
        <f t="shared" ref="L265:N265" si="270">IF(I265="",L264,I265)</f>
        <v>9.2.5</v>
      </c>
      <c r="M265" s="98" t="str">
        <f t="shared" si="270"/>
        <v>Versión de impresión</v>
      </c>
      <c r="N265" s="98" t="str">
        <f t="shared" si="270"/>
        <v>Adaptación del contenido para una óptima impresión. La finalización de un trámite, sea ésta una página de entrega de información o un certificado, debe poder imprimirse sin dificultad o alteraciones significativas de su apariencia.
</v>
      </c>
      <c r="O265" s="147" t="s">
        <v>1172</v>
      </c>
      <c r="P265" s="148" t="s">
        <v>1173</v>
      </c>
      <c r="Q265" s="148" t="s">
        <v>1174</v>
      </c>
      <c r="R265" s="167"/>
      <c r="S265" s="148" t="s">
        <v>1175</v>
      </c>
      <c r="T265" s="160" t="s">
        <v>2033</v>
      </c>
      <c r="U265" s="94"/>
      <c r="V265" s="94"/>
      <c r="W265" s="94"/>
      <c r="X265" s="94"/>
      <c r="Y265" s="94"/>
      <c r="Z265" s="94"/>
      <c r="AA265" s="94"/>
      <c r="AB265" s="94"/>
      <c r="AC265" s="94"/>
      <c r="AD265" s="94"/>
      <c r="AE265" s="94"/>
      <c r="AF265" s="94"/>
      <c r="AG265" s="94"/>
      <c r="AH265" s="94"/>
      <c r="AI265" s="94"/>
      <c r="AJ265" s="94"/>
      <c r="AK265" s="94"/>
      <c r="AL265" s="94"/>
    </row>
    <row r="266">
      <c r="A266" s="86" t="s">
        <v>661</v>
      </c>
      <c r="B266" s="95" t="str">
        <f t="shared" si="2"/>
        <v>Pregunta</v>
      </c>
      <c r="C266" s="106" t="str">
        <f t="shared" si="9"/>
        <v>9.</v>
      </c>
      <c r="D266" s="106" t="str">
        <f t="shared" si="10"/>
        <v>Tecnología</v>
      </c>
      <c r="E266"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266" s="141" t="str">
        <f t="shared" si="3"/>
        <v>9.2</v>
      </c>
      <c r="G266" s="92" t="str">
        <f t="shared" si="4"/>
        <v>ESPERABLES</v>
      </c>
      <c r="H266" s="141"/>
      <c r="I266" s="141" t="str">
        <f t="shared" si="5"/>
        <v/>
      </c>
      <c r="J266" s="98" t="str">
        <f t="shared" si="6"/>
        <v/>
      </c>
      <c r="K266" s="98" t="str">
        <f t="shared" si="7"/>
        <v/>
      </c>
      <c r="L266" s="141" t="str">
        <f t="shared" ref="L266:N266" si="271">IF(I266="",L265,I266)</f>
        <v>9.2.5</v>
      </c>
      <c r="M266" s="98" t="str">
        <f t="shared" si="271"/>
        <v>Versión de impresión</v>
      </c>
      <c r="N266" s="98" t="str">
        <f t="shared" si="271"/>
        <v>Adaptación del contenido para una óptima impresión. La finalización de un trámite, sea ésta una página de entrega de información o un certificado, debe poder imprimirse sin dificultad o alteraciones significativas de su apariencia.
</v>
      </c>
      <c r="O266" s="142"/>
      <c r="P266" s="143"/>
      <c r="Q266" s="143"/>
      <c r="R266" s="168"/>
      <c r="S266" s="169" t="s">
        <v>2103</v>
      </c>
      <c r="T266" s="164" t="s">
        <v>2033</v>
      </c>
      <c r="U266" s="94"/>
      <c r="V266" s="94"/>
      <c r="W266" s="94"/>
      <c r="X266" s="94"/>
      <c r="Y266" s="94"/>
      <c r="Z266" s="94"/>
      <c r="AA266" s="94"/>
      <c r="AB266" s="94"/>
      <c r="AC266" s="94"/>
      <c r="AD266" s="94"/>
      <c r="AE266" s="94"/>
      <c r="AF266" s="94"/>
      <c r="AG266" s="94"/>
      <c r="AH266" s="94"/>
      <c r="AI266" s="94"/>
      <c r="AJ266" s="94"/>
      <c r="AK266" s="94"/>
      <c r="AL266" s="94"/>
    </row>
    <row r="267" hidden="1">
      <c r="A267" s="86" t="s">
        <v>661</v>
      </c>
      <c r="B267" s="95" t="str">
        <f t="shared" si="2"/>
        <v>Otro</v>
      </c>
      <c r="C267" s="106" t="str">
        <f t="shared" si="9"/>
        <v>9.</v>
      </c>
      <c r="D267" s="106" t="str">
        <f t="shared" si="10"/>
        <v>Tecnología</v>
      </c>
      <c r="E267"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267" s="141" t="str">
        <f t="shared" si="3"/>
        <v>9.3</v>
      </c>
      <c r="G267" s="92" t="str">
        <f t="shared" si="4"/>
        <v>DESEABLES</v>
      </c>
      <c r="H267" s="141"/>
      <c r="I267" s="141" t="str">
        <f t="shared" si="5"/>
        <v/>
      </c>
      <c r="J267" s="98" t="str">
        <f t="shared" si="6"/>
        <v/>
      </c>
      <c r="K267" s="98" t="str">
        <f t="shared" si="7"/>
        <v/>
      </c>
      <c r="L267" s="141" t="str">
        <f t="shared" ref="L267:N267" si="272">IF(I267="",L266,I267)</f>
        <v>9.2.5</v>
      </c>
      <c r="M267" s="98" t="str">
        <f t="shared" si="272"/>
        <v>Versión de impresión</v>
      </c>
      <c r="N267" s="98" t="str">
        <f t="shared" si="272"/>
        <v>Adaptación del contenido para una óptima impresión. La finalización de un trámite, sea ésta una página de entrega de información o un certificado, debe poder imprimirse sin dificultad o alteraciones significativas de su apariencia.
</v>
      </c>
      <c r="O267" s="181" t="s">
        <v>1177</v>
      </c>
      <c r="P267" s="182" t="s">
        <v>749</v>
      </c>
      <c r="Q267" s="183"/>
      <c r="R267" s="183"/>
      <c r="S267" s="184">
        <f>COUNTA(P268)</f>
        <v>1</v>
      </c>
      <c r="T267" s="184">
        <f>COUNTIF(U268,"n/a")</f>
        <v>0</v>
      </c>
      <c r="U267" s="94"/>
      <c r="V267" s="94"/>
      <c r="W267" s="94"/>
      <c r="X267" s="94"/>
      <c r="Y267" s="94"/>
      <c r="Z267" s="94"/>
      <c r="AA267" s="94"/>
      <c r="AB267" s="94"/>
      <c r="AC267" s="94"/>
      <c r="AD267" s="94"/>
      <c r="AE267" s="94"/>
      <c r="AF267" s="94"/>
      <c r="AG267" s="94"/>
      <c r="AH267" s="94"/>
      <c r="AI267" s="94"/>
      <c r="AJ267" s="94"/>
      <c r="AK267" s="94"/>
      <c r="AL267" s="94"/>
    </row>
    <row r="268">
      <c r="A268" s="105" t="s">
        <v>661</v>
      </c>
      <c r="B268" s="92" t="str">
        <f t="shared" si="2"/>
        <v>Pregunta</v>
      </c>
      <c r="C268" s="106" t="str">
        <f t="shared" si="9"/>
        <v>9.</v>
      </c>
      <c r="D268" s="106" t="str">
        <f t="shared" si="10"/>
        <v>Tecnología</v>
      </c>
      <c r="E268"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268" s="141" t="str">
        <f t="shared" si="3"/>
        <v>9.3</v>
      </c>
      <c r="G268" s="92" t="str">
        <f t="shared" si="4"/>
        <v>DESEABLES</v>
      </c>
      <c r="H268" s="141"/>
      <c r="I268" s="141" t="str">
        <f t="shared" si="5"/>
        <v>9.3.1</v>
      </c>
      <c r="J268" s="98" t="str">
        <f t="shared" si="6"/>
        <v>Javascript sin errores</v>
      </c>
      <c r="K268" s="98" t="str">
        <f t="shared" si="7"/>
        <v>Ausencia de errores de JavaScript en la consola del navegador.
</v>
      </c>
      <c r="L268" s="141" t="str">
        <f t="shared" ref="L268:N268" si="273">IF(I268="",L267,I268)</f>
        <v>9.3.1</v>
      </c>
      <c r="M268" s="98" t="str">
        <f t="shared" si="273"/>
        <v>Javascript sin errores</v>
      </c>
      <c r="N268" s="98" t="str">
        <f t="shared" si="273"/>
        <v>Ausencia de errores de JavaScript en la consola del navegador.
</v>
      </c>
      <c r="O268" s="278" t="s">
        <v>1178</v>
      </c>
      <c r="P268" s="279" t="s">
        <v>1179</v>
      </c>
      <c r="Q268" s="279" t="s">
        <v>1180</v>
      </c>
      <c r="R268" s="174"/>
      <c r="S268" s="280" t="s">
        <v>2104</v>
      </c>
      <c r="T268" s="164" t="s">
        <v>2033</v>
      </c>
      <c r="U268" s="94"/>
      <c r="V268" s="94"/>
      <c r="W268" s="94"/>
      <c r="X268" s="94"/>
      <c r="Y268" s="94"/>
      <c r="Z268" s="94"/>
      <c r="AA268" s="94"/>
      <c r="AB268" s="94"/>
      <c r="AC268" s="94"/>
      <c r="AD268" s="94"/>
      <c r="AE268" s="94"/>
      <c r="AF268" s="94"/>
      <c r="AG268" s="94"/>
      <c r="AH268" s="94"/>
      <c r="AI268" s="94"/>
      <c r="AJ268" s="94"/>
      <c r="AK268" s="94"/>
      <c r="AL268" s="94"/>
    </row>
    <row r="269" hidden="1">
      <c r="A269" s="86" t="s">
        <v>661</v>
      </c>
      <c r="B269" s="201" t="str">
        <f t="shared" si="2"/>
        <v>Otro</v>
      </c>
      <c r="C269" s="106" t="str">
        <f t="shared" si="9"/>
        <v>10.</v>
      </c>
      <c r="D269" s="106" t="str">
        <f t="shared" si="10"/>
        <v>Atención a la ciudadanía </v>
      </c>
      <c r="E269"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269" s="141" t="str">
        <f t="shared" si="3"/>
        <v>9.3</v>
      </c>
      <c r="G269" s="92" t="str">
        <f t="shared" si="4"/>
        <v>DESEABLES</v>
      </c>
      <c r="H269" s="109"/>
      <c r="I269" s="109" t="str">
        <f t="shared" si="5"/>
        <v/>
      </c>
      <c r="J269" s="98" t="str">
        <f t="shared" si="6"/>
        <v/>
      </c>
      <c r="K269" s="98" t="str">
        <f t="shared" si="7"/>
        <v/>
      </c>
      <c r="L269" s="141" t="str">
        <f t="shared" ref="L269:N269" si="274">IF(I269="",L268,I269)</f>
        <v>9.3.1</v>
      </c>
      <c r="M269" s="98" t="str">
        <f t="shared" si="274"/>
        <v>Javascript sin errores</v>
      </c>
      <c r="N269" s="98" t="str">
        <f t="shared" si="274"/>
        <v>Ausencia de errores de JavaScript en la consola del navegador.
</v>
      </c>
      <c r="O269" s="111" t="s">
        <v>37</v>
      </c>
      <c r="P269" s="112" t="s">
        <v>1182</v>
      </c>
      <c r="Q269" s="113"/>
      <c r="R269" s="114"/>
      <c r="S269" s="115" t="s">
        <v>1183</v>
      </c>
      <c r="T269" s="116" t="s">
        <v>16</v>
      </c>
      <c r="U269" s="94"/>
      <c r="V269" s="94"/>
      <c r="W269" s="94"/>
      <c r="X269" s="94"/>
      <c r="Y269" s="94"/>
      <c r="Z269" s="94"/>
      <c r="AA269" s="94"/>
      <c r="AB269" s="94"/>
      <c r="AC269" s="94"/>
      <c r="AD269" s="94"/>
      <c r="AE269" s="94"/>
      <c r="AF269" s="94"/>
      <c r="AG269" s="94"/>
      <c r="AH269" s="94"/>
      <c r="AI269" s="94"/>
      <c r="AJ269" s="94"/>
      <c r="AK269" s="94"/>
      <c r="AL269" s="94"/>
    </row>
    <row r="270" hidden="1">
      <c r="A270" s="86" t="s">
        <v>661</v>
      </c>
      <c r="B270" s="201" t="str">
        <f t="shared" si="2"/>
        <v>Otro</v>
      </c>
      <c r="C270" s="106" t="str">
        <f t="shared" si="9"/>
        <v>10.</v>
      </c>
      <c r="D270" s="106" t="str">
        <f t="shared" si="10"/>
        <v>Atención a la ciudadanía </v>
      </c>
      <c r="E270"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270" s="141" t="str">
        <f t="shared" si="3"/>
        <v>9.3</v>
      </c>
      <c r="G270" s="92" t="str">
        <f t="shared" si="4"/>
        <v>DESEABLES</v>
      </c>
      <c r="H270" s="109"/>
      <c r="I270" s="109" t="str">
        <f t="shared" si="5"/>
        <v/>
      </c>
      <c r="J270" s="98" t="str">
        <f t="shared" si="6"/>
        <v/>
      </c>
      <c r="K270" s="98" t="str">
        <f t="shared" si="7"/>
        <v/>
      </c>
      <c r="L270" s="141" t="str">
        <f t="shared" ref="L270:N270" si="275">IF(I270="",L269,I270)</f>
        <v>9.3.1</v>
      </c>
      <c r="M270" s="98" t="str">
        <f t="shared" si="275"/>
        <v>Javascript sin errores</v>
      </c>
      <c r="N270" s="98" t="str">
        <f t="shared" si="275"/>
        <v>Ausencia de errores de JavaScript en la consola del navegador.
</v>
      </c>
      <c r="O270" s="117"/>
      <c r="P270" s="118"/>
      <c r="Q270" s="119"/>
      <c r="R270" s="114"/>
      <c r="S270" s="239"/>
      <c r="T270" s="116" t="s">
        <v>19</v>
      </c>
      <c r="U270" s="94"/>
      <c r="V270" s="94"/>
      <c r="W270" s="94"/>
      <c r="X270" s="94"/>
      <c r="Y270" s="94"/>
      <c r="Z270" s="94"/>
      <c r="AA270" s="94"/>
      <c r="AB270" s="94"/>
      <c r="AC270" s="94"/>
      <c r="AD270" s="94"/>
      <c r="AE270" s="94"/>
      <c r="AF270" s="94"/>
      <c r="AG270" s="94"/>
      <c r="AH270" s="94"/>
      <c r="AI270" s="94"/>
      <c r="AJ270" s="94"/>
      <c r="AK270" s="94"/>
      <c r="AL270" s="94"/>
    </row>
    <row r="271" hidden="1">
      <c r="A271" s="86" t="s">
        <v>661</v>
      </c>
      <c r="B271" s="201" t="str">
        <f t="shared" si="2"/>
        <v>Otro</v>
      </c>
      <c r="C271" s="106" t="str">
        <f t="shared" si="9"/>
        <v>10.</v>
      </c>
      <c r="D271" s="106" t="str">
        <f t="shared" si="10"/>
        <v>Atención a la ciudadanía </v>
      </c>
      <c r="E271"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271" s="141" t="str">
        <f t="shared" si="3"/>
        <v>9.3</v>
      </c>
      <c r="G271" s="92" t="str">
        <f t="shared" si="4"/>
        <v>DESEABLES</v>
      </c>
      <c r="H271" s="109"/>
      <c r="I271" s="109" t="str">
        <f t="shared" si="5"/>
        <v/>
      </c>
      <c r="J271" s="98" t="str">
        <f t="shared" si="6"/>
        <v/>
      </c>
      <c r="K271" s="98" t="str">
        <f t="shared" si="7"/>
        <v/>
      </c>
      <c r="L271" s="141" t="str">
        <f t="shared" ref="L271:N271" si="276">IF(I271="",L270,I271)</f>
        <v>9.3.1</v>
      </c>
      <c r="M271" s="98" t="str">
        <f t="shared" si="276"/>
        <v>Javascript sin errores</v>
      </c>
      <c r="N271" s="98" t="str">
        <f t="shared" si="276"/>
        <v>Ausencia de errores de JavaScript en la consola del navegador.
</v>
      </c>
      <c r="O271" s="121"/>
      <c r="P271" s="122"/>
      <c r="Q271" s="123"/>
      <c r="R271" s="114"/>
      <c r="S271" s="240"/>
      <c r="T271" s="116" t="s">
        <v>22</v>
      </c>
      <c r="U271" s="94"/>
      <c r="V271" s="94"/>
      <c r="W271" s="94"/>
      <c r="X271" s="94"/>
      <c r="Y271" s="94"/>
      <c r="Z271" s="94"/>
      <c r="AA271" s="94"/>
      <c r="AB271" s="94"/>
      <c r="AC271" s="94"/>
      <c r="AD271" s="94"/>
      <c r="AE271" s="94"/>
      <c r="AF271" s="94"/>
      <c r="AG271" s="94"/>
      <c r="AH271" s="94"/>
      <c r="AI271" s="94"/>
      <c r="AJ271" s="94"/>
      <c r="AK271" s="94"/>
      <c r="AL271" s="94"/>
    </row>
    <row r="272" hidden="1">
      <c r="A272" s="86" t="s">
        <v>661</v>
      </c>
      <c r="B272" s="201" t="str">
        <f t="shared" si="2"/>
        <v>Otro</v>
      </c>
      <c r="C272" s="106" t="str">
        <f t="shared" si="9"/>
        <v>10.</v>
      </c>
      <c r="D272" s="106" t="str">
        <f t="shared" si="10"/>
        <v>Atención a la ciudadanía </v>
      </c>
      <c r="E272"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272" s="141" t="str">
        <f t="shared" si="3"/>
        <v>9.3</v>
      </c>
      <c r="G272" s="92" t="str">
        <f t="shared" si="4"/>
        <v>DESEABLES</v>
      </c>
      <c r="H272" s="125"/>
      <c r="I272" s="125" t="str">
        <f t="shared" si="5"/>
        <v/>
      </c>
      <c r="J272" s="98" t="str">
        <f t="shared" si="6"/>
        <v/>
      </c>
      <c r="K272" s="98" t="str">
        <f t="shared" si="7"/>
        <v/>
      </c>
      <c r="L272" s="141" t="str">
        <f t="shared" ref="L272:N272" si="277">IF(I272="",L271,I272)</f>
        <v>9.3.1</v>
      </c>
      <c r="M272" s="98" t="str">
        <f t="shared" si="277"/>
        <v>Javascript sin errores</v>
      </c>
      <c r="N272" s="98" t="str">
        <f t="shared" si="277"/>
        <v>Ausencia de errores de JavaScript en la consola del navegador.
</v>
      </c>
      <c r="O272" s="126"/>
      <c r="P272" s="114"/>
      <c r="Q272" s="114"/>
      <c r="R272" s="127"/>
      <c r="S272" s="127"/>
      <c r="T272" s="127"/>
      <c r="U272" s="94"/>
      <c r="V272" s="94"/>
      <c r="W272" s="94"/>
      <c r="X272" s="94"/>
      <c r="Y272" s="94"/>
      <c r="Z272" s="94"/>
      <c r="AA272" s="94"/>
      <c r="AB272" s="94"/>
      <c r="AC272" s="94"/>
      <c r="AD272" s="94"/>
      <c r="AE272" s="94"/>
      <c r="AF272" s="94"/>
      <c r="AG272" s="94"/>
      <c r="AH272" s="94"/>
      <c r="AI272" s="94"/>
      <c r="AJ272" s="94"/>
      <c r="AK272" s="94"/>
      <c r="AL272" s="94"/>
    </row>
    <row r="273" hidden="1">
      <c r="A273" s="86" t="s">
        <v>661</v>
      </c>
      <c r="B273" s="95" t="str">
        <f t="shared" si="2"/>
        <v>Otro</v>
      </c>
      <c r="C273" s="106" t="str">
        <f t="shared" si="9"/>
        <v>10.</v>
      </c>
      <c r="D273" s="106" t="str">
        <f t="shared" si="10"/>
        <v>Atención a la ciudadanía </v>
      </c>
      <c r="E273"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273" s="141" t="str">
        <f t="shared" si="3"/>
        <v>9.3</v>
      </c>
      <c r="G273" s="92" t="str">
        <f t="shared" si="4"/>
        <v>DESEABLES</v>
      </c>
      <c r="H273" s="130"/>
      <c r="I273" s="130" t="str">
        <f t="shared" si="5"/>
        <v/>
      </c>
      <c r="J273" s="98" t="str">
        <f t="shared" si="6"/>
        <v/>
      </c>
      <c r="K273" s="98" t="str">
        <f t="shared" si="7"/>
        <v/>
      </c>
      <c r="L273" s="141" t="str">
        <f t="shared" ref="L273:N273" si="278">IF(I273="",L272,I273)</f>
        <v>9.3.1</v>
      </c>
      <c r="M273" s="98" t="str">
        <f t="shared" si="278"/>
        <v>Javascript sin errores</v>
      </c>
      <c r="N273" s="98" t="str">
        <f t="shared" si="278"/>
        <v>Ausencia de errores de JavaScript en la consola del navegador.
</v>
      </c>
      <c r="O273" s="132" t="s">
        <v>1822</v>
      </c>
      <c r="P273" s="133" t="s">
        <v>1823</v>
      </c>
      <c r="Q273" s="133" t="s">
        <v>2031</v>
      </c>
      <c r="R273" s="134"/>
      <c r="S273" s="133" t="s">
        <v>1824</v>
      </c>
      <c r="T273" s="133" t="s">
        <v>1825</v>
      </c>
      <c r="U273" s="94"/>
      <c r="V273" s="94"/>
      <c r="W273" s="94"/>
      <c r="X273" s="94"/>
      <c r="Y273" s="94"/>
      <c r="Z273" s="94"/>
      <c r="AA273" s="94"/>
      <c r="AB273" s="94"/>
      <c r="AC273" s="94"/>
      <c r="AD273" s="94"/>
      <c r="AE273" s="94"/>
      <c r="AF273" s="94"/>
      <c r="AG273" s="94"/>
      <c r="AH273" s="94"/>
      <c r="AI273" s="94"/>
      <c r="AJ273" s="94"/>
      <c r="AK273" s="94"/>
      <c r="AL273" s="94"/>
    </row>
    <row r="274" hidden="1">
      <c r="A274" s="86" t="s">
        <v>661</v>
      </c>
      <c r="B274" s="95" t="str">
        <f t="shared" si="2"/>
        <v>Otro</v>
      </c>
      <c r="C274" s="106" t="str">
        <f t="shared" si="9"/>
        <v>10.</v>
      </c>
      <c r="D274" s="106" t="str">
        <f t="shared" si="10"/>
        <v>Atención a la ciudadanía </v>
      </c>
      <c r="E274"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274" s="141" t="str">
        <f t="shared" si="3"/>
        <v>10.1</v>
      </c>
      <c r="G274" s="92" t="str">
        <f t="shared" si="4"/>
        <v>IMPRESCINDIBLES</v>
      </c>
      <c r="H274" s="141"/>
      <c r="I274" s="141" t="str">
        <f t="shared" si="5"/>
        <v/>
      </c>
      <c r="J274" s="98" t="str">
        <f t="shared" si="6"/>
        <v/>
      </c>
      <c r="K274" s="98" t="str">
        <f t="shared" si="7"/>
        <v/>
      </c>
      <c r="L274" s="141" t="str">
        <f t="shared" ref="L274:N274" si="279">IF(I274="",L273,I274)</f>
        <v>9.3.1</v>
      </c>
      <c r="M274" s="98" t="str">
        <f t="shared" si="279"/>
        <v>Javascript sin errores</v>
      </c>
      <c r="N274" s="98" t="str">
        <f t="shared" si="279"/>
        <v>Ausencia de errores de JavaScript en la consola del navegador.
</v>
      </c>
      <c r="O274" s="258" t="s">
        <v>1184</v>
      </c>
      <c r="P274" s="206" t="s">
        <v>664</v>
      </c>
      <c r="Q274" s="200"/>
      <c r="R274" s="138"/>
      <c r="S274" s="139">
        <f>COUNTA(P275:P277)</f>
        <v>2</v>
      </c>
      <c r="T274" s="140">
        <f>COUNTIF(U275:U277,"n/a")</f>
        <v>0</v>
      </c>
      <c r="U274" s="94"/>
      <c r="V274" s="94"/>
      <c r="W274" s="94"/>
      <c r="X274" s="94"/>
      <c r="Y274" s="94"/>
      <c r="Z274" s="94"/>
      <c r="AA274" s="94"/>
      <c r="AB274" s="94"/>
      <c r="AC274" s="94"/>
      <c r="AD274" s="94"/>
      <c r="AE274" s="94"/>
      <c r="AF274" s="94"/>
      <c r="AG274" s="94"/>
      <c r="AH274" s="94"/>
      <c r="AI274" s="94"/>
      <c r="AJ274" s="94"/>
      <c r="AK274" s="94"/>
      <c r="AL274" s="94"/>
    </row>
    <row r="275">
      <c r="A275" s="105" t="s">
        <v>661</v>
      </c>
      <c r="B275" s="92" t="str">
        <f t="shared" si="2"/>
        <v>Pregunta</v>
      </c>
      <c r="C275" s="106" t="str">
        <f t="shared" si="9"/>
        <v>10.</v>
      </c>
      <c r="D275" s="106" t="str">
        <f t="shared" si="10"/>
        <v>Atención a la ciudadanía </v>
      </c>
      <c r="E275"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275" s="141" t="str">
        <f t="shared" si="3"/>
        <v>10.1</v>
      </c>
      <c r="G275" s="92" t="str">
        <f t="shared" si="4"/>
        <v>IMPRESCINDIBLES</v>
      </c>
      <c r="H275" s="141"/>
      <c r="I275" s="141" t="str">
        <f t="shared" si="5"/>
        <v>10.1.1</v>
      </c>
      <c r="J275" s="98" t="str">
        <f t="shared" si="6"/>
        <v>Contacto</v>
      </c>
      <c r="K275" s="98" t="str">
        <f t="shared" si="7"/>
        <v>Oferta de múltiples vías de comunicación de las personas usuarias con los puntos de contacto del organismo.</v>
      </c>
      <c r="L275" s="141" t="str">
        <f t="shared" ref="L275:N275" si="280">IF(I275="",L274,I275)</f>
        <v>10.1.1</v>
      </c>
      <c r="M275" s="98" t="str">
        <f t="shared" si="280"/>
        <v>Contacto</v>
      </c>
      <c r="N275" s="98" t="str">
        <f t="shared" si="280"/>
        <v>Oferta de múltiples vías de comunicación de las personas usuarias con los puntos de contacto del organismo.</v>
      </c>
      <c r="O275" s="259" t="s">
        <v>1185</v>
      </c>
      <c r="P275" s="180" t="s">
        <v>1186</v>
      </c>
      <c r="Q275" s="180" t="s">
        <v>1187</v>
      </c>
      <c r="R275" s="171"/>
      <c r="S275" s="162" t="s">
        <v>1188</v>
      </c>
      <c r="T275" s="160" t="s">
        <v>2033</v>
      </c>
      <c r="U275" s="94"/>
      <c r="V275" s="94"/>
      <c r="W275" s="94"/>
      <c r="X275" s="94"/>
      <c r="Y275" s="94"/>
      <c r="Z275" s="94"/>
      <c r="AA275" s="94"/>
      <c r="AB275" s="94"/>
      <c r="AC275" s="94"/>
      <c r="AD275" s="94"/>
      <c r="AE275" s="94"/>
      <c r="AF275" s="94"/>
      <c r="AG275" s="94"/>
      <c r="AH275" s="94"/>
      <c r="AI275" s="94"/>
      <c r="AJ275" s="94"/>
      <c r="AK275" s="94"/>
      <c r="AL275" s="94"/>
    </row>
    <row r="276">
      <c r="A276" s="86" t="s">
        <v>661</v>
      </c>
      <c r="B276" s="95" t="str">
        <f t="shared" si="2"/>
        <v>Pregunta</v>
      </c>
      <c r="C276" s="106" t="str">
        <f t="shared" si="9"/>
        <v>10.</v>
      </c>
      <c r="D276" s="106" t="str">
        <f t="shared" si="10"/>
        <v>Atención a la ciudadanía </v>
      </c>
      <c r="E276"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276" s="141" t="str">
        <f t="shared" si="3"/>
        <v>10.1</v>
      </c>
      <c r="G276" s="92" t="str">
        <f t="shared" si="4"/>
        <v>IMPRESCINDIBLES</v>
      </c>
      <c r="H276" s="141"/>
      <c r="I276" s="141" t="str">
        <f t="shared" si="5"/>
        <v/>
      </c>
      <c r="J276" s="98" t="str">
        <f t="shared" si="6"/>
        <v/>
      </c>
      <c r="K276" s="98" t="str">
        <f t="shared" si="7"/>
        <v/>
      </c>
      <c r="L276" s="141" t="str">
        <f t="shared" ref="L276:N276" si="281">IF(I276="",L275,I276)</f>
        <v>10.1.1</v>
      </c>
      <c r="M276" s="98" t="str">
        <f t="shared" si="281"/>
        <v>Contacto</v>
      </c>
      <c r="N276" s="98" t="str">
        <f t="shared" si="281"/>
        <v>Oferta de múltiples vías de comunicación de las personas usuarias con los puntos de contacto del organismo.</v>
      </c>
      <c r="O276" s="142"/>
      <c r="P276" s="143"/>
      <c r="Q276" s="143"/>
      <c r="R276" s="168"/>
      <c r="S276" s="169" t="s">
        <v>2105</v>
      </c>
      <c r="T276" s="164" t="s">
        <v>2033</v>
      </c>
      <c r="U276" s="94"/>
      <c r="V276" s="94"/>
      <c r="W276" s="94"/>
      <c r="X276" s="94"/>
      <c r="Y276" s="94"/>
      <c r="Z276" s="94"/>
      <c r="AA276" s="94"/>
      <c r="AB276" s="94"/>
      <c r="AC276" s="94"/>
      <c r="AD276" s="94"/>
      <c r="AE276" s="94"/>
      <c r="AF276" s="94"/>
      <c r="AG276" s="94"/>
      <c r="AH276" s="94"/>
      <c r="AI276" s="94"/>
      <c r="AJ276" s="94"/>
      <c r="AK276" s="94"/>
      <c r="AL276" s="94"/>
    </row>
    <row r="277">
      <c r="A277" s="105" t="s">
        <v>661</v>
      </c>
      <c r="B277" s="92" t="str">
        <f t="shared" si="2"/>
        <v>Pregunta</v>
      </c>
      <c r="C277" s="106" t="str">
        <f t="shared" si="9"/>
        <v>10.</v>
      </c>
      <c r="D277" s="106" t="str">
        <f t="shared" si="10"/>
        <v>Atención a la ciudadanía </v>
      </c>
      <c r="E277"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277" s="141" t="str">
        <f t="shared" si="3"/>
        <v>10.1</v>
      </c>
      <c r="G277" s="92" t="str">
        <f t="shared" si="4"/>
        <v>IMPRESCINDIBLES</v>
      </c>
      <c r="H277" s="141"/>
      <c r="I277" s="141" t="str">
        <f t="shared" si="5"/>
        <v>10.1.2</v>
      </c>
      <c r="J277" s="98" t="str">
        <f t="shared" si="6"/>
        <v>Horario de atención</v>
      </c>
      <c r="K277" s="98" t="str">
        <f t="shared" si="7"/>
        <v>Información de horarios de atención en los cuales se pueda acceder a los servicios ofrecidos por la institución.
</v>
      </c>
      <c r="L277" s="141" t="str">
        <f t="shared" ref="L277:N277" si="282">IF(I277="",L276,I277)</f>
        <v>10.1.2</v>
      </c>
      <c r="M277" s="98" t="str">
        <f t="shared" si="282"/>
        <v>Horario de atención</v>
      </c>
      <c r="N277" s="98" t="str">
        <f t="shared" si="282"/>
        <v>Información de horarios de atención en los cuales se pueda acceder a los servicios ofrecidos por la institución.
</v>
      </c>
      <c r="O277" s="165" t="s">
        <v>1190</v>
      </c>
      <c r="P277" s="166" t="s">
        <v>1191</v>
      </c>
      <c r="Q277" s="166" t="s">
        <v>1192</v>
      </c>
      <c r="R277" s="211"/>
      <c r="S277" s="166" t="s">
        <v>2106</v>
      </c>
      <c r="T277" s="164" t="s">
        <v>2033</v>
      </c>
      <c r="U277" s="94"/>
      <c r="V277" s="94"/>
      <c r="W277" s="94"/>
      <c r="X277" s="94"/>
      <c r="Y277" s="94"/>
      <c r="Z277" s="94"/>
      <c r="AA277" s="94"/>
      <c r="AB277" s="94"/>
      <c r="AC277" s="94"/>
      <c r="AD277" s="94"/>
      <c r="AE277" s="94"/>
      <c r="AF277" s="94"/>
      <c r="AG277" s="94"/>
      <c r="AH277" s="94"/>
      <c r="AI277" s="94"/>
      <c r="AJ277" s="94"/>
      <c r="AK277" s="94"/>
      <c r="AL277" s="94"/>
    </row>
    <row r="278" hidden="1">
      <c r="A278" s="86" t="s">
        <v>661</v>
      </c>
      <c r="B278" s="95" t="str">
        <f t="shared" si="2"/>
        <v>Otro</v>
      </c>
      <c r="C278" s="106" t="str">
        <f t="shared" si="9"/>
        <v>10.</v>
      </c>
      <c r="D278" s="106" t="str">
        <f t="shared" si="10"/>
        <v>Atención a la ciudadanía </v>
      </c>
      <c r="E278"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278" s="141" t="str">
        <f t="shared" si="3"/>
        <v>10.2</v>
      </c>
      <c r="G278" s="92" t="str">
        <f t="shared" si="4"/>
        <v>ESPERABLES</v>
      </c>
      <c r="H278" s="141"/>
      <c r="I278" s="141" t="str">
        <f t="shared" si="5"/>
        <v/>
      </c>
      <c r="J278" s="98" t="str">
        <f t="shared" si="6"/>
        <v/>
      </c>
      <c r="K278" s="98" t="str">
        <f t="shared" si="7"/>
        <v/>
      </c>
      <c r="L278" s="141" t="str">
        <f t="shared" ref="L278:N278" si="283">IF(I278="",L277,I278)</f>
        <v>10.1.2</v>
      </c>
      <c r="M278" s="98" t="str">
        <f t="shared" si="283"/>
        <v>Horario de atención</v>
      </c>
      <c r="N278" s="98" t="str">
        <f t="shared" si="283"/>
        <v>Información de horarios de atención en los cuales se pueda acceder a los servicios ofrecidos por la institución.
</v>
      </c>
      <c r="O278" s="175" t="s">
        <v>1194</v>
      </c>
      <c r="P278" s="206" t="s">
        <v>714</v>
      </c>
      <c r="Q278" s="200"/>
      <c r="R278" s="177"/>
      <c r="S278" s="178">
        <f>COUNTA(P279:P286)</f>
        <v>3</v>
      </c>
      <c r="T278" s="178">
        <f>COUNTIF(U279:U286,"n/a")</f>
        <v>0</v>
      </c>
      <c r="U278" s="94"/>
      <c r="V278" s="94"/>
      <c r="W278" s="94"/>
      <c r="X278" s="94"/>
      <c r="Y278" s="94"/>
      <c r="Z278" s="94"/>
      <c r="AA278" s="94"/>
      <c r="AB278" s="94"/>
      <c r="AC278" s="94"/>
      <c r="AD278" s="94"/>
      <c r="AE278" s="94"/>
      <c r="AF278" s="94"/>
      <c r="AG278" s="94"/>
      <c r="AH278" s="94"/>
      <c r="AI278" s="94"/>
      <c r="AJ278" s="94"/>
      <c r="AK278" s="94"/>
      <c r="AL278" s="94"/>
    </row>
    <row r="279">
      <c r="A279" s="105" t="s">
        <v>661</v>
      </c>
      <c r="B279" s="92" t="str">
        <f t="shared" si="2"/>
        <v>Pregunta</v>
      </c>
      <c r="C279" s="106" t="str">
        <f t="shared" si="9"/>
        <v>10.</v>
      </c>
      <c r="D279" s="106" t="str">
        <f t="shared" si="10"/>
        <v>Atención a la ciudadanía </v>
      </c>
      <c r="E279"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279" s="141" t="str">
        <f t="shared" si="3"/>
        <v>10.2</v>
      </c>
      <c r="G279" s="92" t="str">
        <f t="shared" si="4"/>
        <v>ESPERABLES</v>
      </c>
      <c r="H279" s="141"/>
      <c r="I279" s="141" t="str">
        <f t="shared" si="5"/>
        <v>10.2.1</v>
      </c>
      <c r="J279" s="98" t="str">
        <f t="shared" si="6"/>
        <v>Recursos de apoyo y documentación</v>
      </c>
      <c r="K279" s="98" t="str">
        <f t="shared" si="7"/>
        <v>Presencia de recursos y documentación de ayuda a las personas usuarias para responder sus consultas y necesidades de información que les surjan al utilizar un sitio web o servicios digitales.
</v>
      </c>
      <c r="L279" s="141" t="str">
        <f t="shared" ref="L279:N279" si="284">IF(I279="",L278,I279)</f>
        <v>10.2.1</v>
      </c>
      <c r="M279" s="98" t="str">
        <f t="shared" si="284"/>
        <v>Recursos de apoyo y documentación</v>
      </c>
      <c r="N279" s="98" t="str">
        <f t="shared" si="284"/>
        <v>Presencia de recursos y documentación de ayuda a las personas usuarias para responder sus consultas y necesidades de información que les surjan al utilizar un sitio web o servicios digitales.
</v>
      </c>
      <c r="O279" s="259" t="s">
        <v>1195</v>
      </c>
      <c r="P279" s="180" t="s">
        <v>1196</v>
      </c>
      <c r="Q279" s="180" t="s">
        <v>1197</v>
      </c>
      <c r="R279" s="171"/>
      <c r="S279" s="162" t="s">
        <v>1198</v>
      </c>
      <c r="T279" s="160" t="s">
        <v>2033</v>
      </c>
      <c r="U279" s="94"/>
      <c r="V279" s="94"/>
      <c r="W279" s="94"/>
      <c r="X279" s="94"/>
      <c r="Y279" s="94"/>
      <c r="Z279" s="94"/>
      <c r="AA279" s="94"/>
      <c r="AB279" s="94"/>
      <c r="AC279" s="94"/>
      <c r="AD279" s="94"/>
      <c r="AE279" s="94"/>
      <c r="AF279" s="94"/>
      <c r="AG279" s="94"/>
      <c r="AH279" s="94"/>
      <c r="AI279" s="94"/>
      <c r="AJ279" s="94"/>
      <c r="AK279" s="94"/>
      <c r="AL279" s="94"/>
    </row>
    <row r="280">
      <c r="A280" s="86" t="s">
        <v>661</v>
      </c>
      <c r="B280" s="95" t="str">
        <f t="shared" si="2"/>
        <v>Pregunta</v>
      </c>
      <c r="C280" s="106" t="str">
        <f t="shared" si="9"/>
        <v>10.</v>
      </c>
      <c r="D280" s="106" t="str">
        <f t="shared" si="10"/>
        <v>Atención a la ciudadanía </v>
      </c>
      <c r="E280"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280" s="141" t="str">
        <f t="shared" si="3"/>
        <v>10.2</v>
      </c>
      <c r="G280" s="92" t="str">
        <f t="shared" si="4"/>
        <v>ESPERABLES</v>
      </c>
      <c r="H280" s="141"/>
      <c r="I280" s="141" t="str">
        <f t="shared" si="5"/>
        <v/>
      </c>
      <c r="J280" s="98" t="str">
        <f t="shared" si="6"/>
        <v/>
      </c>
      <c r="K280" s="98" t="str">
        <f t="shared" si="7"/>
        <v/>
      </c>
      <c r="L280" s="141" t="str">
        <f t="shared" ref="L280:N280" si="285">IF(I280="",L279,I280)</f>
        <v>10.2.1</v>
      </c>
      <c r="M280" s="98" t="str">
        <f t="shared" si="285"/>
        <v>Recursos de apoyo y documentación</v>
      </c>
      <c r="N280" s="98" t="str">
        <f t="shared" si="285"/>
        <v>Presencia de recursos y documentación de ayuda a las personas usuarias para responder sus consultas y necesidades de información que les surjan al utilizar un sitio web o servicios digitales.
</v>
      </c>
      <c r="O280" s="172"/>
      <c r="P280" s="143"/>
      <c r="Q280" s="143"/>
      <c r="R280" s="168"/>
      <c r="S280" s="169" t="s">
        <v>2107</v>
      </c>
      <c r="T280" s="164" t="s">
        <v>2033</v>
      </c>
      <c r="U280" s="94"/>
      <c r="V280" s="94"/>
      <c r="W280" s="94"/>
      <c r="X280" s="94"/>
      <c r="Y280" s="94"/>
      <c r="Z280" s="94"/>
      <c r="AA280" s="94"/>
      <c r="AB280" s="94"/>
      <c r="AC280" s="94"/>
      <c r="AD280" s="94"/>
      <c r="AE280" s="94"/>
      <c r="AF280" s="94"/>
      <c r="AG280" s="94"/>
      <c r="AH280" s="94"/>
      <c r="AI280" s="94"/>
      <c r="AJ280" s="94"/>
      <c r="AK280" s="94"/>
      <c r="AL280" s="94"/>
    </row>
    <row r="281">
      <c r="A281" s="105" t="s">
        <v>661</v>
      </c>
      <c r="B281" s="92" t="str">
        <f t="shared" si="2"/>
        <v>Pregunta</v>
      </c>
      <c r="C281" s="106" t="str">
        <f t="shared" si="9"/>
        <v>10.</v>
      </c>
      <c r="D281" s="106" t="str">
        <f t="shared" si="10"/>
        <v>Atención a la ciudadanía </v>
      </c>
      <c r="E281"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281" s="141" t="str">
        <f t="shared" si="3"/>
        <v>10.2</v>
      </c>
      <c r="G281" s="92" t="str">
        <f t="shared" si="4"/>
        <v>ESPERABLES</v>
      </c>
      <c r="H281" s="141"/>
      <c r="I281" s="141" t="str">
        <f t="shared" si="5"/>
        <v>10.2.2</v>
      </c>
      <c r="J281" s="98" t="str">
        <f t="shared" si="6"/>
        <v>Sección de ayuda</v>
      </c>
      <c r="K281" s="98" t="str">
        <f t="shared" si="7"/>
        <v>Existencia de una sección especialmente dedicada a la ayuda para las personas usuarias, que reúna tanto los canales de atención como la documentación.
</v>
      </c>
      <c r="L281" s="141" t="str">
        <f t="shared" ref="L281:N281" si="286">IF(I281="",L280,I281)</f>
        <v>10.2.2</v>
      </c>
      <c r="M281" s="98" t="str">
        <f t="shared" si="286"/>
        <v>Sección de ayuda</v>
      </c>
      <c r="N281" s="98" t="str">
        <f t="shared" si="286"/>
        <v>Existencia de una sección especialmente dedicada a la ayuda para las personas usuarias, que reúna tanto los canales de atención como la documentación.
</v>
      </c>
      <c r="O281" s="152" t="s">
        <v>1200</v>
      </c>
      <c r="P281" s="148" t="s">
        <v>1201</v>
      </c>
      <c r="Q281" s="148" t="s">
        <v>1202</v>
      </c>
      <c r="R281" s="158"/>
      <c r="S281" s="170" t="s">
        <v>1203</v>
      </c>
      <c r="T281" s="160" t="s">
        <v>2033</v>
      </c>
      <c r="U281" s="94"/>
      <c r="V281" s="94"/>
      <c r="W281" s="94"/>
      <c r="X281" s="94"/>
      <c r="Y281" s="94"/>
      <c r="Z281" s="94"/>
      <c r="AA281" s="94"/>
      <c r="AB281" s="94"/>
      <c r="AC281" s="94"/>
      <c r="AD281" s="94"/>
      <c r="AE281" s="94"/>
      <c r="AF281" s="94"/>
      <c r="AG281" s="94"/>
      <c r="AH281" s="94"/>
      <c r="AI281" s="94"/>
      <c r="AJ281" s="94"/>
      <c r="AK281" s="94"/>
      <c r="AL281" s="94"/>
    </row>
    <row r="282">
      <c r="A282" s="86" t="s">
        <v>661</v>
      </c>
      <c r="B282" s="95" t="str">
        <f t="shared" si="2"/>
        <v>Pregunta</v>
      </c>
      <c r="C282" s="106" t="str">
        <f t="shared" si="9"/>
        <v>10.</v>
      </c>
      <c r="D282" s="106" t="str">
        <f t="shared" si="10"/>
        <v>Atención a la ciudadanía </v>
      </c>
      <c r="E282"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282" s="141" t="str">
        <f t="shared" si="3"/>
        <v>10.2</v>
      </c>
      <c r="G282" s="92" t="str">
        <f t="shared" si="4"/>
        <v>ESPERABLES</v>
      </c>
      <c r="H282" s="141"/>
      <c r="I282" s="141" t="str">
        <f t="shared" si="5"/>
        <v/>
      </c>
      <c r="J282" s="98" t="str">
        <f t="shared" si="6"/>
        <v/>
      </c>
      <c r="K282" s="98" t="str">
        <f t="shared" si="7"/>
        <v/>
      </c>
      <c r="L282" s="141" t="str">
        <f t="shared" ref="L282:N282" si="287">IF(I282="",L281,I282)</f>
        <v>10.2.2</v>
      </c>
      <c r="M282" s="98" t="str">
        <f t="shared" si="287"/>
        <v>Sección de ayuda</v>
      </c>
      <c r="N282" s="98" t="str">
        <f t="shared" si="287"/>
        <v>Existencia de una sección especialmente dedicada a la ayuda para las personas usuarias, que reúna tanto los canales de atención como la documentación.
</v>
      </c>
      <c r="O282" s="172"/>
      <c r="P282" s="143"/>
      <c r="Q282" s="143"/>
      <c r="R282" s="168"/>
      <c r="S282" s="169" t="s">
        <v>2108</v>
      </c>
      <c r="T282" s="164" t="s">
        <v>2033</v>
      </c>
      <c r="U282" s="94"/>
      <c r="V282" s="94"/>
      <c r="W282" s="94"/>
      <c r="X282" s="94"/>
      <c r="Y282" s="94"/>
      <c r="Z282" s="94"/>
      <c r="AA282" s="94"/>
      <c r="AB282" s="94"/>
      <c r="AC282" s="94"/>
      <c r="AD282" s="94"/>
      <c r="AE282" s="94"/>
      <c r="AF282" s="94"/>
      <c r="AG282" s="94"/>
      <c r="AH282" s="94"/>
      <c r="AI282" s="94"/>
      <c r="AJ282" s="94"/>
      <c r="AK282" s="94"/>
      <c r="AL282" s="94"/>
    </row>
    <row r="283">
      <c r="A283" s="105" t="s">
        <v>661</v>
      </c>
      <c r="B283" s="92" t="str">
        <f t="shared" si="2"/>
        <v>Pregunta</v>
      </c>
      <c r="C283" s="106" t="str">
        <f t="shared" si="9"/>
        <v>10.</v>
      </c>
      <c r="D283" s="106" t="str">
        <f t="shared" si="10"/>
        <v>Atención a la ciudadanía </v>
      </c>
      <c r="E283"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283" s="141" t="str">
        <f t="shared" si="3"/>
        <v>10.2</v>
      </c>
      <c r="G283" s="92" t="str">
        <f t="shared" si="4"/>
        <v>ESPERABLES</v>
      </c>
      <c r="H283" s="141"/>
      <c r="I283" s="141" t="str">
        <f t="shared" si="5"/>
        <v>10.2.3</v>
      </c>
      <c r="J283" s="98" t="str">
        <f t="shared" si="6"/>
        <v>Asistencia en línea</v>
      </c>
      <c r="K283" s="98" t="str">
        <f t="shared" si="7"/>
        <v>Canales de atención al ciudadano de manera sincrónica para satisfacer las necesidades de soporte que tengan las personas usuarias.</v>
      </c>
      <c r="L283" s="141" t="str">
        <f t="shared" ref="L283:N283" si="288">IF(I283="",L282,I283)</f>
        <v>10.2.3</v>
      </c>
      <c r="M283" s="98" t="str">
        <f t="shared" si="288"/>
        <v>Asistencia en línea</v>
      </c>
      <c r="N283" s="98" t="str">
        <f t="shared" si="288"/>
        <v>Canales de atención al ciudadano de manera sincrónica para satisfacer las necesidades de soporte que tengan las personas usuarias.</v>
      </c>
      <c r="O283" s="152" t="s">
        <v>1205</v>
      </c>
      <c r="P283" s="148" t="s">
        <v>1206</v>
      </c>
      <c r="Q283" s="148" t="s">
        <v>1207</v>
      </c>
      <c r="R283" s="158"/>
      <c r="S283" s="170" t="s">
        <v>1208</v>
      </c>
      <c r="T283" s="160" t="s">
        <v>2033</v>
      </c>
      <c r="U283" s="94"/>
      <c r="V283" s="94"/>
      <c r="W283" s="94"/>
      <c r="X283" s="94"/>
      <c r="Y283" s="94"/>
      <c r="Z283" s="94"/>
      <c r="AA283" s="94"/>
      <c r="AB283" s="94"/>
      <c r="AC283" s="94"/>
      <c r="AD283" s="94"/>
      <c r="AE283" s="94"/>
      <c r="AF283" s="94"/>
      <c r="AG283" s="94"/>
      <c r="AH283" s="94"/>
      <c r="AI283" s="94"/>
      <c r="AJ283" s="94"/>
      <c r="AK283" s="94"/>
      <c r="AL283" s="94"/>
    </row>
    <row r="284">
      <c r="A284" s="86" t="s">
        <v>661</v>
      </c>
      <c r="B284" s="95" t="str">
        <f t="shared" si="2"/>
        <v>Pregunta</v>
      </c>
      <c r="C284" s="106" t="str">
        <f t="shared" si="9"/>
        <v>10.</v>
      </c>
      <c r="D284" s="106" t="str">
        <f t="shared" si="10"/>
        <v>Atención a la ciudadanía </v>
      </c>
      <c r="E284"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284" s="141" t="str">
        <f t="shared" si="3"/>
        <v>10.2</v>
      </c>
      <c r="G284" s="92" t="str">
        <f t="shared" si="4"/>
        <v>ESPERABLES</v>
      </c>
      <c r="H284" s="141"/>
      <c r="I284" s="141" t="str">
        <f t="shared" si="5"/>
        <v/>
      </c>
      <c r="J284" s="98" t="str">
        <f t="shared" si="6"/>
        <v/>
      </c>
      <c r="K284" s="98" t="str">
        <f t="shared" si="7"/>
        <v/>
      </c>
      <c r="L284" s="141" t="str">
        <f t="shared" ref="L284:N284" si="289">IF(I284="",L283,I284)</f>
        <v>10.2.3</v>
      </c>
      <c r="M284" s="98" t="str">
        <f t="shared" si="289"/>
        <v>Asistencia en línea</v>
      </c>
      <c r="N284" s="98" t="str">
        <f t="shared" si="289"/>
        <v>Canales de atención al ciudadano de manera sincrónica para satisfacer las necesidades de soporte que tengan las personas usuarias.</v>
      </c>
      <c r="O284" s="152"/>
      <c r="P284" s="153"/>
      <c r="Q284" s="153"/>
      <c r="R284" s="149"/>
      <c r="S284" s="162" t="s">
        <v>1209</v>
      </c>
      <c r="T284" s="160" t="s">
        <v>2033</v>
      </c>
      <c r="U284" s="94"/>
      <c r="V284" s="94"/>
      <c r="W284" s="94"/>
      <c r="X284" s="94"/>
      <c r="Y284" s="94"/>
      <c r="Z284" s="94"/>
      <c r="AA284" s="94"/>
      <c r="AB284" s="94"/>
      <c r="AC284" s="94"/>
      <c r="AD284" s="94"/>
      <c r="AE284" s="94"/>
      <c r="AF284" s="94"/>
      <c r="AG284" s="94"/>
      <c r="AH284" s="94"/>
      <c r="AI284" s="94"/>
      <c r="AJ284" s="94"/>
      <c r="AK284" s="94"/>
      <c r="AL284" s="94"/>
    </row>
    <row r="285">
      <c r="A285" s="86" t="s">
        <v>661</v>
      </c>
      <c r="B285" s="95" t="str">
        <f t="shared" si="2"/>
        <v>Pregunta</v>
      </c>
      <c r="C285" s="106" t="str">
        <f t="shared" si="9"/>
        <v>10.</v>
      </c>
      <c r="D285" s="106" t="str">
        <f t="shared" si="10"/>
        <v>Atención a la ciudadanía </v>
      </c>
      <c r="E285"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285" s="141" t="str">
        <f t="shared" si="3"/>
        <v>10.2</v>
      </c>
      <c r="G285" s="92" t="str">
        <f t="shared" si="4"/>
        <v>ESPERABLES</v>
      </c>
      <c r="H285" s="141"/>
      <c r="I285" s="141" t="str">
        <f t="shared" si="5"/>
        <v/>
      </c>
      <c r="J285" s="98" t="str">
        <f t="shared" si="6"/>
        <v/>
      </c>
      <c r="K285" s="98" t="str">
        <f t="shared" si="7"/>
        <v/>
      </c>
      <c r="L285" s="141" t="str">
        <f t="shared" ref="L285:N285" si="290">IF(I285="",L284,I285)</f>
        <v>10.2.3</v>
      </c>
      <c r="M285" s="98" t="str">
        <f t="shared" si="290"/>
        <v>Asistencia en línea</v>
      </c>
      <c r="N285" s="98" t="str">
        <f t="shared" si="290"/>
        <v>Canales de atención al ciudadano de manera sincrónica para satisfacer las necesidades de soporte que tengan las personas usuarias.</v>
      </c>
      <c r="O285" s="152"/>
      <c r="P285" s="153"/>
      <c r="Q285" s="153"/>
      <c r="R285" s="149"/>
      <c r="S285" s="162" t="s">
        <v>2109</v>
      </c>
      <c r="T285" s="160" t="s">
        <v>2033</v>
      </c>
      <c r="U285" s="94"/>
      <c r="V285" s="94"/>
      <c r="W285" s="94"/>
      <c r="X285" s="94"/>
      <c r="Y285" s="94"/>
      <c r="Z285" s="94"/>
      <c r="AA285" s="94"/>
      <c r="AB285" s="94"/>
      <c r="AC285" s="94"/>
      <c r="AD285" s="94"/>
      <c r="AE285" s="94"/>
      <c r="AF285" s="94"/>
      <c r="AG285" s="94"/>
      <c r="AH285" s="94"/>
      <c r="AI285" s="94"/>
      <c r="AJ285" s="94"/>
      <c r="AK285" s="94"/>
      <c r="AL285" s="94"/>
    </row>
    <row r="286">
      <c r="A286" s="86" t="s">
        <v>661</v>
      </c>
      <c r="B286" s="95" t="str">
        <f t="shared" si="2"/>
        <v>Pregunta</v>
      </c>
      <c r="C286" s="106" t="str">
        <f t="shared" si="9"/>
        <v>10.</v>
      </c>
      <c r="D286" s="106" t="str">
        <f t="shared" si="10"/>
        <v>Atención a la ciudadanía </v>
      </c>
      <c r="E286"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286" s="141" t="str">
        <f t="shared" si="3"/>
        <v>10.2</v>
      </c>
      <c r="G286" s="92" t="str">
        <f t="shared" si="4"/>
        <v>ESPERABLES</v>
      </c>
      <c r="H286" s="141"/>
      <c r="I286" s="141" t="str">
        <f t="shared" si="5"/>
        <v/>
      </c>
      <c r="J286" s="98" t="str">
        <f t="shared" si="6"/>
        <v/>
      </c>
      <c r="K286" s="98" t="str">
        <f t="shared" si="7"/>
        <v/>
      </c>
      <c r="L286" s="141" t="str">
        <f t="shared" ref="L286:N286" si="291">IF(I286="",L285,I286)</f>
        <v>10.2.3</v>
      </c>
      <c r="M286" s="98" t="str">
        <f t="shared" si="291"/>
        <v>Asistencia en línea</v>
      </c>
      <c r="N286" s="98" t="str">
        <f t="shared" si="291"/>
        <v>Canales de atención al ciudadano de manera sincrónica para satisfacer las necesidades de soporte que tengan las personas usuarias.</v>
      </c>
      <c r="O286" s="142"/>
      <c r="P286" s="143"/>
      <c r="Q286" s="143"/>
      <c r="R286" s="174"/>
      <c r="S286" s="169" t="s">
        <v>2110</v>
      </c>
      <c r="T286" s="164" t="s">
        <v>2033</v>
      </c>
      <c r="U286" s="94"/>
      <c r="V286" s="94"/>
      <c r="W286" s="94"/>
      <c r="X286" s="94"/>
      <c r="Y286" s="94"/>
      <c r="Z286" s="94"/>
      <c r="AA286" s="94"/>
      <c r="AB286" s="94"/>
      <c r="AC286" s="94"/>
      <c r="AD286" s="94"/>
      <c r="AE286" s="94"/>
      <c r="AF286" s="94"/>
      <c r="AG286" s="94"/>
      <c r="AH286" s="94"/>
      <c r="AI286" s="94"/>
      <c r="AJ286" s="94"/>
      <c r="AK286" s="94"/>
      <c r="AL286" s="94"/>
    </row>
    <row r="287" hidden="1">
      <c r="A287" s="86" t="s">
        <v>661</v>
      </c>
      <c r="B287" s="95" t="str">
        <f t="shared" si="2"/>
        <v>Otro</v>
      </c>
      <c r="C287" s="106" t="str">
        <f t="shared" si="9"/>
        <v>10.</v>
      </c>
      <c r="D287" s="106" t="str">
        <f t="shared" si="10"/>
        <v>Atención a la ciudadanía </v>
      </c>
      <c r="E287"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287" s="141" t="str">
        <f t="shared" si="3"/>
        <v>10.3</v>
      </c>
      <c r="G287" s="92" t="str">
        <f t="shared" si="4"/>
        <v>DESEABLES</v>
      </c>
      <c r="H287" s="141"/>
      <c r="I287" s="141" t="str">
        <f t="shared" si="5"/>
        <v/>
      </c>
      <c r="J287" s="98" t="str">
        <f t="shared" si="6"/>
        <v/>
      </c>
      <c r="K287" s="98" t="str">
        <f t="shared" si="7"/>
        <v/>
      </c>
      <c r="L287" s="141" t="str">
        <f t="shared" ref="L287:N287" si="292">IF(I287="",L286,I287)</f>
        <v>10.2.3</v>
      </c>
      <c r="M287" s="98" t="str">
        <f t="shared" si="292"/>
        <v>Asistencia en línea</v>
      </c>
      <c r="N287" s="98" t="str">
        <f t="shared" si="292"/>
        <v>Canales de atención al ciudadano de manera sincrónica para satisfacer las necesidades de soporte que tengan las personas usuarias.</v>
      </c>
      <c r="O287" s="181" t="s">
        <v>1212</v>
      </c>
      <c r="P287" s="182" t="s">
        <v>749</v>
      </c>
      <c r="Q287" s="183"/>
      <c r="R287" s="183"/>
      <c r="S287" s="184">
        <f>COUNTA(P288)</f>
        <v>1</v>
      </c>
      <c r="T287" s="184">
        <f>COUNTIF(U288,"n/a")</f>
        <v>0</v>
      </c>
      <c r="U287" s="94"/>
      <c r="V287" s="94"/>
      <c r="W287" s="94"/>
      <c r="X287" s="94"/>
      <c r="Y287" s="94"/>
      <c r="Z287" s="94"/>
      <c r="AA287" s="94"/>
      <c r="AB287" s="94"/>
      <c r="AC287" s="94"/>
      <c r="AD287" s="94"/>
      <c r="AE287" s="94"/>
      <c r="AF287" s="94"/>
      <c r="AG287" s="94"/>
      <c r="AH287" s="94"/>
      <c r="AI287" s="94"/>
      <c r="AJ287" s="94"/>
      <c r="AK287" s="94"/>
      <c r="AL287" s="94"/>
    </row>
    <row r="288">
      <c r="A288" s="105" t="s">
        <v>661</v>
      </c>
      <c r="B288" s="92" t="str">
        <f t="shared" si="2"/>
        <v>Pregunta</v>
      </c>
      <c r="C288" s="106" t="str">
        <f t="shared" si="9"/>
        <v>10.</v>
      </c>
      <c r="D288" s="106" t="str">
        <f t="shared" si="10"/>
        <v>Atención a la ciudadanía </v>
      </c>
      <c r="E288"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288" s="141" t="str">
        <f t="shared" si="3"/>
        <v>10.3</v>
      </c>
      <c r="G288" s="92" t="str">
        <f t="shared" si="4"/>
        <v>DESEABLES</v>
      </c>
      <c r="H288" s="141"/>
      <c r="I288" s="141" t="str">
        <f t="shared" si="5"/>
        <v>10.3.1</v>
      </c>
      <c r="J288" s="98" t="str">
        <f t="shared" si="6"/>
        <v>Espacios participativos</v>
      </c>
      <c r="K288" s="98" t="str">
        <f t="shared" si="7"/>
        <v>Presencia de espacios para promover la democracia participativa donde se recoja la opinión de la ciudadanía y fomenten hábitos de socialización.
</v>
      </c>
      <c r="L288" s="141" t="str">
        <f t="shared" ref="L288:N288" si="293">IF(I288="",L287,I288)</f>
        <v>10.3.1</v>
      </c>
      <c r="M288" s="98" t="str">
        <f t="shared" si="293"/>
        <v>Espacios participativos</v>
      </c>
      <c r="N288" s="98" t="str">
        <f t="shared" si="293"/>
        <v>Presencia de espacios para promover la democracia participativa donde se recoja la opinión de la ciudadanía y fomenten hábitos de socialización.
</v>
      </c>
      <c r="O288" s="275" t="s">
        <v>1213</v>
      </c>
      <c r="P288" s="169" t="s">
        <v>1214</v>
      </c>
      <c r="Q288" s="169" t="s">
        <v>1215</v>
      </c>
      <c r="R288" s="168"/>
      <c r="S288" s="169" t="s">
        <v>1216</v>
      </c>
      <c r="T288" s="164" t="s">
        <v>2033</v>
      </c>
      <c r="U288" s="94"/>
      <c r="V288" s="94"/>
      <c r="W288" s="94"/>
      <c r="X288" s="94"/>
      <c r="Y288" s="94"/>
      <c r="Z288" s="94"/>
      <c r="AA288" s="94"/>
      <c r="AB288" s="94"/>
      <c r="AC288" s="94"/>
      <c r="AD288" s="94"/>
      <c r="AE288" s="94"/>
      <c r="AF288" s="94"/>
      <c r="AG288" s="94"/>
      <c r="AH288" s="94"/>
      <c r="AI288" s="94"/>
      <c r="AJ288" s="94"/>
      <c r="AK288" s="94"/>
      <c r="AL288" s="94"/>
    </row>
    <row r="289" hidden="1">
      <c r="A289" s="86" t="s">
        <v>661</v>
      </c>
      <c r="B289" s="201" t="str">
        <f t="shared" si="2"/>
        <v>Otro</v>
      </c>
      <c r="C289" s="106" t="str">
        <f t="shared" si="9"/>
        <v>11.</v>
      </c>
      <c r="D289" s="106" t="str">
        <f t="shared" si="10"/>
        <v>Audiovisualidad</v>
      </c>
      <c r="E289" s="106" t="str">
        <f t="shared" si="11"/>
        <v>Conjunto de objetos interactivos o no interactivos que contienen información representada por texto, imagen, video, animación, sonido u otro tipo de medios.</v>
      </c>
      <c r="F289" s="141" t="str">
        <f t="shared" si="3"/>
        <v>10.3</v>
      </c>
      <c r="G289" s="92" t="str">
        <f t="shared" si="4"/>
        <v>DESEABLES</v>
      </c>
      <c r="H289" s="109"/>
      <c r="I289" s="109" t="str">
        <f t="shared" si="5"/>
        <v/>
      </c>
      <c r="J289" s="98" t="str">
        <f t="shared" si="6"/>
        <v/>
      </c>
      <c r="K289" s="98" t="str">
        <f t="shared" si="7"/>
        <v/>
      </c>
      <c r="L289" s="141" t="str">
        <f t="shared" ref="L289:N289" si="294">IF(I289="",L288,I289)</f>
        <v>10.3.1</v>
      </c>
      <c r="M289" s="98" t="str">
        <f t="shared" si="294"/>
        <v>Espacios participativos</v>
      </c>
      <c r="N289" s="98" t="str">
        <f t="shared" si="294"/>
        <v>Presencia de espacios para promover la democracia participativa donde se recoja la opinión de la ciudadanía y fomenten hábitos de socialización.
</v>
      </c>
      <c r="O289" s="117" t="s">
        <v>39</v>
      </c>
      <c r="P289" s="281" t="s">
        <v>40</v>
      </c>
      <c r="Q289" s="119"/>
      <c r="R289" s="282"/>
      <c r="S289" s="120" t="s">
        <v>1217</v>
      </c>
      <c r="T289" s="116" t="s">
        <v>16</v>
      </c>
      <c r="U289" s="94"/>
      <c r="V289" s="94"/>
      <c r="W289" s="94"/>
      <c r="X289" s="94"/>
      <c r="Y289" s="94"/>
      <c r="Z289" s="94"/>
      <c r="AA289" s="94"/>
      <c r="AB289" s="94"/>
      <c r="AC289" s="94"/>
      <c r="AD289" s="94"/>
      <c r="AE289" s="94"/>
      <c r="AF289" s="94"/>
      <c r="AG289" s="94"/>
      <c r="AH289" s="94"/>
      <c r="AI289" s="94"/>
      <c r="AJ289" s="94"/>
      <c r="AK289" s="94"/>
      <c r="AL289" s="94"/>
    </row>
    <row r="290" hidden="1">
      <c r="A290" s="86" t="s">
        <v>661</v>
      </c>
      <c r="B290" s="201" t="str">
        <f t="shared" si="2"/>
        <v>Otro</v>
      </c>
      <c r="C290" s="106" t="str">
        <f t="shared" si="9"/>
        <v>11.</v>
      </c>
      <c r="D290" s="106" t="str">
        <f t="shared" si="10"/>
        <v>Audiovisualidad</v>
      </c>
      <c r="E290" s="106" t="str">
        <f t="shared" si="11"/>
        <v>Conjunto de objetos interactivos o no interactivos que contienen información representada por texto, imagen, video, animación, sonido u otro tipo de medios.</v>
      </c>
      <c r="F290" s="141" t="str">
        <f t="shared" si="3"/>
        <v>10.3</v>
      </c>
      <c r="G290" s="92" t="str">
        <f t="shared" si="4"/>
        <v>DESEABLES</v>
      </c>
      <c r="H290" s="109"/>
      <c r="I290" s="109" t="str">
        <f t="shared" si="5"/>
        <v/>
      </c>
      <c r="J290" s="98" t="str">
        <f t="shared" si="6"/>
        <v/>
      </c>
      <c r="K290" s="98" t="str">
        <f t="shared" si="7"/>
        <v/>
      </c>
      <c r="L290" s="141" t="str">
        <f t="shared" ref="L290:N290" si="295">IF(I290="",L289,I290)</f>
        <v>10.3.1</v>
      </c>
      <c r="M290" s="98" t="str">
        <f t="shared" si="295"/>
        <v>Espacios participativos</v>
      </c>
      <c r="N290" s="98" t="str">
        <f t="shared" si="295"/>
        <v>Presencia de espacios para promover la democracia participativa donde se recoja la opinión de la ciudadanía y fomenten hábitos de socialización.
</v>
      </c>
      <c r="O290" s="117"/>
      <c r="P290" s="281"/>
      <c r="Q290" s="119"/>
      <c r="R290" s="282"/>
      <c r="S290" s="239"/>
      <c r="T290" s="116" t="s">
        <v>19</v>
      </c>
      <c r="U290" s="94"/>
      <c r="V290" s="94"/>
      <c r="W290" s="94"/>
      <c r="X290" s="94"/>
      <c r="Y290" s="94"/>
      <c r="Z290" s="94"/>
      <c r="AA290" s="94"/>
      <c r="AB290" s="94"/>
      <c r="AC290" s="94"/>
      <c r="AD290" s="94"/>
      <c r="AE290" s="94"/>
      <c r="AF290" s="94"/>
      <c r="AG290" s="94"/>
      <c r="AH290" s="94"/>
      <c r="AI290" s="94"/>
      <c r="AJ290" s="94"/>
      <c r="AK290" s="94"/>
      <c r="AL290" s="94"/>
    </row>
    <row r="291" hidden="1">
      <c r="A291" s="86" t="s">
        <v>661</v>
      </c>
      <c r="B291" s="201" t="str">
        <f t="shared" si="2"/>
        <v>Otro</v>
      </c>
      <c r="C291" s="106" t="str">
        <f t="shared" si="9"/>
        <v>11.</v>
      </c>
      <c r="D291" s="106" t="str">
        <f t="shared" si="10"/>
        <v>Audiovisualidad</v>
      </c>
      <c r="E291" s="106" t="str">
        <f t="shared" si="11"/>
        <v>Conjunto de objetos interactivos o no interactivos que contienen información representada por texto, imagen, video, animación, sonido u otro tipo de medios.</v>
      </c>
      <c r="F291" s="141" t="str">
        <f t="shared" si="3"/>
        <v>10.3</v>
      </c>
      <c r="G291" s="92" t="str">
        <f t="shared" si="4"/>
        <v>DESEABLES</v>
      </c>
      <c r="H291" s="109"/>
      <c r="I291" s="109" t="str">
        <f t="shared" si="5"/>
        <v/>
      </c>
      <c r="J291" s="98" t="str">
        <f t="shared" si="6"/>
        <v/>
      </c>
      <c r="K291" s="98" t="str">
        <f t="shared" si="7"/>
        <v/>
      </c>
      <c r="L291" s="141" t="str">
        <f t="shared" ref="L291:N291" si="296">IF(I291="",L290,I291)</f>
        <v>10.3.1</v>
      </c>
      <c r="M291" s="98" t="str">
        <f t="shared" si="296"/>
        <v>Espacios participativos</v>
      </c>
      <c r="N291" s="98" t="str">
        <f t="shared" si="296"/>
        <v>Presencia de espacios para promover la democracia participativa donde se recoja la opinión de la ciudadanía y fomenten hábitos de socialización.
</v>
      </c>
      <c r="O291" s="121"/>
      <c r="P291" s="283"/>
      <c r="Q291" s="123"/>
      <c r="R291" s="282"/>
      <c r="S291" s="240"/>
      <c r="T291" s="241"/>
      <c r="U291" s="94"/>
      <c r="V291" s="94"/>
      <c r="W291" s="94"/>
      <c r="X291" s="94"/>
      <c r="Y291" s="94"/>
      <c r="Z291" s="94"/>
      <c r="AA291" s="94"/>
      <c r="AB291" s="94"/>
      <c r="AC291" s="94"/>
      <c r="AD291" s="94"/>
      <c r="AE291" s="94"/>
      <c r="AF291" s="94"/>
      <c r="AG291" s="94"/>
      <c r="AH291" s="94"/>
      <c r="AI291" s="94"/>
      <c r="AJ291" s="94"/>
      <c r="AK291" s="94"/>
      <c r="AL291" s="94"/>
    </row>
    <row r="292" hidden="1">
      <c r="A292" s="86" t="s">
        <v>661</v>
      </c>
      <c r="B292" s="201" t="str">
        <f t="shared" si="2"/>
        <v>Otro</v>
      </c>
      <c r="C292" s="106" t="str">
        <f t="shared" si="9"/>
        <v>11.</v>
      </c>
      <c r="D292" s="106" t="str">
        <f t="shared" si="10"/>
        <v>Audiovisualidad</v>
      </c>
      <c r="E292" s="106" t="str">
        <f t="shared" si="11"/>
        <v>Conjunto de objetos interactivos o no interactivos que contienen información representada por texto, imagen, video, animación, sonido u otro tipo de medios.</v>
      </c>
      <c r="F292" s="141" t="str">
        <f t="shared" si="3"/>
        <v>10.3</v>
      </c>
      <c r="G292" s="92" t="str">
        <f t="shared" si="4"/>
        <v>DESEABLES</v>
      </c>
      <c r="H292" s="96"/>
      <c r="I292" s="96" t="str">
        <f t="shared" si="5"/>
        <v/>
      </c>
      <c r="J292" s="98" t="str">
        <f t="shared" si="6"/>
        <v/>
      </c>
      <c r="K292" s="98" t="str">
        <f t="shared" si="7"/>
        <v/>
      </c>
      <c r="L292" s="141" t="str">
        <f t="shared" ref="L292:N292" si="297">IF(I292="",L291,I292)</f>
        <v>10.3.1</v>
      </c>
      <c r="M292" s="98" t="str">
        <f t="shared" si="297"/>
        <v>Espacios participativos</v>
      </c>
      <c r="N292" s="98" t="str">
        <f t="shared" si="297"/>
        <v>Presencia de espacios para promover la democracia participativa donde se recoja la opinión de la ciudadanía y fomenten hábitos de socialización.
</v>
      </c>
      <c r="O292" s="104"/>
      <c r="P292" s="114"/>
      <c r="Q292" s="114"/>
      <c r="R292" s="284"/>
      <c r="S292" s="284"/>
      <c r="T292" s="285"/>
      <c r="U292" s="94"/>
      <c r="V292" s="94"/>
      <c r="W292" s="94"/>
      <c r="X292" s="94"/>
      <c r="Y292" s="94"/>
      <c r="Z292" s="94"/>
      <c r="AA292" s="94"/>
      <c r="AB292" s="94"/>
      <c r="AC292" s="94"/>
      <c r="AD292" s="94"/>
      <c r="AE292" s="94"/>
      <c r="AF292" s="94"/>
      <c r="AG292" s="94"/>
      <c r="AH292" s="94"/>
      <c r="AI292" s="94"/>
      <c r="AJ292" s="94"/>
      <c r="AK292" s="94"/>
      <c r="AL292" s="94"/>
    </row>
    <row r="293" hidden="1">
      <c r="A293" s="86" t="s">
        <v>661</v>
      </c>
      <c r="B293" s="95" t="str">
        <f t="shared" si="2"/>
        <v>Otro</v>
      </c>
      <c r="C293" s="106" t="str">
        <f t="shared" si="9"/>
        <v>11.</v>
      </c>
      <c r="D293" s="106" t="str">
        <f t="shared" si="10"/>
        <v>Audiovisualidad</v>
      </c>
      <c r="E293" s="106" t="str">
        <f t="shared" si="11"/>
        <v>Conjunto de objetos interactivos o no interactivos que contienen información representada por texto, imagen, video, animación, sonido u otro tipo de medios.</v>
      </c>
      <c r="F293" s="141" t="str">
        <f t="shared" si="3"/>
        <v>10.3</v>
      </c>
      <c r="G293" s="92" t="str">
        <f t="shared" si="4"/>
        <v>DESEABLES</v>
      </c>
      <c r="H293" s="130"/>
      <c r="I293" s="130" t="str">
        <f t="shared" si="5"/>
        <v/>
      </c>
      <c r="J293" s="98" t="str">
        <f t="shared" si="6"/>
        <v/>
      </c>
      <c r="K293" s="98" t="str">
        <f t="shared" si="7"/>
        <v/>
      </c>
      <c r="L293" s="141" t="str">
        <f t="shared" ref="L293:N293" si="298">IF(I293="",L292,I293)</f>
        <v>10.3.1</v>
      </c>
      <c r="M293" s="98" t="str">
        <f t="shared" si="298"/>
        <v>Espacios participativos</v>
      </c>
      <c r="N293" s="98" t="str">
        <f t="shared" si="298"/>
        <v>Presencia de espacios para promover la democracia participativa donde se recoja la opinión de la ciudadanía y fomenten hábitos de socialización.
</v>
      </c>
      <c r="O293" s="132" t="s">
        <v>1822</v>
      </c>
      <c r="P293" s="133" t="s">
        <v>1823</v>
      </c>
      <c r="Q293" s="133" t="s">
        <v>2031</v>
      </c>
      <c r="R293" s="134"/>
      <c r="S293" s="133" t="s">
        <v>1824</v>
      </c>
      <c r="T293" s="133" t="s">
        <v>1825</v>
      </c>
      <c r="U293" s="94"/>
      <c r="V293" s="94"/>
      <c r="W293" s="94"/>
      <c r="X293" s="94"/>
      <c r="Y293" s="94"/>
      <c r="Z293" s="94"/>
      <c r="AA293" s="94"/>
      <c r="AB293" s="94"/>
      <c r="AC293" s="94"/>
      <c r="AD293" s="94"/>
      <c r="AE293" s="94"/>
      <c r="AF293" s="94"/>
      <c r="AG293" s="94"/>
      <c r="AH293" s="94"/>
      <c r="AI293" s="94"/>
      <c r="AJ293" s="94"/>
      <c r="AK293" s="94"/>
      <c r="AL293" s="94"/>
    </row>
    <row r="294" hidden="1">
      <c r="A294" s="86" t="s">
        <v>661</v>
      </c>
      <c r="B294" s="95" t="str">
        <f t="shared" si="2"/>
        <v>Otro</v>
      </c>
      <c r="C294" s="106" t="str">
        <f t="shared" si="9"/>
        <v>11.</v>
      </c>
      <c r="D294" s="106" t="str">
        <f t="shared" si="10"/>
        <v>Audiovisualidad</v>
      </c>
      <c r="E294" s="106" t="str">
        <f t="shared" si="11"/>
        <v>Conjunto de objetos interactivos o no interactivos que contienen información representada por texto, imagen, video, animación, sonido u otro tipo de medios.</v>
      </c>
      <c r="F294" s="135" t="str">
        <f t="shared" si="3"/>
        <v>11.1</v>
      </c>
      <c r="G294" s="92" t="str">
        <f t="shared" si="4"/>
        <v>IMPRESCINDIBLES</v>
      </c>
      <c r="H294" s="135"/>
      <c r="I294" s="135" t="str">
        <f t="shared" si="5"/>
        <v/>
      </c>
      <c r="J294" s="98" t="str">
        <f t="shared" si="6"/>
        <v/>
      </c>
      <c r="K294" s="98" t="str">
        <f t="shared" si="7"/>
        <v/>
      </c>
      <c r="L294" s="141" t="str">
        <f t="shared" ref="L294:N294" si="299">IF(I294="",L293,I294)</f>
        <v>10.3.1</v>
      </c>
      <c r="M294" s="98" t="str">
        <f t="shared" si="299"/>
        <v>Espacios participativos</v>
      </c>
      <c r="N294" s="98" t="str">
        <f t="shared" si="299"/>
        <v>Presencia de espacios para promover la democracia participativa donde se recoja la opinión de la ciudadanía y fomenten hábitos de socialización.
</v>
      </c>
      <c r="O294" s="234" t="s">
        <v>1218</v>
      </c>
      <c r="P294" s="206" t="s">
        <v>664</v>
      </c>
      <c r="Q294" s="200"/>
      <c r="R294" s="138"/>
      <c r="S294" s="139">
        <f>COUNTA(P295:P296)</f>
        <v>1</v>
      </c>
      <c r="T294" s="140">
        <f>COUNTIF(U295:U296,"n/a")</f>
        <v>0</v>
      </c>
      <c r="U294" s="94"/>
      <c r="V294" s="94"/>
      <c r="W294" s="94"/>
      <c r="X294" s="94"/>
      <c r="Y294" s="94"/>
      <c r="Z294" s="94"/>
      <c r="AA294" s="94"/>
      <c r="AB294" s="94"/>
      <c r="AC294" s="94"/>
      <c r="AD294" s="94"/>
      <c r="AE294" s="94"/>
      <c r="AF294" s="94"/>
      <c r="AG294" s="94"/>
      <c r="AH294" s="94"/>
      <c r="AI294" s="94"/>
      <c r="AJ294" s="94"/>
      <c r="AK294" s="94"/>
      <c r="AL294" s="94"/>
    </row>
    <row r="295">
      <c r="A295" s="105" t="s">
        <v>661</v>
      </c>
      <c r="B295" s="92" t="str">
        <f t="shared" si="2"/>
        <v>Pregunta</v>
      </c>
      <c r="C295" s="106" t="str">
        <f t="shared" si="9"/>
        <v>11.</v>
      </c>
      <c r="D295" s="106" t="str">
        <f t="shared" si="10"/>
        <v>Audiovisualidad</v>
      </c>
      <c r="E295" s="106" t="str">
        <f t="shared" si="11"/>
        <v>Conjunto de objetos interactivos o no interactivos que contienen información representada por texto, imagen, video, animación, sonido u otro tipo de medios.</v>
      </c>
      <c r="F295" s="135" t="str">
        <f t="shared" si="3"/>
        <v>11.1</v>
      </c>
      <c r="G295" s="92" t="str">
        <f t="shared" si="4"/>
        <v>IMPRESCINDIBLES</v>
      </c>
      <c r="H295" s="135"/>
      <c r="I295" s="135" t="str">
        <f t="shared" si="5"/>
        <v>11.1.1</v>
      </c>
      <c r="J295" s="98" t="str">
        <f t="shared" si="6"/>
        <v>Derechos de uso de imágenes, videos y archivos de audio</v>
      </c>
      <c r="K295" s="98" t="str">
        <f t="shared" si="7"/>
        <v>Posesión de los derechos de uso de imágenes, videos o audios publicados en un sitio web.</v>
      </c>
      <c r="L295" s="141" t="str">
        <f t="shared" ref="L295:N295" si="300">IF(I295="",L294,I295)</f>
        <v>11.1.1</v>
      </c>
      <c r="M295" s="98" t="str">
        <f t="shared" si="300"/>
        <v>Derechos de uso de imágenes, videos y archivos de audio</v>
      </c>
      <c r="N295" s="98" t="str">
        <f t="shared" si="300"/>
        <v>Posesión de los derechos de uso de imágenes, videos o audios publicados en un sitio web.</v>
      </c>
      <c r="O295" s="232" t="s">
        <v>1219</v>
      </c>
      <c r="P295" s="180" t="s">
        <v>1220</v>
      </c>
      <c r="Q295" s="180" t="s">
        <v>1221</v>
      </c>
      <c r="R295" s="171"/>
      <c r="S295" s="162" t="s">
        <v>1222</v>
      </c>
      <c r="T295" s="160" t="s">
        <v>2033</v>
      </c>
      <c r="U295" s="94"/>
      <c r="V295" s="94"/>
      <c r="W295" s="94"/>
      <c r="X295" s="94"/>
      <c r="Y295" s="94"/>
      <c r="Z295" s="94"/>
      <c r="AA295" s="94"/>
      <c r="AB295" s="94"/>
      <c r="AC295" s="94"/>
      <c r="AD295" s="94"/>
      <c r="AE295" s="94"/>
      <c r="AF295" s="94"/>
      <c r="AG295" s="94"/>
      <c r="AH295" s="94"/>
      <c r="AI295" s="94"/>
      <c r="AJ295" s="94"/>
      <c r="AK295" s="94"/>
      <c r="AL295" s="94"/>
    </row>
    <row r="296">
      <c r="A296" s="86" t="s">
        <v>661</v>
      </c>
      <c r="B296" s="95" t="str">
        <f t="shared" si="2"/>
        <v>Pregunta</v>
      </c>
      <c r="C296" s="106" t="str">
        <f t="shared" si="9"/>
        <v>11.</v>
      </c>
      <c r="D296" s="106" t="str">
        <f t="shared" si="10"/>
        <v>Audiovisualidad</v>
      </c>
      <c r="E296" s="106" t="str">
        <f t="shared" si="11"/>
        <v>Conjunto de objetos interactivos o no interactivos que contienen información representada por texto, imagen, video, animación, sonido u otro tipo de medios.</v>
      </c>
      <c r="F296" s="135" t="str">
        <f t="shared" si="3"/>
        <v>11.1</v>
      </c>
      <c r="G296" s="92" t="str">
        <f t="shared" si="4"/>
        <v>IMPRESCINDIBLES</v>
      </c>
      <c r="H296" s="135"/>
      <c r="I296" s="135" t="str">
        <f t="shared" si="5"/>
        <v/>
      </c>
      <c r="J296" s="98" t="str">
        <f t="shared" si="6"/>
        <v/>
      </c>
      <c r="K296" s="98" t="str">
        <f t="shared" si="7"/>
        <v/>
      </c>
      <c r="L296" s="141" t="str">
        <f t="shared" ref="L296:N296" si="301">IF(I296="",L295,I296)</f>
        <v>11.1.1</v>
      </c>
      <c r="M296" s="98" t="str">
        <f t="shared" si="301"/>
        <v>Derechos de uso de imágenes, videos y archivos de audio</v>
      </c>
      <c r="N296" s="98" t="str">
        <f t="shared" si="301"/>
        <v>Posesión de los derechos de uso de imágenes, videos o audios publicados en un sitio web.</v>
      </c>
      <c r="O296" s="246"/>
      <c r="P296" s="143"/>
      <c r="Q296" s="143"/>
      <c r="R296" s="168"/>
      <c r="S296" s="169" t="s">
        <v>2111</v>
      </c>
      <c r="T296" s="164" t="s">
        <v>2033</v>
      </c>
      <c r="U296" s="94"/>
      <c r="V296" s="94"/>
      <c r="W296" s="94"/>
      <c r="X296" s="94"/>
      <c r="Y296" s="94"/>
      <c r="Z296" s="94"/>
      <c r="AA296" s="94"/>
      <c r="AB296" s="94"/>
      <c r="AC296" s="94"/>
      <c r="AD296" s="94"/>
      <c r="AE296" s="94"/>
      <c r="AF296" s="94"/>
      <c r="AG296" s="94"/>
      <c r="AH296" s="94"/>
      <c r="AI296" s="94"/>
      <c r="AJ296" s="94"/>
      <c r="AK296" s="94"/>
      <c r="AL296" s="94"/>
    </row>
    <row r="297" hidden="1">
      <c r="A297" s="86" t="s">
        <v>661</v>
      </c>
      <c r="B297" s="95" t="str">
        <f t="shared" si="2"/>
        <v>Otro</v>
      </c>
      <c r="C297" s="106" t="str">
        <f t="shared" si="9"/>
        <v>11.</v>
      </c>
      <c r="D297" s="106" t="str">
        <f t="shared" si="10"/>
        <v>Audiovisualidad</v>
      </c>
      <c r="E297" s="106" t="str">
        <f t="shared" si="11"/>
        <v>Conjunto de objetos interactivos o no interactivos que contienen información representada por texto, imagen, video, animación, sonido u otro tipo de medios.</v>
      </c>
      <c r="F297" s="135" t="str">
        <f t="shared" si="3"/>
        <v>11.2</v>
      </c>
      <c r="G297" s="92" t="str">
        <f t="shared" si="4"/>
        <v>ESPERABLES</v>
      </c>
      <c r="H297" s="135"/>
      <c r="I297" s="135" t="str">
        <f t="shared" si="5"/>
        <v/>
      </c>
      <c r="J297" s="98" t="str">
        <f t="shared" si="6"/>
        <v/>
      </c>
      <c r="K297" s="98" t="str">
        <f t="shared" si="7"/>
        <v/>
      </c>
      <c r="L297" s="141" t="str">
        <f t="shared" ref="L297:N297" si="302">IF(I297="",L296,I297)</f>
        <v>11.1.1</v>
      </c>
      <c r="M297" s="98" t="str">
        <f t="shared" si="302"/>
        <v>Derechos de uso de imágenes, videos y archivos de audio</v>
      </c>
      <c r="N297" s="98" t="str">
        <f t="shared" si="302"/>
        <v>Posesión de los derechos de uso de imágenes, videos o audios publicados en un sitio web.</v>
      </c>
      <c r="O297" s="195" t="s">
        <v>1224</v>
      </c>
      <c r="P297" s="196" t="s">
        <v>714</v>
      </c>
      <c r="Q297" s="177"/>
      <c r="R297" s="177"/>
      <c r="S297" s="197">
        <f>COUNTA(P298:P305)</f>
        <v>4</v>
      </c>
      <c r="T297" s="197">
        <f>COUNTIF(U298:U305,"n/a")</f>
        <v>0</v>
      </c>
      <c r="U297" s="94"/>
      <c r="V297" s="94"/>
      <c r="W297" s="94"/>
      <c r="X297" s="94"/>
      <c r="Y297" s="94"/>
      <c r="Z297" s="94"/>
      <c r="AA297" s="94"/>
      <c r="AB297" s="94"/>
      <c r="AC297" s="94"/>
      <c r="AD297" s="94"/>
      <c r="AE297" s="94"/>
      <c r="AF297" s="94"/>
      <c r="AG297" s="94"/>
      <c r="AH297" s="94"/>
      <c r="AI297" s="94"/>
      <c r="AJ297" s="94"/>
      <c r="AK297" s="94"/>
      <c r="AL297" s="94"/>
    </row>
    <row r="298">
      <c r="A298" s="105" t="s">
        <v>661</v>
      </c>
      <c r="B298" s="92" t="str">
        <f t="shared" si="2"/>
        <v>Pregunta</v>
      </c>
      <c r="C298" s="106" t="str">
        <f t="shared" si="9"/>
        <v>11.</v>
      </c>
      <c r="D298" s="106" t="str">
        <f t="shared" si="10"/>
        <v>Audiovisualidad</v>
      </c>
      <c r="E298" s="106" t="str">
        <f t="shared" si="11"/>
        <v>Conjunto de objetos interactivos o no interactivos que contienen información representada por texto, imagen, video, animación, sonido u otro tipo de medios.</v>
      </c>
      <c r="F298" s="135" t="str">
        <f t="shared" si="3"/>
        <v>11.2</v>
      </c>
      <c r="G298" s="92" t="str">
        <f t="shared" si="4"/>
        <v>ESPERABLES</v>
      </c>
      <c r="H298" s="135"/>
      <c r="I298" s="135" t="str">
        <f t="shared" si="5"/>
        <v>11.2.1</v>
      </c>
      <c r="J298" s="98" t="str">
        <f t="shared" si="6"/>
        <v>Complementariedad</v>
      </c>
      <c r="K298" s="98" t="str">
        <f t="shared" si="7"/>
        <v>Uso de imágenes, videos y audios para complementar la información publicada en los contenidos.
</v>
      </c>
      <c r="L298" s="141" t="str">
        <f t="shared" ref="L298:N298" si="303">IF(I298="",L297,I298)</f>
        <v>11.2.1</v>
      </c>
      <c r="M298" s="98" t="str">
        <f t="shared" si="303"/>
        <v>Complementariedad</v>
      </c>
      <c r="N298" s="98" t="str">
        <f t="shared" si="303"/>
        <v>Uso de imágenes, videos y audios para complementar la información publicada en los contenidos.
</v>
      </c>
      <c r="O298" s="286" t="s">
        <v>1225</v>
      </c>
      <c r="P298" s="169" t="s">
        <v>1226</v>
      </c>
      <c r="Q298" s="169" t="s">
        <v>1227</v>
      </c>
      <c r="R298" s="168"/>
      <c r="S298" s="169" t="s">
        <v>2112</v>
      </c>
      <c r="T298" s="164" t="s">
        <v>2033</v>
      </c>
      <c r="U298" s="94"/>
      <c r="V298" s="94"/>
      <c r="W298" s="94"/>
      <c r="X298" s="94"/>
      <c r="Y298" s="94"/>
      <c r="Z298" s="94"/>
      <c r="AA298" s="94"/>
      <c r="AB298" s="94"/>
      <c r="AC298" s="94"/>
      <c r="AD298" s="94"/>
      <c r="AE298" s="94"/>
      <c r="AF298" s="94"/>
      <c r="AG298" s="94"/>
      <c r="AH298" s="94"/>
      <c r="AI298" s="94"/>
      <c r="AJ298" s="94"/>
      <c r="AK298" s="94"/>
      <c r="AL298" s="94"/>
    </row>
    <row r="299">
      <c r="A299" s="105" t="s">
        <v>661</v>
      </c>
      <c r="B299" s="92" t="str">
        <f t="shared" si="2"/>
        <v>Pregunta</v>
      </c>
      <c r="C299" s="106" t="str">
        <f t="shared" si="9"/>
        <v>11.</v>
      </c>
      <c r="D299" s="106" t="str">
        <f t="shared" si="10"/>
        <v>Audiovisualidad</v>
      </c>
      <c r="E299" s="106" t="str">
        <f t="shared" si="11"/>
        <v>Conjunto de objetos interactivos o no interactivos que contienen información representada por texto, imagen, video, animación, sonido u otro tipo de medios.</v>
      </c>
      <c r="F299" s="135" t="str">
        <f t="shared" si="3"/>
        <v>11.2</v>
      </c>
      <c r="G299" s="92" t="str">
        <f t="shared" si="4"/>
        <v>ESPERABLES</v>
      </c>
      <c r="H299" s="135"/>
      <c r="I299" s="135" t="str">
        <f t="shared" si="5"/>
        <v>11.2.2</v>
      </c>
      <c r="J299" s="98" t="str">
        <f t="shared" si="6"/>
        <v>Formato de imágenes</v>
      </c>
      <c r="K299" s="98" t="str">
        <f t="shared" si="7"/>
        <v>Especificaciones técnicas de las imágenes publicadas en un sitio web.</v>
      </c>
      <c r="L299" s="141" t="str">
        <f t="shared" ref="L299:N299" si="304">IF(I299="",L298,I299)</f>
        <v>11.2.2</v>
      </c>
      <c r="M299" s="98" t="str">
        <f t="shared" si="304"/>
        <v>Formato de imágenes</v>
      </c>
      <c r="N299" s="98" t="str">
        <f t="shared" si="304"/>
        <v>Especificaciones técnicas de las imágenes publicadas en un sitio web.</v>
      </c>
      <c r="O299" s="255" t="s">
        <v>1229</v>
      </c>
      <c r="P299" s="188" t="s">
        <v>1230</v>
      </c>
      <c r="Q299" s="148" t="s">
        <v>1231</v>
      </c>
      <c r="R299" s="158"/>
      <c r="S299" s="159" t="s">
        <v>2113</v>
      </c>
      <c r="T299" s="160" t="s">
        <v>2033</v>
      </c>
      <c r="U299" s="94"/>
      <c r="V299" s="94"/>
      <c r="W299" s="94"/>
      <c r="X299" s="94"/>
      <c r="Y299" s="94"/>
      <c r="Z299" s="94"/>
      <c r="AA299" s="94"/>
      <c r="AB299" s="94"/>
      <c r="AC299" s="94"/>
      <c r="AD299" s="94"/>
      <c r="AE299" s="94"/>
      <c r="AF299" s="94"/>
      <c r="AG299" s="94"/>
      <c r="AH299" s="94"/>
      <c r="AI299" s="94"/>
      <c r="AJ299" s="94"/>
      <c r="AK299" s="94"/>
      <c r="AL299" s="94"/>
    </row>
    <row r="300">
      <c r="A300" s="86" t="s">
        <v>661</v>
      </c>
      <c r="B300" s="95" t="str">
        <f t="shared" si="2"/>
        <v>Pregunta</v>
      </c>
      <c r="C300" s="106" t="str">
        <f t="shared" si="9"/>
        <v>11.</v>
      </c>
      <c r="D300" s="106" t="str">
        <f t="shared" si="10"/>
        <v>Audiovisualidad</v>
      </c>
      <c r="E300" s="106" t="str">
        <f t="shared" si="11"/>
        <v>Conjunto de objetos interactivos o no interactivos que contienen información representada por texto, imagen, video, animación, sonido u otro tipo de medios.</v>
      </c>
      <c r="F300" s="135" t="str">
        <f t="shared" si="3"/>
        <v>11.2</v>
      </c>
      <c r="G300" s="92" t="str">
        <f t="shared" si="4"/>
        <v>ESPERABLES</v>
      </c>
      <c r="H300" s="135"/>
      <c r="I300" s="135" t="str">
        <f t="shared" si="5"/>
        <v/>
      </c>
      <c r="J300" s="98" t="str">
        <f t="shared" si="6"/>
        <v/>
      </c>
      <c r="K300" s="98" t="str">
        <f t="shared" si="7"/>
        <v/>
      </c>
      <c r="L300" s="141" t="str">
        <f t="shared" ref="L300:N300" si="305">IF(I300="",L299,I300)</f>
        <v>11.2.2</v>
      </c>
      <c r="M300" s="98" t="str">
        <f t="shared" si="305"/>
        <v>Formato de imágenes</v>
      </c>
      <c r="N300" s="98" t="str">
        <f t="shared" si="305"/>
        <v>Especificaciones técnicas de las imágenes publicadas en un sitio web.</v>
      </c>
      <c r="O300" s="246"/>
      <c r="P300" s="228"/>
      <c r="Q300" s="143"/>
      <c r="R300" s="168"/>
      <c r="S300" s="256" t="s">
        <v>2114</v>
      </c>
      <c r="T300" s="164" t="s">
        <v>2033</v>
      </c>
      <c r="U300" s="94"/>
      <c r="V300" s="94"/>
      <c r="W300" s="94"/>
      <c r="X300" s="94"/>
      <c r="Y300" s="94"/>
      <c r="Z300" s="94"/>
      <c r="AA300" s="94"/>
      <c r="AB300" s="94"/>
      <c r="AC300" s="94"/>
      <c r="AD300" s="94"/>
      <c r="AE300" s="94"/>
      <c r="AF300" s="94"/>
      <c r="AG300" s="94"/>
      <c r="AH300" s="94"/>
      <c r="AI300" s="94"/>
      <c r="AJ300" s="94"/>
      <c r="AK300" s="94"/>
      <c r="AL300" s="94"/>
    </row>
    <row r="301">
      <c r="A301" s="105" t="s">
        <v>661</v>
      </c>
      <c r="B301" s="92" t="str">
        <f t="shared" si="2"/>
        <v>Pregunta</v>
      </c>
      <c r="C301" s="106" t="str">
        <f t="shared" si="9"/>
        <v>11.</v>
      </c>
      <c r="D301" s="106" t="str">
        <f t="shared" si="10"/>
        <v>Audiovisualidad</v>
      </c>
      <c r="E301" s="106" t="str">
        <f t="shared" si="11"/>
        <v>Conjunto de objetos interactivos o no interactivos que contienen información representada por texto, imagen, video, animación, sonido u otro tipo de medios.</v>
      </c>
      <c r="F301" s="135" t="str">
        <f t="shared" si="3"/>
        <v>11.2</v>
      </c>
      <c r="G301" s="92" t="str">
        <f t="shared" si="4"/>
        <v>ESPERABLES</v>
      </c>
      <c r="H301" s="135"/>
      <c r="I301" s="135" t="str">
        <f t="shared" si="5"/>
        <v>11.2.3</v>
      </c>
      <c r="J301" s="98" t="str">
        <f t="shared" si="6"/>
        <v>Formato de videos</v>
      </c>
      <c r="K301" s="98" t="str">
        <f t="shared" si="7"/>
        <v>Especificaciones técnicas de los videos publicados en un sitio web.</v>
      </c>
      <c r="L301" s="141" t="str">
        <f t="shared" ref="L301:N301" si="306">IF(I301="",L300,I301)</f>
        <v>11.2.3</v>
      </c>
      <c r="M301" s="98" t="str">
        <f t="shared" si="306"/>
        <v>Formato de videos</v>
      </c>
      <c r="N301" s="98" t="str">
        <f t="shared" si="306"/>
        <v>Especificaciones técnicas de los videos publicados en un sitio web.</v>
      </c>
      <c r="O301" s="255" t="s">
        <v>1234</v>
      </c>
      <c r="P301" s="148" t="s">
        <v>1235</v>
      </c>
      <c r="Q301" s="148" t="s">
        <v>1236</v>
      </c>
      <c r="R301" s="158"/>
      <c r="S301" s="170" t="s">
        <v>2115</v>
      </c>
      <c r="T301" s="160" t="s">
        <v>2033</v>
      </c>
      <c r="U301" s="94"/>
      <c r="V301" s="94"/>
      <c r="W301" s="94"/>
      <c r="X301" s="94"/>
      <c r="Y301" s="94"/>
      <c r="Z301" s="94"/>
      <c r="AA301" s="94"/>
      <c r="AB301" s="94"/>
      <c r="AC301" s="94"/>
      <c r="AD301" s="94"/>
      <c r="AE301" s="94"/>
      <c r="AF301" s="94"/>
      <c r="AG301" s="94"/>
      <c r="AH301" s="94"/>
      <c r="AI301" s="94"/>
      <c r="AJ301" s="94"/>
      <c r="AK301" s="94"/>
      <c r="AL301" s="94"/>
    </row>
    <row r="302">
      <c r="A302" s="86" t="s">
        <v>661</v>
      </c>
      <c r="B302" s="95" t="str">
        <f t="shared" si="2"/>
        <v>Pregunta</v>
      </c>
      <c r="C302" s="106" t="str">
        <f t="shared" si="9"/>
        <v>11.</v>
      </c>
      <c r="D302" s="106" t="str">
        <f t="shared" si="10"/>
        <v>Audiovisualidad</v>
      </c>
      <c r="E302" s="106" t="str">
        <f t="shared" si="11"/>
        <v>Conjunto de objetos interactivos o no interactivos que contienen información representada por texto, imagen, video, animación, sonido u otro tipo de medios.</v>
      </c>
      <c r="F302" s="135" t="str">
        <f t="shared" si="3"/>
        <v>11.2</v>
      </c>
      <c r="G302" s="92" t="str">
        <f t="shared" si="4"/>
        <v>ESPERABLES</v>
      </c>
      <c r="H302" s="135"/>
      <c r="I302" s="135" t="str">
        <f t="shared" si="5"/>
        <v/>
      </c>
      <c r="J302" s="98" t="str">
        <f t="shared" si="6"/>
        <v/>
      </c>
      <c r="K302" s="98" t="str">
        <f t="shared" si="7"/>
        <v/>
      </c>
      <c r="L302" s="141" t="str">
        <f t="shared" ref="L302:N302" si="307">IF(I302="",L301,I302)</f>
        <v>11.2.3</v>
      </c>
      <c r="M302" s="98" t="str">
        <f t="shared" si="307"/>
        <v>Formato de videos</v>
      </c>
      <c r="N302" s="98" t="str">
        <f t="shared" si="307"/>
        <v>Especificaciones técnicas de los videos publicados en un sitio web.</v>
      </c>
      <c r="O302" s="243"/>
      <c r="P302" s="153"/>
      <c r="Q302" s="153"/>
      <c r="R302" s="161"/>
      <c r="S302" s="287" t="s">
        <v>2116</v>
      </c>
      <c r="T302" s="160" t="s">
        <v>2033</v>
      </c>
      <c r="U302" s="94"/>
      <c r="V302" s="94"/>
      <c r="W302" s="94"/>
      <c r="X302" s="94"/>
      <c r="Y302" s="94"/>
      <c r="Z302" s="94"/>
      <c r="AA302" s="94"/>
      <c r="AB302" s="94"/>
      <c r="AC302" s="94"/>
      <c r="AD302" s="94"/>
      <c r="AE302" s="94"/>
      <c r="AF302" s="94"/>
      <c r="AG302" s="94"/>
      <c r="AH302" s="94"/>
      <c r="AI302" s="94"/>
      <c r="AJ302" s="94"/>
      <c r="AK302" s="94"/>
      <c r="AL302" s="94"/>
    </row>
    <row r="303">
      <c r="A303" s="86" t="s">
        <v>661</v>
      </c>
      <c r="B303" s="95" t="str">
        <f t="shared" si="2"/>
        <v>Pregunta</v>
      </c>
      <c r="C303" s="106" t="str">
        <f t="shared" si="9"/>
        <v>11.</v>
      </c>
      <c r="D303" s="106" t="str">
        <f t="shared" si="10"/>
        <v>Audiovisualidad</v>
      </c>
      <c r="E303" s="106" t="str">
        <f t="shared" si="11"/>
        <v>Conjunto de objetos interactivos o no interactivos que contienen información representada por texto, imagen, video, animación, sonido u otro tipo de medios.</v>
      </c>
      <c r="F303" s="135" t="str">
        <f t="shared" si="3"/>
        <v>11.2</v>
      </c>
      <c r="G303" s="92" t="str">
        <f t="shared" si="4"/>
        <v>ESPERABLES</v>
      </c>
      <c r="H303" s="135"/>
      <c r="I303" s="135" t="str">
        <f t="shared" si="5"/>
        <v/>
      </c>
      <c r="J303" s="98" t="str">
        <f t="shared" si="6"/>
        <v/>
      </c>
      <c r="K303" s="98" t="str">
        <f t="shared" si="7"/>
        <v/>
      </c>
      <c r="L303" s="141" t="str">
        <f t="shared" ref="L303:N303" si="308">IF(I303="",L302,I303)</f>
        <v>11.2.3</v>
      </c>
      <c r="M303" s="98" t="str">
        <f t="shared" si="308"/>
        <v>Formato de videos</v>
      </c>
      <c r="N303" s="98" t="str">
        <f t="shared" si="308"/>
        <v>Especificaciones técnicas de los videos publicados en un sitio web.</v>
      </c>
      <c r="O303" s="246"/>
      <c r="P303" s="143"/>
      <c r="Q303" s="143"/>
      <c r="R303" s="171"/>
      <c r="S303" s="169" t="s">
        <v>2117</v>
      </c>
      <c r="T303" s="164" t="s">
        <v>2033</v>
      </c>
      <c r="U303" s="94"/>
      <c r="V303" s="94"/>
      <c r="W303" s="94"/>
      <c r="X303" s="94"/>
      <c r="Y303" s="94"/>
      <c r="Z303" s="94"/>
      <c r="AA303" s="94"/>
      <c r="AB303" s="94"/>
      <c r="AC303" s="94"/>
      <c r="AD303" s="94"/>
      <c r="AE303" s="94"/>
      <c r="AF303" s="94"/>
      <c r="AG303" s="94"/>
      <c r="AH303" s="94"/>
      <c r="AI303" s="94"/>
      <c r="AJ303" s="94"/>
      <c r="AK303" s="94"/>
      <c r="AL303" s="94"/>
    </row>
    <row r="304">
      <c r="A304" s="105" t="s">
        <v>661</v>
      </c>
      <c r="B304" s="92" t="str">
        <f t="shared" si="2"/>
        <v>Pregunta</v>
      </c>
      <c r="C304" s="106" t="str">
        <f t="shared" si="9"/>
        <v>11.</v>
      </c>
      <c r="D304" s="106" t="str">
        <f t="shared" si="10"/>
        <v>Audiovisualidad</v>
      </c>
      <c r="E304" s="106" t="str">
        <f t="shared" si="11"/>
        <v>Conjunto de objetos interactivos o no interactivos que contienen información representada por texto, imagen, video, animación, sonido u otro tipo de medios.</v>
      </c>
      <c r="F304" s="135" t="str">
        <f t="shared" si="3"/>
        <v>11.2</v>
      </c>
      <c r="G304" s="92" t="str">
        <f t="shared" si="4"/>
        <v>ESPERABLES</v>
      </c>
      <c r="H304" s="135"/>
      <c r="I304" s="135" t="str">
        <f t="shared" si="5"/>
        <v>11.2.4</v>
      </c>
      <c r="J304" s="98" t="str">
        <f t="shared" si="6"/>
        <v>Formato de audios</v>
      </c>
      <c r="K304" s="98" t="str">
        <f t="shared" si="7"/>
        <v>Especificaciones técnicas de los audios publicados en un sitio web.</v>
      </c>
      <c r="L304" s="141" t="str">
        <f t="shared" ref="L304:N304" si="309">IF(I304="",L303,I304)</f>
        <v>11.2.4</v>
      </c>
      <c r="M304" s="98" t="str">
        <f t="shared" si="309"/>
        <v>Formato de audios</v>
      </c>
      <c r="N304" s="98" t="str">
        <f t="shared" si="309"/>
        <v>Especificaciones técnicas de los audios publicados en un sitio web.</v>
      </c>
      <c r="O304" s="255" t="s">
        <v>1240</v>
      </c>
      <c r="P304" s="148" t="s">
        <v>1241</v>
      </c>
      <c r="Q304" s="148" t="s">
        <v>1242</v>
      </c>
      <c r="R304" s="158"/>
      <c r="S304" s="170" t="s">
        <v>2118</v>
      </c>
      <c r="T304" s="160" t="s">
        <v>2033</v>
      </c>
      <c r="U304" s="94"/>
      <c r="V304" s="94"/>
      <c r="W304" s="94"/>
      <c r="X304" s="94"/>
      <c r="Y304" s="94"/>
      <c r="Z304" s="94"/>
      <c r="AA304" s="94"/>
      <c r="AB304" s="94"/>
      <c r="AC304" s="94"/>
      <c r="AD304" s="94"/>
      <c r="AE304" s="94"/>
      <c r="AF304" s="94"/>
      <c r="AG304" s="94"/>
      <c r="AH304" s="94"/>
      <c r="AI304" s="94"/>
      <c r="AJ304" s="94"/>
      <c r="AK304" s="94"/>
      <c r="AL304" s="94"/>
    </row>
    <row r="305">
      <c r="A305" s="86" t="s">
        <v>661</v>
      </c>
      <c r="B305" s="95" t="str">
        <f t="shared" si="2"/>
        <v>Pregunta</v>
      </c>
      <c r="C305" s="106" t="str">
        <f t="shared" si="9"/>
        <v>11.</v>
      </c>
      <c r="D305" s="106" t="str">
        <f t="shared" si="10"/>
        <v>Audiovisualidad</v>
      </c>
      <c r="E305" s="106" t="str">
        <f t="shared" si="11"/>
        <v>Conjunto de objetos interactivos o no interactivos que contienen información representada por texto, imagen, video, animación, sonido u otro tipo de medios.</v>
      </c>
      <c r="F305" s="135" t="str">
        <f t="shared" si="3"/>
        <v>11.2</v>
      </c>
      <c r="G305" s="92" t="str">
        <f t="shared" si="4"/>
        <v>ESPERABLES</v>
      </c>
      <c r="H305" s="135"/>
      <c r="I305" s="135" t="str">
        <f t="shared" si="5"/>
        <v/>
      </c>
      <c r="J305" s="98" t="str">
        <f t="shared" si="6"/>
        <v/>
      </c>
      <c r="K305" s="98" t="str">
        <f t="shared" si="7"/>
        <v/>
      </c>
      <c r="L305" s="141" t="str">
        <f t="shared" ref="L305:N305" si="310">IF(I305="",L304,I305)</f>
        <v>11.2.4</v>
      </c>
      <c r="M305" s="98" t="str">
        <f t="shared" si="310"/>
        <v>Formato de audios</v>
      </c>
      <c r="N305" s="98" t="str">
        <f t="shared" si="310"/>
        <v>Especificaciones técnicas de los audios publicados en un sitio web.</v>
      </c>
      <c r="O305" s="246"/>
      <c r="P305" s="143"/>
      <c r="Q305" s="143"/>
      <c r="R305" s="174"/>
      <c r="S305" s="169" t="s">
        <v>2119</v>
      </c>
      <c r="T305" s="164" t="s">
        <v>2033</v>
      </c>
      <c r="U305" s="94"/>
      <c r="V305" s="94"/>
      <c r="W305" s="94"/>
      <c r="X305" s="94"/>
      <c r="Y305" s="94"/>
      <c r="Z305" s="94"/>
      <c r="AA305" s="94"/>
      <c r="AB305" s="94"/>
      <c r="AC305" s="94"/>
      <c r="AD305" s="94"/>
      <c r="AE305" s="94"/>
      <c r="AF305" s="94"/>
      <c r="AG305" s="94"/>
      <c r="AH305" s="94"/>
      <c r="AI305" s="94"/>
      <c r="AJ305" s="94"/>
      <c r="AK305" s="94"/>
      <c r="AL305" s="94"/>
    </row>
    <row r="306" hidden="1">
      <c r="A306" s="86" t="s">
        <v>661</v>
      </c>
      <c r="B306" s="201" t="str">
        <f t="shared" si="2"/>
        <v>Otro</v>
      </c>
      <c r="C306" s="106" t="str">
        <f t="shared" si="9"/>
        <v>12.</v>
      </c>
      <c r="D306" s="106" t="str">
        <f t="shared" si="10"/>
        <v>Enfoque de género</v>
      </c>
      <c r="E306"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306" s="135" t="str">
        <f t="shared" si="3"/>
        <v>11.2</v>
      </c>
      <c r="G306" s="92" t="str">
        <f t="shared" si="4"/>
        <v>ESPERABLES</v>
      </c>
      <c r="H306" s="109"/>
      <c r="I306" s="109" t="str">
        <f t="shared" si="5"/>
        <v/>
      </c>
      <c r="J306" s="98" t="str">
        <f t="shared" si="6"/>
        <v/>
      </c>
      <c r="K306" s="98" t="str">
        <f t="shared" si="7"/>
        <v/>
      </c>
      <c r="L306" s="141" t="str">
        <f t="shared" ref="L306:N306" si="311">IF(I306="",L305,I306)</f>
        <v>11.2.4</v>
      </c>
      <c r="M306" s="98" t="str">
        <f t="shared" si="311"/>
        <v>Formato de audios</v>
      </c>
      <c r="N306" s="98" t="str">
        <f t="shared" si="311"/>
        <v>Especificaciones técnicas de los audios publicados en un sitio web.</v>
      </c>
      <c r="O306" s="117" t="s">
        <v>41</v>
      </c>
      <c r="P306" s="118" t="s">
        <v>42</v>
      </c>
      <c r="Q306" s="119"/>
      <c r="R306" s="114"/>
      <c r="S306" s="115" t="s">
        <v>1245</v>
      </c>
      <c r="T306" s="116" t="s">
        <v>16</v>
      </c>
      <c r="U306" s="94"/>
      <c r="V306" s="94"/>
      <c r="W306" s="94"/>
      <c r="X306" s="94"/>
      <c r="Y306" s="94"/>
      <c r="Z306" s="94"/>
      <c r="AA306" s="94"/>
      <c r="AB306" s="94"/>
      <c r="AC306" s="94"/>
      <c r="AD306" s="94"/>
      <c r="AE306" s="94"/>
      <c r="AF306" s="94"/>
      <c r="AG306" s="94"/>
      <c r="AH306" s="94"/>
      <c r="AI306" s="94"/>
      <c r="AJ306" s="94"/>
      <c r="AK306" s="94"/>
      <c r="AL306" s="94"/>
    </row>
    <row r="307" hidden="1">
      <c r="A307" s="86" t="s">
        <v>661</v>
      </c>
      <c r="B307" s="201" t="str">
        <f t="shared" si="2"/>
        <v>Otro</v>
      </c>
      <c r="C307" s="106" t="str">
        <f t="shared" si="9"/>
        <v>12.</v>
      </c>
      <c r="D307" s="106" t="str">
        <f t="shared" si="10"/>
        <v>Enfoque de género</v>
      </c>
      <c r="E307"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307" s="135" t="str">
        <f t="shared" si="3"/>
        <v>11.2</v>
      </c>
      <c r="G307" s="92" t="str">
        <f t="shared" si="4"/>
        <v>ESPERABLES</v>
      </c>
      <c r="H307" s="109"/>
      <c r="I307" s="109" t="str">
        <f t="shared" si="5"/>
        <v/>
      </c>
      <c r="J307" s="98" t="str">
        <f t="shared" si="6"/>
        <v/>
      </c>
      <c r="K307" s="98" t="str">
        <f t="shared" si="7"/>
        <v/>
      </c>
      <c r="L307" s="141" t="str">
        <f t="shared" ref="L307:N307" si="312">IF(I307="",L306,I307)</f>
        <v>11.2.4</v>
      </c>
      <c r="M307" s="98" t="str">
        <f t="shared" si="312"/>
        <v>Formato de audios</v>
      </c>
      <c r="N307" s="98" t="str">
        <f t="shared" si="312"/>
        <v>Especificaciones técnicas de los audios publicados en un sitio web.</v>
      </c>
      <c r="O307" s="117"/>
      <c r="P307" s="118"/>
      <c r="Q307" s="119"/>
      <c r="R307" s="114"/>
      <c r="S307" s="239"/>
      <c r="T307" s="116" t="s">
        <v>19</v>
      </c>
      <c r="U307" s="94"/>
      <c r="V307" s="94"/>
      <c r="W307" s="94"/>
      <c r="X307" s="94"/>
      <c r="Y307" s="94"/>
      <c r="Z307" s="94"/>
      <c r="AA307" s="94"/>
      <c r="AB307" s="94"/>
      <c r="AC307" s="94"/>
      <c r="AD307" s="94"/>
      <c r="AE307" s="94"/>
      <c r="AF307" s="94"/>
      <c r="AG307" s="94"/>
      <c r="AH307" s="94"/>
      <c r="AI307" s="94"/>
      <c r="AJ307" s="94"/>
      <c r="AK307" s="94"/>
      <c r="AL307" s="94"/>
    </row>
    <row r="308" hidden="1">
      <c r="A308" s="86" t="s">
        <v>661</v>
      </c>
      <c r="B308" s="201" t="str">
        <f t="shared" si="2"/>
        <v>Otro</v>
      </c>
      <c r="C308" s="106" t="str">
        <f t="shared" si="9"/>
        <v>12.</v>
      </c>
      <c r="D308" s="106" t="str">
        <f t="shared" si="10"/>
        <v>Enfoque de género</v>
      </c>
      <c r="E308"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308" s="135" t="str">
        <f t="shared" si="3"/>
        <v>11.2</v>
      </c>
      <c r="G308" s="92" t="str">
        <f t="shared" si="4"/>
        <v>ESPERABLES</v>
      </c>
      <c r="H308" s="109"/>
      <c r="I308" s="109" t="str">
        <f t="shared" si="5"/>
        <v/>
      </c>
      <c r="J308" s="98" t="str">
        <f t="shared" si="6"/>
        <v/>
      </c>
      <c r="K308" s="98" t="str">
        <f t="shared" si="7"/>
        <v/>
      </c>
      <c r="L308" s="141" t="str">
        <f t="shared" ref="L308:N308" si="313">IF(I308="",L307,I308)</f>
        <v>11.2.4</v>
      </c>
      <c r="M308" s="98" t="str">
        <f t="shared" si="313"/>
        <v>Formato de audios</v>
      </c>
      <c r="N308" s="98" t="str">
        <f t="shared" si="313"/>
        <v>Especificaciones técnicas de los audios publicados en un sitio web.</v>
      </c>
      <c r="O308" s="121"/>
      <c r="P308" s="122"/>
      <c r="Q308" s="123"/>
      <c r="R308" s="114"/>
      <c r="S308" s="240"/>
      <c r="T308" s="116" t="s">
        <v>22</v>
      </c>
      <c r="U308" s="94"/>
      <c r="V308" s="94"/>
      <c r="W308" s="94"/>
      <c r="X308" s="94"/>
      <c r="Y308" s="94"/>
      <c r="Z308" s="94"/>
      <c r="AA308" s="94"/>
      <c r="AB308" s="94"/>
      <c r="AC308" s="94"/>
      <c r="AD308" s="94"/>
      <c r="AE308" s="94"/>
      <c r="AF308" s="94"/>
      <c r="AG308" s="94"/>
      <c r="AH308" s="94"/>
      <c r="AI308" s="94"/>
      <c r="AJ308" s="94"/>
      <c r="AK308" s="94"/>
      <c r="AL308" s="94"/>
    </row>
    <row r="309" hidden="1">
      <c r="A309" s="86" t="s">
        <v>661</v>
      </c>
      <c r="B309" s="201" t="str">
        <f t="shared" si="2"/>
        <v>Otro</v>
      </c>
      <c r="C309" s="106" t="str">
        <f t="shared" si="9"/>
        <v>12.</v>
      </c>
      <c r="D309" s="106" t="str">
        <f t="shared" si="10"/>
        <v>Enfoque de género</v>
      </c>
      <c r="E309"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309" s="135" t="str">
        <f t="shared" si="3"/>
        <v>11.2</v>
      </c>
      <c r="G309" s="92" t="str">
        <f t="shared" si="4"/>
        <v>ESPERABLES</v>
      </c>
      <c r="H309" s="96"/>
      <c r="I309" s="96" t="str">
        <f t="shared" si="5"/>
        <v/>
      </c>
      <c r="J309" s="98" t="str">
        <f t="shared" si="6"/>
        <v/>
      </c>
      <c r="K309" s="98" t="str">
        <f t="shared" si="7"/>
        <v/>
      </c>
      <c r="L309" s="141" t="str">
        <f t="shared" ref="L309:N309" si="314">IF(I309="",L308,I309)</f>
        <v>11.2.4</v>
      </c>
      <c r="M309" s="98" t="str">
        <f t="shared" si="314"/>
        <v>Formato de audios</v>
      </c>
      <c r="N309" s="98" t="str">
        <f t="shared" si="314"/>
        <v>Especificaciones técnicas de los audios publicados en un sitio web.</v>
      </c>
      <c r="O309" s="104"/>
      <c r="P309" s="114"/>
      <c r="Q309" s="114"/>
      <c r="R309" s="127"/>
      <c r="S309" s="127"/>
      <c r="T309" s="127"/>
      <c r="U309" s="94"/>
      <c r="V309" s="94"/>
      <c r="W309" s="94"/>
      <c r="X309" s="94"/>
      <c r="Y309" s="94"/>
      <c r="Z309" s="94"/>
      <c r="AA309" s="94"/>
      <c r="AB309" s="94"/>
      <c r="AC309" s="94"/>
      <c r="AD309" s="94"/>
      <c r="AE309" s="94"/>
      <c r="AF309" s="94"/>
      <c r="AG309" s="94"/>
      <c r="AH309" s="94"/>
      <c r="AI309" s="94"/>
      <c r="AJ309" s="94"/>
      <c r="AK309" s="94"/>
      <c r="AL309" s="94"/>
    </row>
    <row r="310" hidden="1">
      <c r="A310" s="86" t="s">
        <v>661</v>
      </c>
      <c r="B310" s="95" t="str">
        <f t="shared" si="2"/>
        <v>Otro</v>
      </c>
      <c r="C310" s="106" t="str">
        <f t="shared" si="9"/>
        <v>12.</v>
      </c>
      <c r="D310" s="106" t="str">
        <f t="shared" si="10"/>
        <v>Enfoque de género</v>
      </c>
      <c r="E310"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310" s="135" t="str">
        <f t="shared" si="3"/>
        <v>11.2</v>
      </c>
      <c r="G310" s="92" t="str">
        <f t="shared" si="4"/>
        <v>ESPERABLES</v>
      </c>
      <c r="H310" s="130"/>
      <c r="I310" s="130" t="str">
        <f t="shared" si="5"/>
        <v/>
      </c>
      <c r="J310" s="98" t="str">
        <f t="shared" si="6"/>
        <v/>
      </c>
      <c r="K310" s="98" t="str">
        <f t="shared" si="7"/>
        <v/>
      </c>
      <c r="L310" s="141" t="str">
        <f t="shared" ref="L310:N310" si="315">IF(I310="",L309,I310)</f>
        <v>11.2.4</v>
      </c>
      <c r="M310" s="98" t="str">
        <f t="shared" si="315"/>
        <v>Formato de audios</v>
      </c>
      <c r="N310" s="98" t="str">
        <f t="shared" si="315"/>
        <v>Especificaciones técnicas de los audios publicados en un sitio web.</v>
      </c>
      <c r="O310" s="132" t="s">
        <v>1822</v>
      </c>
      <c r="P310" s="133" t="s">
        <v>1823</v>
      </c>
      <c r="Q310" s="133" t="s">
        <v>2031</v>
      </c>
      <c r="R310" s="134"/>
      <c r="S310" s="133" t="s">
        <v>1824</v>
      </c>
      <c r="T310" s="133" t="s">
        <v>1825</v>
      </c>
      <c r="U310" s="94"/>
      <c r="V310" s="94"/>
      <c r="W310" s="94"/>
      <c r="X310" s="94"/>
      <c r="Y310" s="94"/>
      <c r="Z310" s="94"/>
      <c r="AA310" s="94"/>
      <c r="AB310" s="94"/>
      <c r="AC310" s="94"/>
      <c r="AD310" s="94"/>
      <c r="AE310" s="94"/>
      <c r="AF310" s="94"/>
      <c r="AG310" s="94"/>
      <c r="AH310" s="94"/>
      <c r="AI310" s="94"/>
      <c r="AJ310" s="94"/>
      <c r="AK310" s="94"/>
      <c r="AL310" s="94"/>
    </row>
    <row r="311" hidden="1">
      <c r="A311" s="86" t="s">
        <v>661</v>
      </c>
      <c r="B311" s="95" t="str">
        <f t="shared" si="2"/>
        <v>Otro</v>
      </c>
      <c r="C311" s="106" t="str">
        <f t="shared" si="9"/>
        <v>12.</v>
      </c>
      <c r="D311" s="106" t="str">
        <f t="shared" si="10"/>
        <v>Enfoque de género</v>
      </c>
      <c r="E311"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311" s="141" t="str">
        <f t="shared" si="3"/>
        <v>12.1</v>
      </c>
      <c r="G311" s="92" t="str">
        <f t="shared" si="4"/>
        <v>IMPRESCINDIBLES</v>
      </c>
      <c r="H311" s="141"/>
      <c r="I311" s="141" t="str">
        <f t="shared" si="5"/>
        <v/>
      </c>
      <c r="J311" s="98" t="str">
        <f t="shared" si="6"/>
        <v/>
      </c>
      <c r="K311" s="98" t="str">
        <f t="shared" si="7"/>
        <v/>
      </c>
      <c r="L311" s="141" t="str">
        <f t="shared" ref="L311:N311" si="316">IF(I311="",L310,I311)</f>
        <v>11.2.4</v>
      </c>
      <c r="M311" s="98" t="str">
        <f t="shared" si="316"/>
        <v>Formato de audios</v>
      </c>
      <c r="N311" s="98" t="str">
        <f t="shared" si="316"/>
        <v>Especificaciones técnicas de los audios publicados en un sitio web.</v>
      </c>
      <c r="O311" s="288" t="s">
        <v>1246</v>
      </c>
      <c r="P311" s="137" t="s">
        <v>664</v>
      </c>
      <c r="Q311" s="138"/>
      <c r="R311" s="138"/>
      <c r="S311" s="139">
        <f>COUNTA(P312:P313)</f>
        <v>1</v>
      </c>
      <c r="T311" s="140">
        <f>COUNTIF(U312:U313,"n/a")</f>
        <v>0</v>
      </c>
      <c r="U311" s="94"/>
      <c r="V311" s="94"/>
      <c r="W311" s="94"/>
      <c r="X311" s="94"/>
      <c r="Y311" s="94"/>
      <c r="Z311" s="94"/>
      <c r="AA311" s="94"/>
      <c r="AB311" s="94"/>
      <c r="AC311" s="94"/>
      <c r="AD311" s="94"/>
      <c r="AE311" s="94"/>
      <c r="AF311" s="94"/>
      <c r="AG311" s="94"/>
      <c r="AH311" s="94"/>
      <c r="AI311" s="94"/>
      <c r="AJ311" s="94"/>
      <c r="AK311" s="94"/>
      <c r="AL311" s="94"/>
    </row>
    <row r="312">
      <c r="A312" s="105" t="s">
        <v>661</v>
      </c>
      <c r="B312" s="92" t="str">
        <f t="shared" si="2"/>
        <v>Pregunta</v>
      </c>
      <c r="C312" s="106" t="str">
        <f t="shared" si="9"/>
        <v>12.</v>
      </c>
      <c r="D312" s="106" t="str">
        <f t="shared" si="10"/>
        <v>Enfoque de género</v>
      </c>
      <c r="E312"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312" s="141" t="str">
        <f t="shared" si="3"/>
        <v>12.1</v>
      </c>
      <c r="G312" s="92" t="str">
        <f t="shared" si="4"/>
        <v>IMPRESCINDIBLES</v>
      </c>
      <c r="H312" s="141"/>
      <c r="I312" s="141" t="str">
        <f t="shared" si="5"/>
        <v>12.1.1</v>
      </c>
      <c r="J312" s="98" t="str">
        <f t="shared" si="6"/>
        <v>Lenguaje inclusivo</v>
      </c>
      <c r="K312" s="98" t="str">
        <f t="shared" si="7"/>
        <v>Expresión verbal, escrita o visual que visibiliza lo femenino y masculino, elimina estereotipos, el sexismo, el androcentrismo y el masculino como genérico universal. Se fundamenta en una comunicación institucional basada en los principios de igualdad, respeto y no discriminación.</v>
      </c>
      <c r="L312" s="141" t="str">
        <f t="shared" ref="L312:N312" si="317">IF(I312="",L311,I312)</f>
        <v>12.1.1</v>
      </c>
      <c r="M312" s="98" t="str">
        <f t="shared" si="317"/>
        <v>Lenguaje inclusivo</v>
      </c>
      <c r="N312" s="98" t="str">
        <f t="shared" si="317"/>
        <v>Expresión verbal, escrita o visual que visibiliza lo femenino y masculino, elimina estereotipos, el sexismo, el androcentrismo y el masculino como genérico universal. Se fundamenta en una comunicación institucional basada en los principios de igualdad, respeto y no discriminación.</v>
      </c>
      <c r="O312" s="152" t="s">
        <v>1247</v>
      </c>
      <c r="P312" s="153" t="s">
        <v>1248</v>
      </c>
      <c r="Q312" s="153" t="s">
        <v>1249</v>
      </c>
      <c r="R312" s="149"/>
      <c r="S312" s="153" t="s">
        <v>1250</v>
      </c>
      <c r="T312" s="160" t="s">
        <v>2033</v>
      </c>
      <c r="U312" s="94"/>
      <c r="V312" s="94"/>
      <c r="W312" s="94"/>
      <c r="X312" s="94"/>
      <c r="Y312" s="94"/>
      <c r="Z312" s="94"/>
      <c r="AA312" s="94"/>
      <c r="AB312" s="94"/>
      <c r="AC312" s="94"/>
      <c r="AD312" s="94"/>
      <c r="AE312" s="94"/>
      <c r="AF312" s="94"/>
      <c r="AG312" s="94"/>
      <c r="AH312" s="94"/>
      <c r="AI312" s="94"/>
      <c r="AJ312" s="94"/>
      <c r="AK312" s="94"/>
      <c r="AL312" s="94"/>
    </row>
    <row r="313">
      <c r="A313" s="86" t="s">
        <v>661</v>
      </c>
      <c r="B313" s="95" t="str">
        <f t="shared" si="2"/>
        <v>Pregunta</v>
      </c>
      <c r="C313" s="106" t="str">
        <f t="shared" si="9"/>
        <v>12.</v>
      </c>
      <c r="D313" s="106" t="str">
        <f t="shared" si="10"/>
        <v>Enfoque de género</v>
      </c>
      <c r="E313"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313" s="141" t="str">
        <f t="shared" si="3"/>
        <v>12.1</v>
      </c>
      <c r="G313" s="92" t="str">
        <f t="shared" si="4"/>
        <v>IMPRESCINDIBLES</v>
      </c>
      <c r="H313" s="141"/>
      <c r="I313" s="141" t="str">
        <f t="shared" si="5"/>
        <v/>
      </c>
      <c r="J313" s="98" t="str">
        <f t="shared" si="6"/>
        <v/>
      </c>
      <c r="K313" s="98" t="str">
        <f t="shared" si="7"/>
        <v/>
      </c>
      <c r="L313" s="141" t="str">
        <f t="shared" ref="L313:N313" si="318">IF(I313="",L312,I313)</f>
        <v>12.1.1</v>
      </c>
      <c r="M313" s="98" t="str">
        <f t="shared" si="318"/>
        <v>Lenguaje inclusivo</v>
      </c>
      <c r="N313" s="98" t="str">
        <f t="shared" si="318"/>
        <v>Expresión verbal, escrita o visual que visibiliza lo femenino y masculino, elimina estereotipos, el sexismo, el androcentrismo y el masculino como genérico universal. Se fundamenta en una comunicación institucional basada en los principios de igualdad, respeto y no discriminación.</v>
      </c>
      <c r="O313" s="142"/>
      <c r="P313" s="143"/>
      <c r="Q313" s="143"/>
      <c r="R313" s="168"/>
      <c r="S313" s="169" t="s">
        <v>1251</v>
      </c>
      <c r="T313" s="164" t="s">
        <v>2033</v>
      </c>
      <c r="U313" s="94"/>
      <c r="V313" s="94"/>
      <c r="W313" s="94"/>
      <c r="X313" s="94"/>
      <c r="Y313" s="94"/>
      <c r="Z313" s="94"/>
      <c r="AA313" s="94"/>
      <c r="AB313" s="94"/>
      <c r="AC313" s="94"/>
      <c r="AD313" s="94"/>
      <c r="AE313" s="94"/>
      <c r="AF313" s="94"/>
      <c r="AG313" s="94"/>
      <c r="AH313" s="94"/>
      <c r="AI313" s="94"/>
      <c r="AJ313" s="94"/>
      <c r="AK313" s="94"/>
      <c r="AL313" s="94"/>
    </row>
    <row r="314" hidden="1">
      <c r="A314" s="86" t="s">
        <v>661</v>
      </c>
      <c r="B314" s="95" t="str">
        <f t="shared" si="2"/>
        <v>Otro</v>
      </c>
      <c r="C314" s="106" t="str">
        <f t="shared" si="9"/>
        <v>12.</v>
      </c>
      <c r="D314" s="106" t="str">
        <f t="shared" si="10"/>
        <v>Enfoque de género</v>
      </c>
      <c r="E314"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314" s="141" t="str">
        <f t="shared" si="3"/>
        <v>12.2</v>
      </c>
      <c r="G314" s="92" t="str">
        <f t="shared" si="4"/>
        <v>ESPERABLES</v>
      </c>
      <c r="H314" s="141"/>
      <c r="I314" s="141" t="str">
        <f t="shared" si="5"/>
        <v/>
      </c>
      <c r="J314" s="98" t="str">
        <f t="shared" si="6"/>
        <v/>
      </c>
      <c r="K314" s="98" t="str">
        <f t="shared" si="7"/>
        <v/>
      </c>
      <c r="L314" s="141" t="str">
        <f t="shared" ref="L314:N314" si="319">IF(I314="",L313,I314)</f>
        <v>12.1.1</v>
      </c>
      <c r="M314" s="98" t="str">
        <f t="shared" si="319"/>
        <v>Lenguaje inclusivo</v>
      </c>
      <c r="N314" s="98" t="str">
        <f t="shared" si="319"/>
        <v>Expresión verbal, escrita o visual que visibiliza lo femenino y masculino, elimina estereotipos, el sexismo, el androcentrismo y el masculino como genérico universal. Se fundamenta en una comunicación institucional basada en los principios de igualdad, respeto y no discriminación.</v>
      </c>
      <c r="O314" s="152" t="s">
        <v>1252</v>
      </c>
      <c r="P314" s="206" t="s">
        <v>714</v>
      </c>
      <c r="Q314" s="200"/>
      <c r="R314" s="177"/>
      <c r="S314" s="197">
        <f>COUNTA(P315:P317)</f>
        <v>2</v>
      </c>
      <c r="T314" s="197">
        <f>COUNTIF(U315:U317,"n/a")</f>
        <v>0</v>
      </c>
      <c r="U314" s="94"/>
      <c r="V314" s="94"/>
      <c r="W314" s="94"/>
      <c r="X314" s="94"/>
      <c r="Y314" s="94"/>
      <c r="Z314" s="94"/>
      <c r="AA314" s="94"/>
      <c r="AB314" s="94"/>
      <c r="AC314" s="94"/>
      <c r="AD314" s="94"/>
      <c r="AE314" s="94"/>
      <c r="AF314" s="94"/>
      <c r="AG314" s="94"/>
      <c r="AH314" s="94"/>
      <c r="AI314" s="94"/>
      <c r="AJ314" s="94"/>
      <c r="AK314" s="94"/>
      <c r="AL314" s="94"/>
    </row>
    <row r="315">
      <c r="A315" s="105" t="s">
        <v>661</v>
      </c>
      <c r="B315" s="92" t="str">
        <f t="shared" si="2"/>
        <v>Pregunta</v>
      </c>
      <c r="C315" s="106" t="str">
        <f t="shared" si="9"/>
        <v>12.</v>
      </c>
      <c r="D315" s="106" t="str">
        <f t="shared" si="10"/>
        <v>Enfoque de género</v>
      </c>
      <c r="E315"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315" s="141" t="str">
        <f t="shared" si="3"/>
        <v>12.2</v>
      </c>
      <c r="G315" s="92" t="str">
        <f t="shared" si="4"/>
        <v>ESPERABLES</v>
      </c>
      <c r="H315" s="141"/>
      <c r="I315" s="141" t="str">
        <f t="shared" si="5"/>
        <v>12.2.1</v>
      </c>
      <c r="J315" s="98" t="str">
        <f t="shared" si="6"/>
        <v>Fotografías y videos con enfoque de género</v>
      </c>
      <c r="K315" s="98" t="str">
        <f t="shared" si="7"/>
        <v>Uso de imágenes y videos con perspectiva de género, respetando principios de igualdad, respeto y no discriminación.</v>
      </c>
      <c r="L315" s="141" t="str">
        <f t="shared" ref="L315:N315" si="320">IF(I315="",L314,I315)</f>
        <v>12.2.1</v>
      </c>
      <c r="M315" s="98" t="str">
        <f t="shared" si="320"/>
        <v>Fotografías y videos con enfoque de género</v>
      </c>
      <c r="N315" s="98" t="str">
        <f t="shared" si="320"/>
        <v>Uso de imágenes y videos con perspectiva de género, respetando principios de igualdad, respeto y no discriminación.</v>
      </c>
      <c r="O315" s="147" t="s">
        <v>1253</v>
      </c>
      <c r="P315" s="148" t="s">
        <v>1254</v>
      </c>
      <c r="Q315" s="148" t="s">
        <v>1255</v>
      </c>
      <c r="R315" s="158"/>
      <c r="S315" s="170" t="s">
        <v>1256</v>
      </c>
      <c r="T315" s="160" t="s">
        <v>2033</v>
      </c>
      <c r="U315" s="94"/>
      <c r="V315" s="94"/>
      <c r="W315" s="94"/>
      <c r="X315" s="94"/>
      <c r="Y315" s="94"/>
      <c r="Z315" s="94"/>
      <c r="AA315" s="94"/>
      <c r="AB315" s="94"/>
      <c r="AC315" s="94"/>
      <c r="AD315" s="94"/>
      <c r="AE315" s="94"/>
      <c r="AF315" s="94"/>
      <c r="AG315" s="94"/>
      <c r="AH315" s="94"/>
      <c r="AI315" s="94"/>
      <c r="AJ315" s="94"/>
      <c r="AK315" s="94"/>
      <c r="AL315" s="94"/>
    </row>
    <row r="316">
      <c r="A316" s="86" t="s">
        <v>661</v>
      </c>
      <c r="B316" s="95" t="str">
        <f t="shared" si="2"/>
        <v>Pregunta</v>
      </c>
      <c r="C316" s="106" t="str">
        <f t="shared" si="9"/>
        <v>12.</v>
      </c>
      <c r="D316" s="106" t="str">
        <f t="shared" si="10"/>
        <v>Enfoque de género</v>
      </c>
      <c r="E316"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316" s="141" t="str">
        <f t="shared" si="3"/>
        <v>12.2</v>
      </c>
      <c r="G316" s="92" t="str">
        <f t="shared" si="4"/>
        <v>ESPERABLES</v>
      </c>
      <c r="H316" s="141"/>
      <c r="I316" s="141" t="str">
        <f t="shared" si="5"/>
        <v/>
      </c>
      <c r="J316" s="98" t="str">
        <f t="shared" si="6"/>
        <v/>
      </c>
      <c r="K316" s="98" t="str">
        <f t="shared" si="7"/>
        <v/>
      </c>
      <c r="L316" s="141" t="str">
        <f t="shared" ref="L316:N316" si="321">IF(I316="",L315,I316)</f>
        <v>12.2.1</v>
      </c>
      <c r="M316" s="98" t="str">
        <f t="shared" si="321"/>
        <v>Fotografías y videos con enfoque de género</v>
      </c>
      <c r="N316" s="98" t="str">
        <f t="shared" si="321"/>
        <v>Uso de imágenes y videos con perspectiva de género, respetando principios de igualdad, respeto y no discriminación.</v>
      </c>
      <c r="O316" s="142"/>
      <c r="P316" s="143"/>
      <c r="Q316" s="143"/>
      <c r="R316" s="168"/>
      <c r="S316" s="169" t="s">
        <v>2120</v>
      </c>
      <c r="T316" s="164" t="s">
        <v>2033</v>
      </c>
      <c r="U316" s="94"/>
      <c r="V316" s="94"/>
      <c r="W316" s="94"/>
      <c r="X316" s="94"/>
      <c r="Y316" s="94"/>
      <c r="Z316" s="94"/>
      <c r="AA316" s="94"/>
      <c r="AB316" s="94"/>
      <c r="AC316" s="94"/>
      <c r="AD316" s="94"/>
      <c r="AE316" s="94"/>
      <c r="AF316" s="94"/>
      <c r="AG316" s="94"/>
      <c r="AH316" s="94"/>
      <c r="AI316" s="94"/>
      <c r="AJ316" s="94"/>
      <c r="AK316" s="94"/>
      <c r="AL316" s="94"/>
    </row>
    <row r="317">
      <c r="A317" s="105" t="s">
        <v>661</v>
      </c>
      <c r="B317" s="92" t="str">
        <f t="shared" si="2"/>
        <v>Pregunta</v>
      </c>
      <c r="C317" s="106" t="str">
        <f t="shared" si="9"/>
        <v>12.</v>
      </c>
      <c r="D317" s="106" t="str">
        <f t="shared" si="10"/>
        <v>Enfoque de género</v>
      </c>
      <c r="E317"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317" s="141" t="str">
        <f t="shared" si="3"/>
        <v>12.2</v>
      </c>
      <c r="G317" s="92" t="str">
        <f t="shared" si="4"/>
        <v>ESPERABLES</v>
      </c>
      <c r="H317" s="141"/>
      <c r="I317" s="141" t="str">
        <f t="shared" si="5"/>
        <v>12.2.2</v>
      </c>
      <c r="J317" s="98" t="str">
        <f t="shared" si="6"/>
        <v>Representatividad</v>
      </c>
      <c r="K317" s="98" t="str">
        <f t="shared" si="7"/>
        <v>Proporcionalidad de género en los contenidos, imágenes, videos y audios publicados en un sitio web.</v>
      </c>
      <c r="L317" s="141" t="str">
        <f t="shared" ref="L317:N317" si="322">IF(I317="",L316,I317)</f>
        <v>12.2.2</v>
      </c>
      <c r="M317" s="98" t="str">
        <f t="shared" si="322"/>
        <v>Representatividad</v>
      </c>
      <c r="N317" s="98" t="str">
        <f t="shared" si="322"/>
        <v>Proporcionalidad de género en los contenidos, imágenes, videos y audios publicados en un sitio web.</v>
      </c>
      <c r="O317" s="165" t="s">
        <v>1258</v>
      </c>
      <c r="P317" s="166" t="s">
        <v>1259</v>
      </c>
      <c r="Q317" s="166" t="s">
        <v>1260</v>
      </c>
      <c r="R317" s="211"/>
      <c r="S317" s="166" t="s">
        <v>1261</v>
      </c>
      <c r="T317" s="164" t="s">
        <v>2033</v>
      </c>
      <c r="U317" s="94"/>
      <c r="V317" s="94"/>
      <c r="W317" s="94"/>
      <c r="X317" s="94"/>
      <c r="Y317" s="94"/>
      <c r="Z317" s="94"/>
      <c r="AA317" s="94"/>
      <c r="AB317" s="94"/>
      <c r="AC317" s="94"/>
      <c r="AD317" s="94"/>
      <c r="AE317" s="94"/>
      <c r="AF317" s="94"/>
      <c r="AG317" s="94"/>
      <c r="AH317" s="94"/>
      <c r="AI317" s="94"/>
      <c r="AJ317" s="94"/>
      <c r="AK317" s="94"/>
      <c r="AL317" s="94"/>
    </row>
    <row r="318" hidden="1">
      <c r="A318" s="86" t="s">
        <v>661</v>
      </c>
      <c r="B318" s="95" t="str">
        <f t="shared" si="2"/>
        <v>Otro</v>
      </c>
      <c r="C318" s="106" t="str">
        <f t="shared" si="9"/>
        <v>12.</v>
      </c>
      <c r="D318" s="106" t="str">
        <f t="shared" si="10"/>
        <v>Enfoque de género</v>
      </c>
      <c r="E318"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318" s="141" t="str">
        <f t="shared" si="3"/>
        <v>12.3</v>
      </c>
      <c r="G318" s="92" t="str">
        <f t="shared" si="4"/>
        <v>DESEABLES</v>
      </c>
      <c r="H318" s="141"/>
      <c r="I318" s="141" t="str">
        <f t="shared" si="5"/>
        <v/>
      </c>
      <c r="J318" s="98" t="str">
        <f t="shared" si="6"/>
        <v/>
      </c>
      <c r="K318" s="98" t="str">
        <f t="shared" si="7"/>
        <v/>
      </c>
      <c r="L318" s="141" t="str">
        <f t="shared" ref="L318:N318" si="323">IF(I318="",L317,I318)</f>
        <v>12.2.2</v>
      </c>
      <c r="M318" s="98" t="str">
        <f t="shared" si="323"/>
        <v>Representatividad</v>
      </c>
      <c r="N318" s="98" t="str">
        <f t="shared" si="323"/>
        <v>Proporcionalidad de género en los contenidos, imágenes, videos y audios publicados en un sitio web.</v>
      </c>
      <c r="O318" s="289" t="s">
        <v>1262</v>
      </c>
      <c r="P318" s="182" t="s">
        <v>749</v>
      </c>
      <c r="Q318" s="183"/>
      <c r="R318" s="183"/>
      <c r="S318" s="184">
        <f>COUNTA(P319:P320)</f>
        <v>2</v>
      </c>
      <c r="T318" s="184">
        <f>COUNTIF(U319:U320,"n/a")</f>
        <v>0</v>
      </c>
      <c r="U318" s="94"/>
      <c r="V318" s="94"/>
      <c r="W318" s="94"/>
      <c r="X318" s="94"/>
      <c r="Y318" s="94"/>
      <c r="Z318" s="94"/>
      <c r="AA318" s="94"/>
      <c r="AB318" s="94"/>
      <c r="AC318" s="94"/>
      <c r="AD318" s="94"/>
      <c r="AE318" s="94"/>
      <c r="AF318" s="94"/>
      <c r="AG318" s="94"/>
      <c r="AH318" s="94"/>
      <c r="AI318" s="94"/>
      <c r="AJ318" s="94"/>
      <c r="AK318" s="94"/>
      <c r="AL318" s="94"/>
    </row>
    <row r="319">
      <c r="A319" s="105" t="s">
        <v>661</v>
      </c>
      <c r="B319" s="92" t="str">
        <f t="shared" si="2"/>
        <v>Pregunta</v>
      </c>
      <c r="C319" s="106" t="str">
        <f t="shared" si="9"/>
        <v>12.</v>
      </c>
      <c r="D319" s="106" t="str">
        <f t="shared" si="10"/>
        <v>Enfoque de género</v>
      </c>
      <c r="E319"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319" s="141" t="str">
        <f t="shared" si="3"/>
        <v>12.3</v>
      </c>
      <c r="G319" s="92" t="str">
        <f t="shared" si="4"/>
        <v>DESEABLES</v>
      </c>
      <c r="H319" s="141"/>
      <c r="I319" s="141" t="str">
        <f t="shared" si="5"/>
        <v>12.3.1</v>
      </c>
      <c r="J319" s="98" t="str">
        <f t="shared" si="6"/>
        <v>Formularios representativos</v>
      </c>
      <c r="K319" s="98" t="str">
        <f t="shared" si="7"/>
        <v>Diseño de formularios con perspectiva de género, respetando principios de igualdad, respeto, diversidad y no discriminación.
</v>
      </c>
      <c r="L319" s="141" t="str">
        <f t="shared" ref="L319:N319" si="324">IF(I319="",L318,I319)</f>
        <v>12.3.1</v>
      </c>
      <c r="M319" s="98" t="str">
        <f t="shared" si="324"/>
        <v>Formularios representativos</v>
      </c>
      <c r="N319" s="98" t="str">
        <f t="shared" si="324"/>
        <v>Diseño de formularios con perspectiva de género, respetando principios de igualdad, respeto, diversidad y no discriminación.
</v>
      </c>
      <c r="O319" s="207" t="s">
        <v>1263</v>
      </c>
      <c r="P319" s="169" t="s">
        <v>1264</v>
      </c>
      <c r="Q319" s="169" t="s">
        <v>1265</v>
      </c>
      <c r="R319" s="168"/>
      <c r="S319" s="169" t="s">
        <v>2121</v>
      </c>
      <c r="T319" s="164" t="s">
        <v>2033</v>
      </c>
      <c r="U319" s="94"/>
      <c r="V319" s="94"/>
      <c r="W319" s="94"/>
      <c r="X319" s="94"/>
      <c r="Y319" s="94"/>
      <c r="Z319" s="94"/>
      <c r="AA319" s="94"/>
      <c r="AB319" s="94"/>
      <c r="AC319" s="94"/>
      <c r="AD319" s="94"/>
      <c r="AE319" s="94"/>
      <c r="AF319" s="94"/>
      <c r="AG319" s="94"/>
      <c r="AH319" s="94"/>
      <c r="AI319" s="94"/>
      <c r="AJ319" s="94"/>
      <c r="AK319" s="94"/>
      <c r="AL319" s="94"/>
    </row>
    <row r="320">
      <c r="A320" s="105" t="s">
        <v>661</v>
      </c>
      <c r="B320" s="92" t="str">
        <f t="shared" si="2"/>
        <v>Pregunta</v>
      </c>
      <c r="C320" s="106" t="str">
        <f t="shared" si="9"/>
        <v>12.</v>
      </c>
      <c r="D320" s="106" t="str">
        <f t="shared" si="10"/>
        <v>Enfoque de género</v>
      </c>
      <c r="E320"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320" s="141" t="str">
        <f t="shared" si="3"/>
        <v>12.3</v>
      </c>
      <c r="G320" s="92" t="str">
        <f t="shared" si="4"/>
        <v>DESEABLES</v>
      </c>
      <c r="H320" s="141"/>
      <c r="I320" s="141" t="str">
        <f t="shared" si="5"/>
        <v>12.3.2</v>
      </c>
      <c r="J320" s="98" t="str">
        <f t="shared" si="6"/>
        <v>Noticias con enfoque de género</v>
      </c>
      <c r="K320" s="98" t="str">
        <f t="shared" si="7"/>
        <v>Publicación de noticias con perspectiva de género, respetando principios de igualdad, respeto y no discriminación.
</v>
      </c>
      <c r="L320" s="141" t="str">
        <f t="shared" ref="L320:N320" si="325">IF(I320="",L319,I320)</f>
        <v>12.3.2</v>
      </c>
      <c r="M320" s="98" t="str">
        <f t="shared" si="325"/>
        <v>Noticias con enfoque de género</v>
      </c>
      <c r="N320" s="98" t="str">
        <f t="shared" si="325"/>
        <v>Publicación de noticias con perspectiva de género, respetando principios de igualdad, respeto y no discriminación.
</v>
      </c>
      <c r="O320" s="147" t="s">
        <v>1267</v>
      </c>
      <c r="P320" s="148" t="s">
        <v>1268</v>
      </c>
      <c r="Q320" s="148" t="s">
        <v>1269</v>
      </c>
      <c r="R320" s="211"/>
      <c r="S320" s="166" t="s">
        <v>1270</v>
      </c>
      <c r="T320" s="164" t="s">
        <v>2033</v>
      </c>
      <c r="U320" s="94"/>
      <c r="V320" s="94"/>
      <c r="W320" s="94"/>
      <c r="X320" s="94"/>
      <c r="Y320" s="94"/>
      <c r="Z320" s="94"/>
      <c r="AA320" s="94"/>
      <c r="AB320" s="94"/>
      <c r="AC320" s="94"/>
      <c r="AD320" s="94"/>
      <c r="AE320" s="94"/>
      <c r="AF320" s="94"/>
      <c r="AG320" s="94"/>
      <c r="AH320" s="94"/>
      <c r="AI320" s="94"/>
      <c r="AJ320" s="94"/>
      <c r="AK320" s="94"/>
      <c r="AL320" s="94"/>
    </row>
    <row r="321" hidden="1">
      <c r="A321" s="105" t="s">
        <v>661</v>
      </c>
      <c r="B321" s="106" t="str">
        <f t="shared" si="2"/>
        <v>Otro</v>
      </c>
      <c r="C321" s="106" t="str">
        <f t="shared" si="9"/>
        <v>12.</v>
      </c>
      <c r="D321" s="106" t="str">
        <f t="shared" si="10"/>
        <v>Enfoque de género</v>
      </c>
      <c r="E321"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321" s="141" t="str">
        <f t="shared" si="3"/>
        <v>12.3</v>
      </c>
      <c r="G321" s="92" t="str">
        <f t="shared" si="4"/>
        <v>DESEABLES</v>
      </c>
      <c r="H321" s="107"/>
      <c r="I321" s="107" t="str">
        <f t="shared" si="5"/>
        <v/>
      </c>
      <c r="J321" s="98" t="str">
        <f t="shared" si="6"/>
        <v/>
      </c>
      <c r="K321" s="98" t="str">
        <f t="shared" si="7"/>
        <v/>
      </c>
      <c r="L321" s="141" t="str">
        <f t="shared" ref="L321:N321" si="326">IF(I321="",L320,I321)</f>
        <v>12.3.2</v>
      </c>
      <c r="M321" s="98" t="str">
        <f t="shared" si="326"/>
        <v>Noticias con enfoque de género</v>
      </c>
      <c r="N321" s="98" t="str">
        <f t="shared" si="326"/>
        <v>Publicación de noticias con perspectiva de género, respetando principios de igualdad, respeto y no discriminación.
</v>
      </c>
      <c r="O321" s="220" t="s">
        <v>2122</v>
      </c>
      <c r="P321" s="112" t="s">
        <v>44</v>
      </c>
      <c r="Q321" s="113"/>
      <c r="R321" s="114"/>
      <c r="S321" s="115" t="s">
        <v>1772</v>
      </c>
      <c r="T321" s="290"/>
      <c r="U321" s="94"/>
      <c r="V321" s="94"/>
      <c r="W321" s="94"/>
      <c r="X321" s="94"/>
      <c r="Y321" s="94"/>
      <c r="Z321" s="94"/>
      <c r="AA321" s="94"/>
      <c r="AB321" s="94"/>
      <c r="AC321" s="94"/>
      <c r="AD321" s="94"/>
      <c r="AE321" s="94"/>
      <c r="AF321" s="94"/>
      <c r="AG321" s="94"/>
      <c r="AH321" s="94"/>
      <c r="AI321" s="94"/>
      <c r="AJ321" s="94"/>
      <c r="AK321" s="94"/>
      <c r="AL321" s="94"/>
    </row>
    <row r="322" hidden="1">
      <c r="A322" s="105" t="s">
        <v>661</v>
      </c>
      <c r="B322" s="106" t="str">
        <f t="shared" si="2"/>
        <v>Otro</v>
      </c>
      <c r="C322" s="106" t="str">
        <f t="shared" si="9"/>
        <v>12.</v>
      </c>
      <c r="D322" s="106" t="str">
        <f t="shared" si="10"/>
        <v>Enfoque de género</v>
      </c>
      <c r="E322"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322" s="141" t="str">
        <f t="shared" si="3"/>
        <v>12.3</v>
      </c>
      <c r="G322" s="92" t="str">
        <f t="shared" si="4"/>
        <v>DESEABLES</v>
      </c>
      <c r="H322" s="107"/>
      <c r="I322" s="107" t="str">
        <f t="shared" si="5"/>
        <v/>
      </c>
      <c r="J322" s="98" t="str">
        <f t="shared" si="6"/>
        <v/>
      </c>
      <c r="K322" s="98" t="str">
        <f t="shared" si="7"/>
        <v/>
      </c>
      <c r="L322" s="141" t="str">
        <f t="shared" ref="L322:N322" si="327">IF(I322="",L321,I322)</f>
        <v>12.3.2</v>
      </c>
      <c r="M322" s="98" t="str">
        <f t="shared" si="327"/>
        <v>Noticias con enfoque de género</v>
      </c>
      <c r="N322" s="98" t="str">
        <f t="shared" si="327"/>
        <v>Publicación de noticias con perspectiva de género, respetando principios de igualdad, respeto y no discriminación.
</v>
      </c>
      <c r="O322" s="221"/>
      <c r="P322" s="118"/>
      <c r="Q322" s="119"/>
      <c r="R322" s="114"/>
      <c r="S322" s="239"/>
      <c r="T322" s="116" t="s">
        <v>19</v>
      </c>
      <c r="U322" s="94"/>
      <c r="V322" s="94"/>
      <c r="W322" s="94"/>
      <c r="X322" s="94"/>
      <c r="Y322" s="94"/>
      <c r="Z322" s="94"/>
      <c r="AA322" s="94"/>
      <c r="AB322" s="94"/>
      <c r="AC322" s="94"/>
      <c r="AD322" s="94"/>
      <c r="AE322" s="94"/>
      <c r="AF322" s="94"/>
      <c r="AG322" s="94"/>
      <c r="AH322" s="94"/>
      <c r="AI322" s="94"/>
      <c r="AJ322" s="94"/>
      <c r="AK322" s="94"/>
      <c r="AL322" s="94"/>
    </row>
    <row r="323" hidden="1">
      <c r="A323" s="105" t="s">
        <v>661</v>
      </c>
      <c r="B323" s="106" t="str">
        <f t="shared" si="2"/>
        <v>Otro</v>
      </c>
      <c r="C323" s="106" t="str">
        <f t="shared" si="9"/>
        <v>12.</v>
      </c>
      <c r="D323" s="106" t="str">
        <f t="shared" si="10"/>
        <v>Enfoque de género</v>
      </c>
      <c r="E323"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323" s="141" t="str">
        <f t="shared" si="3"/>
        <v>12.3</v>
      </c>
      <c r="G323" s="92" t="str">
        <f t="shared" si="4"/>
        <v>DESEABLES</v>
      </c>
      <c r="H323" s="107"/>
      <c r="I323" s="107" t="str">
        <f t="shared" si="5"/>
        <v/>
      </c>
      <c r="J323" s="98" t="str">
        <f t="shared" si="6"/>
        <v/>
      </c>
      <c r="K323" s="98" t="str">
        <f t="shared" si="7"/>
        <v/>
      </c>
      <c r="L323" s="141" t="str">
        <f t="shared" ref="L323:N323" si="328">IF(I323="",L322,I323)</f>
        <v>12.3.2</v>
      </c>
      <c r="M323" s="98" t="str">
        <f t="shared" si="328"/>
        <v>Noticias con enfoque de género</v>
      </c>
      <c r="N323" s="98" t="str">
        <f t="shared" si="328"/>
        <v>Publicación de noticias con perspectiva de género, respetando principios de igualdad, respeto y no discriminación.
</v>
      </c>
      <c r="O323" s="222"/>
      <c r="P323" s="122"/>
      <c r="Q323" s="123"/>
      <c r="R323" s="114"/>
      <c r="S323" s="240"/>
      <c r="T323" s="116" t="s">
        <v>22</v>
      </c>
      <c r="U323" s="94"/>
      <c r="V323" s="94"/>
      <c r="W323" s="94"/>
      <c r="X323" s="94"/>
      <c r="Y323" s="94"/>
      <c r="Z323" s="94"/>
      <c r="AA323" s="94"/>
      <c r="AB323" s="94"/>
      <c r="AC323" s="94"/>
      <c r="AD323" s="94"/>
      <c r="AE323" s="94"/>
      <c r="AF323" s="94"/>
      <c r="AG323" s="94"/>
      <c r="AH323" s="94"/>
      <c r="AI323" s="94"/>
      <c r="AJ323" s="94"/>
      <c r="AK323" s="94"/>
      <c r="AL323" s="94"/>
    </row>
    <row r="324" hidden="1">
      <c r="A324" s="105" t="s">
        <v>661</v>
      </c>
      <c r="B324" s="106" t="str">
        <f t="shared" si="2"/>
        <v>Otro</v>
      </c>
      <c r="C324" s="106" t="str">
        <f t="shared" si="9"/>
        <v>12.</v>
      </c>
      <c r="D324" s="106" t="str">
        <f t="shared" si="10"/>
        <v>Enfoque de género</v>
      </c>
      <c r="E324"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324" s="141" t="str">
        <f t="shared" si="3"/>
        <v>12.3</v>
      </c>
      <c r="G324" s="92" t="str">
        <f t="shared" si="4"/>
        <v>DESEABLES</v>
      </c>
      <c r="H324" s="96"/>
      <c r="I324" s="96" t="str">
        <f t="shared" si="5"/>
        <v/>
      </c>
      <c r="J324" s="98" t="str">
        <f t="shared" si="6"/>
        <v/>
      </c>
      <c r="K324" s="98" t="str">
        <f t="shared" si="7"/>
        <v/>
      </c>
      <c r="L324" s="141" t="str">
        <f t="shared" ref="L324:N324" si="329">IF(I324="",L323,I324)</f>
        <v>12.3.2</v>
      </c>
      <c r="M324" s="98" t="str">
        <f t="shared" si="329"/>
        <v>Noticias con enfoque de género</v>
      </c>
      <c r="N324" s="98" t="str">
        <f t="shared" si="329"/>
        <v>Publicación de noticias con perspectiva de género, respetando principios de igualdad, respeto y no discriminación.
</v>
      </c>
      <c r="O324" s="104"/>
      <c r="P324" s="114"/>
      <c r="Q324" s="114"/>
      <c r="R324" s="114"/>
      <c r="S324" s="114"/>
      <c r="T324" s="127"/>
      <c r="U324" s="94"/>
      <c r="V324" s="94"/>
      <c r="W324" s="94"/>
      <c r="X324" s="94"/>
      <c r="Y324" s="94"/>
      <c r="Z324" s="94"/>
      <c r="AA324" s="94"/>
      <c r="AB324" s="94"/>
      <c r="AC324" s="94"/>
      <c r="AD324" s="94"/>
      <c r="AE324" s="94"/>
      <c r="AF324" s="94"/>
      <c r="AG324" s="94"/>
      <c r="AH324" s="94"/>
      <c r="AI324" s="94"/>
      <c r="AJ324" s="94"/>
      <c r="AK324" s="94"/>
      <c r="AL324" s="94"/>
    </row>
    <row r="325" hidden="1">
      <c r="A325" s="86" t="s">
        <v>661</v>
      </c>
      <c r="B325" s="95" t="str">
        <f t="shared" si="2"/>
        <v>Otro</v>
      </c>
      <c r="C325" s="106" t="str">
        <f t="shared" si="9"/>
        <v>12.</v>
      </c>
      <c r="D325" s="106" t="str">
        <f t="shared" si="10"/>
        <v>Enfoque de género</v>
      </c>
      <c r="E325"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325" s="141" t="str">
        <f t="shared" si="3"/>
        <v>12.3</v>
      </c>
      <c r="G325" s="92" t="str">
        <f t="shared" si="4"/>
        <v>DESEABLES</v>
      </c>
      <c r="H325" s="128"/>
      <c r="I325" s="128" t="str">
        <f t="shared" si="5"/>
        <v/>
      </c>
      <c r="J325" s="98" t="str">
        <f t="shared" si="6"/>
        <v/>
      </c>
      <c r="K325" s="98" t="str">
        <f t="shared" si="7"/>
        <v/>
      </c>
      <c r="L325" s="141" t="str">
        <f t="shared" ref="L325:N325" si="330">IF(I325="",L324,I325)</f>
        <v>12.3.2</v>
      </c>
      <c r="M325" s="98" t="str">
        <f t="shared" si="330"/>
        <v>Noticias con enfoque de género</v>
      </c>
      <c r="N325" s="98" t="str">
        <f t="shared" si="330"/>
        <v>Publicación de noticias con perspectiva de género, respetando principios de igualdad, respeto y no discriminación.
</v>
      </c>
      <c r="O325" s="223" t="s">
        <v>1822</v>
      </c>
      <c r="P325" s="133" t="s">
        <v>1823</v>
      </c>
      <c r="Q325" s="133" t="s">
        <v>2031</v>
      </c>
      <c r="R325" s="134"/>
      <c r="S325" s="133" t="s">
        <v>1824</v>
      </c>
      <c r="T325" s="133" t="s">
        <v>1825</v>
      </c>
      <c r="U325" s="94"/>
      <c r="V325" s="94"/>
      <c r="W325" s="94"/>
      <c r="X325" s="94"/>
      <c r="Y325" s="94"/>
      <c r="Z325" s="94"/>
      <c r="AA325" s="94"/>
      <c r="AB325" s="94"/>
      <c r="AC325" s="94"/>
      <c r="AD325" s="94"/>
      <c r="AE325" s="94"/>
      <c r="AF325" s="94"/>
      <c r="AG325" s="94"/>
      <c r="AH325" s="94"/>
      <c r="AI325" s="94"/>
      <c r="AJ325" s="94"/>
      <c r="AK325" s="94"/>
      <c r="AL325" s="94"/>
    </row>
    <row r="326" hidden="1">
      <c r="A326" s="86" t="s">
        <v>661</v>
      </c>
      <c r="B326" s="95" t="str">
        <f t="shared" si="2"/>
        <v>Otro</v>
      </c>
      <c r="C326" s="106" t="str">
        <f t="shared" si="9"/>
        <v>12.</v>
      </c>
      <c r="D326" s="106" t="str">
        <f t="shared" si="10"/>
        <v>Enfoque de género</v>
      </c>
      <c r="E326"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326" s="141" t="str">
        <f t="shared" si="3"/>
        <v>13.2</v>
      </c>
      <c r="G326" s="92" t="str">
        <f t="shared" si="4"/>
        <v>ESPERABLES</v>
      </c>
      <c r="H326" s="141"/>
      <c r="I326" s="141" t="str">
        <f t="shared" si="5"/>
        <v/>
      </c>
      <c r="J326" s="98" t="str">
        <f t="shared" si="6"/>
        <v/>
      </c>
      <c r="K326" s="98" t="str">
        <f t="shared" si="7"/>
        <v/>
      </c>
      <c r="L326" s="141" t="str">
        <f t="shared" ref="L326:N326" si="331">IF(I326="",L325,I326)</f>
        <v>12.3.2</v>
      </c>
      <c r="M326" s="98" t="str">
        <f t="shared" si="331"/>
        <v>Noticias con enfoque de género</v>
      </c>
      <c r="N326" s="98" t="str">
        <f t="shared" si="331"/>
        <v>Publicación de noticias con perspectiva de género, respetando principios de igualdad, respeto y no discriminación.
</v>
      </c>
      <c r="O326" s="291" t="s">
        <v>1271</v>
      </c>
      <c r="P326" s="196" t="s">
        <v>714</v>
      </c>
      <c r="Q326" s="177"/>
      <c r="R326" s="177"/>
      <c r="S326" s="197">
        <f>COUNTA(P327)</f>
        <v>1</v>
      </c>
      <c r="T326" s="197">
        <f>COUNTIF(U327,"n/a")</f>
        <v>0</v>
      </c>
      <c r="U326" s="94"/>
      <c r="V326" s="94"/>
      <c r="W326" s="94"/>
      <c r="X326" s="94"/>
      <c r="Y326" s="94"/>
      <c r="Z326" s="94"/>
      <c r="AA326" s="94"/>
      <c r="AB326" s="94"/>
      <c r="AC326" s="94"/>
      <c r="AD326" s="94"/>
      <c r="AE326" s="94"/>
      <c r="AF326" s="94"/>
      <c r="AG326" s="94"/>
      <c r="AH326" s="94"/>
      <c r="AI326" s="94"/>
      <c r="AJ326" s="94"/>
      <c r="AK326" s="94"/>
      <c r="AL326" s="94"/>
    </row>
    <row r="327">
      <c r="A327" s="105" t="s">
        <v>661</v>
      </c>
      <c r="B327" s="92" t="str">
        <f t="shared" si="2"/>
        <v>Pregunta</v>
      </c>
      <c r="C327" s="106" t="str">
        <f t="shared" si="9"/>
        <v>12.</v>
      </c>
      <c r="D327" s="106" t="str">
        <f t="shared" si="10"/>
        <v>Enfoque de género</v>
      </c>
      <c r="E327"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327" s="141" t="str">
        <f t="shared" si="3"/>
        <v>13.2</v>
      </c>
      <c r="G327" s="92" t="str">
        <f t="shared" si="4"/>
        <v>ESPERABLES</v>
      </c>
      <c r="H327" s="141"/>
      <c r="I327" s="141" t="str">
        <f t="shared" si="5"/>
        <v>13.2.1</v>
      </c>
      <c r="J327" s="98" t="str">
        <f t="shared" si="6"/>
        <v>Diversidad en formularios</v>
      </c>
      <c r="K327" s="98" t="str">
        <f t="shared" si="7"/>
        <v>Especial cuidado en la redacción de preguntas en formularios para considerar la diversidad de personas usuarias y evitar discriminaciones.</v>
      </c>
      <c r="L327" s="141" t="str">
        <f t="shared" ref="L327:N327" si="332">IF(I327="",L326,I327)</f>
        <v>13.2.1</v>
      </c>
      <c r="M327" s="98" t="str">
        <f t="shared" si="332"/>
        <v>Diversidad en formularios</v>
      </c>
      <c r="N327" s="98" t="str">
        <f t="shared" si="332"/>
        <v>Especial cuidado en la redacción de preguntas en formularios para considerar la diversidad de personas usuarias y evitar discriminaciones.</v>
      </c>
      <c r="O327" s="214" t="s">
        <v>1272</v>
      </c>
      <c r="P327" s="169" t="s">
        <v>1273</v>
      </c>
      <c r="Q327" s="169" t="s">
        <v>1274</v>
      </c>
      <c r="R327" s="168"/>
      <c r="S327" s="169" t="s">
        <v>2123</v>
      </c>
      <c r="T327" s="164" t="s">
        <v>2033</v>
      </c>
      <c r="U327" s="94"/>
      <c r="V327" s="94"/>
      <c r="W327" s="94"/>
      <c r="X327" s="94"/>
      <c r="Y327" s="94"/>
      <c r="Z327" s="94"/>
      <c r="AA327" s="94"/>
      <c r="AB327" s="94"/>
      <c r="AC327" s="94"/>
      <c r="AD327" s="94"/>
      <c r="AE327" s="94"/>
      <c r="AF327" s="94"/>
      <c r="AG327" s="94"/>
      <c r="AH327" s="94"/>
      <c r="AI327" s="94"/>
      <c r="AJ327" s="94"/>
      <c r="AK327" s="94"/>
      <c r="AL327" s="94"/>
    </row>
    <row r="328" hidden="1">
      <c r="A328" s="86" t="s">
        <v>661</v>
      </c>
      <c r="B328" s="95" t="str">
        <f t="shared" si="2"/>
        <v>Otro</v>
      </c>
      <c r="C328" s="106" t="str">
        <f t="shared" si="9"/>
        <v>12.</v>
      </c>
      <c r="D328" s="106" t="str">
        <f t="shared" si="10"/>
        <v>Enfoque de género</v>
      </c>
      <c r="E328"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328" s="141" t="str">
        <f t="shared" si="3"/>
        <v>13.3</v>
      </c>
      <c r="G328" s="92" t="str">
        <f t="shared" si="4"/>
        <v>DESEABLES</v>
      </c>
      <c r="H328" s="141"/>
      <c r="I328" s="141" t="str">
        <f t="shared" si="5"/>
        <v/>
      </c>
      <c r="J328" s="98" t="str">
        <f t="shared" si="6"/>
        <v/>
      </c>
      <c r="K328" s="98" t="str">
        <f t="shared" si="7"/>
        <v/>
      </c>
      <c r="L328" s="141" t="str">
        <f t="shared" ref="L328:N328" si="333">IF(I328="",L327,I328)</f>
        <v>13.2.1</v>
      </c>
      <c r="M328" s="98" t="str">
        <f t="shared" si="333"/>
        <v>Diversidad en formularios</v>
      </c>
      <c r="N328" s="98" t="str">
        <f t="shared" si="333"/>
        <v>Especial cuidado en la redacción de preguntas en formularios para considerar la diversidad de personas usuarias y evitar discriminaciones.</v>
      </c>
      <c r="O328" s="152" t="s">
        <v>1276</v>
      </c>
      <c r="P328" s="206" t="s">
        <v>749</v>
      </c>
      <c r="Q328" s="200"/>
      <c r="R328" s="183"/>
      <c r="S328" s="199">
        <f>COUNTA(P329:P331)</f>
        <v>2</v>
      </c>
      <c r="T328" s="199">
        <f>COUNTIF(U329:U331,"n/a")</f>
        <v>0</v>
      </c>
      <c r="U328" s="94"/>
      <c r="V328" s="94"/>
      <c r="W328" s="94"/>
      <c r="X328" s="94"/>
      <c r="Y328" s="94"/>
      <c r="Z328" s="94"/>
      <c r="AA328" s="94"/>
      <c r="AB328" s="94"/>
      <c r="AC328" s="94"/>
      <c r="AD328" s="94"/>
      <c r="AE328" s="94"/>
      <c r="AF328" s="94"/>
      <c r="AG328" s="94"/>
      <c r="AH328" s="94"/>
      <c r="AI328" s="94"/>
      <c r="AJ328" s="94"/>
      <c r="AK328" s="94"/>
      <c r="AL328" s="94"/>
    </row>
    <row r="329">
      <c r="A329" s="105" t="s">
        <v>661</v>
      </c>
      <c r="B329" s="92" t="str">
        <f t="shared" si="2"/>
        <v>Pregunta</v>
      </c>
      <c r="C329" s="106" t="str">
        <f t="shared" si="9"/>
        <v>12.</v>
      </c>
      <c r="D329" s="106" t="str">
        <f t="shared" si="10"/>
        <v>Enfoque de género</v>
      </c>
      <c r="E329"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329" s="141" t="str">
        <f t="shared" si="3"/>
        <v>13.3</v>
      </c>
      <c r="G329" s="92" t="str">
        <f t="shared" si="4"/>
        <v>DESEABLES</v>
      </c>
      <c r="H329" s="141"/>
      <c r="I329" s="141" t="str">
        <f t="shared" si="5"/>
        <v>13.3.1</v>
      </c>
      <c r="J329" s="98" t="str">
        <f t="shared" si="6"/>
        <v>Versiones en otros idiomas</v>
      </c>
      <c r="K329" s="98" t="str">
        <f t="shared" si="7"/>
        <v>Presencia de información en otros idiomas, especialmente para personas de pueblos originarios y migrantes que no hablen español.
</v>
      </c>
      <c r="L329" s="141" t="str">
        <f t="shared" ref="L329:N329" si="334">IF(I329="",L328,I329)</f>
        <v>13.3.1</v>
      </c>
      <c r="M329" s="98" t="str">
        <f t="shared" si="334"/>
        <v>Versiones en otros idiomas</v>
      </c>
      <c r="N329" s="98" t="str">
        <f t="shared" si="334"/>
        <v>Presencia de información en otros idiomas, especialmente para personas de pueblos originarios y migrantes que no hablen español.
</v>
      </c>
      <c r="O329" s="207" t="s">
        <v>1277</v>
      </c>
      <c r="P329" s="180" t="s">
        <v>1278</v>
      </c>
      <c r="Q329" s="180" t="s">
        <v>1279</v>
      </c>
      <c r="R329" s="171"/>
      <c r="S329" s="162" t="s">
        <v>1280</v>
      </c>
      <c r="T329" s="160" t="s">
        <v>2033</v>
      </c>
      <c r="U329" s="94"/>
      <c r="V329" s="94"/>
      <c r="W329" s="94"/>
      <c r="X329" s="94"/>
      <c r="Y329" s="94"/>
      <c r="Z329" s="94"/>
      <c r="AA329" s="94"/>
      <c r="AB329" s="94"/>
      <c r="AC329" s="94"/>
      <c r="AD329" s="94"/>
      <c r="AE329" s="94"/>
      <c r="AF329" s="94"/>
      <c r="AG329" s="94"/>
      <c r="AH329" s="94"/>
      <c r="AI329" s="94"/>
      <c r="AJ329" s="94"/>
      <c r="AK329" s="94"/>
      <c r="AL329" s="94"/>
    </row>
    <row r="330">
      <c r="A330" s="86" t="s">
        <v>661</v>
      </c>
      <c r="B330" s="95" t="str">
        <f t="shared" si="2"/>
        <v>Pregunta</v>
      </c>
      <c r="C330" s="106" t="str">
        <f t="shared" si="9"/>
        <v>12.</v>
      </c>
      <c r="D330" s="106" t="str">
        <f t="shared" si="10"/>
        <v>Enfoque de género</v>
      </c>
      <c r="E330"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330" s="141" t="str">
        <f t="shared" si="3"/>
        <v>13.3</v>
      </c>
      <c r="G330" s="92" t="str">
        <f t="shared" si="4"/>
        <v>DESEABLES</v>
      </c>
      <c r="H330" s="141"/>
      <c r="I330" s="141" t="str">
        <f t="shared" si="5"/>
        <v/>
      </c>
      <c r="J330" s="98" t="str">
        <f t="shared" si="6"/>
        <v/>
      </c>
      <c r="K330" s="98" t="str">
        <f t="shared" si="7"/>
        <v/>
      </c>
      <c r="L330" s="141" t="str">
        <f t="shared" ref="L330:N330" si="335">IF(I330="",L329,I330)</f>
        <v>13.3.1</v>
      </c>
      <c r="M330" s="98" t="str">
        <f t="shared" si="335"/>
        <v>Versiones en otros idiomas</v>
      </c>
      <c r="N330" s="98" t="str">
        <f t="shared" si="335"/>
        <v>Presencia de información en otros idiomas, especialmente para personas de pueblos originarios y migrantes que no hablen español.
</v>
      </c>
      <c r="O330" s="142"/>
      <c r="P330" s="143"/>
      <c r="Q330" s="143"/>
      <c r="R330" s="168"/>
      <c r="S330" s="169" t="s">
        <v>1281</v>
      </c>
      <c r="T330" s="164" t="s">
        <v>2033</v>
      </c>
      <c r="U330" s="94"/>
      <c r="V330" s="94"/>
      <c r="W330" s="94"/>
      <c r="X330" s="94"/>
      <c r="Y330" s="94"/>
      <c r="Z330" s="94"/>
      <c r="AA330" s="94"/>
      <c r="AB330" s="94"/>
      <c r="AC330" s="94"/>
      <c r="AD330" s="94"/>
      <c r="AE330" s="94"/>
      <c r="AF330" s="94"/>
      <c r="AG330" s="94"/>
      <c r="AH330" s="94"/>
      <c r="AI330" s="94"/>
      <c r="AJ330" s="94"/>
      <c r="AK330" s="94"/>
      <c r="AL330" s="94"/>
    </row>
    <row r="331">
      <c r="A331" s="105" t="s">
        <v>661</v>
      </c>
      <c r="B331" s="92" t="str">
        <f t="shared" si="2"/>
        <v>Pregunta</v>
      </c>
      <c r="C331" s="106" t="str">
        <f t="shared" si="9"/>
        <v>12.</v>
      </c>
      <c r="D331" s="106" t="str">
        <f t="shared" si="10"/>
        <v>Enfoque de género</v>
      </c>
      <c r="E331"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331" s="141" t="str">
        <f t="shared" si="3"/>
        <v>13.3</v>
      </c>
      <c r="G331" s="92" t="str">
        <f t="shared" si="4"/>
        <v>DESEABLES</v>
      </c>
      <c r="H331" s="141"/>
      <c r="I331" s="141" t="str">
        <f t="shared" si="5"/>
        <v>13.3.2</v>
      </c>
      <c r="J331" s="98" t="str">
        <f t="shared" si="6"/>
        <v>Descentralización</v>
      </c>
      <c r="K331" s="98" t="str">
        <f t="shared" si="7"/>
        <v>Especial cuidado en la redacción de los contenidos y acceso a los servicios para evitar un sesgo desde la centralización.</v>
      </c>
      <c r="L331" s="141" t="str">
        <f t="shared" ref="L331:N331" si="336">IF(I331="",L330,I331)</f>
        <v>13.3.2</v>
      </c>
      <c r="M331" s="98" t="str">
        <f t="shared" si="336"/>
        <v>Descentralización</v>
      </c>
      <c r="N331" s="98" t="str">
        <f t="shared" si="336"/>
        <v>Especial cuidado en la redacción de los contenidos y acceso a los servicios para evitar un sesgo desde la centralización.</v>
      </c>
      <c r="O331" s="147" t="s">
        <v>1282</v>
      </c>
      <c r="P331" s="148" t="s">
        <v>1283</v>
      </c>
      <c r="Q331" s="148" t="s">
        <v>1284</v>
      </c>
      <c r="R331" s="211"/>
      <c r="S331" s="166" t="s">
        <v>1285</v>
      </c>
      <c r="T331" s="164" t="s">
        <v>2033</v>
      </c>
      <c r="U331" s="94"/>
      <c r="V331" s="94"/>
      <c r="W331" s="94"/>
      <c r="X331" s="94"/>
      <c r="Y331" s="94"/>
      <c r="Z331" s="94"/>
      <c r="AA331" s="94"/>
      <c r="AB331" s="94"/>
      <c r="AC331" s="94"/>
      <c r="AD331" s="94"/>
      <c r="AE331" s="94"/>
      <c r="AF331" s="94"/>
      <c r="AG331" s="94"/>
      <c r="AH331" s="94"/>
      <c r="AI331" s="94"/>
      <c r="AJ331" s="94"/>
      <c r="AK331" s="94"/>
      <c r="AL331" s="94"/>
    </row>
    <row r="332" hidden="1">
      <c r="A332" s="105" t="s">
        <v>661</v>
      </c>
      <c r="B332" s="106" t="str">
        <f t="shared" si="2"/>
        <v>Otro</v>
      </c>
      <c r="C332" s="106" t="str">
        <f t="shared" si="9"/>
        <v>14.</v>
      </c>
      <c r="D332" s="106" t="str">
        <f t="shared" si="10"/>
        <v>Inclusión</v>
      </c>
      <c r="E332" s="106" t="str">
        <f t="shared" si="11"/>
        <v>Incorporación de un enfoque inclusivo que responda a la diversidad y diferencias individuales, garantizando igualdad de acceso a políticas y servicios públicos para todas y todos, sin importar características, habilidades u origen.</v>
      </c>
      <c r="F332" s="141" t="str">
        <f t="shared" si="3"/>
        <v>13.3</v>
      </c>
      <c r="G332" s="92" t="str">
        <f t="shared" si="4"/>
        <v>DESEABLES</v>
      </c>
      <c r="H332" s="107"/>
      <c r="I332" s="107" t="str">
        <f t="shared" si="5"/>
        <v/>
      </c>
      <c r="J332" s="98" t="str">
        <f t="shared" si="6"/>
        <v/>
      </c>
      <c r="K332" s="98" t="str">
        <f t="shared" si="7"/>
        <v/>
      </c>
      <c r="L332" s="141" t="str">
        <f t="shared" ref="L332:N332" si="337">IF(I332="",L331,I332)</f>
        <v>13.3.2</v>
      </c>
      <c r="M332" s="98" t="str">
        <f t="shared" si="337"/>
        <v>Descentralización</v>
      </c>
      <c r="N332" s="98" t="str">
        <f t="shared" si="337"/>
        <v>Especial cuidado en la redacción de los contenidos y acceso a los servicios para evitar un sesgo desde la centralización.</v>
      </c>
      <c r="O332" s="220" t="s">
        <v>45</v>
      </c>
      <c r="P332" s="112" t="s">
        <v>46</v>
      </c>
      <c r="Q332" s="113"/>
      <c r="R332" s="114"/>
      <c r="S332" s="115" t="s">
        <v>1286</v>
      </c>
      <c r="T332" s="116" t="s">
        <v>16</v>
      </c>
      <c r="U332" s="94"/>
      <c r="V332" s="94"/>
      <c r="W332" s="94"/>
      <c r="X332" s="94"/>
      <c r="Y332" s="94"/>
      <c r="Z332" s="94"/>
      <c r="AA332" s="94"/>
      <c r="AB332" s="94"/>
      <c r="AC332" s="94"/>
      <c r="AD332" s="94"/>
      <c r="AE332" s="94"/>
      <c r="AF332" s="94"/>
      <c r="AG332" s="94"/>
      <c r="AH332" s="94"/>
      <c r="AI332" s="94"/>
      <c r="AJ332" s="94"/>
      <c r="AK332" s="94"/>
      <c r="AL332" s="94"/>
    </row>
    <row r="333" hidden="1">
      <c r="A333" s="105" t="s">
        <v>661</v>
      </c>
      <c r="B333" s="106" t="str">
        <f t="shared" si="2"/>
        <v>Otro</v>
      </c>
      <c r="C333" s="106" t="str">
        <f t="shared" si="9"/>
        <v>14.</v>
      </c>
      <c r="D333" s="106" t="str">
        <f t="shared" si="10"/>
        <v>Inclusión</v>
      </c>
      <c r="E333" s="106" t="str">
        <f t="shared" si="11"/>
        <v>Incorporación de un enfoque inclusivo que responda a la diversidad y diferencias individuales, garantizando igualdad de acceso a políticas y servicios públicos para todas y todos, sin importar características, habilidades u origen.</v>
      </c>
      <c r="F333" s="141" t="str">
        <f t="shared" si="3"/>
        <v>13.3</v>
      </c>
      <c r="G333" s="92" t="str">
        <f t="shared" si="4"/>
        <v>DESEABLES</v>
      </c>
      <c r="H333" s="107"/>
      <c r="I333" s="107" t="str">
        <f t="shared" si="5"/>
        <v/>
      </c>
      <c r="J333" s="98" t="str">
        <f t="shared" si="6"/>
        <v/>
      </c>
      <c r="K333" s="98" t="str">
        <f t="shared" si="7"/>
        <v/>
      </c>
      <c r="L333" s="141" t="str">
        <f t="shared" ref="L333:N333" si="338">IF(I333="",L332,I333)</f>
        <v>13.3.2</v>
      </c>
      <c r="M333" s="98" t="str">
        <f t="shared" si="338"/>
        <v>Descentralización</v>
      </c>
      <c r="N333" s="98" t="str">
        <f t="shared" si="338"/>
        <v>Especial cuidado en la redacción de los contenidos y acceso a los servicios para evitar un sesgo desde la centralización.</v>
      </c>
      <c r="O333" s="221"/>
      <c r="P333" s="118"/>
      <c r="Q333" s="119"/>
      <c r="R333" s="114"/>
      <c r="S333" s="239"/>
      <c r="T333" s="116" t="s">
        <v>19</v>
      </c>
      <c r="U333" s="94"/>
      <c r="V333" s="94"/>
      <c r="W333" s="94"/>
      <c r="X333" s="94"/>
      <c r="Y333" s="94"/>
      <c r="Z333" s="94"/>
      <c r="AA333" s="94"/>
      <c r="AB333" s="94"/>
      <c r="AC333" s="94"/>
      <c r="AD333" s="94"/>
      <c r="AE333" s="94"/>
      <c r="AF333" s="94"/>
      <c r="AG333" s="94"/>
      <c r="AH333" s="94"/>
      <c r="AI333" s="94"/>
      <c r="AJ333" s="94"/>
      <c r="AK333" s="94"/>
      <c r="AL333" s="94"/>
    </row>
    <row r="334" hidden="1">
      <c r="A334" s="105" t="s">
        <v>661</v>
      </c>
      <c r="B334" s="106" t="str">
        <f t="shared" si="2"/>
        <v>Otro</v>
      </c>
      <c r="C334" s="106" t="str">
        <f t="shared" si="9"/>
        <v>14.</v>
      </c>
      <c r="D334" s="106" t="str">
        <f t="shared" si="10"/>
        <v>Inclusión</v>
      </c>
      <c r="E334" s="106" t="str">
        <f t="shared" si="11"/>
        <v>Incorporación de un enfoque inclusivo que responda a la diversidad y diferencias individuales, garantizando igualdad de acceso a políticas y servicios públicos para todas y todos, sin importar características, habilidades u origen.</v>
      </c>
      <c r="F334" s="141" t="str">
        <f t="shared" si="3"/>
        <v>13.3</v>
      </c>
      <c r="G334" s="92" t="str">
        <f t="shared" si="4"/>
        <v>DESEABLES</v>
      </c>
      <c r="H334" s="107"/>
      <c r="I334" s="107" t="str">
        <f t="shared" si="5"/>
        <v/>
      </c>
      <c r="J334" s="98" t="str">
        <f t="shared" si="6"/>
        <v/>
      </c>
      <c r="K334" s="98" t="str">
        <f t="shared" si="7"/>
        <v/>
      </c>
      <c r="L334" s="141" t="str">
        <f t="shared" ref="L334:N334" si="339">IF(I334="",L333,I334)</f>
        <v>13.3.2</v>
      </c>
      <c r="M334" s="98" t="str">
        <f t="shared" si="339"/>
        <v>Descentralización</v>
      </c>
      <c r="N334" s="98" t="str">
        <f t="shared" si="339"/>
        <v>Especial cuidado en la redacción de los contenidos y acceso a los servicios para evitar un sesgo desde la centralización.</v>
      </c>
      <c r="O334" s="222"/>
      <c r="P334" s="122"/>
      <c r="Q334" s="123"/>
      <c r="R334" s="114"/>
      <c r="S334" s="240"/>
      <c r="T334" s="116" t="s">
        <v>22</v>
      </c>
      <c r="U334" s="94"/>
      <c r="V334" s="94"/>
      <c r="W334" s="94"/>
      <c r="X334" s="94"/>
      <c r="Y334" s="94"/>
      <c r="Z334" s="94"/>
      <c r="AA334" s="94"/>
      <c r="AB334" s="94"/>
      <c r="AC334" s="94"/>
      <c r="AD334" s="94"/>
      <c r="AE334" s="94"/>
      <c r="AF334" s="94"/>
      <c r="AG334" s="94"/>
      <c r="AH334" s="94"/>
      <c r="AI334" s="94"/>
      <c r="AJ334" s="94"/>
      <c r="AK334" s="94"/>
      <c r="AL334" s="94"/>
    </row>
    <row r="335" hidden="1">
      <c r="A335" s="105" t="s">
        <v>661</v>
      </c>
      <c r="B335" s="106" t="str">
        <f t="shared" si="2"/>
        <v>Otro</v>
      </c>
      <c r="C335" s="106" t="str">
        <f t="shared" si="9"/>
        <v>14.</v>
      </c>
      <c r="D335" s="106" t="str">
        <f t="shared" si="10"/>
        <v>Inclusión</v>
      </c>
      <c r="E335" s="106" t="str">
        <f t="shared" si="11"/>
        <v>Incorporación de un enfoque inclusivo que responda a la diversidad y diferencias individuales, garantizando igualdad de acceso a políticas y servicios públicos para todas y todos, sin importar características, habilidades u origen.</v>
      </c>
      <c r="F335" s="141" t="str">
        <f t="shared" si="3"/>
        <v>13.3</v>
      </c>
      <c r="G335" s="92" t="str">
        <f t="shared" si="4"/>
        <v>DESEABLES</v>
      </c>
      <c r="H335" s="96"/>
      <c r="I335" s="96" t="str">
        <f t="shared" si="5"/>
        <v/>
      </c>
      <c r="J335" s="98" t="str">
        <f t="shared" si="6"/>
        <v/>
      </c>
      <c r="K335" s="98" t="str">
        <f t="shared" si="7"/>
        <v/>
      </c>
      <c r="L335" s="141" t="str">
        <f t="shared" ref="L335:N335" si="340">IF(I335="",L334,I335)</f>
        <v>13.3.2</v>
      </c>
      <c r="M335" s="98" t="str">
        <f t="shared" si="340"/>
        <v>Descentralización</v>
      </c>
      <c r="N335" s="98" t="str">
        <f t="shared" si="340"/>
        <v>Especial cuidado en la redacción de los contenidos y acceso a los servicios para evitar un sesgo desde la centralización.</v>
      </c>
      <c r="O335" s="104"/>
      <c r="P335" s="114"/>
      <c r="Q335" s="114"/>
      <c r="R335" s="127"/>
      <c r="S335" s="127"/>
      <c r="T335" s="127"/>
      <c r="U335" s="94"/>
      <c r="V335" s="94"/>
      <c r="W335" s="94"/>
      <c r="X335" s="94"/>
      <c r="Y335" s="94"/>
      <c r="Z335" s="94"/>
      <c r="AA335" s="94"/>
      <c r="AB335" s="94"/>
      <c r="AC335" s="94"/>
      <c r="AD335" s="94"/>
      <c r="AE335" s="94"/>
      <c r="AF335" s="94"/>
      <c r="AG335" s="94"/>
      <c r="AH335" s="94"/>
      <c r="AI335" s="94"/>
      <c r="AJ335" s="94"/>
      <c r="AK335" s="94"/>
      <c r="AL335" s="94"/>
    </row>
    <row r="336" hidden="1">
      <c r="A336" s="86" t="s">
        <v>661</v>
      </c>
      <c r="B336" s="95" t="str">
        <f t="shared" si="2"/>
        <v>Otro</v>
      </c>
      <c r="C336" s="106" t="str">
        <f t="shared" si="9"/>
        <v>14.</v>
      </c>
      <c r="D336" s="106" t="str">
        <f t="shared" si="10"/>
        <v>Inclusión</v>
      </c>
      <c r="E336" s="106" t="str">
        <f t="shared" si="11"/>
        <v>Incorporación de un enfoque inclusivo que responda a la diversidad y diferencias individuales, garantizando igualdad de acceso a políticas y servicios públicos para todas y todos, sin importar características, habilidades u origen.</v>
      </c>
      <c r="F336" s="141" t="str">
        <f t="shared" si="3"/>
        <v>13.3</v>
      </c>
      <c r="G336" s="92" t="str">
        <f t="shared" si="4"/>
        <v>DESEABLES</v>
      </c>
      <c r="H336" s="128"/>
      <c r="I336" s="128" t="str">
        <f t="shared" si="5"/>
        <v/>
      </c>
      <c r="J336" s="98" t="str">
        <f t="shared" si="6"/>
        <v/>
      </c>
      <c r="K336" s="98" t="str">
        <f t="shared" si="7"/>
        <v/>
      </c>
      <c r="L336" s="141" t="str">
        <f t="shared" ref="L336:N336" si="341">IF(I336="",L335,I336)</f>
        <v>13.3.2</v>
      </c>
      <c r="M336" s="98" t="str">
        <f t="shared" si="341"/>
        <v>Descentralización</v>
      </c>
      <c r="N336" s="98" t="str">
        <f t="shared" si="341"/>
        <v>Especial cuidado en la redacción de los contenidos y acceso a los servicios para evitar un sesgo desde la centralización.</v>
      </c>
      <c r="O336" s="223" t="s">
        <v>1822</v>
      </c>
      <c r="P336" s="133" t="s">
        <v>1823</v>
      </c>
      <c r="Q336" s="133" t="s">
        <v>2031</v>
      </c>
      <c r="R336" s="134"/>
      <c r="S336" s="133" t="s">
        <v>1824</v>
      </c>
      <c r="T336" s="133" t="s">
        <v>1825</v>
      </c>
      <c r="U336" s="94"/>
      <c r="V336" s="94"/>
      <c r="W336" s="94"/>
      <c r="X336" s="94"/>
      <c r="Y336" s="94"/>
      <c r="Z336" s="94"/>
      <c r="AA336" s="94"/>
      <c r="AB336" s="94"/>
      <c r="AC336" s="94"/>
      <c r="AD336" s="94"/>
      <c r="AE336" s="94"/>
      <c r="AF336" s="94"/>
      <c r="AG336" s="94"/>
      <c r="AH336" s="94"/>
      <c r="AI336" s="94"/>
      <c r="AJ336" s="94"/>
      <c r="AK336" s="94"/>
      <c r="AL336" s="94"/>
    </row>
    <row r="337" hidden="1">
      <c r="A337" s="86" t="s">
        <v>661</v>
      </c>
      <c r="B337" s="95" t="str">
        <f t="shared" si="2"/>
        <v>Otro</v>
      </c>
      <c r="C337" s="106" t="str">
        <f t="shared" si="9"/>
        <v>14.</v>
      </c>
      <c r="D337" s="106" t="str">
        <f t="shared" si="10"/>
        <v>Inclusión</v>
      </c>
      <c r="E337" s="106" t="str">
        <f t="shared" si="11"/>
        <v>Incorporación de un enfoque inclusivo que responda a la diversidad y diferencias individuales, garantizando igualdad de acceso a políticas y servicios públicos para todas y todos, sin importar características, habilidades u origen.</v>
      </c>
      <c r="F337" s="141" t="str">
        <f t="shared" si="3"/>
        <v>14.1</v>
      </c>
      <c r="G337" s="92" t="str">
        <f t="shared" si="4"/>
        <v>IMPRESCINDIBLES</v>
      </c>
      <c r="H337" s="141"/>
      <c r="I337" s="141" t="str">
        <f t="shared" si="5"/>
        <v/>
      </c>
      <c r="J337" s="98" t="str">
        <f t="shared" si="6"/>
        <v/>
      </c>
      <c r="K337" s="98" t="str">
        <f t="shared" si="7"/>
        <v/>
      </c>
      <c r="L337" s="141" t="str">
        <f t="shared" ref="L337:N337" si="342">IF(I337="",L336,I337)</f>
        <v>13.3.2</v>
      </c>
      <c r="M337" s="98" t="str">
        <f t="shared" si="342"/>
        <v>Descentralización</v>
      </c>
      <c r="N337" s="98" t="str">
        <f t="shared" si="342"/>
        <v>Especial cuidado en la redacción de los contenidos y acceso a los servicios para evitar un sesgo desde la centralización.</v>
      </c>
      <c r="O337" s="288" t="s">
        <v>1287</v>
      </c>
      <c r="P337" s="137" t="s">
        <v>664</v>
      </c>
      <c r="Q337" s="292"/>
      <c r="R337" s="292"/>
      <c r="S337" s="139">
        <f>COUNTA(P338)</f>
        <v>1</v>
      </c>
      <c r="T337" s="140">
        <f>COUNTIF(U338,"n/a")</f>
        <v>0</v>
      </c>
      <c r="U337" s="94"/>
      <c r="V337" s="94"/>
      <c r="W337" s="94"/>
      <c r="X337" s="94"/>
      <c r="Y337" s="94"/>
      <c r="Z337" s="94"/>
      <c r="AA337" s="94"/>
      <c r="AB337" s="94"/>
      <c r="AC337" s="94"/>
      <c r="AD337" s="94"/>
      <c r="AE337" s="94"/>
      <c r="AF337" s="94"/>
      <c r="AG337" s="94"/>
      <c r="AH337" s="94"/>
      <c r="AI337" s="94"/>
      <c r="AJ337" s="94"/>
      <c r="AK337" s="94"/>
      <c r="AL337" s="94"/>
    </row>
    <row r="338">
      <c r="A338" s="105" t="s">
        <v>661</v>
      </c>
      <c r="B338" s="92" t="str">
        <f t="shared" si="2"/>
        <v>Pregunta</v>
      </c>
      <c r="C338" s="106" t="str">
        <f t="shared" si="9"/>
        <v>14.</v>
      </c>
      <c r="D338" s="106" t="str">
        <f t="shared" si="10"/>
        <v>Inclusión</v>
      </c>
      <c r="E338" s="106" t="str">
        <f t="shared" si="11"/>
        <v>Incorporación de un enfoque inclusivo que responda a la diversidad y diferencias individuales, garantizando igualdad de acceso a políticas y servicios públicos para todas y todos, sin importar características, habilidades u origen.</v>
      </c>
      <c r="F338" s="141" t="str">
        <f t="shared" si="3"/>
        <v>14.1</v>
      </c>
      <c r="G338" s="92" t="str">
        <f t="shared" si="4"/>
        <v>IMPRESCINDIBLES</v>
      </c>
      <c r="H338" s="141"/>
      <c r="I338" s="141" t="str">
        <f t="shared" si="5"/>
        <v>14.1.1</v>
      </c>
      <c r="J338" s="98" t="str">
        <f t="shared" si="6"/>
        <v>Menús desplegables</v>
      </c>
      <c r="K338" s="98" t="str">
        <f t="shared" si="7"/>
        <v>Cautela en el uso de menús desplegables, porque para algunas personas usuarias pueden significar una barrera de acceso, por ejemplo, personas con motricidad reducida.
</v>
      </c>
      <c r="L338" s="141" t="str">
        <f t="shared" ref="L338:N338" si="343">IF(I338="",L337,I338)</f>
        <v>14.1.1</v>
      </c>
      <c r="M338" s="98" t="str">
        <f t="shared" si="343"/>
        <v>Menús desplegables</v>
      </c>
      <c r="N338" s="98" t="str">
        <f t="shared" si="343"/>
        <v>Cautela en el uso de menús desplegables, porque para algunas personas usuarias pueden significar una barrera de acceso, por ejemplo, personas con motricidad reducida.
</v>
      </c>
      <c r="O338" s="214" t="s">
        <v>1288</v>
      </c>
      <c r="P338" s="169" t="s">
        <v>1289</v>
      </c>
      <c r="Q338" s="143" t="s">
        <v>1290</v>
      </c>
      <c r="R338" s="174"/>
      <c r="S338" s="143" t="s">
        <v>2124</v>
      </c>
      <c r="T338" s="164" t="s">
        <v>2033</v>
      </c>
      <c r="U338" s="94"/>
      <c r="V338" s="94"/>
      <c r="W338" s="94"/>
      <c r="X338" s="94"/>
      <c r="Y338" s="94"/>
      <c r="Z338" s="94"/>
      <c r="AA338" s="94"/>
      <c r="AB338" s="94"/>
      <c r="AC338" s="94"/>
      <c r="AD338" s="94"/>
      <c r="AE338" s="94"/>
      <c r="AF338" s="94"/>
      <c r="AG338" s="94"/>
      <c r="AH338" s="94"/>
      <c r="AI338" s="94"/>
      <c r="AJ338" s="94"/>
      <c r="AK338" s="94"/>
      <c r="AL338" s="94"/>
    </row>
    <row r="339" hidden="1">
      <c r="A339" s="86" t="s">
        <v>661</v>
      </c>
      <c r="B339" s="95" t="str">
        <f t="shared" si="2"/>
        <v>Otro</v>
      </c>
      <c r="C339" s="106" t="str">
        <f t="shared" si="9"/>
        <v>14.</v>
      </c>
      <c r="D339" s="106" t="str">
        <f t="shared" si="10"/>
        <v>Inclusión</v>
      </c>
      <c r="E339" s="106" t="str">
        <f t="shared" si="11"/>
        <v>Incorporación de un enfoque inclusivo que responda a la diversidad y diferencias individuales, garantizando igualdad de acceso a políticas y servicios públicos para todas y todos, sin importar características, habilidades u origen.</v>
      </c>
      <c r="F339" s="141" t="str">
        <f t="shared" si="3"/>
        <v>14.2</v>
      </c>
      <c r="G339" s="92" t="str">
        <f t="shared" si="4"/>
        <v>ESPERABLES</v>
      </c>
      <c r="H339" s="141"/>
      <c r="I339" s="141" t="str">
        <f t="shared" si="5"/>
        <v/>
      </c>
      <c r="J339" s="98" t="str">
        <f t="shared" si="6"/>
        <v/>
      </c>
      <c r="K339" s="98" t="str">
        <f t="shared" si="7"/>
        <v/>
      </c>
      <c r="L339" s="141" t="str">
        <f t="shared" ref="L339:N339" si="344">IF(I339="",L338,I339)</f>
        <v>14.1.1</v>
      </c>
      <c r="M339" s="98" t="str">
        <f t="shared" si="344"/>
        <v>Menús desplegables</v>
      </c>
      <c r="N339" s="98" t="str">
        <f t="shared" si="344"/>
        <v>Cautela en el uso de menús desplegables, porque para algunas personas usuarias pueden significar una barrera de acceso, por ejemplo, personas con motricidad reducida.
</v>
      </c>
      <c r="O339" s="291" t="s">
        <v>1292</v>
      </c>
      <c r="P339" s="196" t="s">
        <v>714</v>
      </c>
      <c r="Q339" s="177"/>
      <c r="R339" s="177"/>
      <c r="S339" s="197">
        <f>COUNTA(P340)</f>
        <v>1</v>
      </c>
      <c r="T339" s="197">
        <f>COUNTIF(U340,"n/a")</f>
        <v>0</v>
      </c>
      <c r="U339" s="94"/>
      <c r="V339" s="94"/>
      <c r="W339" s="94"/>
      <c r="X339" s="94"/>
      <c r="Y339" s="94"/>
      <c r="Z339" s="94"/>
      <c r="AA339" s="94"/>
      <c r="AB339" s="94"/>
      <c r="AC339" s="94"/>
      <c r="AD339" s="94"/>
      <c r="AE339" s="94"/>
      <c r="AF339" s="94"/>
      <c r="AG339" s="94"/>
      <c r="AH339" s="94"/>
      <c r="AI339" s="94"/>
      <c r="AJ339" s="94"/>
      <c r="AK339" s="94"/>
      <c r="AL339" s="94"/>
    </row>
    <row r="340">
      <c r="A340" s="105" t="s">
        <v>661</v>
      </c>
      <c r="B340" s="92" t="str">
        <f t="shared" si="2"/>
        <v>Pregunta</v>
      </c>
      <c r="C340" s="106" t="str">
        <f t="shared" si="9"/>
        <v>14.</v>
      </c>
      <c r="D340" s="106" t="str">
        <f t="shared" si="10"/>
        <v>Inclusión</v>
      </c>
      <c r="E340" s="106" t="str">
        <f t="shared" si="11"/>
        <v>Incorporación de un enfoque inclusivo que responda a la diversidad y diferencias individuales, garantizando igualdad de acceso a políticas y servicios públicos para todas y todos, sin importar características, habilidades u origen.</v>
      </c>
      <c r="F340" s="141" t="str">
        <f t="shared" si="3"/>
        <v>14.2</v>
      </c>
      <c r="G340" s="92" t="str">
        <f t="shared" si="4"/>
        <v>ESPERABLES</v>
      </c>
      <c r="H340" s="141"/>
      <c r="I340" s="141" t="str">
        <f t="shared" si="5"/>
        <v>14.2.1</v>
      </c>
      <c r="J340" s="98" t="str">
        <f t="shared" si="6"/>
        <v>Interpretación en lengua de señas chilena</v>
      </c>
      <c r="K340" s="98" t="str">
        <f t="shared" si="7"/>
        <v>Presencia de interpretación en lengua de señas chilena para los contenidos audiovisuales.
</v>
      </c>
      <c r="L340" s="141" t="str">
        <f t="shared" ref="L340:N340" si="345">IF(I340="",L339,I340)</f>
        <v>14.2.1</v>
      </c>
      <c r="M340" s="98" t="str">
        <f t="shared" si="345"/>
        <v>Interpretación en lengua de señas chilena</v>
      </c>
      <c r="N340" s="98" t="str">
        <f t="shared" si="345"/>
        <v>Presencia de interpretación en lengua de señas chilena para los contenidos audiovisuales.
</v>
      </c>
      <c r="O340" s="165" t="s">
        <v>1293</v>
      </c>
      <c r="P340" s="166" t="s">
        <v>1294</v>
      </c>
      <c r="Q340" s="166" t="s">
        <v>1295</v>
      </c>
      <c r="R340" s="211"/>
      <c r="S340" s="166" t="s">
        <v>2125</v>
      </c>
      <c r="T340" s="164" t="s">
        <v>2033</v>
      </c>
      <c r="U340" s="94"/>
      <c r="V340" s="94"/>
      <c r="W340" s="94"/>
      <c r="X340" s="94"/>
      <c r="Y340" s="94"/>
      <c r="Z340" s="94"/>
      <c r="AA340" s="94"/>
      <c r="AB340" s="94"/>
      <c r="AC340" s="94"/>
      <c r="AD340" s="94"/>
      <c r="AE340" s="94"/>
      <c r="AF340" s="94"/>
      <c r="AG340" s="94"/>
      <c r="AH340" s="94"/>
      <c r="AI340" s="94"/>
      <c r="AJ340" s="94"/>
      <c r="AK340" s="94"/>
      <c r="AL340" s="94"/>
    </row>
    <row r="341" hidden="1">
      <c r="A341" s="86" t="s">
        <v>661</v>
      </c>
      <c r="B341" s="95" t="str">
        <f t="shared" si="2"/>
        <v>Otro</v>
      </c>
      <c r="C341" s="106" t="str">
        <f t="shared" si="9"/>
        <v>14.</v>
      </c>
      <c r="D341" s="106" t="str">
        <f t="shared" si="10"/>
        <v>Inclusión</v>
      </c>
      <c r="E341" s="106" t="str">
        <f t="shared" si="11"/>
        <v>Incorporación de un enfoque inclusivo que responda a la diversidad y diferencias individuales, garantizando igualdad de acceso a políticas y servicios públicos para todas y todos, sin importar características, habilidades u origen.</v>
      </c>
      <c r="F341" s="141" t="str">
        <f t="shared" si="3"/>
        <v>14.3</v>
      </c>
      <c r="G341" s="92" t="str">
        <f t="shared" si="4"/>
        <v>DESEABLES</v>
      </c>
      <c r="H341" s="141"/>
      <c r="I341" s="141" t="str">
        <f t="shared" si="5"/>
        <v/>
      </c>
      <c r="J341" s="98" t="str">
        <f t="shared" si="6"/>
        <v/>
      </c>
      <c r="K341" s="98" t="str">
        <f t="shared" si="7"/>
        <v/>
      </c>
      <c r="L341" s="141" t="str">
        <f t="shared" ref="L341:N341" si="346">IF(I341="",L340,I341)</f>
        <v>14.2.1</v>
      </c>
      <c r="M341" s="98" t="str">
        <f t="shared" si="346"/>
        <v>Interpretación en lengua de señas chilena</v>
      </c>
      <c r="N341" s="98" t="str">
        <f t="shared" si="346"/>
        <v>Presencia de interpretación en lengua de señas chilena para los contenidos audiovisuales.
</v>
      </c>
      <c r="O341" s="289" t="s">
        <v>1297</v>
      </c>
      <c r="P341" s="182" t="s">
        <v>749</v>
      </c>
      <c r="Q341" s="183"/>
      <c r="R341" s="183"/>
      <c r="S341" s="199">
        <f>COUNTA(P342:P345)</f>
        <v>4</v>
      </c>
      <c r="T341" s="199">
        <f>COUNTIF(U342:U345,"n/a")</f>
        <v>0</v>
      </c>
      <c r="U341" s="94"/>
      <c r="V341" s="94"/>
      <c r="W341" s="94"/>
      <c r="X341" s="94"/>
      <c r="Y341" s="94"/>
      <c r="Z341" s="94"/>
      <c r="AA341" s="94"/>
      <c r="AB341" s="94"/>
      <c r="AC341" s="94"/>
      <c r="AD341" s="94"/>
      <c r="AE341" s="94"/>
      <c r="AF341" s="94"/>
      <c r="AG341" s="94"/>
      <c r="AH341" s="94"/>
      <c r="AI341" s="94"/>
      <c r="AJ341" s="94"/>
      <c r="AK341" s="94"/>
      <c r="AL341" s="94"/>
    </row>
    <row r="342">
      <c r="A342" s="105" t="s">
        <v>661</v>
      </c>
      <c r="B342" s="92" t="str">
        <f t="shared" si="2"/>
        <v>Pregunta</v>
      </c>
      <c r="C342" s="106" t="str">
        <f t="shared" si="9"/>
        <v>14.</v>
      </c>
      <c r="D342" s="106" t="str">
        <f t="shared" si="10"/>
        <v>Inclusión</v>
      </c>
      <c r="E342" s="106" t="str">
        <f t="shared" si="11"/>
        <v>Incorporación de un enfoque inclusivo que responda a la diversidad y diferencias individuales, garantizando igualdad de acceso a políticas y servicios públicos para todas y todos, sin importar características, habilidades u origen.</v>
      </c>
      <c r="F342" s="141" t="str">
        <f t="shared" si="3"/>
        <v>14.3</v>
      </c>
      <c r="G342" s="92" t="str">
        <f t="shared" si="4"/>
        <v>DESEABLES</v>
      </c>
      <c r="H342" s="141"/>
      <c r="I342" s="141" t="str">
        <f t="shared" si="5"/>
        <v>14.3.1</v>
      </c>
      <c r="J342" s="98" t="str">
        <f t="shared" si="6"/>
        <v>Apto para daltonismo</v>
      </c>
      <c r="K342" s="98" t="str">
        <f t="shared" si="7"/>
        <v>Preocupación en el diseño por considerar contrastes y combinaciones de color aptos para personas con daltonismo.
</v>
      </c>
      <c r="L342" s="141" t="str">
        <f t="shared" ref="L342:N342" si="347">IF(I342="",L341,I342)</f>
        <v>14.3.1</v>
      </c>
      <c r="M342" s="98" t="str">
        <f t="shared" si="347"/>
        <v>Apto para daltonismo</v>
      </c>
      <c r="N342" s="98" t="str">
        <f t="shared" si="347"/>
        <v>Preocupación en el diseño por considerar contrastes y combinaciones de color aptos para personas con daltonismo.
</v>
      </c>
      <c r="O342" s="165" t="s">
        <v>1298</v>
      </c>
      <c r="P342" s="166" t="s">
        <v>1299</v>
      </c>
      <c r="Q342" s="166" t="s">
        <v>1300</v>
      </c>
      <c r="R342" s="211"/>
      <c r="S342" s="213" t="s">
        <v>2126</v>
      </c>
      <c r="T342" s="164" t="s">
        <v>2033</v>
      </c>
      <c r="U342" s="94"/>
      <c r="V342" s="94"/>
      <c r="W342" s="94"/>
      <c r="X342" s="94"/>
      <c r="Y342" s="94"/>
      <c r="Z342" s="94"/>
      <c r="AA342" s="94"/>
      <c r="AB342" s="94"/>
      <c r="AC342" s="94"/>
      <c r="AD342" s="94"/>
      <c r="AE342" s="94"/>
      <c r="AF342" s="94"/>
      <c r="AG342" s="94"/>
      <c r="AH342" s="94"/>
      <c r="AI342" s="94"/>
      <c r="AJ342" s="94"/>
      <c r="AK342" s="94"/>
      <c r="AL342" s="94"/>
    </row>
    <row r="343">
      <c r="A343" s="105" t="s">
        <v>661</v>
      </c>
      <c r="B343" s="92" t="str">
        <f t="shared" si="2"/>
        <v>Pregunta</v>
      </c>
      <c r="C343" s="106" t="str">
        <f t="shared" si="9"/>
        <v>14.</v>
      </c>
      <c r="D343" s="106" t="str">
        <f t="shared" si="10"/>
        <v>Inclusión</v>
      </c>
      <c r="E343" s="106" t="str">
        <f t="shared" si="11"/>
        <v>Incorporación de un enfoque inclusivo que responda a la diversidad y diferencias individuales, garantizando igualdad de acceso a políticas y servicios públicos para todas y todos, sin importar características, habilidades u origen.</v>
      </c>
      <c r="F343" s="141" t="str">
        <f t="shared" si="3"/>
        <v>14.3</v>
      </c>
      <c r="G343" s="92" t="str">
        <f t="shared" si="4"/>
        <v>DESEABLES</v>
      </c>
      <c r="H343" s="141"/>
      <c r="I343" s="141" t="str">
        <f t="shared" si="5"/>
        <v>14.3.2</v>
      </c>
      <c r="J343" s="98" t="str">
        <f t="shared" si="6"/>
        <v>Lectura fácil</v>
      </c>
      <c r="K343" s="98" t="str">
        <f t="shared" si="7"/>
        <v>Método de creación y adaptación de textos que los hace más fáciles de comprender para personas con dificultades de comprensión lectora.
</v>
      </c>
      <c r="L343" s="141" t="str">
        <f t="shared" ref="L343:N343" si="348">IF(I343="",L342,I343)</f>
        <v>14.3.2</v>
      </c>
      <c r="M343" s="98" t="str">
        <f t="shared" si="348"/>
        <v>Lectura fácil</v>
      </c>
      <c r="N343" s="98" t="str">
        <f t="shared" si="348"/>
        <v>Método de creación y adaptación de textos que los hace más fáciles de comprender para personas con dificultades de comprensión lectora.
</v>
      </c>
      <c r="O343" s="152" t="s">
        <v>1302</v>
      </c>
      <c r="P343" s="153" t="s">
        <v>1303</v>
      </c>
      <c r="Q343" s="153" t="s">
        <v>1304</v>
      </c>
      <c r="R343" s="200"/>
      <c r="S343" s="190" t="s">
        <v>2127</v>
      </c>
      <c r="T343" s="164" t="s">
        <v>2033</v>
      </c>
      <c r="U343" s="94"/>
      <c r="V343" s="94"/>
      <c r="W343" s="94"/>
      <c r="X343" s="94"/>
      <c r="Y343" s="94"/>
      <c r="Z343" s="94"/>
      <c r="AA343" s="94"/>
      <c r="AB343" s="94"/>
      <c r="AC343" s="94"/>
      <c r="AD343" s="94"/>
      <c r="AE343" s="94"/>
      <c r="AF343" s="94"/>
      <c r="AG343" s="94"/>
      <c r="AH343" s="94"/>
      <c r="AI343" s="94"/>
      <c r="AJ343" s="94"/>
      <c r="AK343" s="94"/>
      <c r="AL343" s="94"/>
    </row>
    <row r="344">
      <c r="A344" s="105" t="s">
        <v>661</v>
      </c>
      <c r="B344" s="92" t="str">
        <f t="shared" si="2"/>
        <v>Pregunta</v>
      </c>
      <c r="C344" s="106" t="str">
        <f t="shared" si="9"/>
        <v>14.</v>
      </c>
      <c r="D344" s="106" t="str">
        <f t="shared" si="10"/>
        <v>Inclusión</v>
      </c>
      <c r="E344" s="106" t="str">
        <f t="shared" si="11"/>
        <v>Incorporación de un enfoque inclusivo que responda a la diversidad y diferencias individuales, garantizando igualdad de acceso a políticas y servicios públicos para todas y todos, sin importar características, habilidades u origen.</v>
      </c>
      <c r="F344" s="141" t="str">
        <f t="shared" si="3"/>
        <v>14.3</v>
      </c>
      <c r="G344" s="92" t="str">
        <f t="shared" si="4"/>
        <v>DESEABLES</v>
      </c>
      <c r="H344" s="141"/>
      <c r="I344" s="141" t="str">
        <f t="shared" si="5"/>
        <v>14.3.3</v>
      </c>
      <c r="J344" s="98" t="str">
        <f t="shared" si="6"/>
        <v>Escala de grises y alto contraste</v>
      </c>
      <c r="K344" s="98" t="str">
        <f t="shared" si="7"/>
        <v>Opción para que las personas usuarias puedan cambiar los colores del sitio a escala de grises y alto contraste.
</v>
      </c>
      <c r="L344" s="141" t="str">
        <f t="shared" ref="L344:N344" si="349">IF(I344="",L343,I344)</f>
        <v>14.3.3</v>
      </c>
      <c r="M344" s="98" t="str">
        <f t="shared" si="349"/>
        <v>Escala de grises y alto contraste</v>
      </c>
      <c r="N344" s="98" t="str">
        <f t="shared" si="349"/>
        <v>Opción para que las personas usuarias puedan cambiar los colores del sitio a escala de grises y alto contraste.
</v>
      </c>
      <c r="O344" s="165" t="s">
        <v>1306</v>
      </c>
      <c r="P344" s="166" t="s">
        <v>1307</v>
      </c>
      <c r="Q344" s="166" t="s">
        <v>1308</v>
      </c>
      <c r="R344" s="211"/>
      <c r="S344" s="166" t="s">
        <v>1309</v>
      </c>
      <c r="T344" s="164" t="s">
        <v>2033</v>
      </c>
      <c r="U344" s="94"/>
      <c r="V344" s="94"/>
      <c r="W344" s="94"/>
      <c r="X344" s="94"/>
      <c r="Y344" s="94"/>
      <c r="Z344" s="94"/>
      <c r="AA344" s="94"/>
      <c r="AB344" s="94"/>
      <c r="AC344" s="94"/>
      <c r="AD344" s="94"/>
      <c r="AE344" s="94"/>
      <c r="AF344" s="94"/>
      <c r="AG344" s="94"/>
      <c r="AH344" s="94"/>
      <c r="AI344" s="94"/>
      <c r="AJ344" s="94"/>
      <c r="AK344" s="94"/>
      <c r="AL344" s="94"/>
    </row>
    <row r="345">
      <c r="A345" s="86" t="s">
        <v>661</v>
      </c>
      <c r="B345" s="95" t="str">
        <f t="shared" si="2"/>
        <v>Pregunta</v>
      </c>
      <c r="C345" s="106" t="str">
        <f t="shared" si="9"/>
        <v>14.</v>
      </c>
      <c r="D345" s="106" t="str">
        <f t="shared" si="10"/>
        <v>Inclusión</v>
      </c>
      <c r="E345" s="106" t="str">
        <f t="shared" si="11"/>
        <v>Incorporación de un enfoque inclusivo que responda a la diversidad y diferencias individuales, garantizando igualdad de acceso a políticas y servicios públicos para todas y todos, sin importar características, habilidades u origen.</v>
      </c>
      <c r="F345" s="141" t="str">
        <f t="shared" si="3"/>
        <v>14.3</v>
      </c>
      <c r="G345" s="92" t="str">
        <f t="shared" si="4"/>
        <v>DESEABLES</v>
      </c>
      <c r="H345" s="141"/>
      <c r="I345" s="141" t="str">
        <f t="shared" si="5"/>
        <v>14.3.4</v>
      </c>
      <c r="J345" s="98" t="str">
        <f t="shared" si="6"/>
        <v>Lector de texto incorporado</v>
      </c>
      <c r="K345" s="98" t="str">
        <f t="shared" si="7"/>
        <v>Herramienta para la lectura de texto incorporada en el sitio web.
</v>
      </c>
      <c r="L345" s="141" t="str">
        <f t="shared" ref="L345:N345" si="350">IF(I345="",L344,I345)</f>
        <v>14.3.4</v>
      </c>
      <c r="M345" s="98" t="str">
        <f t="shared" si="350"/>
        <v>Lector de texto incorporado</v>
      </c>
      <c r="N345" s="98" t="str">
        <f t="shared" si="350"/>
        <v>Herramienta para la lectura de texto incorporada en el sitio web.
</v>
      </c>
      <c r="O345" s="147" t="s">
        <v>1310</v>
      </c>
      <c r="P345" s="148" t="s">
        <v>1311</v>
      </c>
      <c r="Q345" s="148" t="s">
        <v>1312</v>
      </c>
      <c r="R345" s="211"/>
      <c r="S345" s="166" t="s">
        <v>1313</v>
      </c>
      <c r="T345" s="164" t="s">
        <v>2033</v>
      </c>
      <c r="U345" s="94"/>
      <c r="V345" s="94"/>
      <c r="W345" s="94"/>
      <c r="X345" s="94"/>
      <c r="Y345" s="94"/>
      <c r="Z345" s="94"/>
      <c r="AA345" s="94"/>
      <c r="AB345" s="94"/>
      <c r="AC345" s="94"/>
      <c r="AD345" s="94"/>
      <c r="AE345" s="94"/>
      <c r="AF345" s="94"/>
      <c r="AG345" s="94"/>
      <c r="AH345" s="94"/>
      <c r="AI345" s="94"/>
      <c r="AJ345" s="94"/>
      <c r="AK345" s="94"/>
      <c r="AL345" s="94"/>
    </row>
    <row r="346" hidden="1">
      <c r="A346" s="105" t="s">
        <v>661</v>
      </c>
      <c r="B346" s="106" t="str">
        <f t="shared" si="2"/>
        <v>Otro</v>
      </c>
      <c r="C346" s="106" t="str">
        <f t="shared" si="9"/>
        <v>15.</v>
      </c>
      <c r="D346" s="106" t="str">
        <f t="shared" si="10"/>
        <v>Promoción</v>
      </c>
      <c r="E346" s="106" t="str">
        <f t="shared" si="11"/>
        <v>Conjunto de acciones orientadas a extender los contenidos del sitio web a la ciudadanía, como la optimización para el posicionamiento en buscadores y difusión en redes sociales.</v>
      </c>
      <c r="F346" s="141" t="str">
        <f t="shared" si="3"/>
        <v>14.3</v>
      </c>
      <c r="G346" s="92" t="str">
        <f t="shared" si="4"/>
        <v>DESEABLES</v>
      </c>
      <c r="H346" s="107"/>
      <c r="I346" s="107" t="str">
        <f t="shared" si="5"/>
        <v/>
      </c>
      <c r="J346" s="98" t="str">
        <f t="shared" si="6"/>
        <v/>
      </c>
      <c r="K346" s="98" t="str">
        <f t="shared" si="7"/>
        <v/>
      </c>
      <c r="L346" s="141" t="str">
        <f t="shared" ref="L346:N346" si="351">IF(I346="",L345,I346)</f>
        <v>14.3.4</v>
      </c>
      <c r="M346" s="98" t="str">
        <f t="shared" si="351"/>
        <v>Lector de texto incorporado</v>
      </c>
      <c r="N346" s="98" t="str">
        <f t="shared" si="351"/>
        <v>Herramienta para la lectura de texto incorporada en el sitio web.
</v>
      </c>
      <c r="O346" s="220" t="s">
        <v>47</v>
      </c>
      <c r="P346" s="112" t="s">
        <v>48</v>
      </c>
      <c r="Q346" s="113"/>
      <c r="R346" s="114"/>
      <c r="S346" s="115" t="s">
        <v>1314</v>
      </c>
      <c r="T346" s="116" t="s">
        <v>16</v>
      </c>
      <c r="U346" s="94"/>
      <c r="V346" s="94"/>
      <c r="W346" s="94"/>
      <c r="X346" s="94"/>
      <c r="Y346" s="94"/>
      <c r="Z346" s="94"/>
      <c r="AA346" s="94"/>
      <c r="AB346" s="94"/>
      <c r="AC346" s="94"/>
      <c r="AD346" s="94"/>
      <c r="AE346" s="94"/>
      <c r="AF346" s="94"/>
      <c r="AG346" s="94"/>
      <c r="AH346" s="94"/>
      <c r="AI346" s="94"/>
      <c r="AJ346" s="94"/>
      <c r="AK346" s="94"/>
      <c r="AL346" s="94"/>
    </row>
    <row r="347" hidden="1">
      <c r="A347" s="105" t="s">
        <v>661</v>
      </c>
      <c r="B347" s="106" t="str">
        <f t="shared" si="2"/>
        <v>Otro</v>
      </c>
      <c r="C347" s="106" t="str">
        <f t="shared" si="9"/>
        <v>15.</v>
      </c>
      <c r="D347" s="106" t="str">
        <f t="shared" si="10"/>
        <v>Promoción</v>
      </c>
      <c r="E347" s="106" t="str">
        <f t="shared" si="11"/>
        <v>Conjunto de acciones orientadas a extender los contenidos del sitio web a la ciudadanía, como la optimización para el posicionamiento en buscadores y difusión en redes sociales.</v>
      </c>
      <c r="F347" s="141" t="str">
        <f t="shared" si="3"/>
        <v>14.3</v>
      </c>
      <c r="G347" s="92" t="str">
        <f t="shared" si="4"/>
        <v>DESEABLES</v>
      </c>
      <c r="H347" s="107"/>
      <c r="I347" s="107" t="str">
        <f t="shared" si="5"/>
        <v/>
      </c>
      <c r="J347" s="98" t="str">
        <f t="shared" si="6"/>
        <v/>
      </c>
      <c r="K347" s="98" t="str">
        <f t="shared" si="7"/>
        <v/>
      </c>
      <c r="L347" s="141" t="str">
        <f t="shared" ref="L347:N347" si="352">IF(I347="",L346,I347)</f>
        <v>14.3.4</v>
      </c>
      <c r="M347" s="98" t="str">
        <f t="shared" si="352"/>
        <v>Lector de texto incorporado</v>
      </c>
      <c r="N347" s="98" t="str">
        <f t="shared" si="352"/>
        <v>Herramienta para la lectura de texto incorporada en el sitio web.
</v>
      </c>
      <c r="O347" s="221"/>
      <c r="P347" s="118"/>
      <c r="Q347" s="119"/>
      <c r="R347" s="114"/>
      <c r="S347" s="239"/>
      <c r="T347" s="116" t="s">
        <v>19</v>
      </c>
      <c r="U347" s="94"/>
      <c r="V347" s="94"/>
      <c r="W347" s="94"/>
      <c r="X347" s="94"/>
      <c r="Y347" s="94"/>
      <c r="Z347" s="94"/>
      <c r="AA347" s="94"/>
      <c r="AB347" s="94"/>
      <c r="AC347" s="94"/>
      <c r="AD347" s="94"/>
      <c r="AE347" s="94"/>
      <c r="AF347" s="94"/>
      <c r="AG347" s="94"/>
      <c r="AH347" s="94"/>
      <c r="AI347" s="94"/>
      <c r="AJ347" s="94"/>
      <c r="AK347" s="94"/>
      <c r="AL347" s="94"/>
    </row>
    <row r="348" hidden="1">
      <c r="A348" s="105" t="s">
        <v>661</v>
      </c>
      <c r="B348" s="106" t="str">
        <f t="shared" si="2"/>
        <v>Otro</v>
      </c>
      <c r="C348" s="106" t="str">
        <f t="shared" si="9"/>
        <v>15.</v>
      </c>
      <c r="D348" s="106" t="str">
        <f t="shared" si="10"/>
        <v>Promoción</v>
      </c>
      <c r="E348" s="106" t="str">
        <f t="shared" si="11"/>
        <v>Conjunto de acciones orientadas a extender los contenidos del sitio web a la ciudadanía, como la optimización para el posicionamiento en buscadores y difusión en redes sociales.</v>
      </c>
      <c r="F348" s="141" t="str">
        <f t="shared" si="3"/>
        <v>14.3</v>
      </c>
      <c r="G348" s="92" t="str">
        <f t="shared" si="4"/>
        <v>DESEABLES</v>
      </c>
      <c r="H348" s="107"/>
      <c r="I348" s="107" t="str">
        <f t="shared" si="5"/>
        <v/>
      </c>
      <c r="J348" s="98" t="str">
        <f t="shared" si="6"/>
        <v/>
      </c>
      <c r="K348" s="98" t="str">
        <f t="shared" si="7"/>
        <v/>
      </c>
      <c r="L348" s="141" t="str">
        <f t="shared" ref="L348:N348" si="353">IF(I348="",L347,I348)</f>
        <v>14.3.4</v>
      </c>
      <c r="M348" s="98" t="str">
        <f t="shared" si="353"/>
        <v>Lector de texto incorporado</v>
      </c>
      <c r="N348" s="98" t="str">
        <f t="shared" si="353"/>
        <v>Herramienta para la lectura de texto incorporada en el sitio web.
</v>
      </c>
      <c r="O348" s="222"/>
      <c r="P348" s="122"/>
      <c r="Q348" s="123"/>
      <c r="R348" s="114"/>
      <c r="S348" s="240"/>
      <c r="T348" s="116" t="s">
        <v>22</v>
      </c>
      <c r="U348" s="94"/>
      <c r="V348" s="94"/>
      <c r="W348" s="94"/>
      <c r="X348" s="94"/>
      <c r="Y348" s="94"/>
      <c r="Z348" s="94"/>
      <c r="AA348" s="94"/>
      <c r="AB348" s="94"/>
      <c r="AC348" s="94"/>
      <c r="AD348" s="94"/>
      <c r="AE348" s="94"/>
      <c r="AF348" s="94"/>
      <c r="AG348" s="94"/>
      <c r="AH348" s="94"/>
      <c r="AI348" s="94"/>
      <c r="AJ348" s="94"/>
      <c r="AK348" s="94"/>
      <c r="AL348" s="94"/>
    </row>
    <row r="349" hidden="1">
      <c r="A349" s="105" t="s">
        <v>661</v>
      </c>
      <c r="B349" s="106" t="str">
        <f t="shared" si="2"/>
        <v>Otro</v>
      </c>
      <c r="C349" s="106" t="str">
        <f t="shared" si="9"/>
        <v>15.</v>
      </c>
      <c r="D349" s="106" t="str">
        <f t="shared" si="10"/>
        <v>Promoción</v>
      </c>
      <c r="E349" s="106" t="str">
        <f t="shared" si="11"/>
        <v>Conjunto de acciones orientadas a extender los contenidos del sitio web a la ciudadanía, como la optimización para el posicionamiento en buscadores y difusión en redes sociales.</v>
      </c>
      <c r="F349" s="141" t="str">
        <f t="shared" si="3"/>
        <v>14.3</v>
      </c>
      <c r="G349" s="92" t="str">
        <f t="shared" si="4"/>
        <v>DESEABLES</v>
      </c>
      <c r="H349" s="96"/>
      <c r="I349" s="96" t="str">
        <f t="shared" si="5"/>
        <v/>
      </c>
      <c r="J349" s="98" t="str">
        <f t="shared" si="6"/>
        <v/>
      </c>
      <c r="K349" s="98" t="str">
        <f t="shared" si="7"/>
        <v/>
      </c>
      <c r="L349" s="141" t="str">
        <f t="shared" ref="L349:N349" si="354">IF(I349="",L348,I349)</f>
        <v>14.3.4</v>
      </c>
      <c r="M349" s="98" t="str">
        <f t="shared" si="354"/>
        <v>Lector de texto incorporado</v>
      </c>
      <c r="N349" s="98" t="str">
        <f t="shared" si="354"/>
        <v>Herramienta para la lectura de texto incorporada en el sitio web.
</v>
      </c>
      <c r="O349" s="104"/>
      <c r="P349" s="114"/>
      <c r="Q349" s="114"/>
      <c r="R349" s="114"/>
      <c r="S349" s="114"/>
      <c r="T349" s="241"/>
      <c r="U349" s="94"/>
      <c r="V349" s="94"/>
      <c r="W349" s="94"/>
      <c r="X349" s="94"/>
      <c r="Y349" s="94"/>
      <c r="Z349" s="94"/>
      <c r="AA349" s="94"/>
      <c r="AB349" s="94"/>
      <c r="AC349" s="94"/>
      <c r="AD349" s="94"/>
      <c r="AE349" s="94"/>
      <c r="AF349" s="94"/>
      <c r="AG349" s="94"/>
      <c r="AH349" s="94"/>
      <c r="AI349" s="94"/>
      <c r="AJ349" s="94"/>
      <c r="AK349" s="94"/>
      <c r="AL349" s="94"/>
    </row>
    <row r="350" hidden="1">
      <c r="A350" s="86" t="s">
        <v>661</v>
      </c>
      <c r="B350" s="95" t="str">
        <f t="shared" si="2"/>
        <v>Otro</v>
      </c>
      <c r="C350" s="106" t="str">
        <f t="shared" si="9"/>
        <v>15.</v>
      </c>
      <c r="D350" s="106" t="str">
        <f t="shared" si="10"/>
        <v>Promoción</v>
      </c>
      <c r="E350" s="106" t="str">
        <f t="shared" si="11"/>
        <v>Conjunto de acciones orientadas a extender los contenidos del sitio web a la ciudadanía, como la optimización para el posicionamiento en buscadores y difusión en redes sociales.</v>
      </c>
      <c r="F350" s="141" t="str">
        <f t="shared" si="3"/>
        <v>14.3</v>
      </c>
      <c r="G350" s="92" t="str">
        <f t="shared" si="4"/>
        <v>DESEABLES</v>
      </c>
      <c r="H350" s="128"/>
      <c r="I350" s="128" t="str">
        <f t="shared" si="5"/>
        <v/>
      </c>
      <c r="J350" s="98" t="str">
        <f t="shared" si="6"/>
        <v/>
      </c>
      <c r="K350" s="98" t="str">
        <f t="shared" si="7"/>
        <v/>
      </c>
      <c r="L350" s="141" t="str">
        <f t="shared" ref="L350:N350" si="355">IF(I350="",L349,I350)</f>
        <v>14.3.4</v>
      </c>
      <c r="M350" s="98" t="str">
        <f t="shared" si="355"/>
        <v>Lector de texto incorporado</v>
      </c>
      <c r="N350" s="98" t="str">
        <f t="shared" si="355"/>
        <v>Herramienta para la lectura de texto incorporada en el sitio web.
</v>
      </c>
      <c r="O350" s="223" t="s">
        <v>1822</v>
      </c>
      <c r="P350" s="133" t="s">
        <v>1823</v>
      </c>
      <c r="Q350" s="133" t="s">
        <v>2031</v>
      </c>
      <c r="R350" s="134"/>
      <c r="S350" s="133" t="s">
        <v>1824</v>
      </c>
      <c r="T350" s="133" t="s">
        <v>1825</v>
      </c>
      <c r="U350" s="94"/>
      <c r="V350" s="94"/>
      <c r="W350" s="94"/>
      <c r="X350" s="94"/>
      <c r="Y350" s="94"/>
      <c r="Z350" s="94"/>
      <c r="AA350" s="94"/>
      <c r="AB350" s="94"/>
      <c r="AC350" s="94"/>
      <c r="AD350" s="94"/>
      <c r="AE350" s="94"/>
      <c r="AF350" s="94"/>
      <c r="AG350" s="94"/>
      <c r="AH350" s="94"/>
      <c r="AI350" s="94"/>
      <c r="AJ350" s="94"/>
      <c r="AK350" s="94"/>
      <c r="AL350" s="94"/>
    </row>
    <row r="351" hidden="1">
      <c r="A351" s="86" t="s">
        <v>661</v>
      </c>
      <c r="B351" s="95" t="str">
        <f t="shared" si="2"/>
        <v>Otro</v>
      </c>
      <c r="C351" s="106" t="str">
        <f t="shared" si="9"/>
        <v>15.</v>
      </c>
      <c r="D351" s="106" t="str">
        <f t="shared" si="10"/>
        <v>Promoción</v>
      </c>
      <c r="E351" s="106" t="str">
        <f t="shared" si="11"/>
        <v>Conjunto de acciones orientadas a extender los contenidos del sitio web a la ciudadanía, como la optimización para el posicionamiento en buscadores y difusión en redes sociales.</v>
      </c>
      <c r="F351" s="141" t="str">
        <f t="shared" si="3"/>
        <v>15.1</v>
      </c>
      <c r="G351" s="92" t="str">
        <f t="shared" si="4"/>
        <v>IMPRESCINDIBLES</v>
      </c>
      <c r="H351" s="141"/>
      <c r="I351" s="141" t="str">
        <f t="shared" si="5"/>
        <v/>
      </c>
      <c r="J351" s="98" t="str">
        <f t="shared" si="6"/>
        <v/>
      </c>
      <c r="K351" s="98" t="str">
        <f t="shared" si="7"/>
        <v/>
      </c>
      <c r="L351" s="141" t="str">
        <f t="shared" ref="L351:N351" si="356">IF(I351="",L350,I351)</f>
        <v>14.3.4</v>
      </c>
      <c r="M351" s="98" t="str">
        <f t="shared" si="356"/>
        <v>Lector de texto incorporado</v>
      </c>
      <c r="N351" s="98" t="str">
        <f t="shared" si="356"/>
        <v>Herramienta para la lectura de texto incorporada en el sitio web.
</v>
      </c>
      <c r="O351" s="288" t="s">
        <v>1315</v>
      </c>
      <c r="P351" s="137" t="s">
        <v>664</v>
      </c>
      <c r="Q351" s="138"/>
      <c r="R351" s="138"/>
      <c r="S351" s="139">
        <f>COUNTA(P352:P366)</f>
        <v>7</v>
      </c>
      <c r="T351" s="140">
        <f>COUNTIF(U352:U366,"n/a")</f>
        <v>0</v>
      </c>
      <c r="U351" s="94"/>
      <c r="V351" s="94"/>
      <c r="W351" s="94"/>
      <c r="X351" s="94"/>
      <c r="Y351" s="94"/>
      <c r="Z351" s="94"/>
      <c r="AA351" s="94"/>
      <c r="AB351" s="94"/>
      <c r="AC351" s="94"/>
      <c r="AD351" s="94"/>
      <c r="AE351" s="94"/>
      <c r="AF351" s="94"/>
      <c r="AG351" s="94"/>
      <c r="AH351" s="94"/>
      <c r="AI351" s="94"/>
      <c r="AJ351" s="94"/>
      <c r="AK351" s="94"/>
      <c r="AL351" s="94"/>
    </row>
    <row r="352">
      <c r="A352" s="105" t="s">
        <v>661</v>
      </c>
      <c r="B352" s="92" t="str">
        <f t="shared" si="2"/>
        <v>Pregunta</v>
      </c>
      <c r="C352" s="106" t="str">
        <f t="shared" si="9"/>
        <v>15.</v>
      </c>
      <c r="D352" s="106" t="str">
        <f t="shared" si="10"/>
        <v>Promoción</v>
      </c>
      <c r="E352" s="106" t="str">
        <f t="shared" si="11"/>
        <v>Conjunto de acciones orientadas a extender los contenidos del sitio web a la ciudadanía, como la optimización para el posicionamiento en buscadores y difusión en redes sociales.</v>
      </c>
      <c r="F352" s="141" t="str">
        <f t="shared" si="3"/>
        <v>15.1</v>
      </c>
      <c r="G352" s="92" t="str">
        <f t="shared" si="4"/>
        <v>IMPRESCINDIBLES</v>
      </c>
      <c r="H352" s="141"/>
      <c r="I352" s="141" t="str">
        <f t="shared" si="5"/>
        <v>15.1.1</v>
      </c>
      <c r="J352" s="98" t="str">
        <f t="shared" si="6"/>
        <v>Indexación en buscadores</v>
      </c>
      <c r="K352" s="98" t="str">
        <f t="shared" si="7"/>
        <v>Habilitación del acceso de los robots de búsqueda para indexar el sitio mediante el metadato "robots" o el archivo "robots.txt".</v>
      </c>
      <c r="L352" s="141" t="str">
        <f t="shared" ref="L352:N352" si="357">IF(I352="",L351,I352)</f>
        <v>15.1.1</v>
      </c>
      <c r="M352" s="98" t="str">
        <f t="shared" si="357"/>
        <v>Indexación en buscadores</v>
      </c>
      <c r="N352" s="98" t="str">
        <f t="shared" si="357"/>
        <v>Habilitación del acceso de los robots de búsqueda para indexar el sitio mediante el metadato "robots" o el archivo "robots.txt".</v>
      </c>
      <c r="O352" s="152" t="s">
        <v>1316</v>
      </c>
      <c r="P352" s="153" t="s">
        <v>1317</v>
      </c>
      <c r="Q352" s="293" t="s">
        <v>1318</v>
      </c>
      <c r="R352" s="200"/>
      <c r="S352" s="294" t="s">
        <v>2128</v>
      </c>
      <c r="T352" s="160" t="s">
        <v>2033</v>
      </c>
      <c r="U352" s="94"/>
      <c r="V352" s="94"/>
      <c r="W352" s="94"/>
      <c r="X352" s="94"/>
      <c r="Y352" s="94"/>
      <c r="Z352" s="94"/>
      <c r="AA352" s="94"/>
      <c r="AB352" s="94"/>
      <c r="AC352" s="94"/>
      <c r="AD352" s="94"/>
      <c r="AE352" s="94"/>
      <c r="AF352" s="94"/>
      <c r="AG352" s="94"/>
      <c r="AH352" s="94"/>
      <c r="AI352" s="94"/>
      <c r="AJ352" s="94"/>
      <c r="AK352" s="94"/>
      <c r="AL352" s="94"/>
    </row>
    <row r="353">
      <c r="A353" s="86" t="s">
        <v>661</v>
      </c>
      <c r="B353" s="95" t="str">
        <f t="shared" si="2"/>
        <v>Pregunta</v>
      </c>
      <c r="C353" s="106" t="str">
        <f t="shared" si="9"/>
        <v>15.</v>
      </c>
      <c r="D353" s="106" t="str">
        <f t="shared" si="10"/>
        <v>Promoción</v>
      </c>
      <c r="E353" s="106" t="str">
        <f t="shared" si="11"/>
        <v>Conjunto de acciones orientadas a extender los contenidos del sitio web a la ciudadanía, como la optimización para el posicionamiento en buscadores y difusión en redes sociales.</v>
      </c>
      <c r="F353" s="141" t="str">
        <f t="shared" si="3"/>
        <v>15.1</v>
      </c>
      <c r="G353" s="92" t="str">
        <f t="shared" si="4"/>
        <v>IMPRESCINDIBLES</v>
      </c>
      <c r="H353" s="141"/>
      <c r="I353" s="141" t="str">
        <f t="shared" si="5"/>
        <v/>
      </c>
      <c r="J353" s="98" t="str">
        <f t="shared" si="6"/>
        <v/>
      </c>
      <c r="K353" s="98" t="str">
        <f t="shared" si="7"/>
        <v/>
      </c>
      <c r="L353" s="141" t="str">
        <f t="shared" ref="L353:N353" si="358">IF(I353="",L352,I353)</f>
        <v>15.1.1</v>
      </c>
      <c r="M353" s="98" t="str">
        <f t="shared" si="358"/>
        <v>Indexación en buscadores</v>
      </c>
      <c r="N353" s="98" t="str">
        <f t="shared" si="358"/>
        <v>Habilitación del acceso de los robots de búsqueda para indexar el sitio mediante el metadato "robots" o el archivo "robots.txt".</v>
      </c>
      <c r="O353" s="142"/>
      <c r="P353" s="143"/>
      <c r="Q353" s="295"/>
      <c r="R353" s="168"/>
      <c r="S353" s="296" t="s">
        <v>2129</v>
      </c>
      <c r="T353" s="164" t="s">
        <v>2033</v>
      </c>
      <c r="U353" s="94"/>
      <c r="V353" s="94"/>
      <c r="W353" s="94"/>
      <c r="X353" s="94"/>
      <c r="Y353" s="94"/>
      <c r="Z353" s="94"/>
      <c r="AA353" s="94"/>
      <c r="AB353" s="94"/>
      <c r="AC353" s="94"/>
      <c r="AD353" s="94"/>
      <c r="AE353" s="94"/>
      <c r="AF353" s="94"/>
      <c r="AG353" s="94"/>
      <c r="AH353" s="94"/>
      <c r="AI353" s="94"/>
      <c r="AJ353" s="94"/>
      <c r="AK353" s="94"/>
      <c r="AL353" s="94"/>
    </row>
    <row r="354">
      <c r="A354" s="105" t="s">
        <v>661</v>
      </c>
      <c r="B354" s="92" t="str">
        <f t="shared" si="2"/>
        <v>Pregunta</v>
      </c>
      <c r="C354" s="106" t="str">
        <f t="shared" si="9"/>
        <v>15.</v>
      </c>
      <c r="D354" s="106" t="str">
        <f t="shared" si="10"/>
        <v>Promoción</v>
      </c>
      <c r="E354" s="106" t="str">
        <f t="shared" si="11"/>
        <v>Conjunto de acciones orientadas a extender los contenidos del sitio web a la ciudadanía, como la optimización para el posicionamiento en buscadores y difusión en redes sociales.</v>
      </c>
      <c r="F354" s="141" t="str">
        <f t="shared" si="3"/>
        <v>15.1</v>
      </c>
      <c r="G354" s="92" t="str">
        <f t="shared" si="4"/>
        <v>IMPRESCINDIBLES</v>
      </c>
      <c r="H354" s="141"/>
      <c r="I354" s="141" t="str">
        <f t="shared" si="5"/>
        <v>15.1.2</v>
      </c>
      <c r="J354" s="98" t="str">
        <f t="shared" si="6"/>
        <v>Persistencia de las URLs</v>
      </c>
      <c r="K354" s="98" t="str">
        <f t="shared" si="7"/>
        <v>Estabilidad de las direcciones web en el tiempo. En el caso de un cambio de dominio o URL, se aplica una redirección que permita no dejar enlaces rotos, para que se pueda seguir accediendo a las páginas y documentos. Ello porque cada URL de un sitio puede estar enlazada desde documentos o sitios externos.
</v>
      </c>
      <c r="L354" s="141" t="str">
        <f t="shared" ref="L354:N354" si="359">IF(I354="",L353,I354)</f>
        <v>15.1.2</v>
      </c>
      <c r="M354" s="98" t="str">
        <f t="shared" si="359"/>
        <v>Persistencia de las URLs</v>
      </c>
      <c r="N354" s="98" t="str">
        <f t="shared" si="359"/>
        <v>Estabilidad de las direcciones web en el tiempo. En el caso de un cambio de dominio o URL, se aplica una redirección que permita no dejar enlaces rotos, para que se pueda seguir accediendo a las páginas y documentos. Ello porque cada URL de un sitio puede estar enlazada desde documentos o sitios externos.
</v>
      </c>
      <c r="O354" s="147" t="s">
        <v>1321</v>
      </c>
      <c r="P354" s="148" t="s">
        <v>1322</v>
      </c>
      <c r="Q354" s="148" t="s">
        <v>1323</v>
      </c>
      <c r="R354" s="158"/>
      <c r="S354" s="170" t="s">
        <v>1324</v>
      </c>
      <c r="T354" s="160" t="s">
        <v>2033</v>
      </c>
      <c r="U354" s="94"/>
      <c r="V354" s="94"/>
      <c r="W354" s="94"/>
      <c r="X354" s="94"/>
      <c r="Y354" s="94"/>
      <c r="Z354" s="94"/>
      <c r="AA354" s="94"/>
      <c r="AB354" s="94"/>
      <c r="AC354" s="94"/>
      <c r="AD354" s="94"/>
      <c r="AE354" s="94"/>
      <c r="AF354" s="94"/>
      <c r="AG354" s="94"/>
      <c r="AH354" s="94"/>
      <c r="AI354" s="94"/>
      <c r="AJ354" s="94"/>
      <c r="AK354" s="94"/>
      <c r="AL354" s="94"/>
    </row>
    <row r="355">
      <c r="A355" s="86" t="s">
        <v>661</v>
      </c>
      <c r="B355" s="95" t="str">
        <f t="shared" si="2"/>
        <v>Pregunta</v>
      </c>
      <c r="C355" s="106" t="str">
        <f t="shared" si="9"/>
        <v>15.</v>
      </c>
      <c r="D355" s="106" t="str">
        <f t="shared" si="10"/>
        <v>Promoción</v>
      </c>
      <c r="E355" s="106" t="str">
        <f t="shared" si="11"/>
        <v>Conjunto de acciones orientadas a extender los contenidos del sitio web a la ciudadanía, como la optimización para el posicionamiento en buscadores y difusión en redes sociales.</v>
      </c>
      <c r="F355" s="141" t="str">
        <f t="shared" si="3"/>
        <v>15.1</v>
      </c>
      <c r="G355" s="92" t="str">
        <f t="shared" si="4"/>
        <v>IMPRESCINDIBLES</v>
      </c>
      <c r="H355" s="141"/>
      <c r="I355" s="141" t="str">
        <f t="shared" si="5"/>
        <v/>
      </c>
      <c r="J355" s="98" t="str">
        <f t="shared" si="6"/>
        <v/>
      </c>
      <c r="K355" s="98" t="str">
        <f t="shared" si="7"/>
        <v/>
      </c>
      <c r="L355" s="141" t="str">
        <f t="shared" ref="L355:N355" si="360">IF(I355="",L354,I355)</f>
        <v>15.1.2</v>
      </c>
      <c r="M355" s="98" t="str">
        <f t="shared" si="360"/>
        <v>Persistencia de las URLs</v>
      </c>
      <c r="N355" s="98" t="str">
        <f t="shared" si="360"/>
        <v>Estabilidad de las direcciones web en el tiempo. En el caso de un cambio de dominio o URL, se aplica una redirección que permita no dejar enlaces rotos, para que se pueda seguir accediendo a las páginas y documentos. Ello porque cada URL de un sitio puede estar enlazada desde documentos o sitios externos.
</v>
      </c>
      <c r="O355" s="172"/>
      <c r="P355" s="150"/>
      <c r="Q355" s="150"/>
      <c r="R355" s="200"/>
      <c r="S355" s="169" t="s">
        <v>2130</v>
      </c>
      <c r="T355" s="164" t="s">
        <v>2033</v>
      </c>
      <c r="U355" s="94"/>
      <c r="V355" s="94"/>
      <c r="W355" s="94"/>
      <c r="X355" s="94"/>
      <c r="Y355" s="94"/>
      <c r="Z355" s="94"/>
      <c r="AA355" s="94"/>
      <c r="AB355" s="94"/>
      <c r="AC355" s="94"/>
      <c r="AD355" s="94"/>
      <c r="AE355" s="94"/>
      <c r="AF355" s="94"/>
      <c r="AG355" s="94"/>
      <c r="AH355" s="94"/>
      <c r="AI355" s="94"/>
      <c r="AJ355" s="94"/>
      <c r="AK355" s="94"/>
      <c r="AL355" s="94"/>
    </row>
    <row r="356">
      <c r="A356" s="105" t="s">
        <v>661</v>
      </c>
      <c r="B356" s="92" t="str">
        <f t="shared" si="2"/>
        <v>Pregunta</v>
      </c>
      <c r="C356" s="106" t="str">
        <f t="shared" si="9"/>
        <v>15.</v>
      </c>
      <c r="D356" s="106" t="str">
        <f t="shared" si="10"/>
        <v>Promoción</v>
      </c>
      <c r="E356" s="106" t="str">
        <f t="shared" si="11"/>
        <v>Conjunto de acciones orientadas a extender los contenidos del sitio web a la ciudadanía, como la optimización para el posicionamiento en buscadores y difusión en redes sociales.</v>
      </c>
      <c r="F356" s="141" t="str">
        <f t="shared" si="3"/>
        <v>15.1</v>
      </c>
      <c r="G356" s="92" t="str">
        <f t="shared" si="4"/>
        <v>IMPRESCINDIBLES</v>
      </c>
      <c r="H356" s="141"/>
      <c r="I356" s="141" t="str">
        <f t="shared" si="5"/>
        <v>15.1.3</v>
      </c>
      <c r="J356" s="98" t="str">
        <f t="shared" si="6"/>
        <v>Compatibilidad de URLs</v>
      </c>
      <c r="K356" s="98" t="str">
        <f t="shared" si="7"/>
        <v>Uso exclusivo de letras minúsculas en la URL del sitio, evitando la utilización de caracteres especiales y tildes, para garantizar su compatibilidad y buen funcionamiento. 
</v>
      </c>
      <c r="L356" s="141" t="str">
        <f t="shared" ref="L356:N356" si="361">IF(I356="",L355,I356)</f>
        <v>15.1.3</v>
      </c>
      <c r="M356" s="98" t="str">
        <f t="shared" si="361"/>
        <v>Compatibilidad de URLs</v>
      </c>
      <c r="N356" s="98" t="str">
        <f t="shared" si="361"/>
        <v>Uso exclusivo de letras minúsculas en la URL del sitio, evitando la utilización de caracteres especiales y tildes, para garantizar su compatibilidad y buen funcionamiento. 
</v>
      </c>
      <c r="O356" s="152" t="s">
        <v>1326</v>
      </c>
      <c r="P356" s="153" t="s">
        <v>1327</v>
      </c>
      <c r="Q356" s="153" t="s">
        <v>1328</v>
      </c>
      <c r="R356" s="158"/>
      <c r="S356" s="170" t="s">
        <v>1329</v>
      </c>
      <c r="T356" s="160" t="s">
        <v>2033</v>
      </c>
      <c r="U356" s="94"/>
      <c r="V356" s="94"/>
      <c r="W356" s="94"/>
      <c r="X356" s="94"/>
      <c r="Y356" s="94"/>
      <c r="Z356" s="94"/>
      <c r="AA356" s="94"/>
      <c r="AB356" s="94"/>
      <c r="AC356" s="94"/>
      <c r="AD356" s="94"/>
      <c r="AE356" s="94"/>
      <c r="AF356" s="94"/>
      <c r="AG356" s="94"/>
      <c r="AH356" s="94"/>
      <c r="AI356" s="94"/>
      <c r="AJ356" s="94"/>
      <c r="AK356" s="94"/>
      <c r="AL356" s="94"/>
    </row>
    <row r="357">
      <c r="A357" s="86" t="s">
        <v>661</v>
      </c>
      <c r="B357" s="95" t="str">
        <f t="shared" si="2"/>
        <v>Pregunta</v>
      </c>
      <c r="C357" s="106" t="str">
        <f t="shared" si="9"/>
        <v>15.</v>
      </c>
      <c r="D357" s="106" t="str">
        <f t="shared" si="10"/>
        <v>Promoción</v>
      </c>
      <c r="E357" s="106" t="str">
        <f t="shared" si="11"/>
        <v>Conjunto de acciones orientadas a extender los contenidos del sitio web a la ciudadanía, como la optimización para el posicionamiento en buscadores y difusión en redes sociales.</v>
      </c>
      <c r="F357" s="141" t="str">
        <f t="shared" si="3"/>
        <v>15.1</v>
      </c>
      <c r="G357" s="92" t="str">
        <f t="shared" si="4"/>
        <v>IMPRESCINDIBLES</v>
      </c>
      <c r="H357" s="141"/>
      <c r="I357" s="141" t="str">
        <f t="shared" si="5"/>
        <v/>
      </c>
      <c r="J357" s="98" t="str">
        <f t="shared" si="6"/>
        <v/>
      </c>
      <c r="K357" s="98" t="str">
        <f t="shared" si="7"/>
        <v/>
      </c>
      <c r="L357" s="141" t="str">
        <f t="shared" ref="L357:N357" si="362">IF(I357="",L356,I357)</f>
        <v>15.1.3</v>
      </c>
      <c r="M357" s="98" t="str">
        <f t="shared" si="362"/>
        <v>Compatibilidad de URLs</v>
      </c>
      <c r="N357" s="98" t="str">
        <f t="shared" si="362"/>
        <v>Uso exclusivo de letras minúsculas en la URL del sitio, evitando la utilización de caracteres especiales y tildes, para garantizar su compatibilidad y buen funcionamiento. 
</v>
      </c>
      <c r="O357" s="152"/>
      <c r="P357" s="153"/>
      <c r="Q357" s="153"/>
      <c r="R357" s="161"/>
      <c r="S357" s="162" t="s">
        <v>2131</v>
      </c>
      <c r="T357" s="160" t="s">
        <v>2033</v>
      </c>
      <c r="U357" s="94"/>
      <c r="V357" s="94"/>
      <c r="W357" s="94"/>
      <c r="X357" s="94"/>
      <c r="Y357" s="94"/>
      <c r="Z357" s="94"/>
      <c r="AA357" s="94"/>
      <c r="AB357" s="94"/>
      <c r="AC357" s="94"/>
      <c r="AD357" s="94"/>
      <c r="AE357" s="94"/>
      <c r="AF357" s="94"/>
      <c r="AG357" s="94"/>
      <c r="AH357" s="94"/>
      <c r="AI357" s="94"/>
      <c r="AJ357" s="94"/>
      <c r="AK357" s="94"/>
      <c r="AL357" s="94"/>
    </row>
    <row r="358">
      <c r="A358" s="86" t="s">
        <v>661</v>
      </c>
      <c r="B358" s="95" t="str">
        <f t="shared" si="2"/>
        <v>Pregunta</v>
      </c>
      <c r="C358" s="106" t="str">
        <f t="shared" si="9"/>
        <v>15.</v>
      </c>
      <c r="D358" s="106" t="str">
        <f t="shared" si="10"/>
        <v>Promoción</v>
      </c>
      <c r="E358" s="106" t="str">
        <f t="shared" si="11"/>
        <v>Conjunto de acciones orientadas a extender los contenidos del sitio web a la ciudadanía, como la optimización para el posicionamiento en buscadores y difusión en redes sociales.</v>
      </c>
      <c r="F358" s="141" t="str">
        <f t="shared" si="3"/>
        <v>15.1</v>
      </c>
      <c r="G358" s="92" t="str">
        <f t="shared" si="4"/>
        <v>IMPRESCINDIBLES</v>
      </c>
      <c r="H358" s="141"/>
      <c r="I358" s="141" t="str">
        <f t="shared" si="5"/>
        <v/>
      </c>
      <c r="J358" s="98" t="str">
        <f t="shared" si="6"/>
        <v/>
      </c>
      <c r="K358" s="98" t="str">
        <f t="shared" si="7"/>
        <v/>
      </c>
      <c r="L358" s="141" t="str">
        <f t="shared" ref="L358:N358" si="363">IF(I358="",L357,I358)</f>
        <v>15.1.3</v>
      </c>
      <c r="M358" s="98" t="str">
        <f t="shared" si="363"/>
        <v>Compatibilidad de URLs</v>
      </c>
      <c r="N358" s="98" t="str">
        <f t="shared" si="363"/>
        <v>Uso exclusivo de letras minúsculas en la URL del sitio, evitando la utilización de caracteres especiales y tildes, para garantizar su compatibilidad y buen funcionamiento. 
</v>
      </c>
      <c r="O358" s="142"/>
      <c r="P358" s="143"/>
      <c r="Q358" s="143"/>
      <c r="R358" s="168"/>
      <c r="S358" s="169" t="s">
        <v>2132</v>
      </c>
      <c r="T358" s="164" t="s">
        <v>2033</v>
      </c>
      <c r="U358" s="94"/>
      <c r="V358" s="94"/>
      <c r="W358" s="94"/>
      <c r="X358" s="94"/>
      <c r="Y358" s="94"/>
      <c r="Z358" s="94"/>
      <c r="AA358" s="94"/>
      <c r="AB358" s="94"/>
      <c r="AC358" s="94"/>
      <c r="AD358" s="94"/>
      <c r="AE358" s="94"/>
      <c r="AF358" s="94"/>
      <c r="AG358" s="94"/>
      <c r="AH358" s="94"/>
      <c r="AI358" s="94"/>
      <c r="AJ358" s="94"/>
      <c r="AK358" s="94"/>
      <c r="AL358" s="94"/>
    </row>
    <row r="359">
      <c r="A359" s="105" t="s">
        <v>661</v>
      </c>
      <c r="B359" s="92" t="str">
        <f t="shared" si="2"/>
        <v>Pregunta</v>
      </c>
      <c r="C359" s="106" t="str">
        <f t="shared" si="9"/>
        <v>15.</v>
      </c>
      <c r="D359" s="106" t="str">
        <f t="shared" si="10"/>
        <v>Promoción</v>
      </c>
      <c r="E359" s="106" t="str">
        <f t="shared" si="11"/>
        <v>Conjunto de acciones orientadas a extender los contenidos del sitio web a la ciudadanía, como la optimización para el posicionamiento en buscadores y difusión en redes sociales.</v>
      </c>
      <c r="F359" s="141" t="str">
        <f t="shared" si="3"/>
        <v>15.1</v>
      </c>
      <c r="G359" s="92" t="str">
        <f t="shared" si="4"/>
        <v>IMPRESCINDIBLES</v>
      </c>
      <c r="H359" s="141"/>
      <c r="I359" s="141" t="str">
        <f t="shared" si="5"/>
        <v>15.1.4</v>
      </c>
      <c r="J359" s="98" t="str">
        <f t="shared" si="6"/>
        <v>Títulos indexables</v>
      </c>
      <c r="K359" s="98" t="str">
        <f t="shared" si="7"/>
        <v>Presencia del tema principal de cada página del sitio en su título (etiqueta "title") para garantizar que el propósito de cada una sea claro para los motores de búsqueda.
</v>
      </c>
      <c r="L359" s="141" t="str">
        <f t="shared" ref="L359:N359" si="364">IF(I359="",L358,I359)</f>
        <v>15.1.4</v>
      </c>
      <c r="M359" s="98" t="str">
        <f t="shared" si="364"/>
        <v>Títulos indexables</v>
      </c>
      <c r="N359" s="98" t="str">
        <f t="shared" si="364"/>
        <v>Presencia del tema principal de cada página del sitio en su título (etiqueta "title") para garantizar que el propósito de cada una sea claro para los motores de búsqueda.
</v>
      </c>
      <c r="O359" s="147" t="s">
        <v>1332</v>
      </c>
      <c r="P359" s="148" t="s">
        <v>1333</v>
      </c>
      <c r="Q359" s="148" t="s">
        <v>1334</v>
      </c>
      <c r="R359" s="158"/>
      <c r="S359" s="170" t="s">
        <v>1335</v>
      </c>
      <c r="T359" s="160" t="s">
        <v>2033</v>
      </c>
      <c r="U359" s="94"/>
      <c r="V359" s="94"/>
      <c r="W359" s="94"/>
      <c r="X359" s="94"/>
      <c r="Y359" s="94"/>
      <c r="Z359" s="94"/>
      <c r="AA359" s="94"/>
      <c r="AB359" s="94"/>
      <c r="AC359" s="94"/>
      <c r="AD359" s="94"/>
      <c r="AE359" s="94"/>
      <c r="AF359" s="94"/>
      <c r="AG359" s="94"/>
      <c r="AH359" s="94"/>
      <c r="AI359" s="94"/>
      <c r="AJ359" s="94"/>
      <c r="AK359" s="94"/>
      <c r="AL359" s="94"/>
    </row>
    <row r="360">
      <c r="A360" s="86" t="s">
        <v>661</v>
      </c>
      <c r="B360" s="95" t="str">
        <f t="shared" si="2"/>
        <v>Pregunta</v>
      </c>
      <c r="C360" s="106" t="str">
        <f t="shared" si="9"/>
        <v>15.</v>
      </c>
      <c r="D360" s="106" t="str">
        <f t="shared" si="10"/>
        <v>Promoción</v>
      </c>
      <c r="E360" s="106" t="str">
        <f t="shared" si="11"/>
        <v>Conjunto de acciones orientadas a extender los contenidos del sitio web a la ciudadanía, como la optimización para el posicionamiento en buscadores y difusión en redes sociales.</v>
      </c>
      <c r="F360" s="141" t="str">
        <f t="shared" si="3"/>
        <v>15.1</v>
      </c>
      <c r="G360" s="92" t="str">
        <f t="shared" si="4"/>
        <v>IMPRESCINDIBLES</v>
      </c>
      <c r="H360" s="141"/>
      <c r="I360" s="141" t="str">
        <f t="shared" si="5"/>
        <v/>
      </c>
      <c r="J360" s="98" t="str">
        <f t="shared" si="6"/>
        <v/>
      </c>
      <c r="K360" s="98" t="str">
        <f t="shared" si="7"/>
        <v/>
      </c>
      <c r="L360" s="141" t="str">
        <f t="shared" ref="L360:N360" si="365">IF(I360="",L359,I360)</f>
        <v>15.1.4</v>
      </c>
      <c r="M360" s="98" t="str">
        <f t="shared" si="365"/>
        <v>Títulos indexables</v>
      </c>
      <c r="N360" s="98" t="str">
        <f t="shared" si="365"/>
        <v>Presencia del tema principal de cada página del sitio en su título (etiqueta "title") para garantizar que el propósito de cada una sea claro para los motores de búsqueda.
</v>
      </c>
      <c r="O360" s="172"/>
      <c r="P360" s="150"/>
      <c r="Q360" s="150"/>
      <c r="R360" s="149"/>
      <c r="S360" s="169" t="s">
        <v>1336</v>
      </c>
      <c r="T360" s="164" t="s">
        <v>2033</v>
      </c>
      <c r="U360" s="94"/>
      <c r="V360" s="94"/>
      <c r="W360" s="94"/>
      <c r="X360" s="94"/>
      <c r="Y360" s="94"/>
      <c r="Z360" s="94"/>
      <c r="AA360" s="94"/>
      <c r="AB360" s="94"/>
      <c r="AC360" s="94"/>
      <c r="AD360" s="94"/>
      <c r="AE360" s="94"/>
      <c r="AF360" s="94"/>
      <c r="AG360" s="94"/>
      <c r="AH360" s="94"/>
      <c r="AI360" s="94"/>
      <c r="AJ360" s="94"/>
      <c r="AK360" s="94"/>
      <c r="AL360" s="94"/>
    </row>
    <row r="361">
      <c r="A361" s="105" t="s">
        <v>661</v>
      </c>
      <c r="B361" s="92" t="str">
        <f t="shared" si="2"/>
        <v>Pregunta</v>
      </c>
      <c r="C361" s="106" t="str">
        <f t="shared" si="9"/>
        <v>15.</v>
      </c>
      <c r="D361" s="106" t="str">
        <f t="shared" si="10"/>
        <v>Promoción</v>
      </c>
      <c r="E361" s="106" t="str">
        <f t="shared" si="11"/>
        <v>Conjunto de acciones orientadas a extender los contenidos del sitio web a la ciudadanía, como la optimización para el posicionamiento en buscadores y difusión en redes sociales.</v>
      </c>
      <c r="F361" s="141" t="str">
        <f t="shared" si="3"/>
        <v>15.1</v>
      </c>
      <c r="G361" s="92" t="str">
        <f t="shared" si="4"/>
        <v>IMPRESCINDIBLES</v>
      </c>
      <c r="H361" s="141"/>
      <c r="I361" s="141" t="str">
        <f t="shared" si="5"/>
        <v>15.1.5</v>
      </c>
      <c r="J361" s="98" t="str">
        <f t="shared" si="6"/>
        <v>Título principal en "h1"</v>
      </c>
      <c r="K361" s="98" t="str">
        <f t="shared" si="7"/>
        <v>Uso de la etiqueta "h1" para describir el contenido principal de la página: ésta debe estar presente solo una vez en cada una.</v>
      </c>
      <c r="L361" s="141" t="str">
        <f t="shared" ref="L361:N361" si="366">IF(I361="",L360,I361)</f>
        <v>15.1.5</v>
      </c>
      <c r="M361" s="98" t="str">
        <f t="shared" si="366"/>
        <v>Título principal en "h1"</v>
      </c>
      <c r="N361" s="98" t="str">
        <f t="shared" si="366"/>
        <v>Uso de la etiqueta "h1" para describir el contenido principal de la página: ésta debe estar presente solo una vez en cada una.</v>
      </c>
      <c r="O361" s="152" t="s">
        <v>1337</v>
      </c>
      <c r="P361" s="153" t="s">
        <v>1338</v>
      </c>
      <c r="Q361" s="153" t="s">
        <v>1339</v>
      </c>
      <c r="R361" s="158"/>
      <c r="S361" s="170" t="s">
        <v>1340</v>
      </c>
      <c r="T361" s="160" t="s">
        <v>2033</v>
      </c>
      <c r="U361" s="94"/>
      <c r="V361" s="94"/>
      <c r="W361" s="94"/>
      <c r="X361" s="94"/>
      <c r="Y361" s="94"/>
      <c r="Z361" s="94"/>
      <c r="AA361" s="94"/>
      <c r="AB361" s="94"/>
      <c r="AC361" s="94"/>
      <c r="AD361" s="94"/>
      <c r="AE361" s="94"/>
      <c r="AF361" s="94"/>
      <c r="AG361" s="94"/>
      <c r="AH361" s="94"/>
      <c r="AI361" s="94"/>
      <c r="AJ361" s="94"/>
      <c r="AK361" s="94"/>
      <c r="AL361" s="94"/>
    </row>
    <row r="362">
      <c r="A362" s="86" t="s">
        <v>661</v>
      </c>
      <c r="B362" s="95" t="str">
        <f t="shared" si="2"/>
        <v>Pregunta</v>
      </c>
      <c r="C362" s="106" t="str">
        <f t="shared" si="9"/>
        <v>15.</v>
      </c>
      <c r="D362" s="106" t="str">
        <f t="shared" si="10"/>
        <v>Promoción</v>
      </c>
      <c r="E362" s="106" t="str">
        <f t="shared" si="11"/>
        <v>Conjunto de acciones orientadas a extender los contenidos del sitio web a la ciudadanía, como la optimización para el posicionamiento en buscadores y difusión en redes sociales.</v>
      </c>
      <c r="F362" s="141" t="str">
        <f t="shared" si="3"/>
        <v>15.1</v>
      </c>
      <c r="G362" s="92" t="str">
        <f t="shared" si="4"/>
        <v>IMPRESCINDIBLES</v>
      </c>
      <c r="H362" s="141"/>
      <c r="I362" s="141" t="str">
        <f t="shared" si="5"/>
        <v/>
      </c>
      <c r="J362" s="98" t="str">
        <f t="shared" si="6"/>
        <v/>
      </c>
      <c r="K362" s="98" t="str">
        <f t="shared" si="7"/>
        <v/>
      </c>
      <c r="L362" s="141" t="str">
        <f t="shared" ref="L362:N362" si="367">IF(I362="",L361,I362)</f>
        <v>15.1.5</v>
      </c>
      <c r="M362" s="98" t="str">
        <f t="shared" si="367"/>
        <v>Título principal en "h1"</v>
      </c>
      <c r="N362" s="98" t="str">
        <f t="shared" si="367"/>
        <v>Uso de la etiqueta "h1" para describir el contenido principal de la página: ésta debe estar presente solo una vez en cada una.</v>
      </c>
      <c r="O362" s="152"/>
      <c r="P362" s="153"/>
      <c r="Q362" s="153"/>
      <c r="R362" s="149"/>
      <c r="S362" s="162" t="s">
        <v>1341</v>
      </c>
      <c r="T362" s="160" t="s">
        <v>2033</v>
      </c>
      <c r="U362" s="94"/>
      <c r="V362" s="94"/>
      <c r="W362" s="94"/>
      <c r="X362" s="94"/>
      <c r="Y362" s="94"/>
      <c r="Z362" s="94"/>
      <c r="AA362" s="94"/>
      <c r="AB362" s="94"/>
      <c r="AC362" s="94"/>
      <c r="AD362" s="94"/>
      <c r="AE362" s="94"/>
      <c r="AF362" s="94"/>
      <c r="AG362" s="94"/>
      <c r="AH362" s="94"/>
      <c r="AI362" s="94"/>
      <c r="AJ362" s="94"/>
      <c r="AK362" s="94"/>
      <c r="AL362" s="94"/>
    </row>
    <row r="363">
      <c r="A363" s="86" t="s">
        <v>661</v>
      </c>
      <c r="B363" s="95" t="str">
        <f t="shared" si="2"/>
        <v>Pregunta</v>
      </c>
      <c r="C363" s="106" t="str">
        <f t="shared" si="9"/>
        <v>15.</v>
      </c>
      <c r="D363" s="106" t="str">
        <f t="shared" si="10"/>
        <v>Promoción</v>
      </c>
      <c r="E363" s="106" t="str">
        <f t="shared" si="11"/>
        <v>Conjunto de acciones orientadas a extender los contenidos del sitio web a la ciudadanía, como la optimización para el posicionamiento en buscadores y difusión en redes sociales.</v>
      </c>
      <c r="F363" s="141" t="str">
        <f t="shared" si="3"/>
        <v>15.1</v>
      </c>
      <c r="G363" s="92" t="str">
        <f t="shared" si="4"/>
        <v>IMPRESCINDIBLES</v>
      </c>
      <c r="H363" s="141"/>
      <c r="I363" s="141" t="str">
        <f t="shared" si="5"/>
        <v/>
      </c>
      <c r="J363" s="98" t="str">
        <f t="shared" si="6"/>
        <v/>
      </c>
      <c r="K363" s="98" t="str">
        <f t="shared" si="7"/>
        <v/>
      </c>
      <c r="L363" s="141" t="str">
        <f t="shared" ref="L363:N363" si="368">IF(I363="",L362,I363)</f>
        <v>15.1.5</v>
      </c>
      <c r="M363" s="98" t="str">
        <f t="shared" si="368"/>
        <v>Título principal en "h1"</v>
      </c>
      <c r="N363" s="98" t="str">
        <f t="shared" si="368"/>
        <v>Uso de la etiqueta "h1" para describir el contenido principal de la página: ésta debe estar presente solo una vez en cada una.</v>
      </c>
      <c r="O363" s="172"/>
      <c r="P363" s="150"/>
      <c r="Q363" s="150"/>
      <c r="R363" s="149"/>
      <c r="S363" s="169" t="s">
        <v>1342</v>
      </c>
      <c r="T363" s="164" t="s">
        <v>2033</v>
      </c>
      <c r="U363" s="94"/>
      <c r="V363" s="94"/>
      <c r="W363" s="94"/>
      <c r="X363" s="94"/>
      <c r="Y363" s="94"/>
      <c r="Z363" s="94"/>
      <c r="AA363" s="94"/>
      <c r="AB363" s="94"/>
      <c r="AC363" s="94"/>
      <c r="AD363" s="94"/>
      <c r="AE363" s="94"/>
      <c r="AF363" s="94"/>
      <c r="AG363" s="94"/>
      <c r="AH363" s="94"/>
      <c r="AI363" s="94"/>
      <c r="AJ363" s="94"/>
      <c r="AK363" s="94"/>
      <c r="AL363" s="94"/>
    </row>
    <row r="364">
      <c r="A364" s="105" t="s">
        <v>661</v>
      </c>
      <c r="B364" s="92" t="str">
        <f t="shared" si="2"/>
        <v>Pregunta</v>
      </c>
      <c r="C364" s="106" t="str">
        <f t="shared" si="9"/>
        <v>15.</v>
      </c>
      <c r="D364" s="106" t="str">
        <f t="shared" si="10"/>
        <v>Promoción</v>
      </c>
      <c r="E364" s="106" t="str">
        <f t="shared" si="11"/>
        <v>Conjunto de acciones orientadas a extender los contenidos del sitio web a la ciudadanía, como la optimización para el posicionamiento en buscadores y difusión en redes sociales.</v>
      </c>
      <c r="F364" s="141" t="str">
        <f t="shared" si="3"/>
        <v>15.1</v>
      </c>
      <c r="G364" s="92" t="str">
        <f t="shared" si="4"/>
        <v>IMPRESCINDIBLES</v>
      </c>
      <c r="H364" s="141"/>
      <c r="I364" s="141" t="str">
        <f t="shared" si="5"/>
        <v>15.1.6</v>
      </c>
      <c r="J364" s="98" t="str">
        <f t="shared" si="6"/>
        <v>Facilitar compartir en redes sociales</v>
      </c>
      <c r="K364" s="98" t="str">
        <f t="shared" si="7"/>
        <v>Facilidad para que las páginas de contenidos del sitio web se compartan, con el uso de metadatos apropiados, a través de redes sociales con una previsualización.
</v>
      </c>
      <c r="L364" s="141" t="str">
        <f t="shared" ref="L364:N364" si="369">IF(I364="",L363,I364)</f>
        <v>15.1.6</v>
      </c>
      <c r="M364" s="98" t="str">
        <f t="shared" si="369"/>
        <v>Facilitar compartir en redes sociales</v>
      </c>
      <c r="N364" s="98" t="str">
        <f t="shared" si="369"/>
        <v>Facilidad para que las páginas de contenidos del sitio web se compartan, con el uso de metadatos apropiados, a través de redes sociales con una previsualización.
</v>
      </c>
      <c r="O364" s="152" t="s">
        <v>1343</v>
      </c>
      <c r="P364" s="153" t="s">
        <v>1344</v>
      </c>
      <c r="Q364" s="153" t="s">
        <v>1345</v>
      </c>
      <c r="R364" s="167"/>
      <c r="S364" s="166" t="s">
        <v>1346</v>
      </c>
      <c r="T364" s="164" t="s">
        <v>2033</v>
      </c>
      <c r="U364" s="94"/>
      <c r="V364" s="94"/>
      <c r="W364" s="94"/>
      <c r="X364" s="94"/>
      <c r="Y364" s="94"/>
      <c r="Z364" s="94"/>
      <c r="AA364" s="94"/>
      <c r="AB364" s="94"/>
      <c r="AC364" s="94"/>
      <c r="AD364" s="94"/>
      <c r="AE364" s="94"/>
      <c r="AF364" s="94"/>
      <c r="AG364" s="94"/>
      <c r="AH364" s="94"/>
      <c r="AI364" s="94"/>
      <c r="AJ364" s="94"/>
      <c r="AK364" s="94"/>
      <c r="AL364" s="94"/>
    </row>
    <row r="365">
      <c r="A365" s="105" t="s">
        <v>661</v>
      </c>
      <c r="B365" s="92" t="str">
        <f t="shared" si="2"/>
        <v>Pregunta</v>
      </c>
      <c r="C365" s="106" t="str">
        <f t="shared" si="9"/>
        <v>15.</v>
      </c>
      <c r="D365" s="106" t="str">
        <f t="shared" si="10"/>
        <v>Promoción</v>
      </c>
      <c r="E365" s="106" t="str">
        <f t="shared" si="11"/>
        <v>Conjunto de acciones orientadas a extender los contenidos del sitio web a la ciudadanía, como la optimización para el posicionamiento en buscadores y difusión en redes sociales.</v>
      </c>
      <c r="F365" s="141" t="str">
        <f t="shared" si="3"/>
        <v>15.1</v>
      </c>
      <c r="G365" s="92" t="str">
        <f t="shared" si="4"/>
        <v>IMPRESCINDIBLES</v>
      </c>
      <c r="H365" s="141"/>
      <c r="I365" s="141" t="str">
        <f t="shared" si="5"/>
        <v>15.1.7</v>
      </c>
      <c r="J365" s="98" t="str">
        <f t="shared" si="6"/>
        <v>Publicidad en sitio y videos</v>
      </c>
      <c r="K365" s="98" t="str">
        <f t="shared" si="7"/>
        <v>Precaución de no mostrar publicidad que anuncie o promocione productos, servicios o marcas externas a la organización en el sitio web o en videos incrustados.</v>
      </c>
      <c r="L365" s="141" t="str">
        <f t="shared" ref="L365:N365" si="370">IF(I365="",L364,I365)</f>
        <v>15.1.7</v>
      </c>
      <c r="M365" s="98" t="str">
        <f t="shared" si="370"/>
        <v>Publicidad en sitio y videos</v>
      </c>
      <c r="N365" s="98" t="str">
        <f t="shared" si="370"/>
        <v>Precaución de no mostrar publicidad que anuncie o promocione productos, servicios o marcas externas a la organización en el sitio web o en videos incrustados.</v>
      </c>
      <c r="O365" s="147" t="s">
        <v>1347</v>
      </c>
      <c r="P365" s="148" t="s">
        <v>1348</v>
      </c>
      <c r="Q365" s="148" t="s">
        <v>1349</v>
      </c>
      <c r="R365" s="158"/>
      <c r="S365" s="170" t="s">
        <v>1350</v>
      </c>
      <c r="T365" s="160" t="s">
        <v>2033</v>
      </c>
      <c r="U365" s="94"/>
      <c r="V365" s="94"/>
      <c r="W365" s="94"/>
      <c r="X365" s="94"/>
      <c r="Y365" s="94"/>
      <c r="Z365" s="94"/>
      <c r="AA365" s="94"/>
      <c r="AB365" s="94"/>
      <c r="AC365" s="94"/>
      <c r="AD365" s="94"/>
      <c r="AE365" s="94"/>
      <c r="AF365" s="94"/>
      <c r="AG365" s="94"/>
      <c r="AH365" s="94"/>
      <c r="AI365" s="94"/>
      <c r="AJ365" s="94"/>
      <c r="AK365" s="94"/>
      <c r="AL365" s="94"/>
    </row>
    <row r="366">
      <c r="A366" s="86" t="s">
        <v>661</v>
      </c>
      <c r="B366" s="95" t="str">
        <f t="shared" si="2"/>
        <v>Pregunta</v>
      </c>
      <c r="C366" s="106" t="str">
        <f t="shared" si="9"/>
        <v>15.</v>
      </c>
      <c r="D366" s="106" t="str">
        <f t="shared" si="10"/>
        <v>Promoción</v>
      </c>
      <c r="E366" s="106" t="str">
        <f t="shared" si="11"/>
        <v>Conjunto de acciones orientadas a extender los contenidos del sitio web a la ciudadanía, como la optimización para el posicionamiento en buscadores y difusión en redes sociales.</v>
      </c>
      <c r="F366" s="141" t="str">
        <f t="shared" si="3"/>
        <v>15.1</v>
      </c>
      <c r="G366" s="92" t="str">
        <f t="shared" si="4"/>
        <v>IMPRESCINDIBLES</v>
      </c>
      <c r="H366" s="141"/>
      <c r="I366" s="141" t="str">
        <f t="shared" si="5"/>
        <v/>
      </c>
      <c r="J366" s="98" t="str">
        <f t="shared" si="6"/>
        <v/>
      </c>
      <c r="K366" s="98" t="str">
        <f t="shared" si="7"/>
        <v/>
      </c>
      <c r="L366" s="141" t="str">
        <f t="shared" ref="L366:N366" si="371">IF(I366="",L365,I366)</f>
        <v>15.1.7</v>
      </c>
      <c r="M366" s="98" t="str">
        <f t="shared" si="371"/>
        <v>Publicidad en sitio y videos</v>
      </c>
      <c r="N366" s="98" t="str">
        <f t="shared" si="371"/>
        <v>Precaución de no mostrar publicidad que anuncie o promocione productos, servicios o marcas externas a la organización en el sitio web o en videos incrustados.</v>
      </c>
      <c r="O366" s="142"/>
      <c r="P366" s="143"/>
      <c r="Q366" s="143"/>
      <c r="R366" s="168"/>
      <c r="S366" s="169" t="s">
        <v>2133</v>
      </c>
      <c r="T366" s="164" t="s">
        <v>2033</v>
      </c>
      <c r="U366" s="94"/>
      <c r="V366" s="94"/>
      <c r="W366" s="94"/>
      <c r="X366" s="94"/>
      <c r="Y366" s="94"/>
      <c r="Z366" s="94"/>
      <c r="AA366" s="94"/>
      <c r="AB366" s="94"/>
      <c r="AC366" s="94"/>
      <c r="AD366" s="94"/>
      <c r="AE366" s="94"/>
      <c r="AF366" s="94"/>
      <c r="AG366" s="94"/>
      <c r="AH366" s="94"/>
      <c r="AI366" s="94"/>
      <c r="AJ366" s="94"/>
      <c r="AK366" s="94"/>
      <c r="AL366" s="94"/>
    </row>
    <row r="367" hidden="1">
      <c r="A367" s="86" t="s">
        <v>661</v>
      </c>
      <c r="B367" s="95" t="str">
        <f t="shared" si="2"/>
        <v>Otro</v>
      </c>
      <c r="C367" s="106" t="str">
        <f t="shared" si="9"/>
        <v>15.</v>
      </c>
      <c r="D367" s="106" t="str">
        <f t="shared" si="10"/>
        <v>Promoción</v>
      </c>
      <c r="E367" s="106" t="str">
        <f t="shared" si="11"/>
        <v>Conjunto de acciones orientadas a extender los contenidos del sitio web a la ciudadanía, como la optimización para el posicionamiento en buscadores y difusión en redes sociales.</v>
      </c>
      <c r="F367" s="141" t="str">
        <f t="shared" si="3"/>
        <v>15.2</v>
      </c>
      <c r="G367" s="92" t="str">
        <f t="shared" si="4"/>
        <v>ESPERABLES</v>
      </c>
      <c r="H367" s="141"/>
      <c r="I367" s="141" t="str">
        <f t="shared" si="5"/>
        <v/>
      </c>
      <c r="J367" s="98" t="str">
        <f t="shared" si="6"/>
        <v/>
      </c>
      <c r="K367" s="98" t="str">
        <f t="shared" si="7"/>
        <v/>
      </c>
      <c r="L367" s="141" t="str">
        <f t="shared" ref="L367:N367" si="372">IF(I367="",L366,I367)</f>
        <v>15.1.7</v>
      </c>
      <c r="M367" s="98" t="str">
        <f t="shared" si="372"/>
        <v>Publicidad en sitio y videos</v>
      </c>
      <c r="N367" s="98" t="str">
        <f t="shared" si="372"/>
        <v>Precaución de no mostrar publicidad que anuncie o promocione productos, servicios o marcas externas a la organización en el sitio web o en videos incrustados.</v>
      </c>
      <c r="O367" s="152" t="s">
        <v>1352</v>
      </c>
      <c r="P367" s="206" t="s">
        <v>714</v>
      </c>
      <c r="Q367" s="200"/>
      <c r="R367" s="177"/>
      <c r="S367" s="197">
        <f>COUNTA(P368:P376)</f>
        <v>4</v>
      </c>
      <c r="T367" s="197">
        <f>COUNTIF(U368:U376,"n/a")</f>
        <v>0</v>
      </c>
      <c r="U367" s="94"/>
      <c r="V367" s="94"/>
      <c r="W367" s="94"/>
      <c r="X367" s="94"/>
      <c r="Y367" s="94"/>
      <c r="Z367" s="94"/>
      <c r="AA367" s="94"/>
      <c r="AB367" s="94"/>
      <c r="AC367" s="94"/>
      <c r="AD367" s="94"/>
      <c r="AE367" s="94"/>
      <c r="AF367" s="94"/>
      <c r="AG367" s="94"/>
      <c r="AH367" s="94"/>
      <c r="AI367" s="94"/>
      <c r="AJ367" s="94"/>
      <c r="AK367" s="94"/>
      <c r="AL367" s="94"/>
    </row>
    <row r="368">
      <c r="A368" s="105" t="s">
        <v>661</v>
      </c>
      <c r="B368" s="92" t="str">
        <f t="shared" si="2"/>
        <v>Pregunta</v>
      </c>
      <c r="C368" s="106" t="str">
        <f t="shared" si="9"/>
        <v>15.</v>
      </c>
      <c r="D368" s="106" t="str">
        <f t="shared" si="10"/>
        <v>Promoción</v>
      </c>
      <c r="E368" s="106" t="str">
        <f t="shared" si="11"/>
        <v>Conjunto de acciones orientadas a extender los contenidos del sitio web a la ciudadanía, como la optimización para el posicionamiento en buscadores y difusión en redes sociales.</v>
      </c>
      <c r="F368" s="141" t="str">
        <f t="shared" si="3"/>
        <v>15.2</v>
      </c>
      <c r="G368" s="92" t="str">
        <f t="shared" si="4"/>
        <v>ESPERABLES</v>
      </c>
      <c r="H368" s="141"/>
      <c r="I368" s="141" t="str">
        <f t="shared" si="5"/>
        <v>15.2.1</v>
      </c>
      <c r="J368" s="98" t="str">
        <f t="shared" si="6"/>
        <v>Legibilidad de las URLs</v>
      </c>
      <c r="K368" s="98" t="str">
        <f t="shared" si="7"/>
        <v>Preocupación por el uso de URLs amigables para las personas usuarias y semánticas para buscadores.</v>
      </c>
      <c r="L368" s="141" t="str">
        <f t="shared" ref="L368:N368" si="373">IF(I368="",L367,I368)</f>
        <v>15.2.1</v>
      </c>
      <c r="M368" s="98" t="str">
        <f t="shared" si="373"/>
        <v>Legibilidad de las URLs</v>
      </c>
      <c r="N368" s="98" t="str">
        <f t="shared" si="373"/>
        <v>Preocupación por el uso de URLs amigables para las personas usuarias y semánticas para buscadores.</v>
      </c>
      <c r="O368" s="207" t="s">
        <v>1353</v>
      </c>
      <c r="P368" s="180" t="s">
        <v>1354</v>
      </c>
      <c r="Q368" s="180" t="s">
        <v>1355</v>
      </c>
      <c r="R368" s="161"/>
      <c r="S368" s="162" t="s">
        <v>1356</v>
      </c>
      <c r="T368" s="160" t="s">
        <v>2033</v>
      </c>
      <c r="U368" s="94"/>
      <c r="V368" s="94"/>
      <c r="W368" s="94"/>
      <c r="X368" s="94"/>
      <c r="Y368" s="94"/>
      <c r="Z368" s="94"/>
      <c r="AA368" s="94"/>
      <c r="AB368" s="94"/>
      <c r="AC368" s="94"/>
      <c r="AD368" s="94"/>
      <c r="AE368" s="94"/>
      <c r="AF368" s="94"/>
      <c r="AG368" s="94"/>
      <c r="AH368" s="94"/>
      <c r="AI368" s="94"/>
      <c r="AJ368" s="94"/>
      <c r="AK368" s="94"/>
      <c r="AL368" s="94"/>
    </row>
    <row r="369">
      <c r="A369" s="86" t="s">
        <v>661</v>
      </c>
      <c r="B369" s="95" t="str">
        <f t="shared" si="2"/>
        <v>Pregunta</v>
      </c>
      <c r="C369" s="106" t="str">
        <f t="shared" si="9"/>
        <v>15.</v>
      </c>
      <c r="D369" s="106" t="str">
        <f t="shared" si="10"/>
        <v>Promoción</v>
      </c>
      <c r="E369" s="106" t="str">
        <f t="shared" si="11"/>
        <v>Conjunto de acciones orientadas a extender los contenidos del sitio web a la ciudadanía, como la optimización para el posicionamiento en buscadores y difusión en redes sociales.</v>
      </c>
      <c r="F369" s="141" t="str">
        <f t="shared" si="3"/>
        <v>15.2</v>
      </c>
      <c r="G369" s="92" t="str">
        <f t="shared" si="4"/>
        <v>ESPERABLES</v>
      </c>
      <c r="H369" s="141"/>
      <c r="I369" s="141" t="str">
        <f t="shared" si="5"/>
        <v/>
      </c>
      <c r="J369" s="98" t="str">
        <f t="shared" si="6"/>
        <v/>
      </c>
      <c r="K369" s="98" t="str">
        <f t="shared" si="7"/>
        <v/>
      </c>
      <c r="L369" s="141" t="str">
        <f t="shared" ref="L369:N369" si="374">IF(I369="",L368,I369)</f>
        <v>15.2.1</v>
      </c>
      <c r="M369" s="98" t="str">
        <f t="shared" si="374"/>
        <v>Legibilidad de las URLs</v>
      </c>
      <c r="N369" s="98" t="str">
        <f t="shared" si="374"/>
        <v>Preocupación por el uso de URLs amigables para las personas usuarias y semánticas para buscadores.</v>
      </c>
      <c r="O369" s="172"/>
      <c r="P369" s="150"/>
      <c r="Q369" s="150"/>
      <c r="R369" s="171"/>
      <c r="S369" s="169" t="s">
        <v>1357</v>
      </c>
      <c r="T369" s="164" t="s">
        <v>2033</v>
      </c>
      <c r="U369" s="94"/>
      <c r="V369" s="94"/>
      <c r="W369" s="94"/>
      <c r="X369" s="94"/>
      <c r="Y369" s="94"/>
      <c r="Z369" s="94"/>
      <c r="AA369" s="94"/>
      <c r="AB369" s="94"/>
      <c r="AC369" s="94"/>
      <c r="AD369" s="94"/>
      <c r="AE369" s="94"/>
      <c r="AF369" s="94"/>
      <c r="AG369" s="94"/>
      <c r="AH369" s="94"/>
      <c r="AI369" s="94"/>
      <c r="AJ369" s="94"/>
      <c r="AK369" s="94"/>
      <c r="AL369" s="94"/>
    </row>
    <row r="370">
      <c r="A370" s="105" t="s">
        <v>661</v>
      </c>
      <c r="B370" s="92" t="str">
        <f t="shared" si="2"/>
        <v>Pregunta</v>
      </c>
      <c r="C370" s="106" t="str">
        <f t="shared" si="9"/>
        <v>15.</v>
      </c>
      <c r="D370" s="106" t="str">
        <f t="shared" si="10"/>
        <v>Promoción</v>
      </c>
      <c r="E370" s="106" t="str">
        <f t="shared" si="11"/>
        <v>Conjunto de acciones orientadas a extender los contenidos del sitio web a la ciudadanía, como la optimización para el posicionamiento en buscadores y difusión en redes sociales.</v>
      </c>
      <c r="F370" s="141" t="str">
        <f t="shared" si="3"/>
        <v>15.2</v>
      </c>
      <c r="G370" s="92" t="str">
        <f t="shared" si="4"/>
        <v>ESPERABLES</v>
      </c>
      <c r="H370" s="141"/>
      <c r="I370" s="141" t="str">
        <f t="shared" si="5"/>
        <v>15.2.2</v>
      </c>
      <c r="J370" s="98" t="str">
        <f t="shared" si="6"/>
        <v>Metadescripción de páginas</v>
      </c>
      <c r="K370" s="98" t="str">
        <f t="shared" si="7"/>
        <v>Correcta descripción de cada página al entregar información sobre su contenido en la meta etiqueta "description".</v>
      </c>
      <c r="L370" s="141" t="str">
        <f t="shared" ref="L370:N370" si="375">IF(I370="",L369,I370)</f>
        <v>15.2.2</v>
      </c>
      <c r="M370" s="98" t="str">
        <f t="shared" si="375"/>
        <v>Metadescripción de páginas</v>
      </c>
      <c r="N370" s="98" t="str">
        <f t="shared" si="375"/>
        <v>Correcta descripción de cada página al entregar información sobre su contenido en la meta etiqueta "description".</v>
      </c>
      <c r="O370" s="152" t="s">
        <v>1358</v>
      </c>
      <c r="P370" s="153" t="s">
        <v>1359</v>
      </c>
      <c r="Q370" s="153" t="s">
        <v>1360</v>
      </c>
      <c r="R370" s="158"/>
      <c r="S370" s="159" t="s">
        <v>2134</v>
      </c>
      <c r="T370" s="160" t="s">
        <v>2033</v>
      </c>
      <c r="U370" s="94"/>
      <c r="V370" s="94"/>
      <c r="W370" s="94"/>
      <c r="X370" s="94"/>
      <c r="Y370" s="94"/>
      <c r="Z370" s="94"/>
      <c r="AA370" s="94"/>
      <c r="AB370" s="94"/>
      <c r="AC370" s="94"/>
      <c r="AD370" s="94"/>
      <c r="AE370" s="94"/>
      <c r="AF370" s="94"/>
      <c r="AG370" s="94"/>
      <c r="AH370" s="94"/>
      <c r="AI370" s="94"/>
      <c r="AJ370" s="94"/>
      <c r="AK370" s="94"/>
      <c r="AL370" s="94"/>
    </row>
    <row r="371">
      <c r="A371" s="86" t="s">
        <v>661</v>
      </c>
      <c r="B371" s="95" t="str">
        <f t="shared" si="2"/>
        <v>Pregunta</v>
      </c>
      <c r="C371" s="106" t="str">
        <f t="shared" si="9"/>
        <v>15.</v>
      </c>
      <c r="D371" s="106" t="str">
        <f t="shared" si="10"/>
        <v>Promoción</v>
      </c>
      <c r="E371" s="106" t="str">
        <f t="shared" si="11"/>
        <v>Conjunto de acciones orientadas a extender los contenidos del sitio web a la ciudadanía, como la optimización para el posicionamiento en buscadores y difusión en redes sociales.</v>
      </c>
      <c r="F371" s="141" t="str">
        <f t="shared" si="3"/>
        <v>15.2</v>
      </c>
      <c r="G371" s="92" t="str">
        <f t="shared" si="4"/>
        <v>ESPERABLES</v>
      </c>
      <c r="H371" s="141"/>
      <c r="I371" s="141" t="str">
        <f t="shared" si="5"/>
        <v/>
      </c>
      <c r="J371" s="98" t="str">
        <f t="shared" si="6"/>
        <v/>
      </c>
      <c r="K371" s="98" t="str">
        <f t="shared" si="7"/>
        <v/>
      </c>
      <c r="L371" s="141" t="str">
        <f t="shared" ref="L371:N371" si="376">IF(I371="",L370,I371)</f>
        <v>15.2.2</v>
      </c>
      <c r="M371" s="98" t="str">
        <f t="shared" si="376"/>
        <v>Metadescripción de páginas</v>
      </c>
      <c r="N371" s="98" t="str">
        <f t="shared" si="376"/>
        <v>Correcta descripción de cada página al entregar información sobre su contenido en la meta etiqueta "description".</v>
      </c>
      <c r="O371" s="152"/>
      <c r="P371" s="153"/>
      <c r="Q371" s="153"/>
      <c r="R371" s="149"/>
      <c r="S371" s="162" t="s">
        <v>1362</v>
      </c>
      <c r="T371" s="160" t="s">
        <v>2033</v>
      </c>
      <c r="U371" s="94"/>
      <c r="V371" s="94"/>
      <c r="W371" s="94"/>
      <c r="X371" s="94"/>
      <c r="Y371" s="94"/>
      <c r="Z371" s="94"/>
      <c r="AA371" s="94"/>
      <c r="AB371" s="94"/>
      <c r="AC371" s="94"/>
      <c r="AD371" s="94"/>
      <c r="AE371" s="94"/>
      <c r="AF371" s="94"/>
      <c r="AG371" s="94"/>
      <c r="AH371" s="94"/>
      <c r="AI371" s="94"/>
      <c r="AJ371" s="94"/>
      <c r="AK371" s="94"/>
      <c r="AL371" s="94"/>
    </row>
    <row r="372">
      <c r="A372" s="86" t="s">
        <v>661</v>
      </c>
      <c r="B372" s="95" t="str">
        <f t="shared" si="2"/>
        <v>Pregunta</v>
      </c>
      <c r="C372" s="106" t="str">
        <f t="shared" si="9"/>
        <v>15.</v>
      </c>
      <c r="D372" s="106" t="str">
        <f t="shared" si="10"/>
        <v>Promoción</v>
      </c>
      <c r="E372" s="106" t="str">
        <f t="shared" si="11"/>
        <v>Conjunto de acciones orientadas a extender los contenidos del sitio web a la ciudadanía, como la optimización para el posicionamiento en buscadores y difusión en redes sociales.</v>
      </c>
      <c r="F372" s="141" t="str">
        <f t="shared" si="3"/>
        <v>15.2</v>
      </c>
      <c r="G372" s="92" t="str">
        <f t="shared" si="4"/>
        <v>ESPERABLES</v>
      </c>
      <c r="H372" s="141"/>
      <c r="I372" s="141" t="str">
        <f t="shared" si="5"/>
        <v/>
      </c>
      <c r="J372" s="98" t="str">
        <f t="shared" si="6"/>
        <v/>
      </c>
      <c r="K372" s="98" t="str">
        <f t="shared" si="7"/>
        <v/>
      </c>
      <c r="L372" s="141" t="str">
        <f t="shared" ref="L372:N372" si="377">IF(I372="",L371,I372)</f>
        <v>15.2.2</v>
      </c>
      <c r="M372" s="98" t="str">
        <f t="shared" si="377"/>
        <v>Metadescripción de páginas</v>
      </c>
      <c r="N372" s="98" t="str">
        <f t="shared" si="377"/>
        <v>Correcta descripción de cada página al entregar información sobre su contenido en la meta etiqueta "description".</v>
      </c>
      <c r="O372" s="172"/>
      <c r="P372" s="150"/>
      <c r="Q372" s="150"/>
      <c r="R372" s="200"/>
      <c r="S372" s="169" t="s">
        <v>1363</v>
      </c>
      <c r="T372" s="164" t="s">
        <v>2033</v>
      </c>
      <c r="U372" s="94"/>
      <c r="V372" s="94"/>
      <c r="W372" s="94"/>
      <c r="X372" s="94"/>
      <c r="Y372" s="94"/>
      <c r="Z372" s="94"/>
      <c r="AA372" s="94"/>
      <c r="AB372" s="94"/>
      <c r="AC372" s="94"/>
      <c r="AD372" s="94"/>
      <c r="AE372" s="94"/>
      <c r="AF372" s="94"/>
      <c r="AG372" s="94"/>
      <c r="AH372" s="94"/>
      <c r="AI372" s="94"/>
      <c r="AJ372" s="94"/>
      <c r="AK372" s="94"/>
      <c r="AL372" s="94"/>
    </row>
    <row r="373">
      <c r="A373" s="105" t="s">
        <v>661</v>
      </c>
      <c r="B373" s="98" t="str">
        <f t="shared" si="2"/>
        <v>Pregunta</v>
      </c>
      <c r="C373" s="106" t="str">
        <f t="shared" si="9"/>
        <v>15.</v>
      </c>
      <c r="D373" s="106" t="str">
        <f t="shared" si="10"/>
        <v>Promoción</v>
      </c>
      <c r="E373" s="106" t="str">
        <f t="shared" si="11"/>
        <v>Conjunto de acciones orientadas a extender los contenidos del sitio web a la ciudadanía, como la optimización para el posicionamiento en buscadores y difusión en redes sociales.</v>
      </c>
      <c r="F373" s="141" t="str">
        <f t="shared" si="3"/>
        <v>15.2</v>
      </c>
      <c r="G373" s="92" t="str">
        <f t="shared" si="4"/>
        <v>ESPERABLES</v>
      </c>
      <c r="H373" s="141"/>
      <c r="I373" s="141" t="str">
        <f t="shared" si="5"/>
        <v>15.2.3</v>
      </c>
      <c r="J373" s="98" t="str">
        <f t="shared" si="6"/>
        <v>Patrones engañosos</v>
      </c>
      <c r="K373" s="98" t="str">
        <f t="shared" si="7"/>
        <v>Estrategias y técnicas poco éticas que se utilizan en los sitios web, que obligan a las personas usuarias a realizar una acción que no desean, como comprar un producto o registrarse en algún servicio.
</v>
      </c>
      <c r="L373" s="141" t="str">
        <f t="shared" ref="L373:N373" si="378">IF(I373="",L372,I373)</f>
        <v>15.2.3</v>
      </c>
      <c r="M373" s="98" t="str">
        <f t="shared" si="378"/>
        <v>Patrones engañosos</v>
      </c>
      <c r="N373" s="98" t="str">
        <f t="shared" si="378"/>
        <v>Estrategias y técnicas poco éticas que se utilizan en los sitios web, que obligan a las personas usuarias a realizar una acción que no desean, como comprar un producto o registrarse en algún servicio.
</v>
      </c>
      <c r="O373" s="152" t="s">
        <v>1364</v>
      </c>
      <c r="P373" s="297" t="s">
        <v>1365</v>
      </c>
      <c r="Q373" s="297" t="s">
        <v>1366</v>
      </c>
      <c r="R373" s="298"/>
      <c r="S373" s="299" t="s">
        <v>1367</v>
      </c>
      <c r="T373" s="160" t="s">
        <v>2033</v>
      </c>
      <c r="U373" s="94"/>
      <c r="V373" s="94"/>
      <c r="W373" s="94"/>
      <c r="X373" s="94"/>
      <c r="Y373" s="94"/>
      <c r="Z373" s="94"/>
      <c r="AA373" s="94"/>
      <c r="AB373" s="94"/>
      <c r="AC373" s="94"/>
      <c r="AD373" s="94"/>
      <c r="AE373" s="94"/>
      <c r="AF373" s="94"/>
      <c r="AG373" s="94"/>
      <c r="AH373" s="94"/>
      <c r="AI373" s="94"/>
      <c r="AJ373" s="94"/>
      <c r="AK373" s="94"/>
      <c r="AL373" s="94"/>
    </row>
    <row r="374">
      <c r="A374" s="86" t="s">
        <v>661</v>
      </c>
      <c r="B374" s="95" t="str">
        <f t="shared" si="2"/>
        <v>Pregunta</v>
      </c>
      <c r="C374" s="106" t="str">
        <f t="shared" si="9"/>
        <v>15.</v>
      </c>
      <c r="D374" s="106" t="str">
        <f t="shared" si="10"/>
        <v>Promoción</v>
      </c>
      <c r="E374" s="106" t="str">
        <f t="shared" si="11"/>
        <v>Conjunto de acciones orientadas a extender los contenidos del sitio web a la ciudadanía, como la optimización para el posicionamiento en buscadores y difusión en redes sociales.</v>
      </c>
      <c r="F374" s="141" t="str">
        <f t="shared" si="3"/>
        <v>15.2</v>
      </c>
      <c r="G374" s="92" t="str">
        <f t="shared" si="4"/>
        <v>ESPERABLES</v>
      </c>
      <c r="H374" s="141"/>
      <c r="I374" s="141" t="str">
        <f t="shared" si="5"/>
        <v/>
      </c>
      <c r="J374" s="98" t="str">
        <f t="shared" si="6"/>
        <v/>
      </c>
      <c r="K374" s="98" t="str">
        <f t="shared" si="7"/>
        <v/>
      </c>
      <c r="L374" s="141" t="str">
        <f t="shared" ref="L374:N374" si="379">IF(I374="",L373,I374)</f>
        <v>15.2.3</v>
      </c>
      <c r="M374" s="98" t="str">
        <f t="shared" si="379"/>
        <v>Patrones engañosos</v>
      </c>
      <c r="N374" s="98" t="str">
        <f t="shared" si="379"/>
        <v>Estrategias y técnicas poco éticas que se utilizan en los sitios web, que obligan a las personas usuarias a realizar una acción que no desean, como comprar un producto o registrarse en algún servicio.
</v>
      </c>
      <c r="O374" s="152"/>
      <c r="P374" s="297"/>
      <c r="Q374" s="297"/>
      <c r="R374" s="161"/>
      <c r="S374" s="162" t="s">
        <v>1368</v>
      </c>
      <c r="T374" s="160" t="s">
        <v>2033</v>
      </c>
      <c r="U374" s="94"/>
      <c r="V374" s="94"/>
      <c r="W374" s="94"/>
      <c r="X374" s="94"/>
      <c r="Y374" s="94"/>
      <c r="Z374" s="94"/>
      <c r="AA374" s="94"/>
      <c r="AB374" s="94"/>
      <c r="AC374" s="94"/>
      <c r="AD374" s="94"/>
      <c r="AE374" s="94"/>
      <c r="AF374" s="94"/>
      <c r="AG374" s="94"/>
      <c r="AH374" s="94"/>
      <c r="AI374" s="94"/>
      <c r="AJ374" s="94"/>
      <c r="AK374" s="94"/>
      <c r="AL374" s="94"/>
    </row>
    <row r="375">
      <c r="A375" s="86" t="s">
        <v>661</v>
      </c>
      <c r="B375" s="95" t="str">
        <f t="shared" si="2"/>
        <v>Pregunta</v>
      </c>
      <c r="C375" s="106" t="str">
        <f t="shared" si="9"/>
        <v>15.</v>
      </c>
      <c r="D375" s="106" t="str">
        <f t="shared" si="10"/>
        <v>Promoción</v>
      </c>
      <c r="E375" s="106" t="str">
        <f t="shared" si="11"/>
        <v>Conjunto de acciones orientadas a extender los contenidos del sitio web a la ciudadanía, como la optimización para el posicionamiento en buscadores y difusión en redes sociales.</v>
      </c>
      <c r="F375" s="141" t="str">
        <f t="shared" si="3"/>
        <v>15.2</v>
      </c>
      <c r="G375" s="92" t="str">
        <f t="shared" si="4"/>
        <v>ESPERABLES</v>
      </c>
      <c r="H375" s="141"/>
      <c r="I375" s="141" t="str">
        <f t="shared" si="5"/>
        <v/>
      </c>
      <c r="J375" s="98" t="str">
        <f t="shared" si="6"/>
        <v/>
      </c>
      <c r="K375" s="98" t="str">
        <f t="shared" si="7"/>
        <v/>
      </c>
      <c r="L375" s="141" t="str">
        <f t="shared" ref="L375:N375" si="380">IF(I375="",L374,I375)</f>
        <v>15.2.3</v>
      </c>
      <c r="M375" s="98" t="str">
        <f t="shared" si="380"/>
        <v>Patrones engañosos</v>
      </c>
      <c r="N375" s="98" t="str">
        <f t="shared" si="380"/>
        <v>Estrategias y técnicas poco éticas que se utilizan en los sitios web, que obligan a las personas usuarias a realizar una acción que no desean, como comprar un producto o registrarse en algún servicio.
</v>
      </c>
      <c r="O375" s="172"/>
      <c r="P375" s="300"/>
      <c r="Q375" s="300"/>
      <c r="R375" s="161"/>
      <c r="S375" s="169" t="s">
        <v>1369</v>
      </c>
      <c r="T375" s="164" t="s">
        <v>2033</v>
      </c>
      <c r="U375" s="94"/>
      <c r="V375" s="94"/>
      <c r="W375" s="94"/>
      <c r="X375" s="94"/>
      <c r="Y375" s="94"/>
      <c r="Z375" s="94"/>
      <c r="AA375" s="94"/>
      <c r="AB375" s="94"/>
      <c r="AC375" s="94"/>
      <c r="AD375" s="94"/>
      <c r="AE375" s="94"/>
      <c r="AF375" s="94"/>
      <c r="AG375" s="94"/>
      <c r="AH375" s="94"/>
      <c r="AI375" s="94"/>
      <c r="AJ375" s="94"/>
      <c r="AK375" s="94"/>
      <c r="AL375" s="94"/>
    </row>
    <row r="376">
      <c r="A376" s="105" t="s">
        <v>661</v>
      </c>
      <c r="B376" s="92" t="str">
        <f t="shared" si="2"/>
        <v>Pregunta</v>
      </c>
      <c r="C376" s="106" t="str">
        <f t="shared" si="9"/>
        <v>15.</v>
      </c>
      <c r="D376" s="106" t="str">
        <f t="shared" si="10"/>
        <v>Promoción</v>
      </c>
      <c r="E376" s="106" t="str">
        <f t="shared" si="11"/>
        <v>Conjunto de acciones orientadas a extender los contenidos del sitio web a la ciudadanía, como la optimización para el posicionamiento en buscadores y difusión en redes sociales.</v>
      </c>
      <c r="F376" s="141" t="str">
        <f t="shared" si="3"/>
        <v>15.2</v>
      </c>
      <c r="G376" s="92" t="str">
        <f t="shared" si="4"/>
        <v>ESPERABLES</v>
      </c>
      <c r="H376" s="141"/>
      <c r="I376" s="141" t="str">
        <f t="shared" si="5"/>
        <v>15.2.4</v>
      </c>
      <c r="J376" s="98" t="str">
        <f t="shared" si="6"/>
        <v>Presencia de redes sociales</v>
      </c>
      <c r="K376" s="98" t="str">
        <f t="shared" si="7"/>
        <v>Visualización de los enlaces de las cuentas oficiales en redes sociales de la institución o servicio digital. 
</v>
      </c>
      <c r="L376" s="141" t="str">
        <f t="shared" ref="L376:N376" si="381">IF(I376="",L375,I376)</f>
        <v>15.2.4</v>
      </c>
      <c r="M376" s="98" t="str">
        <f t="shared" si="381"/>
        <v>Presencia de redes sociales</v>
      </c>
      <c r="N376" s="98" t="str">
        <f t="shared" si="381"/>
        <v>Visualización de los enlaces de las cuentas oficiales en redes sociales de la institución o servicio digital. 
</v>
      </c>
      <c r="O376" s="142" t="s">
        <v>1370</v>
      </c>
      <c r="P376" s="143" t="s">
        <v>1371</v>
      </c>
      <c r="Q376" s="143" t="s">
        <v>1372</v>
      </c>
      <c r="R376" s="211"/>
      <c r="S376" s="166" t="s">
        <v>1373</v>
      </c>
      <c r="T376" s="164" t="s">
        <v>2033</v>
      </c>
      <c r="U376" s="94"/>
      <c r="V376" s="94"/>
      <c r="W376" s="94"/>
      <c r="X376" s="94"/>
      <c r="Y376" s="94"/>
      <c r="Z376" s="94"/>
      <c r="AA376" s="94"/>
      <c r="AB376" s="94"/>
      <c r="AC376" s="94"/>
      <c r="AD376" s="94"/>
      <c r="AE376" s="94"/>
      <c r="AF376" s="94"/>
      <c r="AG376" s="94"/>
      <c r="AH376" s="94"/>
      <c r="AI376" s="94"/>
      <c r="AJ376" s="94"/>
      <c r="AK376" s="94"/>
      <c r="AL376" s="94"/>
    </row>
    <row r="377" hidden="1">
      <c r="A377" s="86" t="s">
        <v>661</v>
      </c>
      <c r="B377" s="95" t="str">
        <f t="shared" si="2"/>
        <v>Otro</v>
      </c>
      <c r="C377" s="106" t="str">
        <f t="shared" si="9"/>
        <v>15.</v>
      </c>
      <c r="D377" s="106" t="str">
        <f t="shared" si="10"/>
        <v>Promoción</v>
      </c>
      <c r="E377" s="106" t="str">
        <f t="shared" si="11"/>
        <v>Conjunto de acciones orientadas a extender los contenidos del sitio web a la ciudadanía, como la optimización para el posicionamiento en buscadores y difusión en redes sociales.</v>
      </c>
      <c r="F377" s="141" t="str">
        <f t="shared" si="3"/>
        <v>15.3</v>
      </c>
      <c r="G377" s="92" t="str">
        <f t="shared" si="4"/>
        <v>DESEABLES</v>
      </c>
      <c r="H377" s="141"/>
      <c r="I377" s="141" t="str">
        <f t="shared" si="5"/>
        <v/>
      </c>
      <c r="J377" s="98" t="str">
        <f t="shared" si="6"/>
        <v/>
      </c>
      <c r="K377" s="98" t="str">
        <f t="shared" si="7"/>
        <v/>
      </c>
      <c r="L377" s="141" t="str">
        <f t="shared" ref="L377:N377" si="382">IF(I377="",L376,I377)</f>
        <v>15.2.4</v>
      </c>
      <c r="M377" s="98" t="str">
        <f t="shared" si="382"/>
        <v>Presencia de redes sociales</v>
      </c>
      <c r="N377" s="98" t="str">
        <f t="shared" si="382"/>
        <v>Visualización de los enlaces de las cuentas oficiales en redes sociales de la institución o servicio digital. 
</v>
      </c>
      <c r="O377" s="289" t="s">
        <v>1374</v>
      </c>
      <c r="P377" s="182" t="s">
        <v>749</v>
      </c>
      <c r="Q377" s="183"/>
      <c r="R377" s="183"/>
      <c r="S377" s="184">
        <f>COUNTA(P378:P379)</f>
        <v>2</v>
      </c>
      <c r="T377" s="184">
        <f>COUNTIF(U378:U379,"n/a")</f>
        <v>0</v>
      </c>
      <c r="U377" s="94"/>
      <c r="V377" s="94"/>
      <c r="W377" s="94"/>
      <c r="X377" s="94"/>
      <c r="Y377" s="94"/>
      <c r="Z377" s="94"/>
      <c r="AA377" s="94"/>
      <c r="AB377" s="94"/>
      <c r="AC377" s="94"/>
      <c r="AD377" s="94"/>
      <c r="AE377" s="94"/>
      <c r="AF377" s="94"/>
      <c r="AG377" s="94"/>
      <c r="AH377" s="94"/>
      <c r="AI377" s="94"/>
      <c r="AJ377" s="94"/>
      <c r="AK377" s="94"/>
      <c r="AL377" s="94"/>
    </row>
    <row r="378">
      <c r="A378" s="105" t="s">
        <v>661</v>
      </c>
      <c r="B378" s="92" t="str">
        <f t="shared" si="2"/>
        <v>Pregunta</v>
      </c>
      <c r="C378" s="106" t="str">
        <f t="shared" si="9"/>
        <v>15.</v>
      </c>
      <c r="D378" s="106" t="str">
        <f t="shared" si="10"/>
        <v>Promoción</v>
      </c>
      <c r="E378" s="106" t="str">
        <f t="shared" si="11"/>
        <v>Conjunto de acciones orientadas a extender los contenidos del sitio web a la ciudadanía, como la optimización para el posicionamiento en buscadores y difusión en redes sociales.</v>
      </c>
      <c r="F378" s="141" t="str">
        <f t="shared" si="3"/>
        <v>15.3</v>
      </c>
      <c r="G378" s="92" t="str">
        <f t="shared" si="4"/>
        <v>DESEABLES</v>
      </c>
      <c r="H378" s="141"/>
      <c r="I378" s="141" t="str">
        <f t="shared" si="5"/>
        <v>15.3.1</v>
      </c>
      <c r="J378" s="98" t="str">
        <f t="shared" si="6"/>
        <v>Datos estructurados</v>
      </c>
      <c r="K378" s="98" t="str">
        <f t="shared" si="7"/>
        <v>Presencia de datos estructurados dentro de los contenidos estratégicos del sitio web como: artículos, noticias, eventos, videos y preguntas frecuentes.</v>
      </c>
      <c r="L378" s="141" t="str">
        <f t="shared" ref="L378:N378" si="383">IF(I378="",L377,I378)</f>
        <v>15.3.1</v>
      </c>
      <c r="M378" s="98" t="str">
        <f t="shared" si="383"/>
        <v>Datos estructurados</v>
      </c>
      <c r="N378" s="98" t="str">
        <f t="shared" si="383"/>
        <v>Presencia de datos estructurados dentro de los contenidos estratégicos del sitio web como: artículos, noticias, eventos, videos y preguntas frecuentes.</v>
      </c>
      <c r="O378" s="207" t="s">
        <v>1375</v>
      </c>
      <c r="P378" s="180" t="s">
        <v>1376</v>
      </c>
      <c r="Q378" s="180" t="s">
        <v>1377</v>
      </c>
      <c r="R378" s="171"/>
      <c r="S378" s="169" t="s">
        <v>1378</v>
      </c>
      <c r="T378" s="164" t="s">
        <v>2033</v>
      </c>
      <c r="U378" s="94"/>
      <c r="V378" s="94"/>
      <c r="W378" s="94"/>
      <c r="X378" s="94"/>
      <c r="Y378" s="94"/>
      <c r="Z378" s="94"/>
      <c r="AA378" s="94"/>
      <c r="AB378" s="94"/>
      <c r="AC378" s="94"/>
      <c r="AD378" s="94"/>
      <c r="AE378" s="94"/>
      <c r="AF378" s="94"/>
      <c r="AG378" s="94"/>
      <c r="AH378" s="94"/>
      <c r="AI378" s="94"/>
      <c r="AJ378" s="94"/>
      <c r="AK378" s="94"/>
      <c r="AL378" s="94"/>
    </row>
    <row r="379">
      <c r="A379" s="105" t="s">
        <v>661</v>
      </c>
      <c r="B379" s="92" t="str">
        <f t="shared" si="2"/>
        <v>Pregunta</v>
      </c>
      <c r="C379" s="106" t="str">
        <f t="shared" si="9"/>
        <v>15.</v>
      </c>
      <c r="D379" s="106" t="str">
        <f t="shared" si="10"/>
        <v>Promoción</v>
      </c>
      <c r="E379" s="106" t="str">
        <f t="shared" si="11"/>
        <v>Conjunto de acciones orientadas a extender los contenidos del sitio web a la ciudadanía, como la optimización para el posicionamiento en buscadores y difusión en redes sociales.</v>
      </c>
      <c r="F379" s="141" t="str">
        <f t="shared" si="3"/>
        <v>15.3</v>
      </c>
      <c r="G379" s="92" t="str">
        <f t="shared" si="4"/>
        <v>DESEABLES</v>
      </c>
      <c r="H379" s="141"/>
      <c r="I379" s="141" t="str">
        <f t="shared" si="5"/>
        <v>15.3.2</v>
      </c>
      <c r="J379" s="98" t="str">
        <f t="shared" si="6"/>
        <v>Dominio representativo</v>
      </c>
      <c r="K379" s="98" t="str">
        <f t="shared" si="7"/>
        <v>Representatividad del tema principal de la institución en el dominio del sitio web.</v>
      </c>
      <c r="L379" s="141" t="str">
        <f t="shared" ref="L379:N379" si="384">IF(I379="",L378,I379)</f>
        <v>15.3.2</v>
      </c>
      <c r="M379" s="98" t="str">
        <f t="shared" si="384"/>
        <v>Dominio representativo</v>
      </c>
      <c r="N379" s="98" t="str">
        <f t="shared" si="384"/>
        <v>Representatividad del tema principal de la institución en el dominio del sitio web.</v>
      </c>
      <c r="O379" s="147" t="s">
        <v>1379</v>
      </c>
      <c r="P379" s="148" t="s">
        <v>1380</v>
      </c>
      <c r="Q379" s="301" t="s">
        <v>1381</v>
      </c>
      <c r="R379" s="211"/>
      <c r="S379" s="166" t="s">
        <v>1382</v>
      </c>
      <c r="T379" s="164" t="s">
        <v>2033</v>
      </c>
      <c r="U379" s="94"/>
      <c r="V379" s="94"/>
      <c r="W379" s="94"/>
      <c r="X379" s="94"/>
      <c r="Y379" s="94"/>
      <c r="Z379" s="94"/>
      <c r="AA379" s="94"/>
      <c r="AB379" s="94"/>
      <c r="AC379" s="94"/>
      <c r="AD379" s="94"/>
      <c r="AE379" s="94"/>
      <c r="AF379" s="94"/>
      <c r="AG379" s="94"/>
      <c r="AH379" s="94"/>
      <c r="AI379" s="94"/>
      <c r="AJ379" s="94"/>
      <c r="AK379" s="94"/>
      <c r="AL379" s="94"/>
    </row>
    <row r="380" hidden="1">
      <c r="A380" s="105" t="s">
        <v>661</v>
      </c>
      <c r="B380" s="106" t="str">
        <f t="shared" si="2"/>
        <v>Otro</v>
      </c>
      <c r="C380" s="106" t="str">
        <f t="shared" si="9"/>
        <v>16.</v>
      </c>
      <c r="D380" s="106" t="str">
        <f t="shared" si="10"/>
        <v>Transparencia y apertura</v>
      </c>
      <c r="E380"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380" s="141" t="str">
        <f t="shared" si="3"/>
        <v>15.3</v>
      </c>
      <c r="G380" s="92" t="str">
        <f t="shared" si="4"/>
        <v>DESEABLES</v>
      </c>
      <c r="H380" s="109"/>
      <c r="I380" s="109" t="str">
        <f t="shared" si="5"/>
        <v/>
      </c>
      <c r="J380" s="98" t="str">
        <f t="shared" si="6"/>
        <v/>
      </c>
      <c r="K380" s="98" t="str">
        <f t="shared" si="7"/>
        <v/>
      </c>
      <c r="L380" s="141" t="str">
        <f t="shared" ref="L380:N380" si="385">IF(I380="",L379,I380)</f>
        <v>15.3.2</v>
      </c>
      <c r="M380" s="98" t="str">
        <f t="shared" si="385"/>
        <v>Dominio representativo</v>
      </c>
      <c r="N380" s="98" t="str">
        <f t="shared" si="385"/>
        <v>Representatividad del tema principal de la institución en el dominio del sitio web.</v>
      </c>
      <c r="O380" s="111" t="s">
        <v>49</v>
      </c>
      <c r="P380" s="112" t="s">
        <v>50</v>
      </c>
      <c r="Q380" s="113"/>
      <c r="R380" s="114"/>
      <c r="S380" s="115" t="s">
        <v>1383</v>
      </c>
      <c r="T380" s="116" t="s">
        <v>16</v>
      </c>
      <c r="U380" s="94"/>
      <c r="V380" s="94"/>
      <c r="W380" s="94"/>
      <c r="X380" s="94"/>
      <c r="Y380" s="94"/>
      <c r="Z380" s="94"/>
      <c r="AA380" s="94"/>
      <c r="AB380" s="94"/>
      <c r="AC380" s="94"/>
      <c r="AD380" s="94"/>
      <c r="AE380" s="94"/>
      <c r="AF380" s="94"/>
      <c r="AG380" s="94"/>
      <c r="AH380" s="94"/>
      <c r="AI380" s="94"/>
      <c r="AJ380" s="94"/>
      <c r="AK380" s="94"/>
      <c r="AL380" s="94"/>
    </row>
    <row r="381" hidden="1">
      <c r="A381" s="105" t="s">
        <v>661</v>
      </c>
      <c r="B381" s="106" t="str">
        <f t="shared" si="2"/>
        <v>Otro</v>
      </c>
      <c r="C381" s="106" t="str">
        <f t="shared" si="9"/>
        <v>16.</v>
      </c>
      <c r="D381" s="106" t="str">
        <f t="shared" si="10"/>
        <v>Transparencia y apertura</v>
      </c>
      <c r="E381"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381" s="141" t="str">
        <f t="shared" si="3"/>
        <v>15.3</v>
      </c>
      <c r="G381" s="92" t="str">
        <f t="shared" si="4"/>
        <v>DESEABLES</v>
      </c>
      <c r="H381" s="109"/>
      <c r="I381" s="109" t="str">
        <f t="shared" si="5"/>
        <v/>
      </c>
      <c r="J381" s="98" t="str">
        <f t="shared" si="6"/>
        <v/>
      </c>
      <c r="K381" s="98" t="str">
        <f t="shared" si="7"/>
        <v/>
      </c>
      <c r="L381" s="141" t="str">
        <f t="shared" ref="L381:N381" si="386">IF(I381="",L380,I381)</f>
        <v>15.3.2</v>
      </c>
      <c r="M381" s="98" t="str">
        <f t="shared" si="386"/>
        <v>Dominio representativo</v>
      </c>
      <c r="N381" s="98" t="str">
        <f t="shared" si="386"/>
        <v>Representatividad del tema principal de la institución en el dominio del sitio web.</v>
      </c>
      <c r="O381" s="117"/>
      <c r="P381" s="118"/>
      <c r="Q381" s="119"/>
      <c r="R381" s="114"/>
      <c r="S381" s="239"/>
      <c r="T381" s="116" t="s">
        <v>19</v>
      </c>
      <c r="U381" s="94"/>
      <c r="V381" s="94"/>
      <c r="W381" s="94"/>
      <c r="X381" s="94"/>
      <c r="Y381" s="94"/>
      <c r="Z381" s="94"/>
      <c r="AA381" s="94"/>
      <c r="AB381" s="94"/>
      <c r="AC381" s="94"/>
      <c r="AD381" s="94"/>
      <c r="AE381" s="94"/>
      <c r="AF381" s="94"/>
      <c r="AG381" s="94"/>
      <c r="AH381" s="94"/>
      <c r="AI381" s="94"/>
      <c r="AJ381" s="94"/>
      <c r="AK381" s="94"/>
      <c r="AL381" s="94"/>
    </row>
    <row r="382" hidden="1">
      <c r="A382" s="105" t="s">
        <v>661</v>
      </c>
      <c r="B382" s="106" t="str">
        <f t="shared" si="2"/>
        <v>Otro</v>
      </c>
      <c r="C382" s="106" t="str">
        <f t="shared" si="9"/>
        <v>16.</v>
      </c>
      <c r="D382" s="106" t="str">
        <f t="shared" si="10"/>
        <v>Transparencia y apertura</v>
      </c>
      <c r="E382"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382" s="141" t="str">
        <f t="shared" si="3"/>
        <v>15.3</v>
      </c>
      <c r="G382" s="92" t="str">
        <f t="shared" si="4"/>
        <v>DESEABLES</v>
      </c>
      <c r="H382" s="109"/>
      <c r="I382" s="109" t="str">
        <f t="shared" si="5"/>
        <v/>
      </c>
      <c r="J382" s="98" t="str">
        <f t="shared" si="6"/>
        <v/>
      </c>
      <c r="K382" s="98" t="str">
        <f t="shared" si="7"/>
        <v/>
      </c>
      <c r="L382" s="141" t="str">
        <f t="shared" ref="L382:N382" si="387">IF(I382="",L381,I382)</f>
        <v>15.3.2</v>
      </c>
      <c r="M382" s="98" t="str">
        <f t="shared" si="387"/>
        <v>Dominio representativo</v>
      </c>
      <c r="N382" s="98" t="str">
        <f t="shared" si="387"/>
        <v>Representatividad del tema principal de la institución en el dominio del sitio web.</v>
      </c>
      <c r="O382" s="121"/>
      <c r="P382" s="122"/>
      <c r="Q382" s="123"/>
      <c r="R382" s="114"/>
      <c r="S382" s="240"/>
      <c r="T382" s="116" t="s">
        <v>22</v>
      </c>
      <c r="U382" s="94"/>
      <c r="V382" s="94"/>
      <c r="W382" s="94"/>
      <c r="X382" s="94"/>
      <c r="Y382" s="94"/>
      <c r="Z382" s="94"/>
      <c r="AA382" s="94"/>
      <c r="AB382" s="94"/>
      <c r="AC382" s="94"/>
      <c r="AD382" s="94"/>
      <c r="AE382" s="94"/>
      <c r="AF382" s="94"/>
      <c r="AG382" s="94"/>
      <c r="AH382" s="94"/>
      <c r="AI382" s="94"/>
      <c r="AJ382" s="94"/>
      <c r="AK382" s="94"/>
      <c r="AL382" s="94"/>
    </row>
    <row r="383" hidden="1">
      <c r="A383" s="105" t="s">
        <v>661</v>
      </c>
      <c r="B383" s="106" t="str">
        <f t="shared" si="2"/>
        <v>Otro</v>
      </c>
      <c r="C383" s="106" t="str">
        <f t="shared" si="9"/>
        <v>16.</v>
      </c>
      <c r="D383" s="106" t="str">
        <f t="shared" si="10"/>
        <v>Transparencia y apertura</v>
      </c>
      <c r="E383"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383" s="141" t="str">
        <f t="shared" si="3"/>
        <v>15.3</v>
      </c>
      <c r="G383" s="92" t="str">
        <f t="shared" si="4"/>
        <v>DESEABLES</v>
      </c>
      <c r="H383" s="125"/>
      <c r="I383" s="125" t="str">
        <f t="shared" si="5"/>
        <v/>
      </c>
      <c r="J383" s="98" t="str">
        <f t="shared" si="6"/>
        <v/>
      </c>
      <c r="K383" s="98" t="str">
        <f t="shared" si="7"/>
        <v/>
      </c>
      <c r="L383" s="141" t="str">
        <f t="shared" ref="L383:N383" si="388">IF(I383="",L382,I383)</f>
        <v>15.3.2</v>
      </c>
      <c r="M383" s="98" t="str">
        <f t="shared" si="388"/>
        <v>Dominio representativo</v>
      </c>
      <c r="N383" s="98" t="str">
        <f t="shared" si="388"/>
        <v>Representatividad del tema principal de la institución en el dominio del sitio web.</v>
      </c>
      <c r="O383" s="126"/>
      <c r="P383" s="114"/>
      <c r="Q383" s="114"/>
      <c r="R383" s="127"/>
      <c r="S383" s="127"/>
      <c r="T383" s="241"/>
      <c r="U383" s="94"/>
      <c r="V383" s="94"/>
      <c r="W383" s="94"/>
      <c r="X383" s="94"/>
      <c r="Y383" s="94"/>
      <c r="Z383" s="94"/>
      <c r="AA383" s="94"/>
      <c r="AB383" s="94"/>
      <c r="AC383" s="94"/>
      <c r="AD383" s="94"/>
      <c r="AE383" s="94"/>
      <c r="AF383" s="94"/>
      <c r="AG383" s="94"/>
      <c r="AH383" s="94"/>
      <c r="AI383" s="94"/>
      <c r="AJ383" s="94"/>
      <c r="AK383" s="94"/>
      <c r="AL383" s="94"/>
    </row>
    <row r="384" hidden="1">
      <c r="A384" s="86" t="s">
        <v>661</v>
      </c>
      <c r="B384" s="95" t="str">
        <f t="shared" si="2"/>
        <v>Otro</v>
      </c>
      <c r="C384" s="106" t="str">
        <f t="shared" si="9"/>
        <v>16.</v>
      </c>
      <c r="D384" s="106" t="str">
        <f t="shared" si="10"/>
        <v>Transparencia y apertura</v>
      </c>
      <c r="E384"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384" s="141" t="str">
        <f t="shared" si="3"/>
        <v>15.3</v>
      </c>
      <c r="G384" s="92" t="str">
        <f t="shared" si="4"/>
        <v>DESEABLES</v>
      </c>
      <c r="H384" s="130"/>
      <c r="I384" s="130" t="str">
        <f t="shared" si="5"/>
        <v/>
      </c>
      <c r="J384" s="98" t="str">
        <f t="shared" si="6"/>
        <v/>
      </c>
      <c r="K384" s="98" t="str">
        <f t="shared" si="7"/>
        <v/>
      </c>
      <c r="L384" s="141" t="str">
        <f t="shared" ref="L384:N384" si="389">IF(I384="",L383,I384)</f>
        <v>15.3.2</v>
      </c>
      <c r="M384" s="98" t="str">
        <f t="shared" si="389"/>
        <v>Dominio representativo</v>
      </c>
      <c r="N384" s="98" t="str">
        <f t="shared" si="389"/>
        <v>Representatividad del tema principal de la institución en el dominio del sitio web.</v>
      </c>
      <c r="O384" s="132" t="s">
        <v>1822</v>
      </c>
      <c r="P384" s="133" t="s">
        <v>1823</v>
      </c>
      <c r="Q384" s="133" t="s">
        <v>2031</v>
      </c>
      <c r="R384" s="134"/>
      <c r="S384" s="133" t="s">
        <v>1824</v>
      </c>
      <c r="T384" s="133" t="s">
        <v>1825</v>
      </c>
      <c r="U384" s="94"/>
      <c r="V384" s="94"/>
      <c r="W384" s="94"/>
      <c r="X384" s="94"/>
      <c r="Y384" s="94"/>
      <c r="Z384" s="94"/>
      <c r="AA384" s="94"/>
      <c r="AB384" s="94"/>
      <c r="AC384" s="94"/>
      <c r="AD384" s="94"/>
      <c r="AE384" s="94"/>
      <c r="AF384" s="94"/>
      <c r="AG384" s="94"/>
      <c r="AH384" s="94"/>
      <c r="AI384" s="94"/>
      <c r="AJ384" s="94"/>
      <c r="AK384" s="94"/>
      <c r="AL384" s="94"/>
    </row>
    <row r="385" hidden="1">
      <c r="A385" s="86" t="s">
        <v>661</v>
      </c>
      <c r="B385" s="95" t="str">
        <f t="shared" si="2"/>
        <v>Otro</v>
      </c>
      <c r="C385" s="106" t="str">
        <f t="shared" si="9"/>
        <v>16.</v>
      </c>
      <c r="D385" s="106" t="str">
        <f t="shared" si="10"/>
        <v>Transparencia y apertura</v>
      </c>
      <c r="E385"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385" s="141" t="str">
        <f t="shared" si="3"/>
        <v>16.1</v>
      </c>
      <c r="G385" s="92" t="str">
        <f t="shared" si="4"/>
        <v>IMPRESCINDIBLES</v>
      </c>
      <c r="H385" s="141"/>
      <c r="I385" s="141" t="str">
        <f t="shared" si="5"/>
        <v/>
      </c>
      <c r="J385" s="98" t="str">
        <f t="shared" si="6"/>
        <v/>
      </c>
      <c r="K385" s="98" t="str">
        <f t="shared" si="7"/>
        <v/>
      </c>
      <c r="L385" s="141" t="str">
        <f t="shared" ref="L385:N385" si="390">IF(I385="",L384,I385)</f>
        <v>15.3.2</v>
      </c>
      <c r="M385" s="98" t="str">
        <f t="shared" si="390"/>
        <v>Dominio representativo</v>
      </c>
      <c r="N385" s="98" t="str">
        <f t="shared" si="390"/>
        <v>Representatividad del tema principal de la institución en el dominio del sitio web.</v>
      </c>
      <c r="O385" s="152" t="s">
        <v>1384</v>
      </c>
      <c r="P385" s="206" t="s">
        <v>664</v>
      </c>
      <c r="Q385" s="200"/>
      <c r="R385" s="138"/>
      <c r="S385" s="139">
        <f>COUNTA(P386:P407)</f>
        <v>5</v>
      </c>
      <c r="T385" s="140">
        <f>COUNTIF(U386:U407,"n/a")</f>
        <v>0</v>
      </c>
      <c r="U385" s="94"/>
      <c r="V385" s="94"/>
      <c r="W385" s="94"/>
      <c r="X385" s="94"/>
      <c r="Y385" s="94"/>
      <c r="Z385" s="94"/>
      <c r="AA385" s="94"/>
      <c r="AB385" s="94"/>
      <c r="AC385" s="94"/>
      <c r="AD385" s="94"/>
      <c r="AE385" s="94"/>
      <c r="AF385" s="94"/>
      <c r="AG385" s="94"/>
      <c r="AH385" s="94"/>
      <c r="AI385" s="94"/>
      <c r="AJ385" s="94"/>
      <c r="AK385" s="94"/>
      <c r="AL385" s="94"/>
    </row>
    <row r="386">
      <c r="A386" s="105" t="s">
        <v>661</v>
      </c>
      <c r="B386" s="92" t="str">
        <f t="shared" si="2"/>
        <v>Pregunta</v>
      </c>
      <c r="C386" s="106" t="str">
        <f t="shared" si="9"/>
        <v>16.</v>
      </c>
      <c r="D386" s="106" t="str">
        <f t="shared" si="10"/>
        <v>Transparencia y apertura</v>
      </c>
      <c r="E386"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386" s="141" t="str">
        <f t="shared" si="3"/>
        <v>16.1</v>
      </c>
      <c r="G386" s="92" t="str">
        <f t="shared" si="4"/>
        <v>IMPRESCINDIBLES</v>
      </c>
      <c r="H386" s="141"/>
      <c r="I386" s="141" t="str">
        <f t="shared" si="5"/>
        <v>16.1.1</v>
      </c>
      <c r="J386" s="98" t="str">
        <f t="shared" si="6"/>
        <v>Transparencia activa</v>
      </c>
      <c r="K386" s="98" t="str">
        <f t="shared" si="7"/>
        <v>Presencia actualizada de la información pública relacionada con el funcionamiento administrativo y financiero de la institución, tal como lo indica la Ley de Transparencia de la Función Pública y de Acceso a la Información de la Administración del Estado (Ley 20.285), más conocida como Ley de Transparencia. Esta información puede estar disponible en el propio sitio de la institución o en el Portal de Transparencia.</v>
      </c>
      <c r="L386" s="141" t="str">
        <f t="shared" ref="L386:N386" si="391">IF(I386="",L385,I386)</f>
        <v>16.1.1</v>
      </c>
      <c r="M386" s="98" t="str">
        <f t="shared" si="391"/>
        <v>Transparencia activa</v>
      </c>
      <c r="N386" s="98" t="str">
        <f t="shared" si="391"/>
        <v>Presencia actualizada de la información pública relacionada con el funcionamiento administrativo y financiero de la institución, tal como lo indica la Ley de Transparencia de la Función Pública y de Acceso a la Información de la Administración del Estado (Ley 20.285), más conocida como Ley de Transparencia. Esta información puede estar disponible en el propio sitio de la institución o en el Portal de Transparencia.</v>
      </c>
      <c r="O386" s="207" t="s">
        <v>1385</v>
      </c>
      <c r="P386" s="180" t="s">
        <v>1386</v>
      </c>
      <c r="Q386" s="180" t="s">
        <v>1387</v>
      </c>
      <c r="R386" s="171"/>
      <c r="S386" s="162" t="s">
        <v>1388</v>
      </c>
      <c r="T386" s="160" t="s">
        <v>2033</v>
      </c>
      <c r="U386" s="94"/>
      <c r="V386" s="94"/>
      <c r="W386" s="94"/>
      <c r="X386" s="94"/>
      <c r="Y386" s="94"/>
      <c r="Z386" s="94"/>
      <c r="AA386" s="94"/>
      <c r="AB386" s="94"/>
      <c r="AC386" s="94"/>
      <c r="AD386" s="94"/>
      <c r="AE386" s="94"/>
      <c r="AF386" s="94"/>
      <c r="AG386" s="94"/>
      <c r="AH386" s="94"/>
      <c r="AI386" s="94"/>
      <c r="AJ386" s="94"/>
      <c r="AK386" s="94"/>
      <c r="AL386" s="94"/>
    </row>
    <row r="387">
      <c r="A387" s="86" t="s">
        <v>661</v>
      </c>
      <c r="B387" s="95" t="str">
        <f t="shared" si="2"/>
        <v>Pregunta</v>
      </c>
      <c r="C387" s="106" t="str">
        <f t="shared" si="9"/>
        <v>16.</v>
      </c>
      <c r="D387" s="106" t="str">
        <f t="shared" si="10"/>
        <v>Transparencia y apertura</v>
      </c>
      <c r="E387"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387" s="141" t="str">
        <f t="shared" si="3"/>
        <v>16.1</v>
      </c>
      <c r="G387" s="92" t="str">
        <f t="shared" si="4"/>
        <v>IMPRESCINDIBLES</v>
      </c>
      <c r="H387" s="141"/>
      <c r="I387" s="141" t="str">
        <f t="shared" si="5"/>
        <v/>
      </c>
      <c r="J387" s="98" t="str">
        <f t="shared" si="6"/>
        <v/>
      </c>
      <c r="K387" s="98" t="str">
        <f t="shared" si="7"/>
        <v/>
      </c>
      <c r="L387" s="141" t="str">
        <f t="shared" ref="L387:N387" si="392">IF(I387="",L386,I387)</f>
        <v>16.1.1</v>
      </c>
      <c r="M387" s="98" t="str">
        <f t="shared" si="392"/>
        <v>Transparencia activa</v>
      </c>
      <c r="N387" s="98" t="str">
        <f t="shared" si="392"/>
        <v>Presencia actualizada de la información pública relacionada con el funcionamiento administrativo y financiero de la institución, tal como lo indica la Ley de Transparencia de la Función Pública y de Acceso a la Información de la Administración del Estado (Ley 20.285), más conocida como Ley de Transparencia. Esta información puede estar disponible en el propio sitio de la institución o en el Portal de Transparencia.</v>
      </c>
      <c r="O387" s="152"/>
      <c r="P387" s="153"/>
      <c r="Q387" s="153"/>
      <c r="R387" s="171"/>
      <c r="S387" s="162" t="s">
        <v>1389</v>
      </c>
      <c r="T387" s="160" t="s">
        <v>2033</v>
      </c>
      <c r="U387" s="94"/>
      <c r="V387" s="94"/>
      <c r="W387" s="94"/>
      <c r="X387" s="94"/>
      <c r="Y387" s="94"/>
      <c r="Z387" s="94"/>
      <c r="AA387" s="94"/>
      <c r="AB387" s="94"/>
      <c r="AC387" s="94"/>
      <c r="AD387" s="94"/>
      <c r="AE387" s="94"/>
      <c r="AF387" s="94"/>
      <c r="AG387" s="94"/>
      <c r="AH387" s="94"/>
      <c r="AI387" s="94"/>
      <c r="AJ387" s="94"/>
      <c r="AK387" s="94"/>
      <c r="AL387" s="94"/>
    </row>
    <row r="388">
      <c r="A388" s="86" t="s">
        <v>661</v>
      </c>
      <c r="B388" s="95" t="str">
        <f t="shared" si="2"/>
        <v>Pregunta</v>
      </c>
      <c r="C388" s="106" t="str">
        <f t="shared" si="9"/>
        <v>16.</v>
      </c>
      <c r="D388" s="106" t="str">
        <f t="shared" si="10"/>
        <v>Transparencia y apertura</v>
      </c>
      <c r="E388"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388" s="141" t="str">
        <f t="shared" si="3"/>
        <v>16.1</v>
      </c>
      <c r="G388" s="92" t="str">
        <f t="shared" si="4"/>
        <v>IMPRESCINDIBLES</v>
      </c>
      <c r="H388" s="141"/>
      <c r="I388" s="141" t="str">
        <f t="shared" si="5"/>
        <v/>
      </c>
      <c r="J388" s="98" t="str">
        <f t="shared" si="6"/>
        <v/>
      </c>
      <c r="K388" s="98" t="str">
        <f t="shared" si="7"/>
        <v/>
      </c>
      <c r="L388" s="141" t="str">
        <f t="shared" ref="L388:N388" si="393">IF(I388="",L387,I388)</f>
        <v>16.1.1</v>
      </c>
      <c r="M388" s="98" t="str">
        <f t="shared" si="393"/>
        <v>Transparencia activa</v>
      </c>
      <c r="N388" s="98" t="str">
        <f t="shared" si="393"/>
        <v>Presencia actualizada de la información pública relacionada con el funcionamiento administrativo y financiero de la institución, tal como lo indica la Ley de Transparencia de la Función Pública y de Acceso a la Información de la Administración del Estado (Ley 20.285), más conocida como Ley de Transparencia. Esta información puede estar disponible en el propio sitio de la institución o en el Portal de Transparencia.</v>
      </c>
      <c r="O388" s="152"/>
      <c r="P388" s="153"/>
      <c r="Q388" s="153"/>
      <c r="R388" s="171"/>
      <c r="S388" s="162" t="s">
        <v>1390</v>
      </c>
      <c r="T388" s="160" t="s">
        <v>2033</v>
      </c>
      <c r="U388" s="94"/>
      <c r="V388" s="94"/>
      <c r="W388" s="94"/>
      <c r="X388" s="94"/>
      <c r="Y388" s="94"/>
      <c r="Z388" s="94"/>
      <c r="AA388" s="94"/>
      <c r="AB388" s="94"/>
      <c r="AC388" s="94"/>
      <c r="AD388" s="94"/>
      <c r="AE388" s="94"/>
      <c r="AF388" s="94"/>
      <c r="AG388" s="94"/>
      <c r="AH388" s="94"/>
      <c r="AI388" s="94"/>
      <c r="AJ388" s="94"/>
      <c r="AK388" s="94"/>
      <c r="AL388" s="94"/>
    </row>
    <row r="389">
      <c r="A389" s="86" t="s">
        <v>661</v>
      </c>
      <c r="B389" s="95" t="str">
        <f t="shared" si="2"/>
        <v>Pregunta</v>
      </c>
      <c r="C389" s="106" t="str">
        <f t="shared" si="9"/>
        <v>16.</v>
      </c>
      <c r="D389" s="106" t="str">
        <f t="shared" si="10"/>
        <v>Transparencia y apertura</v>
      </c>
      <c r="E389"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389" s="141" t="str">
        <f t="shared" si="3"/>
        <v>16.1</v>
      </c>
      <c r="G389" s="92" t="str">
        <f t="shared" si="4"/>
        <v>IMPRESCINDIBLES</v>
      </c>
      <c r="H389" s="141"/>
      <c r="I389" s="141" t="str">
        <f t="shared" si="5"/>
        <v/>
      </c>
      <c r="J389" s="98" t="str">
        <f t="shared" si="6"/>
        <v/>
      </c>
      <c r="K389" s="98" t="str">
        <f t="shared" si="7"/>
        <v/>
      </c>
      <c r="L389" s="141" t="str">
        <f t="shared" ref="L389:N389" si="394">IF(I389="",L388,I389)</f>
        <v>16.1.1</v>
      </c>
      <c r="M389" s="98" t="str">
        <f t="shared" si="394"/>
        <v>Transparencia activa</v>
      </c>
      <c r="N389" s="98" t="str">
        <f t="shared" si="394"/>
        <v>Presencia actualizada de la información pública relacionada con el funcionamiento administrativo y financiero de la institución, tal como lo indica la Ley de Transparencia de la Función Pública y de Acceso a la Información de la Administración del Estado (Ley 20.285), más conocida como Ley de Transparencia. Esta información puede estar disponible en el propio sitio de la institución o en el Portal de Transparencia.</v>
      </c>
      <c r="O389" s="152"/>
      <c r="P389" s="153"/>
      <c r="Q389" s="153"/>
      <c r="R389" s="171"/>
      <c r="S389" s="162" t="s">
        <v>1391</v>
      </c>
      <c r="T389" s="160" t="s">
        <v>2033</v>
      </c>
      <c r="U389" s="94"/>
      <c r="V389" s="94"/>
      <c r="W389" s="94"/>
      <c r="X389" s="94"/>
      <c r="Y389" s="94"/>
      <c r="Z389" s="94"/>
      <c r="AA389" s="94"/>
      <c r="AB389" s="94"/>
      <c r="AC389" s="94"/>
      <c r="AD389" s="94"/>
      <c r="AE389" s="94"/>
      <c r="AF389" s="94"/>
      <c r="AG389" s="94"/>
      <c r="AH389" s="94"/>
      <c r="AI389" s="94"/>
      <c r="AJ389" s="94"/>
      <c r="AK389" s="94"/>
      <c r="AL389" s="94"/>
    </row>
    <row r="390">
      <c r="A390" s="86" t="s">
        <v>661</v>
      </c>
      <c r="B390" s="95" t="str">
        <f t="shared" si="2"/>
        <v>Pregunta</v>
      </c>
      <c r="C390" s="106" t="str">
        <f t="shared" si="9"/>
        <v>16.</v>
      </c>
      <c r="D390" s="106" t="str">
        <f t="shared" si="10"/>
        <v>Transparencia y apertura</v>
      </c>
      <c r="E390"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390" s="141" t="str">
        <f t="shared" si="3"/>
        <v>16.1</v>
      </c>
      <c r="G390" s="92" t="str">
        <f t="shared" si="4"/>
        <v>IMPRESCINDIBLES</v>
      </c>
      <c r="H390" s="141"/>
      <c r="I390" s="141" t="str">
        <f t="shared" si="5"/>
        <v/>
      </c>
      <c r="J390" s="98" t="str">
        <f t="shared" si="6"/>
        <v/>
      </c>
      <c r="K390" s="98" t="str">
        <f t="shared" si="7"/>
        <v/>
      </c>
      <c r="L390" s="141" t="str">
        <f t="shared" ref="L390:N390" si="395">IF(I390="",L389,I390)</f>
        <v>16.1.1</v>
      </c>
      <c r="M390" s="98" t="str">
        <f t="shared" si="395"/>
        <v>Transparencia activa</v>
      </c>
      <c r="N390" s="98" t="str">
        <f t="shared" si="395"/>
        <v>Presencia actualizada de la información pública relacionada con el funcionamiento administrativo y financiero de la institución, tal como lo indica la Ley de Transparencia de la Función Pública y de Acceso a la Información de la Administración del Estado (Ley 20.285), más conocida como Ley de Transparencia. Esta información puede estar disponible en el propio sitio de la institución o en el Portal de Transparencia.</v>
      </c>
      <c r="O390" s="152"/>
      <c r="P390" s="153"/>
      <c r="Q390" s="153"/>
      <c r="R390" s="171"/>
      <c r="S390" s="162" t="s">
        <v>1392</v>
      </c>
      <c r="T390" s="160" t="s">
        <v>2033</v>
      </c>
      <c r="U390" s="94"/>
      <c r="V390" s="94"/>
      <c r="W390" s="94"/>
      <c r="X390" s="94"/>
      <c r="Y390" s="94"/>
      <c r="Z390" s="94"/>
      <c r="AA390" s="94"/>
      <c r="AB390" s="94"/>
      <c r="AC390" s="94"/>
      <c r="AD390" s="94"/>
      <c r="AE390" s="94"/>
      <c r="AF390" s="94"/>
      <c r="AG390" s="94"/>
      <c r="AH390" s="94"/>
      <c r="AI390" s="94"/>
      <c r="AJ390" s="94"/>
      <c r="AK390" s="94"/>
      <c r="AL390" s="94"/>
    </row>
    <row r="391">
      <c r="A391" s="86" t="s">
        <v>661</v>
      </c>
      <c r="B391" s="95" t="str">
        <f t="shared" si="2"/>
        <v>Pregunta</v>
      </c>
      <c r="C391" s="106" t="str">
        <f t="shared" si="9"/>
        <v>16.</v>
      </c>
      <c r="D391" s="106" t="str">
        <f t="shared" si="10"/>
        <v>Transparencia y apertura</v>
      </c>
      <c r="E391"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391" s="141" t="str">
        <f t="shared" si="3"/>
        <v>16.1</v>
      </c>
      <c r="G391" s="92" t="str">
        <f t="shared" si="4"/>
        <v>IMPRESCINDIBLES</v>
      </c>
      <c r="H391" s="141"/>
      <c r="I391" s="141" t="str">
        <f t="shared" si="5"/>
        <v/>
      </c>
      <c r="J391" s="98" t="str">
        <f t="shared" si="6"/>
        <v/>
      </c>
      <c r="K391" s="98" t="str">
        <f t="shared" si="7"/>
        <v/>
      </c>
      <c r="L391" s="141" t="str">
        <f t="shared" ref="L391:N391" si="396">IF(I391="",L390,I391)</f>
        <v>16.1.1</v>
      </c>
      <c r="M391" s="98" t="str">
        <f t="shared" si="396"/>
        <v>Transparencia activa</v>
      </c>
      <c r="N391" s="98" t="str">
        <f t="shared" si="396"/>
        <v>Presencia actualizada de la información pública relacionada con el funcionamiento administrativo y financiero de la institución, tal como lo indica la Ley de Transparencia de la Función Pública y de Acceso a la Información de la Administración del Estado (Ley 20.285), más conocida como Ley de Transparencia. Esta información puede estar disponible en el propio sitio de la institución o en el Portal de Transparencia.</v>
      </c>
      <c r="O391" s="152"/>
      <c r="P391" s="153"/>
      <c r="Q391" s="153"/>
      <c r="R391" s="171"/>
      <c r="S391" s="162" t="s">
        <v>1393</v>
      </c>
      <c r="T391" s="160" t="s">
        <v>2033</v>
      </c>
      <c r="U391" s="94"/>
      <c r="V391" s="94"/>
      <c r="W391" s="94"/>
      <c r="X391" s="94"/>
      <c r="Y391" s="94"/>
      <c r="Z391" s="94"/>
      <c r="AA391" s="94"/>
      <c r="AB391" s="94"/>
      <c r="AC391" s="94"/>
      <c r="AD391" s="94"/>
      <c r="AE391" s="94"/>
      <c r="AF391" s="94"/>
      <c r="AG391" s="94"/>
      <c r="AH391" s="94"/>
      <c r="AI391" s="94"/>
      <c r="AJ391" s="94"/>
      <c r="AK391" s="94"/>
      <c r="AL391" s="94"/>
    </row>
    <row r="392">
      <c r="A392" s="86" t="s">
        <v>661</v>
      </c>
      <c r="B392" s="95" t="str">
        <f t="shared" si="2"/>
        <v>Pregunta</v>
      </c>
      <c r="C392" s="106" t="str">
        <f t="shared" si="9"/>
        <v>16.</v>
      </c>
      <c r="D392" s="106" t="str">
        <f t="shared" si="10"/>
        <v>Transparencia y apertura</v>
      </c>
      <c r="E392"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392" s="141" t="str">
        <f t="shared" si="3"/>
        <v>16.1</v>
      </c>
      <c r="G392" s="92" t="str">
        <f t="shared" si="4"/>
        <v>IMPRESCINDIBLES</v>
      </c>
      <c r="H392" s="141"/>
      <c r="I392" s="141" t="str">
        <f t="shared" si="5"/>
        <v/>
      </c>
      <c r="J392" s="98" t="str">
        <f t="shared" si="6"/>
        <v/>
      </c>
      <c r="K392" s="98" t="str">
        <f t="shared" si="7"/>
        <v/>
      </c>
      <c r="L392" s="141" t="str">
        <f t="shared" ref="L392:N392" si="397">IF(I392="",L391,I392)</f>
        <v>16.1.1</v>
      </c>
      <c r="M392" s="98" t="str">
        <f t="shared" si="397"/>
        <v>Transparencia activa</v>
      </c>
      <c r="N392" s="98" t="str">
        <f t="shared" si="397"/>
        <v>Presencia actualizada de la información pública relacionada con el funcionamiento administrativo y financiero de la institución, tal como lo indica la Ley de Transparencia de la Función Pública y de Acceso a la Información de la Administración del Estado (Ley 20.285), más conocida como Ley de Transparencia. Esta información puede estar disponible en el propio sitio de la institución o en el Portal de Transparencia.</v>
      </c>
      <c r="O392" s="152"/>
      <c r="P392" s="153"/>
      <c r="Q392" s="153"/>
      <c r="R392" s="171"/>
      <c r="S392" s="162" t="s">
        <v>1394</v>
      </c>
      <c r="T392" s="160" t="s">
        <v>2033</v>
      </c>
      <c r="U392" s="94"/>
      <c r="V392" s="94"/>
      <c r="W392" s="94"/>
      <c r="X392" s="94"/>
      <c r="Y392" s="94"/>
      <c r="Z392" s="94"/>
      <c r="AA392" s="94"/>
      <c r="AB392" s="94"/>
      <c r="AC392" s="94"/>
      <c r="AD392" s="94"/>
      <c r="AE392" s="94"/>
      <c r="AF392" s="94"/>
      <c r="AG392" s="94"/>
      <c r="AH392" s="94"/>
      <c r="AI392" s="94"/>
      <c r="AJ392" s="94"/>
      <c r="AK392" s="94"/>
      <c r="AL392" s="94"/>
    </row>
    <row r="393">
      <c r="A393" s="86" t="s">
        <v>661</v>
      </c>
      <c r="B393" s="95" t="str">
        <f t="shared" si="2"/>
        <v>Pregunta</v>
      </c>
      <c r="C393" s="106" t="str">
        <f t="shared" si="9"/>
        <v>16.</v>
      </c>
      <c r="D393" s="106" t="str">
        <f t="shared" si="10"/>
        <v>Transparencia y apertura</v>
      </c>
      <c r="E393"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393" s="141" t="str">
        <f t="shared" si="3"/>
        <v>16.1</v>
      </c>
      <c r="G393" s="92" t="str">
        <f t="shared" si="4"/>
        <v>IMPRESCINDIBLES</v>
      </c>
      <c r="H393" s="141"/>
      <c r="I393" s="141" t="str">
        <f t="shared" si="5"/>
        <v/>
      </c>
      <c r="J393" s="98" t="str">
        <f t="shared" si="6"/>
        <v/>
      </c>
      <c r="K393" s="98" t="str">
        <f t="shared" si="7"/>
        <v/>
      </c>
      <c r="L393" s="141" t="str">
        <f t="shared" ref="L393:N393" si="398">IF(I393="",L392,I393)</f>
        <v>16.1.1</v>
      </c>
      <c r="M393" s="98" t="str">
        <f t="shared" si="398"/>
        <v>Transparencia activa</v>
      </c>
      <c r="N393" s="98" t="str">
        <f t="shared" si="398"/>
        <v>Presencia actualizada de la información pública relacionada con el funcionamiento administrativo y financiero de la institución, tal como lo indica la Ley de Transparencia de la Función Pública y de Acceso a la Información de la Administración del Estado (Ley 20.285), más conocida como Ley de Transparencia. Esta información puede estar disponible en el propio sitio de la institución o en el Portal de Transparencia.</v>
      </c>
      <c r="O393" s="152"/>
      <c r="P393" s="153"/>
      <c r="Q393" s="153"/>
      <c r="R393" s="171"/>
      <c r="S393" s="162" t="s">
        <v>1395</v>
      </c>
      <c r="T393" s="160" t="s">
        <v>2033</v>
      </c>
      <c r="U393" s="94"/>
      <c r="V393" s="94"/>
      <c r="W393" s="94"/>
      <c r="X393" s="94"/>
      <c r="Y393" s="94"/>
      <c r="Z393" s="94"/>
      <c r="AA393" s="94"/>
      <c r="AB393" s="94"/>
      <c r="AC393" s="94"/>
      <c r="AD393" s="94"/>
      <c r="AE393" s="94"/>
      <c r="AF393" s="94"/>
      <c r="AG393" s="94"/>
      <c r="AH393" s="94"/>
      <c r="AI393" s="94"/>
      <c r="AJ393" s="94"/>
      <c r="AK393" s="94"/>
      <c r="AL393" s="94"/>
    </row>
    <row r="394">
      <c r="A394" s="86" t="s">
        <v>661</v>
      </c>
      <c r="B394" s="95" t="str">
        <f t="shared" si="2"/>
        <v>Pregunta</v>
      </c>
      <c r="C394" s="106" t="str">
        <f t="shared" si="9"/>
        <v>16.</v>
      </c>
      <c r="D394" s="106" t="str">
        <f t="shared" si="10"/>
        <v>Transparencia y apertura</v>
      </c>
      <c r="E394"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394" s="141" t="str">
        <f t="shared" si="3"/>
        <v>16.1</v>
      </c>
      <c r="G394" s="92" t="str">
        <f t="shared" si="4"/>
        <v>IMPRESCINDIBLES</v>
      </c>
      <c r="H394" s="141"/>
      <c r="I394" s="141" t="str">
        <f t="shared" si="5"/>
        <v/>
      </c>
      <c r="J394" s="98" t="str">
        <f t="shared" si="6"/>
        <v/>
      </c>
      <c r="K394" s="98" t="str">
        <f t="shared" si="7"/>
        <v/>
      </c>
      <c r="L394" s="141" t="str">
        <f t="shared" ref="L394:N394" si="399">IF(I394="",L393,I394)</f>
        <v>16.1.1</v>
      </c>
      <c r="M394" s="98" t="str">
        <f t="shared" si="399"/>
        <v>Transparencia activa</v>
      </c>
      <c r="N394" s="98" t="str">
        <f t="shared" si="399"/>
        <v>Presencia actualizada de la información pública relacionada con el funcionamiento administrativo y financiero de la institución, tal como lo indica la Ley de Transparencia de la Función Pública y de Acceso a la Información de la Administración del Estado (Ley 20.285), más conocida como Ley de Transparencia. Esta información puede estar disponible en el propio sitio de la institución o en el Portal de Transparencia.</v>
      </c>
      <c r="O394" s="152"/>
      <c r="P394" s="153"/>
      <c r="Q394" s="153"/>
      <c r="R394" s="171"/>
      <c r="S394" s="162" t="s">
        <v>1396</v>
      </c>
      <c r="T394" s="160" t="s">
        <v>2033</v>
      </c>
      <c r="U394" s="94"/>
      <c r="V394" s="94"/>
      <c r="W394" s="94"/>
      <c r="X394" s="94"/>
      <c r="Y394" s="94"/>
      <c r="Z394" s="94"/>
      <c r="AA394" s="94"/>
      <c r="AB394" s="94"/>
      <c r="AC394" s="94"/>
      <c r="AD394" s="94"/>
      <c r="AE394" s="94"/>
      <c r="AF394" s="94"/>
      <c r="AG394" s="94"/>
      <c r="AH394" s="94"/>
      <c r="AI394" s="94"/>
      <c r="AJ394" s="94"/>
      <c r="AK394" s="94"/>
      <c r="AL394" s="94"/>
    </row>
    <row r="395">
      <c r="A395" s="86" t="s">
        <v>661</v>
      </c>
      <c r="B395" s="95" t="str">
        <f t="shared" si="2"/>
        <v>Pregunta</v>
      </c>
      <c r="C395" s="106" t="str">
        <f t="shared" si="9"/>
        <v>16.</v>
      </c>
      <c r="D395" s="106" t="str">
        <f t="shared" si="10"/>
        <v>Transparencia y apertura</v>
      </c>
      <c r="E395"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395" s="141" t="str">
        <f t="shared" si="3"/>
        <v>16.1</v>
      </c>
      <c r="G395" s="92" t="str">
        <f t="shared" si="4"/>
        <v>IMPRESCINDIBLES</v>
      </c>
      <c r="H395" s="141"/>
      <c r="I395" s="141" t="str">
        <f t="shared" si="5"/>
        <v/>
      </c>
      <c r="J395" s="98" t="str">
        <f t="shared" si="6"/>
        <v/>
      </c>
      <c r="K395" s="98" t="str">
        <f t="shared" si="7"/>
        <v/>
      </c>
      <c r="L395" s="141" t="str">
        <f t="shared" ref="L395:N395" si="400">IF(I395="",L394,I395)</f>
        <v>16.1.1</v>
      </c>
      <c r="M395" s="98" t="str">
        <f t="shared" si="400"/>
        <v>Transparencia activa</v>
      </c>
      <c r="N395" s="98" t="str">
        <f t="shared" si="400"/>
        <v>Presencia actualizada de la información pública relacionada con el funcionamiento administrativo y financiero de la institución, tal como lo indica la Ley de Transparencia de la Función Pública y de Acceso a la Información de la Administración del Estado (Ley 20.285), más conocida como Ley de Transparencia. Esta información puede estar disponible en el propio sitio de la institución o en el Portal de Transparencia.</v>
      </c>
      <c r="O395" s="152"/>
      <c r="P395" s="153"/>
      <c r="Q395" s="153"/>
      <c r="R395" s="171"/>
      <c r="S395" s="162" t="s">
        <v>1397</v>
      </c>
      <c r="T395" s="160" t="s">
        <v>2033</v>
      </c>
      <c r="U395" s="94"/>
      <c r="V395" s="94"/>
      <c r="W395" s="94"/>
      <c r="X395" s="94"/>
      <c r="Y395" s="94"/>
      <c r="Z395" s="94"/>
      <c r="AA395" s="94"/>
      <c r="AB395" s="94"/>
      <c r="AC395" s="94"/>
      <c r="AD395" s="94"/>
      <c r="AE395" s="94"/>
      <c r="AF395" s="94"/>
      <c r="AG395" s="94"/>
      <c r="AH395" s="94"/>
      <c r="AI395" s="94"/>
      <c r="AJ395" s="94"/>
      <c r="AK395" s="94"/>
      <c r="AL395" s="94"/>
    </row>
    <row r="396">
      <c r="A396" s="86" t="s">
        <v>661</v>
      </c>
      <c r="B396" s="95" t="str">
        <f t="shared" si="2"/>
        <v>Pregunta</v>
      </c>
      <c r="C396" s="106" t="str">
        <f t="shared" si="9"/>
        <v>16.</v>
      </c>
      <c r="D396" s="106" t="str">
        <f t="shared" si="10"/>
        <v>Transparencia y apertura</v>
      </c>
      <c r="E396"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396" s="141" t="str">
        <f t="shared" si="3"/>
        <v>16.1</v>
      </c>
      <c r="G396" s="92" t="str">
        <f t="shared" si="4"/>
        <v>IMPRESCINDIBLES</v>
      </c>
      <c r="H396" s="141"/>
      <c r="I396" s="141" t="str">
        <f t="shared" si="5"/>
        <v/>
      </c>
      <c r="J396" s="98" t="str">
        <f t="shared" si="6"/>
        <v/>
      </c>
      <c r="K396" s="98" t="str">
        <f t="shared" si="7"/>
        <v/>
      </c>
      <c r="L396" s="141" t="str">
        <f t="shared" ref="L396:N396" si="401">IF(I396="",L395,I396)</f>
        <v>16.1.1</v>
      </c>
      <c r="M396" s="98" t="str">
        <f t="shared" si="401"/>
        <v>Transparencia activa</v>
      </c>
      <c r="N396" s="98" t="str">
        <f t="shared" si="401"/>
        <v>Presencia actualizada de la información pública relacionada con el funcionamiento administrativo y financiero de la institución, tal como lo indica la Ley de Transparencia de la Función Pública y de Acceso a la Información de la Administración del Estado (Ley 20.285), más conocida como Ley de Transparencia. Esta información puede estar disponible en el propio sitio de la institución o en el Portal de Transparencia.</v>
      </c>
      <c r="O396" s="152"/>
      <c r="P396" s="153"/>
      <c r="Q396" s="153"/>
      <c r="R396" s="171"/>
      <c r="S396" s="162" t="s">
        <v>1398</v>
      </c>
      <c r="T396" s="160" t="s">
        <v>2033</v>
      </c>
      <c r="U396" s="94"/>
      <c r="V396" s="94"/>
      <c r="W396" s="94"/>
      <c r="X396" s="94"/>
      <c r="Y396" s="94"/>
      <c r="Z396" s="94"/>
      <c r="AA396" s="94"/>
      <c r="AB396" s="94"/>
      <c r="AC396" s="94"/>
      <c r="AD396" s="94"/>
      <c r="AE396" s="94"/>
      <c r="AF396" s="94"/>
      <c r="AG396" s="94"/>
      <c r="AH396" s="94"/>
      <c r="AI396" s="94"/>
      <c r="AJ396" s="94"/>
      <c r="AK396" s="94"/>
      <c r="AL396" s="94"/>
    </row>
    <row r="397">
      <c r="A397" s="86" t="s">
        <v>661</v>
      </c>
      <c r="B397" s="95" t="str">
        <f t="shared" si="2"/>
        <v>Pregunta</v>
      </c>
      <c r="C397" s="106" t="str">
        <f t="shared" si="9"/>
        <v>16.</v>
      </c>
      <c r="D397" s="106" t="str">
        <f t="shared" si="10"/>
        <v>Transparencia y apertura</v>
      </c>
      <c r="E397"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397" s="141" t="str">
        <f t="shared" si="3"/>
        <v>16.1</v>
      </c>
      <c r="G397" s="92" t="str">
        <f t="shared" si="4"/>
        <v>IMPRESCINDIBLES</v>
      </c>
      <c r="H397" s="141"/>
      <c r="I397" s="141" t="str">
        <f t="shared" si="5"/>
        <v/>
      </c>
      <c r="J397" s="98" t="str">
        <f t="shared" si="6"/>
        <v/>
      </c>
      <c r="K397" s="98" t="str">
        <f t="shared" si="7"/>
        <v/>
      </c>
      <c r="L397" s="141" t="str">
        <f t="shared" ref="L397:N397" si="402">IF(I397="",L396,I397)</f>
        <v>16.1.1</v>
      </c>
      <c r="M397" s="98" t="str">
        <f t="shared" si="402"/>
        <v>Transparencia activa</v>
      </c>
      <c r="N397" s="98" t="str">
        <f t="shared" si="402"/>
        <v>Presencia actualizada de la información pública relacionada con el funcionamiento administrativo y financiero de la institución, tal como lo indica la Ley de Transparencia de la Función Pública y de Acceso a la Información de la Administración del Estado (Ley 20.285), más conocida como Ley de Transparencia. Esta información puede estar disponible en el propio sitio de la institución o en el Portal de Transparencia.</v>
      </c>
      <c r="O397" s="152"/>
      <c r="P397" s="153"/>
      <c r="Q397" s="153"/>
      <c r="R397" s="171"/>
      <c r="S397" s="162" t="s">
        <v>1399</v>
      </c>
      <c r="T397" s="160" t="s">
        <v>2033</v>
      </c>
      <c r="U397" s="94"/>
      <c r="V397" s="94"/>
      <c r="W397" s="94"/>
      <c r="X397" s="94"/>
      <c r="Y397" s="94"/>
      <c r="Z397" s="94"/>
      <c r="AA397" s="94"/>
      <c r="AB397" s="94"/>
      <c r="AC397" s="94"/>
      <c r="AD397" s="94"/>
      <c r="AE397" s="94"/>
      <c r="AF397" s="94"/>
      <c r="AG397" s="94"/>
      <c r="AH397" s="94"/>
      <c r="AI397" s="94"/>
      <c r="AJ397" s="94"/>
      <c r="AK397" s="94"/>
      <c r="AL397" s="94"/>
    </row>
    <row r="398">
      <c r="A398" s="86" t="s">
        <v>661</v>
      </c>
      <c r="B398" s="95" t="str">
        <f t="shared" si="2"/>
        <v>Pregunta</v>
      </c>
      <c r="C398" s="106" t="str">
        <f t="shared" si="9"/>
        <v>16.</v>
      </c>
      <c r="D398" s="106" t="str">
        <f t="shared" si="10"/>
        <v>Transparencia y apertura</v>
      </c>
      <c r="E398"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398" s="141" t="str">
        <f t="shared" si="3"/>
        <v>16.1</v>
      </c>
      <c r="G398" s="92" t="str">
        <f t="shared" si="4"/>
        <v>IMPRESCINDIBLES</v>
      </c>
      <c r="H398" s="141"/>
      <c r="I398" s="141" t="str">
        <f t="shared" si="5"/>
        <v/>
      </c>
      <c r="J398" s="98" t="str">
        <f t="shared" si="6"/>
        <v/>
      </c>
      <c r="K398" s="98" t="str">
        <f t="shared" si="7"/>
        <v/>
      </c>
      <c r="L398" s="141" t="str">
        <f t="shared" ref="L398:N398" si="403">IF(I398="",L397,I398)</f>
        <v>16.1.1</v>
      </c>
      <c r="M398" s="98" t="str">
        <f t="shared" si="403"/>
        <v>Transparencia activa</v>
      </c>
      <c r="N398" s="98" t="str">
        <f t="shared" si="403"/>
        <v>Presencia actualizada de la información pública relacionada con el funcionamiento administrativo y financiero de la institución, tal como lo indica la Ley de Transparencia de la Función Pública y de Acceso a la Información de la Administración del Estado (Ley 20.285), más conocida como Ley de Transparencia. Esta información puede estar disponible en el propio sitio de la institución o en el Portal de Transparencia.</v>
      </c>
      <c r="O398" s="152"/>
      <c r="P398" s="153"/>
      <c r="Q398" s="153"/>
      <c r="R398" s="171"/>
      <c r="S398" s="162" t="s">
        <v>1400</v>
      </c>
      <c r="T398" s="160" t="s">
        <v>2033</v>
      </c>
      <c r="U398" s="94"/>
      <c r="V398" s="94"/>
      <c r="W398" s="94"/>
      <c r="X398" s="94"/>
      <c r="Y398" s="94"/>
      <c r="Z398" s="94"/>
      <c r="AA398" s="94"/>
      <c r="AB398" s="94"/>
      <c r="AC398" s="94"/>
      <c r="AD398" s="94"/>
      <c r="AE398" s="94"/>
      <c r="AF398" s="94"/>
      <c r="AG398" s="94"/>
      <c r="AH398" s="94"/>
      <c r="AI398" s="94"/>
      <c r="AJ398" s="94"/>
      <c r="AK398" s="94"/>
      <c r="AL398" s="94"/>
    </row>
    <row r="399">
      <c r="A399" s="86" t="s">
        <v>661</v>
      </c>
      <c r="B399" s="95" t="str">
        <f t="shared" si="2"/>
        <v>Pregunta</v>
      </c>
      <c r="C399" s="106" t="str">
        <f t="shared" si="9"/>
        <v>16.</v>
      </c>
      <c r="D399" s="106" t="str">
        <f t="shared" si="10"/>
        <v>Transparencia y apertura</v>
      </c>
      <c r="E399"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399" s="141" t="str">
        <f t="shared" si="3"/>
        <v>16.1</v>
      </c>
      <c r="G399" s="92" t="str">
        <f t="shared" si="4"/>
        <v>IMPRESCINDIBLES</v>
      </c>
      <c r="H399" s="141"/>
      <c r="I399" s="141" t="str">
        <f t="shared" si="5"/>
        <v/>
      </c>
      <c r="J399" s="98" t="str">
        <f t="shared" si="6"/>
        <v/>
      </c>
      <c r="K399" s="98" t="str">
        <f t="shared" si="7"/>
        <v/>
      </c>
      <c r="L399" s="141" t="str">
        <f t="shared" ref="L399:N399" si="404">IF(I399="",L398,I399)</f>
        <v>16.1.1</v>
      </c>
      <c r="M399" s="98" t="str">
        <f t="shared" si="404"/>
        <v>Transparencia activa</v>
      </c>
      <c r="N399" s="98" t="str">
        <f t="shared" si="404"/>
        <v>Presencia actualizada de la información pública relacionada con el funcionamiento administrativo y financiero de la institución, tal como lo indica la Ley de Transparencia de la Función Pública y de Acceso a la Información de la Administración del Estado (Ley 20.285), más conocida como Ley de Transparencia. Esta información puede estar disponible en el propio sitio de la institución o en el Portal de Transparencia.</v>
      </c>
      <c r="O399" s="152"/>
      <c r="P399" s="153"/>
      <c r="Q399" s="153"/>
      <c r="R399" s="171"/>
      <c r="S399" s="162" t="s">
        <v>1401</v>
      </c>
      <c r="T399" s="160" t="s">
        <v>2033</v>
      </c>
      <c r="U399" s="94"/>
      <c r="V399" s="94"/>
      <c r="W399" s="94"/>
      <c r="X399" s="94"/>
      <c r="Y399" s="94"/>
      <c r="Z399" s="94"/>
      <c r="AA399" s="94"/>
      <c r="AB399" s="94"/>
      <c r="AC399" s="94"/>
      <c r="AD399" s="94"/>
      <c r="AE399" s="94"/>
      <c r="AF399" s="94"/>
      <c r="AG399" s="94"/>
      <c r="AH399" s="94"/>
      <c r="AI399" s="94"/>
      <c r="AJ399" s="94"/>
      <c r="AK399" s="94"/>
      <c r="AL399" s="94"/>
    </row>
    <row r="400">
      <c r="A400" s="86" t="s">
        <v>661</v>
      </c>
      <c r="B400" s="95" t="str">
        <f t="shared" si="2"/>
        <v>Pregunta</v>
      </c>
      <c r="C400" s="106" t="str">
        <f t="shared" si="9"/>
        <v>16.</v>
      </c>
      <c r="D400" s="106" t="str">
        <f t="shared" si="10"/>
        <v>Transparencia y apertura</v>
      </c>
      <c r="E400"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400" s="141" t="str">
        <f t="shared" si="3"/>
        <v>16.1</v>
      </c>
      <c r="G400" s="92" t="str">
        <f t="shared" si="4"/>
        <v>IMPRESCINDIBLES</v>
      </c>
      <c r="H400" s="141"/>
      <c r="I400" s="141" t="str">
        <f t="shared" si="5"/>
        <v/>
      </c>
      <c r="J400" s="98" t="str">
        <f t="shared" si="6"/>
        <v/>
      </c>
      <c r="K400" s="98" t="str">
        <f t="shared" si="7"/>
        <v/>
      </c>
      <c r="L400" s="141" t="str">
        <f t="shared" ref="L400:N400" si="405">IF(I400="",L399,I400)</f>
        <v>16.1.1</v>
      </c>
      <c r="M400" s="98" t="str">
        <f t="shared" si="405"/>
        <v>Transparencia activa</v>
      </c>
      <c r="N400" s="98" t="str">
        <f t="shared" si="405"/>
        <v>Presencia actualizada de la información pública relacionada con el funcionamiento administrativo y financiero de la institución, tal como lo indica la Ley de Transparencia de la Función Pública y de Acceso a la Información de la Administración del Estado (Ley 20.285), más conocida como Ley de Transparencia. Esta información puede estar disponible en el propio sitio de la institución o en el Portal de Transparencia.</v>
      </c>
      <c r="O400" s="142"/>
      <c r="P400" s="143"/>
      <c r="Q400" s="143"/>
      <c r="R400" s="168"/>
      <c r="S400" s="169" t="s">
        <v>1402</v>
      </c>
      <c r="T400" s="164" t="s">
        <v>2033</v>
      </c>
      <c r="U400" s="94"/>
      <c r="V400" s="94"/>
      <c r="W400" s="94"/>
      <c r="X400" s="94"/>
      <c r="Y400" s="94"/>
      <c r="Z400" s="94"/>
      <c r="AA400" s="94"/>
      <c r="AB400" s="94"/>
      <c r="AC400" s="94"/>
      <c r="AD400" s="94"/>
      <c r="AE400" s="94"/>
      <c r="AF400" s="94"/>
      <c r="AG400" s="94"/>
      <c r="AH400" s="94"/>
      <c r="AI400" s="94"/>
      <c r="AJ400" s="94"/>
      <c r="AK400" s="94"/>
      <c r="AL400" s="94"/>
    </row>
    <row r="401">
      <c r="A401" s="105" t="s">
        <v>661</v>
      </c>
      <c r="B401" s="92" t="str">
        <f t="shared" si="2"/>
        <v>Pregunta</v>
      </c>
      <c r="C401" s="106" t="str">
        <f t="shared" si="9"/>
        <v>16.</v>
      </c>
      <c r="D401" s="106" t="str">
        <f t="shared" si="10"/>
        <v>Transparencia y apertura</v>
      </c>
      <c r="E401"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401" s="141" t="str">
        <f t="shared" si="3"/>
        <v>16.1</v>
      </c>
      <c r="G401" s="92" t="str">
        <f t="shared" si="4"/>
        <v>IMPRESCINDIBLES</v>
      </c>
      <c r="H401" s="141"/>
      <c r="I401" s="141" t="str">
        <f t="shared" si="5"/>
        <v>16.1.2</v>
      </c>
      <c r="J401" s="98" t="str">
        <f t="shared" si="6"/>
        <v>Declaración de patrimonio e intereses</v>
      </c>
      <c r="K401" s="98" t="str">
        <f t="shared" si="7"/>
        <v>Información de las autoridades y funcionarios dando cuenta de dónde permanecen sus intereses y a cuánto asciende su patrimonio al asumir y mientras permanecen en sus cargos. Siguiendo el principio de probidad administrativa, la declaración busca transparentar las relaciones económicas y patrimoniales que pueden afectar la imparcialidad al momento de la toma de decisiones, y se encuentra regulada por la Ley sobre Probidad en la Función Pública y Prevención de los Conflictos de Intereses (Ley 20.880).
</v>
      </c>
      <c r="L401" s="141" t="str">
        <f t="shared" ref="L401:N401" si="406">IF(I401="",L400,I401)</f>
        <v>16.1.2</v>
      </c>
      <c r="M401" s="98" t="str">
        <f t="shared" si="406"/>
        <v>Declaración de patrimonio e intereses</v>
      </c>
      <c r="N401" s="98" t="str">
        <f t="shared" si="406"/>
        <v>Información de las autoridades y funcionarios dando cuenta de dónde permanecen sus intereses y a cuánto asciende su patrimonio al asumir y mientras permanecen en sus cargos. Siguiendo el principio de probidad administrativa, la declaración busca transparentar las relaciones económicas y patrimoniales que pueden afectar la imparcialidad al momento de la toma de decisiones, y se encuentra regulada por la Ley sobre Probidad en la Función Pública y Prevención de los Conflictos de Intereses (Ley 20.880).
</v>
      </c>
      <c r="O401" s="147" t="s">
        <v>1403</v>
      </c>
      <c r="P401" s="166" t="s">
        <v>1404</v>
      </c>
      <c r="Q401" s="166" t="s">
        <v>1405</v>
      </c>
      <c r="R401" s="211"/>
      <c r="S401" s="213" t="s">
        <v>2135</v>
      </c>
      <c r="T401" s="164" t="s">
        <v>2033</v>
      </c>
      <c r="U401" s="94"/>
      <c r="V401" s="94"/>
      <c r="W401" s="94"/>
      <c r="X401" s="94"/>
      <c r="Y401" s="94"/>
      <c r="Z401" s="94"/>
      <c r="AA401" s="94"/>
      <c r="AB401" s="94"/>
      <c r="AC401" s="94"/>
      <c r="AD401" s="94"/>
      <c r="AE401" s="94"/>
      <c r="AF401" s="94"/>
      <c r="AG401" s="94"/>
      <c r="AH401" s="94"/>
      <c r="AI401" s="94"/>
      <c r="AJ401" s="94"/>
      <c r="AK401" s="94"/>
      <c r="AL401" s="94"/>
    </row>
    <row r="402">
      <c r="A402" s="105" t="s">
        <v>661</v>
      </c>
      <c r="B402" s="92" t="str">
        <f t="shared" si="2"/>
        <v>Pregunta</v>
      </c>
      <c r="C402" s="106" t="str">
        <f t="shared" si="9"/>
        <v>16.</v>
      </c>
      <c r="D402" s="106" t="str">
        <f t="shared" si="10"/>
        <v>Transparencia y apertura</v>
      </c>
      <c r="E402"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402" s="141" t="str">
        <f t="shared" si="3"/>
        <v>16.1</v>
      </c>
      <c r="G402" s="92" t="str">
        <f t="shared" si="4"/>
        <v>IMPRESCINDIBLES</v>
      </c>
      <c r="H402" s="141"/>
      <c r="I402" s="141" t="str">
        <f t="shared" si="5"/>
        <v>16.1.3</v>
      </c>
      <c r="J402" s="98" t="str">
        <f t="shared" si="6"/>
        <v>Transparencia pasiva</v>
      </c>
      <c r="K402" s="98" t="str">
        <f t="shared" si="7"/>
        <v>Disposición visible del canal de consulta o solicitud de información pública que cualquier persona puede realizar a la institución, tal como lo indica la Ley de Transparencia de la Función Pública y de Acceso a la Información de la Administración del Estado (Ley 20.285), más conocida como Ley de Transparencia.</v>
      </c>
      <c r="L402" s="141" t="str">
        <f t="shared" ref="L402:N402" si="407">IF(I402="",L401,I402)</f>
        <v>16.1.3</v>
      </c>
      <c r="M402" s="98" t="str">
        <f t="shared" si="407"/>
        <v>Transparencia pasiva</v>
      </c>
      <c r="N402" s="98" t="str">
        <f t="shared" si="407"/>
        <v>Disposición visible del canal de consulta o solicitud de información pública que cualquier persona puede realizar a la institución, tal como lo indica la Ley de Transparencia de la Función Pública y de Acceso a la Información de la Administración del Estado (Ley 20.285), más conocida como Ley de Transparencia.</v>
      </c>
      <c r="O402" s="147" t="s">
        <v>1407</v>
      </c>
      <c r="P402" s="148" t="s">
        <v>1408</v>
      </c>
      <c r="Q402" s="148" t="s">
        <v>1409</v>
      </c>
      <c r="R402" s="158"/>
      <c r="S402" s="170" t="s">
        <v>1410</v>
      </c>
      <c r="T402" s="160" t="s">
        <v>2033</v>
      </c>
      <c r="U402" s="94"/>
      <c r="V402" s="94"/>
      <c r="W402" s="94"/>
      <c r="X402" s="94"/>
      <c r="Y402" s="94"/>
      <c r="Z402" s="94"/>
      <c r="AA402" s="94"/>
      <c r="AB402" s="94"/>
      <c r="AC402" s="94"/>
      <c r="AD402" s="94"/>
      <c r="AE402" s="94"/>
      <c r="AF402" s="94"/>
      <c r="AG402" s="94"/>
      <c r="AH402" s="94"/>
      <c r="AI402" s="94"/>
      <c r="AJ402" s="94"/>
      <c r="AK402" s="94"/>
      <c r="AL402" s="94"/>
    </row>
    <row r="403">
      <c r="A403" s="86" t="s">
        <v>661</v>
      </c>
      <c r="B403" s="95" t="str">
        <f t="shared" si="2"/>
        <v>Pregunta</v>
      </c>
      <c r="C403" s="106" t="str">
        <f t="shared" si="9"/>
        <v>16.</v>
      </c>
      <c r="D403" s="106" t="str">
        <f t="shared" si="10"/>
        <v>Transparencia y apertura</v>
      </c>
      <c r="E403"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403" s="141" t="str">
        <f t="shared" si="3"/>
        <v>16.1</v>
      </c>
      <c r="G403" s="92" t="str">
        <f t="shared" si="4"/>
        <v>IMPRESCINDIBLES</v>
      </c>
      <c r="H403" s="141"/>
      <c r="I403" s="141" t="str">
        <f t="shared" si="5"/>
        <v/>
      </c>
      <c r="J403" s="98" t="str">
        <f t="shared" si="6"/>
        <v/>
      </c>
      <c r="K403" s="98" t="str">
        <f t="shared" si="7"/>
        <v/>
      </c>
      <c r="L403" s="141" t="str">
        <f t="shared" ref="L403:N403" si="408">IF(I403="",L402,I403)</f>
        <v>16.1.3</v>
      </c>
      <c r="M403" s="98" t="str">
        <f t="shared" si="408"/>
        <v>Transparencia pasiva</v>
      </c>
      <c r="N403" s="98" t="str">
        <f t="shared" si="408"/>
        <v>Disposición visible del canal de consulta o solicitud de información pública que cualquier persona puede realizar a la institución, tal como lo indica la Ley de Transparencia de la Función Pública y de Acceso a la Información de la Administración del Estado (Ley 20.285), más conocida como Ley de Transparencia.</v>
      </c>
      <c r="O403" s="172"/>
      <c r="P403" s="150"/>
      <c r="Q403" s="150"/>
      <c r="R403" s="200"/>
      <c r="S403" s="169" t="s">
        <v>1411</v>
      </c>
      <c r="T403" s="164" t="s">
        <v>2033</v>
      </c>
      <c r="U403" s="94"/>
      <c r="V403" s="94"/>
      <c r="W403" s="94"/>
      <c r="X403" s="94"/>
      <c r="Y403" s="94"/>
      <c r="Z403" s="94"/>
      <c r="AA403" s="94"/>
      <c r="AB403" s="94"/>
      <c r="AC403" s="94"/>
      <c r="AD403" s="94"/>
      <c r="AE403" s="94"/>
      <c r="AF403" s="94"/>
      <c r="AG403" s="94"/>
      <c r="AH403" s="94"/>
      <c r="AI403" s="94"/>
      <c r="AJ403" s="94"/>
      <c r="AK403" s="94"/>
      <c r="AL403" s="94"/>
    </row>
    <row r="404">
      <c r="A404" s="105" t="s">
        <v>661</v>
      </c>
      <c r="B404" s="92" t="str">
        <f t="shared" si="2"/>
        <v>Pregunta</v>
      </c>
      <c r="C404" s="106" t="str">
        <f t="shared" si="9"/>
        <v>16.</v>
      </c>
      <c r="D404" s="106" t="str">
        <f t="shared" si="10"/>
        <v>Transparencia y apertura</v>
      </c>
      <c r="E404"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404" s="141" t="str">
        <f t="shared" si="3"/>
        <v>16.1</v>
      </c>
      <c r="G404" s="92" t="str">
        <f t="shared" si="4"/>
        <v>IMPRESCINDIBLES</v>
      </c>
      <c r="H404" s="141"/>
      <c r="I404" s="141" t="str">
        <f t="shared" si="5"/>
        <v>16.1.4</v>
      </c>
      <c r="J404" s="98" t="str">
        <f t="shared" si="6"/>
        <v>Banner de Transparencia</v>
      </c>
      <c r="K404" s="98" t="str">
        <f t="shared" si="7"/>
        <v>Ícono, botón o sección ubicada en portada de la institución a través de la cual se accede de manera diferenciada a la información pública (Transparencia Activa) y al canal de consulta o solicitud de información pública (Solicitud de Acceso a Información).
</v>
      </c>
      <c r="L404" s="141" t="str">
        <f t="shared" ref="L404:N404" si="409">IF(I404="",L403,I404)</f>
        <v>16.1.4</v>
      </c>
      <c r="M404" s="98" t="str">
        <f t="shared" si="409"/>
        <v>Banner de Transparencia</v>
      </c>
      <c r="N404" s="98" t="str">
        <f t="shared" si="409"/>
        <v>Ícono, botón o sección ubicada en portada de la institución a través de la cual se accede de manera diferenciada a la información pública (Transparencia Activa) y al canal de consulta o solicitud de información pública (Solicitud de Acceso a Información).
</v>
      </c>
      <c r="O404" s="152" t="s">
        <v>1412</v>
      </c>
      <c r="P404" s="153" t="s">
        <v>1413</v>
      </c>
      <c r="Q404" s="153" t="s">
        <v>1414</v>
      </c>
      <c r="R404" s="158"/>
      <c r="S404" s="170" t="s">
        <v>2136</v>
      </c>
      <c r="T404" s="160" t="s">
        <v>2033</v>
      </c>
      <c r="U404" s="94"/>
      <c r="V404" s="94"/>
      <c r="W404" s="94"/>
      <c r="X404" s="94"/>
      <c r="Y404" s="94"/>
      <c r="Z404" s="94"/>
      <c r="AA404" s="94"/>
      <c r="AB404" s="94"/>
      <c r="AC404" s="94"/>
      <c r="AD404" s="94"/>
      <c r="AE404" s="94"/>
      <c r="AF404" s="94"/>
      <c r="AG404" s="94"/>
      <c r="AH404" s="94"/>
      <c r="AI404" s="94"/>
      <c r="AJ404" s="94"/>
      <c r="AK404" s="94"/>
      <c r="AL404" s="94"/>
    </row>
    <row r="405">
      <c r="A405" s="86" t="s">
        <v>661</v>
      </c>
      <c r="B405" s="95" t="str">
        <f t="shared" si="2"/>
        <v>Pregunta</v>
      </c>
      <c r="C405" s="106" t="str">
        <f t="shared" si="9"/>
        <v>16.</v>
      </c>
      <c r="D405" s="106" t="str">
        <f t="shared" si="10"/>
        <v>Transparencia y apertura</v>
      </c>
      <c r="E405"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405" s="141" t="str">
        <f t="shared" si="3"/>
        <v>16.1</v>
      </c>
      <c r="G405" s="92" t="str">
        <f t="shared" si="4"/>
        <v>IMPRESCINDIBLES</v>
      </c>
      <c r="H405" s="141"/>
      <c r="I405" s="141" t="str">
        <f t="shared" si="5"/>
        <v/>
      </c>
      <c r="J405" s="98" t="str">
        <f t="shared" si="6"/>
        <v/>
      </c>
      <c r="K405" s="98" t="str">
        <f t="shared" si="7"/>
        <v/>
      </c>
      <c r="L405" s="141" t="str">
        <f t="shared" ref="L405:N405" si="410">IF(I405="",L404,I405)</f>
        <v>16.1.4</v>
      </c>
      <c r="M405" s="98" t="str">
        <f t="shared" si="410"/>
        <v>Banner de Transparencia</v>
      </c>
      <c r="N405" s="98" t="str">
        <f t="shared" si="410"/>
        <v>Ícono, botón o sección ubicada en portada de la institución a través de la cual se accede de manera diferenciada a la información pública (Transparencia Activa) y al canal de consulta o solicitud de información pública (Solicitud de Acceso a Información).
</v>
      </c>
      <c r="O405" s="152"/>
      <c r="P405" s="153"/>
      <c r="Q405" s="153"/>
      <c r="R405" s="161"/>
      <c r="S405" s="162" t="s">
        <v>1416</v>
      </c>
      <c r="T405" s="160" t="s">
        <v>2033</v>
      </c>
      <c r="U405" s="94"/>
      <c r="V405" s="94"/>
      <c r="W405" s="94"/>
      <c r="X405" s="94"/>
      <c r="Y405" s="94"/>
      <c r="Z405" s="94"/>
      <c r="AA405" s="94"/>
      <c r="AB405" s="94"/>
      <c r="AC405" s="94"/>
      <c r="AD405" s="94"/>
      <c r="AE405" s="94"/>
      <c r="AF405" s="94"/>
      <c r="AG405" s="94"/>
      <c r="AH405" s="94"/>
      <c r="AI405" s="94"/>
      <c r="AJ405" s="94"/>
      <c r="AK405" s="94"/>
      <c r="AL405" s="94"/>
    </row>
    <row r="406">
      <c r="A406" s="86" t="s">
        <v>661</v>
      </c>
      <c r="B406" s="95" t="str">
        <f t="shared" si="2"/>
        <v>Pregunta</v>
      </c>
      <c r="C406" s="106" t="str">
        <f t="shared" si="9"/>
        <v>16.</v>
      </c>
      <c r="D406" s="106" t="str">
        <f t="shared" si="10"/>
        <v>Transparencia y apertura</v>
      </c>
      <c r="E406"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406" s="141" t="str">
        <f t="shared" si="3"/>
        <v>16.1</v>
      </c>
      <c r="G406" s="92" t="str">
        <f t="shared" si="4"/>
        <v>IMPRESCINDIBLES</v>
      </c>
      <c r="H406" s="141"/>
      <c r="I406" s="141" t="str">
        <f t="shared" si="5"/>
        <v/>
      </c>
      <c r="J406" s="98" t="str">
        <f t="shared" si="6"/>
        <v/>
      </c>
      <c r="K406" s="98" t="str">
        <f t="shared" si="7"/>
        <v/>
      </c>
      <c r="L406" s="141" t="str">
        <f t="shared" ref="L406:N406" si="411">IF(I406="",L405,I406)</f>
        <v>16.1.4</v>
      </c>
      <c r="M406" s="98" t="str">
        <f t="shared" si="411"/>
        <v>Banner de Transparencia</v>
      </c>
      <c r="N406" s="98" t="str">
        <f t="shared" si="411"/>
        <v>Ícono, botón o sección ubicada en portada de la institución a través de la cual se accede de manera diferenciada a la información pública (Transparencia Activa) y al canal de consulta o solicitud de información pública (Solicitud de Acceso a Información).
</v>
      </c>
      <c r="O406" s="172"/>
      <c r="P406" s="150"/>
      <c r="Q406" s="150"/>
      <c r="R406" s="171"/>
      <c r="S406" s="256" t="s">
        <v>2137</v>
      </c>
      <c r="T406" s="164" t="s">
        <v>2033</v>
      </c>
      <c r="U406" s="94"/>
      <c r="V406" s="94"/>
      <c r="W406" s="94"/>
      <c r="X406" s="94"/>
      <c r="Y406" s="94"/>
      <c r="Z406" s="94"/>
      <c r="AA406" s="94"/>
      <c r="AB406" s="94"/>
      <c r="AC406" s="94"/>
      <c r="AD406" s="94"/>
      <c r="AE406" s="94"/>
      <c r="AF406" s="94"/>
      <c r="AG406" s="94"/>
      <c r="AH406" s="94"/>
      <c r="AI406" s="94"/>
      <c r="AJ406" s="94"/>
      <c r="AK406" s="94"/>
      <c r="AL406" s="94"/>
    </row>
    <row r="407">
      <c r="A407" s="105" t="s">
        <v>661</v>
      </c>
      <c r="B407" s="92" t="str">
        <f t="shared" si="2"/>
        <v>Pregunta</v>
      </c>
      <c r="C407" s="106" t="str">
        <f t="shared" si="9"/>
        <v>16.</v>
      </c>
      <c r="D407" s="106" t="str">
        <f t="shared" si="10"/>
        <v>Transparencia y apertura</v>
      </c>
      <c r="E407"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407" s="141" t="str">
        <f t="shared" si="3"/>
        <v>16.1</v>
      </c>
      <c r="G407" s="92" t="str">
        <f t="shared" si="4"/>
        <v>IMPRESCINDIBLES</v>
      </c>
      <c r="H407" s="141"/>
      <c r="I407" s="141" t="str">
        <f t="shared" si="5"/>
        <v>16.1.5</v>
      </c>
      <c r="J407" s="98" t="str">
        <f t="shared" si="6"/>
        <v>Acceso abierto</v>
      </c>
      <c r="K407" s="98" t="str">
        <f t="shared" si="7"/>
        <v>Disponibilidad inmediata –sin requerimientos de registro, suscripción o pago– para acceder o descargar los datos, tablas y documentos con información relevante que deba generar la institución.
</v>
      </c>
      <c r="L407" s="141" t="str">
        <f t="shared" ref="L407:N407" si="412">IF(I407="",L406,I407)</f>
        <v>16.1.5</v>
      </c>
      <c r="M407" s="98" t="str">
        <f t="shared" si="412"/>
        <v>Acceso abierto</v>
      </c>
      <c r="N407" s="98" t="str">
        <f t="shared" si="412"/>
        <v>Disponibilidad inmediata –sin requerimientos de registro, suscripción o pago– para acceder o descargar los datos, tablas y documentos con información relevante que deba generar la institución.
</v>
      </c>
      <c r="O407" s="142" t="s">
        <v>1418</v>
      </c>
      <c r="P407" s="143" t="s">
        <v>1419</v>
      </c>
      <c r="Q407" s="143" t="s">
        <v>1420</v>
      </c>
      <c r="R407" s="211"/>
      <c r="S407" s="166" t="s">
        <v>1421</v>
      </c>
      <c r="T407" s="164" t="s">
        <v>2033</v>
      </c>
      <c r="U407" s="94"/>
      <c r="V407" s="94"/>
      <c r="W407" s="94"/>
      <c r="X407" s="94"/>
      <c r="Y407" s="94"/>
      <c r="Z407" s="94"/>
      <c r="AA407" s="94"/>
      <c r="AB407" s="94"/>
      <c r="AC407" s="94"/>
      <c r="AD407" s="94"/>
      <c r="AE407" s="94"/>
      <c r="AF407" s="94"/>
      <c r="AG407" s="94"/>
      <c r="AH407" s="94"/>
      <c r="AI407" s="94"/>
      <c r="AJ407" s="94"/>
      <c r="AK407" s="94"/>
      <c r="AL407" s="94"/>
    </row>
    <row r="408" hidden="1">
      <c r="A408" s="86" t="s">
        <v>661</v>
      </c>
      <c r="B408" s="95" t="str">
        <f t="shared" si="2"/>
        <v>Otro</v>
      </c>
      <c r="C408" s="106" t="str">
        <f t="shared" si="9"/>
        <v>16.</v>
      </c>
      <c r="D408" s="106" t="str">
        <f t="shared" si="10"/>
        <v>Transparencia y apertura</v>
      </c>
      <c r="E408"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408" s="141" t="str">
        <f t="shared" si="3"/>
        <v>16.2</v>
      </c>
      <c r="G408" s="92" t="str">
        <f t="shared" si="4"/>
        <v>ESPERABLES</v>
      </c>
      <c r="H408" s="141"/>
      <c r="I408" s="141" t="str">
        <f t="shared" si="5"/>
        <v/>
      </c>
      <c r="J408" s="98" t="str">
        <f t="shared" si="6"/>
        <v/>
      </c>
      <c r="K408" s="98" t="str">
        <f t="shared" si="7"/>
        <v/>
      </c>
      <c r="L408" s="141" t="str">
        <f t="shared" ref="L408:N408" si="413">IF(I408="",L407,I408)</f>
        <v>16.1.5</v>
      </c>
      <c r="M408" s="98" t="str">
        <f t="shared" si="413"/>
        <v>Acceso abierto</v>
      </c>
      <c r="N408" s="98" t="str">
        <f t="shared" si="413"/>
        <v>Disponibilidad inmediata –sin requerimientos de registro, suscripción o pago– para acceder o descargar los datos, tablas y documentos con información relevante que deba generar la institución.
</v>
      </c>
      <c r="O408" s="152" t="s">
        <v>1422</v>
      </c>
      <c r="P408" s="206" t="s">
        <v>714</v>
      </c>
      <c r="Q408" s="200"/>
      <c r="R408" s="177"/>
      <c r="S408" s="197">
        <f>COUNTA(P409:P421)</f>
        <v>2</v>
      </c>
      <c r="T408" s="197">
        <f>COUNTIF(U409:U421,"n/a")</f>
        <v>0</v>
      </c>
      <c r="U408" s="94"/>
      <c r="V408" s="94"/>
      <c r="W408" s="94"/>
      <c r="X408" s="94"/>
      <c r="Y408" s="94"/>
      <c r="Z408" s="94"/>
      <c r="AA408" s="94"/>
      <c r="AB408" s="94"/>
      <c r="AC408" s="94"/>
      <c r="AD408" s="94"/>
      <c r="AE408" s="94"/>
      <c r="AF408" s="94"/>
      <c r="AG408" s="94"/>
      <c r="AH408" s="94"/>
      <c r="AI408" s="94"/>
      <c r="AJ408" s="94"/>
      <c r="AK408" s="94"/>
      <c r="AL408" s="94"/>
    </row>
    <row r="409">
      <c r="A409" s="105" t="s">
        <v>661</v>
      </c>
      <c r="B409" s="92" t="str">
        <f t="shared" si="2"/>
        <v>Pregunta</v>
      </c>
      <c r="C409" s="106" t="str">
        <f t="shared" si="9"/>
        <v>16.</v>
      </c>
      <c r="D409" s="106" t="str">
        <f t="shared" si="10"/>
        <v>Transparencia y apertura</v>
      </c>
      <c r="E409"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409" s="141" t="str">
        <f t="shared" si="3"/>
        <v>16.2</v>
      </c>
      <c r="G409" s="92" t="str">
        <f t="shared" si="4"/>
        <v>ESPERABLES</v>
      </c>
      <c r="H409" s="141"/>
      <c r="I409" s="141" t="str">
        <f t="shared" si="5"/>
        <v>16.2.1</v>
      </c>
      <c r="J409" s="98" t="str">
        <f t="shared" si="6"/>
        <v>Lobby y gestión de intereses</v>
      </c>
      <c r="K409" s="98" t="str">
        <f t="shared" si="7"/>
        <v>Información sobre las audiencias y reuniones, viajes y donativos recibidos por las autoridades del organismo en la actividad de lobby y en la gestión de intereses particulares, con el objeto de fortalecer la transparencia y probidad en las relaciones con los órganos del Estado. Esta información puede estar disponible en el propio sitio de la institución o en la Plataforma de Ley del Lobby.</v>
      </c>
      <c r="L409" s="141" t="str">
        <f t="shared" ref="L409:N409" si="414">IF(I409="",L408,I409)</f>
        <v>16.2.1</v>
      </c>
      <c r="M409" s="98" t="str">
        <f t="shared" si="414"/>
        <v>Lobby y gestión de intereses</v>
      </c>
      <c r="N409" s="98" t="str">
        <f t="shared" si="414"/>
        <v>Información sobre las audiencias y reuniones, viajes y donativos recibidos por las autoridades del organismo en la actividad de lobby y en la gestión de intereses particulares, con el objeto de fortalecer la transparencia y probidad en las relaciones con los órganos del Estado. Esta información puede estar disponible en el propio sitio de la institución o en la Plataforma de Ley del Lobby.</v>
      </c>
      <c r="O409" s="207" t="s">
        <v>1423</v>
      </c>
      <c r="P409" s="180" t="s">
        <v>1424</v>
      </c>
      <c r="Q409" s="180" t="s">
        <v>1425</v>
      </c>
      <c r="R409" s="161"/>
      <c r="S409" s="162" t="s">
        <v>1426</v>
      </c>
      <c r="T409" s="160" t="s">
        <v>2033</v>
      </c>
      <c r="U409" s="94"/>
      <c r="V409" s="94"/>
      <c r="W409" s="94"/>
      <c r="X409" s="94"/>
      <c r="Y409" s="94"/>
      <c r="Z409" s="94"/>
      <c r="AA409" s="94"/>
      <c r="AB409" s="94"/>
      <c r="AC409" s="94"/>
      <c r="AD409" s="94"/>
      <c r="AE409" s="94"/>
      <c r="AF409" s="94"/>
      <c r="AG409" s="94"/>
      <c r="AH409" s="94"/>
      <c r="AI409" s="94"/>
      <c r="AJ409" s="94"/>
      <c r="AK409" s="94"/>
      <c r="AL409" s="94"/>
    </row>
    <row r="410">
      <c r="A410" s="86" t="s">
        <v>661</v>
      </c>
      <c r="B410" s="95" t="str">
        <f t="shared" si="2"/>
        <v>Pregunta</v>
      </c>
      <c r="C410" s="106" t="str">
        <f t="shared" si="9"/>
        <v>16.</v>
      </c>
      <c r="D410" s="106" t="str">
        <f t="shared" si="10"/>
        <v>Transparencia y apertura</v>
      </c>
      <c r="E410"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410" s="141" t="str">
        <f t="shared" si="3"/>
        <v>16.2</v>
      </c>
      <c r="G410" s="92" t="str">
        <f t="shared" si="4"/>
        <v>ESPERABLES</v>
      </c>
      <c r="H410" s="141"/>
      <c r="I410" s="141" t="str">
        <f t="shared" si="5"/>
        <v/>
      </c>
      <c r="J410" s="98" t="str">
        <f t="shared" si="6"/>
        <v/>
      </c>
      <c r="K410" s="98" t="str">
        <f t="shared" si="7"/>
        <v/>
      </c>
      <c r="L410" s="141" t="str">
        <f t="shared" ref="L410:N410" si="415">IF(I410="",L409,I410)</f>
        <v>16.2.1</v>
      </c>
      <c r="M410" s="98" t="str">
        <f t="shared" si="415"/>
        <v>Lobby y gestión de intereses</v>
      </c>
      <c r="N410" s="98" t="str">
        <f t="shared" si="415"/>
        <v>Información sobre las audiencias y reuniones, viajes y donativos recibidos por las autoridades del organismo en la actividad de lobby y en la gestión de intereses particulares, con el objeto de fortalecer la transparencia y probidad en las relaciones con los órganos del Estado. Esta información puede estar disponible en el propio sitio de la institución o en la Plataforma de Ley del Lobby.</v>
      </c>
      <c r="O410" s="152"/>
      <c r="P410" s="153"/>
      <c r="Q410" s="153"/>
      <c r="R410" s="161"/>
      <c r="S410" s="162" t="s">
        <v>1427</v>
      </c>
      <c r="T410" s="160" t="s">
        <v>2033</v>
      </c>
      <c r="U410" s="94"/>
      <c r="V410" s="94"/>
      <c r="W410" s="94"/>
      <c r="X410" s="94"/>
      <c r="Y410" s="94"/>
      <c r="Z410" s="94"/>
      <c r="AA410" s="94"/>
      <c r="AB410" s="94"/>
      <c r="AC410" s="94"/>
      <c r="AD410" s="94"/>
      <c r="AE410" s="94"/>
      <c r="AF410" s="94"/>
      <c r="AG410" s="94"/>
      <c r="AH410" s="94"/>
      <c r="AI410" s="94"/>
      <c r="AJ410" s="94"/>
      <c r="AK410" s="94"/>
      <c r="AL410" s="94"/>
    </row>
    <row r="411">
      <c r="A411" s="86" t="s">
        <v>661</v>
      </c>
      <c r="B411" s="95" t="str">
        <f t="shared" si="2"/>
        <v>Pregunta</v>
      </c>
      <c r="C411" s="106" t="str">
        <f t="shared" si="9"/>
        <v>16.</v>
      </c>
      <c r="D411" s="106" t="str">
        <f t="shared" si="10"/>
        <v>Transparencia y apertura</v>
      </c>
      <c r="E411"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411" s="141" t="str">
        <f t="shared" si="3"/>
        <v>16.2</v>
      </c>
      <c r="G411" s="92" t="str">
        <f t="shared" si="4"/>
        <v>ESPERABLES</v>
      </c>
      <c r="H411" s="141"/>
      <c r="I411" s="141" t="str">
        <f t="shared" si="5"/>
        <v/>
      </c>
      <c r="J411" s="98" t="str">
        <f t="shared" si="6"/>
        <v/>
      </c>
      <c r="K411" s="98" t="str">
        <f t="shared" si="7"/>
        <v/>
      </c>
      <c r="L411" s="141" t="str">
        <f t="shared" ref="L411:N411" si="416">IF(I411="",L410,I411)</f>
        <v>16.2.1</v>
      </c>
      <c r="M411" s="98" t="str">
        <f t="shared" si="416"/>
        <v>Lobby y gestión de intereses</v>
      </c>
      <c r="N411" s="98" t="str">
        <f t="shared" si="416"/>
        <v>Información sobre las audiencias y reuniones, viajes y donativos recibidos por las autoridades del organismo en la actividad de lobby y en la gestión de intereses particulares, con el objeto de fortalecer la transparencia y probidad en las relaciones con los órganos del Estado. Esta información puede estar disponible en el propio sitio de la institución o en la Plataforma de Ley del Lobby.</v>
      </c>
      <c r="O411" s="152"/>
      <c r="P411" s="153"/>
      <c r="Q411" s="153"/>
      <c r="R411" s="161"/>
      <c r="S411" s="162" t="s">
        <v>1428</v>
      </c>
      <c r="T411" s="160" t="s">
        <v>2033</v>
      </c>
      <c r="U411" s="94"/>
      <c r="V411" s="94"/>
      <c r="W411" s="94"/>
      <c r="X411" s="94"/>
      <c r="Y411" s="94"/>
      <c r="Z411" s="94"/>
      <c r="AA411" s="94"/>
      <c r="AB411" s="94"/>
      <c r="AC411" s="94"/>
      <c r="AD411" s="94"/>
      <c r="AE411" s="94"/>
      <c r="AF411" s="94"/>
      <c r="AG411" s="94"/>
      <c r="AH411" s="94"/>
      <c r="AI411" s="94"/>
      <c r="AJ411" s="94"/>
      <c r="AK411" s="94"/>
      <c r="AL411" s="94"/>
    </row>
    <row r="412">
      <c r="A412" s="86" t="s">
        <v>661</v>
      </c>
      <c r="B412" s="95" t="str">
        <f t="shared" si="2"/>
        <v>Pregunta</v>
      </c>
      <c r="C412" s="106" t="str">
        <f t="shared" si="9"/>
        <v>16.</v>
      </c>
      <c r="D412" s="106" t="str">
        <f t="shared" si="10"/>
        <v>Transparencia y apertura</v>
      </c>
      <c r="E412"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412" s="141" t="str">
        <f t="shared" si="3"/>
        <v>16.2</v>
      </c>
      <c r="G412" s="92" t="str">
        <f t="shared" si="4"/>
        <v>ESPERABLES</v>
      </c>
      <c r="H412" s="141"/>
      <c r="I412" s="141" t="str">
        <f t="shared" si="5"/>
        <v/>
      </c>
      <c r="J412" s="98" t="str">
        <f t="shared" si="6"/>
        <v/>
      </c>
      <c r="K412" s="98" t="str">
        <f t="shared" si="7"/>
        <v/>
      </c>
      <c r="L412" s="141" t="str">
        <f t="shared" ref="L412:N412" si="417">IF(I412="",L411,I412)</f>
        <v>16.2.1</v>
      </c>
      <c r="M412" s="98" t="str">
        <f t="shared" si="417"/>
        <v>Lobby y gestión de intereses</v>
      </c>
      <c r="N412" s="98" t="str">
        <f t="shared" si="417"/>
        <v>Información sobre las audiencias y reuniones, viajes y donativos recibidos por las autoridades del organismo en la actividad de lobby y en la gestión de intereses particulares, con el objeto de fortalecer la transparencia y probidad en las relaciones con los órganos del Estado. Esta información puede estar disponible en el propio sitio de la institución o en la Plataforma de Ley del Lobby.</v>
      </c>
      <c r="O412" s="152"/>
      <c r="P412" s="153"/>
      <c r="Q412" s="153"/>
      <c r="R412" s="161"/>
      <c r="S412" s="162" t="s">
        <v>1429</v>
      </c>
      <c r="T412" s="160" t="s">
        <v>2033</v>
      </c>
      <c r="U412" s="94"/>
      <c r="V412" s="94"/>
      <c r="W412" s="94"/>
      <c r="X412" s="94"/>
      <c r="Y412" s="94"/>
      <c r="Z412" s="94"/>
      <c r="AA412" s="94"/>
      <c r="AB412" s="94"/>
      <c r="AC412" s="94"/>
      <c r="AD412" s="94"/>
      <c r="AE412" s="94"/>
      <c r="AF412" s="94"/>
      <c r="AG412" s="94"/>
      <c r="AH412" s="94"/>
      <c r="AI412" s="94"/>
      <c r="AJ412" s="94"/>
      <c r="AK412" s="94"/>
      <c r="AL412" s="94"/>
    </row>
    <row r="413">
      <c r="A413" s="86" t="s">
        <v>661</v>
      </c>
      <c r="B413" s="95" t="str">
        <f t="shared" si="2"/>
        <v>Pregunta</v>
      </c>
      <c r="C413" s="106" t="str">
        <f t="shared" si="9"/>
        <v>16.</v>
      </c>
      <c r="D413" s="106" t="str">
        <f t="shared" si="10"/>
        <v>Transparencia y apertura</v>
      </c>
      <c r="E413"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413" s="141" t="str">
        <f t="shared" si="3"/>
        <v>16.2</v>
      </c>
      <c r="G413" s="92" t="str">
        <f t="shared" si="4"/>
        <v>ESPERABLES</v>
      </c>
      <c r="H413" s="141"/>
      <c r="I413" s="141" t="str">
        <f t="shared" si="5"/>
        <v/>
      </c>
      <c r="J413" s="98" t="str">
        <f t="shared" si="6"/>
        <v/>
      </c>
      <c r="K413" s="98" t="str">
        <f t="shared" si="7"/>
        <v/>
      </c>
      <c r="L413" s="141" t="str">
        <f t="shared" ref="L413:N413" si="418">IF(I413="",L412,I413)</f>
        <v>16.2.1</v>
      </c>
      <c r="M413" s="98" t="str">
        <f t="shared" si="418"/>
        <v>Lobby y gestión de intereses</v>
      </c>
      <c r="N413" s="98" t="str">
        <f t="shared" si="418"/>
        <v>Información sobre las audiencias y reuniones, viajes y donativos recibidos por las autoridades del organismo en la actividad de lobby y en la gestión de intereses particulares, con el objeto de fortalecer la transparencia y probidad en las relaciones con los órganos del Estado. Esta información puede estar disponible en el propio sitio de la institución o en la Plataforma de Ley del Lobby.</v>
      </c>
      <c r="O413" s="152"/>
      <c r="P413" s="153"/>
      <c r="Q413" s="153"/>
      <c r="R413" s="161"/>
      <c r="S413" s="162" t="s">
        <v>1430</v>
      </c>
      <c r="T413" s="160" t="s">
        <v>2033</v>
      </c>
      <c r="U413" s="94"/>
      <c r="V413" s="94"/>
      <c r="W413" s="94"/>
      <c r="X413" s="94"/>
      <c r="Y413" s="94"/>
      <c r="Z413" s="94"/>
      <c r="AA413" s="94"/>
      <c r="AB413" s="94"/>
      <c r="AC413" s="94"/>
      <c r="AD413" s="94"/>
      <c r="AE413" s="94"/>
      <c r="AF413" s="94"/>
      <c r="AG413" s="94"/>
      <c r="AH413" s="94"/>
      <c r="AI413" s="94"/>
      <c r="AJ413" s="94"/>
      <c r="AK413" s="94"/>
      <c r="AL413" s="94"/>
    </row>
    <row r="414">
      <c r="A414" s="86" t="s">
        <v>661</v>
      </c>
      <c r="B414" s="95" t="str">
        <f t="shared" si="2"/>
        <v>Pregunta</v>
      </c>
      <c r="C414" s="106" t="str">
        <f t="shared" si="9"/>
        <v>16.</v>
      </c>
      <c r="D414" s="106" t="str">
        <f t="shared" si="10"/>
        <v>Transparencia y apertura</v>
      </c>
      <c r="E414"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414" s="141" t="str">
        <f t="shared" si="3"/>
        <v>16.2</v>
      </c>
      <c r="G414" s="92" t="str">
        <f t="shared" si="4"/>
        <v>ESPERABLES</v>
      </c>
      <c r="H414" s="141"/>
      <c r="I414" s="141" t="str">
        <f t="shared" si="5"/>
        <v/>
      </c>
      <c r="J414" s="98" t="str">
        <f t="shared" si="6"/>
        <v/>
      </c>
      <c r="K414" s="98" t="str">
        <f t="shared" si="7"/>
        <v/>
      </c>
      <c r="L414" s="141" t="str">
        <f t="shared" ref="L414:N414" si="419">IF(I414="",L413,I414)</f>
        <v>16.2.1</v>
      </c>
      <c r="M414" s="98" t="str">
        <f t="shared" si="419"/>
        <v>Lobby y gestión de intereses</v>
      </c>
      <c r="N414" s="98" t="str">
        <f t="shared" si="419"/>
        <v>Información sobre las audiencias y reuniones, viajes y donativos recibidos por las autoridades del organismo en la actividad de lobby y en la gestión de intereses particulares, con el objeto de fortalecer la transparencia y probidad en las relaciones con los órganos del Estado. Esta información puede estar disponible en el propio sitio de la institución o en la Plataforma de Ley del Lobby.</v>
      </c>
      <c r="O414" s="152"/>
      <c r="P414" s="153"/>
      <c r="Q414" s="153"/>
      <c r="R414" s="161"/>
      <c r="S414" s="162" t="s">
        <v>1431</v>
      </c>
      <c r="T414" s="160" t="s">
        <v>2033</v>
      </c>
      <c r="U414" s="94"/>
      <c r="V414" s="94"/>
      <c r="W414" s="94"/>
      <c r="X414" s="94"/>
      <c r="Y414" s="94"/>
      <c r="Z414" s="94"/>
      <c r="AA414" s="94"/>
      <c r="AB414" s="94"/>
      <c r="AC414" s="94"/>
      <c r="AD414" s="94"/>
      <c r="AE414" s="94"/>
      <c r="AF414" s="94"/>
      <c r="AG414" s="94"/>
      <c r="AH414" s="94"/>
      <c r="AI414" s="94"/>
      <c r="AJ414" s="94"/>
      <c r="AK414" s="94"/>
      <c r="AL414" s="94"/>
    </row>
    <row r="415">
      <c r="A415" s="86" t="s">
        <v>661</v>
      </c>
      <c r="B415" s="95" t="str">
        <f t="shared" si="2"/>
        <v>Pregunta</v>
      </c>
      <c r="C415" s="106" t="str">
        <f t="shared" si="9"/>
        <v>16.</v>
      </c>
      <c r="D415" s="106" t="str">
        <f t="shared" si="10"/>
        <v>Transparencia y apertura</v>
      </c>
      <c r="E415"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415" s="141" t="str">
        <f t="shared" si="3"/>
        <v>16.2</v>
      </c>
      <c r="G415" s="92" t="str">
        <f t="shared" si="4"/>
        <v>ESPERABLES</v>
      </c>
      <c r="H415" s="141"/>
      <c r="I415" s="141" t="str">
        <f t="shared" si="5"/>
        <v/>
      </c>
      <c r="J415" s="98" t="str">
        <f t="shared" si="6"/>
        <v/>
      </c>
      <c r="K415" s="98" t="str">
        <f t="shared" si="7"/>
        <v/>
      </c>
      <c r="L415" s="141" t="str">
        <f t="shared" ref="L415:N415" si="420">IF(I415="",L414,I415)</f>
        <v>16.2.1</v>
      </c>
      <c r="M415" s="98" t="str">
        <f t="shared" si="420"/>
        <v>Lobby y gestión de intereses</v>
      </c>
      <c r="N415" s="98" t="str">
        <f t="shared" si="420"/>
        <v>Información sobre las audiencias y reuniones, viajes y donativos recibidos por las autoridades del organismo en la actividad de lobby y en la gestión de intereses particulares, con el objeto de fortalecer la transparencia y probidad en las relaciones con los órganos del Estado. Esta información puede estar disponible en el propio sitio de la institución o en la Plataforma de Ley del Lobby.</v>
      </c>
      <c r="O415" s="172"/>
      <c r="P415" s="150"/>
      <c r="Q415" s="150"/>
      <c r="R415" s="156"/>
      <c r="S415" s="272" t="s">
        <v>1432</v>
      </c>
      <c r="T415" s="164" t="s">
        <v>2033</v>
      </c>
      <c r="U415" s="94"/>
      <c r="V415" s="94"/>
      <c r="W415" s="94"/>
      <c r="X415" s="94"/>
      <c r="Y415" s="94"/>
      <c r="Z415" s="94"/>
      <c r="AA415" s="94"/>
      <c r="AB415" s="94"/>
      <c r="AC415" s="94"/>
      <c r="AD415" s="94"/>
      <c r="AE415" s="94"/>
      <c r="AF415" s="94"/>
      <c r="AG415" s="94"/>
      <c r="AH415" s="94"/>
      <c r="AI415" s="94"/>
      <c r="AJ415" s="94"/>
      <c r="AK415" s="94"/>
      <c r="AL415" s="94"/>
    </row>
    <row r="416">
      <c r="A416" s="105" t="s">
        <v>661</v>
      </c>
      <c r="B416" s="92" t="str">
        <f t="shared" si="2"/>
        <v>Pregunta</v>
      </c>
      <c r="C416" s="106" t="str">
        <f t="shared" si="9"/>
        <v>16.</v>
      </c>
      <c r="D416" s="106" t="str">
        <f t="shared" si="10"/>
        <v>Transparencia y apertura</v>
      </c>
      <c r="E416"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416" s="141" t="str">
        <f t="shared" si="3"/>
        <v>16.2</v>
      </c>
      <c r="G416" s="92" t="str">
        <f t="shared" si="4"/>
        <v>ESPERABLES</v>
      </c>
      <c r="H416" s="141"/>
      <c r="I416" s="141" t="str">
        <f t="shared" si="5"/>
        <v>16.2.2</v>
      </c>
      <c r="J416" s="98" t="str">
        <f t="shared" si="6"/>
        <v>Facilidad de lectura y usabilidad</v>
      </c>
      <c r="K416" s="98" t="str">
        <f t="shared" si="7"/>
        <v>Disposición en el sitio web de la información pública de manera que facilite su lectura, comprensión y utilización, acogiendo buenas prácticas de orden, diseño y formato de los contenidos y documentos para que las personas usuarias puedan encontrar y entender la información sin necesidad de invertir una gran cantidad de tiempo y esfuerzos, o de tener conocimientos sobre la institución.
</v>
      </c>
      <c r="L416" s="141" t="str">
        <f t="shared" ref="L416:N416" si="421">IF(I416="",L415,I416)</f>
        <v>16.2.2</v>
      </c>
      <c r="M416" s="98" t="str">
        <f t="shared" si="421"/>
        <v>Facilidad de lectura y usabilidad</v>
      </c>
      <c r="N416" s="98" t="str">
        <f t="shared" si="421"/>
        <v>Disposición en el sitio web de la información pública de manera que facilite su lectura, comprensión y utilización, acogiendo buenas prácticas de orden, diseño y formato de los contenidos y documentos para que las personas usuarias puedan encontrar y entender la información sin necesidad de invertir una gran cantidad de tiempo y esfuerzos, o de tener conocimientos sobre la institución.
</v>
      </c>
      <c r="O416" s="152" t="s">
        <v>1433</v>
      </c>
      <c r="P416" s="153" t="s">
        <v>1434</v>
      </c>
      <c r="Q416" s="153" t="s">
        <v>1435</v>
      </c>
      <c r="R416" s="158"/>
      <c r="S416" s="302" t="s">
        <v>1436</v>
      </c>
      <c r="T416" s="160" t="s">
        <v>2033</v>
      </c>
      <c r="U416" s="94"/>
      <c r="V416" s="94"/>
      <c r="W416" s="94"/>
      <c r="X416" s="94"/>
      <c r="Y416" s="94"/>
      <c r="Z416" s="94"/>
      <c r="AA416" s="94"/>
      <c r="AB416" s="94"/>
      <c r="AC416" s="94"/>
      <c r="AD416" s="94"/>
      <c r="AE416" s="94"/>
      <c r="AF416" s="94"/>
      <c r="AG416" s="94"/>
      <c r="AH416" s="94"/>
      <c r="AI416" s="94"/>
      <c r="AJ416" s="94"/>
      <c r="AK416" s="94"/>
      <c r="AL416" s="94"/>
    </row>
    <row r="417">
      <c r="A417" s="86" t="s">
        <v>661</v>
      </c>
      <c r="B417" s="95" t="str">
        <f t="shared" si="2"/>
        <v>Pregunta</v>
      </c>
      <c r="C417" s="106" t="str">
        <f t="shared" si="9"/>
        <v>16.</v>
      </c>
      <c r="D417" s="106" t="str">
        <f t="shared" si="10"/>
        <v>Transparencia y apertura</v>
      </c>
      <c r="E417"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417" s="141" t="str">
        <f t="shared" si="3"/>
        <v>16.2</v>
      </c>
      <c r="G417" s="92" t="str">
        <f t="shared" si="4"/>
        <v>ESPERABLES</v>
      </c>
      <c r="H417" s="141"/>
      <c r="I417" s="141" t="str">
        <f t="shared" si="5"/>
        <v/>
      </c>
      <c r="J417" s="98" t="str">
        <f t="shared" si="6"/>
        <v/>
      </c>
      <c r="K417" s="98" t="str">
        <f t="shared" si="7"/>
        <v/>
      </c>
      <c r="L417" s="141" t="str">
        <f t="shared" ref="L417:N417" si="422">IF(I417="",L416,I417)</f>
        <v>16.2.2</v>
      </c>
      <c r="M417" s="98" t="str">
        <f t="shared" si="422"/>
        <v>Facilidad de lectura y usabilidad</v>
      </c>
      <c r="N417" s="98" t="str">
        <f t="shared" si="422"/>
        <v>Disposición en el sitio web de la información pública de manera que facilite su lectura, comprensión y utilización, acogiendo buenas prácticas de orden, diseño y formato de los contenidos y documentos para que las personas usuarias puedan encontrar y entender la información sin necesidad de invertir una gran cantidad de tiempo y esfuerzos, o de tener conocimientos sobre la institución.
</v>
      </c>
      <c r="O417" s="152"/>
      <c r="P417" s="153"/>
      <c r="Q417" s="153"/>
      <c r="R417" s="161"/>
      <c r="S417" s="155" t="s">
        <v>1437</v>
      </c>
      <c r="T417" s="160" t="s">
        <v>2033</v>
      </c>
      <c r="U417" s="94"/>
      <c r="V417" s="94"/>
      <c r="W417" s="94"/>
      <c r="X417" s="94"/>
      <c r="Y417" s="94"/>
      <c r="Z417" s="94"/>
      <c r="AA417" s="94"/>
      <c r="AB417" s="94"/>
      <c r="AC417" s="94"/>
      <c r="AD417" s="94"/>
      <c r="AE417" s="94"/>
      <c r="AF417" s="94"/>
      <c r="AG417" s="94"/>
      <c r="AH417" s="94"/>
      <c r="AI417" s="94"/>
      <c r="AJ417" s="94"/>
      <c r="AK417" s="94"/>
      <c r="AL417" s="94"/>
    </row>
    <row r="418">
      <c r="A418" s="86" t="s">
        <v>661</v>
      </c>
      <c r="B418" s="95" t="str">
        <f t="shared" si="2"/>
        <v>Pregunta</v>
      </c>
      <c r="C418" s="106" t="str">
        <f t="shared" si="9"/>
        <v>16.</v>
      </c>
      <c r="D418" s="106" t="str">
        <f t="shared" si="10"/>
        <v>Transparencia y apertura</v>
      </c>
      <c r="E418"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418" s="141" t="str">
        <f t="shared" si="3"/>
        <v>16.2</v>
      </c>
      <c r="G418" s="92" t="str">
        <f t="shared" si="4"/>
        <v>ESPERABLES</v>
      </c>
      <c r="H418" s="141"/>
      <c r="I418" s="141" t="str">
        <f t="shared" si="5"/>
        <v/>
      </c>
      <c r="J418" s="98" t="str">
        <f t="shared" si="6"/>
        <v/>
      </c>
      <c r="K418" s="98" t="str">
        <f t="shared" si="7"/>
        <v/>
      </c>
      <c r="L418" s="141" t="str">
        <f t="shared" ref="L418:N418" si="423">IF(I418="",L417,I418)</f>
        <v>16.2.2</v>
      </c>
      <c r="M418" s="98" t="str">
        <f t="shared" si="423"/>
        <v>Facilidad de lectura y usabilidad</v>
      </c>
      <c r="N418" s="98" t="str">
        <f t="shared" si="423"/>
        <v>Disposición en el sitio web de la información pública de manera que facilite su lectura, comprensión y utilización, acogiendo buenas prácticas de orden, diseño y formato de los contenidos y documentos para que las personas usuarias puedan encontrar y entender la información sin necesidad de invertir una gran cantidad de tiempo y esfuerzos, o de tener conocimientos sobre la institución.
</v>
      </c>
      <c r="O418" s="152"/>
      <c r="P418" s="153"/>
      <c r="Q418" s="153"/>
      <c r="R418" s="161"/>
      <c r="S418" s="155" t="s">
        <v>2138</v>
      </c>
      <c r="T418" s="160" t="s">
        <v>2033</v>
      </c>
      <c r="U418" s="94"/>
      <c r="V418" s="94"/>
      <c r="W418" s="94"/>
      <c r="X418" s="94"/>
      <c r="Y418" s="94"/>
      <c r="Z418" s="94"/>
      <c r="AA418" s="94"/>
      <c r="AB418" s="94"/>
      <c r="AC418" s="94"/>
      <c r="AD418" s="94"/>
      <c r="AE418" s="94"/>
      <c r="AF418" s="94"/>
      <c r="AG418" s="94"/>
      <c r="AH418" s="94"/>
      <c r="AI418" s="94"/>
      <c r="AJ418" s="94"/>
      <c r="AK418" s="94"/>
      <c r="AL418" s="94"/>
    </row>
    <row r="419">
      <c r="A419" s="86" t="s">
        <v>661</v>
      </c>
      <c r="B419" s="95" t="str">
        <f t="shared" si="2"/>
        <v>Pregunta</v>
      </c>
      <c r="C419" s="106" t="str">
        <f t="shared" si="9"/>
        <v>16.</v>
      </c>
      <c r="D419" s="106" t="str">
        <f t="shared" si="10"/>
        <v>Transparencia y apertura</v>
      </c>
      <c r="E419"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419" s="141" t="str">
        <f t="shared" si="3"/>
        <v>16.2</v>
      </c>
      <c r="G419" s="92" t="str">
        <f t="shared" si="4"/>
        <v>ESPERABLES</v>
      </c>
      <c r="H419" s="141"/>
      <c r="I419" s="141" t="str">
        <f t="shared" si="5"/>
        <v/>
      </c>
      <c r="J419" s="98" t="str">
        <f t="shared" si="6"/>
        <v/>
      </c>
      <c r="K419" s="98" t="str">
        <f t="shared" si="7"/>
        <v/>
      </c>
      <c r="L419" s="141" t="str">
        <f t="shared" ref="L419:N419" si="424">IF(I419="",L418,I419)</f>
        <v>16.2.2</v>
      </c>
      <c r="M419" s="98" t="str">
        <f t="shared" si="424"/>
        <v>Facilidad de lectura y usabilidad</v>
      </c>
      <c r="N419" s="98" t="str">
        <f t="shared" si="424"/>
        <v>Disposición en el sitio web de la información pública de manera que facilite su lectura, comprensión y utilización, acogiendo buenas prácticas de orden, diseño y formato de los contenidos y documentos para que las personas usuarias puedan encontrar y entender la información sin necesidad de invertir una gran cantidad de tiempo y esfuerzos, o de tener conocimientos sobre la institución.
</v>
      </c>
      <c r="O419" s="152"/>
      <c r="P419" s="153"/>
      <c r="Q419" s="153"/>
      <c r="R419" s="161"/>
      <c r="S419" s="162" t="s">
        <v>1439</v>
      </c>
      <c r="T419" s="160" t="s">
        <v>2033</v>
      </c>
      <c r="U419" s="94"/>
      <c r="V419" s="94"/>
      <c r="W419" s="94"/>
      <c r="X419" s="94"/>
      <c r="Y419" s="94"/>
      <c r="Z419" s="94"/>
      <c r="AA419" s="94"/>
      <c r="AB419" s="94"/>
      <c r="AC419" s="94"/>
      <c r="AD419" s="94"/>
      <c r="AE419" s="94"/>
      <c r="AF419" s="94"/>
      <c r="AG419" s="94"/>
      <c r="AH419" s="94"/>
      <c r="AI419" s="94"/>
      <c r="AJ419" s="94"/>
      <c r="AK419" s="94"/>
      <c r="AL419" s="94"/>
    </row>
    <row r="420">
      <c r="A420" s="86" t="s">
        <v>661</v>
      </c>
      <c r="B420" s="95" t="str">
        <f t="shared" si="2"/>
        <v>Pregunta</v>
      </c>
      <c r="C420" s="106" t="str">
        <f t="shared" si="9"/>
        <v>16.</v>
      </c>
      <c r="D420" s="106" t="str">
        <f t="shared" si="10"/>
        <v>Transparencia y apertura</v>
      </c>
      <c r="E420"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420" s="141" t="str">
        <f t="shared" si="3"/>
        <v>16.2</v>
      </c>
      <c r="G420" s="92" t="str">
        <f t="shared" si="4"/>
        <v>ESPERABLES</v>
      </c>
      <c r="H420" s="141"/>
      <c r="I420" s="141" t="str">
        <f t="shared" si="5"/>
        <v/>
      </c>
      <c r="J420" s="98" t="str">
        <f t="shared" si="6"/>
        <v/>
      </c>
      <c r="K420" s="98" t="str">
        <f t="shared" si="7"/>
        <v/>
      </c>
      <c r="L420" s="141" t="str">
        <f t="shared" ref="L420:N420" si="425">IF(I420="",L419,I420)</f>
        <v>16.2.2</v>
      </c>
      <c r="M420" s="98" t="str">
        <f t="shared" si="425"/>
        <v>Facilidad de lectura y usabilidad</v>
      </c>
      <c r="N420" s="98" t="str">
        <f t="shared" si="425"/>
        <v>Disposición en el sitio web de la información pública de manera que facilite su lectura, comprensión y utilización, acogiendo buenas prácticas de orden, diseño y formato de los contenidos y documentos para que las personas usuarias puedan encontrar y entender la información sin necesidad de invertir una gran cantidad de tiempo y esfuerzos, o de tener conocimientos sobre la institución.
</v>
      </c>
      <c r="O420" s="152"/>
      <c r="P420" s="153"/>
      <c r="Q420" s="153"/>
      <c r="R420" s="161"/>
      <c r="S420" s="162" t="s">
        <v>1440</v>
      </c>
      <c r="T420" s="160" t="s">
        <v>2033</v>
      </c>
      <c r="U420" s="94"/>
      <c r="V420" s="94"/>
      <c r="W420" s="94"/>
      <c r="X420" s="94"/>
      <c r="Y420" s="94"/>
      <c r="Z420" s="94"/>
      <c r="AA420" s="94"/>
      <c r="AB420" s="94"/>
      <c r="AC420" s="94"/>
      <c r="AD420" s="94"/>
      <c r="AE420" s="94"/>
      <c r="AF420" s="94"/>
      <c r="AG420" s="94"/>
      <c r="AH420" s="94"/>
      <c r="AI420" s="94"/>
      <c r="AJ420" s="94"/>
      <c r="AK420" s="94"/>
      <c r="AL420" s="94"/>
    </row>
    <row r="421">
      <c r="A421" s="86" t="s">
        <v>661</v>
      </c>
      <c r="B421" s="95" t="str">
        <f t="shared" si="2"/>
        <v>Pregunta</v>
      </c>
      <c r="C421" s="106" t="str">
        <f t="shared" si="9"/>
        <v>16.</v>
      </c>
      <c r="D421" s="106" t="str">
        <f t="shared" si="10"/>
        <v>Transparencia y apertura</v>
      </c>
      <c r="E421"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421" s="141" t="str">
        <f t="shared" si="3"/>
        <v>16.2</v>
      </c>
      <c r="G421" s="92" t="str">
        <f t="shared" si="4"/>
        <v>ESPERABLES</v>
      </c>
      <c r="H421" s="141"/>
      <c r="I421" s="141" t="str">
        <f t="shared" si="5"/>
        <v/>
      </c>
      <c r="J421" s="98" t="str">
        <f t="shared" si="6"/>
        <v/>
      </c>
      <c r="K421" s="98" t="str">
        <f t="shared" si="7"/>
        <v/>
      </c>
      <c r="L421" s="141" t="str">
        <f t="shared" ref="L421:N421" si="426">IF(I421="",L420,I421)</f>
        <v>16.2.2</v>
      </c>
      <c r="M421" s="98" t="str">
        <f t="shared" si="426"/>
        <v>Facilidad de lectura y usabilidad</v>
      </c>
      <c r="N421" s="98" t="str">
        <f t="shared" si="426"/>
        <v>Disposición en el sitio web de la información pública de manera que facilite su lectura, comprensión y utilización, acogiendo buenas prácticas de orden, diseño y formato de los contenidos y documentos para que las personas usuarias puedan encontrar y entender la información sin necesidad de invertir una gran cantidad de tiempo y esfuerzos, o de tener conocimientos sobre la institución.
</v>
      </c>
      <c r="O421" s="142"/>
      <c r="P421" s="143"/>
      <c r="Q421" s="143"/>
      <c r="R421" s="168"/>
      <c r="S421" s="169" t="s">
        <v>1441</v>
      </c>
      <c r="T421" s="164" t="s">
        <v>2033</v>
      </c>
      <c r="U421" s="94"/>
      <c r="V421" s="94"/>
      <c r="W421" s="94"/>
      <c r="X421" s="94"/>
      <c r="Y421" s="94"/>
      <c r="Z421" s="94"/>
      <c r="AA421" s="94"/>
      <c r="AB421" s="94"/>
      <c r="AC421" s="94"/>
      <c r="AD421" s="94"/>
      <c r="AE421" s="94"/>
      <c r="AF421" s="94"/>
      <c r="AG421" s="94"/>
      <c r="AH421" s="94"/>
      <c r="AI421" s="94"/>
      <c r="AJ421" s="94"/>
      <c r="AK421" s="94"/>
      <c r="AL421" s="94"/>
    </row>
    <row r="422" hidden="1">
      <c r="A422" s="86" t="s">
        <v>661</v>
      </c>
      <c r="B422" s="95" t="str">
        <f t="shared" si="2"/>
        <v>Otro</v>
      </c>
      <c r="C422" s="106" t="str">
        <f t="shared" si="9"/>
        <v>16.</v>
      </c>
      <c r="D422" s="106" t="str">
        <f t="shared" si="10"/>
        <v>Transparencia y apertura</v>
      </c>
      <c r="E422"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422" s="141" t="str">
        <f t="shared" si="3"/>
        <v>16.3</v>
      </c>
      <c r="G422" s="92" t="str">
        <f t="shared" si="4"/>
        <v>DESEABLES</v>
      </c>
      <c r="H422" s="141"/>
      <c r="I422" s="141" t="str">
        <f t="shared" si="5"/>
        <v/>
      </c>
      <c r="J422" s="98" t="str">
        <f t="shared" si="6"/>
        <v/>
      </c>
      <c r="K422" s="98" t="str">
        <f t="shared" si="7"/>
        <v/>
      </c>
      <c r="L422" s="141" t="str">
        <f t="shared" ref="L422:N422" si="427">IF(I422="",L421,I422)</f>
        <v>16.2.2</v>
      </c>
      <c r="M422" s="98" t="str">
        <f t="shared" si="427"/>
        <v>Facilidad de lectura y usabilidad</v>
      </c>
      <c r="N422" s="98" t="str">
        <f t="shared" si="427"/>
        <v>Disposición en el sitio web de la información pública de manera que facilite su lectura, comprensión y utilización, acogiendo buenas prácticas de orden, diseño y formato de los contenidos y documentos para que las personas usuarias puedan encontrar y entender la información sin necesidad de invertir una gran cantidad de tiempo y esfuerzos, o de tener conocimientos sobre la institución.
</v>
      </c>
      <c r="O422" s="289" t="s">
        <v>1442</v>
      </c>
      <c r="P422" s="182" t="s">
        <v>749</v>
      </c>
      <c r="Q422" s="183"/>
      <c r="R422" s="183"/>
      <c r="S422" s="199">
        <f>COUNTA(P423:P425)</f>
        <v>3</v>
      </c>
      <c r="T422" s="199">
        <f>COUNTIF(U423:U425,"n/a")</f>
        <v>0</v>
      </c>
      <c r="U422" s="94"/>
      <c r="V422" s="94"/>
      <c r="W422" s="94"/>
      <c r="X422" s="94"/>
      <c r="Y422" s="94"/>
      <c r="Z422" s="94"/>
      <c r="AA422" s="94"/>
      <c r="AB422" s="94"/>
      <c r="AC422" s="94"/>
      <c r="AD422" s="94"/>
      <c r="AE422" s="94"/>
      <c r="AF422" s="94"/>
      <c r="AG422" s="94"/>
      <c r="AH422" s="94"/>
      <c r="AI422" s="94"/>
      <c r="AJ422" s="94"/>
      <c r="AK422" s="94"/>
      <c r="AL422" s="94"/>
    </row>
    <row r="423">
      <c r="A423" s="105" t="s">
        <v>661</v>
      </c>
      <c r="B423" s="92" t="str">
        <f t="shared" si="2"/>
        <v>Pregunta</v>
      </c>
      <c r="C423" s="106" t="str">
        <f t="shared" si="9"/>
        <v>16.</v>
      </c>
      <c r="D423" s="106" t="str">
        <f t="shared" si="10"/>
        <v>Transparencia y apertura</v>
      </c>
      <c r="E423"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423" s="141" t="str">
        <f t="shared" si="3"/>
        <v>16.3</v>
      </c>
      <c r="G423" s="92" t="str">
        <f t="shared" si="4"/>
        <v>DESEABLES</v>
      </c>
      <c r="H423" s="141"/>
      <c r="I423" s="141" t="str">
        <f t="shared" si="5"/>
        <v>16.3.1</v>
      </c>
      <c r="J423" s="98" t="str">
        <f t="shared" si="6"/>
        <v>Transparencia proactiva</v>
      </c>
      <c r="K423" s="98" t="str">
        <f t="shared" si="7"/>
        <v>Información pública de la gestión administrativa de la institución que se publica de manera adicional a la requerida por la Ley de Transparencia de la Función Pública y de Acceso a la Información de la Administración del Estado (Ley 20.285), más conocida como Ley de Transparencia.
</v>
      </c>
      <c r="L423" s="141" t="str">
        <f t="shared" ref="L423:N423" si="428">IF(I423="",L422,I423)</f>
        <v>16.3.1</v>
      </c>
      <c r="M423" s="98" t="str">
        <f t="shared" si="428"/>
        <v>Transparencia proactiva</v>
      </c>
      <c r="N423" s="98" t="str">
        <f t="shared" si="428"/>
        <v>Información pública de la gestión administrativa de la institución que se publica de manera adicional a la requerida por la Ley de Transparencia de la Función Pública y de Acceso a la Información de la Administración del Estado (Ley 20.285), más conocida como Ley de Transparencia.
</v>
      </c>
      <c r="O423" s="214" t="s">
        <v>1443</v>
      </c>
      <c r="P423" s="169" t="s">
        <v>1444</v>
      </c>
      <c r="Q423" s="169" t="s">
        <v>1445</v>
      </c>
      <c r="R423" s="168"/>
      <c r="S423" s="169" t="s">
        <v>1446</v>
      </c>
      <c r="T423" s="164" t="s">
        <v>2033</v>
      </c>
      <c r="U423" s="94"/>
      <c r="V423" s="94"/>
      <c r="W423" s="94"/>
      <c r="X423" s="94"/>
      <c r="Y423" s="94"/>
      <c r="Z423" s="94"/>
      <c r="AA423" s="94"/>
      <c r="AB423" s="94"/>
      <c r="AC423" s="94"/>
      <c r="AD423" s="94"/>
      <c r="AE423" s="94"/>
      <c r="AF423" s="94"/>
      <c r="AG423" s="94"/>
      <c r="AH423" s="94"/>
      <c r="AI423" s="94"/>
      <c r="AJ423" s="94"/>
      <c r="AK423" s="94"/>
      <c r="AL423" s="94"/>
    </row>
    <row r="424">
      <c r="A424" s="105" t="s">
        <v>661</v>
      </c>
      <c r="B424" s="92" t="str">
        <f t="shared" si="2"/>
        <v>Pregunta</v>
      </c>
      <c r="C424" s="106" t="str">
        <f t="shared" si="9"/>
        <v>16.</v>
      </c>
      <c r="D424" s="106" t="str">
        <f t="shared" si="10"/>
        <v>Transparencia y apertura</v>
      </c>
      <c r="E424"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424" s="141" t="str">
        <f t="shared" si="3"/>
        <v>16.3</v>
      </c>
      <c r="G424" s="92" t="str">
        <f t="shared" si="4"/>
        <v>DESEABLES</v>
      </c>
      <c r="H424" s="141"/>
      <c r="I424" s="141" t="str">
        <f t="shared" si="5"/>
        <v>16.3.2</v>
      </c>
      <c r="J424" s="98" t="str">
        <f t="shared" si="6"/>
        <v>Notas legales</v>
      </c>
      <c r="K424" s="98" t="str">
        <f t="shared" si="7"/>
        <v>Presencia de una página que indique los aspectos legales concernientes al sitio web y presente a sus responsables o representantes legales.
</v>
      </c>
      <c r="L424" s="141" t="str">
        <f t="shared" ref="L424:N424" si="429">IF(I424="",L423,I424)</f>
        <v>16.3.2</v>
      </c>
      <c r="M424" s="98" t="str">
        <f t="shared" si="429"/>
        <v>Notas legales</v>
      </c>
      <c r="N424" s="98" t="str">
        <f t="shared" si="429"/>
        <v>Presencia de una página que indique los aspectos legales concernientes al sitio web y presente a sus responsables o representantes legales.
</v>
      </c>
      <c r="O424" s="152" t="s">
        <v>1447</v>
      </c>
      <c r="P424" s="153" t="s">
        <v>1448</v>
      </c>
      <c r="Q424" s="153" t="s">
        <v>1449</v>
      </c>
      <c r="R424" s="200"/>
      <c r="S424" s="143" t="s">
        <v>1450</v>
      </c>
      <c r="T424" s="164" t="s">
        <v>2033</v>
      </c>
      <c r="U424" s="94"/>
      <c r="V424" s="94"/>
      <c r="W424" s="94"/>
      <c r="X424" s="94"/>
      <c r="Y424" s="94"/>
      <c r="Z424" s="94"/>
      <c r="AA424" s="94"/>
      <c r="AB424" s="94"/>
      <c r="AC424" s="94"/>
      <c r="AD424" s="94"/>
      <c r="AE424" s="94"/>
      <c r="AF424" s="94"/>
      <c r="AG424" s="94"/>
      <c r="AH424" s="94"/>
      <c r="AI424" s="94"/>
      <c r="AJ424" s="94"/>
      <c r="AK424" s="94"/>
      <c r="AL424" s="94"/>
    </row>
    <row r="425">
      <c r="A425" s="105" t="s">
        <v>661</v>
      </c>
      <c r="B425" s="92" t="str">
        <f t="shared" si="2"/>
        <v>Pregunta</v>
      </c>
      <c r="C425" s="106" t="str">
        <f t="shared" si="9"/>
        <v>16.</v>
      </c>
      <c r="D425" s="106" t="str">
        <f t="shared" si="10"/>
        <v>Transparencia y apertura</v>
      </c>
      <c r="E425" s="106" t="str">
        <f t="shared" si="11"/>
        <v>Transparencia corresponde a la información pública presentada de manera visible, actualizada y destacada respecto al funcionamiento administrativo y financiero de la institución. Apertura, por su parte, es la disposición abierta de la información, sin registro, suscripción o pago para acceder o descargar los datos y documentos que la institución dispone a las personas usuarias.</v>
      </c>
      <c r="F425" s="141" t="str">
        <f t="shared" si="3"/>
        <v>16.3</v>
      </c>
      <c r="G425" s="92" t="str">
        <f t="shared" si="4"/>
        <v>DESEABLES</v>
      </c>
      <c r="H425" s="141"/>
      <c r="I425" s="141" t="str">
        <f t="shared" si="5"/>
        <v>16.3.3</v>
      </c>
      <c r="J425" s="98" t="str">
        <f t="shared" si="6"/>
        <v>Reutilización</v>
      </c>
      <c r="K425" s="98" t="str">
        <f t="shared" si="7"/>
        <v>Disponibilidad de los datos en bruto –sin requerimientos de registro, suscripción o pago ni restricciones de copyright– para que puedan ser reutilizados de modo que puedan crearse nuevas formas de información, interrelación, reusabilidad y nuevos usos.
</v>
      </c>
      <c r="L425" s="141" t="str">
        <f t="shared" ref="L425:N425" si="430">IF(I425="",L424,I425)</f>
        <v>16.3.3</v>
      </c>
      <c r="M425" s="98" t="str">
        <f t="shared" si="430"/>
        <v>Reutilización</v>
      </c>
      <c r="N425" s="98" t="str">
        <f t="shared" si="430"/>
        <v>Disponibilidad de los datos en bruto –sin requerimientos de registro, suscripción o pago ni restricciones de copyright– para que puedan ser reutilizados de modo que puedan crearse nuevas formas de información, interrelación, reusabilidad y nuevos usos.
</v>
      </c>
      <c r="O425" s="147" t="s">
        <v>1451</v>
      </c>
      <c r="P425" s="148" t="s">
        <v>1452</v>
      </c>
      <c r="Q425" s="148" t="s">
        <v>1453</v>
      </c>
      <c r="R425" s="211"/>
      <c r="S425" s="213" t="s">
        <v>2139</v>
      </c>
      <c r="T425" s="164" t="s">
        <v>2033</v>
      </c>
      <c r="U425" s="94"/>
      <c r="V425" s="94"/>
      <c r="W425" s="94"/>
      <c r="X425" s="94"/>
      <c r="Y425" s="94"/>
      <c r="Z425" s="94"/>
      <c r="AA425" s="94"/>
      <c r="AB425" s="94"/>
      <c r="AC425" s="94"/>
      <c r="AD425" s="94"/>
      <c r="AE425" s="94"/>
      <c r="AF425" s="94"/>
      <c r="AG425" s="94"/>
      <c r="AH425" s="94"/>
      <c r="AI425" s="94"/>
      <c r="AJ425" s="94"/>
      <c r="AK425" s="94"/>
      <c r="AL425" s="94"/>
    </row>
    <row r="426" hidden="1">
      <c r="A426" s="86" t="s">
        <v>661</v>
      </c>
      <c r="B426" s="95" t="str">
        <f t="shared" si="2"/>
        <v>Otro</v>
      </c>
      <c r="C426" s="106" t="str">
        <f t="shared" si="9"/>
        <v>17.</v>
      </c>
      <c r="D426" s="106" t="str">
        <f t="shared" si="10"/>
        <v>Prevención de errores</v>
      </c>
      <c r="E426" s="106" t="str">
        <f t="shared" si="11"/>
        <v>Eliminación de las condiciones del sistema que confundan o induzcan a errores a las personas usuarias. Es clave verificarlas, ofrecer ejemplos y presentar una opción de confirmación antes de comprometerse con una acción.</v>
      </c>
      <c r="F426" s="141" t="str">
        <f t="shared" si="3"/>
        <v>16.3</v>
      </c>
      <c r="G426" s="92" t="str">
        <f t="shared" si="4"/>
        <v>DESEABLES</v>
      </c>
      <c r="H426" s="107"/>
      <c r="I426" s="107" t="str">
        <f t="shared" si="5"/>
        <v/>
      </c>
      <c r="J426" s="98" t="str">
        <f t="shared" si="6"/>
        <v/>
      </c>
      <c r="K426" s="98" t="str">
        <f t="shared" si="7"/>
        <v/>
      </c>
      <c r="L426" s="141" t="str">
        <f t="shared" ref="L426:N426" si="431">IF(I426="",L425,I426)</f>
        <v>16.3.3</v>
      </c>
      <c r="M426" s="98" t="str">
        <f t="shared" si="431"/>
        <v>Reutilización</v>
      </c>
      <c r="N426" s="98" t="str">
        <f t="shared" si="431"/>
        <v>Disponibilidad de los datos en bruto –sin requerimientos de registro, suscripción o pago ni restricciones de copyright– para que puedan ser reutilizados de modo que puedan crearse nuevas formas de información, interrelación, reusabilidad y nuevos usos.
</v>
      </c>
      <c r="O426" s="220" t="s">
        <v>51</v>
      </c>
      <c r="P426" s="112" t="s">
        <v>52</v>
      </c>
      <c r="Q426" s="113"/>
      <c r="R426" s="114"/>
      <c r="S426" s="115" t="s">
        <v>1455</v>
      </c>
      <c r="T426" s="116" t="s">
        <v>16</v>
      </c>
      <c r="U426" s="94"/>
      <c r="V426" s="94"/>
      <c r="W426" s="94"/>
      <c r="X426" s="94"/>
      <c r="Y426" s="94"/>
      <c r="Z426" s="94"/>
      <c r="AA426" s="94"/>
      <c r="AB426" s="94"/>
      <c r="AC426" s="94"/>
      <c r="AD426" s="94"/>
      <c r="AE426" s="94"/>
      <c r="AF426" s="94"/>
      <c r="AG426" s="94"/>
      <c r="AH426" s="94"/>
      <c r="AI426" s="94"/>
      <c r="AJ426" s="94"/>
      <c r="AK426" s="94"/>
      <c r="AL426" s="94"/>
    </row>
    <row r="427" hidden="1">
      <c r="A427" s="86" t="s">
        <v>661</v>
      </c>
      <c r="B427" s="95" t="str">
        <f t="shared" si="2"/>
        <v>Otro</v>
      </c>
      <c r="C427" s="106" t="str">
        <f t="shared" si="9"/>
        <v>17.</v>
      </c>
      <c r="D427" s="106" t="str">
        <f t="shared" si="10"/>
        <v>Prevención de errores</v>
      </c>
      <c r="E427" s="106" t="str">
        <f t="shared" si="11"/>
        <v>Eliminación de las condiciones del sistema que confundan o induzcan a errores a las personas usuarias. Es clave verificarlas, ofrecer ejemplos y presentar una opción de confirmación antes de comprometerse con una acción.</v>
      </c>
      <c r="F427" s="141" t="str">
        <f t="shared" si="3"/>
        <v>16.3</v>
      </c>
      <c r="G427" s="92" t="str">
        <f t="shared" si="4"/>
        <v>DESEABLES</v>
      </c>
      <c r="H427" s="107"/>
      <c r="I427" s="107" t="str">
        <f t="shared" si="5"/>
        <v/>
      </c>
      <c r="J427" s="98" t="str">
        <f t="shared" si="6"/>
        <v/>
      </c>
      <c r="K427" s="98" t="str">
        <f t="shared" si="7"/>
        <v/>
      </c>
      <c r="L427" s="141" t="str">
        <f t="shared" ref="L427:N427" si="432">IF(I427="",L426,I427)</f>
        <v>16.3.3</v>
      </c>
      <c r="M427" s="98" t="str">
        <f t="shared" si="432"/>
        <v>Reutilización</v>
      </c>
      <c r="N427" s="98" t="str">
        <f t="shared" si="432"/>
        <v>Disponibilidad de los datos en bruto –sin requerimientos de registro, suscripción o pago ni restricciones de copyright– para que puedan ser reutilizados de modo que puedan crearse nuevas formas de información, interrelación, reusabilidad y nuevos usos.
</v>
      </c>
      <c r="O427" s="221"/>
      <c r="P427" s="118"/>
      <c r="Q427" s="119"/>
      <c r="R427" s="126"/>
      <c r="S427" s="239"/>
      <c r="T427" s="116" t="s">
        <v>19</v>
      </c>
      <c r="U427" s="94"/>
      <c r="V427" s="94"/>
      <c r="W427" s="94"/>
      <c r="X427" s="94"/>
      <c r="Y427" s="94"/>
      <c r="Z427" s="94"/>
      <c r="AA427" s="94"/>
      <c r="AB427" s="94"/>
      <c r="AC427" s="94"/>
      <c r="AD427" s="94"/>
      <c r="AE427" s="94"/>
      <c r="AF427" s="94"/>
      <c r="AG427" s="94"/>
      <c r="AH427" s="94"/>
      <c r="AI427" s="94"/>
      <c r="AJ427" s="94"/>
      <c r="AK427" s="94"/>
      <c r="AL427" s="94"/>
    </row>
    <row r="428" hidden="1">
      <c r="A428" s="86" t="s">
        <v>661</v>
      </c>
      <c r="B428" s="95" t="str">
        <f t="shared" si="2"/>
        <v>Otro</v>
      </c>
      <c r="C428" s="106" t="str">
        <f t="shared" si="9"/>
        <v>17.</v>
      </c>
      <c r="D428" s="106" t="str">
        <f t="shared" si="10"/>
        <v>Prevención de errores</v>
      </c>
      <c r="E428" s="106" t="str">
        <f t="shared" si="11"/>
        <v>Eliminación de las condiciones del sistema que confundan o induzcan a errores a las personas usuarias. Es clave verificarlas, ofrecer ejemplos y presentar una opción de confirmación antes de comprometerse con una acción.</v>
      </c>
      <c r="F428" s="141" t="str">
        <f t="shared" si="3"/>
        <v>16.3</v>
      </c>
      <c r="G428" s="92" t="str">
        <f t="shared" si="4"/>
        <v>DESEABLES</v>
      </c>
      <c r="H428" s="107"/>
      <c r="I428" s="107" t="str">
        <f t="shared" si="5"/>
        <v/>
      </c>
      <c r="J428" s="98" t="str">
        <f t="shared" si="6"/>
        <v/>
      </c>
      <c r="K428" s="98" t="str">
        <f t="shared" si="7"/>
        <v/>
      </c>
      <c r="L428" s="141" t="str">
        <f t="shared" ref="L428:N428" si="433">IF(I428="",L427,I428)</f>
        <v>16.3.3</v>
      </c>
      <c r="M428" s="98" t="str">
        <f t="shared" si="433"/>
        <v>Reutilización</v>
      </c>
      <c r="N428" s="98" t="str">
        <f t="shared" si="433"/>
        <v>Disponibilidad de los datos en bruto –sin requerimientos de registro, suscripción o pago ni restricciones de copyright– para que puedan ser reutilizados de modo que puedan crearse nuevas formas de información, interrelación, reusabilidad y nuevos usos.
</v>
      </c>
      <c r="O428" s="222"/>
      <c r="P428" s="122"/>
      <c r="Q428" s="123"/>
      <c r="R428" s="126"/>
      <c r="S428" s="240"/>
      <c r="T428" s="303"/>
      <c r="U428" s="94"/>
      <c r="V428" s="94"/>
      <c r="W428" s="94"/>
      <c r="X428" s="94"/>
      <c r="Y428" s="94"/>
      <c r="Z428" s="94"/>
      <c r="AA428" s="94"/>
      <c r="AB428" s="94"/>
      <c r="AC428" s="94"/>
      <c r="AD428" s="94"/>
      <c r="AE428" s="94"/>
      <c r="AF428" s="94"/>
      <c r="AG428" s="94"/>
      <c r="AH428" s="94"/>
      <c r="AI428" s="94"/>
      <c r="AJ428" s="94"/>
      <c r="AK428" s="94"/>
      <c r="AL428" s="94"/>
    </row>
    <row r="429" hidden="1">
      <c r="A429" s="86" t="s">
        <v>661</v>
      </c>
      <c r="B429" s="95" t="str">
        <f t="shared" si="2"/>
        <v>Otro</v>
      </c>
      <c r="C429" s="106" t="str">
        <f t="shared" si="9"/>
        <v>17.</v>
      </c>
      <c r="D429" s="106" t="str">
        <f t="shared" si="10"/>
        <v>Prevención de errores</v>
      </c>
      <c r="E429" s="106" t="str">
        <f t="shared" si="11"/>
        <v>Eliminación de las condiciones del sistema que confundan o induzcan a errores a las personas usuarias. Es clave verificarlas, ofrecer ejemplos y presentar una opción de confirmación antes de comprometerse con una acción.</v>
      </c>
      <c r="F429" s="141" t="str">
        <f t="shared" si="3"/>
        <v>16.3</v>
      </c>
      <c r="G429" s="92" t="str">
        <f t="shared" si="4"/>
        <v>DESEABLES</v>
      </c>
      <c r="H429" s="96"/>
      <c r="I429" s="96" t="str">
        <f t="shared" si="5"/>
        <v/>
      </c>
      <c r="J429" s="98" t="str">
        <f t="shared" si="6"/>
        <v/>
      </c>
      <c r="K429" s="98" t="str">
        <f t="shared" si="7"/>
        <v/>
      </c>
      <c r="L429" s="141" t="str">
        <f t="shared" ref="L429:N429" si="434">IF(I429="",L428,I429)</f>
        <v>16.3.3</v>
      </c>
      <c r="M429" s="98" t="str">
        <f t="shared" si="434"/>
        <v>Reutilización</v>
      </c>
      <c r="N429" s="98" t="str">
        <f t="shared" si="434"/>
        <v>Disponibilidad de los datos en bruto –sin requerimientos de registro, suscripción o pago ni restricciones de copyright– para que puedan ser reutilizados de modo que puedan crearse nuevas formas de información, interrelación, reusabilidad y nuevos usos.
</v>
      </c>
      <c r="O429" s="104"/>
      <c r="P429" s="127"/>
      <c r="Q429" s="127"/>
      <c r="R429" s="114"/>
      <c r="S429" s="114"/>
      <c r="T429" s="241"/>
      <c r="U429" s="94"/>
      <c r="V429" s="94"/>
      <c r="W429" s="94"/>
      <c r="X429" s="94"/>
      <c r="Y429" s="94"/>
      <c r="Z429" s="94"/>
      <c r="AA429" s="94"/>
      <c r="AB429" s="94"/>
      <c r="AC429" s="94"/>
      <c r="AD429" s="94"/>
      <c r="AE429" s="94"/>
      <c r="AF429" s="94"/>
      <c r="AG429" s="94"/>
      <c r="AH429" s="94"/>
      <c r="AI429" s="94"/>
      <c r="AJ429" s="94"/>
      <c r="AK429" s="94"/>
      <c r="AL429" s="94"/>
    </row>
    <row r="430" hidden="1">
      <c r="A430" s="86" t="s">
        <v>661</v>
      </c>
      <c r="B430" s="95" t="str">
        <f t="shared" si="2"/>
        <v>Otro</v>
      </c>
      <c r="C430" s="106" t="str">
        <f t="shared" si="9"/>
        <v>17.</v>
      </c>
      <c r="D430" s="106" t="str">
        <f t="shared" si="10"/>
        <v>Prevención de errores</v>
      </c>
      <c r="E430" s="106" t="str">
        <f t="shared" si="11"/>
        <v>Eliminación de las condiciones del sistema que confundan o induzcan a errores a las personas usuarias. Es clave verificarlas, ofrecer ejemplos y presentar una opción de confirmación antes de comprometerse con una acción.</v>
      </c>
      <c r="F430" s="141" t="str">
        <f t="shared" si="3"/>
        <v>16.3</v>
      </c>
      <c r="G430" s="92" t="str">
        <f t="shared" si="4"/>
        <v>DESEABLES</v>
      </c>
      <c r="H430" s="128"/>
      <c r="I430" s="128" t="str">
        <f t="shared" si="5"/>
        <v/>
      </c>
      <c r="J430" s="98" t="str">
        <f t="shared" si="6"/>
        <v/>
      </c>
      <c r="K430" s="98" t="str">
        <f t="shared" si="7"/>
        <v/>
      </c>
      <c r="L430" s="141" t="str">
        <f t="shared" ref="L430:N430" si="435">IF(I430="",L429,I430)</f>
        <v>16.3.3</v>
      </c>
      <c r="M430" s="98" t="str">
        <f t="shared" si="435"/>
        <v>Reutilización</v>
      </c>
      <c r="N430" s="98" t="str">
        <f t="shared" si="435"/>
        <v>Disponibilidad de los datos en bruto –sin requerimientos de registro, suscripción o pago ni restricciones de copyright– para que puedan ser reutilizados de modo que puedan crearse nuevas formas de información, interrelación, reusabilidad y nuevos usos.
</v>
      </c>
      <c r="O430" s="223" t="s">
        <v>1822</v>
      </c>
      <c r="P430" s="133" t="s">
        <v>1823</v>
      </c>
      <c r="Q430" s="133" t="s">
        <v>2031</v>
      </c>
      <c r="R430" s="134"/>
      <c r="S430" s="133" t="s">
        <v>1824</v>
      </c>
      <c r="T430" s="133" t="s">
        <v>1825</v>
      </c>
      <c r="U430" s="94"/>
      <c r="V430" s="94"/>
      <c r="W430" s="94"/>
      <c r="X430" s="94"/>
      <c r="Y430" s="94"/>
      <c r="Z430" s="94"/>
      <c r="AA430" s="94"/>
      <c r="AB430" s="94"/>
      <c r="AC430" s="94"/>
      <c r="AD430" s="94"/>
      <c r="AE430" s="94"/>
      <c r="AF430" s="94"/>
      <c r="AG430" s="94"/>
      <c r="AH430" s="94"/>
      <c r="AI430" s="94"/>
      <c r="AJ430" s="94"/>
      <c r="AK430" s="94"/>
      <c r="AL430" s="94"/>
    </row>
    <row r="431" hidden="1">
      <c r="A431" s="86" t="s">
        <v>661</v>
      </c>
      <c r="B431" s="95" t="str">
        <f t="shared" si="2"/>
        <v>Otro</v>
      </c>
      <c r="C431" s="106" t="str">
        <f t="shared" si="9"/>
        <v>17.</v>
      </c>
      <c r="D431" s="106" t="str">
        <f t="shared" si="10"/>
        <v>Prevención de errores</v>
      </c>
      <c r="E431" s="106" t="str">
        <f t="shared" si="11"/>
        <v>Eliminación de las condiciones del sistema que confundan o induzcan a errores a las personas usuarias. Es clave verificarlas, ofrecer ejemplos y presentar una opción de confirmación antes de comprometerse con una acción.</v>
      </c>
      <c r="F431" s="141" t="str">
        <f t="shared" si="3"/>
        <v>17.1</v>
      </c>
      <c r="G431" s="92" t="str">
        <f t="shared" si="4"/>
        <v>IMPRESCINDIBLES</v>
      </c>
      <c r="H431" s="141"/>
      <c r="I431" s="141" t="str">
        <f t="shared" si="5"/>
        <v/>
      </c>
      <c r="J431" s="98" t="str">
        <f t="shared" si="6"/>
        <v/>
      </c>
      <c r="K431" s="98" t="str">
        <f t="shared" si="7"/>
        <v/>
      </c>
      <c r="L431" s="141" t="str">
        <f t="shared" ref="L431:N431" si="436">IF(I431="",L430,I431)</f>
        <v>16.3.3</v>
      </c>
      <c r="M431" s="98" t="str">
        <f t="shared" si="436"/>
        <v>Reutilización</v>
      </c>
      <c r="N431" s="98" t="str">
        <f t="shared" si="436"/>
        <v>Disponibilidad de los datos en bruto –sin requerimientos de registro, suscripción o pago ni restricciones de copyright– para que puedan ser reutilizados de modo que puedan crearse nuevas formas de información, interrelación, reusabilidad y nuevos usos.
</v>
      </c>
      <c r="O431" s="258" t="s">
        <v>1456</v>
      </c>
      <c r="P431" s="137" t="s">
        <v>664</v>
      </c>
      <c r="Q431" s="138"/>
      <c r="R431" s="138"/>
      <c r="S431" s="139">
        <f>COUNTA(P432:P441)</f>
        <v>2</v>
      </c>
      <c r="T431" s="140">
        <f>COUNTIF(U432:U441,"n/a")</f>
        <v>0</v>
      </c>
      <c r="U431" s="94"/>
      <c r="V431" s="94"/>
      <c r="W431" s="94"/>
      <c r="X431" s="94"/>
      <c r="Y431" s="94"/>
      <c r="Z431" s="94"/>
      <c r="AA431" s="94"/>
      <c r="AB431" s="94"/>
      <c r="AC431" s="94"/>
      <c r="AD431" s="94"/>
      <c r="AE431" s="94"/>
      <c r="AF431" s="94"/>
      <c r="AG431" s="94"/>
      <c r="AH431" s="94"/>
      <c r="AI431" s="94"/>
      <c r="AJ431" s="94"/>
      <c r="AK431" s="94"/>
      <c r="AL431" s="94"/>
    </row>
    <row r="432">
      <c r="A432" s="105" t="s">
        <v>661</v>
      </c>
      <c r="B432" s="92" t="str">
        <f t="shared" si="2"/>
        <v>Pregunta</v>
      </c>
      <c r="C432" s="106" t="str">
        <f t="shared" si="9"/>
        <v>17.</v>
      </c>
      <c r="D432" s="106" t="str">
        <f t="shared" si="10"/>
        <v>Prevención de errores</v>
      </c>
      <c r="E432" s="106" t="str">
        <f t="shared" si="11"/>
        <v>Eliminación de las condiciones del sistema que confundan o induzcan a errores a las personas usuarias. Es clave verificarlas, ofrecer ejemplos y presentar una opción de confirmación antes de comprometerse con una acción.</v>
      </c>
      <c r="F432" s="141" t="str">
        <f t="shared" si="3"/>
        <v>17.1</v>
      </c>
      <c r="G432" s="92" t="str">
        <f t="shared" si="4"/>
        <v>IMPRESCINDIBLES</v>
      </c>
      <c r="H432" s="141"/>
      <c r="I432" s="141" t="str">
        <f t="shared" si="5"/>
        <v>17.1.1</v>
      </c>
      <c r="J432" s="98" t="str">
        <f t="shared" si="6"/>
        <v>Entrega de información oportuna</v>
      </c>
      <c r="K432" s="98" t="str">
        <f t="shared" si="7"/>
        <v>Presentación de información sobre los procesos que busca realizar la persona usuaria.</v>
      </c>
      <c r="L432" s="141" t="str">
        <f t="shared" ref="L432:N432" si="437">IF(I432="",L431,I432)</f>
        <v>17.1.1</v>
      </c>
      <c r="M432" s="98" t="str">
        <f t="shared" si="437"/>
        <v>Entrega de información oportuna</v>
      </c>
      <c r="N432" s="98" t="str">
        <f t="shared" si="437"/>
        <v>Presentación de información sobre los procesos que busca realizar la persona usuaria.</v>
      </c>
      <c r="O432" s="262" t="s">
        <v>1457</v>
      </c>
      <c r="P432" s="143" t="s">
        <v>1458</v>
      </c>
      <c r="Q432" s="143" t="s">
        <v>1459</v>
      </c>
      <c r="R432" s="174"/>
      <c r="S432" s="143" t="s">
        <v>2140</v>
      </c>
      <c r="T432" s="164" t="s">
        <v>2033</v>
      </c>
      <c r="U432" s="94"/>
      <c r="V432" s="94"/>
      <c r="W432" s="94"/>
      <c r="X432" s="94"/>
      <c r="Y432" s="94"/>
      <c r="Z432" s="94"/>
      <c r="AA432" s="94"/>
      <c r="AB432" s="94"/>
      <c r="AC432" s="94"/>
      <c r="AD432" s="94"/>
      <c r="AE432" s="94"/>
      <c r="AF432" s="94"/>
      <c r="AG432" s="94"/>
      <c r="AH432" s="94"/>
      <c r="AI432" s="94"/>
      <c r="AJ432" s="94"/>
      <c r="AK432" s="94"/>
      <c r="AL432" s="94"/>
    </row>
    <row r="433">
      <c r="A433" s="105" t="s">
        <v>661</v>
      </c>
      <c r="B433" s="92" t="str">
        <f t="shared" si="2"/>
        <v>Pregunta</v>
      </c>
      <c r="C433" s="106" t="str">
        <f t="shared" si="9"/>
        <v>17.</v>
      </c>
      <c r="D433" s="106" t="str">
        <f t="shared" si="10"/>
        <v>Prevención de errores</v>
      </c>
      <c r="E433" s="106" t="str">
        <f t="shared" si="11"/>
        <v>Eliminación de las condiciones del sistema que confundan o induzcan a errores a las personas usuarias. Es clave verificarlas, ofrecer ejemplos y presentar una opción de confirmación antes de comprometerse con una acción.</v>
      </c>
      <c r="F433" s="141" t="str">
        <f t="shared" si="3"/>
        <v>17.1</v>
      </c>
      <c r="G433" s="92" t="str">
        <f t="shared" si="4"/>
        <v>IMPRESCINDIBLES</v>
      </c>
      <c r="H433" s="141"/>
      <c r="I433" s="141" t="str">
        <f t="shared" si="5"/>
        <v>17.1.2</v>
      </c>
      <c r="J433" s="98" t="str">
        <f t="shared" si="6"/>
        <v>Diseño de formularios</v>
      </c>
      <c r="K433" s="98" t="str">
        <f t="shared" si="7"/>
        <v>Entrega de información clara sobre los errores ocurridos durante el proceso de envío de un formulario.</v>
      </c>
      <c r="L433" s="141" t="str">
        <f t="shared" ref="L433:N433" si="438">IF(I433="",L432,I433)</f>
        <v>17.1.2</v>
      </c>
      <c r="M433" s="98" t="str">
        <f t="shared" si="438"/>
        <v>Diseño de formularios</v>
      </c>
      <c r="N433" s="98" t="str">
        <f t="shared" si="438"/>
        <v>Entrega de información clara sobre los errores ocurridos durante el proceso de envío de un formulario.</v>
      </c>
      <c r="O433" s="147" t="s">
        <v>1461</v>
      </c>
      <c r="P433" s="148" t="s">
        <v>1462</v>
      </c>
      <c r="Q433" s="148" t="s">
        <v>1463</v>
      </c>
      <c r="R433" s="158"/>
      <c r="S433" s="150" t="s">
        <v>2141</v>
      </c>
      <c r="T433" s="160" t="s">
        <v>2033</v>
      </c>
      <c r="U433" s="94"/>
      <c r="V433" s="94"/>
      <c r="W433" s="94"/>
      <c r="X433" s="94"/>
      <c r="Y433" s="94"/>
      <c r="Z433" s="94"/>
      <c r="AA433" s="94"/>
      <c r="AB433" s="94"/>
      <c r="AC433" s="94"/>
      <c r="AD433" s="94"/>
      <c r="AE433" s="94"/>
      <c r="AF433" s="94"/>
      <c r="AG433" s="94"/>
      <c r="AH433" s="94"/>
      <c r="AI433" s="94"/>
      <c r="AJ433" s="94"/>
      <c r="AK433" s="94"/>
      <c r="AL433" s="94"/>
    </row>
    <row r="434">
      <c r="A434" s="86" t="s">
        <v>661</v>
      </c>
      <c r="B434" s="95" t="str">
        <f t="shared" si="2"/>
        <v>Pregunta</v>
      </c>
      <c r="C434" s="106" t="str">
        <f t="shared" si="9"/>
        <v>17.</v>
      </c>
      <c r="D434" s="106" t="str">
        <f t="shared" si="10"/>
        <v>Prevención de errores</v>
      </c>
      <c r="E434" s="106" t="str">
        <f t="shared" si="11"/>
        <v>Eliminación de las condiciones del sistema que confundan o induzcan a errores a las personas usuarias. Es clave verificarlas, ofrecer ejemplos y presentar una opción de confirmación antes de comprometerse con una acción.</v>
      </c>
      <c r="F434" s="141" t="str">
        <f t="shared" si="3"/>
        <v>17.1</v>
      </c>
      <c r="G434" s="92" t="str">
        <f t="shared" si="4"/>
        <v>IMPRESCINDIBLES</v>
      </c>
      <c r="H434" s="141"/>
      <c r="I434" s="141" t="str">
        <f t="shared" si="5"/>
        <v/>
      </c>
      <c r="J434" s="98" t="str">
        <f t="shared" si="6"/>
        <v/>
      </c>
      <c r="K434" s="98" t="str">
        <f t="shared" si="7"/>
        <v/>
      </c>
      <c r="L434" s="141" t="str">
        <f t="shared" ref="L434:N434" si="439">IF(I434="",L433,I434)</f>
        <v>17.1.2</v>
      </c>
      <c r="M434" s="98" t="str">
        <f t="shared" si="439"/>
        <v>Diseño de formularios</v>
      </c>
      <c r="N434" s="98" t="str">
        <f t="shared" si="439"/>
        <v>Entrega de información clara sobre los errores ocurridos durante el proceso de envío de un formulario.</v>
      </c>
      <c r="O434" s="304"/>
      <c r="P434" s="305"/>
      <c r="Q434" s="305"/>
      <c r="R434" s="149"/>
      <c r="S434" s="162" t="s">
        <v>2142</v>
      </c>
      <c r="T434" s="160" t="s">
        <v>2033</v>
      </c>
      <c r="U434" s="94"/>
      <c r="V434" s="94"/>
      <c r="W434" s="94"/>
      <c r="X434" s="94"/>
      <c r="Y434" s="94"/>
      <c r="Z434" s="94"/>
      <c r="AA434" s="94"/>
      <c r="AB434" s="94"/>
      <c r="AC434" s="94"/>
      <c r="AD434" s="94"/>
      <c r="AE434" s="94"/>
      <c r="AF434" s="94"/>
      <c r="AG434" s="94"/>
      <c r="AH434" s="94"/>
      <c r="AI434" s="94"/>
      <c r="AJ434" s="94"/>
      <c r="AK434" s="94"/>
      <c r="AL434" s="94"/>
    </row>
    <row r="435">
      <c r="A435" s="86" t="s">
        <v>661</v>
      </c>
      <c r="B435" s="95" t="str">
        <f t="shared" si="2"/>
        <v>Pregunta</v>
      </c>
      <c r="C435" s="106" t="str">
        <f t="shared" si="9"/>
        <v>17.</v>
      </c>
      <c r="D435" s="106" t="str">
        <f t="shared" si="10"/>
        <v>Prevención de errores</v>
      </c>
      <c r="E435" s="106" t="str">
        <f t="shared" si="11"/>
        <v>Eliminación de las condiciones del sistema que confundan o induzcan a errores a las personas usuarias. Es clave verificarlas, ofrecer ejemplos y presentar una opción de confirmación antes de comprometerse con una acción.</v>
      </c>
      <c r="F435" s="141" t="str">
        <f t="shared" si="3"/>
        <v>17.1</v>
      </c>
      <c r="G435" s="92" t="str">
        <f t="shared" si="4"/>
        <v>IMPRESCINDIBLES</v>
      </c>
      <c r="H435" s="141"/>
      <c r="I435" s="141" t="str">
        <f t="shared" si="5"/>
        <v/>
      </c>
      <c r="J435" s="98" t="str">
        <f t="shared" si="6"/>
        <v/>
      </c>
      <c r="K435" s="98" t="str">
        <f t="shared" si="7"/>
        <v/>
      </c>
      <c r="L435" s="141" t="str">
        <f t="shared" ref="L435:N435" si="440">IF(I435="",L434,I435)</f>
        <v>17.1.2</v>
      </c>
      <c r="M435" s="98" t="str">
        <f t="shared" si="440"/>
        <v>Diseño de formularios</v>
      </c>
      <c r="N435" s="98" t="str">
        <f t="shared" si="440"/>
        <v>Entrega de información clara sobre los errores ocurridos durante el proceso de envío de un formulario.</v>
      </c>
      <c r="O435" s="304"/>
      <c r="P435" s="305"/>
      <c r="Q435" s="305"/>
      <c r="R435" s="149"/>
      <c r="S435" s="162" t="s">
        <v>2143</v>
      </c>
      <c r="T435" s="160" t="s">
        <v>2033</v>
      </c>
      <c r="U435" s="94"/>
      <c r="V435" s="94"/>
      <c r="W435" s="94"/>
      <c r="X435" s="94"/>
      <c r="Y435" s="94"/>
      <c r="Z435" s="94"/>
      <c r="AA435" s="94"/>
      <c r="AB435" s="94"/>
      <c r="AC435" s="94"/>
      <c r="AD435" s="94"/>
      <c r="AE435" s="94"/>
      <c r="AF435" s="94"/>
      <c r="AG435" s="94"/>
      <c r="AH435" s="94"/>
      <c r="AI435" s="94"/>
      <c r="AJ435" s="94"/>
      <c r="AK435" s="94"/>
      <c r="AL435" s="94"/>
    </row>
    <row r="436">
      <c r="A436" s="86" t="s">
        <v>661</v>
      </c>
      <c r="B436" s="95" t="str">
        <f t="shared" si="2"/>
        <v>Pregunta</v>
      </c>
      <c r="C436" s="106" t="str">
        <f t="shared" si="9"/>
        <v>17.</v>
      </c>
      <c r="D436" s="106" t="str">
        <f t="shared" si="10"/>
        <v>Prevención de errores</v>
      </c>
      <c r="E436" s="106" t="str">
        <f t="shared" si="11"/>
        <v>Eliminación de las condiciones del sistema que confundan o induzcan a errores a las personas usuarias. Es clave verificarlas, ofrecer ejemplos y presentar una opción de confirmación antes de comprometerse con una acción.</v>
      </c>
      <c r="F436" s="141" t="str">
        <f t="shared" si="3"/>
        <v>17.1</v>
      </c>
      <c r="G436" s="92" t="str">
        <f t="shared" si="4"/>
        <v>IMPRESCINDIBLES</v>
      </c>
      <c r="H436" s="141"/>
      <c r="I436" s="141" t="str">
        <f t="shared" si="5"/>
        <v/>
      </c>
      <c r="J436" s="98" t="str">
        <f t="shared" si="6"/>
        <v/>
      </c>
      <c r="K436" s="98" t="str">
        <f t="shared" si="7"/>
        <v/>
      </c>
      <c r="L436" s="141" t="str">
        <f t="shared" ref="L436:N436" si="441">IF(I436="",L435,I436)</f>
        <v>17.1.2</v>
      </c>
      <c r="M436" s="98" t="str">
        <f t="shared" si="441"/>
        <v>Diseño de formularios</v>
      </c>
      <c r="N436" s="98" t="str">
        <f t="shared" si="441"/>
        <v>Entrega de información clara sobre los errores ocurridos durante el proceso de envío de un formulario.</v>
      </c>
      <c r="O436" s="304"/>
      <c r="P436" s="305"/>
      <c r="Q436" s="305"/>
      <c r="R436" s="149"/>
      <c r="S436" s="162" t="s">
        <v>2144</v>
      </c>
      <c r="T436" s="160" t="s">
        <v>2033</v>
      </c>
      <c r="U436" s="94"/>
      <c r="V436" s="94"/>
      <c r="W436" s="94"/>
      <c r="X436" s="94"/>
      <c r="Y436" s="94"/>
      <c r="Z436" s="94"/>
      <c r="AA436" s="94"/>
      <c r="AB436" s="94"/>
      <c r="AC436" s="94"/>
      <c r="AD436" s="94"/>
      <c r="AE436" s="94"/>
      <c r="AF436" s="94"/>
      <c r="AG436" s="94"/>
      <c r="AH436" s="94"/>
      <c r="AI436" s="94"/>
      <c r="AJ436" s="94"/>
      <c r="AK436" s="94"/>
      <c r="AL436" s="94"/>
    </row>
    <row r="437">
      <c r="A437" s="86" t="s">
        <v>661</v>
      </c>
      <c r="B437" s="95" t="str">
        <f t="shared" si="2"/>
        <v>Pregunta</v>
      </c>
      <c r="C437" s="106" t="str">
        <f t="shared" si="9"/>
        <v>17.</v>
      </c>
      <c r="D437" s="106" t="str">
        <f t="shared" si="10"/>
        <v>Prevención de errores</v>
      </c>
      <c r="E437" s="106" t="str">
        <f t="shared" si="11"/>
        <v>Eliminación de las condiciones del sistema que confundan o induzcan a errores a las personas usuarias. Es clave verificarlas, ofrecer ejemplos y presentar una opción de confirmación antes de comprometerse con una acción.</v>
      </c>
      <c r="F437" s="141" t="str">
        <f t="shared" si="3"/>
        <v>17.1</v>
      </c>
      <c r="G437" s="92" t="str">
        <f t="shared" si="4"/>
        <v>IMPRESCINDIBLES</v>
      </c>
      <c r="H437" s="141"/>
      <c r="I437" s="141" t="str">
        <f t="shared" si="5"/>
        <v/>
      </c>
      <c r="J437" s="98" t="str">
        <f t="shared" si="6"/>
        <v/>
      </c>
      <c r="K437" s="98" t="str">
        <f t="shared" si="7"/>
        <v/>
      </c>
      <c r="L437" s="141" t="str">
        <f t="shared" ref="L437:N437" si="442">IF(I437="",L436,I437)</f>
        <v>17.1.2</v>
      </c>
      <c r="M437" s="98" t="str">
        <f t="shared" si="442"/>
        <v>Diseño de formularios</v>
      </c>
      <c r="N437" s="98" t="str">
        <f t="shared" si="442"/>
        <v>Entrega de información clara sobre los errores ocurridos durante el proceso de envío de un formulario.</v>
      </c>
      <c r="O437" s="304"/>
      <c r="P437" s="305"/>
      <c r="Q437" s="305"/>
      <c r="R437" s="149"/>
      <c r="S437" s="162" t="s">
        <v>2145</v>
      </c>
      <c r="T437" s="160" t="s">
        <v>2033</v>
      </c>
      <c r="U437" s="94"/>
      <c r="V437" s="94"/>
      <c r="W437" s="94"/>
      <c r="X437" s="94"/>
      <c r="Y437" s="94"/>
      <c r="Z437" s="94"/>
      <c r="AA437" s="94"/>
      <c r="AB437" s="94"/>
      <c r="AC437" s="94"/>
      <c r="AD437" s="94"/>
      <c r="AE437" s="94"/>
      <c r="AF437" s="94"/>
      <c r="AG437" s="94"/>
      <c r="AH437" s="94"/>
      <c r="AI437" s="94"/>
      <c r="AJ437" s="94"/>
      <c r="AK437" s="94"/>
      <c r="AL437" s="94"/>
    </row>
    <row r="438">
      <c r="A438" s="86" t="s">
        <v>661</v>
      </c>
      <c r="B438" s="95" t="str">
        <f t="shared" si="2"/>
        <v>Pregunta</v>
      </c>
      <c r="C438" s="106" t="str">
        <f t="shared" si="9"/>
        <v>17.</v>
      </c>
      <c r="D438" s="106" t="str">
        <f t="shared" si="10"/>
        <v>Prevención de errores</v>
      </c>
      <c r="E438" s="106" t="str">
        <f t="shared" si="11"/>
        <v>Eliminación de las condiciones del sistema que confundan o induzcan a errores a las personas usuarias. Es clave verificarlas, ofrecer ejemplos y presentar una opción de confirmación antes de comprometerse con una acción.</v>
      </c>
      <c r="F438" s="141" t="str">
        <f t="shared" si="3"/>
        <v>17.1</v>
      </c>
      <c r="G438" s="92" t="str">
        <f t="shared" si="4"/>
        <v>IMPRESCINDIBLES</v>
      </c>
      <c r="H438" s="141"/>
      <c r="I438" s="141" t="str">
        <f t="shared" si="5"/>
        <v/>
      </c>
      <c r="J438" s="98" t="str">
        <f t="shared" si="6"/>
        <v/>
      </c>
      <c r="K438" s="98" t="str">
        <f t="shared" si="7"/>
        <v/>
      </c>
      <c r="L438" s="141" t="str">
        <f t="shared" ref="L438:N438" si="443">IF(I438="",L437,I438)</f>
        <v>17.1.2</v>
      </c>
      <c r="M438" s="98" t="str">
        <f t="shared" si="443"/>
        <v>Diseño de formularios</v>
      </c>
      <c r="N438" s="98" t="str">
        <f t="shared" si="443"/>
        <v>Entrega de información clara sobre los errores ocurridos durante el proceso de envío de un formulario.</v>
      </c>
      <c r="O438" s="304"/>
      <c r="P438" s="305"/>
      <c r="Q438" s="305"/>
      <c r="R438" s="161"/>
      <c r="S438" s="162" t="s">
        <v>2146</v>
      </c>
      <c r="T438" s="160" t="s">
        <v>2033</v>
      </c>
      <c r="U438" s="94"/>
      <c r="V438" s="94"/>
      <c r="W438" s="94"/>
      <c r="X438" s="94"/>
      <c r="Y438" s="94"/>
      <c r="Z438" s="94"/>
      <c r="AA438" s="94"/>
      <c r="AB438" s="94"/>
      <c r="AC438" s="94"/>
      <c r="AD438" s="94"/>
      <c r="AE438" s="94"/>
      <c r="AF438" s="94"/>
      <c r="AG438" s="94"/>
      <c r="AH438" s="94"/>
      <c r="AI438" s="94"/>
      <c r="AJ438" s="94"/>
      <c r="AK438" s="94"/>
      <c r="AL438" s="94"/>
    </row>
    <row r="439">
      <c r="A439" s="86" t="s">
        <v>661</v>
      </c>
      <c r="B439" s="95" t="str">
        <f t="shared" si="2"/>
        <v>Pregunta</v>
      </c>
      <c r="C439" s="106" t="str">
        <f t="shared" si="9"/>
        <v>17.</v>
      </c>
      <c r="D439" s="106" t="str">
        <f t="shared" si="10"/>
        <v>Prevención de errores</v>
      </c>
      <c r="E439" s="106" t="str">
        <f t="shared" si="11"/>
        <v>Eliminación de las condiciones del sistema que confundan o induzcan a errores a las personas usuarias. Es clave verificarlas, ofrecer ejemplos y presentar una opción de confirmación antes de comprometerse con una acción.</v>
      </c>
      <c r="F439" s="141" t="str">
        <f t="shared" si="3"/>
        <v>17.1</v>
      </c>
      <c r="G439" s="92" t="str">
        <f t="shared" si="4"/>
        <v>IMPRESCINDIBLES</v>
      </c>
      <c r="H439" s="141"/>
      <c r="I439" s="141" t="str">
        <f t="shared" si="5"/>
        <v/>
      </c>
      <c r="J439" s="98" t="str">
        <f t="shared" si="6"/>
        <v/>
      </c>
      <c r="K439" s="98" t="str">
        <f t="shared" si="7"/>
        <v/>
      </c>
      <c r="L439" s="141" t="str">
        <f t="shared" ref="L439:N439" si="444">IF(I439="",L438,I439)</f>
        <v>17.1.2</v>
      </c>
      <c r="M439" s="98" t="str">
        <f t="shared" si="444"/>
        <v>Diseño de formularios</v>
      </c>
      <c r="N439" s="98" t="str">
        <f t="shared" si="444"/>
        <v>Entrega de información clara sobre los errores ocurridos durante el proceso de envío de un formulario.</v>
      </c>
      <c r="O439" s="304"/>
      <c r="P439" s="305"/>
      <c r="Q439" s="305"/>
      <c r="R439" s="161"/>
      <c r="S439" s="162" t="s">
        <v>2147</v>
      </c>
      <c r="T439" s="160" t="s">
        <v>2033</v>
      </c>
      <c r="U439" s="94"/>
      <c r="V439" s="94"/>
      <c r="W439" s="94"/>
      <c r="X439" s="94"/>
      <c r="Y439" s="94"/>
      <c r="Z439" s="94"/>
      <c r="AA439" s="94"/>
      <c r="AB439" s="94"/>
      <c r="AC439" s="94"/>
      <c r="AD439" s="94"/>
      <c r="AE439" s="94"/>
      <c r="AF439" s="94"/>
      <c r="AG439" s="94"/>
      <c r="AH439" s="94"/>
      <c r="AI439" s="94"/>
      <c r="AJ439" s="94"/>
      <c r="AK439" s="94"/>
      <c r="AL439" s="94"/>
    </row>
    <row r="440">
      <c r="A440" s="86" t="s">
        <v>661</v>
      </c>
      <c r="B440" s="95" t="str">
        <f t="shared" si="2"/>
        <v>Pregunta</v>
      </c>
      <c r="C440" s="106" t="str">
        <f t="shared" si="9"/>
        <v>17.</v>
      </c>
      <c r="D440" s="106" t="str">
        <f t="shared" si="10"/>
        <v>Prevención de errores</v>
      </c>
      <c r="E440" s="106" t="str">
        <f t="shared" si="11"/>
        <v>Eliminación de las condiciones del sistema que confundan o induzcan a errores a las personas usuarias. Es clave verificarlas, ofrecer ejemplos y presentar una opción de confirmación antes de comprometerse con una acción.</v>
      </c>
      <c r="F440" s="141" t="str">
        <f t="shared" si="3"/>
        <v>17.1</v>
      </c>
      <c r="G440" s="92" t="str">
        <f t="shared" si="4"/>
        <v>IMPRESCINDIBLES</v>
      </c>
      <c r="H440" s="141"/>
      <c r="I440" s="141" t="str">
        <f t="shared" si="5"/>
        <v/>
      </c>
      <c r="J440" s="98" t="str">
        <f t="shared" si="6"/>
        <v/>
      </c>
      <c r="K440" s="98" t="str">
        <f t="shared" si="7"/>
        <v/>
      </c>
      <c r="L440" s="141" t="str">
        <f t="shared" ref="L440:N440" si="445">IF(I440="",L439,I440)</f>
        <v>17.1.2</v>
      </c>
      <c r="M440" s="98" t="str">
        <f t="shared" si="445"/>
        <v>Diseño de formularios</v>
      </c>
      <c r="N440" s="98" t="str">
        <f t="shared" si="445"/>
        <v>Entrega de información clara sobre los errores ocurridos durante el proceso de envío de un formulario.</v>
      </c>
      <c r="O440" s="304"/>
      <c r="P440" s="305"/>
      <c r="Q440" s="305"/>
      <c r="R440" s="161"/>
      <c r="S440" s="162" t="s">
        <v>2148</v>
      </c>
      <c r="T440" s="160" t="s">
        <v>2033</v>
      </c>
      <c r="U440" s="94"/>
      <c r="V440" s="94"/>
      <c r="W440" s="94"/>
      <c r="X440" s="94"/>
      <c r="Y440" s="94"/>
      <c r="Z440" s="94"/>
      <c r="AA440" s="94"/>
      <c r="AB440" s="94"/>
      <c r="AC440" s="94"/>
      <c r="AD440" s="94"/>
      <c r="AE440" s="94"/>
      <c r="AF440" s="94"/>
      <c r="AG440" s="94"/>
      <c r="AH440" s="94"/>
      <c r="AI440" s="94"/>
      <c r="AJ440" s="94"/>
      <c r="AK440" s="94"/>
      <c r="AL440" s="94"/>
    </row>
    <row r="441">
      <c r="A441" s="86" t="s">
        <v>661</v>
      </c>
      <c r="B441" s="95" t="str">
        <f t="shared" si="2"/>
        <v>Pregunta</v>
      </c>
      <c r="C441" s="106" t="str">
        <f t="shared" si="9"/>
        <v>17.</v>
      </c>
      <c r="D441" s="106" t="str">
        <f t="shared" si="10"/>
        <v>Prevención de errores</v>
      </c>
      <c r="E441" s="106" t="str">
        <f t="shared" si="11"/>
        <v>Eliminación de las condiciones del sistema que confundan o induzcan a errores a las personas usuarias. Es clave verificarlas, ofrecer ejemplos y presentar una opción de confirmación antes de comprometerse con una acción.</v>
      </c>
      <c r="F441" s="141" t="str">
        <f t="shared" si="3"/>
        <v>17.1</v>
      </c>
      <c r="G441" s="92" t="str">
        <f t="shared" si="4"/>
        <v>IMPRESCINDIBLES</v>
      </c>
      <c r="H441" s="141"/>
      <c r="I441" s="141" t="str">
        <f t="shared" si="5"/>
        <v/>
      </c>
      <c r="J441" s="98" t="str">
        <f t="shared" si="6"/>
        <v/>
      </c>
      <c r="K441" s="98" t="str">
        <f t="shared" si="7"/>
        <v/>
      </c>
      <c r="L441" s="141" t="str">
        <f t="shared" ref="L441:N441" si="446">IF(I441="",L440,I441)</f>
        <v>17.1.2</v>
      </c>
      <c r="M441" s="98" t="str">
        <f t="shared" si="446"/>
        <v>Diseño de formularios</v>
      </c>
      <c r="N441" s="98" t="str">
        <f t="shared" si="446"/>
        <v>Entrega de información clara sobre los errores ocurridos durante el proceso de envío de un formulario.</v>
      </c>
      <c r="O441" s="306"/>
      <c r="P441" s="307"/>
      <c r="Q441" s="307"/>
      <c r="R441" s="174"/>
      <c r="S441" s="143" t="s">
        <v>2149</v>
      </c>
      <c r="T441" s="164" t="s">
        <v>2033</v>
      </c>
      <c r="U441" s="94"/>
      <c r="V441" s="94"/>
      <c r="W441" s="94"/>
      <c r="X441" s="94"/>
      <c r="Y441" s="94"/>
      <c r="Z441" s="94"/>
      <c r="AA441" s="94"/>
      <c r="AB441" s="94"/>
      <c r="AC441" s="94"/>
      <c r="AD441" s="94"/>
      <c r="AE441" s="94"/>
      <c r="AF441" s="94"/>
      <c r="AG441" s="94"/>
      <c r="AH441" s="94"/>
      <c r="AI441" s="94"/>
      <c r="AJ441" s="94"/>
      <c r="AK441" s="94"/>
      <c r="AL441" s="94"/>
    </row>
    <row r="442" hidden="1">
      <c r="A442" s="86" t="s">
        <v>661</v>
      </c>
      <c r="B442" s="95" t="str">
        <f t="shared" si="2"/>
        <v>Otro</v>
      </c>
      <c r="C442" s="106" t="str">
        <f t="shared" si="9"/>
        <v>17.</v>
      </c>
      <c r="D442" s="106" t="str">
        <f t="shared" si="10"/>
        <v>Prevención de errores</v>
      </c>
      <c r="E442" s="106" t="str">
        <f t="shared" si="11"/>
        <v>Eliminación de las condiciones del sistema que confundan o induzcan a errores a las personas usuarias. Es clave verificarlas, ofrecer ejemplos y presentar una opción de confirmación antes de comprometerse con una acción.</v>
      </c>
      <c r="F442" s="141" t="str">
        <f t="shared" si="3"/>
        <v>17.2</v>
      </c>
      <c r="G442" s="92" t="str">
        <f t="shared" si="4"/>
        <v>ESPERABLES</v>
      </c>
      <c r="H442" s="141"/>
      <c r="I442" s="141" t="str">
        <f t="shared" si="5"/>
        <v/>
      </c>
      <c r="J442" s="98" t="str">
        <f t="shared" si="6"/>
        <v/>
      </c>
      <c r="K442" s="98" t="str">
        <f t="shared" si="7"/>
        <v/>
      </c>
      <c r="L442" s="141" t="str">
        <f t="shared" ref="L442:N442" si="447">IF(I442="",L441,I442)</f>
        <v>17.1.2</v>
      </c>
      <c r="M442" s="98" t="str">
        <f t="shared" si="447"/>
        <v>Diseño de formularios</v>
      </c>
      <c r="N442" s="98" t="str">
        <f t="shared" si="447"/>
        <v>Entrega de información clara sobre los errores ocurridos durante el proceso de envío de un formulario.</v>
      </c>
      <c r="O442" s="291" t="s">
        <v>1473</v>
      </c>
      <c r="P442" s="196" t="s">
        <v>714</v>
      </c>
      <c r="Q442" s="177"/>
      <c r="R442" s="177"/>
      <c r="S442" s="197">
        <f>COUNTA(P443:P444)</f>
        <v>1</v>
      </c>
      <c r="T442" s="197">
        <f>COUNTIF(U443:U444,"n/a")</f>
        <v>0</v>
      </c>
      <c r="U442" s="94"/>
      <c r="V442" s="94"/>
      <c r="W442" s="94"/>
      <c r="X442" s="94"/>
      <c r="Y442" s="94"/>
      <c r="Z442" s="94"/>
      <c r="AA442" s="94"/>
      <c r="AB442" s="94"/>
      <c r="AC442" s="94"/>
      <c r="AD442" s="94"/>
      <c r="AE442" s="94"/>
      <c r="AF442" s="94"/>
      <c r="AG442" s="94"/>
      <c r="AH442" s="94"/>
      <c r="AI442" s="94"/>
      <c r="AJ442" s="94"/>
      <c r="AK442" s="94"/>
      <c r="AL442" s="94"/>
    </row>
    <row r="443">
      <c r="A443" s="105" t="s">
        <v>661</v>
      </c>
      <c r="B443" s="92" t="str">
        <f t="shared" si="2"/>
        <v>Pregunta</v>
      </c>
      <c r="C443" s="106" t="str">
        <f t="shared" si="9"/>
        <v>17.</v>
      </c>
      <c r="D443" s="106" t="str">
        <f t="shared" si="10"/>
        <v>Prevención de errores</v>
      </c>
      <c r="E443" s="106" t="str">
        <f t="shared" si="11"/>
        <v>Eliminación de las condiciones del sistema que confundan o induzcan a errores a las personas usuarias. Es clave verificarlas, ofrecer ejemplos y presentar una opción de confirmación antes de comprometerse con una acción.</v>
      </c>
      <c r="F443" s="141" t="str">
        <f t="shared" si="3"/>
        <v>17.2</v>
      </c>
      <c r="G443" s="92" t="str">
        <f t="shared" si="4"/>
        <v>ESPERABLES</v>
      </c>
      <c r="H443" s="141"/>
      <c r="I443" s="141" t="str">
        <f t="shared" si="5"/>
        <v>17.2.1</v>
      </c>
      <c r="J443" s="98" t="str">
        <f t="shared" si="6"/>
        <v>Prevención de errores</v>
      </c>
      <c r="K443" s="98" t="str">
        <f t="shared" si="7"/>
        <v>Eliminación de las condiciones de la interfaz que induzcan a error en las personas usuarias. Los buenos mensajes de error son importantes, pero los mejores diseños evitan que los problemas ocurran.</v>
      </c>
      <c r="L443" s="141" t="str">
        <f t="shared" ref="L443:N443" si="448">IF(I443="",L442,I443)</f>
        <v>17.2.1</v>
      </c>
      <c r="M443" s="98" t="str">
        <f t="shared" si="448"/>
        <v>Prevención de errores</v>
      </c>
      <c r="N443" s="98" t="str">
        <f t="shared" si="448"/>
        <v>Eliminación de las condiciones de la interfaz que induzcan a error en las personas usuarias. Los buenos mensajes de error son importantes, pero los mejores diseños evitan que los problemas ocurran.</v>
      </c>
      <c r="O443" s="147" t="s">
        <v>1474</v>
      </c>
      <c r="P443" s="170" t="s">
        <v>52</v>
      </c>
      <c r="Q443" s="148" t="s">
        <v>1475</v>
      </c>
      <c r="R443" s="158"/>
      <c r="S443" s="170" t="s">
        <v>2150</v>
      </c>
      <c r="T443" s="160" t="s">
        <v>2033</v>
      </c>
      <c r="U443" s="94"/>
      <c r="V443" s="94"/>
      <c r="W443" s="94"/>
      <c r="X443" s="94"/>
      <c r="Y443" s="94"/>
      <c r="Z443" s="94"/>
      <c r="AA443" s="94"/>
      <c r="AB443" s="94"/>
      <c r="AC443" s="94"/>
      <c r="AD443" s="94"/>
      <c r="AE443" s="94"/>
      <c r="AF443" s="94"/>
      <c r="AG443" s="94"/>
      <c r="AH443" s="94"/>
      <c r="AI443" s="94"/>
      <c r="AJ443" s="94"/>
      <c r="AK443" s="94"/>
      <c r="AL443" s="94"/>
    </row>
    <row r="444">
      <c r="A444" s="86" t="s">
        <v>661</v>
      </c>
      <c r="B444" s="95" t="str">
        <f t="shared" si="2"/>
        <v>Pregunta</v>
      </c>
      <c r="C444" s="106" t="str">
        <f t="shared" si="9"/>
        <v>17.</v>
      </c>
      <c r="D444" s="106" t="str">
        <f t="shared" si="10"/>
        <v>Prevención de errores</v>
      </c>
      <c r="E444" s="106" t="str">
        <f t="shared" si="11"/>
        <v>Eliminación de las condiciones del sistema que confundan o induzcan a errores a las personas usuarias. Es clave verificarlas, ofrecer ejemplos y presentar una opción de confirmación antes de comprometerse con una acción.</v>
      </c>
      <c r="F444" s="141" t="str">
        <f t="shared" si="3"/>
        <v>17.2</v>
      </c>
      <c r="G444" s="92" t="str">
        <f t="shared" si="4"/>
        <v>ESPERABLES</v>
      </c>
      <c r="H444" s="141"/>
      <c r="I444" s="141" t="str">
        <f t="shared" si="5"/>
        <v/>
      </c>
      <c r="J444" s="98" t="str">
        <f t="shared" si="6"/>
        <v/>
      </c>
      <c r="K444" s="98" t="str">
        <f t="shared" si="7"/>
        <v/>
      </c>
      <c r="L444" s="141" t="str">
        <f t="shared" ref="L444:N444" si="449">IF(I444="",L443,I444)</f>
        <v>17.2.1</v>
      </c>
      <c r="M444" s="98" t="str">
        <f t="shared" si="449"/>
        <v>Prevención de errores</v>
      </c>
      <c r="N444" s="98" t="str">
        <f t="shared" si="449"/>
        <v>Eliminación de las condiciones de la interfaz que induzcan a error en las personas usuarias. Los buenos mensajes de error son importantes, pero los mejores diseños evitan que los problemas ocurran.</v>
      </c>
      <c r="O444" s="308"/>
      <c r="P444" s="174"/>
      <c r="Q444" s="307"/>
      <c r="R444" s="174"/>
      <c r="S444" s="143" t="s">
        <v>2151</v>
      </c>
      <c r="T444" s="164" t="s">
        <v>2033</v>
      </c>
      <c r="U444" s="94"/>
      <c r="V444" s="94"/>
      <c r="W444" s="94"/>
      <c r="X444" s="94"/>
      <c r="Y444" s="94"/>
      <c r="Z444" s="94"/>
      <c r="AA444" s="94"/>
      <c r="AB444" s="94"/>
      <c r="AC444" s="94"/>
      <c r="AD444" s="94"/>
      <c r="AE444" s="94"/>
      <c r="AF444" s="94"/>
      <c r="AG444" s="94"/>
      <c r="AH444" s="94"/>
      <c r="AI444" s="94"/>
      <c r="AJ444" s="94"/>
      <c r="AK444" s="94"/>
      <c r="AL444" s="94"/>
    </row>
    <row r="445" hidden="1">
      <c r="A445" s="86" t="s">
        <v>661</v>
      </c>
      <c r="B445" s="95" t="str">
        <f t="shared" si="2"/>
        <v>Otro</v>
      </c>
      <c r="C445" s="106" t="str">
        <f t="shared" si="9"/>
        <v>18. </v>
      </c>
      <c r="D445" s="106" t="str">
        <f t="shared" si="10"/>
        <v>Facilidad de acceso e independencia tecnológica</v>
      </c>
      <c r="E445" s="106" t="str">
        <f t="shared" si="11"/>
        <v>Condición del sitio web que permite a las personas usuarias acceder a la información expedita y oportuna, independiente de la calidad o tipo de dispositivo a través del que se está conectando.</v>
      </c>
      <c r="F445" s="141" t="str">
        <f t="shared" si="3"/>
        <v>17.2</v>
      </c>
      <c r="G445" s="92" t="str">
        <f t="shared" si="4"/>
        <v>ESPERABLES</v>
      </c>
      <c r="H445" s="107"/>
      <c r="I445" s="107" t="str">
        <f t="shared" si="5"/>
        <v/>
      </c>
      <c r="J445" s="98" t="str">
        <f t="shared" si="6"/>
        <v/>
      </c>
      <c r="K445" s="98" t="str">
        <f t="shared" si="7"/>
        <v/>
      </c>
      <c r="L445" s="141" t="str">
        <f t="shared" ref="L445:N445" si="450">IF(I445="",L444,I445)</f>
        <v>17.2.1</v>
      </c>
      <c r="M445" s="98" t="str">
        <f t="shared" si="450"/>
        <v>Prevención de errores</v>
      </c>
      <c r="N445" s="98" t="str">
        <f t="shared" si="450"/>
        <v>Eliminación de las condiciones de la interfaz que induzcan a error en las personas usuarias. Los buenos mensajes de error son importantes, pero los mejores diseños evitan que los problemas ocurran.</v>
      </c>
      <c r="O445" s="220" t="s">
        <v>1478</v>
      </c>
      <c r="P445" s="112" t="s">
        <v>54</v>
      </c>
      <c r="Q445" s="309"/>
      <c r="R445" s="114"/>
      <c r="S445" s="115" t="s">
        <v>1479</v>
      </c>
      <c r="T445" s="116" t="s">
        <v>16</v>
      </c>
      <c r="U445" s="94"/>
      <c r="V445" s="94"/>
      <c r="W445" s="94"/>
      <c r="X445" s="94"/>
      <c r="Y445" s="94"/>
      <c r="Z445" s="94"/>
      <c r="AA445" s="94"/>
      <c r="AB445" s="94"/>
      <c r="AC445" s="94"/>
      <c r="AD445" s="94"/>
      <c r="AE445" s="94"/>
      <c r="AF445" s="94"/>
      <c r="AG445" s="94"/>
      <c r="AH445" s="94"/>
      <c r="AI445" s="94"/>
      <c r="AJ445" s="94"/>
      <c r="AK445" s="94"/>
      <c r="AL445" s="94"/>
    </row>
    <row r="446" hidden="1">
      <c r="A446" s="86" t="s">
        <v>661</v>
      </c>
      <c r="B446" s="95" t="str">
        <f t="shared" si="2"/>
        <v>Otro</v>
      </c>
      <c r="C446" s="106" t="str">
        <f t="shared" si="9"/>
        <v>18. </v>
      </c>
      <c r="D446" s="106" t="str">
        <f t="shared" si="10"/>
        <v>Facilidad de acceso e independencia tecnológica</v>
      </c>
      <c r="E446" s="106" t="str">
        <f t="shared" si="11"/>
        <v>Condición del sitio web que permite a las personas usuarias acceder a la información expedita y oportuna, independiente de la calidad o tipo de dispositivo a través del que se está conectando.</v>
      </c>
      <c r="F446" s="141" t="str">
        <f t="shared" si="3"/>
        <v>17.2</v>
      </c>
      <c r="G446" s="92" t="str">
        <f t="shared" si="4"/>
        <v>ESPERABLES</v>
      </c>
      <c r="H446" s="107"/>
      <c r="I446" s="107" t="str">
        <f t="shared" si="5"/>
        <v/>
      </c>
      <c r="J446" s="98" t="str">
        <f t="shared" si="6"/>
        <v/>
      </c>
      <c r="K446" s="98" t="str">
        <f t="shared" si="7"/>
        <v/>
      </c>
      <c r="L446" s="141" t="str">
        <f t="shared" ref="L446:N446" si="451">IF(I446="",L445,I446)</f>
        <v>17.2.1</v>
      </c>
      <c r="M446" s="98" t="str">
        <f t="shared" si="451"/>
        <v>Prevención de errores</v>
      </c>
      <c r="N446" s="98" t="str">
        <f t="shared" si="451"/>
        <v>Eliminación de las condiciones de la interfaz que induzcan a error en las personas usuarias. Los buenos mensajes de error son importantes, pero los mejores diseños evitan que los problemas ocurran.</v>
      </c>
      <c r="O446" s="310"/>
      <c r="P446" s="311"/>
      <c r="Q446" s="310"/>
      <c r="R446" s="114"/>
      <c r="S446" s="239"/>
      <c r="T446" s="241"/>
      <c r="U446" s="94"/>
      <c r="V446" s="94"/>
      <c r="W446" s="94"/>
      <c r="X446" s="94"/>
      <c r="Y446" s="94"/>
      <c r="Z446" s="94"/>
      <c r="AA446" s="94"/>
      <c r="AB446" s="94"/>
      <c r="AC446" s="94"/>
      <c r="AD446" s="94"/>
      <c r="AE446" s="94"/>
      <c r="AF446" s="94"/>
      <c r="AG446" s="94"/>
      <c r="AH446" s="94"/>
      <c r="AI446" s="94"/>
      <c r="AJ446" s="94"/>
      <c r="AK446" s="94"/>
      <c r="AL446" s="94"/>
    </row>
    <row r="447" hidden="1">
      <c r="A447" s="86" t="s">
        <v>661</v>
      </c>
      <c r="B447" s="95" t="str">
        <f t="shared" si="2"/>
        <v>Otro</v>
      </c>
      <c r="C447" s="106" t="str">
        <f t="shared" si="9"/>
        <v>18. </v>
      </c>
      <c r="D447" s="106" t="str">
        <f t="shared" si="10"/>
        <v>Facilidad de acceso e independencia tecnológica</v>
      </c>
      <c r="E447" s="106" t="str">
        <f t="shared" si="11"/>
        <v>Condición del sitio web que permite a las personas usuarias acceder a la información expedita y oportuna, independiente de la calidad o tipo de dispositivo a través del que se está conectando.</v>
      </c>
      <c r="F447" s="141" t="str">
        <f t="shared" si="3"/>
        <v>17.2</v>
      </c>
      <c r="G447" s="92" t="str">
        <f t="shared" si="4"/>
        <v>ESPERABLES</v>
      </c>
      <c r="H447" s="107"/>
      <c r="I447" s="107" t="str">
        <f t="shared" si="5"/>
        <v/>
      </c>
      <c r="J447" s="98" t="str">
        <f t="shared" si="6"/>
        <v/>
      </c>
      <c r="K447" s="98" t="str">
        <f t="shared" si="7"/>
        <v/>
      </c>
      <c r="L447" s="141" t="str">
        <f t="shared" ref="L447:N447" si="452">IF(I447="",L446,I447)</f>
        <v>17.2.1</v>
      </c>
      <c r="M447" s="98" t="str">
        <f t="shared" si="452"/>
        <v>Prevención de errores</v>
      </c>
      <c r="N447" s="98" t="str">
        <f t="shared" si="452"/>
        <v>Eliminación de las condiciones de la interfaz que induzcan a error en las personas usuarias. Los buenos mensajes de error son importantes, pero los mejores diseños evitan que los problemas ocurran.</v>
      </c>
      <c r="O447" s="312"/>
      <c r="P447" s="313"/>
      <c r="Q447" s="312"/>
      <c r="R447" s="114"/>
      <c r="S447" s="240"/>
      <c r="T447" s="241"/>
      <c r="U447" s="94"/>
      <c r="V447" s="94"/>
      <c r="W447" s="94"/>
      <c r="X447" s="94"/>
      <c r="Y447" s="94"/>
      <c r="Z447" s="94"/>
      <c r="AA447" s="94"/>
      <c r="AB447" s="94"/>
      <c r="AC447" s="94"/>
      <c r="AD447" s="94"/>
      <c r="AE447" s="94"/>
      <c r="AF447" s="94"/>
      <c r="AG447" s="94"/>
      <c r="AH447" s="94"/>
      <c r="AI447" s="94"/>
      <c r="AJ447" s="94"/>
      <c r="AK447" s="94"/>
      <c r="AL447" s="94"/>
    </row>
    <row r="448" hidden="1">
      <c r="A448" s="86" t="s">
        <v>661</v>
      </c>
      <c r="B448" s="95" t="str">
        <f t="shared" si="2"/>
        <v>Otro</v>
      </c>
      <c r="C448" s="106" t="str">
        <f t="shared" si="9"/>
        <v>18. </v>
      </c>
      <c r="D448" s="106" t="str">
        <f t="shared" si="10"/>
        <v>Facilidad de acceso e independencia tecnológica</v>
      </c>
      <c r="E448" s="106" t="str">
        <f t="shared" si="11"/>
        <v>Condición del sitio web que permite a las personas usuarias acceder a la información expedita y oportuna, independiente de la calidad o tipo de dispositivo a través del que se está conectando.</v>
      </c>
      <c r="F448" s="141" t="str">
        <f t="shared" si="3"/>
        <v>17.2</v>
      </c>
      <c r="G448" s="92" t="str">
        <f t="shared" si="4"/>
        <v>ESPERABLES</v>
      </c>
      <c r="H448" s="96"/>
      <c r="I448" s="96" t="str">
        <f t="shared" si="5"/>
        <v/>
      </c>
      <c r="J448" s="98" t="str">
        <f t="shared" si="6"/>
        <v/>
      </c>
      <c r="K448" s="98" t="str">
        <f t="shared" si="7"/>
        <v/>
      </c>
      <c r="L448" s="141" t="str">
        <f t="shared" ref="L448:N448" si="453">IF(I448="",L447,I448)</f>
        <v>17.2.1</v>
      </c>
      <c r="M448" s="98" t="str">
        <f t="shared" si="453"/>
        <v>Prevención de errores</v>
      </c>
      <c r="N448" s="98" t="str">
        <f t="shared" si="453"/>
        <v>Eliminación de las condiciones de la interfaz que induzcan a error en las personas usuarias. Los buenos mensajes de error son importantes, pero los mejores diseños evitan que los problemas ocurran.</v>
      </c>
      <c r="O448" s="104"/>
      <c r="P448" s="114"/>
      <c r="Q448" s="114"/>
      <c r="R448" s="114"/>
      <c r="S448" s="114"/>
      <c r="T448" s="127"/>
      <c r="U448" s="94"/>
      <c r="V448" s="94"/>
      <c r="W448" s="94"/>
      <c r="X448" s="94"/>
      <c r="Y448" s="94"/>
      <c r="Z448" s="94"/>
      <c r="AA448" s="94"/>
      <c r="AB448" s="94"/>
      <c r="AC448" s="94"/>
      <c r="AD448" s="94"/>
      <c r="AE448" s="94"/>
      <c r="AF448" s="94"/>
      <c r="AG448" s="94"/>
      <c r="AH448" s="94"/>
      <c r="AI448" s="94"/>
      <c r="AJ448" s="94"/>
      <c r="AK448" s="94"/>
      <c r="AL448" s="94"/>
    </row>
    <row r="449" hidden="1">
      <c r="A449" s="86" t="s">
        <v>661</v>
      </c>
      <c r="B449" s="95" t="str">
        <f t="shared" si="2"/>
        <v>Otro</v>
      </c>
      <c r="C449" s="106" t="str">
        <f t="shared" si="9"/>
        <v>18. </v>
      </c>
      <c r="D449" s="106" t="str">
        <f t="shared" si="10"/>
        <v>Facilidad de acceso e independencia tecnológica</v>
      </c>
      <c r="E449" s="106" t="str">
        <f t="shared" si="11"/>
        <v>Condición del sitio web que permite a las personas usuarias acceder a la información expedita y oportuna, independiente de la calidad o tipo de dispositivo a través del que se está conectando.</v>
      </c>
      <c r="F449" s="141" t="str">
        <f t="shared" si="3"/>
        <v>17.2</v>
      </c>
      <c r="G449" s="92" t="str">
        <f t="shared" si="4"/>
        <v>ESPERABLES</v>
      </c>
      <c r="H449" s="128"/>
      <c r="I449" s="128" t="str">
        <f t="shared" si="5"/>
        <v/>
      </c>
      <c r="J449" s="98" t="str">
        <f t="shared" si="6"/>
        <v/>
      </c>
      <c r="K449" s="98" t="str">
        <f t="shared" si="7"/>
        <v/>
      </c>
      <c r="L449" s="141" t="str">
        <f t="shared" ref="L449:N449" si="454">IF(I449="",L448,I449)</f>
        <v>17.2.1</v>
      </c>
      <c r="M449" s="98" t="str">
        <f t="shared" si="454"/>
        <v>Prevención de errores</v>
      </c>
      <c r="N449" s="98" t="str">
        <f t="shared" si="454"/>
        <v>Eliminación de las condiciones de la interfaz que induzcan a error en las personas usuarias. Los buenos mensajes de error son importantes, pero los mejores diseños evitan que los problemas ocurran.</v>
      </c>
      <c r="O449" s="223" t="s">
        <v>1822</v>
      </c>
      <c r="P449" s="133" t="s">
        <v>1823</v>
      </c>
      <c r="Q449" s="133" t="s">
        <v>2031</v>
      </c>
      <c r="R449" s="134"/>
      <c r="S449" s="133" t="s">
        <v>1824</v>
      </c>
      <c r="T449" s="133" t="s">
        <v>1825</v>
      </c>
      <c r="U449" s="94"/>
      <c r="V449" s="94"/>
      <c r="W449" s="94"/>
      <c r="X449" s="94"/>
      <c r="Y449" s="94"/>
      <c r="Z449" s="94"/>
      <c r="AA449" s="94"/>
      <c r="AB449" s="94"/>
      <c r="AC449" s="94"/>
      <c r="AD449" s="94"/>
      <c r="AE449" s="94"/>
      <c r="AF449" s="94"/>
      <c r="AG449" s="94"/>
      <c r="AH449" s="94"/>
      <c r="AI449" s="94"/>
      <c r="AJ449" s="94"/>
      <c r="AK449" s="94"/>
      <c r="AL449" s="94"/>
    </row>
    <row r="450" hidden="1">
      <c r="A450" s="86" t="s">
        <v>661</v>
      </c>
      <c r="B450" s="95" t="str">
        <f t="shared" si="2"/>
        <v>Otro</v>
      </c>
      <c r="C450" s="106" t="str">
        <f t="shared" si="9"/>
        <v>18. </v>
      </c>
      <c r="D450" s="106" t="str">
        <f t="shared" si="10"/>
        <v>Facilidad de acceso e independencia tecnológica</v>
      </c>
      <c r="E450" s="106" t="str">
        <f t="shared" si="11"/>
        <v>Condición del sitio web que permite a las personas usuarias acceder a la información expedita y oportuna, independiente de la calidad o tipo de dispositivo a través del que se está conectando.</v>
      </c>
      <c r="F450" s="141" t="str">
        <f t="shared" si="3"/>
        <v>18.1</v>
      </c>
      <c r="G450" s="92" t="str">
        <f t="shared" si="4"/>
        <v>IMPRESCINDIBLES</v>
      </c>
      <c r="H450" s="141"/>
      <c r="I450" s="141" t="str">
        <f t="shared" si="5"/>
        <v/>
      </c>
      <c r="J450" s="98" t="str">
        <f t="shared" si="6"/>
        <v/>
      </c>
      <c r="K450" s="98" t="str">
        <f t="shared" si="7"/>
        <v/>
      </c>
      <c r="L450" s="141" t="str">
        <f t="shared" ref="L450:N450" si="455">IF(I450="",L449,I450)</f>
        <v>17.2.1</v>
      </c>
      <c r="M450" s="98" t="str">
        <f t="shared" si="455"/>
        <v>Prevención de errores</v>
      </c>
      <c r="N450" s="98" t="str">
        <f t="shared" si="455"/>
        <v>Eliminación de las condiciones de la interfaz que induzcan a error en las personas usuarias. Los buenos mensajes de error son importantes, pero los mejores diseños evitan que los problemas ocurran.</v>
      </c>
      <c r="O450" s="258" t="s">
        <v>1480</v>
      </c>
      <c r="P450" s="137" t="s">
        <v>664</v>
      </c>
      <c r="Q450" s="138"/>
      <c r="R450" s="138"/>
      <c r="S450" s="139">
        <f>COUNTA(P451:P456)</f>
        <v>5</v>
      </c>
      <c r="T450" s="140">
        <f>COUNTIF(U451:U456,"n/a")</f>
        <v>0</v>
      </c>
      <c r="U450" s="94"/>
      <c r="V450" s="94"/>
      <c r="W450" s="94"/>
      <c r="X450" s="94"/>
      <c r="Y450" s="94"/>
      <c r="Z450" s="94"/>
      <c r="AA450" s="94"/>
      <c r="AB450" s="94"/>
      <c r="AC450" s="94"/>
      <c r="AD450" s="94"/>
      <c r="AE450" s="94"/>
      <c r="AF450" s="94"/>
      <c r="AG450" s="94"/>
      <c r="AH450" s="94"/>
      <c r="AI450" s="94"/>
      <c r="AJ450" s="94"/>
      <c r="AK450" s="94"/>
      <c r="AL450" s="94"/>
    </row>
    <row r="451">
      <c r="A451" s="105" t="s">
        <v>661</v>
      </c>
      <c r="B451" s="92" t="str">
        <f t="shared" si="2"/>
        <v>Pregunta</v>
      </c>
      <c r="C451" s="106" t="str">
        <f t="shared" si="9"/>
        <v>18. </v>
      </c>
      <c r="D451" s="106" t="str">
        <f t="shared" si="10"/>
        <v>Facilidad de acceso e independencia tecnológica</v>
      </c>
      <c r="E451" s="106" t="str">
        <f t="shared" si="11"/>
        <v>Condición del sitio web que permite a las personas usuarias acceder a la información expedita y oportuna, independiente de la calidad o tipo de dispositivo a través del que se está conectando.</v>
      </c>
      <c r="F451" s="141" t="str">
        <f t="shared" si="3"/>
        <v>18.1</v>
      </c>
      <c r="G451" s="92" t="str">
        <f t="shared" si="4"/>
        <v>IMPRESCINDIBLES</v>
      </c>
      <c r="H451" s="141"/>
      <c r="I451" s="141" t="str">
        <f t="shared" si="5"/>
        <v>18.1.1</v>
      </c>
      <c r="J451" s="98" t="str">
        <f t="shared" si="6"/>
        <v>Velocidad de acceso
</v>
      </c>
      <c r="K451" s="98" t="str">
        <f t="shared" si="7"/>
        <v>Rapidez con la que las personas usuarias pueden cargar y acceder al contenido de un sitio web. Es un factor crítico en la experiencia del usuario y puede influir significativamente en la retención de visitantes, la tasa de rebote y el posicionamiento en los motores de búsqueda.
</v>
      </c>
      <c r="L451" s="141" t="str">
        <f t="shared" ref="L451:N451" si="456">IF(I451="",L450,I451)</f>
        <v>18.1.1</v>
      </c>
      <c r="M451" s="98" t="str">
        <f t="shared" si="456"/>
        <v>Velocidad de acceso
</v>
      </c>
      <c r="N451" s="98" t="str">
        <f t="shared" si="456"/>
        <v>Rapidez con la que las personas usuarias pueden cargar y acceder al contenido de un sitio web. Es un factor crítico en la experiencia del usuario y puede influir significativamente en la retención de visitantes, la tasa de rebote y el posicionamiento en los motores de búsqueda.
</v>
      </c>
      <c r="O451" s="314" t="s">
        <v>1481</v>
      </c>
      <c r="P451" s="166" t="s">
        <v>1482</v>
      </c>
      <c r="Q451" s="166" t="s">
        <v>1483</v>
      </c>
      <c r="R451" s="211"/>
      <c r="S451" s="213" t="s">
        <v>2152</v>
      </c>
      <c r="T451" s="164" t="s">
        <v>2033</v>
      </c>
      <c r="U451" s="94"/>
      <c r="V451" s="94"/>
      <c r="W451" s="94"/>
      <c r="X451" s="94"/>
      <c r="Y451" s="94"/>
      <c r="Z451" s="94"/>
      <c r="AA451" s="94"/>
      <c r="AB451" s="94"/>
      <c r="AC451" s="94"/>
      <c r="AD451" s="94"/>
      <c r="AE451" s="94"/>
      <c r="AF451" s="94"/>
      <c r="AG451" s="94"/>
      <c r="AH451" s="94"/>
      <c r="AI451" s="94"/>
      <c r="AJ451" s="94"/>
      <c r="AK451" s="94"/>
      <c r="AL451" s="94"/>
    </row>
    <row r="452">
      <c r="A452" s="105" t="s">
        <v>661</v>
      </c>
      <c r="B452" s="92" t="str">
        <f t="shared" si="2"/>
        <v>Pregunta</v>
      </c>
      <c r="C452" s="106" t="str">
        <f t="shared" si="9"/>
        <v>18. </v>
      </c>
      <c r="D452" s="106" t="str">
        <f t="shared" si="10"/>
        <v>Facilidad de acceso e independencia tecnológica</v>
      </c>
      <c r="E452" s="106" t="str">
        <f t="shared" si="11"/>
        <v>Condición del sitio web que permite a las personas usuarias acceder a la información expedita y oportuna, independiente de la calidad o tipo de dispositivo a través del que se está conectando.</v>
      </c>
      <c r="F452" s="141" t="str">
        <f t="shared" si="3"/>
        <v>18.1</v>
      </c>
      <c r="G452" s="92" t="str">
        <f t="shared" si="4"/>
        <v>IMPRESCINDIBLES</v>
      </c>
      <c r="H452" s="141"/>
      <c r="I452" s="141" t="str">
        <f t="shared" si="5"/>
        <v>18.1.2</v>
      </c>
      <c r="J452" s="98" t="str">
        <f t="shared" si="6"/>
        <v>Compatibilidad de navegadores
</v>
      </c>
      <c r="K452" s="98" t="str">
        <f t="shared" si="7"/>
        <v>Garantía de acceso y correcta visualización de los sitios web en los diversos navegadores de Internet.
</v>
      </c>
      <c r="L452" s="141" t="str">
        <f t="shared" ref="L452:N452" si="457">IF(I452="",L451,I452)</f>
        <v>18.1.2</v>
      </c>
      <c r="M452" s="98" t="str">
        <f t="shared" si="457"/>
        <v>Compatibilidad de navegadores
</v>
      </c>
      <c r="N452" s="98" t="str">
        <f t="shared" si="457"/>
        <v>Garantía de acceso y correcta visualización de los sitios web en los diversos navegadores de Internet.
</v>
      </c>
      <c r="O452" s="165" t="s">
        <v>1485</v>
      </c>
      <c r="P452" s="166" t="s">
        <v>1486</v>
      </c>
      <c r="Q452" s="166" t="s">
        <v>1487</v>
      </c>
      <c r="R452" s="211"/>
      <c r="S452" s="166" t="s">
        <v>1488</v>
      </c>
      <c r="T452" s="164" t="s">
        <v>2033</v>
      </c>
      <c r="U452" s="94"/>
      <c r="V452" s="94"/>
      <c r="W452" s="94"/>
      <c r="X452" s="94"/>
      <c r="Y452" s="94"/>
      <c r="Z452" s="94"/>
      <c r="AA452" s="94"/>
      <c r="AB452" s="94"/>
      <c r="AC452" s="94"/>
      <c r="AD452" s="94"/>
      <c r="AE452" s="94"/>
      <c r="AF452" s="94"/>
      <c r="AG452" s="94"/>
      <c r="AH452" s="94"/>
      <c r="AI452" s="94"/>
      <c r="AJ452" s="94"/>
      <c r="AK452" s="94"/>
      <c r="AL452" s="94"/>
    </row>
    <row r="453">
      <c r="A453" s="105" t="s">
        <v>661</v>
      </c>
      <c r="B453" s="92" t="str">
        <f t="shared" si="2"/>
        <v>Pregunta</v>
      </c>
      <c r="C453" s="106" t="str">
        <f t="shared" si="9"/>
        <v>18. </v>
      </c>
      <c r="D453" s="106" t="str">
        <f t="shared" si="10"/>
        <v>Facilidad de acceso e independencia tecnológica</v>
      </c>
      <c r="E453" s="106" t="str">
        <f t="shared" si="11"/>
        <v>Condición del sitio web que permite a las personas usuarias acceder a la información expedita y oportuna, independiente de la calidad o tipo de dispositivo a través del que se está conectando.</v>
      </c>
      <c r="F453" s="141" t="str">
        <f t="shared" si="3"/>
        <v>18.1</v>
      </c>
      <c r="G453" s="92" t="str">
        <f t="shared" si="4"/>
        <v>IMPRESCINDIBLES</v>
      </c>
      <c r="H453" s="141"/>
      <c r="I453" s="141" t="str">
        <f t="shared" si="5"/>
        <v>18.1.3</v>
      </c>
      <c r="J453" s="98" t="str">
        <f t="shared" si="6"/>
        <v>Accesibilidad técnica
</v>
      </c>
      <c r="K453" s="98" t="str">
        <f t="shared" si="7"/>
        <v>Capacidad de un sitio web para ser accesible y funcional en una amplia gama de dispositivos y tecnologías, sin importar las limitaciones técnicas o las preferencias de la persona usuaria. Esto implica que el sitio web debe ser diseñado y desarrollado de manera que pueda ser utilizado fácilmente por cualquier persona, independientemente del dispositivo que estén utilizando.
</v>
      </c>
      <c r="L453" s="141" t="str">
        <f t="shared" ref="L453:N453" si="458">IF(I453="",L452,I453)</f>
        <v>18.1.3</v>
      </c>
      <c r="M453" s="98" t="str">
        <f t="shared" si="458"/>
        <v>Accesibilidad técnica
</v>
      </c>
      <c r="N453" s="98" t="str">
        <f t="shared" si="458"/>
        <v>Capacidad de un sitio web para ser accesible y funcional en una amplia gama de dispositivos y tecnologías, sin importar las limitaciones técnicas o las preferencias de la persona usuaria. Esto implica que el sitio web debe ser diseñado y desarrollado de manera que pueda ser utilizado fácilmente por cualquier persona, independientemente del dispositivo que estén utilizando.
</v>
      </c>
      <c r="O453" s="314" t="s">
        <v>1489</v>
      </c>
      <c r="P453" s="166" t="s">
        <v>1490</v>
      </c>
      <c r="Q453" s="166" t="s">
        <v>1491</v>
      </c>
      <c r="R453" s="211"/>
      <c r="S453" s="166" t="s">
        <v>1492</v>
      </c>
      <c r="T453" s="164" t="s">
        <v>2033</v>
      </c>
      <c r="U453" s="94"/>
      <c r="V453" s="94"/>
      <c r="W453" s="94"/>
      <c r="X453" s="94"/>
      <c r="Y453" s="94"/>
      <c r="Z453" s="94"/>
      <c r="AA453" s="94"/>
      <c r="AB453" s="94"/>
      <c r="AC453" s="94"/>
      <c r="AD453" s="94"/>
      <c r="AE453" s="94"/>
      <c r="AF453" s="94"/>
      <c r="AG453" s="94"/>
      <c r="AH453" s="94"/>
      <c r="AI453" s="94"/>
      <c r="AJ453" s="94"/>
      <c r="AK453" s="94"/>
      <c r="AL453" s="94"/>
    </row>
    <row r="454">
      <c r="A454" s="105" t="s">
        <v>661</v>
      </c>
      <c r="B454" s="92" t="str">
        <f t="shared" si="2"/>
        <v>Pregunta</v>
      </c>
      <c r="C454" s="106" t="str">
        <f t="shared" si="9"/>
        <v>18. </v>
      </c>
      <c r="D454" s="106" t="str">
        <f t="shared" si="10"/>
        <v>Facilidad de acceso e independencia tecnológica</v>
      </c>
      <c r="E454" s="106" t="str">
        <f t="shared" si="11"/>
        <v>Condición del sitio web que permite a las personas usuarias acceder a la información expedita y oportuna, independiente de la calidad o tipo de dispositivo a través del que se está conectando.</v>
      </c>
      <c r="F454" s="141" t="str">
        <f t="shared" si="3"/>
        <v>18.1</v>
      </c>
      <c r="G454" s="92" t="str">
        <f t="shared" si="4"/>
        <v>IMPRESCINDIBLES</v>
      </c>
      <c r="H454" s="141"/>
      <c r="I454" s="141" t="str">
        <f t="shared" si="5"/>
        <v>18.1.4</v>
      </c>
      <c r="J454" s="98" t="str">
        <f t="shared" si="6"/>
        <v>Independencia de conectividad
</v>
      </c>
      <c r="K454" s="98" t="str">
        <f t="shared" si="7"/>
        <v>Grado de equidad con que el sitio web brinda acceso a la ciudadanía, independientemente de sus diversos dispositivos y la continuidad, la calidad de señal y la rapidez de su conexión a internet.
</v>
      </c>
      <c r="L454" s="141" t="str">
        <f t="shared" ref="L454:N454" si="459">IF(I454="",L453,I454)</f>
        <v>18.1.4</v>
      </c>
      <c r="M454" s="98" t="str">
        <f t="shared" si="459"/>
        <v>Independencia de conectividad
</v>
      </c>
      <c r="N454" s="98" t="str">
        <f t="shared" si="459"/>
        <v>Grado de equidad con que el sitio web brinda acceso a la ciudadanía, independientemente de sus diversos dispositivos y la continuidad, la calidad de señal y la rapidez de su conexión a internet.
</v>
      </c>
      <c r="O454" s="315" t="s">
        <v>1493</v>
      </c>
      <c r="P454" s="148" t="s">
        <v>1494</v>
      </c>
      <c r="Q454" s="148" t="s">
        <v>1495</v>
      </c>
      <c r="R454" s="158"/>
      <c r="S454" s="170" t="s">
        <v>1496</v>
      </c>
      <c r="T454" s="160" t="s">
        <v>2033</v>
      </c>
      <c r="U454" s="94"/>
      <c r="V454" s="94"/>
      <c r="W454" s="94"/>
      <c r="X454" s="94"/>
      <c r="Y454" s="94"/>
      <c r="Z454" s="94"/>
      <c r="AA454" s="94"/>
      <c r="AB454" s="94"/>
      <c r="AC454" s="94"/>
      <c r="AD454" s="94"/>
      <c r="AE454" s="94"/>
      <c r="AF454" s="94"/>
      <c r="AG454" s="94"/>
      <c r="AH454" s="94"/>
      <c r="AI454" s="94"/>
      <c r="AJ454" s="94"/>
      <c r="AK454" s="94"/>
      <c r="AL454" s="94"/>
    </row>
    <row r="455">
      <c r="A455" s="86" t="s">
        <v>661</v>
      </c>
      <c r="B455" s="95" t="str">
        <f t="shared" si="2"/>
        <v>Pregunta</v>
      </c>
      <c r="C455" s="106" t="str">
        <f t="shared" si="9"/>
        <v>18. </v>
      </c>
      <c r="D455" s="106" t="str">
        <f t="shared" si="10"/>
        <v>Facilidad de acceso e independencia tecnológica</v>
      </c>
      <c r="E455" s="106" t="str">
        <f t="shared" si="11"/>
        <v>Condición del sitio web que permite a las personas usuarias acceder a la información expedita y oportuna, independiente de la calidad o tipo de dispositivo a través del que se está conectando.</v>
      </c>
      <c r="F455" s="141" t="str">
        <f t="shared" si="3"/>
        <v>18.1</v>
      </c>
      <c r="G455" s="92" t="str">
        <f t="shared" si="4"/>
        <v>IMPRESCINDIBLES</v>
      </c>
      <c r="H455" s="141"/>
      <c r="I455" s="141" t="str">
        <f t="shared" si="5"/>
        <v/>
      </c>
      <c r="J455" s="98" t="str">
        <f t="shared" si="6"/>
        <v/>
      </c>
      <c r="K455" s="98" t="str">
        <f t="shared" si="7"/>
        <v/>
      </c>
      <c r="L455" s="141" t="str">
        <f t="shared" ref="L455:N455" si="460">IF(I455="",L454,I455)</f>
        <v>18.1.4</v>
      </c>
      <c r="M455" s="98" t="str">
        <f t="shared" si="460"/>
        <v>Independencia de conectividad
</v>
      </c>
      <c r="N455" s="98" t="str">
        <f t="shared" si="460"/>
        <v>Grado de equidad con que el sitio web brinda acceso a la ciudadanía, independientemente de sus diversos dispositivos y la continuidad, la calidad de señal y la rapidez de su conexión a internet.
</v>
      </c>
      <c r="O455" s="308"/>
      <c r="P455" s="307"/>
      <c r="Q455" s="307"/>
      <c r="R455" s="168"/>
      <c r="S455" s="256" t="s">
        <v>2153</v>
      </c>
      <c r="T455" s="164" t="s">
        <v>2033</v>
      </c>
      <c r="U455" s="94"/>
      <c r="V455" s="94"/>
      <c r="W455" s="94"/>
      <c r="X455" s="94"/>
      <c r="Y455" s="94"/>
      <c r="Z455" s="94"/>
      <c r="AA455" s="94"/>
      <c r="AB455" s="94"/>
      <c r="AC455" s="94"/>
      <c r="AD455" s="94"/>
      <c r="AE455" s="94"/>
      <c r="AF455" s="94"/>
      <c r="AG455" s="94"/>
      <c r="AH455" s="94"/>
      <c r="AI455" s="94"/>
      <c r="AJ455" s="94"/>
      <c r="AK455" s="94"/>
      <c r="AL455" s="94"/>
    </row>
    <row r="456">
      <c r="A456" s="105" t="s">
        <v>661</v>
      </c>
      <c r="B456" s="92" t="str">
        <f t="shared" si="2"/>
        <v>Pregunta</v>
      </c>
      <c r="C456" s="106" t="str">
        <f t="shared" si="9"/>
        <v>18. </v>
      </c>
      <c r="D456" s="106" t="str">
        <f t="shared" si="10"/>
        <v>Facilidad de acceso e independencia tecnológica</v>
      </c>
      <c r="E456" s="106" t="str">
        <f t="shared" si="11"/>
        <v>Condición del sitio web que permite a las personas usuarias acceder a la información expedita y oportuna, independiente de la calidad o tipo de dispositivo a través del que se está conectando.</v>
      </c>
      <c r="F456" s="141" t="str">
        <f t="shared" si="3"/>
        <v>18.1</v>
      </c>
      <c r="G456" s="92" t="str">
        <f t="shared" si="4"/>
        <v>IMPRESCINDIBLES</v>
      </c>
      <c r="H456" s="141"/>
      <c r="I456" s="141" t="str">
        <f t="shared" si="5"/>
        <v>18.1.5</v>
      </c>
      <c r="J456" s="98" t="str">
        <f t="shared" si="6"/>
        <v>Compatibilidad retroactiva</v>
      </c>
      <c r="K456" s="98" t="str">
        <f t="shared" si="7"/>
        <v>Solidez del contenido para ser interpretado de manera confiable por una amplia variedad de navegadores. Es decir, que las personas usuarias sigan accediendo al contenido a medida que avanzan y evolucionan las tecnologías.</v>
      </c>
      <c r="L456" s="141" t="str">
        <f t="shared" ref="L456:N456" si="461">IF(I456="",L455,I456)</f>
        <v>18.1.5</v>
      </c>
      <c r="M456" s="98" t="str">
        <f t="shared" si="461"/>
        <v>Compatibilidad retroactiva</v>
      </c>
      <c r="N456" s="98" t="str">
        <f t="shared" si="461"/>
        <v>Solidez del contenido para ser interpretado de manera confiable por una amplia variedad de navegadores. Es decir, que las personas usuarias sigan accediendo al contenido a medida que avanzan y evolucionan las tecnologías.</v>
      </c>
      <c r="O456" s="273" t="s">
        <v>1498</v>
      </c>
      <c r="P456" s="143" t="s">
        <v>1499</v>
      </c>
      <c r="Q456" s="143" t="s">
        <v>1500</v>
      </c>
      <c r="R456" s="174"/>
      <c r="S456" s="143" t="s">
        <v>1501</v>
      </c>
      <c r="T456" s="164" t="s">
        <v>2033</v>
      </c>
      <c r="U456" s="94"/>
      <c r="V456" s="94"/>
      <c r="W456" s="94"/>
      <c r="X456" s="94"/>
      <c r="Y456" s="94"/>
      <c r="Z456" s="94"/>
      <c r="AA456" s="94"/>
      <c r="AB456" s="94"/>
      <c r="AC456" s="94"/>
      <c r="AD456" s="94"/>
      <c r="AE456" s="94"/>
      <c r="AF456" s="94"/>
      <c r="AG456" s="94"/>
      <c r="AH456" s="94"/>
      <c r="AI456" s="94"/>
      <c r="AJ456" s="94"/>
      <c r="AK456" s="94"/>
      <c r="AL456" s="94"/>
    </row>
    <row r="457" hidden="1">
      <c r="A457" s="86" t="s">
        <v>661</v>
      </c>
      <c r="B457" s="95" t="str">
        <f t="shared" si="2"/>
        <v>Otro</v>
      </c>
      <c r="C457" s="106" t="str">
        <f t="shared" si="9"/>
        <v>19. </v>
      </c>
      <c r="D457" s="106" t="str">
        <f t="shared" si="10"/>
        <v>Interacción y retroalimentación</v>
      </c>
      <c r="E457"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457" s="141" t="str">
        <f t="shared" si="3"/>
        <v>18.1</v>
      </c>
      <c r="G457" s="92" t="str">
        <f t="shared" si="4"/>
        <v>IMPRESCINDIBLES</v>
      </c>
      <c r="H457" s="107"/>
      <c r="I457" s="107" t="str">
        <f t="shared" si="5"/>
        <v/>
      </c>
      <c r="J457" s="98" t="str">
        <f t="shared" si="6"/>
        <v/>
      </c>
      <c r="K457" s="98" t="str">
        <f t="shared" si="7"/>
        <v/>
      </c>
      <c r="L457" s="141" t="str">
        <f t="shared" ref="L457:N457" si="462">IF(I457="",L456,I457)</f>
        <v>18.1.5</v>
      </c>
      <c r="M457" s="98" t="str">
        <f t="shared" si="462"/>
        <v>Compatibilidad retroactiva</v>
      </c>
      <c r="N457" s="98" t="str">
        <f t="shared" si="462"/>
        <v>Solidez del contenido para ser interpretado de manera confiable por una amplia variedad de navegadores. Es decir, que las personas usuarias sigan accediendo al contenido a medida que avanzan y evolucionan las tecnologías.</v>
      </c>
      <c r="O457" s="220" t="s">
        <v>1502</v>
      </c>
      <c r="P457" s="112" t="s">
        <v>56</v>
      </c>
      <c r="Q457" s="309"/>
      <c r="R457" s="114"/>
      <c r="S457" s="115" t="s">
        <v>1503</v>
      </c>
      <c r="T457" s="116" t="s">
        <v>16</v>
      </c>
      <c r="U457" s="94"/>
      <c r="V457" s="94"/>
      <c r="W457" s="94"/>
      <c r="X457" s="94"/>
      <c r="Y457" s="94"/>
      <c r="Z457" s="94"/>
      <c r="AA457" s="94"/>
      <c r="AB457" s="94"/>
      <c r="AC457" s="94"/>
      <c r="AD457" s="94"/>
      <c r="AE457" s="94"/>
      <c r="AF457" s="94"/>
      <c r="AG457" s="94"/>
      <c r="AH457" s="94"/>
      <c r="AI457" s="94"/>
      <c r="AJ457" s="94"/>
      <c r="AK457" s="94"/>
      <c r="AL457" s="94"/>
    </row>
    <row r="458" hidden="1">
      <c r="A458" s="86" t="s">
        <v>661</v>
      </c>
      <c r="B458" s="95" t="str">
        <f t="shared" si="2"/>
        <v>Otro</v>
      </c>
      <c r="C458" s="106" t="str">
        <f t="shared" si="9"/>
        <v>19. </v>
      </c>
      <c r="D458" s="106" t="str">
        <f t="shared" si="10"/>
        <v>Interacción y retroalimentación</v>
      </c>
      <c r="E458"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458" s="141" t="str">
        <f t="shared" si="3"/>
        <v>18.1</v>
      </c>
      <c r="G458" s="92" t="str">
        <f t="shared" si="4"/>
        <v>IMPRESCINDIBLES</v>
      </c>
      <c r="H458" s="107"/>
      <c r="I458" s="107" t="str">
        <f t="shared" si="5"/>
        <v/>
      </c>
      <c r="J458" s="98" t="str">
        <f t="shared" si="6"/>
        <v/>
      </c>
      <c r="K458" s="98" t="str">
        <f t="shared" si="7"/>
        <v/>
      </c>
      <c r="L458" s="141" t="str">
        <f t="shared" ref="L458:N458" si="463">IF(I458="",L457,I458)</f>
        <v>18.1.5</v>
      </c>
      <c r="M458" s="98" t="str">
        <f t="shared" si="463"/>
        <v>Compatibilidad retroactiva</v>
      </c>
      <c r="N458" s="98" t="str">
        <f t="shared" si="463"/>
        <v>Solidez del contenido para ser interpretado de manera confiable por una amplia variedad de navegadores. Es decir, que las personas usuarias sigan accediendo al contenido a medida que avanzan y evolucionan las tecnologías.</v>
      </c>
      <c r="O458" s="310"/>
      <c r="P458" s="311"/>
      <c r="Q458" s="310"/>
      <c r="R458" s="114"/>
      <c r="S458" s="239"/>
      <c r="T458" s="116" t="s">
        <v>22</v>
      </c>
      <c r="U458" s="94"/>
      <c r="V458" s="94"/>
      <c r="W458" s="94"/>
      <c r="X458" s="94"/>
      <c r="Y458" s="94"/>
      <c r="Z458" s="94"/>
      <c r="AA458" s="94"/>
      <c r="AB458" s="94"/>
      <c r="AC458" s="94"/>
      <c r="AD458" s="94"/>
      <c r="AE458" s="94"/>
      <c r="AF458" s="94"/>
      <c r="AG458" s="94"/>
      <c r="AH458" s="94"/>
      <c r="AI458" s="94"/>
      <c r="AJ458" s="94"/>
      <c r="AK458" s="94"/>
      <c r="AL458" s="94"/>
    </row>
    <row r="459" hidden="1">
      <c r="A459" s="86" t="s">
        <v>661</v>
      </c>
      <c r="B459" s="95" t="str">
        <f t="shared" si="2"/>
        <v>Otro</v>
      </c>
      <c r="C459" s="106" t="str">
        <f t="shared" si="9"/>
        <v>19. </v>
      </c>
      <c r="D459" s="106" t="str">
        <f t="shared" si="10"/>
        <v>Interacción y retroalimentación</v>
      </c>
      <c r="E459"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459" s="141" t="str">
        <f t="shared" si="3"/>
        <v>18.1</v>
      </c>
      <c r="G459" s="92" t="str">
        <f t="shared" si="4"/>
        <v>IMPRESCINDIBLES</v>
      </c>
      <c r="H459" s="107"/>
      <c r="I459" s="107" t="str">
        <f t="shared" si="5"/>
        <v/>
      </c>
      <c r="J459" s="98" t="str">
        <f t="shared" si="6"/>
        <v/>
      </c>
      <c r="K459" s="98" t="str">
        <f t="shared" si="7"/>
        <v/>
      </c>
      <c r="L459" s="141" t="str">
        <f t="shared" ref="L459:N459" si="464">IF(I459="",L458,I459)</f>
        <v>18.1.5</v>
      </c>
      <c r="M459" s="98" t="str">
        <f t="shared" si="464"/>
        <v>Compatibilidad retroactiva</v>
      </c>
      <c r="N459" s="98" t="str">
        <f t="shared" si="464"/>
        <v>Solidez del contenido para ser interpretado de manera confiable por una amplia variedad de navegadores. Es decir, que las personas usuarias sigan accediendo al contenido a medida que avanzan y evolucionan las tecnologías.</v>
      </c>
      <c r="O459" s="312"/>
      <c r="P459" s="313"/>
      <c r="Q459" s="312"/>
      <c r="R459" s="114"/>
      <c r="S459" s="240"/>
      <c r="T459" s="104"/>
      <c r="U459" s="94"/>
      <c r="V459" s="94"/>
      <c r="W459" s="94"/>
      <c r="X459" s="94"/>
      <c r="Y459" s="94"/>
      <c r="Z459" s="94"/>
      <c r="AA459" s="94"/>
      <c r="AB459" s="94"/>
      <c r="AC459" s="94"/>
      <c r="AD459" s="94"/>
      <c r="AE459" s="94"/>
      <c r="AF459" s="94"/>
      <c r="AG459" s="94"/>
      <c r="AH459" s="94"/>
      <c r="AI459" s="94"/>
      <c r="AJ459" s="94"/>
      <c r="AK459" s="94"/>
      <c r="AL459" s="94"/>
    </row>
    <row r="460" hidden="1">
      <c r="A460" s="86" t="s">
        <v>661</v>
      </c>
      <c r="B460" s="95" t="str">
        <f t="shared" si="2"/>
        <v>Otro</v>
      </c>
      <c r="C460" s="106" t="str">
        <f t="shared" si="9"/>
        <v>19. </v>
      </c>
      <c r="D460" s="106" t="str">
        <f t="shared" si="10"/>
        <v>Interacción y retroalimentación</v>
      </c>
      <c r="E460"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460" s="141" t="str">
        <f t="shared" si="3"/>
        <v>18.1</v>
      </c>
      <c r="G460" s="92" t="str">
        <f t="shared" si="4"/>
        <v>IMPRESCINDIBLES</v>
      </c>
      <c r="H460" s="96"/>
      <c r="I460" s="96" t="str">
        <f t="shared" si="5"/>
        <v/>
      </c>
      <c r="J460" s="98" t="str">
        <f t="shared" si="6"/>
        <v/>
      </c>
      <c r="K460" s="98" t="str">
        <f t="shared" si="7"/>
        <v/>
      </c>
      <c r="L460" s="141" t="str">
        <f t="shared" ref="L460:N460" si="465">IF(I460="",L459,I460)</f>
        <v>18.1.5</v>
      </c>
      <c r="M460" s="98" t="str">
        <f t="shared" si="465"/>
        <v>Compatibilidad retroactiva</v>
      </c>
      <c r="N460" s="98" t="str">
        <f t="shared" si="465"/>
        <v>Solidez del contenido para ser interpretado de manera confiable por una amplia variedad de navegadores. Es decir, que las personas usuarias sigan accediendo al contenido a medida que avanzan y evolucionan las tecnologías.</v>
      </c>
      <c r="O460" s="316"/>
      <c r="P460" s="242"/>
      <c r="Q460" s="282"/>
      <c r="R460" s="282"/>
      <c r="S460" s="127"/>
      <c r="T460" s="241"/>
      <c r="U460" s="94"/>
      <c r="V460" s="94"/>
      <c r="W460" s="94"/>
      <c r="X460" s="94"/>
      <c r="Y460" s="94"/>
      <c r="Z460" s="94"/>
      <c r="AA460" s="94"/>
      <c r="AB460" s="94"/>
      <c r="AC460" s="94"/>
      <c r="AD460" s="94"/>
      <c r="AE460" s="94"/>
      <c r="AF460" s="94"/>
      <c r="AG460" s="94"/>
      <c r="AH460" s="94"/>
      <c r="AI460" s="94"/>
      <c r="AJ460" s="94"/>
      <c r="AK460" s="94"/>
      <c r="AL460" s="94"/>
    </row>
    <row r="461" hidden="1">
      <c r="A461" s="86" t="s">
        <v>661</v>
      </c>
      <c r="B461" s="95" t="str">
        <f t="shared" si="2"/>
        <v>Otro</v>
      </c>
      <c r="C461" s="106" t="str">
        <f t="shared" si="9"/>
        <v>19. </v>
      </c>
      <c r="D461" s="106" t="str">
        <f t="shared" si="10"/>
        <v>Interacción y retroalimentación</v>
      </c>
      <c r="E461"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461" s="141" t="str">
        <f t="shared" si="3"/>
        <v>18.1</v>
      </c>
      <c r="G461" s="92" t="str">
        <f t="shared" si="4"/>
        <v>IMPRESCINDIBLES</v>
      </c>
      <c r="H461" s="128"/>
      <c r="I461" s="128" t="str">
        <f t="shared" si="5"/>
        <v/>
      </c>
      <c r="J461" s="98" t="str">
        <f t="shared" si="6"/>
        <v/>
      </c>
      <c r="K461" s="98" t="str">
        <f t="shared" si="7"/>
        <v/>
      </c>
      <c r="L461" s="141" t="str">
        <f t="shared" ref="L461:N461" si="466">IF(I461="",L460,I461)</f>
        <v>18.1.5</v>
      </c>
      <c r="M461" s="98" t="str">
        <f t="shared" si="466"/>
        <v>Compatibilidad retroactiva</v>
      </c>
      <c r="N461" s="98" t="str">
        <f t="shared" si="466"/>
        <v>Solidez del contenido para ser interpretado de manera confiable por una amplia variedad de navegadores. Es decir, que las personas usuarias sigan accediendo al contenido a medida que avanzan y evolucionan las tecnologías.</v>
      </c>
      <c r="O461" s="223" t="s">
        <v>1822</v>
      </c>
      <c r="P461" s="133" t="s">
        <v>1823</v>
      </c>
      <c r="Q461" s="133" t="s">
        <v>2031</v>
      </c>
      <c r="R461" s="134"/>
      <c r="S461" s="133" t="s">
        <v>1824</v>
      </c>
      <c r="T461" s="133" t="s">
        <v>1825</v>
      </c>
      <c r="U461" s="94"/>
      <c r="V461" s="94"/>
      <c r="W461" s="94"/>
      <c r="X461" s="94"/>
      <c r="Y461" s="94"/>
      <c r="Z461" s="94"/>
      <c r="AA461" s="94"/>
      <c r="AB461" s="94"/>
      <c r="AC461" s="94"/>
      <c r="AD461" s="94"/>
      <c r="AE461" s="94"/>
      <c r="AF461" s="94"/>
      <c r="AG461" s="94"/>
      <c r="AH461" s="94"/>
      <c r="AI461" s="94"/>
      <c r="AJ461" s="94"/>
      <c r="AK461" s="94"/>
      <c r="AL461" s="94"/>
    </row>
    <row r="462" hidden="1">
      <c r="A462" s="86" t="s">
        <v>661</v>
      </c>
      <c r="B462" s="95" t="str">
        <f t="shared" si="2"/>
        <v>Otro</v>
      </c>
      <c r="C462" s="106" t="str">
        <f t="shared" si="9"/>
        <v>19. </v>
      </c>
      <c r="D462" s="106" t="str">
        <f t="shared" si="10"/>
        <v>Interacción y retroalimentación</v>
      </c>
      <c r="E462"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462" s="141" t="str">
        <f t="shared" si="3"/>
        <v>19.1</v>
      </c>
      <c r="G462" s="92" t="str">
        <f t="shared" si="4"/>
        <v>IMPRESCINDIBLES</v>
      </c>
      <c r="H462" s="141"/>
      <c r="I462" s="141" t="str">
        <f t="shared" si="5"/>
        <v/>
      </c>
      <c r="J462" s="98" t="str">
        <f t="shared" si="6"/>
        <v/>
      </c>
      <c r="K462" s="98" t="str">
        <f t="shared" si="7"/>
        <v/>
      </c>
      <c r="L462" s="141" t="str">
        <f t="shared" ref="L462:N462" si="467">IF(I462="",L461,I462)</f>
        <v>18.1.5</v>
      </c>
      <c r="M462" s="98" t="str">
        <f t="shared" si="467"/>
        <v>Compatibilidad retroactiva</v>
      </c>
      <c r="N462" s="98" t="str">
        <f t="shared" si="467"/>
        <v>Solidez del contenido para ser interpretado de manera confiable por una amplia variedad de navegadores. Es decir, que las personas usuarias sigan accediendo al contenido a medida que avanzan y evolucionan las tecnologías.</v>
      </c>
      <c r="O462" s="288" t="s">
        <v>1504</v>
      </c>
      <c r="P462" s="137" t="s">
        <v>664</v>
      </c>
      <c r="Q462" s="138"/>
      <c r="R462" s="138"/>
      <c r="S462" s="139">
        <f>COUNTA(P463:P467)</f>
        <v>2</v>
      </c>
      <c r="T462" s="140">
        <f>COUNTIF(U463:U467,"n/a")</f>
        <v>0</v>
      </c>
      <c r="U462" s="94"/>
      <c r="V462" s="94"/>
      <c r="W462" s="94"/>
      <c r="X462" s="94"/>
      <c r="Y462" s="94"/>
      <c r="Z462" s="94"/>
      <c r="AA462" s="94"/>
      <c r="AB462" s="94"/>
      <c r="AC462" s="94"/>
      <c r="AD462" s="94"/>
      <c r="AE462" s="94"/>
      <c r="AF462" s="94"/>
      <c r="AG462" s="94"/>
      <c r="AH462" s="94"/>
      <c r="AI462" s="94"/>
      <c r="AJ462" s="94"/>
      <c r="AK462" s="94"/>
      <c r="AL462" s="94"/>
    </row>
    <row r="463">
      <c r="A463" s="105" t="s">
        <v>661</v>
      </c>
      <c r="B463" s="92" t="str">
        <f t="shared" si="2"/>
        <v>Pregunta</v>
      </c>
      <c r="C463" s="106" t="str">
        <f t="shared" si="9"/>
        <v>19. </v>
      </c>
      <c r="D463" s="106" t="str">
        <f t="shared" si="10"/>
        <v>Interacción y retroalimentación</v>
      </c>
      <c r="E463"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463" s="141" t="str">
        <f t="shared" si="3"/>
        <v>19.1</v>
      </c>
      <c r="G463" s="92" t="str">
        <f t="shared" si="4"/>
        <v>IMPRESCINDIBLES</v>
      </c>
      <c r="H463" s="141"/>
      <c r="I463" s="141" t="str">
        <f t="shared" si="5"/>
        <v>19.1.1</v>
      </c>
      <c r="J463" s="98" t="str">
        <f t="shared" si="6"/>
        <v>Visibilidad del estado del sistema</v>
      </c>
      <c r="K463" s="98" t="str">
        <f t="shared" si="7"/>
        <v>Información oportuna para las personas usuarias sobre lo que está sucediendo durante cada interacción y sus efectos.
</v>
      </c>
      <c r="L463" s="141" t="str">
        <f t="shared" ref="L463:N463" si="468">IF(I463="",L462,I463)</f>
        <v>19.1.1</v>
      </c>
      <c r="M463" s="98" t="str">
        <f t="shared" si="468"/>
        <v>Visibilidad del estado del sistema</v>
      </c>
      <c r="N463" s="98" t="str">
        <f t="shared" si="468"/>
        <v>Información oportuna para las personas usuarias sobre lo que está sucediendo durante cada interacción y sus efectos.
</v>
      </c>
      <c r="O463" s="152" t="s">
        <v>1505</v>
      </c>
      <c r="P463" s="153" t="s">
        <v>1506</v>
      </c>
      <c r="Q463" s="153" t="s">
        <v>1507</v>
      </c>
      <c r="R463" s="149"/>
      <c r="S463" s="150" t="s">
        <v>1508</v>
      </c>
      <c r="T463" s="160" t="s">
        <v>2033</v>
      </c>
      <c r="U463" s="94"/>
      <c r="V463" s="94"/>
      <c r="W463" s="94"/>
      <c r="X463" s="94"/>
      <c r="Y463" s="94"/>
      <c r="Z463" s="94"/>
      <c r="AA463" s="94"/>
      <c r="AB463" s="94"/>
      <c r="AC463" s="94"/>
      <c r="AD463" s="94"/>
      <c r="AE463" s="94"/>
      <c r="AF463" s="94"/>
      <c r="AG463" s="94"/>
      <c r="AH463" s="94"/>
      <c r="AI463" s="94"/>
      <c r="AJ463" s="94"/>
      <c r="AK463" s="94"/>
      <c r="AL463" s="94"/>
    </row>
    <row r="464">
      <c r="A464" s="86" t="s">
        <v>661</v>
      </c>
      <c r="B464" s="95" t="str">
        <f t="shared" si="2"/>
        <v>Pregunta</v>
      </c>
      <c r="C464" s="106" t="str">
        <f t="shared" si="9"/>
        <v>19. </v>
      </c>
      <c r="D464" s="106" t="str">
        <f t="shared" si="10"/>
        <v>Interacción y retroalimentación</v>
      </c>
      <c r="E464"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464" s="141" t="str">
        <f t="shared" si="3"/>
        <v>19.1</v>
      </c>
      <c r="G464" s="92" t="str">
        <f t="shared" si="4"/>
        <v>IMPRESCINDIBLES</v>
      </c>
      <c r="H464" s="141"/>
      <c r="I464" s="141" t="str">
        <f t="shared" si="5"/>
        <v/>
      </c>
      <c r="J464" s="98" t="str">
        <f t="shared" si="6"/>
        <v/>
      </c>
      <c r="K464" s="98" t="str">
        <f t="shared" si="7"/>
        <v/>
      </c>
      <c r="L464" s="141" t="str">
        <f t="shared" ref="L464:N464" si="469">IF(I464="",L463,I464)</f>
        <v>19.1.1</v>
      </c>
      <c r="M464" s="98" t="str">
        <f t="shared" si="469"/>
        <v>Visibilidad del estado del sistema</v>
      </c>
      <c r="N464" s="98" t="str">
        <f t="shared" si="469"/>
        <v>Información oportuna para las personas usuarias sobre lo que está sucediendo durante cada interacción y sus efectos.
</v>
      </c>
      <c r="O464" s="304"/>
      <c r="P464" s="305"/>
      <c r="Q464" s="305"/>
      <c r="R464" s="161"/>
      <c r="S464" s="162" t="s">
        <v>2154</v>
      </c>
      <c r="T464" s="160" t="s">
        <v>2033</v>
      </c>
      <c r="U464" s="94"/>
      <c r="V464" s="94"/>
      <c r="W464" s="94"/>
      <c r="X464" s="94"/>
      <c r="Y464" s="94"/>
      <c r="Z464" s="94"/>
      <c r="AA464" s="94"/>
      <c r="AB464" s="94"/>
      <c r="AC464" s="94"/>
      <c r="AD464" s="94"/>
      <c r="AE464" s="94"/>
      <c r="AF464" s="94"/>
      <c r="AG464" s="94"/>
      <c r="AH464" s="94"/>
      <c r="AI464" s="94"/>
      <c r="AJ464" s="94"/>
      <c r="AK464" s="94"/>
      <c r="AL464" s="94"/>
    </row>
    <row r="465">
      <c r="A465" s="86" t="s">
        <v>661</v>
      </c>
      <c r="B465" s="95" t="str">
        <f t="shared" si="2"/>
        <v>Pregunta</v>
      </c>
      <c r="C465" s="106" t="str">
        <f t="shared" si="9"/>
        <v>19. </v>
      </c>
      <c r="D465" s="106" t="str">
        <f t="shared" si="10"/>
        <v>Interacción y retroalimentación</v>
      </c>
      <c r="E465"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465" s="141" t="str">
        <f t="shared" si="3"/>
        <v>19.1</v>
      </c>
      <c r="G465" s="92" t="str">
        <f t="shared" si="4"/>
        <v>IMPRESCINDIBLES</v>
      </c>
      <c r="H465" s="141"/>
      <c r="I465" s="141" t="str">
        <f t="shared" si="5"/>
        <v/>
      </c>
      <c r="J465" s="98" t="str">
        <f t="shared" si="6"/>
        <v/>
      </c>
      <c r="K465" s="98" t="str">
        <f t="shared" si="7"/>
        <v/>
      </c>
      <c r="L465" s="141" t="str">
        <f t="shared" ref="L465:N465" si="470">IF(I465="",L464,I465)</f>
        <v>19.1.1</v>
      </c>
      <c r="M465" s="98" t="str">
        <f t="shared" si="470"/>
        <v>Visibilidad del estado del sistema</v>
      </c>
      <c r="N465" s="98" t="str">
        <f t="shared" si="470"/>
        <v>Información oportuna para las personas usuarias sobre lo que está sucediendo durante cada interacción y sus efectos.
</v>
      </c>
      <c r="O465" s="304"/>
      <c r="P465" s="305"/>
      <c r="Q465" s="305"/>
      <c r="R465" s="161"/>
      <c r="S465" s="162" t="s">
        <v>1510</v>
      </c>
      <c r="T465" s="160" t="s">
        <v>2033</v>
      </c>
      <c r="U465" s="94"/>
      <c r="V465" s="94"/>
      <c r="W465" s="94"/>
      <c r="X465" s="94"/>
      <c r="Y465" s="94"/>
      <c r="Z465" s="94"/>
      <c r="AA465" s="94"/>
      <c r="AB465" s="94"/>
      <c r="AC465" s="94"/>
      <c r="AD465" s="94"/>
      <c r="AE465" s="94"/>
      <c r="AF465" s="94"/>
      <c r="AG465" s="94"/>
      <c r="AH465" s="94"/>
      <c r="AI465" s="94"/>
      <c r="AJ465" s="94"/>
      <c r="AK465" s="94"/>
      <c r="AL465" s="94"/>
    </row>
    <row r="466">
      <c r="A466" s="86" t="s">
        <v>661</v>
      </c>
      <c r="B466" s="95" t="str">
        <f t="shared" si="2"/>
        <v>Pregunta</v>
      </c>
      <c r="C466" s="106" t="str">
        <f t="shared" si="9"/>
        <v>19. </v>
      </c>
      <c r="D466" s="106" t="str">
        <f t="shared" si="10"/>
        <v>Interacción y retroalimentación</v>
      </c>
      <c r="E466"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466" s="141" t="str">
        <f t="shared" si="3"/>
        <v>19.1</v>
      </c>
      <c r="G466" s="92" t="str">
        <f t="shared" si="4"/>
        <v>IMPRESCINDIBLES</v>
      </c>
      <c r="H466" s="141"/>
      <c r="I466" s="141" t="str">
        <f t="shared" si="5"/>
        <v/>
      </c>
      <c r="J466" s="98" t="str">
        <f t="shared" si="6"/>
        <v/>
      </c>
      <c r="K466" s="98" t="str">
        <f t="shared" si="7"/>
        <v/>
      </c>
      <c r="L466" s="141" t="str">
        <f t="shared" ref="L466:N466" si="471">IF(I466="",L465,I466)</f>
        <v>19.1.1</v>
      </c>
      <c r="M466" s="98" t="str">
        <f t="shared" si="471"/>
        <v>Visibilidad del estado del sistema</v>
      </c>
      <c r="N466" s="98" t="str">
        <f t="shared" si="471"/>
        <v>Información oportuna para las personas usuarias sobre lo que está sucediendo durante cada interacción y sus efectos.
</v>
      </c>
      <c r="O466" s="308"/>
      <c r="P466" s="307"/>
      <c r="Q466" s="307"/>
      <c r="R466" s="168"/>
      <c r="S466" s="169" t="s">
        <v>2155</v>
      </c>
      <c r="T466" s="164" t="s">
        <v>2033</v>
      </c>
      <c r="U466" s="94"/>
      <c r="V466" s="94"/>
      <c r="W466" s="94"/>
      <c r="X466" s="94"/>
      <c r="Y466" s="94"/>
      <c r="Z466" s="94"/>
      <c r="AA466" s="94"/>
      <c r="AB466" s="94"/>
      <c r="AC466" s="94"/>
      <c r="AD466" s="94"/>
      <c r="AE466" s="94"/>
      <c r="AF466" s="94"/>
      <c r="AG466" s="94"/>
      <c r="AH466" s="94"/>
      <c r="AI466" s="94"/>
      <c r="AJ466" s="94"/>
      <c r="AK466" s="94"/>
      <c r="AL466" s="94"/>
    </row>
    <row r="467">
      <c r="A467" s="105" t="s">
        <v>661</v>
      </c>
      <c r="B467" s="92" t="str">
        <f t="shared" si="2"/>
        <v>Pregunta</v>
      </c>
      <c r="C467" s="106" t="str">
        <f t="shared" si="9"/>
        <v>19. </v>
      </c>
      <c r="D467" s="106" t="str">
        <f t="shared" si="10"/>
        <v>Interacción y retroalimentación</v>
      </c>
      <c r="E467"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467" s="141" t="str">
        <f t="shared" si="3"/>
        <v>19.1</v>
      </c>
      <c r="G467" s="92" t="str">
        <f t="shared" si="4"/>
        <v>IMPRESCINDIBLES</v>
      </c>
      <c r="H467" s="141"/>
      <c r="I467" s="141" t="str">
        <f t="shared" si="5"/>
        <v>19.1.2</v>
      </c>
      <c r="J467" s="98" t="str">
        <f t="shared" si="6"/>
        <v>Indicador de proceso
</v>
      </c>
      <c r="K467" s="98" t="str">
        <f t="shared" si="7"/>
        <v>Existencia de elementos de la interfaz de usuario que indica en qué parte del sitio web se encuentra la persona usuaria.
</v>
      </c>
      <c r="L467" s="141" t="str">
        <f t="shared" ref="L467:N467" si="472">IF(I467="",L466,I467)</f>
        <v>19.1.2</v>
      </c>
      <c r="M467" s="98" t="str">
        <f t="shared" si="472"/>
        <v>Indicador de proceso
</v>
      </c>
      <c r="N467" s="98" t="str">
        <f t="shared" si="472"/>
        <v>Existencia de elementos de la interfaz de usuario que indica en qué parte del sitio web se encuentra la persona usuaria.
</v>
      </c>
      <c r="O467" s="142" t="s">
        <v>1512</v>
      </c>
      <c r="P467" s="143" t="s">
        <v>1513</v>
      </c>
      <c r="Q467" s="143" t="s">
        <v>1514</v>
      </c>
      <c r="R467" s="174"/>
      <c r="S467" s="143" t="s">
        <v>2156</v>
      </c>
      <c r="T467" s="164" t="s">
        <v>2033</v>
      </c>
      <c r="U467" s="94"/>
      <c r="V467" s="94"/>
      <c r="W467" s="94"/>
      <c r="X467" s="94"/>
      <c r="Y467" s="94"/>
      <c r="Z467" s="94"/>
      <c r="AA467" s="94"/>
      <c r="AB467" s="94"/>
      <c r="AC467" s="94"/>
      <c r="AD467" s="94"/>
      <c r="AE467" s="94"/>
      <c r="AF467" s="94"/>
      <c r="AG467" s="94"/>
      <c r="AH467" s="94"/>
      <c r="AI467" s="94"/>
      <c r="AJ467" s="94"/>
      <c r="AK467" s="94"/>
      <c r="AL467" s="94"/>
    </row>
    <row r="468" hidden="1">
      <c r="A468" s="86" t="s">
        <v>661</v>
      </c>
      <c r="B468" s="95" t="str">
        <f t="shared" si="2"/>
        <v>Otro</v>
      </c>
      <c r="C468" s="106" t="str">
        <f t="shared" si="9"/>
        <v>19. </v>
      </c>
      <c r="D468" s="106" t="str">
        <f t="shared" si="10"/>
        <v>Interacción y retroalimentación</v>
      </c>
      <c r="E468"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468" s="141" t="str">
        <f t="shared" si="3"/>
        <v>19.3</v>
      </c>
      <c r="G468" s="92" t="str">
        <f t="shared" si="4"/>
        <v>DESEABLES</v>
      </c>
      <c r="H468" s="141"/>
      <c r="I468" s="141" t="str">
        <f t="shared" si="5"/>
        <v/>
      </c>
      <c r="J468" s="98" t="str">
        <f t="shared" si="6"/>
        <v/>
      </c>
      <c r="K468" s="98" t="str">
        <f t="shared" si="7"/>
        <v/>
      </c>
      <c r="L468" s="141" t="str">
        <f t="shared" ref="L468:N468" si="473">IF(I468="",L467,I468)</f>
        <v>19.1.2</v>
      </c>
      <c r="M468" s="98" t="str">
        <f t="shared" si="473"/>
        <v>Indicador de proceso
</v>
      </c>
      <c r="N468" s="98" t="str">
        <f t="shared" si="473"/>
        <v>Existencia de elementos de la interfaz de usuario que indica en qué parte del sitio web se encuentra la persona usuaria.
</v>
      </c>
      <c r="O468" s="289" t="s">
        <v>1516</v>
      </c>
      <c r="P468" s="317" t="s">
        <v>749</v>
      </c>
      <c r="Q468" s="183"/>
      <c r="R468" s="183"/>
      <c r="S468" s="199">
        <f>COUNTA(P469:P472)</f>
        <v>3</v>
      </c>
      <c r="T468" s="199">
        <f>COUNTIF(U469:U472,"n/a")</f>
        <v>0</v>
      </c>
      <c r="U468" s="94"/>
      <c r="V468" s="94"/>
      <c r="W468" s="94"/>
      <c r="X468" s="94"/>
      <c r="Y468" s="94"/>
      <c r="Z468" s="94"/>
      <c r="AA468" s="94"/>
      <c r="AB468" s="94"/>
      <c r="AC468" s="94"/>
      <c r="AD468" s="94"/>
      <c r="AE468" s="94"/>
      <c r="AF468" s="94"/>
      <c r="AG468" s="94"/>
      <c r="AH468" s="94"/>
      <c r="AI468" s="94"/>
      <c r="AJ468" s="94"/>
      <c r="AK468" s="94"/>
      <c r="AL468" s="94"/>
    </row>
    <row r="469">
      <c r="A469" s="105" t="s">
        <v>661</v>
      </c>
      <c r="B469" s="92" t="str">
        <f t="shared" si="2"/>
        <v>Pregunta</v>
      </c>
      <c r="C469" s="106" t="str">
        <f t="shared" si="9"/>
        <v>19. </v>
      </c>
      <c r="D469" s="106" t="str">
        <f t="shared" si="10"/>
        <v>Interacción y retroalimentación</v>
      </c>
      <c r="E469"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469" s="141" t="str">
        <f t="shared" si="3"/>
        <v>19.3</v>
      </c>
      <c r="G469" s="92" t="str">
        <f t="shared" si="4"/>
        <v>DESEABLES</v>
      </c>
      <c r="H469" s="141"/>
      <c r="I469" s="141" t="str">
        <f t="shared" si="5"/>
        <v>19.3.1</v>
      </c>
      <c r="J469" s="98" t="str">
        <f t="shared" si="6"/>
        <v>Enlaces visitados</v>
      </c>
      <c r="K469" s="98" t="str">
        <f t="shared" si="7"/>
        <v>Existe una diferencia perceptible entre enlaces visitados y por visitar.
</v>
      </c>
      <c r="L469" s="141" t="str">
        <f t="shared" ref="L469:N469" si="474">IF(I469="",L468,I469)</f>
        <v>19.3.1</v>
      </c>
      <c r="M469" s="98" t="str">
        <f t="shared" si="474"/>
        <v>Enlaces visitados</v>
      </c>
      <c r="N469" s="98" t="str">
        <f t="shared" si="474"/>
        <v>Existe una diferencia perceptible entre enlaces visitados y por visitar.
</v>
      </c>
      <c r="O469" s="214" t="s">
        <v>1517</v>
      </c>
      <c r="P469" s="169" t="s">
        <v>1518</v>
      </c>
      <c r="Q469" s="169" t="s">
        <v>1519</v>
      </c>
      <c r="R469" s="171"/>
      <c r="S469" s="169" t="s">
        <v>2157</v>
      </c>
      <c r="T469" s="164" t="s">
        <v>2033</v>
      </c>
      <c r="U469" s="94"/>
      <c r="V469" s="94"/>
      <c r="W469" s="94"/>
      <c r="X469" s="94"/>
      <c r="Y469" s="94"/>
      <c r="Z469" s="94"/>
      <c r="AA469" s="94"/>
      <c r="AB469" s="94"/>
      <c r="AC469" s="94"/>
      <c r="AD469" s="94"/>
      <c r="AE469" s="94"/>
      <c r="AF469" s="94"/>
      <c r="AG469" s="94"/>
      <c r="AH469" s="94"/>
      <c r="AI469" s="94"/>
      <c r="AJ469" s="94"/>
      <c r="AK469" s="94"/>
      <c r="AL469" s="94"/>
    </row>
    <row r="470">
      <c r="A470" s="105" t="s">
        <v>661</v>
      </c>
      <c r="B470" s="92" t="str">
        <f t="shared" si="2"/>
        <v>Pregunta</v>
      </c>
      <c r="C470" s="106" t="str">
        <f t="shared" si="9"/>
        <v>19. </v>
      </c>
      <c r="D470" s="106" t="str">
        <f t="shared" si="10"/>
        <v>Interacción y retroalimentación</v>
      </c>
      <c r="E470"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470" s="141" t="str">
        <f t="shared" si="3"/>
        <v>19.3</v>
      </c>
      <c r="G470" s="92" t="str">
        <f t="shared" si="4"/>
        <v>DESEABLES</v>
      </c>
      <c r="H470" s="141"/>
      <c r="I470" s="141" t="str">
        <f t="shared" si="5"/>
        <v>19.3.2</v>
      </c>
      <c r="J470" s="98" t="str">
        <f t="shared" si="6"/>
        <v>Foros y encuestas</v>
      </c>
      <c r="K470" s="98" t="str">
        <f t="shared" si="7"/>
        <v>Presencia de espacios que permitan la comunicación, el intercambio y la participación entre las personas usuarias y los responsables.
</v>
      </c>
      <c r="L470" s="141" t="str">
        <f t="shared" ref="L470:N470" si="475">IF(I470="",L469,I470)</f>
        <v>19.3.2</v>
      </c>
      <c r="M470" s="98" t="str">
        <f t="shared" si="475"/>
        <v>Foros y encuestas</v>
      </c>
      <c r="N470" s="98" t="str">
        <f t="shared" si="475"/>
        <v>Presencia de espacios que permitan la comunicación, el intercambio y la participación entre las personas usuarias y los responsables.
</v>
      </c>
      <c r="O470" s="165" t="s">
        <v>1521</v>
      </c>
      <c r="P470" s="166" t="s">
        <v>1522</v>
      </c>
      <c r="Q470" s="166" t="s">
        <v>1523</v>
      </c>
      <c r="R470" s="211"/>
      <c r="S470" s="166" t="s">
        <v>1524</v>
      </c>
      <c r="T470" s="164" t="s">
        <v>2033</v>
      </c>
      <c r="U470" s="94"/>
      <c r="V470" s="94"/>
      <c r="W470" s="94"/>
      <c r="X470" s="94"/>
      <c r="Y470" s="94"/>
      <c r="Z470" s="94"/>
      <c r="AA470" s="94"/>
      <c r="AB470" s="94"/>
      <c r="AC470" s="94"/>
      <c r="AD470" s="94"/>
      <c r="AE470" s="94"/>
      <c r="AF470" s="94"/>
      <c r="AG470" s="94"/>
      <c r="AH470" s="94"/>
      <c r="AI470" s="94"/>
      <c r="AJ470" s="94"/>
      <c r="AK470" s="94"/>
      <c r="AL470" s="94"/>
    </row>
    <row r="471">
      <c r="A471" s="86" t="s">
        <v>661</v>
      </c>
      <c r="B471" s="95" t="str">
        <f t="shared" si="2"/>
        <v>Pregunta</v>
      </c>
      <c r="C471" s="106" t="str">
        <f t="shared" si="9"/>
        <v>19. </v>
      </c>
      <c r="D471" s="106" t="str">
        <f t="shared" si="10"/>
        <v>Interacción y retroalimentación</v>
      </c>
      <c r="E471"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471" s="141" t="str">
        <f t="shared" si="3"/>
        <v>19.3</v>
      </c>
      <c r="G471" s="92" t="str">
        <f t="shared" si="4"/>
        <v>DESEABLES</v>
      </c>
      <c r="H471" s="141"/>
      <c r="I471" s="141" t="str">
        <f t="shared" si="5"/>
        <v>19.3.3</v>
      </c>
      <c r="J471" s="98" t="str">
        <f t="shared" si="6"/>
        <v>Comunicación con responsable</v>
      </c>
      <c r="K471" s="98" t="str">
        <f t="shared" si="7"/>
        <v>Posibilidad de comunicarse con la persona encargada, para realizar consultas, sugerencias o comentarios respecto del servicio digital.
</v>
      </c>
      <c r="L471" s="141" t="str">
        <f t="shared" ref="L471:N471" si="476">IF(I471="",L470,I471)</f>
        <v>19.3.3</v>
      </c>
      <c r="M471" s="98" t="str">
        <f t="shared" si="476"/>
        <v>Comunicación con responsable</v>
      </c>
      <c r="N471" s="98" t="str">
        <f t="shared" si="476"/>
        <v>Posibilidad de comunicarse con la persona encargada, para realizar consultas, sugerencias o comentarios respecto del servicio digital.
</v>
      </c>
      <c r="O471" s="152" t="s">
        <v>1525</v>
      </c>
      <c r="P471" s="153" t="s">
        <v>1526</v>
      </c>
      <c r="Q471" s="153" t="s">
        <v>1527</v>
      </c>
      <c r="R471" s="149"/>
      <c r="S471" s="150" t="s">
        <v>1528</v>
      </c>
      <c r="T471" s="160" t="s">
        <v>2033</v>
      </c>
      <c r="U471" s="94"/>
      <c r="V471" s="94"/>
      <c r="W471" s="94"/>
      <c r="X471" s="94"/>
      <c r="Y471" s="94"/>
      <c r="Z471" s="94"/>
      <c r="AA471" s="94"/>
      <c r="AB471" s="94"/>
      <c r="AC471" s="94"/>
      <c r="AD471" s="94"/>
      <c r="AE471" s="94"/>
      <c r="AF471" s="94"/>
      <c r="AG471" s="94"/>
      <c r="AH471" s="94"/>
      <c r="AI471" s="94"/>
      <c r="AJ471" s="94"/>
      <c r="AK471" s="94"/>
      <c r="AL471" s="94"/>
    </row>
    <row r="472">
      <c r="A472" s="86" t="s">
        <v>661</v>
      </c>
      <c r="B472" s="95" t="str">
        <f t="shared" si="2"/>
        <v>Pregunta</v>
      </c>
      <c r="C472" s="106" t="str">
        <f t="shared" si="9"/>
        <v>19. </v>
      </c>
      <c r="D472" s="106" t="str">
        <f t="shared" si="10"/>
        <v>Interacción y retroalimentación</v>
      </c>
      <c r="E472"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472" s="141" t="str">
        <f t="shared" si="3"/>
        <v>19.3</v>
      </c>
      <c r="G472" s="92" t="str">
        <f t="shared" si="4"/>
        <v>DESEABLES</v>
      </c>
      <c r="H472" s="141"/>
      <c r="I472" s="141" t="str">
        <f t="shared" si="5"/>
        <v/>
      </c>
      <c r="J472" s="98" t="str">
        <f t="shared" si="6"/>
        <v/>
      </c>
      <c r="K472" s="98" t="str">
        <f t="shared" si="7"/>
        <v/>
      </c>
      <c r="L472" s="141" t="str">
        <f t="shared" ref="L472:N472" si="477">IF(I472="",L471,I472)</f>
        <v>19.3.3</v>
      </c>
      <c r="M472" s="98" t="str">
        <f t="shared" si="477"/>
        <v>Comunicación con responsable</v>
      </c>
      <c r="N472" s="98" t="str">
        <f t="shared" si="477"/>
        <v>Posibilidad de comunicarse con la persona encargada, para realizar consultas, sugerencias o comentarios respecto del servicio digital.
</v>
      </c>
      <c r="O472" s="308"/>
      <c r="P472" s="307"/>
      <c r="Q472" s="307"/>
      <c r="R472" s="168"/>
      <c r="S472" s="169" t="s">
        <v>2158</v>
      </c>
      <c r="T472" s="164" t="s">
        <v>2033</v>
      </c>
      <c r="U472" s="94"/>
      <c r="V472" s="94"/>
      <c r="W472" s="94"/>
      <c r="X472" s="94"/>
      <c r="Y472" s="94"/>
      <c r="Z472" s="94"/>
      <c r="AA472" s="94"/>
      <c r="AB472" s="94"/>
      <c r="AC472" s="94"/>
      <c r="AD472" s="94"/>
      <c r="AE472" s="94"/>
      <c r="AF472" s="94"/>
      <c r="AG472" s="94"/>
      <c r="AH472" s="94"/>
      <c r="AI472" s="94"/>
      <c r="AJ472" s="94"/>
      <c r="AK472" s="94"/>
      <c r="AL472" s="94"/>
    </row>
    <row r="473" hidden="1">
      <c r="A473" s="86" t="s">
        <v>661</v>
      </c>
      <c r="B473" s="95" t="str">
        <f t="shared" si="2"/>
        <v>Otro</v>
      </c>
      <c r="C473" s="106" t="str">
        <f t="shared" si="9"/>
        <v>20. </v>
      </c>
      <c r="D473" s="106" t="str">
        <f t="shared" si="10"/>
        <v>Rapidez de respuesta</v>
      </c>
      <c r="E473" s="106" t="str">
        <f t="shared" si="11"/>
        <v>Capacidad del servicio digital para entregar una experiencia usuaria rápida y con una navegación fluida, sobre todo en los trámites. También considera los tiempos de la institución para dar respuestas a las solicitudes en plazos breves y acotados.</v>
      </c>
      <c r="F473" s="141" t="str">
        <f t="shared" si="3"/>
        <v>19.3</v>
      </c>
      <c r="G473" s="92" t="str">
        <f t="shared" si="4"/>
        <v>DESEABLES</v>
      </c>
      <c r="H473" s="107"/>
      <c r="I473" s="107" t="str">
        <f t="shared" si="5"/>
        <v/>
      </c>
      <c r="J473" s="98" t="str">
        <f t="shared" si="6"/>
        <v/>
      </c>
      <c r="K473" s="98" t="str">
        <f t="shared" si="7"/>
        <v/>
      </c>
      <c r="L473" s="141" t="str">
        <f t="shared" ref="L473:N473" si="478">IF(I473="",L472,I473)</f>
        <v>19.3.3</v>
      </c>
      <c r="M473" s="98" t="str">
        <f t="shared" si="478"/>
        <v>Comunicación con responsable</v>
      </c>
      <c r="N473" s="98" t="str">
        <f t="shared" si="478"/>
        <v>Posibilidad de comunicarse con la persona encargada, para realizar consultas, sugerencias o comentarios respecto del servicio digital.
</v>
      </c>
      <c r="O473" s="220" t="s">
        <v>1530</v>
      </c>
      <c r="P473" s="112" t="s">
        <v>58</v>
      </c>
      <c r="Q473" s="309"/>
      <c r="R473" s="114"/>
      <c r="S473" s="115" t="s">
        <v>1531</v>
      </c>
      <c r="T473" s="116" t="s">
        <v>16</v>
      </c>
      <c r="U473" s="94"/>
      <c r="V473" s="94"/>
      <c r="W473" s="94"/>
      <c r="X473" s="94"/>
      <c r="Y473" s="94"/>
      <c r="Z473" s="94"/>
      <c r="AA473" s="94"/>
      <c r="AB473" s="94"/>
      <c r="AC473" s="94"/>
      <c r="AD473" s="94"/>
      <c r="AE473" s="94"/>
      <c r="AF473" s="94"/>
      <c r="AG473" s="94"/>
      <c r="AH473" s="94"/>
      <c r="AI473" s="94"/>
      <c r="AJ473" s="94"/>
      <c r="AK473" s="94"/>
      <c r="AL473" s="94"/>
    </row>
    <row r="474" hidden="1">
      <c r="A474" s="86" t="s">
        <v>661</v>
      </c>
      <c r="B474" s="95" t="str">
        <f t="shared" si="2"/>
        <v>Otro</v>
      </c>
      <c r="C474" s="106" t="str">
        <f t="shared" si="9"/>
        <v>20. </v>
      </c>
      <c r="D474" s="106" t="str">
        <f t="shared" si="10"/>
        <v>Rapidez de respuesta</v>
      </c>
      <c r="E474" s="106" t="str">
        <f t="shared" si="11"/>
        <v>Capacidad del servicio digital para entregar una experiencia usuaria rápida y con una navegación fluida, sobre todo en los trámites. También considera los tiempos de la institución para dar respuestas a las solicitudes en plazos breves y acotados.</v>
      </c>
      <c r="F474" s="141" t="str">
        <f t="shared" si="3"/>
        <v>19.3</v>
      </c>
      <c r="G474" s="92" t="str">
        <f t="shared" si="4"/>
        <v>DESEABLES</v>
      </c>
      <c r="H474" s="107"/>
      <c r="I474" s="107" t="str">
        <f t="shared" si="5"/>
        <v/>
      </c>
      <c r="J474" s="98" t="str">
        <f t="shared" si="6"/>
        <v/>
      </c>
      <c r="K474" s="98" t="str">
        <f t="shared" si="7"/>
        <v/>
      </c>
      <c r="L474" s="141" t="str">
        <f t="shared" ref="L474:N474" si="479">IF(I474="",L473,I474)</f>
        <v>19.3.3</v>
      </c>
      <c r="M474" s="98" t="str">
        <f t="shared" si="479"/>
        <v>Comunicación con responsable</v>
      </c>
      <c r="N474" s="98" t="str">
        <f t="shared" si="479"/>
        <v>Posibilidad de comunicarse con la persona encargada, para realizar consultas, sugerencias o comentarios respecto del servicio digital.
</v>
      </c>
      <c r="O474" s="310"/>
      <c r="P474" s="311"/>
      <c r="Q474" s="310"/>
      <c r="R474" s="114"/>
      <c r="S474" s="239"/>
      <c r="T474" s="241"/>
      <c r="U474" s="94"/>
      <c r="V474" s="94"/>
      <c r="W474" s="94"/>
      <c r="X474" s="94"/>
      <c r="Y474" s="94"/>
      <c r="Z474" s="94"/>
      <c r="AA474" s="94"/>
      <c r="AB474" s="94"/>
      <c r="AC474" s="94"/>
      <c r="AD474" s="94"/>
      <c r="AE474" s="94"/>
      <c r="AF474" s="94"/>
      <c r="AG474" s="94"/>
      <c r="AH474" s="94"/>
      <c r="AI474" s="94"/>
      <c r="AJ474" s="94"/>
      <c r="AK474" s="94"/>
      <c r="AL474" s="94"/>
    </row>
    <row r="475" hidden="1">
      <c r="A475" s="86" t="s">
        <v>661</v>
      </c>
      <c r="B475" s="95" t="str">
        <f t="shared" si="2"/>
        <v>Otro</v>
      </c>
      <c r="C475" s="106" t="str">
        <f t="shared" si="9"/>
        <v>20. </v>
      </c>
      <c r="D475" s="106" t="str">
        <f t="shared" si="10"/>
        <v>Rapidez de respuesta</v>
      </c>
      <c r="E475" s="106" t="str">
        <f t="shared" si="11"/>
        <v>Capacidad del servicio digital para entregar una experiencia usuaria rápida y con una navegación fluida, sobre todo en los trámites. También considera los tiempos de la institución para dar respuestas a las solicitudes en plazos breves y acotados.</v>
      </c>
      <c r="F475" s="141" t="str">
        <f t="shared" si="3"/>
        <v>19.3</v>
      </c>
      <c r="G475" s="92" t="str">
        <f t="shared" si="4"/>
        <v>DESEABLES</v>
      </c>
      <c r="H475" s="107"/>
      <c r="I475" s="107" t="str">
        <f t="shared" si="5"/>
        <v/>
      </c>
      <c r="J475" s="98" t="str">
        <f t="shared" si="6"/>
        <v/>
      </c>
      <c r="K475" s="98" t="str">
        <f t="shared" si="7"/>
        <v/>
      </c>
      <c r="L475" s="141" t="str">
        <f t="shared" ref="L475:N475" si="480">IF(I475="",L474,I475)</f>
        <v>19.3.3</v>
      </c>
      <c r="M475" s="98" t="str">
        <f t="shared" si="480"/>
        <v>Comunicación con responsable</v>
      </c>
      <c r="N475" s="98" t="str">
        <f t="shared" si="480"/>
        <v>Posibilidad de comunicarse con la persona encargada, para realizar consultas, sugerencias o comentarios respecto del servicio digital.
</v>
      </c>
      <c r="O475" s="312"/>
      <c r="P475" s="313"/>
      <c r="Q475" s="312"/>
      <c r="R475" s="114"/>
      <c r="S475" s="240"/>
      <c r="T475" s="241"/>
      <c r="U475" s="94"/>
      <c r="V475" s="94"/>
      <c r="W475" s="94"/>
      <c r="X475" s="94"/>
      <c r="Y475" s="94"/>
      <c r="Z475" s="94"/>
      <c r="AA475" s="94"/>
      <c r="AB475" s="94"/>
      <c r="AC475" s="94"/>
      <c r="AD475" s="94"/>
      <c r="AE475" s="94"/>
      <c r="AF475" s="94"/>
      <c r="AG475" s="94"/>
      <c r="AH475" s="94"/>
      <c r="AI475" s="94"/>
      <c r="AJ475" s="94"/>
      <c r="AK475" s="94"/>
      <c r="AL475" s="94"/>
    </row>
    <row r="476" hidden="1">
      <c r="A476" s="86" t="s">
        <v>661</v>
      </c>
      <c r="B476" s="95" t="str">
        <f t="shared" si="2"/>
        <v>Otro</v>
      </c>
      <c r="C476" s="106" t="str">
        <f t="shared" si="9"/>
        <v>20. </v>
      </c>
      <c r="D476" s="106" t="str">
        <f t="shared" si="10"/>
        <v>Rapidez de respuesta</v>
      </c>
      <c r="E476" s="106" t="str">
        <f t="shared" si="11"/>
        <v>Capacidad del servicio digital para entregar una experiencia usuaria rápida y con una navegación fluida, sobre todo en los trámites. También considera los tiempos de la institución para dar respuestas a las solicitudes en plazos breves y acotados.</v>
      </c>
      <c r="F476" s="141" t="str">
        <f t="shared" si="3"/>
        <v>19.3</v>
      </c>
      <c r="G476" s="92" t="str">
        <f t="shared" si="4"/>
        <v>DESEABLES</v>
      </c>
      <c r="H476" s="96"/>
      <c r="I476" s="96" t="str">
        <f t="shared" si="5"/>
        <v/>
      </c>
      <c r="J476" s="98" t="str">
        <f t="shared" si="6"/>
        <v/>
      </c>
      <c r="K476" s="98" t="str">
        <f t="shared" si="7"/>
        <v/>
      </c>
      <c r="L476" s="141" t="str">
        <f t="shared" ref="L476:N476" si="481">IF(I476="",L475,I476)</f>
        <v>19.3.3</v>
      </c>
      <c r="M476" s="98" t="str">
        <f t="shared" si="481"/>
        <v>Comunicación con responsable</v>
      </c>
      <c r="N476" s="98" t="str">
        <f t="shared" si="481"/>
        <v>Posibilidad de comunicarse con la persona encargada, para realizar consultas, sugerencias o comentarios respecto del servicio digital.
</v>
      </c>
      <c r="O476" s="316"/>
      <c r="P476" s="242"/>
      <c r="Q476" s="282"/>
      <c r="R476" s="282"/>
      <c r="S476" s="127"/>
      <c r="T476" s="127"/>
      <c r="U476" s="94"/>
      <c r="V476" s="94"/>
      <c r="W476" s="94"/>
      <c r="X476" s="94"/>
      <c r="Y476" s="94"/>
      <c r="Z476" s="94"/>
      <c r="AA476" s="94"/>
      <c r="AB476" s="94"/>
      <c r="AC476" s="94"/>
      <c r="AD476" s="94"/>
      <c r="AE476" s="94"/>
      <c r="AF476" s="94"/>
      <c r="AG476" s="94"/>
      <c r="AH476" s="94"/>
      <c r="AI476" s="94"/>
      <c r="AJ476" s="94"/>
      <c r="AK476" s="94"/>
      <c r="AL476" s="94"/>
    </row>
    <row r="477" hidden="1">
      <c r="A477" s="86" t="s">
        <v>661</v>
      </c>
      <c r="B477" s="95" t="str">
        <f t="shared" si="2"/>
        <v>Otro</v>
      </c>
      <c r="C477" s="106" t="str">
        <f t="shared" si="9"/>
        <v>20. </v>
      </c>
      <c r="D477" s="106" t="str">
        <f t="shared" si="10"/>
        <v>Rapidez de respuesta</v>
      </c>
      <c r="E477" s="106" t="str">
        <f t="shared" si="11"/>
        <v>Capacidad del servicio digital para entregar una experiencia usuaria rápida y con una navegación fluida, sobre todo en los trámites. También considera los tiempos de la institución para dar respuestas a las solicitudes en plazos breves y acotados.</v>
      </c>
      <c r="F477" s="141" t="str">
        <f t="shared" si="3"/>
        <v>19.3</v>
      </c>
      <c r="G477" s="92" t="str">
        <f t="shared" si="4"/>
        <v>DESEABLES</v>
      </c>
      <c r="H477" s="128"/>
      <c r="I477" s="128" t="str">
        <f t="shared" si="5"/>
        <v/>
      </c>
      <c r="J477" s="98" t="str">
        <f t="shared" si="6"/>
        <v/>
      </c>
      <c r="K477" s="98" t="str">
        <f t="shared" si="7"/>
        <v/>
      </c>
      <c r="L477" s="141" t="str">
        <f t="shared" ref="L477:N477" si="482">IF(I477="",L476,I477)</f>
        <v>19.3.3</v>
      </c>
      <c r="M477" s="98" t="str">
        <f t="shared" si="482"/>
        <v>Comunicación con responsable</v>
      </c>
      <c r="N477" s="98" t="str">
        <f t="shared" si="482"/>
        <v>Posibilidad de comunicarse con la persona encargada, para realizar consultas, sugerencias o comentarios respecto del servicio digital.
</v>
      </c>
      <c r="O477" s="223" t="s">
        <v>1822</v>
      </c>
      <c r="P477" s="133" t="s">
        <v>1823</v>
      </c>
      <c r="Q477" s="133" t="s">
        <v>2031</v>
      </c>
      <c r="R477" s="134"/>
      <c r="S477" s="133" t="s">
        <v>1824</v>
      </c>
      <c r="T477" s="133" t="s">
        <v>1825</v>
      </c>
      <c r="U477" s="94"/>
      <c r="V477" s="94"/>
      <c r="W477" s="94"/>
      <c r="X477" s="94"/>
      <c r="Y477" s="94"/>
      <c r="Z477" s="94"/>
      <c r="AA477" s="94"/>
      <c r="AB477" s="94"/>
      <c r="AC477" s="94"/>
      <c r="AD477" s="94"/>
      <c r="AE477" s="94"/>
      <c r="AF477" s="94"/>
      <c r="AG477" s="94"/>
      <c r="AH477" s="94"/>
      <c r="AI477" s="94"/>
      <c r="AJ477" s="94"/>
      <c r="AK477" s="94"/>
      <c r="AL477" s="94"/>
    </row>
    <row r="478" hidden="1">
      <c r="A478" s="86" t="s">
        <v>661</v>
      </c>
      <c r="B478" s="95" t="str">
        <f t="shared" si="2"/>
        <v>Otro</v>
      </c>
      <c r="C478" s="106" t="str">
        <f t="shared" si="9"/>
        <v>20. </v>
      </c>
      <c r="D478" s="106" t="str">
        <f t="shared" si="10"/>
        <v>Rapidez de respuesta</v>
      </c>
      <c r="E478" s="106" t="str">
        <f t="shared" si="11"/>
        <v>Capacidad del servicio digital para entregar una experiencia usuaria rápida y con una navegación fluida, sobre todo en los trámites. También considera los tiempos de la institución para dar respuestas a las solicitudes en plazos breves y acotados.</v>
      </c>
      <c r="F478" s="141" t="str">
        <f t="shared" si="3"/>
        <v>20.1</v>
      </c>
      <c r="G478" s="92" t="str">
        <f t="shared" si="4"/>
        <v>IMPRESCINDIBLES</v>
      </c>
      <c r="H478" s="141"/>
      <c r="I478" s="141" t="str">
        <f t="shared" si="5"/>
        <v/>
      </c>
      <c r="J478" s="98" t="str">
        <f t="shared" si="6"/>
        <v/>
      </c>
      <c r="K478" s="98" t="str">
        <f t="shared" si="7"/>
        <v/>
      </c>
      <c r="L478" s="141" t="str">
        <f t="shared" ref="L478:N478" si="483">IF(I478="",L477,I478)</f>
        <v>19.3.3</v>
      </c>
      <c r="M478" s="98" t="str">
        <f t="shared" si="483"/>
        <v>Comunicación con responsable</v>
      </c>
      <c r="N478" s="98" t="str">
        <f t="shared" si="483"/>
        <v>Posibilidad de comunicarse con la persona encargada, para realizar consultas, sugerencias o comentarios respecto del servicio digital.
</v>
      </c>
      <c r="O478" s="318" t="s">
        <v>1532</v>
      </c>
      <c r="P478" s="319" t="s">
        <v>664</v>
      </c>
      <c r="Q478" s="320"/>
      <c r="R478" s="320"/>
      <c r="S478" s="139">
        <f>COUNTA(P479:P482)</f>
        <v>1</v>
      </c>
      <c r="T478" s="140">
        <f>COUNTIF(U479:U482,"n/a")</f>
        <v>0</v>
      </c>
      <c r="U478" s="94"/>
      <c r="V478" s="94"/>
      <c r="W478" s="94"/>
      <c r="X478" s="94"/>
      <c r="Y478" s="94"/>
      <c r="Z478" s="94"/>
      <c r="AA478" s="94"/>
      <c r="AB478" s="94"/>
      <c r="AC478" s="94"/>
      <c r="AD478" s="94"/>
      <c r="AE478" s="94"/>
      <c r="AF478" s="94"/>
      <c r="AG478" s="94"/>
      <c r="AH478" s="94"/>
      <c r="AI478" s="94"/>
      <c r="AJ478" s="94"/>
      <c r="AK478" s="94"/>
      <c r="AL478" s="94"/>
    </row>
    <row r="479">
      <c r="A479" s="105" t="s">
        <v>661</v>
      </c>
      <c r="B479" s="92" t="str">
        <f t="shared" si="2"/>
        <v>Pregunta</v>
      </c>
      <c r="C479" s="106" t="str">
        <f t="shared" si="9"/>
        <v>20. </v>
      </c>
      <c r="D479" s="106" t="str">
        <f t="shared" si="10"/>
        <v>Rapidez de respuesta</v>
      </c>
      <c r="E479" s="106" t="str">
        <f t="shared" si="11"/>
        <v>Capacidad del servicio digital para entregar una experiencia usuaria rápida y con una navegación fluida, sobre todo en los trámites. También considera los tiempos de la institución para dar respuestas a las solicitudes en plazos breves y acotados.</v>
      </c>
      <c r="F479" s="141" t="str">
        <f t="shared" si="3"/>
        <v>20.1</v>
      </c>
      <c r="G479" s="92" t="str">
        <f t="shared" si="4"/>
        <v>IMPRESCINDIBLES</v>
      </c>
      <c r="H479" s="141"/>
      <c r="I479" s="141" t="str">
        <f t="shared" si="5"/>
        <v>20.1.1</v>
      </c>
      <c r="J479" s="98" t="str">
        <f t="shared" si="6"/>
        <v>Tiempo de respuesta</v>
      </c>
      <c r="K479" s="98" t="str">
        <f t="shared" si="7"/>
        <v>Velocidad con la que un sitio web puede procesar y responder a las solicitudes de las personas usuarias, proporcionando una experiencia de navegación ágil y eficiente.</v>
      </c>
      <c r="L479" s="141" t="str">
        <f t="shared" ref="L479:N479" si="484">IF(I479="",L478,I479)</f>
        <v>20.1.1</v>
      </c>
      <c r="M479" s="98" t="str">
        <f t="shared" si="484"/>
        <v>Tiempo de respuesta</v>
      </c>
      <c r="N479" s="98" t="str">
        <f t="shared" si="484"/>
        <v>Velocidad con la que un sitio web puede procesar y responder a las solicitudes de las personas usuarias, proporcionando una experiencia de navegación ágil y eficiente.</v>
      </c>
      <c r="O479" s="152" t="s">
        <v>1533</v>
      </c>
      <c r="P479" s="153" t="s">
        <v>1534</v>
      </c>
      <c r="Q479" s="153" t="s">
        <v>1535</v>
      </c>
      <c r="R479" s="149"/>
      <c r="S479" s="150" t="s">
        <v>1536</v>
      </c>
      <c r="T479" s="160" t="s">
        <v>2033</v>
      </c>
      <c r="U479" s="94"/>
      <c r="V479" s="94"/>
      <c r="W479" s="94"/>
      <c r="X479" s="94"/>
      <c r="Y479" s="94"/>
      <c r="Z479" s="94"/>
      <c r="AA479" s="94"/>
      <c r="AB479" s="94"/>
      <c r="AC479" s="94"/>
      <c r="AD479" s="94"/>
      <c r="AE479" s="94"/>
      <c r="AF479" s="94"/>
      <c r="AG479" s="94"/>
      <c r="AH479" s="94"/>
      <c r="AI479" s="94"/>
      <c r="AJ479" s="94"/>
      <c r="AK479" s="94"/>
      <c r="AL479" s="94"/>
    </row>
    <row r="480">
      <c r="A480" s="86" t="s">
        <v>661</v>
      </c>
      <c r="B480" s="95" t="str">
        <f t="shared" si="2"/>
        <v>Pregunta</v>
      </c>
      <c r="C480" s="106" t="str">
        <f t="shared" si="9"/>
        <v>20. </v>
      </c>
      <c r="D480" s="106" t="str">
        <f t="shared" si="10"/>
        <v>Rapidez de respuesta</v>
      </c>
      <c r="E480" s="106" t="str">
        <f t="shared" si="11"/>
        <v>Capacidad del servicio digital para entregar una experiencia usuaria rápida y con una navegación fluida, sobre todo en los trámites. También considera los tiempos de la institución para dar respuestas a las solicitudes en plazos breves y acotados.</v>
      </c>
      <c r="F480" s="141" t="str">
        <f t="shared" si="3"/>
        <v>20.1</v>
      </c>
      <c r="G480" s="92" t="str">
        <f t="shared" si="4"/>
        <v>IMPRESCINDIBLES</v>
      </c>
      <c r="H480" s="141"/>
      <c r="I480" s="141" t="str">
        <f t="shared" si="5"/>
        <v/>
      </c>
      <c r="J480" s="98" t="str">
        <f t="shared" si="6"/>
        <v/>
      </c>
      <c r="K480" s="98" t="str">
        <f t="shared" si="7"/>
        <v/>
      </c>
      <c r="L480" s="141" t="str">
        <f t="shared" ref="L480:N480" si="485">IF(I480="",L479,I480)</f>
        <v>20.1.1</v>
      </c>
      <c r="M480" s="98" t="str">
        <f t="shared" si="485"/>
        <v>Tiempo de respuesta</v>
      </c>
      <c r="N480" s="98" t="str">
        <f t="shared" si="485"/>
        <v>Velocidad con la que un sitio web puede procesar y responder a las solicitudes de las personas usuarias, proporcionando una experiencia de navegación ágil y eficiente.</v>
      </c>
      <c r="O480" s="304"/>
      <c r="P480" s="305"/>
      <c r="Q480" s="305"/>
      <c r="R480" s="149"/>
      <c r="S480" s="162" t="s">
        <v>1537</v>
      </c>
      <c r="T480" s="160" t="s">
        <v>2033</v>
      </c>
      <c r="U480" s="94"/>
      <c r="V480" s="94"/>
      <c r="W480" s="94"/>
      <c r="X480" s="94"/>
      <c r="Y480" s="94"/>
      <c r="Z480" s="94"/>
      <c r="AA480" s="94"/>
      <c r="AB480" s="94"/>
      <c r="AC480" s="94"/>
      <c r="AD480" s="94"/>
      <c r="AE480" s="94"/>
      <c r="AF480" s="94"/>
      <c r="AG480" s="94"/>
      <c r="AH480" s="94"/>
      <c r="AI480" s="94"/>
      <c r="AJ480" s="94"/>
      <c r="AK480" s="94"/>
      <c r="AL480" s="94"/>
    </row>
    <row r="481">
      <c r="A481" s="86" t="s">
        <v>661</v>
      </c>
      <c r="B481" s="95" t="str">
        <f t="shared" si="2"/>
        <v>Pregunta</v>
      </c>
      <c r="C481" s="106" t="str">
        <f t="shared" si="9"/>
        <v>20. </v>
      </c>
      <c r="D481" s="106" t="str">
        <f t="shared" si="10"/>
        <v>Rapidez de respuesta</v>
      </c>
      <c r="E481" s="106" t="str">
        <f t="shared" si="11"/>
        <v>Capacidad del servicio digital para entregar una experiencia usuaria rápida y con una navegación fluida, sobre todo en los trámites. También considera los tiempos de la institución para dar respuestas a las solicitudes en plazos breves y acotados.</v>
      </c>
      <c r="F481" s="141" t="str">
        <f t="shared" si="3"/>
        <v>20.1</v>
      </c>
      <c r="G481" s="92" t="str">
        <f t="shared" si="4"/>
        <v>IMPRESCINDIBLES</v>
      </c>
      <c r="H481" s="141"/>
      <c r="I481" s="141" t="str">
        <f t="shared" si="5"/>
        <v/>
      </c>
      <c r="J481" s="98" t="str">
        <f t="shared" si="6"/>
        <v/>
      </c>
      <c r="K481" s="98" t="str">
        <f t="shared" si="7"/>
        <v/>
      </c>
      <c r="L481" s="141" t="str">
        <f t="shared" ref="L481:N481" si="486">IF(I481="",L480,I481)</f>
        <v>20.1.1</v>
      </c>
      <c r="M481" s="98" t="str">
        <f t="shared" si="486"/>
        <v>Tiempo de respuesta</v>
      </c>
      <c r="N481" s="98" t="str">
        <f t="shared" si="486"/>
        <v>Velocidad con la que un sitio web puede procesar y responder a las solicitudes de las personas usuarias, proporcionando una experiencia de navegación ágil y eficiente.</v>
      </c>
      <c r="O481" s="304"/>
      <c r="P481" s="305"/>
      <c r="Q481" s="305"/>
      <c r="R481" s="149"/>
      <c r="S481" s="254" t="s">
        <v>2159</v>
      </c>
      <c r="T481" s="160" t="s">
        <v>2033</v>
      </c>
      <c r="U481" s="94"/>
      <c r="V481" s="94"/>
      <c r="W481" s="94"/>
      <c r="X481" s="94"/>
      <c r="Y481" s="94"/>
      <c r="Z481" s="94"/>
      <c r="AA481" s="94"/>
      <c r="AB481" s="94"/>
      <c r="AC481" s="94"/>
      <c r="AD481" s="94"/>
      <c r="AE481" s="94"/>
      <c r="AF481" s="94"/>
      <c r="AG481" s="94"/>
      <c r="AH481" s="94"/>
      <c r="AI481" s="94"/>
      <c r="AJ481" s="94"/>
      <c r="AK481" s="94"/>
      <c r="AL481" s="94"/>
    </row>
    <row r="482">
      <c r="A482" s="86" t="s">
        <v>661</v>
      </c>
      <c r="B482" s="95" t="str">
        <f t="shared" si="2"/>
        <v>Pregunta</v>
      </c>
      <c r="C482" s="106" t="str">
        <f t="shared" si="9"/>
        <v>20. </v>
      </c>
      <c r="D482" s="106" t="str">
        <f t="shared" si="10"/>
        <v>Rapidez de respuesta</v>
      </c>
      <c r="E482" s="106" t="str">
        <f t="shared" si="11"/>
        <v>Capacidad del servicio digital para entregar una experiencia usuaria rápida y con una navegación fluida, sobre todo en los trámites. También considera los tiempos de la institución para dar respuestas a las solicitudes en plazos breves y acotados.</v>
      </c>
      <c r="F482" s="141" t="str">
        <f t="shared" si="3"/>
        <v>20.1</v>
      </c>
      <c r="G482" s="92" t="str">
        <f t="shared" si="4"/>
        <v>IMPRESCINDIBLES</v>
      </c>
      <c r="H482" s="141"/>
      <c r="I482" s="141" t="str">
        <f t="shared" si="5"/>
        <v/>
      </c>
      <c r="J482" s="98" t="str">
        <f t="shared" si="6"/>
        <v/>
      </c>
      <c r="K482" s="98" t="str">
        <f t="shared" si="7"/>
        <v/>
      </c>
      <c r="L482" s="141" t="str">
        <f t="shared" ref="L482:N482" si="487">IF(I482="",L481,I482)</f>
        <v>20.1.1</v>
      </c>
      <c r="M482" s="98" t="str">
        <f t="shared" si="487"/>
        <v>Tiempo de respuesta</v>
      </c>
      <c r="N482" s="98" t="str">
        <f t="shared" si="487"/>
        <v>Velocidad con la que un sitio web puede procesar y responder a las solicitudes de las personas usuarias, proporcionando una experiencia de navegación ágil y eficiente.</v>
      </c>
      <c r="O482" s="308"/>
      <c r="P482" s="307"/>
      <c r="Q482" s="307"/>
      <c r="R482" s="174"/>
      <c r="S482" s="256" t="s">
        <v>2160</v>
      </c>
      <c r="T482" s="164" t="s">
        <v>2033</v>
      </c>
      <c r="U482" s="94"/>
      <c r="V482" s="94"/>
      <c r="W482" s="94"/>
      <c r="X482" s="94"/>
      <c r="Y482" s="94"/>
      <c r="Z482" s="94"/>
      <c r="AA482" s="94"/>
      <c r="AB482" s="94"/>
      <c r="AC482" s="94"/>
      <c r="AD482" s="94"/>
      <c r="AE482" s="94"/>
      <c r="AF482" s="94"/>
      <c r="AG482" s="94"/>
      <c r="AH482" s="94"/>
      <c r="AI482" s="94"/>
      <c r="AJ482" s="94"/>
      <c r="AK482" s="94"/>
      <c r="AL482" s="94"/>
    </row>
    <row r="483" hidden="1">
      <c r="A483" s="105" t="s">
        <v>661</v>
      </c>
      <c r="B483" s="92" t="str">
        <f t="shared" si="2"/>
        <v>Otro</v>
      </c>
      <c r="C483" s="106" t="str">
        <f t="shared" si="9"/>
        <v>20. </v>
      </c>
      <c r="D483" s="106" t="str">
        <f t="shared" si="10"/>
        <v>Rapidez de respuesta</v>
      </c>
      <c r="E483" s="106" t="str">
        <f t="shared" si="11"/>
        <v>Capacidad del servicio digital para entregar una experiencia usuaria rápida y con una navegación fluida, sobre todo en los trámites. También considera los tiempos de la institución para dar respuestas a las solicitudes en plazos breves y acotados.</v>
      </c>
      <c r="F483" s="141" t="str">
        <f t="shared" si="3"/>
        <v>20.1</v>
      </c>
      <c r="G483" s="92" t="str">
        <f t="shared" si="4"/>
        <v>IMPRESCINDIBLES</v>
      </c>
      <c r="H483" s="93"/>
      <c r="I483" s="93" t="str">
        <f t="shared" si="5"/>
        <v/>
      </c>
      <c r="J483" s="98" t="str">
        <f t="shared" si="6"/>
        <v/>
      </c>
      <c r="K483" s="98" t="str">
        <f t="shared" si="7"/>
        <v/>
      </c>
      <c r="L483" s="141" t="str">
        <f t="shared" ref="L483:N483" si="488">IF(I483="",L482,I483)</f>
        <v>20.1.1</v>
      </c>
      <c r="M483" s="98" t="str">
        <f t="shared" si="488"/>
        <v>Tiempo de respuesta</v>
      </c>
      <c r="N483" s="98" t="str">
        <f t="shared" si="488"/>
        <v>Velocidad con la que un sitio web puede procesar y responder a las solicitudes de las personas usuarias, proporcionando una experiencia de navegación ágil y eficiente.</v>
      </c>
      <c r="O483" s="94"/>
      <c r="P483" s="94"/>
      <c r="Q483" s="94"/>
      <c r="R483" s="94"/>
      <c r="S483" s="94"/>
      <c r="T483" s="94"/>
      <c r="U483" s="94"/>
      <c r="V483" s="94"/>
      <c r="W483" s="94"/>
      <c r="X483" s="94"/>
      <c r="Y483" s="94"/>
      <c r="Z483" s="94"/>
      <c r="AA483" s="94"/>
      <c r="AB483" s="94"/>
      <c r="AC483" s="94"/>
      <c r="AD483" s="94"/>
      <c r="AE483" s="94"/>
      <c r="AF483" s="94"/>
      <c r="AG483" s="94"/>
      <c r="AH483" s="94"/>
      <c r="AI483" s="94"/>
      <c r="AJ483" s="94"/>
      <c r="AK483" s="94"/>
      <c r="AL483" s="94"/>
    </row>
    <row r="484" hidden="1">
      <c r="A484" s="86" t="s">
        <v>1540</v>
      </c>
      <c r="B484" s="95" t="str">
        <f t="shared" si="2"/>
        <v>Otro</v>
      </c>
      <c r="C484" s="106" t="str">
        <f t="shared" si="9"/>
        <v>20. </v>
      </c>
      <c r="D484" s="106" t="str">
        <f t="shared" si="10"/>
        <v>Rapidez de respuesta</v>
      </c>
      <c r="E484" s="106" t="str">
        <f t="shared" si="11"/>
        <v>Capacidad del servicio digital para entregar una experiencia usuaria rápida y con una navegación fluida, sobre todo en los trámites. También considera los tiempos de la institución para dar respuestas a las solicitudes en plazos breves y acotados.</v>
      </c>
      <c r="F484" s="141" t="str">
        <f t="shared" si="3"/>
        <v>20.1</v>
      </c>
      <c r="G484" s="92" t="str">
        <f t="shared" si="4"/>
        <v>IMPRESCINDIBLES</v>
      </c>
      <c r="H484" s="96"/>
      <c r="I484" s="96" t="str">
        <f t="shared" si="5"/>
        <v/>
      </c>
      <c r="J484" s="98" t="str">
        <f t="shared" si="6"/>
        <v/>
      </c>
      <c r="K484" s="98" t="str">
        <f t="shared" si="7"/>
        <v/>
      </c>
      <c r="L484" s="141" t="str">
        <f t="shared" ref="L484:N484" si="489">IF(I484="",L483,I484)</f>
        <v>20.1.1</v>
      </c>
      <c r="M484" s="98" t="str">
        <f t="shared" si="489"/>
        <v>Tiempo de respuesta</v>
      </c>
      <c r="N484" s="98" t="str">
        <f t="shared" si="489"/>
        <v>Velocidad con la que un sitio web puede procesar y responder a las solicitudes de las personas usuarias, proporcionando una experiencia de navegación ágil y eficiente.</v>
      </c>
      <c r="O484" s="99"/>
      <c r="P484" s="100"/>
      <c r="Q484" s="101" t="s">
        <v>1540</v>
      </c>
      <c r="R484" s="102"/>
      <c r="S484" s="103"/>
      <c r="T484" s="104"/>
      <c r="U484" s="94"/>
      <c r="V484" s="94"/>
      <c r="W484" s="94"/>
      <c r="X484" s="94"/>
      <c r="Y484" s="94"/>
      <c r="Z484" s="94"/>
      <c r="AA484" s="94"/>
      <c r="AB484" s="94"/>
      <c r="AC484" s="94"/>
      <c r="AD484" s="94"/>
      <c r="AE484" s="94"/>
      <c r="AF484" s="94"/>
      <c r="AG484" s="94"/>
      <c r="AH484" s="94"/>
      <c r="AI484" s="94"/>
      <c r="AJ484" s="94"/>
      <c r="AK484" s="94"/>
      <c r="AL484" s="94"/>
    </row>
    <row r="485" hidden="1">
      <c r="A485" s="86" t="s">
        <v>1540</v>
      </c>
      <c r="B485" s="95" t="str">
        <f t="shared" si="2"/>
        <v>Otro</v>
      </c>
      <c r="C485" s="106" t="str">
        <f t="shared" si="9"/>
        <v>1.</v>
      </c>
      <c r="D485" s="106" t="str">
        <f t="shared" si="10"/>
        <v>Usabilidad</v>
      </c>
      <c r="E485" s="106" t="str">
        <f t="shared" si="11"/>
        <v>Medida en que los usuarios pueden utilizar un sistema para lograr determinados objetivos con eficacia, eficiencia y satisfacción en un contexto de uso especificado.</v>
      </c>
      <c r="F485" s="141" t="str">
        <f t="shared" si="3"/>
        <v>20.1</v>
      </c>
      <c r="G485" s="92" t="str">
        <f t="shared" si="4"/>
        <v>IMPRESCINDIBLES</v>
      </c>
      <c r="H485" s="109"/>
      <c r="I485" s="109" t="str">
        <f t="shared" si="5"/>
        <v/>
      </c>
      <c r="J485" s="98" t="str">
        <f t="shared" si="6"/>
        <v/>
      </c>
      <c r="K485" s="98" t="str">
        <f t="shared" si="7"/>
        <v/>
      </c>
      <c r="L485" s="141" t="str">
        <f t="shared" ref="L485:N485" si="490">IF(I485="",L484,I485)</f>
        <v>20.1.1</v>
      </c>
      <c r="M485" s="98" t="str">
        <f t="shared" si="490"/>
        <v>Tiempo de respuesta</v>
      </c>
      <c r="N485" s="98" t="str">
        <f t="shared" si="490"/>
        <v>Velocidad con la que un sitio web puede procesar y responder a las solicitudes de las personas usuarias, proporcionando una experiencia de navegación ágil y eficiente.</v>
      </c>
      <c r="O485" s="111" t="s">
        <v>17</v>
      </c>
      <c r="P485" s="112" t="s">
        <v>21</v>
      </c>
      <c r="Q485" s="113"/>
      <c r="R485" s="114"/>
      <c r="S485" s="115" t="s">
        <v>763</v>
      </c>
      <c r="T485" s="116" t="s">
        <v>2161</v>
      </c>
      <c r="U485" s="94"/>
      <c r="V485" s="94"/>
      <c r="W485" s="94"/>
      <c r="X485" s="94"/>
      <c r="Y485" s="94"/>
      <c r="Z485" s="94"/>
      <c r="AA485" s="94"/>
      <c r="AB485" s="94"/>
      <c r="AC485" s="94"/>
      <c r="AD485" s="94"/>
      <c r="AE485" s="94"/>
      <c r="AF485" s="94"/>
      <c r="AG485" s="94"/>
      <c r="AH485" s="94"/>
      <c r="AI485" s="94"/>
      <c r="AJ485" s="94"/>
      <c r="AK485" s="94"/>
      <c r="AL485" s="94"/>
    </row>
    <row r="486" hidden="1">
      <c r="A486" s="86" t="s">
        <v>1540</v>
      </c>
      <c r="B486" s="20"/>
      <c r="C486" s="106" t="str">
        <f t="shared" si="9"/>
        <v>1.</v>
      </c>
      <c r="D486" s="106" t="str">
        <f t="shared" si="10"/>
        <v>Usabilidad</v>
      </c>
      <c r="E486" s="106" t="str">
        <f t="shared" si="11"/>
        <v>Medida en que los usuarios pueden utilizar un sistema para lograr determinados objetivos con eficacia, eficiencia y satisfacción en un contexto de uso especificado.</v>
      </c>
      <c r="F486" s="141" t="str">
        <f t="shared" si="3"/>
        <v>20.1</v>
      </c>
      <c r="G486" s="92" t="str">
        <f t="shared" si="4"/>
        <v>IMPRESCINDIBLES</v>
      </c>
      <c r="H486" s="109"/>
      <c r="I486" s="109" t="str">
        <f t="shared" si="5"/>
        <v/>
      </c>
      <c r="J486" s="98" t="str">
        <f t="shared" si="6"/>
        <v/>
      </c>
      <c r="K486" s="98" t="str">
        <f t="shared" si="7"/>
        <v/>
      </c>
      <c r="L486" s="141" t="str">
        <f t="shared" ref="L486:N486" si="491">IF(I486="",L485,I486)</f>
        <v>20.1.1</v>
      </c>
      <c r="M486" s="98" t="str">
        <f t="shared" si="491"/>
        <v>Tiempo de respuesta</v>
      </c>
      <c r="N486" s="98" t="str">
        <f t="shared" si="491"/>
        <v>Velocidad con la que un sitio web puede procesar y responder a las solicitudes de las personas usuarias, proporcionando una experiencia de navegación ágil y eficiente.</v>
      </c>
      <c r="O486" s="117"/>
      <c r="P486" s="118"/>
      <c r="Q486" s="119"/>
      <c r="R486" s="114"/>
      <c r="S486" s="120"/>
      <c r="T486" s="116" t="s">
        <v>19</v>
      </c>
      <c r="U486" s="94"/>
      <c r="V486" s="94"/>
      <c r="W486" s="94"/>
      <c r="X486" s="94"/>
      <c r="Y486" s="94"/>
      <c r="Z486" s="94"/>
      <c r="AA486" s="94"/>
      <c r="AB486" s="94"/>
      <c r="AC486" s="94"/>
      <c r="AD486" s="94"/>
      <c r="AE486" s="94"/>
      <c r="AF486" s="94"/>
      <c r="AG486" s="94"/>
      <c r="AH486" s="94"/>
      <c r="AI486" s="94"/>
      <c r="AJ486" s="94"/>
      <c r="AK486" s="94"/>
      <c r="AL486" s="94"/>
    </row>
    <row r="487" hidden="1">
      <c r="A487" s="86" t="s">
        <v>1540</v>
      </c>
      <c r="B487" s="20"/>
      <c r="C487" s="106" t="str">
        <f t="shared" si="9"/>
        <v>1.</v>
      </c>
      <c r="D487" s="106" t="str">
        <f t="shared" si="10"/>
        <v>Usabilidad</v>
      </c>
      <c r="E487" s="106" t="str">
        <f t="shared" si="11"/>
        <v>Medida en que los usuarios pueden utilizar un sistema para lograr determinados objetivos con eficacia, eficiencia y satisfacción en un contexto de uso especificado.</v>
      </c>
      <c r="F487" s="141" t="str">
        <f t="shared" si="3"/>
        <v>20.1</v>
      </c>
      <c r="G487" s="92" t="str">
        <f t="shared" si="4"/>
        <v>IMPRESCINDIBLES</v>
      </c>
      <c r="H487" s="109"/>
      <c r="I487" s="109" t="str">
        <f t="shared" si="5"/>
        <v/>
      </c>
      <c r="J487" s="98" t="str">
        <f t="shared" si="6"/>
        <v/>
      </c>
      <c r="K487" s="98" t="str">
        <f t="shared" si="7"/>
        <v/>
      </c>
      <c r="L487" s="141" t="str">
        <f t="shared" ref="L487:N487" si="492">IF(I487="",L486,I487)</f>
        <v>20.1.1</v>
      </c>
      <c r="M487" s="98" t="str">
        <f t="shared" si="492"/>
        <v>Tiempo de respuesta</v>
      </c>
      <c r="N487" s="98" t="str">
        <f t="shared" si="492"/>
        <v>Velocidad con la que un sitio web puede procesar y responder a las solicitudes de las personas usuarias, proporcionando una experiencia de navegación ágil y eficiente.</v>
      </c>
      <c r="O487" s="121"/>
      <c r="P487" s="122"/>
      <c r="Q487" s="123"/>
      <c r="R487" s="114"/>
      <c r="S487" s="124"/>
      <c r="T487" s="116" t="s">
        <v>22</v>
      </c>
      <c r="U487" s="94"/>
      <c r="V487" s="94"/>
      <c r="W487" s="94"/>
      <c r="X487" s="94"/>
      <c r="Y487" s="94"/>
      <c r="Z487" s="94"/>
      <c r="AA487" s="94"/>
      <c r="AB487" s="94"/>
      <c r="AC487" s="94"/>
      <c r="AD487" s="94"/>
      <c r="AE487" s="94"/>
      <c r="AF487" s="94"/>
      <c r="AG487" s="94"/>
      <c r="AH487" s="94"/>
      <c r="AI487" s="94"/>
      <c r="AJ487" s="94"/>
      <c r="AK487" s="94"/>
      <c r="AL487" s="94"/>
    </row>
    <row r="488" hidden="1">
      <c r="A488" s="86" t="s">
        <v>1540</v>
      </c>
      <c r="B488" s="95" t="str">
        <f t="shared" ref="B488:B884" si="494">IF(AND(S488&lt;&gt;"",T488="Por responder"),"Pregunta","Otro")</f>
        <v>Otro</v>
      </c>
      <c r="C488" s="106" t="str">
        <f t="shared" si="9"/>
        <v>1.</v>
      </c>
      <c r="D488" s="106" t="str">
        <f t="shared" si="10"/>
        <v>Usabilidad</v>
      </c>
      <c r="E488" s="106" t="str">
        <f t="shared" si="11"/>
        <v>Medida en que los usuarios pueden utilizar un sistema para lograr determinados objetivos con eficacia, eficiencia y satisfacción en un contexto de uso especificado.</v>
      </c>
      <c r="F488" s="141" t="str">
        <f t="shared" si="3"/>
        <v>20.1</v>
      </c>
      <c r="G488" s="92" t="str">
        <f t="shared" si="4"/>
        <v>IMPRESCINDIBLES</v>
      </c>
      <c r="H488" s="125"/>
      <c r="I488" s="125" t="str">
        <f t="shared" si="5"/>
        <v/>
      </c>
      <c r="J488" s="98" t="str">
        <f t="shared" si="6"/>
        <v/>
      </c>
      <c r="K488" s="98" t="str">
        <f t="shared" si="7"/>
        <v/>
      </c>
      <c r="L488" s="141" t="str">
        <f t="shared" ref="L488:N488" si="493">IF(I488="",L487,I488)</f>
        <v>20.1.1</v>
      </c>
      <c r="M488" s="98" t="str">
        <f t="shared" si="493"/>
        <v>Tiempo de respuesta</v>
      </c>
      <c r="N488" s="98" t="str">
        <f t="shared" si="493"/>
        <v>Velocidad con la que un sitio web puede procesar y responder a las solicitudes de las personas usuarias, proporcionando una experiencia de navegación ágil y eficiente.</v>
      </c>
      <c r="O488" s="126"/>
      <c r="P488" s="114"/>
      <c r="Q488" s="114"/>
      <c r="R488" s="127"/>
      <c r="S488" s="127"/>
      <c r="T488" s="127"/>
      <c r="U488" s="94"/>
      <c r="V488" s="94"/>
      <c r="W488" s="94"/>
      <c r="X488" s="94"/>
      <c r="Y488" s="94"/>
      <c r="Z488" s="94"/>
      <c r="AA488" s="94"/>
      <c r="AB488" s="94"/>
      <c r="AC488" s="94"/>
      <c r="AD488" s="94"/>
      <c r="AE488" s="94"/>
      <c r="AF488" s="94"/>
      <c r="AG488" s="94"/>
      <c r="AH488" s="94"/>
      <c r="AI488" s="94"/>
      <c r="AJ488" s="94"/>
      <c r="AK488" s="94"/>
      <c r="AL488" s="94"/>
    </row>
    <row r="489" hidden="1">
      <c r="A489" s="86" t="s">
        <v>1540</v>
      </c>
      <c r="B489" s="95" t="str">
        <f t="shared" si="494"/>
        <v>Otro</v>
      </c>
      <c r="C489" s="106" t="str">
        <f t="shared" si="9"/>
        <v>1.</v>
      </c>
      <c r="D489" s="106" t="str">
        <f t="shared" si="10"/>
        <v>Usabilidad</v>
      </c>
      <c r="E489" s="106" t="str">
        <f t="shared" si="11"/>
        <v>Medida en que los usuarios pueden utilizar un sistema para lograr determinados objetivos con eficacia, eficiencia y satisfacción en un contexto de uso especificado.</v>
      </c>
      <c r="F489" s="141" t="str">
        <f t="shared" si="3"/>
        <v>20.1</v>
      </c>
      <c r="G489" s="92" t="str">
        <f t="shared" si="4"/>
        <v>IMPRESCINDIBLES</v>
      </c>
      <c r="H489" s="130"/>
      <c r="I489" s="130" t="str">
        <f t="shared" si="5"/>
        <v/>
      </c>
      <c r="J489" s="98" t="str">
        <f t="shared" si="6"/>
        <v/>
      </c>
      <c r="K489" s="98" t="str">
        <f t="shared" si="7"/>
        <v/>
      </c>
      <c r="L489" s="141" t="str">
        <f t="shared" ref="L489:N489" si="495">IF(I489="",L488,I489)</f>
        <v>20.1.1</v>
      </c>
      <c r="M489" s="98" t="str">
        <f t="shared" si="495"/>
        <v>Tiempo de respuesta</v>
      </c>
      <c r="N489" s="98" t="str">
        <f t="shared" si="495"/>
        <v>Velocidad con la que un sitio web puede procesar y responder a las solicitudes de las personas usuarias, proporcionando una experiencia de navegación ágil y eficiente.</v>
      </c>
      <c r="O489" s="132" t="s">
        <v>1822</v>
      </c>
      <c r="P489" s="133" t="s">
        <v>1823</v>
      </c>
      <c r="Q489" s="133" t="s">
        <v>2031</v>
      </c>
      <c r="R489" s="134"/>
      <c r="S489" s="133" t="s">
        <v>1824</v>
      </c>
      <c r="T489" s="133" t="s">
        <v>1825</v>
      </c>
      <c r="U489" s="94"/>
      <c r="V489" s="94"/>
      <c r="W489" s="94"/>
      <c r="X489" s="94"/>
      <c r="Y489" s="94"/>
      <c r="Z489" s="94"/>
      <c r="AA489" s="94"/>
      <c r="AB489" s="94"/>
      <c r="AC489" s="94"/>
      <c r="AD489" s="94"/>
      <c r="AE489" s="94"/>
      <c r="AF489" s="94"/>
      <c r="AG489" s="94"/>
      <c r="AH489" s="94"/>
      <c r="AI489" s="94"/>
      <c r="AJ489" s="94"/>
      <c r="AK489" s="94"/>
      <c r="AL489" s="94"/>
    </row>
    <row r="490" hidden="1">
      <c r="A490" s="86" t="s">
        <v>1540</v>
      </c>
      <c r="B490" s="95" t="str">
        <f t="shared" si="494"/>
        <v>Otro</v>
      </c>
      <c r="C490" s="106" t="str">
        <f t="shared" si="9"/>
        <v>1.</v>
      </c>
      <c r="D490" s="106" t="str">
        <f t="shared" si="10"/>
        <v>Usabilidad</v>
      </c>
      <c r="E490" s="106" t="str">
        <f t="shared" si="11"/>
        <v>Medida en que los usuarios pueden utilizar un sistema para lograr determinados objetivos con eficacia, eficiencia y satisfacción en un contexto de uso especificado.</v>
      </c>
      <c r="F490" s="141" t="str">
        <f t="shared" si="3"/>
        <v>1.1</v>
      </c>
      <c r="G490" s="92" t="str">
        <f t="shared" si="4"/>
        <v>IMPRESCINDIBLES</v>
      </c>
      <c r="H490" s="141"/>
      <c r="I490" s="141" t="str">
        <f t="shared" si="5"/>
        <v/>
      </c>
      <c r="J490" s="98" t="str">
        <f t="shared" si="6"/>
        <v/>
      </c>
      <c r="K490" s="98" t="str">
        <f t="shared" si="7"/>
        <v/>
      </c>
      <c r="L490" s="141" t="str">
        <f t="shared" ref="L490:N490" si="496">IF(I490="",L489,I490)</f>
        <v>20.1.1</v>
      </c>
      <c r="M490" s="98" t="str">
        <f t="shared" si="496"/>
        <v>Tiempo de respuesta</v>
      </c>
      <c r="N490" s="98" t="str">
        <f t="shared" si="496"/>
        <v>Velocidad con la que un sitio web puede procesar y responder a las solicitudes de las personas usuarias, proporcionando una experiencia de navegación ágil y eficiente.</v>
      </c>
      <c r="O490" s="258" t="s">
        <v>663</v>
      </c>
      <c r="P490" s="137" t="s">
        <v>664</v>
      </c>
      <c r="Q490" s="138"/>
      <c r="R490" s="138"/>
      <c r="S490" s="139">
        <f>COUNTA(P491:P500)</f>
        <v>5</v>
      </c>
      <c r="T490" s="140">
        <f>COUNTIF(U491:U500,"n/a")</f>
        <v>0</v>
      </c>
      <c r="U490" s="94"/>
      <c r="V490" s="94"/>
      <c r="W490" s="94"/>
      <c r="X490" s="94"/>
      <c r="Y490" s="94"/>
      <c r="Z490" s="94"/>
      <c r="AA490" s="94"/>
      <c r="AB490" s="94"/>
      <c r="AC490" s="94"/>
      <c r="AD490" s="94"/>
      <c r="AE490" s="94"/>
      <c r="AF490" s="94"/>
      <c r="AG490" s="94"/>
      <c r="AH490" s="94"/>
      <c r="AI490" s="94"/>
      <c r="AJ490" s="94"/>
      <c r="AK490" s="94"/>
      <c r="AL490" s="94"/>
    </row>
    <row r="491" hidden="1">
      <c r="A491" s="105" t="s">
        <v>1540</v>
      </c>
      <c r="B491" s="92" t="str">
        <f t="shared" si="494"/>
        <v>Pregunta</v>
      </c>
      <c r="C491" s="106" t="str">
        <f t="shared" si="9"/>
        <v>1.</v>
      </c>
      <c r="D491" s="106" t="str">
        <f t="shared" si="10"/>
        <v>Usabilidad</v>
      </c>
      <c r="E491" s="106" t="str">
        <f t="shared" si="11"/>
        <v>Medida en que los usuarios pueden utilizar un sistema para lograr determinados objetivos con eficacia, eficiencia y satisfacción en un contexto de uso especificado.</v>
      </c>
      <c r="F491" s="141" t="str">
        <f t="shared" si="3"/>
        <v>1.1</v>
      </c>
      <c r="G491" s="92" t="str">
        <f t="shared" si="4"/>
        <v>IMPRESCINDIBLES</v>
      </c>
      <c r="H491" s="141"/>
      <c r="I491" s="141" t="str">
        <f t="shared" si="5"/>
        <v>1.1.1</v>
      </c>
      <c r="J491" s="98" t="str">
        <f t="shared" si="6"/>
        <v>Coherencia y estandarización</v>
      </c>
      <c r="K491" s="98" t="str">
        <f t="shared" si="7"/>
        <v>Apego a las convenciones de los sitios web y servicios digitales, de manera tal que las personas usuarias no tengan que preguntarse si diferentes palabras, situaciones o acciones significan lo mismo en cada plataforma.
</v>
      </c>
      <c r="L491" s="141" t="str">
        <f t="shared" ref="L491:N491" si="497">IF(I491="",L490,I491)</f>
        <v>1.1.1</v>
      </c>
      <c r="M491" s="98" t="str">
        <f t="shared" si="497"/>
        <v>Coherencia y estandarización</v>
      </c>
      <c r="N491" s="98" t="str">
        <f t="shared" si="497"/>
        <v>Apego a las convenciones de los sitios web y servicios digitales, de manera tal que las personas usuarias no tengan que preguntarse si diferentes palabras, situaciones o acciones significan lo mismo en cada plataforma.
</v>
      </c>
      <c r="O491" s="152" t="s">
        <v>665</v>
      </c>
      <c r="P491" s="153" t="s">
        <v>766</v>
      </c>
      <c r="Q491" s="153" t="s">
        <v>767</v>
      </c>
      <c r="R491" s="149"/>
      <c r="S491" s="150" t="s">
        <v>1541</v>
      </c>
      <c r="T491" s="160" t="s">
        <v>2033</v>
      </c>
      <c r="U491" s="94"/>
      <c r="V491" s="94"/>
      <c r="W491" s="94"/>
      <c r="X491" s="94"/>
      <c r="Y491" s="94"/>
      <c r="Z491" s="94"/>
      <c r="AA491" s="94"/>
      <c r="AB491" s="94"/>
      <c r="AC491" s="94"/>
      <c r="AD491" s="94"/>
      <c r="AE491" s="94"/>
      <c r="AF491" s="94"/>
      <c r="AG491" s="94"/>
      <c r="AH491" s="94"/>
      <c r="AI491" s="94"/>
      <c r="AJ491" s="94"/>
      <c r="AK491" s="94"/>
      <c r="AL491" s="94"/>
    </row>
    <row r="492" hidden="1">
      <c r="A492" s="86" t="s">
        <v>1540</v>
      </c>
      <c r="B492" s="95" t="str">
        <f t="shared" si="494"/>
        <v>Pregunta</v>
      </c>
      <c r="C492" s="106" t="str">
        <f t="shared" si="9"/>
        <v>1.</v>
      </c>
      <c r="D492" s="106" t="str">
        <f t="shared" si="10"/>
        <v>Usabilidad</v>
      </c>
      <c r="E492" s="106" t="str">
        <f t="shared" si="11"/>
        <v>Medida en que los usuarios pueden utilizar un sistema para lograr determinados objetivos con eficacia, eficiencia y satisfacción en un contexto de uso especificado.</v>
      </c>
      <c r="F492" s="141" t="str">
        <f t="shared" si="3"/>
        <v>1.1</v>
      </c>
      <c r="G492" s="92" t="str">
        <f t="shared" si="4"/>
        <v>IMPRESCINDIBLES</v>
      </c>
      <c r="H492" s="141"/>
      <c r="I492" s="141" t="str">
        <f t="shared" si="5"/>
        <v/>
      </c>
      <c r="J492" s="98" t="str">
        <f t="shared" si="6"/>
        <v/>
      </c>
      <c r="K492" s="98" t="str">
        <f t="shared" si="7"/>
        <v/>
      </c>
      <c r="L492" s="141" t="str">
        <f t="shared" ref="L492:N492" si="498">IF(I492="",L491,I492)</f>
        <v>1.1.1</v>
      </c>
      <c r="M492" s="98" t="str">
        <f t="shared" si="498"/>
        <v>Coherencia y estandarización</v>
      </c>
      <c r="N492" s="98" t="str">
        <f t="shared" si="498"/>
        <v>Apego a las convenciones de los sitios web y servicios digitales, de manera tal que las personas usuarias no tengan que preguntarse si diferentes palabras, situaciones o acciones significan lo mismo en cada plataforma.
</v>
      </c>
      <c r="O492" s="304"/>
      <c r="P492" s="305"/>
      <c r="Q492" s="305"/>
      <c r="R492" s="161"/>
      <c r="S492" s="190" t="s">
        <v>2162</v>
      </c>
      <c r="T492" s="151" t="s">
        <v>2033</v>
      </c>
      <c r="U492" s="94"/>
      <c r="V492" s="94"/>
      <c r="W492" s="94"/>
      <c r="X492" s="94"/>
      <c r="Y492" s="94"/>
      <c r="Z492" s="94"/>
      <c r="AA492" s="94"/>
      <c r="AB492" s="94"/>
      <c r="AC492" s="94"/>
      <c r="AD492" s="94"/>
      <c r="AE492" s="94"/>
      <c r="AF492" s="94"/>
      <c r="AG492" s="94"/>
      <c r="AH492" s="94"/>
      <c r="AI492" s="94"/>
      <c r="AJ492" s="94"/>
      <c r="AK492" s="94"/>
      <c r="AL492" s="94"/>
    </row>
    <row r="493" hidden="1">
      <c r="A493" s="86" t="s">
        <v>1540</v>
      </c>
      <c r="B493" s="95" t="str">
        <f t="shared" si="494"/>
        <v>Pregunta</v>
      </c>
      <c r="C493" s="106" t="str">
        <f t="shared" si="9"/>
        <v>1.</v>
      </c>
      <c r="D493" s="106" t="str">
        <f t="shared" si="10"/>
        <v>Usabilidad</v>
      </c>
      <c r="E493" s="106" t="str">
        <f t="shared" si="11"/>
        <v>Medida en que los usuarios pueden utilizar un sistema para lograr determinados objetivos con eficacia, eficiencia y satisfacción en un contexto de uso especificado.</v>
      </c>
      <c r="F493" s="141" t="str">
        <f t="shared" si="3"/>
        <v>1.1</v>
      </c>
      <c r="G493" s="92" t="str">
        <f t="shared" si="4"/>
        <v>IMPRESCINDIBLES</v>
      </c>
      <c r="H493" s="141"/>
      <c r="I493" s="141" t="str">
        <f t="shared" si="5"/>
        <v/>
      </c>
      <c r="J493" s="98" t="str">
        <f t="shared" si="6"/>
        <v/>
      </c>
      <c r="K493" s="98" t="str">
        <f t="shared" si="7"/>
        <v/>
      </c>
      <c r="L493" s="141" t="str">
        <f t="shared" ref="L493:N493" si="499">IF(I493="",L492,I493)</f>
        <v>1.1.1</v>
      </c>
      <c r="M493" s="98" t="str">
        <f t="shared" si="499"/>
        <v>Coherencia y estandarización</v>
      </c>
      <c r="N493" s="98" t="str">
        <f t="shared" si="499"/>
        <v>Apego a las convenciones de los sitios web y servicios digitales, de manera tal que las personas usuarias no tengan que preguntarse si diferentes palabras, situaciones o acciones significan lo mismo en cada plataforma.
</v>
      </c>
      <c r="O493" s="308"/>
      <c r="P493" s="307"/>
      <c r="Q493" s="307"/>
      <c r="R493" s="168"/>
      <c r="S493" s="169" t="s">
        <v>2163</v>
      </c>
      <c r="T493" s="164" t="s">
        <v>2033</v>
      </c>
      <c r="U493" s="94"/>
      <c r="V493" s="94"/>
      <c r="W493" s="94"/>
      <c r="X493" s="94"/>
      <c r="Y493" s="94"/>
      <c r="Z493" s="94"/>
      <c r="AA493" s="94"/>
      <c r="AB493" s="94"/>
      <c r="AC493" s="94"/>
      <c r="AD493" s="94"/>
      <c r="AE493" s="94"/>
      <c r="AF493" s="94"/>
      <c r="AG493" s="94"/>
      <c r="AH493" s="94"/>
      <c r="AI493" s="94"/>
      <c r="AJ493" s="94"/>
      <c r="AK493" s="94"/>
      <c r="AL493" s="94"/>
    </row>
    <row r="494" hidden="1">
      <c r="A494" s="105" t="s">
        <v>1540</v>
      </c>
      <c r="B494" s="92" t="str">
        <f t="shared" si="494"/>
        <v>Pregunta</v>
      </c>
      <c r="C494" s="106" t="str">
        <f t="shared" si="9"/>
        <v>1.</v>
      </c>
      <c r="D494" s="106" t="str">
        <f t="shared" si="10"/>
        <v>Usabilidad</v>
      </c>
      <c r="E494" s="106" t="str">
        <f t="shared" si="11"/>
        <v>Medida en que los usuarios pueden utilizar un sistema para lograr determinados objetivos con eficacia, eficiencia y satisfacción en un contexto de uso especificado.</v>
      </c>
      <c r="F494" s="141" t="str">
        <f t="shared" si="3"/>
        <v>1.1</v>
      </c>
      <c r="G494" s="92" t="str">
        <f t="shared" si="4"/>
        <v>IMPRESCINDIBLES</v>
      </c>
      <c r="H494" s="141"/>
      <c r="I494" s="141" t="str">
        <f t="shared" si="5"/>
        <v>1.1.2</v>
      </c>
      <c r="J494" s="98" t="str">
        <f t="shared" si="6"/>
        <v>Diseño estético y minimalista</v>
      </c>
      <c r="K494" s="98" t="str">
        <f t="shared" si="7"/>
        <v>Simplicidad y limpieza de las interfaces, las que no deben contener información que sea irrelevante o que rara vez se necesite. Cada elemento en una interfaz compite con las unidades de información relevantes y disminuye su visibilidad relativa.
</v>
      </c>
      <c r="L494" s="141" t="str">
        <f t="shared" ref="L494:N494" si="500">IF(I494="",L493,I494)</f>
        <v>1.1.2</v>
      </c>
      <c r="M494" s="98" t="str">
        <f t="shared" si="500"/>
        <v>Diseño estético y minimalista</v>
      </c>
      <c r="N494" s="98" t="str">
        <f t="shared" si="500"/>
        <v>Simplicidad y limpieza de las interfaces, las que no deben contener información que sea irrelevante o que rara vez se necesite. Cada elemento en una interfaz compite con las unidades de información relevantes y disminuye su visibilidad relativa.
</v>
      </c>
      <c r="O494" s="212" t="s">
        <v>670</v>
      </c>
      <c r="P494" s="170" t="s">
        <v>772</v>
      </c>
      <c r="Q494" s="170" t="s">
        <v>773</v>
      </c>
      <c r="R494" s="158"/>
      <c r="S494" s="169" t="s">
        <v>774</v>
      </c>
      <c r="T494" s="164" t="s">
        <v>2033</v>
      </c>
      <c r="U494" s="94"/>
      <c r="V494" s="94"/>
      <c r="W494" s="94"/>
      <c r="X494" s="94"/>
      <c r="Y494" s="94"/>
      <c r="Z494" s="94"/>
      <c r="AA494" s="94"/>
      <c r="AB494" s="94"/>
      <c r="AC494" s="94"/>
      <c r="AD494" s="94"/>
      <c r="AE494" s="94"/>
      <c r="AF494" s="94"/>
      <c r="AG494" s="94"/>
      <c r="AH494" s="94"/>
      <c r="AI494" s="94"/>
      <c r="AJ494" s="94"/>
      <c r="AK494" s="94"/>
      <c r="AL494" s="94"/>
    </row>
    <row r="495" hidden="1">
      <c r="A495" s="105" t="s">
        <v>1540</v>
      </c>
      <c r="B495" s="92" t="str">
        <f t="shared" si="494"/>
        <v>Pregunta</v>
      </c>
      <c r="C495" s="106" t="str">
        <f t="shared" si="9"/>
        <v>1.</v>
      </c>
      <c r="D495" s="106" t="str">
        <f t="shared" si="10"/>
        <v>Usabilidad</v>
      </c>
      <c r="E495" s="106" t="str">
        <f t="shared" si="11"/>
        <v>Medida en que los usuarios pueden utilizar un sistema para lograr determinados objetivos con eficacia, eficiencia y satisfacción en un contexto de uso especificado.</v>
      </c>
      <c r="F495" s="141" t="str">
        <f t="shared" si="3"/>
        <v>1.1</v>
      </c>
      <c r="G495" s="92" t="str">
        <f t="shared" si="4"/>
        <v>IMPRESCINDIBLES</v>
      </c>
      <c r="H495" s="141"/>
      <c r="I495" s="141" t="str">
        <f t="shared" si="5"/>
        <v>1.1.3</v>
      </c>
      <c r="J495" s="98" t="str">
        <f t="shared" si="6"/>
        <v>Diagnóstico y corrección de errores</v>
      </c>
      <c r="K495" s="98" t="str">
        <f t="shared" si="7"/>
        <v>Asistencia a las personas usuarias ante errores, brindándoles una solución o un acceso directo que pueda resolver el error de inmediato.
Redacción de los mensajes de error en un lenguaje sencillo (sin códigos de error), indicando con precisión el problema y sugerir una solución de manera constructiva.</v>
      </c>
      <c r="L495" s="141" t="str">
        <f t="shared" ref="L495:N495" si="501">IF(I495="",L494,I495)</f>
        <v>1.1.3</v>
      </c>
      <c r="M495" s="98" t="str">
        <f t="shared" si="501"/>
        <v>Diagnóstico y corrección de errores</v>
      </c>
      <c r="N495" s="98" t="str">
        <f t="shared" si="501"/>
        <v>Asistencia a las personas usuarias ante errores, brindándoles una solución o un acceso directo que pueda resolver el error de inmediato.
Redacción de los mensajes de error en un lenguaje sencillo (sin códigos de error), indicando con precisión el problema y sugerir una solución de manera constructiva.</v>
      </c>
      <c r="O495" s="147" t="s">
        <v>677</v>
      </c>
      <c r="P495" s="148" t="s">
        <v>776</v>
      </c>
      <c r="Q495" s="148" t="s">
        <v>1543</v>
      </c>
      <c r="R495" s="158"/>
      <c r="S495" s="170" t="s">
        <v>778</v>
      </c>
      <c r="T495" s="160" t="s">
        <v>2033</v>
      </c>
      <c r="U495" s="94"/>
      <c r="V495" s="94"/>
      <c r="W495" s="94"/>
      <c r="X495" s="94"/>
      <c r="Y495" s="94"/>
      <c r="Z495" s="94"/>
      <c r="AA495" s="94"/>
      <c r="AB495" s="94"/>
      <c r="AC495" s="94"/>
      <c r="AD495" s="94"/>
      <c r="AE495" s="94"/>
      <c r="AF495" s="94"/>
      <c r="AG495" s="94"/>
      <c r="AH495" s="94"/>
      <c r="AI495" s="94"/>
      <c r="AJ495" s="94"/>
      <c r="AK495" s="94"/>
      <c r="AL495" s="94"/>
    </row>
    <row r="496" hidden="1">
      <c r="A496" s="86" t="s">
        <v>1540</v>
      </c>
      <c r="B496" s="95" t="str">
        <f t="shared" si="494"/>
        <v>Pregunta</v>
      </c>
      <c r="C496" s="106" t="str">
        <f t="shared" si="9"/>
        <v>1.</v>
      </c>
      <c r="D496" s="106" t="str">
        <f t="shared" si="10"/>
        <v>Usabilidad</v>
      </c>
      <c r="E496" s="106" t="str">
        <f t="shared" si="11"/>
        <v>Medida en que los usuarios pueden utilizar un sistema para lograr determinados objetivos con eficacia, eficiencia y satisfacción en un contexto de uso especificado.</v>
      </c>
      <c r="F496" s="141" t="str">
        <f t="shared" si="3"/>
        <v>1.1</v>
      </c>
      <c r="G496" s="92" t="str">
        <f t="shared" si="4"/>
        <v>IMPRESCINDIBLES</v>
      </c>
      <c r="H496" s="141"/>
      <c r="I496" s="141" t="str">
        <f t="shared" si="5"/>
        <v/>
      </c>
      <c r="J496" s="98" t="str">
        <f t="shared" si="6"/>
        <v/>
      </c>
      <c r="K496" s="98" t="str">
        <f t="shared" si="7"/>
        <v/>
      </c>
      <c r="L496" s="141" t="str">
        <f t="shared" ref="L496:N496" si="502">IF(I496="",L495,I496)</f>
        <v>1.1.3</v>
      </c>
      <c r="M496" s="98" t="str">
        <f t="shared" si="502"/>
        <v>Diagnóstico y corrección de errores</v>
      </c>
      <c r="N496" s="98" t="str">
        <f t="shared" si="502"/>
        <v>Asistencia a las personas usuarias ante errores, brindándoles una solución o un acceso directo que pueda resolver el error de inmediato.
Redacción de los mensajes de error en un lenguaje sencillo (sin códigos de error), indicando con precisión el problema y sugerir una solución de manera constructiva.</v>
      </c>
      <c r="O496" s="306"/>
      <c r="P496" s="307"/>
      <c r="Q496" s="307"/>
      <c r="R496" s="171"/>
      <c r="S496" s="143" t="s">
        <v>2164</v>
      </c>
      <c r="T496" s="164" t="s">
        <v>2033</v>
      </c>
      <c r="U496" s="94"/>
      <c r="V496" s="94"/>
      <c r="W496" s="94"/>
      <c r="X496" s="94"/>
      <c r="Y496" s="94"/>
      <c r="Z496" s="94"/>
      <c r="AA496" s="94"/>
      <c r="AB496" s="94"/>
      <c r="AC496" s="94"/>
      <c r="AD496" s="94"/>
      <c r="AE496" s="94"/>
      <c r="AF496" s="94"/>
      <c r="AG496" s="94"/>
      <c r="AH496" s="94"/>
      <c r="AI496" s="94"/>
      <c r="AJ496" s="94"/>
      <c r="AK496" s="94"/>
      <c r="AL496" s="94"/>
    </row>
    <row r="497" hidden="1">
      <c r="A497" s="105" t="s">
        <v>1540</v>
      </c>
      <c r="B497" s="92" t="str">
        <f t="shared" si="494"/>
        <v>Pregunta</v>
      </c>
      <c r="C497" s="106" t="str">
        <f t="shared" si="9"/>
        <v>1.</v>
      </c>
      <c r="D497" s="106" t="str">
        <f t="shared" si="10"/>
        <v>Usabilidad</v>
      </c>
      <c r="E497" s="106" t="str">
        <f t="shared" si="11"/>
        <v>Medida en que los usuarios pueden utilizar un sistema para lograr determinados objetivos con eficacia, eficiencia y satisfacción en un contexto de uso especificado.</v>
      </c>
      <c r="F497" s="141" t="str">
        <f t="shared" si="3"/>
        <v>1.1</v>
      </c>
      <c r="G497" s="92" t="str">
        <f t="shared" si="4"/>
        <v>IMPRESCINDIBLES</v>
      </c>
      <c r="H497" s="141"/>
      <c r="I497" s="141" t="str">
        <f t="shared" si="5"/>
        <v>1.1.4</v>
      </c>
      <c r="J497" s="98" t="str">
        <f t="shared" si="6"/>
        <v>Ventanas modales o emergentes (pop-up)</v>
      </c>
      <c r="K497" s="98" t="str">
        <f t="shared" si="7"/>
        <v>Cuidado de no utilizar excesiva o innecesariamente ventanas modales y emergentes (pop-up)
</v>
      </c>
      <c r="L497" s="141" t="str">
        <f t="shared" ref="L497:N497" si="503">IF(I497="",L496,I497)</f>
        <v>1.1.4</v>
      </c>
      <c r="M497" s="98" t="str">
        <f t="shared" si="503"/>
        <v>Ventanas modales o emergentes (pop-up)</v>
      </c>
      <c r="N497" s="98" t="str">
        <f t="shared" si="503"/>
        <v>Cuidado de no utilizar excesiva o innecesariamente ventanas modales y emergentes (pop-up)
</v>
      </c>
      <c r="O497" s="147" t="s">
        <v>686</v>
      </c>
      <c r="P497" s="191" t="s">
        <v>2165</v>
      </c>
      <c r="Q497" s="191" t="s">
        <v>2166</v>
      </c>
      <c r="R497" s="321"/>
      <c r="S497" s="322" t="s">
        <v>783</v>
      </c>
      <c r="T497" s="160" t="s">
        <v>2033</v>
      </c>
      <c r="U497" s="94"/>
      <c r="V497" s="94"/>
      <c r="W497" s="94"/>
      <c r="X497" s="94"/>
      <c r="Y497" s="94"/>
      <c r="Z497" s="94"/>
      <c r="AA497" s="94"/>
      <c r="AB497" s="94"/>
      <c r="AC497" s="94"/>
      <c r="AD497" s="94"/>
      <c r="AE497" s="94"/>
      <c r="AF497" s="94"/>
      <c r="AG497" s="94"/>
      <c r="AH497" s="94"/>
      <c r="AI497" s="94"/>
      <c r="AJ497" s="94"/>
      <c r="AK497" s="94"/>
      <c r="AL497" s="94"/>
    </row>
    <row r="498" hidden="1">
      <c r="A498" s="86" t="s">
        <v>1540</v>
      </c>
      <c r="B498" s="95" t="str">
        <f t="shared" si="494"/>
        <v>Pregunta</v>
      </c>
      <c r="C498" s="106" t="str">
        <f t="shared" si="9"/>
        <v>1.</v>
      </c>
      <c r="D498" s="106" t="str">
        <f t="shared" si="10"/>
        <v>Usabilidad</v>
      </c>
      <c r="E498" s="106" t="str">
        <f t="shared" si="11"/>
        <v>Medida en que los usuarios pueden utilizar un sistema para lograr determinados objetivos con eficacia, eficiencia y satisfacción en un contexto de uso especificado.</v>
      </c>
      <c r="F498" s="141" t="str">
        <f t="shared" si="3"/>
        <v>1.1</v>
      </c>
      <c r="G498" s="92" t="str">
        <f t="shared" si="4"/>
        <v>IMPRESCINDIBLES</v>
      </c>
      <c r="H498" s="141"/>
      <c r="I498" s="141" t="str">
        <f t="shared" si="5"/>
        <v/>
      </c>
      <c r="J498" s="98" t="str">
        <f t="shared" si="6"/>
        <v/>
      </c>
      <c r="K498" s="98" t="str">
        <f t="shared" si="7"/>
        <v/>
      </c>
      <c r="L498" s="141" t="str">
        <f t="shared" ref="L498:N498" si="504">IF(I498="",L497,I498)</f>
        <v>1.1.4</v>
      </c>
      <c r="M498" s="98" t="str">
        <f t="shared" si="504"/>
        <v>Ventanas modales o emergentes (pop-up)</v>
      </c>
      <c r="N498" s="98" t="str">
        <f t="shared" si="504"/>
        <v>Cuidado de no utilizar excesiva o innecesariamente ventanas modales y emergentes (pop-up)
</v>
      </c>
      <c r="O498" s="308"/>
      <c r="P498" s="306"/>
      <c r="Q498" s="306"/>
      <c r="R498" s="185"/>
      <c r="S498" s="194" t="s">
        <v>2167</v>
      </c>
      <c r="T498" s="164" t="s">
        <v>2033</v>
      </c>
      <c r="U498" s="94"/>
      <c r="V498" s="94"/>
      <c r="W498" s="94"/>
      <c r="X498" s="94"/>
      <c r="Y498" s="94"/>
      <c r="Z498" s="94"/>
      <c r="AA498" s="94"/>
      <c r="AB498" s="94"/>
      <c r="AC498" s="94"/>
      <c r="AD498" s="94"/>
      <c r="AE498" s="94"/>
      <c r="AF498" s="94"/>
      <c r="AG498" s="94"/>
      <c r="AH498" s="94"/>
      <c r="AI498" s="94"/>
      <c r="AJ498" s="94"/>
      <c r="AK498" s="94"/>
      <c r="AL498" s="94"/>
    </row>
    <row r="499" hidden="1">
      <c r="A499" s="105" t="s">
        <v>1540</v>
      </c>
      <c r="B499" s="92" t="str">
        <f t="shared" si="494"/>
        <v>Pregunta</v>
      </c>
      <c r="C499" s="106" t="str">
        <f t="shared" si="9"/>
        <v>1.</v>
      </c>
      <c r="D499" s="106" t="str">
        <f t="shared" si="10"/>
        <v>Usabilidad</v>
      </c>
      <c r="E499" s="106" t="str">
        <f t="shared" si="11"/>
        <v>Medida en que los usuarios pueden utilizar un sistema para lograr determinados objetivos con eficacia, eficiencia y satisfacción en un contexto de uso especificado.</v>
      </c>
      <c r="F499" s="141" t="str">
        <f t="shared" si="3"/>
        <v>1.1</v>
      </c>
      <c r="G499" s="92" t="str">
        <f t="shared" si="4"/>
        <v>IMPRESCINDIBLES</v>
      </c>
      <c r="H499" s="141"/>
      <c r="I499" s="141" t="str">
        <f t="shared" si="5"/>
        <v>1.1.5</v>
      </c>
      <c r="J499" s="98" t="str">
        <f t="shared" si="6"/>
        <v>Mensajes de error</v>
      </c>
      <c r="K499" s="98" t="str">
        <f t="shared" si="7"/>
        <v>Interrupción generada por el sistema que le informa a la persona usuaria de una situación incompleta, incompatible o indeseable dentro del flujo de navegación.
</v>
      </c>
      <c r="L499" s="141" t="str">
        <f t="shared" ref="L499:N499" si="505">IF(I499="",L498,I499)</f>
        <v>1.1.5</v>
      </c>
      <c r="M499" s="98" t="str">
        <f t="shared" si="505"/>
        <v>Mensajes de error</v>
      </c>
      <c r="N499" s="98" t="str">
        <f t="shared" si="505"/>
        <v>Interrupción generada por el sistema que le informa a la persona usuaria de una situación incompleta, incompatible o indeseable dentro del flujo de navegación.
</v>
      </c>
      <c r="O499" s="147" t="s">
        <v>690</v>
      </c>
      <c r="P499" s="170" t="s">
        <v>786</v>
      </c>
      <c r="Q499" s="148" t="s">
        <v>787</v>
      </c>
      <c r="R499" s="158"/>
      <c r="S499" s="170" t="s">
        <v>788</v>
      </c>
      <c r="T499" s="160" t="s">
        <v>2033</v>
      </c>
      <c r="U499" s="94"/>
      <c r="V499" s="94"/>
      <c r="W499" s="94"/>
      <c r="X499" s="94"/>
      <c r="Y499" s="94"/>
      <c r="Z499" s="94"/>
      <c r="AA499" s="94"/>
      <c r="AB499" s="94"/>
      <c r="AC499" s="94"/>
      <c r="AD499" s="94"/>
      <c r="AE499" s="94"/>
      <c r="AF499" s="94"/>
      <c r="AG499" s="94"/>
      <c r="AH499" s="94"/>
      <c r="AI499" s="94"/>
      <c r="AJ499" s="94"/>
      <c r="AK499" s="94"/>
      <c r="AL499" s="94"/>
    </row>
    <row r="500" hidden="1">
      <c r="A500" s="86" t="s">
        <v>1540</v>
      </c>
      <c r="B500" s="95" t="str">
        <f t="shared" si="494"/>
        <v>Pregunta</v>
      </c>
      <c r="C500" s="106" t="str">
        <f t="shared" si="9"/>
        <v>1.</v>
      </c>
      <c r="D500" s="106" t="str">
        <f t="shared" si="10"/>
        <v>Usabilidad</v>
      </c>
      <c r="E500" s="106" t="str">
        <f t="shared" si="11"/>
        <v>Medida en que los usuarios pueden utilizar un sistema para lograr determinados objetivos con eficacia, eficiencia y satisfacción en un contexto de uso especificado.</v>
      </c>
      <c r="F500" s="141" t="str">
        <f t="shared" si="3"/>
        <v>1.1</v>
      </c>
      <c r="G500" s="92" t="str">
        <f t="shared" si="4"/>
        <v>IMPRESCINDIBLES</v>
      </c>
      <c r="H500" s="141"/>
      <c r="I500" s="141" t="str">
        <f t="shared" si="5"/>
        <v/>
      </c>
      <c r="J500" s="98" t="str">
        <f t="shared" si="6"/>
        <v/>
      </c>
      <c r="K500" s="98" t="str">
        <f t="shared" si="7"/>
        <v/>
      </c>
      <c r="L500" s="141" t="str">
        <f t="shared" ref="L500:N500" si="506">IF(I500="",L499,I500)</f>
        <v>1.1.5</v>
      </c>
      <c r="M500" s="98" t="str">
        <f t="shared" si="506"/>
        <v>Mensajes de error</v>
      </c>
      <c r="N500" s="98" t="str">
        <f t="shared" si="506"/>
        <v>Interrupción generada por el sistema que le informa a la persona usuaria de una situación incompleta, incompatible o indeseable dentro del flujo de navegación.
</v>
      </c>
      <c r="O500" s="308"/>
      <c r="P500" s="174"/>
      <c r="Q500" s="307"/>
      <c r="R500" s="174"/>
      <c r="S500" s="143" t="s">
        <v>2168</v>
      </c>
      <c r="T500" s="164" t="s">
        <v>2033</v>
      </c>
      <c r="U500" s="94"/>
      <c r="V500" s="94"/>
      <c r="W500" s="94"/>
      <c r="X500" s="94"/>
      <c r="Y500" s="94"/>
      <c r="Z500" s="94"/>
      <c r="AA500" s="94"/>
      <c r="AB500" s="94"/>
      <c r="AC500" s="94"/>
      <c r="AD500" s="94"/>
      <c r="AE500" s="94"/>
      <c r="AF500" s="94"/>
      <c r="AG500" s="94"/>
      <c r="AH500" s="94"/>
      <c r="AI500" s="94"/>
      <c r="AJ500" s="94"/>
      <c r="AK500" s="94"/>
      <c r="AL500" s="94"/>
    </row>
    <row r="501" hidden="1">
      <c r="A501" s="86" t="s">
        <v>1540</v>
      </c>
      <c r="B501" s="95" t="str">
        <f t="shared" si="494"/>
        <v>Otro</v>
      </c>
      <c r="C501" s="106" t="str">
        <f t="shared" si="9"/>
        <v>1.</v>
      </c>
      <c r="D501" s="106" t="str">
        <f t="shared" si="10"/>
        <v>Usabilidad</v>
      </c>
      <c r="E501" s="106" t="str">
        <f t="shared" si="11"/>
        <v>Medida en que los usuarios pueden utilizar un sistema para lograr determinados objetivos con eficacia, eficiencia y satisfacción en un contexto de uso especificado.</v>
      </c>
      <c r="F501" s="141" t="str">
        <f t="shared" si="3"/>
        <v>1.2</v>
      </c>
      <c r="G501" s="92" t="str">
        <f t="shared" si="4"/>
        <v>ESPERABLES</v>
      </c>
      <c r="H501" s="141"/>
      <c r="I501" s="141" t="str">
        <f t="shared" si="5"/>
        <v/>
      </c>
      <c r="J501" s="98" t="str">
        <f t="shared" si="6"/>
        <v/>
      </c>
      <c r="K501" s="98" t="str">
        <f t="shared" si="7"/>
        <v/>
      </c>
      <c r="L501" s="141" t="str">
        <f t="shared" ref="L501:N501" si="507">IF(I501="",L500,I501)</f>
        <v>1.1.5</v>
      </c>
      <c r="M501" s="98" t="str">
        <f t="shared" si="507"/>
        <v>Mensajes de error</v>
      </c>
      <c r="N501" s="98" t="str">
        <f t="shared" si="507"/>
        <v>Interrupción generada por el sistema que le informa a la persona usuaria de una situación incompleta, incompatible o indeseable dentro del flujo de navegación.
</v>
      </c>
      <c r="O501" s="175" t="s">
        <v>713</v>
      </c>
      <c r="P501" s="196" t="s">
        <v>714</v>
      </c>
      <c r="Q501" s="177"/>
      <c r="R501" s="177"/>
      <c r="S501" s="197">
        <f>COUNTA(P502:P504)</f>
        <v>2</v>
      </c>
      <c r="T501" s="197">
        <f>COUNTIF(U502:U504,"n/a")</f>
        <v>0</v>
      </c>
      <c r="U501" s="94"/>
      <c r="V501" s="94"/>
      <c r="W501" s="94"/>
      <c r="X501" s="94"/>
      <c r="Y501" s="94"/>
      <c r="Z501" s="94"/>
      <c r="AA501" s="94"/>
      <c r="AB501" s="94"/>
      <c r="AC501" s="94"/>
      <c r="AD501" s="94"/>
      <c r="AE501" s="94"/>
      <c r="AF501" s="94"/>
      <c r="AG501" s="94"/>
      <c r="AH501" s="94"/>
      <c r="AI501" s="94"/>
      <c r="AJ501" s="94"/>
      <c r="AK501" s="94"/>
      <c r="AL501" s="94"/>
    </row>
    <row r="502" hidden="1">
      <c r="A502" s="105" t="s">
        <v>1540</v>
      </c>
      <c r="B502" s="92" t="str">
        <f t="shared" si="494"/>
        <v>Pregunta</v>
      </c>
      <c r="C502" s="106" t="str">
        <f t="shared" si="9"/>
        <v>1.</v>
      </c>
      <c r="D502" s="106" t="str">
        <f t="shared" si="10"/>
        <v>Usabilidad</v>
      </c>
      <c r="E502" s="106" t="str">
        <f t="shared" si="11"/>
        <v>Medida en que los usuarios pueden utilizar un sistema para lograr determinados objetivos con eficacia, eficiencia y satisfacción en un contexto de uso especificado.</v>
      </c>
      <c r="F502" s="141" t="str">
        <f t="shared" si="3"/>
        <v>1.2</v>
      </c>
      <c r="G502" s="92" t="str">
        <f t="shared" si="4"/>
        <v>ESPERABLES</v>
      </c>
      <c r="H502" s="141"/>
      <c r="I502" s="141" t="str">
        <f t="shared" si="5"/>
        <v>1.2.1</v>
      </c>
      <c r="J502" s="98" t="str">
        <f t="shared" si="6"/>
        <v>Similitud del sistema con el mundo real</v>
      </c>
      <c r="K502" s="98" t="str">
        <f t="shared" si="7"/>
        <v>Utilización de conceptos, frases y diseños familiares para las personas usuarias. Correspondencia con las convenciones del mundo real, haciendo que la información aparezca en un orden natural y lógico.
</v>
      </c>
      <c r="L502" s="141" t="str">
        <f t="shared" ref="L502:N502" si="508">IF(I502="",L501,I502)</f>
        <v>1.2.1</v>
      </c>
      <c r="M502" s="98" t="str">
        <f t="shared" si="508"/>
        <v>Similitud del sistema con el mundo real</v>
      </c>
      <c r="N502" s="98" t="str">
        <f t="shared" si="508"/>
        <v>Utilización de conceptos, frases y diseños familiares para las personas usuarias. Correspondencia con las convenciones del mundo real, haciendo que la información aparezca en un orden natural y lógico.
</v>
      </c>
      <c r="O502" s="142" t="s">
        <v>715</v>
      </c>
      <c r="P502" s="143" t="s">
        <v>792</v>
      </c>
      <c r="Q502" s="143" t="s">
        <v>1547</v>
      </c>
      <c r="R502" s="149"/>
      <c r="S502" s="150" t="s">
        <v>1548</v>
      </c>
      <c r="T502" s="164" t="s">
        <v>2033</v>
      </c>
      <c r="U502" s="94"/>
      <c r="V502" s="94"/>
      <c r="W502" s="94"/>
      <c r="X502" s="94"/>
      <c r="Y502" s="94"/>
      <c r="Z502" s="94"/>
      <c r="AA502" s="94"/>
      <c r="AB502" s="94"/>
      <c r="AC502" s="94"/>
      <c r="AD502" s="94"/>
      <c r="AE502" s="94"/>
      <c r="AF502" s="94"/>
      <c r="AG502" s="94"/>
      <c r="AH502" s="94"/>
      <c r="AI502" s="94"/>
      <c r="AJ502" s="94"/>
      <c r="AK502" s="94"/>
      <c r="AL502" s="94"/>
    </row>
    <row r="503" hidden="1">
      <c r="A503" s="105" t="s">
        <v>1540</v>
      </c>
      <c r="B503" s="92" t="str">
        <f t="shared" si="494"/>
        <v>Pregunta</v>
      </c>
      <c r="C503" s="106" t="str">
        <f t="shared" si="9"/>
        <v>1.</v>
      </c>
      <c r="D503" s="106" t="str">
        <f t="shared" si="10"/>
        <v>Usabilidad</v>
      </c>
      <c r="E503" s="106" t="str">
        <f t="shared" si="11"/>
        <v>Medida en que los usuarios pueden utilizar un sistema para lograr determinados objetivos con eficacia, eficiencia y satisfacción en un contexto de uso especificado.</v>
      </c>
      <c r="F503" s="141" t="str">
        <f t="shared" si="3"/>
        <v>1.2</v>
      </c>
      <c r="G503" s="92" t="str">
        <f t="shared" si="4"/>
        <v>ESPERABLES</v>
      </c>
      <c r="H503" s="141"/>
      <c r="I503" s="141" t="str">
        <f t="shared" si="5"/>
        <v>1.2.2</v>
      </c>
      <c r="J503" s="98" t="str">
        <f t="shared" si="6"/>
        <v>Control y libertad para la persona usuaria</v>
      </c>
      <c r="K503" s="98" t="str">
        <f t="shared" si="7"/>
        <v>Alternativa claramente marcada para abandonar una acción no deseada o detener un proceso prolongado.</v>
      </c>
      <c r="L503" s="141" t="str">
        <f t="shared" ref="L503:N503" si="509">IF(I503="",L502,I503)</f>
        <v>1.2.2</v>
      </c>
      <c r="M503" s="98" t="str">
        <f t="shared" si="509"/>
        <v>Control y libertad para la persona usuaria</v>
      </c>
      <c r="N503" s="98" t="str">
        <f t="shared" si="509"/>
        <v>Alternativa claramente marcada para abandonar una acción no deseada o detener un proceso prolongado.</v>
      </c>
      <c r="O503" s="147" t="s">
        <v>723</v>
      </c>
      <c r="P503" s="148" t="s">
        <v>796</v>
      </c>
      <c r="Q503" s="148" t="s">
        <v>797</v>
      </c>
      <c r="R503" s="158"/>
      <c r="S503" s="170" t="s">
        <v>1549</v>
      </c>
      <c r="T503" s="160" t="s">
        <v>2033</v>
      </c>
      <c r="U503" s="94"/>
      <c r="V503" s="94"/>
      <c r="W503" s="94"/>
      <c r="X503" s="94"/>
      <c r="Y503" s="94"/>
      <c r="Z503" s="94"/>
      <c r="AA503" s="94"/>
      <c r="AB503" s="94"/>
      <c r="AC503" s="94"/>
      <c r="AD503" s="94"/>
      <c r="AE503" s="94"/>
      <c r="AF503" s="94"/>
      <c r="AG503" s="94"/>
      <c r="AH503" s="94"/>
      <c r="AI503" s="94"/>
      <c r="AJ503" s="94"/>
      <c r="AK503" s="94"/>
      <c r="AL503" s="94"/>
    </row>
    <row r="504" hidden="1">
      <c r="A504" s="86" t="s">
        <v>1540</v>
      </c>
      <c r="B504" s="95" t="str">
        <f t="shared" si="494"/>
        <v>Pregunta</v>
      </c>
      <c r="C504" s="106" t="str">
        <f t="shared" si="9"/>
        <v>1.</v>
      </c>
      <c r="D504" s="106" t="str">
        <f t="shared" si="10"/>
        <v>Usabilidad</v>
      </c>
      <c r="E504" s="106" t="str">
        <f t="shared" si="11"/>
        <v>Medida en que los usuarios pueden utilizar un sistema para lograr determinados objetivos con eficacia, eficiencia y satisfacción en un contexto de uso especificado.</v>
      </c>
      <c r="F504" s="141" t="str">
        <f t="shared" si="3"/>
        <v>1.2</v>
      </c>
      <c r="G504" s="92" t="str">
        <f t="shared" si="4"/>
        <v>ESPERABLES</v>
      </c>
      <c r="H504" s="141"/>
      <c r="I504" s="141" t="str">
        <f t="shared" si="5"/>
        <v/>
      </c>
      <c r="J504" s="98" t="str">
        <f t="shared" si="6"/>
        <v/>
      </c>
      <c r="K504" s="98" t="str">
        <f t="shared" si="7"/>
        <v/>
      </c>
      <c r="L504" s="141" t="str">
        <f t="shared" ref="L504:N504" si="510">IF(I504="",L503,I504)</f>
        <v>1.2.2</v>
      </c>
      <c r="M504" s="98" t="str">
        <f t="shared" si="510"/>
        <v>Control y libertad para la persona usuaria</v>
      </c>
      <c r="N504" s="98" t="str">
        <f t="shared" si="510"/>
        <v>Alternativa claramente marcada para abandonar una acción no deseada o detener un proceso prolongado.</v>
      </c>
      <c r="O504" s="308"/>
      <c r="P504" s="307"/>
      <c r="Q504" s="307"/>
      <c r="R504" s="174"/>
      <c r="S504" s="169" t="s">
        <v>2169</v>
      </c>
      <c r="T504" s="164" t="s">
        <v>2033</v>
      </c>
      <c r="U504" s="94"/>
      <c r="V504" s="94"/>
      <c r="W504" s="94"/>
      <c r="X504" s="94"/>
      <c r="Y504" s="94"/>
      <c r="Z504" s="94"/>
      <c r="AA504" s="94"/>
      <c r="AB504" s="94"/>
      <c r="AC504" s="94"/>
      <c r="AD504" s="94"/>
      <c r="AE504" s="94"/>
      <c r="AF504" s="94"/>
      <c r="AG504" s="94"/>
      <c r="AH504" s="94"/>
      <c r="AI504" s="94"/>
      <c r="AJ504" s="94"/>
      <c r="AK504" s="94"/>
      <c r="AL504" s="94"/>
    </row>
    <row r="505" hidden="1">
      <c r="A505" s="86" t="s">
        <v>1540</v>
      </c>
      <c r="B505" s="95" t="str">
        <f t="shared" si="494"/>
        <v>Otro</v>
      </c>
      <c r="C505" s="106" t="str">
        <f t="shared" si="9"/>
        <v>1.</v>
      </c>
      <c r="D505" s="106" t="str">
        <f t="shared" si="10"/>
        <v>Usabilidad</v>
      </c>
      <c r="E505" s="106" t="str">
        <f t="shared" si="11"/>
        <v>Medida en que los usuarios pueden utilizar un sistema para lograr determinados objetivos con eficacia, eficiencia y satisfacción en un contexto de uso especificado.</v>
      </c>
      <c r="F505" s="141" t="str">
        <f t="shared" si="3"/>
        <v>1.3</v>
      </c>
      <c r="G505" s="92" t="str">
        <f t="shared" si="4"/>
        <v>DESEABLES</v>
      </c>
      <c r="H505" s="141"/>
      <c r="I505" s="141" t="str">
        <f t="shared" si="5"/>
        <v/>
      </c>
      <c r="J505" s="98" t="str">
        <f t="shared" si="6"/>
        <v/>
      </c>
      <c r="K505" s="98" t="str">
        <f t="shared" si="7"/>
        <v/>
      </c>
      <c r="L505" s="141" t="str">
        <f t="shared" ref="L505:N505" si="511">IF(I505="",L504,I505)</f>
        <v>1.2.2</v>
      </c>
      <c r="M505" s="98" t="str">
        <f t="shared" si="511"/>
        <v>Control y libertad para la persona usuaria</v>
      </c>
      <c r="N505" s="98" t="str">
        <f t="shared" si="511"/>
        <v>Alternativa claramente marcada para abandonar una acción no deseada o detener un proceso prolongado.</v>
      </c>
      <c r="O505" s="181" t="s">
        <v>748</v>
      </c>
      <c r="P505" s="182" t="s">
        <v>749</v>
      </c>
      <c r="Q505" s="183"/>
      <c r="R505" s="183"/>
      <c r="S505" s="323">
        <f>COUNTA(P506:P509)</f>
        <v>2</v>
      </c>
      <c r="T505" s="323">
        <f>COUNTIF(U506:U509,"n/a")</f>
        <v>0</v>
      </c>
      <c r="U505" s="94"/>
      <c r="V505" s="94"/>
      <c r="W505" s="94"/>
      <c r="X505" s="94"/>
      <c r="Y505" s="94"/>
      <c r="Z505" s="94"/>
      <c r="AA505" s="94"/>
      <c r="AB505" s="94"/>
      <c r="AC505" s="94"/>
      <c r="AD505" s="94"/>
      <c r="AE505" s="94"/>
      <c r="AF505" s="94"/>
      <c r="AG505" s="94"/>
      <c r="AH505" s="94"/>
      <c r="AI505" s="94"/>
      <c r="AJ505" s="94"/>
      <c r="AK505" s="94"/>
      <c r="AL505" s="94"/>
    </row>
    <row r="506" hidden="1">
      <c r="A506" s="105" t="s">
        <v>1540</v>
      </c>
      <c r="B506" s="92" t="str">
        <f t="shared" si="494"/>
        <v>Pregunta</v>
      </c>
      <c r="C506" s="106" t="str">
        <f t="shared" si="9"/>
        <v>1.</v>
      </c>
      <c r="D506" s="106" t="str">
        <f t="shared" si="10"/>
        <v>Usabilidad</v>
      </c>
      <c r="E506" s="106" t="str">
        <f t="shared" si="11"/>
        <v>Medida en que los usuarios pueden utilizar un sistema para lograr determinados objetivos con eficacia, eficiencia y satisfacción en un contexto de uso especificado.</v>
      </c>
      <c r="F506" s="141" t="str">
        <f t="shared" si="3"/>
        <v>1.3</v>
      </c>
      <c r="G506" s="92" t="str">
        <f t="shared" si="4"/>
        <v>DESEABLES</v>
      </c>
      <c r="H506" s="141"/>
      <c r="I506" s="141" t="str">
        <f t="shared" si="5"/>
        <v>1.3.1</v>
      </c>
      <c r="J506" s="98" t="str">
        <f t="shared" si="6"/>
        <v>Reducción del esfuerzo cognitivo</v>
      </c>
      <c r="K506" s="98" t="str">
        <f t="shared" si="7"/>
        <v>Disminución de la carga de memoria a corto plazo para la persona usuaria, haciendo fácilmente reconocibles los elementos, acciones y opciones. El sistema debería ayudar a los usuarios a reconocer los elementos de la interfaz sin la necesidad de analizarlos cada vez al detalle, gastando más energía y tiempo.
</v>
      </c>
      <c r="L506" s="141" t="str">
        <f t="shared" ref="L506:N506" si="512">IF(I506="",L505,I506)</f>
        <v>1.3.1</v>
      </c>
      <c r="M506" s="98" t="str">
        <f t="shared" si="512"/>
        <v>Reducción del esfuerzo cognitivo</v>
      </c>
      <c r="N506" s="98" t="str">
        <f t="shared" si="512"/>
        <v>Disminución de la carga de memoria a corto plazo para la persona usuaria, haciendo fácilmente reconocibles los elementos, acciones y opciones. El sistema debería ayudar a los usuarios a reconocer los elementos de la interfaz sin la necesidad de analizarlos cada vez al detalle, gastando más energía y tiempo.
</v>
      </c>
      <c r="O506" s="152" t="s">
        <v>750</v>
      </c>
      <c r="P506" s="153" t="s">
        <v>803</v>
      </c>
      <c r="Q506" s="153" t="s">
        <v>1551</v>
      </c>
      <c r="R506" s="149"/>
      <c r="S506" s="162" t="s">
        <v>805</v>
      </c>
      <c r="T506" s="160" t="s">
        <v>2033</v>
      </c>
      <c r="U506" s="94"/>
      <c r="V506" s="94"/>
      <c r="W506" s="94"/>
      <c r="X506" s="94"/>
      <c r="Y506" s="94"/>
      <c r="Z506" s="94"/>
      <c r="AA506" s="94"/>
      <c r="AB506" s="94"/>
      <c r="AC506" s="94"/>
      <c r="AD506" s="94"/>
      <c r="AE506" s="94"/>
      <c r="AF506" s="94"/>
      <c r="AG506" s="94"/>
      <c r="AH506" s="94"/>
      <c r="AI506" s="94"/>
      <c r="AJ506" s="94"/>
      <c r="AK506" s="94"/>
      <c r="AL506" s="94"/>
    </row>
    <row r="507" hidden="1">
      <c r="A507" s="86" t="s">
        <v>1540</v>
      </c>
      <c r="B507" s="95" t="str">
        <f t="shared" si="494"/>
        <v>Pregunta</v>
      </c>
      <c r="C507" s="106" t="str">
        <f t="shared" si="9"/>
        <v>1.</v>
      </c>
      <c r="D507" s="106" t="str">
        <f t="shared" si="10"/>
        <v>Usabilidad</v>
      </c>
      <c r="E507" s="106" t="str">
        <f t="shared" si="11"/>
        <v>Medida en que los usuarios pueden utilizar un sistema para lograr determinados objetivos con eficacia, eficiencia y satisfacción en un contexto de uso especificado.</v>
      </c>
      <c r="F507" s="141" t="str">
        <f t="shared" si="3"/>
        <v>1.3</v>
      </c>
      <c r="G507" s="92" t="str">
        <f t="shared" si="4"/>
        <v>DESEABLES</v>
      </c>
      <c r="H507" s="141"/>
      <c r="I507" s="141" t="str">
        <f t="shared" si="5"/>
        <v/>
      </c>
      <c r="J507" s="98" t="str">
        <f t="shared" si="6"/>
        <v/>
      </c>
      <c r="K507" s="98" t="str">
        <f t="shared" si="7"/>
        <v/>
      </c>
      <c r="L507" s="141" t="str">
        <f t="shared" ref="L507:N507" si="513">IF(I507="",L506,I507)</f>
        <v>1.3.1</v>
      </c>
      <c r="M507" s="98" t="str">
        <f t="shared" si="513"/>
        <v>Reducción del esfuerzo cognitivo</v>
      </c>
      <c r="N507" s="98" t="str">
        <f t="shared" si="513"/>
        <v>Disminución de la carga de memoria a corto plazo para la persona usuaria, haciendo fácilmente reconocibles los elementos, acciones y opciones. El sistema debería ayudar a los usuarios a reconocer los elementos de la interfaz sin la necesidad de analizarlos cada vez al detalle, gastando más energía y tiempo.
</v>
      </c>
      <c r="O507" s="308"/>
      <c r="P507" s="307"/>
      <c r="Q507" s="307"/>
      <c r="R507" s="168"/>
      <c r="S507" s="169" t="s">
        <v>1552</v>
      </c>
      <c r="T507" s="164" t="s">
        <v>2033</v>
      </c>
      <c r="U507" s="94"/>
      <c r="V507" s="94"/>
      <c r="W507" s="94"/>
      <c r="X507" s="94"/>
      <c r="Y507" s="94"/>
      <c r="Z507" s="94"/>
      <c r="AA507" s="94"/>
      <c r="AB507" s="94"/>
      <c r="AC507" s="94"/>
      <c r="AD507" s="94"/>
      <c r="AE507" s="94"/>
      <c r="AF507" s="94"/>
      <c r="AG507" s="94"/>
      <c r="AH507" s="94"/>
      <c r="AI507" s="94"/>
      <c r="AJ507" s="94"/>
      <c r="AK507" s="94"/>
      <c r="AL507" s="94"/>
    </row>
    <row r="508" hidden="1">
      <c r="A508" s="105" t="s">
        <v>1540</v>
      </c>
      <c r="B508" s="92" t="str">
        <f t="shared" si="494"/>
        <v>Pregunta</v>
      </c>
      <c r="C508" s="106" t="str">
        <f t="shared" si="9"/>
        <v>1.</v>
      </c>
      <c r="D508" s="106" t="str">
        <f t="shared" si="10"/>
        <v>Usabilidad</v>
      </c>
      <c r="E508" s="106" t="str">
        <f t="shared" si="11"/>
        <v>Medida en que los usuarios pueden utilizar un sistema para lograr determinados objetivos con eficacia, eficiencia y satisfacción en un contexto de uso especificado.</v>
      </c>
      <c r="F508" s="141" t="str">
        <f t="shared" si="3"/>
        <v>1.3</v>
      </c>
      <c r="G508" s="92" t="str">
        <f t="shared" si="4"/>
        <v>DESEABLES</v>
      </c>
      <c r="H508" s="141"/>
      <c r="I508" s="141" t="str">
        <f t="shared" si="5"/>
        <v>1.3.2</v>
      </c>
      <c r="J508" s="98" t="str">
        <f t="shared" si="6"/>
        <v>Flexibilidad y eficiencia de uso</v>
      </c>
      <c r="K508" s="98" t="str">
        <f t="shared" si="7"/>
        <v>Oferta de distintas maneras de acceder al contenido y opción de aceleradores y acciones personalizadas tanto para personas usuarias avanzadas como menos experimentadas.</v>
      </c>
      <c r="L508" s="141" t="str">
        <f t="shared" ref="L508:N508" si="514">IF(I508="",L507,I508)</f>
        <v>1.3.2</v>
      </c>
      <c r="M508" s="98" t="str">
        <f t="shared" si="514"/>
        <v>Flexibilidad y eficiencia de uso</v>
      </c>
      <c r="N508" s="98" t="str">
        <f t="shared" si="514"/>
        <v>Oferta de distintas maneras de acceder al contenido y opción de aceleradores y acciones personalizadas tanto para personas usuarias avanzadas como menos experimentadas.</v>
      </c>
      <c r="O508" s="147" t="s">
        <v>754</v>
      </c>
      <c r="P508" s="148" t="s">
        <v>808</v>
      </c>
      <c r="Q508" s="148" t="s">
        <v>1553</v>
      </c>
      <c r="R508" s="149"/>
      <c r="S508" s="150" t="s">
        <v>2170</v>
      </c>
      <c r="T508" s="160" t="s">
        <v>2033</v>
      </c>
      <c r="U508" s="94"/>
      <c r="V508" s="94"/>
      <c r="W508" s="94"/>
      <c r="X508" s="94"/>
      <c r="Y508" s="94"/>
      <c r="Z508" s="94"/>
      <c r="AA508" s="94"/>
      <c r="AB508" s="94"/>
      <c r="AC508" s="94"/>
      <c r="AD508" s="94"/>
      <c r="AE508" s="94"/>
      <c r="AF508" s="94"/>
      <c r="AG508" s="94"/>
      <c r="AH508" s="94"/>
      <c r="AI508" s="94"/>
      <c r="AJ508" s="94"/>
      <c r="AK508" s="94"/>
      <c r="AL508" s="94"/>
    </row>
    <row r="509" hidden="1">
      <c r="A509" s="86" t="s">
        <v>1540</v>
      </c>
      <c r="B509" s="95" t="str">
        <f t="shared" si="494"/>
        <v>Pregunta</v>
      </c>
      <c r="C509" s="106" t="str">
        <f t="shared" si="9"/>
        <v>1.</v>
      </c>
      <c r="D509" s="106" t="str">
        <f t="shared" si="10"/>
        <v>Usabilidad</v>
      </c>
      <c r="E509" s="106" t="str">
        <f t="shared" si="11"/>
        <v>Medida en que los usuarios pueden utilizar un sistema para lograr determinados objetivos con eficacia, eficiencia y satisfacción en un contexto de uso especificado.</v>
      </c>
      <c r="F509" s="141" t="str">
        <f t="shared" si="3"/>
        <v>1.3</v>
      </c>
      <c r="G509" s="92" t="str">
        <f t="shared" si="4"/>
        <v>DESEABLES</v>
      </c>
      <c r="H509" s="141"/>
      <c r="I509" s="141" t="str">
        <f t="shared" si="5"/>
        <v/>
      </c>
      <c r="J509" s="98" t="str">
        <f t="shared" si="6"/>
        <v/>
      </c>
      <c r="K509" s="98" t="str">
        <f t="shared" si="7"/>
        <v/>
      </c>
      <c r="L509" s="141" t="str">
        <f t="shared" ref="L509:N509" si="515">IF(I509="",L508,I509)</f>
        <v>1.3.2</v>
      </c>
      <c r="M509" s="98" t="str">
        <f t="shared" si="515"/>
        <v>Flexibilidad y eficiencia de uso</v>
      </c>
      <c r="N509" s="98" t="str">
        <f t="shared" si="515"/>
        <v>Oferta de distintas maneras de acceder al contenido y opción de aceleradores y acciones personalizadas tanto para personas usuarias avanzadas como menos experimentadas.</v>
      </c>
      <c r="O509" s="308"/>
      <c r="P509" s="307"/>
      <c r="Q509" s="307"/>
      <c r="R509" s="174"/>
      <c r="S509" s="169" t="s">
        <v>2171</v>
      </c>
      <c r="T509" s="164" t="s">
        <v>2033</v>
      </c>
      <c r="U509" s="94"/>
      <c r="V509" s="94"/>
      <c r="W509" s="94"/>
      <c r="X509" s="94"/>
      <c r="Y509" s="94"/>
      <c r="Z509" s="94"/>
      <c r="AA509" s="94"/>
      <c r="AB509" s="94"/>
      <c r="AC509" s="94"/>
      <c r="AD509" s="94"/>
      <c r="AE509" s="94"/>
      <c r="AF509" s="94"/>
      <c r="AG509" s="94"/>
      <c r="AH509" s="94"/>
      <c r="AI509" s="94"/>
      <c r="AJ509" s="94"/>
      <c r="AK509" s="94"/>
      <c r="AL509" s="94"/>
    </row>
    <row r="510" hidden="1">
      <c r="A510" s="86" t="s">
        <v>1540</v>
      </c>
      <c r="B510" s="95" t="str">
        <f t="shared" si="494"/>
        <v>Otro</v>
      </c>
      <c r="C510" s="106" t="str">
        <f t="shared" si="9"/>
        <v>2.</v>
      </c>
      <c r="D510" s="106" t="str">
        <f t="shared" si="10"/>
        <v>Prevención de errores</v>
      </c>
      <c r="E510" s="106" t="str">
        <f t="shared" si="11"/>
        <v>Eliminación de las condiciones del sistema que confundan o induzcan a errores a las personas usuarias. Es clave verificarlas, ofrecer ejemplos y presentar una opción de confirmación antes de comprometerse con una acción.</v>
      </c>
      <c r="F510" s="141" t="str">
        <f t="shared" si="3"/>
        <v>1.3</v>
      </c>
      <c r="G510" s="92" t="str">
        <f t="shared" si="4"/>
        <v>DESEABLES</v>
      </c>
      <c r="H510" s="107"/>
      <c r="I510" s="107" t="str">
        <f t="shared" si="5"/>
        <v/>
      </c>
      <c r="J510" s="98" t="str">
        <f t="shared" si="6"/>
        <v/>
      </c>
      <c r="K510" s="98" t="str">
        <f t="shared" si="7"/>
        <v/>
      </c>
      <c r="L510" s="141" t="str">
        <f t="shared" ref="L510:N510" si="516">IF(I510="",L509,I510)</f>
        <v>1.3.2</v>
      </c>
      <c r="M510" s="98" t="str">
        <f t="shared" si="516"/>
        <v>Flexibilidad y eficiencia de uso</v>
      </c>
      <c r="N510" s="98" t="str">
        <f t="shared" si="516"/>
        <v>Oferta de distintas maneras de acceder al contenido y opción de aceleradores y acciones personalizadas tanto para personas usuarias avanzadas como menos experimentadas.</v>
      </c>
      <c r="O510" s="220" t="s">
        <v>20</v>
      </c>
      <c r="P510" s="112" t="s">
        <v>52</v>
      </c>
      <c r="Q510" s="309"/>
      <c r="R510" s="114"/>
      <c r="S510" s="115" t="s">
        <v>1455</v>
      </c>
      <c r="T510" s="116" t="s">
        <v>2161</v>
      </c>
      <c r="U510" s="94"/>
      <c r="V510" s="94"/>
      <c r="W510" s="94"/>
      <c r="X510" s="94"/>
      <c r="Y510" s="94"/>
      <c r="Z510" s="94"/>
      <c r="AA510" s="94"/>
      <c r="AB510" s="94"/>
      <c r="AC510" s="94"/>
      <c r="AD510" s="94"/>
      <c r="AE510" s="94"/>
      <c r="AF510" s="94"/>
      <c r="AG510" s="94"/>
      <c r="AH510" s="94"/>
      <c r="AI510" s="94"/>
      <c r="AJ510" s="94"/>
      <c r="AK510" s="94"/>
      <c r="AL510" s="94"/>
    </row>
    <row r="511" hidden="1">
      <c r="A511" s="86" t="s">
        <v>1540</v>
      </c>
      <c r="B511" s="95" t="str">
        <f t="shared" si="494"/>
        <v>Otro</v>
      </c>
      <c r="C511" s="106" t="str">
        <f t="shared" si="9"/>
        <v>2.</v>
      </c>
      <c r="D511" s="106" t="str">
        <f t="shared" si="10"/>
        <v>Prevención de errores</v>
      </c>
      <c r="E511" s="106" t="str">
        <f t="shared" si="11"/>
        <v>Eliminación de las condiciones del sistema que confundan o induzcan a errores a las personas usuarias. Es clave verificarlas, ofrecer ejemplos y presentar una opción de confirmación antes de comprometerse con una acción.</v>
      </c>
      <c r="F511" s="141" t="str">
        <f t="shared" si="3"/>
        <v>1.3</v>
      </c>
      <c r="G511" s="92" t="str">
        <f t="shared" si="4"/>
        <v>DESEABLES</v>
      </c>
      <c r="H511" s="107"/>
      <c r="I511" s="107" t="str">
        <f t="shared" si="5"/>
        <v/>
      </c>
      <c r="J511" s="98" t="str">
        <f t="shared" si="6"/>
        <v/>
      </c>
      <c r="K511" s="98" t="str">
        <f t="shared" si="7"/>
        <v/>
      </c>
      <c r="L511" s="141" t="str">
        <f t="shared" ref="L511:N511" si="517">IF(I511="",L510,I511)</f>
        <v>1.3.2</v>
      </c>
      <c r="M511" s="98" t="str">
        <f t="shared" si="517"/>
        <v>Flexibilidad y eficiencia de uso</v>
      </c>
      <c r="N511" s="98" t="str">
        <f t="shared" si="517"/>
        <v>Oferta de distintas maneras de acceder al contenido y opción de aceleradores y acciones personalizadas tanto para personas usuarias avanzadas como menos experimentadas.</v>
      </c>
      <c r="O511" s="310"/>
      <c r="P511" s="311"/>
      <c r="Q511" s="310"/>
      <c r="R511" s="126"/>
      <c r="S511" s="239"/>
      <c r="T511" s="116" t="s">
        <v>19</v>
      </c>
      <c r="U511" s="94"/>
      <c r="V511" s="94"/>
      <c r="W511" s="94"/>
      <c r="X511" s="94"/>
      <c r="Y511" s="94"/>
      <c r="Z511" s="94"/>
      <c r="AA511" s="94"/>
      <c r="AB511" s="94"/>
      <c r="AC511" s="94"/>
      <c r="AD511" s="94"/>
      <c r="AE511" s="94"/>
      <c r="AF511" s="94"/>
      <c r="AG511" s="94"/>
      <c r="AH511" s="94"/>
      <c r="AI511" s="94"/>
      <c r="AJ511" s="94"/>
      <c r="AK511" s="94"/>
      <c r="AL511" s="94"/>
    </row>
    <row r="512" hidden="1">
      <c r="A512" s="86" t="s">
        <v>1540</v>
      </c>
      <c r="B512" s="95" t="str">
        <f t="shared" si="494"/>
        <v>Otro</v>
      </c>
      <c r="C512" s="106" t="str">
        <f t="shared" si="9"/>
        <v>2.</v>
      </c>
      <c r="D512" s="106" t="str">
        <f t="shared" si="10"/>
        <v>Prevención de errores</v>
      </c>
      <c r="E512" s="106" t="str">
        <f t="shared" si="11"/>
        <v>Eliminación de las condiciones del sistema que confundan o induzcan a errores a las personas usuarias. Es clave verificarlas, ofrecer ejemplos y presentar una opción de confirmación antes de comprometerse con una acción.</v>
      </c>
      <c r="F512" s="141" t="str">
        <f t="shared" si="3"/>
        <v>1.3</v>
      </c>
      <c r="G512" s="92" t="str">
        <f t="shared" si="4"/>
        <v>DESEABLES</v>
      </c>
      <c r="H512" s="107"/>
      <c r="I512" s="107" t="str">
        <f t="shared" si="5"/>
        <v/>
      </c>
      <c r="J512" s="98" t="str">
        <f t="shared" si="6"/>
        <v/>
      </c>
      <c r="K512" s="98" t="str">
        <f t="shared" si="7"/>
        <v/>
      </c>
      <c r="L512" s="141" t="str">
        <f t="shared" ref="L512:N512" si="518">IF(I512="",L511,I512)</f>
        <v>1.3.2</v>
      </c>
      <c r="M512" s="98" t="str">
        <f t="shared" si="518"/>
        <v>Flexibilidad y eficiencia de uso</v>
      </c>
      <c r="N512" s="98" t="str">
        <f t="shared" si="518"/>
        <v>Oferta de distintas maneras de acceder al contenido y opción de aceleradores y acciones personalizadas tanto para personas usuarias avanzadas como menos experimentadas.</v>
      </c>
      <c r="O512" s="312"/>
      <c r="P512" s="313"/>
      <c r="Q512" s="312"/>
      <c r="R512" s="126"/>
      <c r="S512" s="240"/>
      <c r="T512" s="241"/>
      <c r="U512" s="94"/>
      <c r="V512" s="94"/>
      <c r="W512" s="94"/>
      <c r="X512" s="94"/>
      <c r="Y512" s="94"/>
      <c r="Z512" s="94"/>
      <c r="AA512" s="94"/>
      <c r="AB512" s="94"/>
      <c r="AC512" s="94"/>
      <c r="AD512" s="94"/>
      <c r="AE512" s="94"/>
      <c r="AF512" s="94"/>
      <c r="AG512" s="94"/>
      <c r="AH512" s="94"/>
      <c r="AI512" s="94"/>
      <c r="AJ512" s="94"/>
      <c r="AK512" s="94"/>
      <c r="AL512" s="94"/>
    </row>
    <row r="513" hidden="1">
      <c r="A513" s="86" t="s">
        <v>1540</v>
      </c>
      <c r="B513" s="95" t="str">
        <f t="shared" si="494"/>
        <v>Otro</v>
      </c>
      <c r="C513" s="106" t="str">
        <f t="shared" si="9"/>
        <v>2.</v>
      </c>
      <c r="D513" s="106" t="str">
        <f t="shared" si="10"/>
        <v>Prevención de errores</v>
      </c>
      <c r="E513" s="106" t="str">
        <f t="shared" si="11"/>
        <v>Eliminación de las condiciones del sistema que confundan o induzcan a errores a las personas usuarias. Es clave verificarlas, ofrecer ejemplos y presentar una opción de confirmación antes de comprometerse con una acción.</v>
      </c>
      <c r="F513" s="141" t="str">
        <f t="shared" si="3"/>
        <v>1.3</v>
      </c>
      <c r="G513" s="92" t="str">
        <f t="shared" si="4"/>
        <v>DESEABLES</v>
      </c>
      <c r="H513" s="96"/>
      <c r="I513" s="96" t="str">
        <f t="shared" si="5"/>
        <v/>
      </c>
      <c r="J513" s="98" t="str">
        <f t="shared" si="6"/>
        <v/>
      </c>
      <c r="K513" s="98" t="str">
        <f t="shared" si="7"/>
        <v/>
      </c>
      <c r="L513" s="141" t="str">
        <f t="shared" ref="L513:N513" si="519">IF(I513="",L512,I513)</f>
        <v>1.3.2</v>
      </c>
      <c r="M513" s="98" t="str">
        <f t="shared" si="519"/>
        <v>Flexibilidad y eficiencia de uso</v>
      </c>
      <c r="N513" s="98" t="str">
        <f t="shared" si="519"/>
        <v>Oferta de distintas maneras de acceder al contenido y opción de aceleradores y acciones personalizadas tanto para personas usuarias avanzadas como menos experimentadas.</v>
      </c>
      <c r="O513" s="104"/>
      <c r="P513" s="127"/>
      <c r="Q513" s="127"/>
      <c r="R513" s="114"/>
      <c r="S513" s="114"/>
      <c r="T513" s="127"/>
      <c r="U513" s="94"/>
      <c r="V513" s="94"/>
      <c r="W513" s="94"/>
      <c r="X513" s="94"/>
      <c r="Y513" s="94"/>
      <c r="Z513" s="94"/>
      <c r="AA513" s="94"/>
      <c r="AB513" s="94"/>
      <c r="AC513" s="94"/>
      <c r="AD513" s="94"/>
      <c r="AE513" s="94"/>
      <c r="AF513" s="94"/>
      <c r="AG513" s="94"/>
      <c r="AH513" s="94"/>
      <c r="AI513" s="94"/>
      <c r="AJ513" s="94"/>
      <c r="AK513" s="94"/>
      <c r="AL513" s="94"/>
    </row>
    <row r="514" hidden="1">
      <c r="A514" s="86" t="s">
        <v>1540</v>
      </c>
      <c r="B514" s="95" t="str">
        <f t="shared" si="494"/>
        <v>Otro</v>
      </c>
      <c r="C514" s="106" t="str">
        <f t="shared" si="9"/>
        <v>2.</v>
      </c>
      <c r="D514" s="106" t="str">
        <f t="shared" si="10"/>
        <v>Prevención de errores</v>
      </c>
      <c r="E514" s="106" t="str">
        <f t="shared" si="11"/>
        <v>Eliminación de las condiciones del sistema que confundan o induzcan a errores a las personas usuarias. Es clave verificarlas, ofrecer ejemplos y presentar una opción de confirmación antes de comprometerse con una acción.</v>
      </c>
      <c r="F514" s="141" t="str">
        <f t="shared" si="3"/>
        <v>1.3</v>
      </c>
      <c r="G514" s="92" t="str">
        <f t="shared" si="4"/>
        <v>DESEABLES</v>
      </c>
      <c r="H514" s="128"/>
      <c r="I514" s="128" t="str">
        <f t="shared" si="5"/>
        <v/>
      </c>
      <c r="J514" s="98" t="str">
        <f t="shared" si="6"/>
        <v/>
      </c>
      <c r="K514" s="98" t="str">
        <f t="shared" si="7"/>
        <v/>
      </c>
      <c r="L514" s="141" t="str">
        <f t="shared" ref="L514:N514" si="520">IF(I514="",L513,I514)</f>
        <v>1.3.2</v>
      </c>
      <c r="M514" s="98" t="str">
        <f t="shared" si="520"/>
        <v>Flexibilidad y eficiencia de uso</v>
      </c>
      <c r="N514" s="98" t="str">
        <f t="shared" si="520"/>
        <v>Oferta de distintas maneras de acceder al contenido y opción de aceleradores y acciones personalizadas tanto para personas usuarias avanzadas como menos experimentadas.</v>
      </c>
      <c r="O514" s="223" t="s">
        <v>1822</v>
      </c>
      <c r="P514" s="133" t="s">
        <v>1823</v>
      </c>
      <c r="Q514" s="133" t="s">
        <v>2031</v>
      </c>
      <c r="R514" s="134"/>
      <c r="S514" s="133" t="s">
        <v>1824</v>
      </c>
      <c r="T514" s="133" t="s">
        <v>1825</v>
      </c>
      <c r="U514" s="94"/>
      <c r="V514" s="94"/>
      <c r="W514" s="94"/>
      <c r="X514" s="94"/>
      <c r="Y514" s="94"/>
      <c r="Z514" s="94"/>
      <c r="AA514" s="94"/>
      <c r="AB514" s="94"/>
      <c r="AC514" s="94"/>
      <c r="AD514" s="94"/>
      <c r="AE514" s="94"/>
      <c r="AF514" s="94"/>
      <c r="AG514" s="94"/>
      <c r="AH514" s="94"/>
      <c r="AI514" s="94"/>
      <c r="AJ514" s="94"/>
      <c r="AK514" s="94"/>
      <c r="AL514" s="94"/>
    </row>
    <row r="515" hidden="1">
      <c r="A515" s="86" t="s">
        <v>1540</v>
      </c>
      <c r="B515" s="95" t="str">
        <f t="shared" si="494"/>
        <v>Otro</v>
      </c>
      <c r="C515" s="106" t="str">
        <f t="shared" si="9"/>
        <v>2.</v>
      </c>
      <c r="D515" s="106" t="str">
        <f t="shared" si="10"/>
        <v>Prevención de errores</v>
      </c>
      <c r="E515" s="106" t="str">
        <f t="shared" si="11"/>
        <v>Eliminación de las condiciones del sistema que confundan o induzcan a errores a las personas usuarias. Es clave verificarlas, ofrecer ejemplos y presentar una opción de confirmación antes de comprometerse con una acción.</v>
      </c>
      <c r="F515" s="141" t="str">
        <f t="shared" si="3"/>
        <v>2.1</v>
      </c>
      <c r="G515" s="92" t="str">
        <f t="shared" si="4"/>
        <v>IMPRESCINDIBLES</v>
      </c>
      <c r="H515" s="141"/>
      <c r="I515" s="141" t="str">
        <f t="shared" si="5"/>
        <v/>
      </c>
      <c r="J515" s="98" t="str">
        <f t="shared" si="6"/>
        <v/>
      </c>
      <c r="K515" s="98" t="str">
        <f t="shared" si="7"/>
        <v/>
      </c>
      <c r="L515" s="141" t="str">
        <f t="shared" ref="L515:N515" si="521">IF(I515="",L514,I515)</f>
        <v>1.3.2</v>
      </c>
      <c r="M515" s="98" t="str">
        <f t="shared" si="521"/>
        <v>Flexibilidad y eficiencia de uso</v>
      </c>
      <c r="N515" s="98" t="str">
        <f t="shared" si="521"/>
        <v>Oferta de distintas maneras de acceder al contenido y opción de aceleradores y acciones personalizadas tanto para personas usuarias avanzadas como menos experimentadas.</v>
      </c>
      <c r="O515" s="258" t="s">
        <v>764</v>
      </c>
      <c r="P515" s="137" t="s">
        <v>664</v>
      </c>
      <c r="Q515" s="138"/>
      <c r="R515" s="138"/>
      <c r="S515" s="139">
        <f>COUNTA(P516:P525)</f>
        <v>2</v>
      </c>
      <c r="T515" s="140">
        <f>COUNTIF(U516:U525,"n/a")</f>
        <v>0</v>
      </c>
      <c r="U515" s="94"/>
      <c r="V515" s="94"/>
      <c r="W515" s="94"/>
      <c r="X515" s="94"/>
      <c r="Y515" s="94"/>
      <c r="Z515" s="94"/>
      <c r="AA515" s="94"/>
      <c r="AB515" s="94"/>
      <c r="AC515" s="94"/>
      <c r="AD515" s="94"/>
      <c r="AE515" s="94"/>
      <c r="AF515" s="94"/>
      <c r="AG515" s="94"/>
      <c r="AH515" s="94"/>
      <c r="AI515" s="94"/>
      <c r="AJ515" s="94"/>
      <c r="AK515" s="94"/>
      <c r="AL515" s="94"/>
    </row>
    <row r="516" hidden="1">
      <c r="A516" s="105" t="s">
        <v>1540</v>
      </c>
      <c r="B516" s="92" t="str">
        <f t="shared" si="494"/>
        <v>Pregunta</v>
      </c>
      <c r="C516" s="106" t="str">
        <f t="shared" si="9"/>
        <v>2.</v>
      </c>
      <c r="D516" s="106" t="str">
        <f t="shared" si="10"/>
        <v>Prevención de errores</v>
      </c>
      <c r="E516" s="106" t="str">
        <f t="shared" si="11"/>
        <v>Eliminación de las condiciones del sistema que confundan o induzcan a errores a las personas usuarias. Es clave verificarlas, ofrecer ejemplos y presentar una opción de confirmación antes de comprometerse con una acción.</v>
      </c>
      <c r="F516" s="141" t="str">
        <f t="shared" si="3"/>
        <v>2.1</v>
      </c>
      <c r="G516" s="92" t="str">
        <f t="shared" si="4"/>
        <v>IMPRESCINDIBLES</v>
      </c>
      <c r="H516" s="141"/>
      <c r="I516" s="141" t="str">
        <f t="shared" si="5"/>
        <v>2.1.1</v>
      </c>
      <c r="J516" s="98" t="str">
        <f t="shared" si="6"/>
        <v>Entrega de información oportuna</v>
      </c>
      <c r="K516" s="98" t="str">
        <f t="shared" si="7"/>
        <v>Presentación de información sobre los procesos que busca realizar la persona usuaria.</v>
      </c>
      <c r="L516" s="141" t="str">
        <f t="shared" ref="L516:N516" si="522">IF(I516="",L515,I516)</f>
        <v>2.1.1</v>
      </c>
      <c r="M516" s="98" t="str">
        <f t="shared" si="522"/>
        <v>Entrega de información oportuna</v>
      </c>
      <c r="N516" s="98" t="str">
        <f t="shared" si="522"/>
        <v>Presentación de información sobre los procesos que busca realizar la persona usuaria.</v>
      </c>
      <c r="O516" s="262" t="s">
        <v>765</v>
      </c>
      <c r="P516" s="143" t="s">
        <v>1458</v>
      </c>
      <c r="Q516" s="143" t="s">
        <v>1459</v>
      </c>
      <c r="R516" s="174"/>
      <c r="S516" s="143" t="s">
        <v>2172</v>
      </c>
      <c r="T516" s="164" t="s">
        <v>2033</v>
      </c>
      <c r="U516" s="94"/>
      <c r="V516" s="94"/>
      <c r="W516" s="94"/>
      <c r="X516" s="94"/>
      <c r="Y516" s="94"/>
      <c r="Z516" s="94"/>
      <c r="AA516" s="94"/>
      <c r="AB516" s="94"/>
      <c r="AC516" s="94"/>
      <c r="AD516" s="94"/>
      <c r="AE516" s="94"/>
      <c r="AF516" s="94"/>
      <c r="AG516" s="94"/>
      <c r="AH516" s="94"/>
      <c r="AI516" s="94"/>
      <c r="AJ516" s="94"/>
      <c r="AK516" s="94"/>
      <c r="AL516" s="94"/>
    </row>
    <row r="517" hidden="1">
      <c r="A517" s="105" t="s">
        <v>1540</v>
      </c>
      <c r="B517" s="92" t="str">
        <f t="shared" si="494"/>
        <v>Pregunta</v>
      </c>
      <c r="C517" s="106" t="str">
        <f t="shared" si="9"/>
        <v>2.</v>
      </c>
      <c r="D517" s="106" t="str">
        <f t="shared" si="10"/>
        <v>Prevención de errores</v>
      </c>
      <c r="E517" s="106" t="str">
        <f t="shared" si="11"/>
        <v>Eliminación de las condiciones del sistema que confundan o induzcan a errores a las personas usuarias. Es clave verificarlas, ofrecer ejemplos y presentar una opción de confirmación antes de comprometerse con una acción.</v>
      </c>
      <c r="F517" s="141" t="str">
        <f t="shared" si="3"/>
        <v>2.1</v>
      </c>
      <c r="G517" s="92" t="str">
        <f t="shared" si="4"/>
        <v>IMPRESCINDIBLES</v>
      </c>
      <c r="H517" s="141"/>
      <c r="I517" s="141" t="str">
        <f t="shared" si="5"/>
        <v>2.1.2</v>
      </c>
      <c r="J517" s="98" t="str">
        <f t="shared" si="6"/>
        <v>Diseño de formularios</v>
      </c>
      <c r="K517" s="98" t="str">
        <f t="shared" si="7"/>
        <v>Entrega de información clara sobre los errores ocurridos durante el proceso de envío de formulario.</v>
      </c>
      <c r="L517" s="141" t="str">
        <f t="shared" ref="L517:N517" si="523">IF(I517="",L516,I517)</f>
        <v>2.1.2</v>
      </c>
      <c r="M517" s="98" t="str">
        <f t="shared" si="523"/>
        <v>Diseño de formularios</v>
      </c>
      <c r="N517" s="98" t="str">
        <f t="shared" si="523"/>
        <v>Entrega de información clara sobre los errores ocurridos durante el proceso de envío de formulario.</v>
      </c>
      <c r="O517" s="147" t="s">
        <v>771</v>
      </c>
      <c r="P517" s="148" t="s">
        <v>1462</v>
      </c>
      <c r="Q517" s="148" t="s">
        <v>1556</v>
      </c>
      <c r="R517" s="158"/>
      <c r="S517" s="150" t="s">
        <v>1557</v>
      </c>
      <c r="T517" s="160" t="s">
        <v>2033</v>
      </c>
      <c r="U517" s="94"/>
      <c r="V517" s="94"/>
      <c r="W517" s="94"/>
      <c r="X517" s="94"/>
      <c r="Y517" s="94"/>
      <c r="Z517" s="94"/>
      <c r="AA517" s="94"/>
      <c r="AB517" s="94"/>
      <c r="AC517" s="94"/>
      <c r="AD517" s="94"/>
      <c r="AE517" s="94"/>
      <c r="AF517" s="94"/>
      <c r="AG517" s="94"/>
      <c r="AH517" s="94"/>
      <c r="AI517" s="94"/>
      <c r="AJ517" s="94"/>
      <c r="AK517" s="94"/>
      <c r="AL517" s="94"/>
    </row>
    <row r="518" hidden="1">
      <c r="A518" s="86" t="s">
        <v>1540</v>
      </c>
      <c r="B518" s="95" t="str">
        <f t="shared" si="494"/>
        <v>Pregunta</v>
      </c>
      <c r="C518" s="106" t="str">
        <f t="shared" si="9"/>
        <v>2.</v>
      </c>
      <c r="D518" s="106" t="str">
        <f t="shared" si="10"/>
        <v>Prevención de errores</v>
      </c>
      <c r="E518" s="106" t="str">
        <f t="shared" si="11"/>
        <v>Eliminación de las condiciones del sistema que confundan o induzcan a errores a las personas usuarias. Es clave verificarlas, ofrecer ejemplos y presentar una opción de confirmación antes de comprometerse con una acción.</v>
      </c>
      <c r="F518" s="141" t="str">
        <f t="shared" si="3"/>
        <v>2.1</v>
      </c>
      <c r="G518" s="92" t="str">
        <f t="shared" si="4"/>
        <v>IMPRESCINDIBLES</v>
      </c>
      <c r="H518" s="141"/>
      <c r="I518" s="141" t="str">
        <f t="shared" si="5"/>
        <v/>
      </c>
      <c r="J518" s="98" t="str">
        <f t="shared" si="6"/>
        <v/>
      </c>
      <c r="K518" s="98" t="str">
        <f t="shared" si="7"/>
        <v/>
      </c>
      <c r="L518" s="141" t="str">
        <f t="shared" ref="L518:N518" si="524">IF(I518="",L517,I518)</f>
        <v>2.1.2</v>
      </c>
      <c r="M518" s="98" t="str">
        <f t="shared" si="524"/>
        <v>Diseño de formularios</v>
      </c>
      <c r="N518" s="98" t="str">
        <f t="shared" si="524"/>
        <v>Entrega de información clara sobre los errores ocurridos durante el proceso de envío de formulario.</v>
      </c>
      <c r="O518" s="152"/>
      <c r="P518" s="153"/>
      <c r="Q518" s="153"/>
      <c r="R518" s="149"/>
      <c r="S518" s="162" t="s">
        <v>1558</v>
      </c>
      <c r="T518" s="160" t="s">
        <v>2033</v>
      </c>
      <c r="U518" s="94"/>
      <c r="V518" s="94"/>
      <c r="W518" s="94"/>
      <c r="X518" s="94"/>
      <c r="Y518" s="94"/>
      <c r="Z518" s="94"/>
      <c r="AA518" s="94"/>
      <c r="AB518" s="94"/>
      <c r="AC518" s="94"/>
      <c r="AD518" s="94"/>
      <c r="AE518" s="94"/>
      <c r="AF518" s="94"/>
      <c r="AG518" s="94"/>
      <c r="AH518" s="94"/>
      <c r="AI518" s="94"/>
      <c r="AJ518" s="94"/>
      <c r="AK518" s="94"/>
      <c r="AL518" s="94"/>
    </row>
    <row r="519" hidden="1">
      <c r="A519" s="86" t="s">
        <v>1540</v>
      </c>
      <c r="B519" s="95" t="str">
        <f t="shared" si="494"/>
        <v>Pregunta</v>
      </c>
      <c r="C519" s="106" t="str">
        <f t="shared" si="9"/>
        <v>2.</v>
      </c>
      <c r="D519" s="106" t="str">
        <f t="shared" si="10"/>
        <v>Prevención de errores</v>
      </c>
      <c r="E519" s="106" t="str">
        <f t="shared" si="11"/>
        <v>Eliminación de las condiciones del sistema que confundan o induzcan a errores a las personas usuarias. Es clave verificarlas, ofrecer ejemplos y presentar una opción de confirmación antes de comprometerse con una acción.</v>
      </c>
      <c r="F519" s="141" t="str">
        <f t="shared" si="3"/>
        <v>2.1</v>
      </c>
      <c r="G519" s="92" t="str">
        <f t="shared" si="4"/>
        <v>IMPRESCINDIBLES</v>
      </c>
      <c r="H519" s="141"/>
      <c r="I519" s="141" t="str">
        <f t="shared" si="5"/>
        <v/>
      </c>
      <c r="J519" s="98" t="str">
        <f t="shared" si="6"/>
        <v/>
      </c>
      <c r="K519" s="98" t="str">
        <f t="shared" si="7"/>
        <v/>
      </c>
      <c r="L519" s="141" t="str">
        <f t="shared" ref="L519:N519" si="525">IF(I519="",L518,I519)</f>
        <v>2.1.2</v>
      </c>
      <c r="M519" s="98" t="str">
        <f t="shared" si="525"/>
        <v>Diseño de formularios</v>
      </c>
      <c r="N519" s="98" t="str">
        <f t="shared" si="525"/>
        <v>Entrega de información clara sobre los errores ocurridos durante el proceso de envío de formulario.</v>
      </c>
      <c r="O519" s="152"/>
      <c r="P519" s="153"/>
      <c r="Q519" s="153"/>
      <c r="R519" s="149"/>
      <c r="S519" s="162" t="s">
        <v>1559</v>
      </c>
      <c r="T519" s="160" t="s">
        <v>2033</v>
      </c>
      <c r="U519" s="94"/>
      <c r="V519" s="94"/>
      <c r="W519" s="94"/>
      <c r="X519" s="94"/>
      <c r="Y519" s="94"/>
      <c r="Z519" s="94"/>
      <c r="AA519" s="94"/>
      <c r="AB519" s="94"/>
      <c r="AC519" s="94"/>
      <c r="AD519" s="94"/>
      <c r="AE519" s="94"/>
      <c r="AF519" s="94"/>
      <c r="AG519" s="94"/>
      <c r="AH519" s="94"/>
      <c r="AI519" s="94"/>
      <c r="AJ519" s="94"/>
      <c r="AK519" s="94"/>
      <c r="AL519" s="94"/>
    </row>
    <row r="520" hidden="1">
      <c r="A520" s="86" t="s">
        <v>1540</v>
      </c>
      <c r="B520" s="95" t="str">
        <f t="shared" si="494"/>
        <v>Pregunta</v>
      </c>
      <c r="C520" s="106" t="str">
        <f t="shared" si="9"/>
        <v>2.</v>
      </c>
      <c r="D520" s="106" t="str">
        <f t="shared" si="10"/>
        <v>Prevención de errores</v>
      </c>
      <c r="E520" s="106" t="str">
        <f t="shared" si="11"/>
        <v>Eliminación de las condiciones del sistema que confundan o induzcan a errores a las personas usuarias. Es clave verificarlas, ofrecer ejemplos y presentar una opción de confirmación antes de comprometerse con una acción.</v>
      </c>
      <c r="F520" s="141" t="str">
        <f t="shared" si="3"/>
        <v>2.1</v>
      </c>
      <c r="G520" s="92" t="str">
        <f t="shared" si="4"/>
        <v>IMPRESCINDIBLES</v>
      </c>
      <c r="H520" s="141"/>
      <c r="I520" s="141" t="str">
        <f t="shared" si="5"/>
        <v/>
      </c>
      <c r="J520" s="98" t="str">
        <f t="shared" si="6"/>
        <v/>
      </c>
      <c r="K520" s="98" t="str">
        <f t="shared" si="7"/>
        <v/>
      </c>
      <c r="L520" s="141" t="str">
        <f t="shared" ref="L520:N520" si="526">IF(I520="",L519,I520)</f>
        <v>2.1.2</v>
      </c>
      <c r="M520" s="98" t="str">
        <f t="shared" si="526"/>
        <v>Diseño de formularios</v>
      </c>
      <c r="N520" s="98" t="str">
        <f t="shared" si="526"/>
        <v>Entrega de información clara sobre los errores ocurridos durante el proceso de envío de formulario.</v>
      </c>
      <c r="O520" s="152"/>
      <c r="P520" s="153"/>
      <c r="Q520" s="153"/>
      <c r="R520" s="149"/>
      <c r="S520" s="162" t="s">
        <v>1560</v>
      </c>
      <c r="T520" s="160" t="s">
        <v>2033</v>
      </c>
      <c r="U520" s="94"/>
      <c r="V520" s="94"/>
      <c r="W520" s="94"/>
      <c r="X520" s="94"/>
      <c r="Y520" s="94"/>
      <c r="Z520" s="94"/>
      <c r="AA520" s="94"/>
      <c r="AB520" s="94"/>
      <c r="AC520" s="94"/>
      <c r="AD520" s="94"/>
      <c r="AE520" s="94"/>
      <c r="AF520" s="94"/>
      <c r="AG520" s="94"/>
      <c r="AH520" s="94"/>
      <c r="AI520" s="94"/>
      <c r="AJ520" s="94"/>
      <c r="AK520" s="94"/>
      <c r="AL520" s="94"/>
    </row>
    <row r="521" hidden="1">
      <c r="A521" s="86" t="s">
        <v>1540</v>
      </c>
      <c r="B521" s="95" t="str">
        <f t="shared" si="494"/>
        <v>Pregunta</v>
      </c>
      <c r="C521" s="106" t="str">
        <f t="shared" si="9"/>
        <v>2.</v>
      </c>
      <c r="D521" s="106" t="str">
        <f t="shared" si="10"/>
        <v>Prevención de errores</v>
      </c>
      <c r="E521" s="106" t="str">
        <f t="shared" si="11"/>
        <v>Eliminación de las condiciones del sistema que confundan o induzcan a errores a las personas usuarias. Es clave verificarlas, ofrecer ejemplos y presentar una opción de confirmación antes de comprometerse con una acción.</v>
      </c>
      <c r="F521" s="141" t="str">
        <f t="shared" si="3"/>
        <v>2.1</v>
      </c>
      <c r="G521" s="92" t="str">
        <f t="shared" si="4"/>
        <v>IMPRESCINDIBLES</v>
      </c>
      <c r="H521" s="141"/>
      <c r="I521" s="141" t="str">
        <f t="shared" si="5"/>
        <v/>
      </c>
      <c r="J521" s="98" t="str">
        <f t="shared" si="6"/>
        <v/>
      </c>
      <c r="K521" s="98" t="str">
        <f t="shared" si="7"/>
        <v/>
      </c>
      <c r="L521" s="141" t="str">
        <f t="shared" ref="L521:N521" si="527">IF(I521="",L520,I521)</f>
        <v>2.1.2</v>
      </c>
      <c r="M521" s="98" t="str">
        <f t="shared" si="527"/>
        <v>Diseño de formularios</v>
      </c>
      <c r="N521" s="98" t="str">
        <f t="shared" si="527"/>
        <v>Entrega de información clara sobre los errores ocurridos durante el proceso de envío de formulario.</v>
      </c>
      <c r="O521" s="152"/>
      <c r="P521" s="153"/>
      <c r="Q521" s="153"/>
      <c r="R521" s="149"/>
      <c r="S521" s="162" t="s">
        <v>1561</v>
      </c>
      <c r="T521" s="160" t="s">
        <v>2033</v>
      </c>
      <c r="U521" s="94"/>
      <c r="V521" s="94"/>
      <c r="W521" s="94"/>
      <c r="X521" s="94"/>
      <c r="Y521" s="94"/>
      <c r="Z521" s="94"/>
      <c r="AA521" s="94"/>
      <c r="AB521" s="94"/>
      <c r="AC521" s="94"/>
      <c r="AD521" s="94"/>
      <c r="AE521" s="94"/>
      <c r="AF521" s="94"/>
      <c r="AG521" s="94"/>
      <c r="AH521" s="94"/>
      <c r="AI521" s="94"/>
      <c r="AJ521" s="94"/>
      <c r="AK521" s="94"/>
      <c r="AL521" s="94"/>
    </row>
    <row r="522" hidden="1">
      <c r="A522" s="86" t="s">
        <v>1540</v>
      </c>
      <c r="B522" s="95" t="str">
        <f t="shared" si="494"/>
        <v>Pregunta</v>
      </c>
      <c r="C522" s="106" t="str">
        <f t="shared" si="9"/>
        <v>2.</v>
      </c>
      <c r="D522" s="106" t="str">
        <f t="shared" si="10"/>
        <v>Prevención de errores</v>
      </c>
      <c r="E522" s="106" t="str">
        <f t="shared" si="11"/>
        <v>Eliminación de las condiciones del sistema que confundan o induzcan a errores a las personas usuarias. Es clave verificarlas, ofrecer ejemplos y presentar una opción de confirmación antes de comprometerse con una acción.</v>
      </c>
      <c r="F522" s="141" t="str">
        <f t="shared" si="3"/>
        <v>2.1</v>
      </c>
      <c r="G522" s="92" t="str">
        <f t="shared" si="4"/>
        <v>IMPRESCINDIBLES</v>
      </c>
      <c r="H522" s="141"/>
      <c r="I522" s="141" t="str">
        <f t="shared" si="5"/>
        <v/>
      </c>
      <c r="J522" s="98" t="str">
        <f t="shared" si="6"/>
        <v/>
      </c>
      <c r="K522" s="98" t="str">
        <f t="shared" si="7"/>
        <v/>
      </c>
      <c r="L522" s="141" t="str">
        <f t="shared" ref="L522:N522" si="528">IF(I522="",L521,I522)</f>
        <v>2.1.2</v>
      </c>
      <c r="M522" s="98" t="str">
        <f t="shared" si="528"/>
        <v>Diseño de formularios</v>
      </c>
      <c r="N522" s="98" t="str">
        <f t="shared" si="528"/>
        <v>Entrega de información clara sobre los errores ocurridos durante el proceso de envío de formulario.</v>
      </c>
      <c r="O522" s="152"/>
      <c r="P522" s="153"/>
      <c r="Q522" s="153"/>
      <c r="R522" s="161"/>
      <c r="S522" s="162" t="s">
        <v>2173</v>
      </c>
      <c r="T522" s="160" t="s">
        <v>2033</v>
      </c>
      <c r="U522" s="94"/>
      <c r="V522" s="94"/>
      <c r="W522" s="94"/>
      <c r="X522" s="94"/>
      <c r="Y522" s="94"/>
      <c r="Z522" s="94"/>
      <c r="AA522" s="94"/>
      <c r="AB522" s="94"/>
      <c r="AC522" s="94"/>
      <c r="AD522" s="94"/>
      <c r="AE522" s="94"/>
      <c r="AF522" s="94"/>
      <c r="AG522" s="94"/>
      <c r="AH522" s="94"/>
      <c r="AI522" s="94"/>
      <c r="AJ522" s="94"/>
      <c r="AK522" s="94"/>
      <c r="AL522" s="94"/>
    </row>
    <row r="523" hidden="1">
      <c r="A523" s="86" t="s">
        <v>1540</v>
      </c>
      <c r="B523" s="95" t="str">
        <f t="shared" si="494"/>
        <v>Pregunta</v>
      </c>
      <c r="C523" s="106" t="str">
        <f t="shared" si="9"/>
        <v>2.</v>
      </c>
      <c r="D523" s="106" t="str">
        <f t="shared" si="10"/>
        <v>Prevención de errores</v>
      </c>
      <c r="E523" s="106" t="str">
        <f t="shared" si="11"/>
        <v>Eliminación de las condiciones del sistema que confundan o induzcan a errores a las personas usuarias. Es clave verificarlas, ofrecer ejemplos y presentar una opción de confirmación antes de comprometerse con una acción.</v>
      </c>
      <c r="F523" s="141" t="str">
        <f t="shared" si="3"/>
        <v>2.1</v>
      </c>
      <c r="G523" s="92" t="str">
        <f t="shared" si="4"/>
        <v>IMPRESCINDIBLES</v>
      </c>
      <c r="H523" s="141"/>
      <c r="I523" s="141" t="str">
        <f t="shared" si="5"/>
        <v/>
      </c>
      <c r="J523" s="98" t="str">
        <f t="shared" si="6"/>
        <v/>
      </c>
      <c r="K523" s="98" t="str">
        <f t="shared" si="7"/>
        <v/>
      </c>
      <c r="L523" s="141" t="str">
        <f t="shared" ref="L523:N523" si="529">IF(I523="",L522,I523)</f>
        <v>2.1.2</v>
      </c>
      <c r="M523" s="98" t="str">
        <f t="shared" si="529"/>
        <v>Diseño de formularios</v>
      </c>
      <c r="N523" s="98" t="str">
        <f t="shared" si="529"/>
        <v>Entrega de información clara sobre los errores ocurridos durante el proceso de envío de formulario.</v>
      </c>
      <c r="O523" s="152"/>
      <c r="P523" s="153"/>
      <c r="Q523" s="153"/>
      <c r="R523" s="161"/>
      <c r="S523" s="162" t="s">
        <v>1562</v>
      </c>
      <c r="T523" s="160" t="s">
        <v>2033</v>
      </c>
      <c r="U523" s="94"/>
      <c r="V523" s="94"/>
      <c r="W523" s="94"/>
      <c r="X523" s="94"/>
      <c r="Y523" s="94"/>
      <c r="Z523" s="94"/>
      <c r="AA523" s="94"/>
      <c r="AB523" s="94"/>
      <c r="AC523" s="94"/>
      <c r="AD523" s="94"/>
      <c r="AE523" s="94"/>
      <c r="AF523" s="94"/>
      <c r="AG523" s="94"/>
      <c r="AH523" s="94"/>
      <c r="AI523" s="94"/>
      <c r="AJ523" s="94"/>
      <c r="AK523" s="94"/>
      <c r="AL523" s="94"/>
    </row>
    <row r="524" hidden="1">
      <c r="A524" s="86" t="s">
        <v>1540</v>
      </c>
      <c r="B524" s="95" t="str">
        <f t="shared" si="494"/>
        <v>Pregunta</v>
      </c>
      <c r="C524" s="106" t="str">
        <f t="shared" si="9"/>
        <v>2.</v>
      </c>
      <c r="D524" s="106" t="str">
        <f t="shared" si="10"/>
        <v>Prevención de errores</v>
      </c>
      <c r="E524" s="106" t="str">
        <f t="shared" si="11"/>
        <v>Eliminación de las condiciones del sistema que confundan o induzcan a errores a las personas usuarias. Es clave verificarlas, ofrecer ejemplos y presentar una opción de confirmación antes de comprometerse con una acción.</v>
      </c>
      <c r="F524" s="141" t="str">
        <f t="shared" si="3"/>
        <v>2.1</v>
      </c>
      <c r="G524" s="92" t="str">
        <f t="shared" si="4"/>
        <v>IMPRESCINDIBLES</v>
      </c>
      <c r="H524" s="141"/>
      <c r="I524" s="141" t="str">
        <f t="shared" si="5"/>
        <v/>
      </c>
      <c r="J524" s="98" t="str">
        <f t="shared" si="6"/>
        <v/>
      </c>
      <c r="K524" s="98" t="str">
        <f t="shared" si="7"/>
        <v/>
      </c>
      <c r="L524" s="141" t="str">
        <f t="shared" ref="L524:N524" si="530">IF(I524="",L523,I524)</f>
        <v>2.1.2</v>
      </c>
      <c r="M524" s="98" t="str">
        <f t="shared" si="530"/>
        <v>Diseño de formularios</v>
      </c>
      <c r="N524" s="98" t="str">
        <f t="shared" si="530"/>
        <v>Entrega de información clara sobre los errores ocurridos durante el proceso de envío de formulario.</v>
      </c>
      <c r="O524" s="152"/>
      <c r="P524" s="153"/>
      <c r="Q524" s="153"/>
      <c r="R524" s="161"/>
      <c r="S524" s="162" t="s">
        <v>1563</v>
      </c>
      <c r="T524" s="160" t="s">
        <v>2033</v>
      </c>
      <c r="U524" s="94"/>
      <c r="V524" s="94"/>
      <c r="W524" s="94"/>
      <c r="X524" s="94"/>
      <c r="Y524" s="94"/>
      <c r="Z524" s="94"/>
      <c r="AA524" s="94"/>
      <c r="AB524" s="94"/>
      <c r="AC524" s="94"/>
      <c r="AD524" s="94"/>
      <c r="AE524" s="94"/>
      <c r="AF524" s="94"/>
      <c r="AG524" s="94"/>
      <c r="AH524" s="94"/>
      <c r="AI524" s="94"/>
      <c r="AJ524" s="94"/>
      <c r="AK524" s="94"/>
      <c r="AL524" s="94"/>
    </row>
    <row r="525" hidden="1">
      <c r="A525" s="86" t="s">
        <v>1540</v>
      </c>
      <c r="B525" s="95" t="str">
        <f t="shared" si="494"/>
        <v>Pregunta</v>
      </c>
      <c r="C525" s="106" t="str">
        <f t="shared" si="9"/>
        <v>2.</v>
      </c>
      <c r="D525" s="106" t="str">
        <f t="shared" si="10"/>
        <v>Prevención de errores</v>
      </c>
      <c r="E525" s="106" t="str">
        <f t="shared" si="11"/>
        <v>Eliminación de las condiciones del sistema que confundan o induzcan a errores a las personas usuarias. Es clave verificarlas, ofrecer ejemplos y presentar una opción de confirmación antes de comprometerse con una acción.</v>
      </c>
      <c r="F525" s="141" t="str">
        <f t="shared" si="3"/>
        <v>2.1</v>
      </c>
      <c r="G525" s="92" t="str">
        <f t="shared" si="4"/>
        <v>IMPRESCINDIBLES</v>
      </c>
      <c r="H525" s="141"/>
      <c r="I525" s="141" t="str">
        <f t="shared" si="5"/>
        <v/>
      </c>
      <c r="J525" s="98" t="str">
        <f t="shared" si="6"/>
        <v/>
      </c>
      <c r="K525" s="98" t="str">
        <f t="shared" si="7"/>
        <v/>
      </c>
      <c r="L525" s="141" t="str">
        <f t="shared" ref="L525:N525" si="531">IF(I525="",L524,I525)</f>
        <v>2.1.2</v>
      </c>
      <c r="M525" s="98" t="str">
        <f t="shared" si="531"/>
        <v>Diseño de formularios</v>
      </c>
      <c r="N525" s="98" t="str">
        <f t="shared" si="531"/>
        <v>Entrega de información clara sobre los errores ocurridos durante el proceso de envío de formulario.</v>
      </c>
      <c r="O525" s="142"/>
      <c r="P525" s="143"/>
      <c r="Q525" s="143"/>
      <c r="R525" s="174"/>
      <c r="S525" s="143" t="s">
        <v>1564</v>
      </c>
      <c r="T525" s="164" t="s">
        <v>2033</v>
      </c>
      <c r="U525" s="94"/>
      <c r="V525" s="94"/>
      <c r="W525" s="94"/>
      <c r="X525" s="94"/>
      <c r="Y525" s="94"/>
      <c r="Z525" s="94"/>
      <c r="AA525" s="94"/>
      <c r="AB525" s="94"/>
      <c r="AC525" s="94"/>
      <c r="AD525" s="94"/>
      <c r="AE525" s="94"/>
      <c r="AF525" s="94"/>
      <c r="AG525" s="94"/>
      <c r="AH525" s="94"/>
      <c r="AI525" s="94"/>
      <c r="AJ525" s="94"/>
      <c r="AK525" s="94"/>
      <c r="AL525" s="94"/>
    </row>
    <row r="526" hidden="1">
      <c r="A526" s="86" t="s">
        <v>1540</v>
      </c>
      <c r="B526" s="95" t="str">
        <f t="shared" si="494"/>
        <v>Otro</v>
      </c>
      <c r="C526" s="106" t="str">
        <f t="shared" si="9"/>
        <v>2.</v>
      </c>
      <c r="D526" s="106" t="str">
        <f t="shared" si="10"/>
        <v>Prevención de errores</v>
      </c>
      <c r="E526" s="106" t="str">
        <f t="shared" si="11"/>
        <v>Eliminación de las condiciones del sistema que confundan o induzcan a errores a las personas usuarias. Es clave verificarlas, ofrecer ejemplos y presentar una opción de confirmación antes de comprometerse con una acción.</v>
      </c>
      <c r="F526" s="141" t="str">
        <f t="shared" si="3"/>
        <v>2.2</v>
      </c>
      <c r="G526" s="92" t="str">
        <f t="shared" si="4"/>
        <v>ESPERABLES</v>
      </c>
      <c r="H526" s="141"/>
      <c r="I526" s="141" t="str">
        <f t="shared" si="5"/>
        <v/>
      </c>
      <c r="J526" s="98" t="str">
        <f t="shared" si="6"/>
        <v/>
      </c>
      <c r="K526" s="98" t="str">
        <f t="shared" si="7"/>
        <v/>
      </c>
      <c r="L526" s="141" t="str">
        <f t="shared" ref="L526:N526" si="532">IF(I526="",L525,I526)</f>
        <v>2.1.2</v>
      </c>
      <c r="M526" s="98" t="str">
        <f t="shared" si="532"/>
        <v>Diseño de formularios</v>
      </c>
      <c r="N526" s="98" t="str">
        <f t="shared" si="532"/>
        <v>Entrega de información clara sobre los errores ocurridos durante el proceso de envío de formulario.</v>
      </c>
      <c r="O526" s="152" t="s">
        <v>790</v>
      </c>
      <c r="P526" s="196" t="s">
        <v>714</v>
      </c>
      <c r="Q526" s="200"/>
      <c r="R526" s="177"/>
      <c r="S526" s="197">
        <f>COUNTA(P527:P529)</f>
        <v>1</v>
      </c>
      <c r="T526" s="197">
        <f>COUNTIF(U527:U529,"n/a")</f>
        <v>0</v>
      </c>
      <c r="U526" s="94"/>
      <c r="V526" s="94"/>
      <c r="W526" s="94"/>
      <c r="X526" s="94"/>
      <c r="Y526" s="94"/>
      <c r="Z526" s="94"/>
      <c r="AA526" s="94"/>
      <c r="AB526" s="94"/>
      <c r="AC526" s="94"/>
      <c r="AD526" s="94"/>
      <c r="AE526" s="94"/>
      <c r="AF526" s="94"/>
      <c r="AG526" s="94"/>
      <c r="AH526" s="94"/>
      <c r="AI526" s="94"/>
      <c r="AJ526" s="94"/>
      <c r="AK526" s="94"/>
      <c r="AL526" s="94"/>
    </row>
    <row r="527" hidden="1">
      <c r="A527" s="105" t="s">
        <v>1540</v>
      </c>
      <c r="B527" s="92" t="str">
        <f t="shared" si="494"/>
        <v>Pregunta</v>
      </c>
      <c r="C527" s="106" t="str">
        <f t="shared" si="9"/>
        <v>2.</v>
      </c>
      <c r="D527" s="106" t="str">
        <f t="shared" si="10"/>
        <v>Prevención de errores</v>
      </c>
      <c r="E527" s="106" t="str">
        <f t="shared" si="11"/>
        <v>Eliminación de las condiciones del sistema que confundan o induzcan a errores a las personas usuarias. Es clave verificarlas, ofrecer ejemplos y presentar una opción de confirmación antes de comprometerse con una acción.</v>
      </c>
      <c r="F527" s="141" t="str">
        <f t="shared" si="3"/>
        <v>2.2</v>
      </c>
      <c r="G527" s="92" t="str">
        <f t="shared" si="4"/>
        <v>ESPERABLES</v>
      </c>
      <c r="H527" s="141"/>
      <c r="I527" s="141" t="str">
        <f t="shared" si="5"/>
        <v>2.2.1</v>
      </c>
      <c r="J527" s="98" t="str">
        <f t="shared" si="6"/>
        <v>Prevención de errores</v>
      </c>
      <c r="K527" s="98" t="str">
        <f t="shared" si="7"/>
        <v>Eliminación de las condiciones de la interfaz que induzcan a error en las personas usuarias. Los buenos mensajes de error son importantes, pero los mejores diseños evitan que los problemas ocurran.</v>
      </c>
      <c r="L527" s="141" t="str">
        <f t="shared" ref="L527:N527" si="533">IF(I527="",L526,I527)</f>
        <v>2.2.1</v>
      </c>
      <c r="M527" s="98" t="str">
        <f t="shared" si="533"/>
        <v>Prevención de errores</v>
      </c>
      <c r="N527" s="98" t="str">
        <f t="shared" si="533"/>
        <v>Eliminación de las condiciones de la interfaz que induzcan a error en las personas usuarias. Los buenos mensajes de error son importantes, pero los mejores diseños evitan que los problemas ocurran.</v>
      </c>
      <c r="O527" s="147" t="s">
        <v>791</v>
      </c>
      <c r="P527" s="170" t="s">
        <v>52</v>
      </c>
      <c r="Q527" s="148" t="s">
        <v>1475</v>
      </c>
      <c r="R527" s="158"/>
      <c r="S527" s="170" t="s">
        <v>2174</v>
      </c>
      <c r="T527" s="160" t="s">
        <v>2033</v>
      </c>
      <c r="U527" s="94"/>
      <c r="V527" s="94"/>
      <c r="W527" s="94"/>
      <c r="X527" s="94"/>
      <c r="Y527" s="94"/>
      <c r="Z527" s="94"/>
      <c r="AA527" s="94"/>
      <c r="AB527" s="94"/>
      <c r="AC527" s="94"/>
      <c r="AD527" s="94"/>
      <c r="AE527" s="94"/>
      <c r="AF527" s="94"/>
      <c r="AG527" s="94"/>
      <c r="AH527" s="94"/>
      <c r="AI527" s="94"/>
      <c r="AJ527" s="94"/>
      <c r="AK527" s="94"/>
      <c r="AL527" s="94"/>
    </row>
    <row r="528" hidden="1">
      <c r="A528" s="86" t="s">
        <v>1540</v>
      </c>
      <c r="B528" s="95" t="str">
        <f t="shared" si="494"/>
        <v>Pregunta</v>
      </c>
      <c r="C528" s="106" t="str">
        <f t="shared" si="9"/>
        <v>2.</v>
      </c>
      <c r="D528" s="106" t="str">
        <f t="shared" si="10"/>
        <v>Prevención de errores</v>
      </c>
      <c r="E528" s="106" t="str">
        <f t="shared" si="11"/>
        <v>Eliminación de las condiciones del sistema que confundan o induzcan a errores a las personas usuarias. Es clave verificarlas, ofrecer ejemplos y presentar una opción de confirmación antes de comprometerse con una acción.</v>
      </c>
      <c r="F528" s="141" t="str">
        <f t="shared" si="3"/>
        <v>2.2</v>
      </c>
      <c r="G528" s="92" t="str">
        <f t="shared" si="4"/>
        <v>ESPERABLES</v>
      </c>
      <c r="H528" s="141"/>
      <c r="I528" s="141" t="str">
        <f t="shared" si="5"/>
        <v/>
      </c>
      <c r="J528" s="98" t="str">
        <f t="shared" si="6"/>
        <v/>
      </c>
      <c r="K528" s="98" t="str">
        <f t="shared" si="7"/>
        <v/>
      </c>
      <c r="L528" s="141" t="str">
        <f t="shared" ref="L528:N528" si="534">IF(I528="",L527,I528)</f>
        <v>2.2.1</v>
      </c>
      <c r="M528" s="98" t="str">
        <f t="shared" si="534"/>
        <v>Prevención de errores</v>
      </c>
      <c r="N528" s="98" t="str">
        <f t="shared" si="534"/>
        <v>Eliminación de las condiciones de la interfaz que induzcan a error en las personas usuarias. Los buenos mensajes de error son importantes, pero los mejores diseños evitan que los problemas ocurran.</v>
      </c>
      <c r="O528" s="152"/>
      <c r="P528" s="149"/>
      <c r="Q528" s="153"/>
      <c r="R528" s="149"/>
      <c r="S528" s="150" t="s">
        <v>1565</v>
      </c>
      <c r="T528" s="160" t="s">
        <v>2033</v>
      </c>
      <c r="U528" s="94"/>
      <c r="V528" s="94"/>
      <c r="W528" s="94"/>
      <c r="X528" s="94"/>
      <c r="Y528" s="94"/>
      <c r="Z528" s="94"/>
      <c r="AA528" s="94"/>
      <c r="AB528" s="94"/>
      <c r="AC528" s="94"/>
      <c r="AD528" s="94"/>
      <c r="AE528" s="94"/>
      <c r="AF528" s="94"/>
      <c r="AG528" s="94"/>
      <c r="AH528" s="94"/>
      <c r="AI528" s="94"/>
      <c r="AJ528" s="94"/>
      <c r="AK528" s="94"/>
      <c r="AL528" s="94"/>
    </row>
    <row r="529" hidden="1">
      <c r="A529" s="86" t="s">
        <v>1540</v>
      </c>
      <c r="B529" s="95" t="str">
        <f t="shared" si="494"/>
        <v>Pregunta</v>
      </c>
      <c r="C529" s="106" t="str">
        <f t="shared" si="9"/>
        <v>2.</v>
      </c>
      <c r="D529" s="106" t="str">
        <f t="shared" si="10"/>
        <v>Prevención de errores</v>
      </c>
      <c r="E529" s="106" t="str">
        <f t="shared" si="11"/>
        <v>Eliminación de las condiciones del sistema que confundan o induzcan a errores a las personas usuarias. Es clave verificarlas, ofrecer ejemplos y presentar una opción de confirmación antes de comprometerse con una acción.</v>
      </c>
      <c r="F529" s="141" t="str">
        <f t="shared" si="3"/>
        <v>2.2</v>
      </c>
      <c r="G529" s="92" t="str">
        <f t="shared" si="4"/>
        <v>ESPERABLES</v>
      </c>
      <c r="H529" s="141"/>
      <c r="I529" s="141" t="str">
        <f t="shared" si="5"/>
        <v/>
      </c>
      <c r="J529" s="98" t="str">
        <f t="shared" si="6"/>
        <v/>
      </c>
      <c r="K529" s="98" t="str">
        <f t="shared" si="7"/>
        <v/>
      </c>
      <c r="L529" s="141" t="str">
        <f t="shared" ref="L529:N529" si="535">IF(I529="",L528,I529)</f>
        <v>2.2.1</v>
      </c>
      <c r="M529" s="98" t="str">
        <f t="shared" si="535"/>
        <v>Prevención de errores</v>
      </c>
      <c r="N529" s="98" t="str">
        <f t="shared" si="535"/>
        <v>Eliminación de las condiciones de la interfaz que induzcan a error en las personas usuarias. Los buenos mensajes de error son importantes, pero los mejores diseños evitan que los problemas ocurran.</v>
      </c>
      <c r="O529" s="142"/>
      <c r="P529" s="200"/>
      <c r="Q529" s="143"/>
      <c r="R529" s="174"/>
      <c r="S529" s="143" t="s">
        <v>1566</v>
      </c>
      <c r="T529" s="164" t="s">
        <v>2033</v>
      </c>
      <c r="U529" s="94"/>
      <c r="V529" s="94"/>
      <c r="W529" s="94"/>
      <c r="X529" s="94"/>
      <c r="Y529" s="94"/>
      <c r="Z529" s="94"/>
      <c r="AA529" s="94"/>
      <c r="AB529" s="94"/>
      <c r="AC529" s="94"/>
      <c r="AD529" s="94"/>
      <c r="AE529" s="94"/>
      <c r="AF529" s="94"/>
      <c r="AG529" s="94"/>
      <c r="AH529" s="94"/>
      <c r="AI529" s="94"/>
      <c r="AJ529" s="94"/>
      <c r="AK529" s="94"/>
      <c r="AL529" s="94"/>
    </row>
    <row r="530" hidden="1">
      <c r="A530" s="86" t="s">
        <v>1540</v>
      </c>
      <c r="B530" s="201" t="str">
        <f t="shared" si="494"/>
        <v>Otro</v>
      </c>
      <c r="C530" s="106" t="str">
        <f t="shared" si="9"/>
        <v>3.</v>
      </c>
      <c r="D530" s="106" t="str">
        <f t="shared" si="10"/>
        <v>Accesibilidad web</v>
      </c>
      <c r="E530" s="106"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530" s="141" t="str">
        <f t="shared" si="3"/>
        <v>2.2</v>
      </c>
      <c r="G530" s="92" t="str">
        <f t="shared" si="4"/>
        <v>ESPERABLES</v>
      </c>
      <c r="H530" s="109"/>
      <c r="I530" s="109" t="str">
        <f t="shared" si="5"/>
        <v/>
      </c>
      <c r="J530" s="98" t="str">
        <f t="shared" si="6"/>
        <v/>
      </c>
      <c r="K530" s="98" t="str">
        <f t="shared" si="7"/>
        <v/>
      </c>
      <c r="L530" s="141" t="str">
        <f t="shared" ref="L530:N530" si="536">IF(I530="",L529,I530)</f>
        <v>2.2.1</v>
      </c>
      <c r="M530" s="98" t="str">
        <f t="shared" si="536"/>
        <v>Prevención de errores</v>
      </c>
      <c r="N530" s="98" t="str">
        <f t="shared" si="536"/>
        <v>Eliminación de las condiciones de la interfaz que induzcan a error en las personas usuarias. Los buenos mensajes de error son importantes, pero los mejores diseños evitan que los problemas ocurran.</v>
      </c>
      <c r="O530" s="117" t="s">
        <v>23</v>
      </c>
      <c r="P530" s="112" t="s">
        <v>24</v>
      </c>
      <c r="Q530" s="119"/>
      <c r="R530" s="114"/>
      <c r="S530" s="115" t="s">
        <v>2175</v>
      </c>
      <c r="T530" s="116" t="s">
        <v>2161</v>
      </c>
      <c r="U530" s="94"/>
      <c r="V530" s="94"/>
      <c r="W530" s="94"/>
      <c r="X530" s="94"/>
      <c r="Y530" s="94"/>
      <c r="Z530" s="94"/>
      <c r="AA530" s="94"/>
      <c r="AB530" s="94"/>
      <c r="AC530" s="94"/>
      <c r="AD530" s="94"/>
      <c r="AE530" s="94"/>
      <c r="AF530" s="94"/>
      <c r="AG530" s="94"/>
      <c r="AH530" s="94"/>
      <c r="AI530" s="94"/>
      <c r="AJ530" s="94"/>
      <c r="AK530" s="94"/>
      <c r="AL530" s="94"/>
    </row>
    <row r="531" hidden="1">
      <c r="A531" s="86" t="s">
        <v>1540</v>
      </c>
      <c r="B531" s="201" t="str">
        <f t="shared" si="494"/>
        <v>Otro</v>
      </c>
      <c r="C531" s="106" t="str">
        <f t="shared" si="9"/>
        <v>3.</v>
      </c>
      <c r="D531" s="106" t="str">
        <f t="shared" si="10"/>
        <v>Accesibilidad web</v>
      </c>
      <c r="E531" s="106"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531" s="141" t="str">
        <f t="shared" si="3"/>
        <v>2.2</v>
      </c>
      <c r="G531" s="92" t="str">
        <f t="shared" si="4"/>
        <v>ESPERABLES</v>
      </c>
      <c r="H531" s="109"/>
      <c r="I531" s="109" t="str">
        <f t="shared" si="5"/>
        <v/>
      </c>
      <c r="J531" s="98" t="str">
        <f t="shared" si="6"/>
        <v/>
      </c>
      <c r="K531" s="98" t="str">
        <f t="shared" si="7"/>
        <v/>
      </c>
      <c r="L531" s="141" t="str">
        <f t="shared" ref="L531:N531" si="537">IF(I531="",L530,I531)</f>
        <v>2.2.1</v>
      </c>
      <c r="M531" s="98" t="str">
        <f t="shared" si="537"/>
        <v>Prevención de errores</v>
      </c>
      <c r="N531" s="98" t="str">
        <f t="shared" si="537"/>
        <v>Eliminación de las condiciones de la interfaz que induzcan a error en las personas usuarias. Los buenos mensajes de error son importantes, pero los mejores diseños evitan que los problemas ocurran.</v>
      </c>
      <c r="O531" s="117"/>
      <c r="P531" s="118"/>
      <c r="Q531" s="119"/>
      <c r="R531" s="114"/>
      <c r="S531" s="239"/>
      <c r="T531" s="116" t="s">
        <v>19</v>
      </c>
      <c r="U531" s="94"/>
      <c r="V531" s="94"/>
      <c r="W531" s="94"/>
      <c r="X531" s="94"/>
      <c r="Y531" s="94"/>
      <c r="Z531" s="94"/>
      <c r="AA531" s="94"/>
      <c r="AB531" s="94"/>
      <c r="AC531" s="94"/>
      <c r="AD531" s="94"/>
      <c r="AE531" s="94"/>
      <c r="AF531" s="94"/>
      <c r="AG531" s="94"/>
      <c r="AH531" s="94"/>
      <c r="AI531" s="94"/>
      <c r="AJ531" s="94"/>
      <c r="AK531" s="94"/>
      <c r="AL531" s="94"/>
    </row>
    <row r="532" hidden="1">
      <c r="A532" s="86" t="s">
        <v>1540</v>
      </c>
      <c r="B532" s="201" t="str">
        <f t="shared" si="494"/>
        <v>Otro</v>
      </c>
      <c r="C532" s="106" t="str">
        <f t="shared" si="9"/>
        <v>3.</v>
      </c>
      <c r="D532" s="106" t="str">
        <f t="shared" si="10"/>
        <v>Accesibilidad web</v>
      </c>
      <c r="E532" s="106"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532" s="141" t="str">
        <f t="shared" si="3"/>
        <v>2.2</v>
      </c>
      <c r="G532" s="92" t="str">
        <f t="shared" si="4"/>
        <v>ESPERABLES</v>
      </c>
      <c r="H532" s="109"/>
      <c r="I532" s="109" t="str">
        <f t="shared" si="5"/>
        <v/>
      </c>
      <c r="J532" s="98" t="str">
        <f t="shared" si="6"/>
        <v/>
      </c>
      <c r="K532" s="98" t="str">
        <f t="shared" si="7"/>
        <v/>
      </c>
      <c r="L532" s="141" t="str">
        <f t="shared" ref="L532:N532" si="538">IF(I532="",L531,I532)</f>
        <v>2.2.1</v>
      </c>
      <c r="M532" s="98" t="str">
        <f t="shared" si="538"/>
        <v>Prevención de errores</v>
      </c>
      <c r="N532" s="98" t="str">
        <f t="shared" si="538"/>
        <v>Eliminación de las condiciones de la interfaz que induzcan a error en las personas usuarias. Los buenos mensajes de error son importantes, pero los mejores diseños evitan que los problemas ocurran.</v>
      </c>
      <c r="O532" s="121"/>
      <c r="P532" s="122"/>
      <c r="Q532" s="123"/>
      <c r="R532" s="114"/>
      <c r="S532" s="240"/>
      <c r="T532" s="116" t="s">
        <v>22</v>
      </c>
      <c r="U532" s="94"/>
      <c r="V532" s="94"/>
      <c r="W532" s="94"/>
      <c r="X532" s="94"/>
      <c r="Y532" s="94"/>
      <c r="Z532" s="94"/>
      <c r="AA532" s="94"/>
      <c r="AB532" s="94"/>
      <c r="AC532" s="94"/>
      <c r="AD532" s="94"/>
      <c r="AE532" s="94"/>
      <c r="AF532" s="94"/>
      <c r="AG532" s="94"/>
      <c r="AH532" s="94"/>
      <c r="AI532" s="94"/>
      <c r="AJ532" s="94"/>
      <c r="AK532" s="94"/>
      <c r="AL532" s="94"/>
    </row>
    <row r="533" hidden="1">
      <c r="A533" s="86" t="s">
        <v>1540</v>
      </c>
      <c r="B533" s="201" t="str">
        <f t="shared" si="494"/>
        <v>Otro</v>
      </c>
      <c r="C533" s="106" t="str">
        <f t="shared" si="9"/>
        <v>3.</v>
      </c>
      <c r="D533" s="106" t="str">
        <f t="shared" si="10"/>
        <v>Accesibilidad web</v>
      </c>
      <c r="E533" s="106"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533" s="141" t="str">
        <f t="shared" si="3"/>
        <v>2.2</v>
      </c>
      <c r="G533" s="92" t="str">
        <f t="shared" si="4"/>
        <v>ESPERABLES</v>
      </c>
      <c r="H533" s="125"/>
      <c r="I533" s="125" t="str">
        <f t="shared" si="5"/>
        <v/>
      </c>
      <c r="J533" s="98" t="str">
        <f t="shared" si="6"/>
        <v/>
      </c>
      <c r="K533" s="98" t="str">
        <f t="shared" si="7"/>
        <v/>
      </c>
      <c r="L533" s="141" t="str">
        <f t="shared" ref="L533:N533" si="539">IF(I533="",L532,I533)</f>
        <v>2.2.1</v>
      </c>
      <c r="M533" s="98" t="str">
        <f t="shared" si="539"/>
        <v>Prevención de errores</v>
      </c>
      <c r="N533" s="98" t="str">
        <f t="shared" si="539"/>
        <v>Eliminación de las condiciones de la interfaz que induzcan a error en las personas usuarias. Los buenos mensajes de error son importantes, pero los mejores diseños evitan que los problemas ocurran.</v>
      </c>
      <c r="O533" s="126"/>
      <c r="P533" s="114"/>
      <c r="Q533" s="114"/>
      <c r="R533" s="127"/>
      <c r="S533" s="127"/>
      <c r="T533" s="127"/>
      <c r="U533" s="94"/>
      <c r="V533" s="94"/>
      <c r="W533" s="94"/>
      <c r="X533" s="94"/>
      <c r="Y533" s="94"/>
      <c r="Z533" s="94"/>
      <c r="AA533" s="94"/>
      <c r="AB533" s="94"/>
      <c r="AC533" s="94"/>
      <c r="AD533" s="94"/>
      <c r="AE533" s="94"/>
      <c r="AF533" s="94"/>
      <c r="AG533" s="94"/>
      <c r="AH533" s="94"/>
      <c r="AI533" s="94"/>
      <c r="AJ533" s="94"/>
      <c r="AK533" s="94"/>
      <c r="AL533" s="94"/>
    </row>
    <row r="534" hidden="1">
      <c r="A534" s="86" t="s">
        <v>1540</v>
      </c>
      <c r="B534" s="95" t="str">
        <f t="shared" si="494"/>
        <v>Otro</v>
      </c>
      <c r="C534" s="106" t="str">
        <f t="shared" si="9"/>
        <v>3.</v>
      </c>
      <c r="D534" s="106" t="str">
        <f t="shared" si="10"/>
        <v>Accesibilidad web</v>
      </c>
      <c r="E534" s="106"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534" s="141" t="str">
        <f t="shared" si="3"/>
        <v>2.2</v>
      </c>
      <c r="G534" s="92" t="str">
        <f t="shared" si="4"/>
        <v>ESPERABLES</v>
      </c>
      <c r="H534" s="130"/>
      <c r="I534" s="130" t="str">
        <f t="shared" si="5"/>
        <v/>
      </c>
      <c r="J534" s="98" t="str">
        <f t="shared" si="6"/>
        <v/>
      </c>
      <c r="K534" s="98" t="str">
        <f t="shared" si="7"/>
        <v/>
      </c>
      <c r="L534" s="141" t="str">
        <f t="shared" ref="L534:N534" si="540">IF(I534="",L533,I534)</f>
        <v>2.2.1</v>
      </c>
      <c r="M534" s="98" t="str">
        <f t="shared" si="540"/>
        <v>Prevención de errores</v>
      </c>
      <c r="N534" s="98" t="str">
        <f t="shared" si="540"/>
        <v>Eliminación de las condiciones de la interfaz que induzcan a error en las personas usuarias. Los buenos mensajes de error son importantes, pero los mejores diseños evitan que los problemas ocurran.</v>
      </c>
      <c r="O534" s="132" t="s">
        <v>1822</v>
      </c>
      <c r="P534" s="133" t="s">
        <v>1823</v>
      </c>
      <c r="Q534" s="133" t="s">
        <v>2031</v>
      </c>
      <c r="R534" s="134"/>
      <c r="S534" s="133" t="s">
        <v>1824</v>
      </c>
      <c r="T534" s="133" t="s">
        <v>1825</v>
      </c>
      <c r="U534" s="94"/>
      <c r="V534" s="94"/>
      <c r="W534" s="94"/>
      <c r="X534" s="94"/>
      <c r="Y534" s="94"/>
      <c r="Z534" s="94"/>
      <c r="AA534" s="94"/>
      <c r="AB534" s="94"/>
      <c r="AC534" s="94"/>
      <c r="AD534" s="94"/>
      <c r="AE534" s="94"/>
      <c r="AF534" s="94"/>
      <c r="AG534" s="94"/>
      <c r="AH534" s="94"/>
      <c r="AI534" s="94"/>
      <c r="AJ534" s="94"/>
      <c r="AK534" s="94"/>
      <c r="AL534" s="94"/>
    </row>
    <row r="535" hidden="1">
      <c r="A535" s="86" t="s">
        <v>1540</v>
      </c>
      <c r="B535" s="95" t="str">
        <f t="shared" si="494"/>
        <v>Otro</v>
      </c>
      <c r="C535" s="106" t="str">
        <f t="shared" si="9"/>
        <v>3.</v>
      </c>
      <c r="D535" s="106" t="str">
        <f t="shared" si="10"/>
        <v>Accesibilidad web</v>
      </c>
      <c r="E535" s="106"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535" s="204">
        <f t="shared" si="3"/>
        <v>45294</v>
      </c>
      <c r="G535" s="92" t="str">
        <f t="shared" si="4"/>
        <v>IMPRESCINDIBLES</v>
      </c>
      <c r="H535" s="204"/>
      <c r="I535" s="204" t="str">
        <f t="shared" si="5"/>
        <v/>
      </c>
      <c r="J535" s="98" t="str">
        <f t="shared" si="6"/>
        <v/>
      </c>
      <c r="K535" s="98" t="str">
        <f t="shared" si="7"/>
        <v/>
      </c>
      <c r="L535" s="141" t="str">
        <f t="shared" ref="L535:N535" si="541">IF(I535="",L534,I535)</f>
        <v>2.2.1</v>
      </c>
      <c r="M535" s="98" t="str">
        <f t="shared" si="541"/>
        <v>Prevención de errores</v>
      </c>
      <c r="N535" s="98" t="str">
        <f t="shared" si="541"/>
        <v>Eliminación de las condiciones de la interfaz que induzcan a error en las personas usuarias. Los buenos mensajes de error son importantes, pero los mejores diseños evitan que los problemas ocurran.</v>
      </c>
      <c r="O535" s="205">
        <v>45294.0</v>
      </c>
      <c r="P535" s="206" t="s">
        <v>664</v>
      </c>
      <c r="Q535" s="200"/>
      <c r="R535" s="138"/>
      <c r="S535" s="324">
        <f>COUNTA(P536:P545)</f>
        <v>7</v>
      </c>
      <c r="T535" s="325">
        <f>COUNTIF(U536:U545,"n/a")</f>
        <v>0</v>
      </c>
      <c r="U535" s="94"/>
      <c r="V535" s="94"/>
      <c r="W535" s="94"/>
      <c r="X535" s="94"/>
      <c r="Y535" s="94"/>
      <c r="Z535" s="94"/>
      <c r="AA535" s="94"/>
      <c r="AB535" s="94"/>
      <c r="AC535" s="94"/>
      <c r="AD535" s="94"/>
      <c r="AE535" s="94"/>
      <c r="AF535" s="94"/>
      <c r="AG535" s="94"/>
      <c r="AH535" s="94"/>
      <c r="AI535" s="94"/>
      <c r="AJ535" s="94"/>
      <c r="AK535" s="94"/>
      <c r="AL535" s="94"/>
    </row>
    <row r="536" hidden="1">
      <c r="A536" s="105" t="s">
        <v>1540</v>
      </c>
      <c r="B536" s="92" t="str">
        <f t="shared" si="494"/>
        <v>Pregunta</v>
      </c>
      <c r="C536" s="106" t="str">
        <f t="shared" si="9"/>
        <v>3.</v>
      </c>
      <c r="D536" s="106" t="str">
        <f t="shared" si="10"/>
        <v>Accesibilidad web</v>
      </c>
      <c r="E536" s="106"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536" s="204">
        <f t="shared" si="3"/>
        <v>45294</v>
      </c>
      <c r="G536" s="92" t="str">
        <f t="shared" si="4"/>
        <v>IMPRESCINDIBLES</v>
      </c>
      <c r="H536" s="141"/>
      <c r="I536" s="141" t="str">
        <f t="shared" si="5"/>
        <v>3.1.1</v>
      </c>
      <c r="J536" s="98" t="str">
        <f t="shared" si="6"/>
        <v>Navegación por teclado</v>
      </c>
      <c r="K536" s="98" t="str">
        <f t="shared" si="7"/>
        <v>Orden lógico y fluido al navegar el sitio web con el teclado en que se respeta el sentido de izquierda a derecha, de arriba hacia abajo, y sin una determinada velocidad de pulsación.</v>
      </c>
      <c r="L536" s="141" t="str">
        <f t="shared" ref="L536:N536" si="542">IF(I536="",L535,I536)</f>
        <v>3.1.1</v>
      </c>
      <c r="M536" s="98" t="str">
        <f t="shared" si="542"/>
        <v>Navegación por teclado</v>
      </c>
      <c r="N536" s="98" t="str">
        <f t="shared" si="542"/>
        <v>Orden lógico y fluido al navegar el sitio web con el teclado en que se respeta el sentido de izquierda a derecha, de arriba hacia abajo, y sin una determinada velocidad de pulsación.</v>
      </c>
      <c r="O536" s="147" t="s">
        <v>812</v>
      </c>
      <c r="P536" s="148" t="s">
        <v>822</v>
      </c>
      <c r="Q536" s="148" t="s">
        <v>823</v>
      </c>
      <c r="R536" s="158"/>
      <c r="S536" s="159" t="s">
        <v>2176</v>
      </c>
      <c r="T536" s="160" t="s">
        <v>2033</v>
      </c>
      <c r="U536" s="94"/>
      <c r="V536" s="94"/>
      <c r="W536" s="94"/>
      <c r="X536" s="94"/>
      <c r="Y536" s="94"/>
      <c r="Z536" s="94"/>
      <c r="AA536" s="94"/>
      <c r="AB536" s="94"/>
      <c r="AC536" s="94"/>
      <c r="AD536" s="94"/>
      <c r="AE536" s="94"/>
      <c r="AF536" s="94"/>
      <c r="AG536" s="94"/>
      <c r="AH536" s="94"/>
      <c r="AI536" s="94"/>
      <c r="AJ536" s="94"/>
      <c r="AK536" s="94"/>
      <c r="AL536" s="94"/>
    </row>
    <row r="537" hidden="1">
      <c r="A537" s="86" t="s">
        <v>1540</v>
      </c>
      <c r="B537" s="95" t="str">
        <f t="shared" si="494"/>
        <v>Pregunta</v>
      </c>
      <c r="C537" s="106" t="str">
        <f t="shared" si="9"/>
        <v>3.</v>
      </c>
      <c r="D537" s="106" t="str">
        <f t="shared" si="10"/>
        <v>Accesibilidad web</v>
      </c>
      <c r="E537" s="106"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537" s="204">
        <f t="shared" si="3"/>
        <v>45294</v>
      </c>
      <c r="G537" s="92" t="str">
        <f t="shared" si="4"/>
        <v>IMPRESCINDIBLES</v>
      </c>
      <c r="H537" s="141"/>
      <c r="I537" s="141" t="str">
        <f t="shared" si="5"/>
        <v/>
      </c>
      <c r="J537" s="98" t="str">
        <f t="shared" si="6"/>
        <v/>
      </c>
      <c r="K537" s="98" t="str">
        <f t="shared" si="7"/>
        <v/>
      </c>
      <c r="L537" s="141" t="str">
        <f t="shared" ref="L537:N537" si="543">IF(I537="",L536,I537)</f>
        <v>3.1.1</v>
      </c>
      <c r="M537" s="98" t="str">
        <f t="shared" si="543"/>
        <v>Navegación por teclado</v>
      </c>
      <c r="N537" s="98" t="str">
        <f t="shared" si="543"/>
        <v>Orden lógico y fluido al navegar el sitio web con el teclado en que se respeta el sentido de izquierda a derecha, de arriba hacia abajo, y sin una determinada velocidad de pulsación.</v>
      </c>
      <c r="O537" s="152"/>
      <c r="P537" s="153"/>
      <c r="Q537" s="153"/>
      <c r="R537" s="161"/>
      <c r="S537" s="162" t="s">
        <v>825</v>
      </c>
      <c r="T537" s="160" t="s">
        <v>2033</v>
      </c>
      <c r="U537" s="94"/>
      <c r="V537" s="94"/>
      <c r="W537" s="94"/>
      <c r="X537" s="94"/>
      <c r="Y537" s="94"/>
      <c r="Z537" s="94"/>
      <c r="AA537" s="94"/>
      <c r="AB537" s="94"/>
      <c r="AC537" s="94"/>
      <c r="AD537" s="94"/>
      <c r="AE537" s="94"/>
      <c r="AF537" s="94"/>
      <c r="AG537" s="94"/>
      <c r="AH537" s="94"/>
      <c r="AI537" s="94"/>
      <c r="AJ537" s="94"/>
      <c r="AK537" s="94"/>
      <c r="AL537" s="94"/>
    </row>
    <row r="538" hidden="1">
      <c r="A538" s="86" t="s">
        <v>1540</v>
      </c>
      <c r="B538" s="95" t="str">
        <f t="shared" si="494"/>
        <v>Pregunta</v>
      </c>
      <c r="C538" s="106" t="str">
        <f t="shared" si="9"/>
        <v>3.</v>
      </c>
      <c r="D538" s="106" t="str">
        <f t="shared" si="10"/>
        <v>Accesibilidad web</v>
      </c>
      <c r="E538" s="106"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538" s="204">
        <f t="shared" si="3"/>
        <v>45294</v>
      </c>
      <c r="G538" s="92" t="str">
        <f t="shared" si="4"/>
        <v>IMPRESCINDIBLES</v>
      </c>
      <c r="H538" s="141"/>
      <c r="I538" s="141" t="str">
        <f t="shared" si="5"/>
        <v/>
      </c>
      <c r="J538" s="98" t="str">
        <f t="shared" si="6"/>
        <v/>
      </c>
      <c r="K538" s="98" t="str">
        <f t="shared" si="7"/>
        <v/>
      </c>
      <c r="L538" s="141" t="str">
        <f t="shared" ref="L538:N538" si="544">IF(I538="",L537,I538)</f>
        <v>3.1.1</v>
      </c>
      <c r="M538" s="98" t="str">
        <f t="shared" si="544"/>
        <v>Navegación por teclado</v>
      </c>
      <c r="N538" s="98" t="str">
        <f t="shared" si="544"/>
        <v>Orden lógico y fluido al navegar el sitio web con el teclado en que se respeta el sentido de izquierda a derecha, de arriba hacia abajo, y sin una determinada velocidad de pulsación.</v>
      </c>
      <c r="O538" s="142"/>
      <c r="P538" s="143"/>
      <c r="Q538" s="143"/>
      <c r="R538" s="171"/>
      <c r="S538" s="169" t="s">
        <v>1568</v>
      </c>
      <c r="T538" s="164" t="s">
        <v>2033</v>
      </c>
      <c r="U538" s="94"/>
      <c r="V538" s="94"/>
      <c r="W538" s="94"/>
      <c r="X538" s="94"/>
      <c r="Y538" s="94"/>
      <c r="Z538" s="94"/>
      <c r="AA538" s="94"/>
      <c r="AB538" s="94"/>
      <c r="AC538" s="94"/>
      <c r="AD538" s="94"/>
      <c r="AE538" s="94"/>
      <c r="AF538" s="94"/>
      <c r="AG538" s="94"/>
      <c r="AH538" s="94"/>
      <c r="AI538" s="94"/>
      <c r="AJ538" s="94"/>
      <c r="AK538" s="94"/>
      <c r="AL538" s="94"/>
    </row>
    <row r="539" hidden="1">
      <c r="A539" s="105" t="s">
        <v>1540</v>
      </c>
      <c r="B539" s="92" t="str">
        <f t="shared" si="494"/>
        <v>Pregunta</v>
      </c>
      <c r="C539" s="106" t="str">
        <f t="shared" si="9"/>
        <v>3.</v>
      </c>
      <c r="D539" s="106" t="str">
        <f t="shared" si="10"/>
        <v>Accesibilidad web</v>
      </c>
      <c r="E539" s="106"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539" s="204">
        <f t="shared" si="3"/>
        <v>45294</v>
      </c>
      <c r="G539" s="92" t="str">
        <f t="shared" si="4"/>
        <v>IMPRESCINDIBLES</v>
      </c>
      <c r="H539" s="141"/>
      <c r="I539" s="141" t="str">
        <f t="shared" si="5"/>
        <v>3.1.2</v>
      </c>
      <c r="J539" s="98" t="str">
        <f t="shared" si="6"/>
        <v>Color como único medio de información</v>
      </c>
      <c r="K539" s="98" t="str">
        <f t="shared" si="7"/>
        <v>Precaución de no entregar instrucciones o información utilizando el color como único medio de significado.
</v>
      </c>
      <c r="L539" s="141" t="str">
        <f t="shared" ref="L539:N539" si="545">IF(I539="",L538,I539)</f>
        <v>3.1.2</v>
      </c>
      <c r="M539" s="98" t="str">
        <f t="shared" si="545"/>
        <v>Color como único medio de información</v>
      </c>
      <c r="N539" s="98" t="str">
        <f t="shared" si="545"/>
        <v>Precaución de no entregar instrucciones o información utilizando el color como único medio de significado.
</v>
      </c>
      <c r="O539" s="165" t="s">
        <v>817</v>
      </c>
      <c r="P539" s="166" t="s">
        <v>1569</v>
      </c>
      <c r="Q539" s="166" t="s">
        <v>1570</v>
      </c>
      <c r="R539" s="211"/>
      <c r="S539" s="166" t="s">
        <v>1571</v>
      </c>
      <c r="T539" s="164" t="s">
        <v>2033</v>
      </c>
      <c r="U539" s="94"/>
      <c r="V539" s="94"/>
      <c r="W539" s="94"/>
      <c r="X539" s="94"/>
      <c r="Y539" s="94"/>
      <c r="Z539" s="94"/>
      <c r="AA539" s="94"/>
      <c r="AB539" s="94"/>
      <c r="AC539" s="94"/>
      <c r="AD539" s="94"/>
      <c r="AE539" s="94"/>
      <c r="AF539" s="94"/>
      <c r="AG539" s="94"/>
      <c r="AH539" s="94"/>
      <c r="AI539" s="94"/>
      <c r="AJ539" s="94"/>
      <c r="AK539" s="94"/>
      <c r="AL539" s="94"/>
    </row>
    <row r="540" hidden="1">
      <c r="A540" s="105" t="s">
        <v>1540</v>
      </c>
      <c r="B540" s="92" t="str">
        <f t="shared" si="494"/>
        <v>Pregunta</v>
      </c>
      <c r="C540" s="106" t="str">
        <f t="shared" si="9"/>
        <v>3.</v>
      </c>
      <c r="D540" s="106" t="str">
        <f t="shared" si="10"/>
        <v>Accesibilidad web</v>
      </c>
      <c r="E540" s="106"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540" s="204">
        <f t="shared" si="3"/>
        <v>45294</v>
      </c>
      <c r="G540" s="92" t="str">
        <f t="shared" si="4"/>
        <v>IMPRESCINDIBLES</v>
      </c>
      <c r="H540" s="141"/>
      <c r="I540" s="141" t="str">
        <f t="shared" si="5"/>
        <v>3.1.3</v>
      </c>
      <c r="J540" s="98" t="str">
        <f t="shared" si="6"/>
        <v>Ajuste del tamaño de la fuente</v>
      </c>
      <c r="K540" s="98" t="str">
        <f t="shared" si="7"/>
        <v>Posibilidad de agrandar el texto del sitio web en hasta un 200% cuidando de que se mantenga el diseño y no se pierda funcionalidad en el sitio web.
</v>
      </c>
      <c r="L540" s="141" t="str">
        <f t="shared" ref="L540:N540" si="546">IF(I540="",L539,I540)</f>
        <v>3.1.3</v>
      </c>
      <c r="M540" s="98" t="str">
        <f t="shared" si="546"/>
        <v>Ajuste del tamaño de la fuente</v>
      </c>
      <c r="N540" s="98" t="str">
        <f t="shared" si="546"/>
        <v>Posibilidad de agrandar el texto del sitio web en hasta un 200% cuidando de que se mantenga el diseño y no se pierda funcionalidad en el sitio web.
</v>
      </c>
      <c r="O540" s="147" t="s">
        <v>821</v>
      </c>
      <c r="P540" s="148" t="s">
        <v>828</v>
      </c>
      <c r="Q540" s="148" t="s">
        <v>1572</v>
      </c>
      <c r="R540" s="158"/>
      <c r="S540" s="150" t="s">
        <v>830</v>
      </c>
      <c r="T540" s="160" t="s">
        <v>2033</v>
      </c>
      <c r="U540" s="94"/>
      <c r="V540" s="94"/>
      <c r="W540" s="94"/>
      <c r="X540" s="94"/>
      <c r="Y540" s="94"/>
      <c r="Z540" s="94"/>
      <c r="AA540" s="94"/>
      <c r="AB540" s="94"/>
      <c r="AC540" s="94"/>
      <c r="AD540" s="94"/>
      <c r="AE540" s="94"/>
      <c r="AF540" s="94"/>
      <c r="AG540" s="94"/>
      <c r="AH540" s="94"/>
      <c r="AI540" s="94"/>
      <c r="AJ540" s="94"/>
      <c r="AK540" s="94"/>
      <c r="AL540" s="94"/>
    </row>
    <row r="541" hidden="1">
      <c r="A541" s="86" t="s">
        <v>1540</v>
      </c>
      <c r="B541" s="95" t="str">
        <f t="shared" si="494"/>
        <v>Pregunta</v>
      </c>
      <c r="C541" s="106" t="str">
        <f t="shared" si="9"/>
        <v>3.</v>
      </c>
      <c r="D541" s="106" t="str">
        <f t="shared" si="10"/>
        <v>Accesibilidad web</v>
      </c>
      <c r="E541" s="106"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541" s="204">
        <f t="shared" si="3"/>
        <v>45294</v>
      </c>
      <c r="G541" s="92" t="str">
        <f t="shared" si="4"/>
        <v>IMPRESCINDIBLES</v>
      </c>
      <c r="H541" s="141"/>
      <c r="I541" s="141" t="str">
        <f t="shared" si="5"/>
        <v/>
      </c>
      <c r="J541" s="98" t="str">
        <f t="shared" si="6"/>
        <v/>
      </c>
      <c r="K541" s="98" t="str">
        <f t="shared" si="7"/>
        <v/>
      </c>
      <c r="L541" s="141" t="str">
        <f t="shared" ref="L541:N541" si="547">IF(I541="",L540,I541)</f>
        <v>3.1.3</v>
      </c>
      <c r="M541" s="98" t="str">
        <f t="shared" si="547"/>
        <v>Ajuste del tamaño de la fuente</v>
      </c>
      <c r="N541" s="98" t="str">
        <f t="shared" si="547"/>
        <v>Posibilidad de agrandar el texto del sitio web en hasta un 200% cuidando de que se mantenga el diseño y no se pierda funcionalidad en el sitio web.
</v>
      </c>
      <c r="O541" s="142"/>
      <c r="P541" s="143"/>
      <c r="Q541" s="143"/>
      <c r="R541" s="168"/>
      <c r="S541" s="169" t="s">
        <v>831</v>
      </c>
      <c r="T541" s="164" t="s">
        <v>2033</v>
      </c>
      <c r="U541" s="94"/>
      <c r="V541" s="94"/>
      <c r="W541" s="94"/>
      <c r="X541" s="94"/>
      <c r="Y541" s="94"/>
      <c r="Z541" s="94"/>
      <c r="AA541" s="94"/>
      <c r="AB541" s="94"/>
      <c r="AC541" s="94"/>
      <c r="AD541" s="94"/>
      <c r="AE541" s="94"/>
      <c r="AF541" s="94"/>
      <c r="AG541" s="94"/>
      <c r="AH541" s="94"/>
      <c r="AI541" s="94"/>
      <c r="AJ541" s="94"/>
      <c r="AK541" s="94"/>
      <c r="AL541" s="94"/>
    </row>
    <row r="542" hidden="1">
      <c r="A542" s="105" t="s">
        <v>1540</v>
      </c>
      <c r="B542" s="92" t="str">
        <f t="shared" si="494"/>
        <v>Pregunta</v>
      </c>
      <c r="C542" s="106" t="str">
        <f t="shared" si="9"/>
        <v>3.</v>
      </c>
      <c r="D542" s="106" t="str">
        <f t="shared" si="10"/>
        <v>Accesibilidad web</v>
      </c>
      <c r="E542" s="106"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542" s="204">
        <f t="shared" si="3"/>
        <v>45294</v>
      </c>
      <c r="G542" s="92" t="str">
        <f t="shared" si="4"/>
        <v>IMPRESCINDIBLES</v>
      </c>
      <c r="H542" s="141"/>
      <c r="I542" s="141" t="str">
        <f t="shared" si="5"/>
        <v>3.1.4</v>
      </c>
      <c r="J542" s="98" t="str">
        <f t="shared" si="6"/>
        <v>Tiempo suficiente para realizar tareas</v>
      </c>
      <c r="K542" s="98" t="str">
        <f t="shared" si="7"/>
        <v>Precaución de establecer tiempos más holgados en las sesiones, para que las personas usuarias puedan completar una tarea como llenar un formulario sin cambios inesperados por límite de tiempo.
</v>
      </c>
      <c r="L542" s="141" t="str">
        <f t="shared" ref="L542:N542" si="548">IF(I542="",L541,I542)</f>
        <v>3.1.4</v>
      </c>
      <c r="M542" s="98" t="str">
        <f t="shared" si="548"/>
        <v>Tiempo suficiente para realizar tareas</v>
      </c>
      <c r="N542" s="98" t="str">
        <f t="shared" si="548"/>
        <v>Precaución de establecer tiempos más holgados en las sesiones, para que las personas usuarias puedan completar una tarea como llenar un formulario sin cambios inesperados por límite de tiempo.
</v>
      </c>
      <c r="O542" s="165" t="s">
        <v>827</v>
      </c>
      <c r="P542" s="166" t="s">
        <v>1573</v>
      </c>
      <c r="Q542" s="166" t="s">
        <v>1574</v>
      </c>
      <c r="R542" s="211"/>
      <c r="S542" s="166" t="s">
        <v>1575</v>
      </c>
      <c r="T542" s="164" t="s">
        <v>2033</v>
      </c>
      <c r="U542" s="94"/>
      <c r="V542" s="94"/>
      <c r="W542" s="94"/>
      <c r="X542" s="94"/>
      <c r="Y542" s="94"/>
      <c r="Z542" s="94"/>
      <c r="AA542" s="94"/>
      <c r="AB542" s="94"/>
      <c r="AC542" s="94"/>
      <c r="AD542" s="94"/>
      <c r="AE542" s="94"/>
      <c r="AF542" s="94"/>
      <c r="AG542" s="94"/>
      <c r="AH542" s="94"/>
      <c r="AI542" s="94"/>
      <c r="AJ542" s="94"/>
      <c r="AK542" s="94"/>
      <c r="AL542" s="94"/>
    </row>
    <row r="543" hidden="1">
      <c r="A543" s="105" t="s">
        <v>1540</v>
      </c>
      <c r="B543" s="92" t="str">
        <f t="shared" si="494"/>
        <v>Pregunta</v>
      </c>
      <c r="C543" s="106" t="str">
        <f t="shared" si="9"/>
        <v>3.</v>
      </c>
      <c r="D543" s="106" t="str">
        <f t="shared" si="10"/>
        <v>Accesibilidad web</v>
      </c>
      <c r="E543" s="106"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543" s="204">
        <f t="shared" si="3"/>
        <v>45294</v>
      </c>
      <c r="G543" s="92" t="str">
        <f t="shared" si="4"/>
        <v>IMPRESCINDIBLES</v>
      </c>
      <c r="H543" s="141"/>
      <c r="I543" s="141" t="str">
        <f t="shared" si="5"/>
        <v>3.1.5</v>
      </c>
      <c r="J543" s="98" t="str">
        <f t="shared" si="6"/>
        <v>Etiquetas en iconos</v>
      </c>
      <c r="K543" s="98" t="str">
        <f t="shared" si="7"/>
        <v>Soporte textual que explique la función de los iconos utilizados para ejecutar una acción.
</v>
      </c>
      <c r="L543" s="141" t="str">
        <f t="shared" ref="L543:N543" si="549">IF(I543="",L542,I543)</f>
        <v>3.1.5</v>
      </c>
      <c r="M543" s="98" t="str">
        <f t="shared" si="549"/>
        <v>Etiquetas en iconos</v>
      </c>
      <c r="N543" s="98" t="str">
        <f t="shared" si="549"/>
        <v>Soporte textual que explique la función de los iconos utilizados para ejecutar una acción.
</v>
      </c>
      <c r="O543" s="165" t="s">
        <v>832</v>
      </c>
      <c r="P543" s="166" t="s">
        <v>842</v>
      </c>
      <c r="Q543" s="166" t="s">
        <v>843</v>
      </c>
      <c r="R543" s="211"/>
      <c r="S543" s="166" t="s">
        <v>2177</v>
      </c>
      <c r="T543" s="164" t="s">
        <v>2033</v>
      </c>
      <c r="U543" s="94"/>
      <c r="V543" s="94"/>
      <c r="W543" s="94"/>
      <c r="X543" s="94"/>
      <c r="Y543" s="94"/>
      <c r="Z543" s="94"/>
      <c r="AA543" s="94"/>
      <c r="AB543" s="94"/>
      <c r="AC543" s="94"/>
      <c r="AD543" s="94"/>
      <c r="AE543" s="94"/>
      <c r="AF543" s="94"/>
      <c r="AG543" s="94"/>
      <c r="AH543" s="94"/>
      <c r="AI543" s="94"/>
      <c r="AJ543" s="94"/>
      <c r="AK543" s="94"/>
      <c r="AL543" s="94"/>
    </row>
    <row r="544" hidden="1">
      <c r="A544" s="105" t="s">
        <v>1540</v>
      </c>
      <c r="B544" s="92" t="str">
        <f t="shared" si="494"/>
        <v>Pregunta</v>
      </c>
      <c r="C544" s="106" t="str">
        <f t="shared" si="9"/>
        <v>3.</v>
      </c>
      <c r="D544" s="106" t="str">
        <f t="shared" si="10"/>
        <v>Accesibilidad web</v>
      </c>
      <c r="E544" s="106"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544" s="204">
        <f t="shared" si="3"/>
        <v>45294</v>
      </c>
      <c r="G544" s="92" t="str">
        <f t="shared" si="4"/>
        <v>IMPRESCINDIBLES</v>
      </c>
      <c r="H544" s="141"/>
      <c r="I544" s="141" t="str">
        <f t="shared" si="5"/>
        <v>3.1.6</v>
      </c>
      <c r="J544" s="98" t="str">
        <f t="shared" si="6"/>
        <v>Estructura de la interfaz</v>
      </c>
      <c r="K544" s="98" t="str">
        <f t="shared" si="7"/>
        <v>Identificación clara de las diferentes zonas de una página para que los software de lectura pueden identificar las estructuras y relaciones del contenido.
</v>
      </c>
      <c r="L544" s="141" t="str">
        <f t="shared" ref="L544:N544" si="550">IF(I544="",L543,I544)</f>
        <v>3.1.6</v>
      </c>
      <c r="M544" s="98" t="str">
        <f t="shared" si="550"/>
        <v>Estructura de la interfaz</v>
      </c>
      <c r="N544" s="98" t="str">
        <f t="shared" si="550"/>
        <v>Identificación clara de las diferentes zonas de una página para que los software de lectura pueden identificar las estructuras y relaciones del contenido.
</v>
      </c>
      <c r="O544" s="165" t="s">
        <v>837</v>
      </c>
      <c r="P544" s="166" t="s">
        <v>850</v>
      </c>
      <c r="Q544" s="166" t="s">
        <v>1576</v>
      </c>
      <c r="R544" s="211"/>
      <c r="S544" s="166" t="s">
        <v>1577</v>
      </c>
      <c r="T544" s="326" t="s">
        <v>2033</v>
      </c>
      <c r="U544" s="94"/>
      <c r="V544" s="94"/>
      <c r="W544" s="94"/>
      <c r="X544" s="94"/>
      <c r="Y544" s="94"/>
      <c r="Z544" s="94"/>
      <c r="AA544" s="94"/>
      <c r="AB544" s="94"/>
      <c r="AC544" s="94"/>
      <c r="AD544" s="94"/>
      <c r="AE544" s="94"/>
      <c r="AF544" s="94"/>
      <c r="AG544" s="94"/>
      <c r="AH544" s="94"/>
      <c r="AI544" s="94"/>
      <c r="AJ544" s="94"/>
      <c r="AK544" s="94"/>
      <c r="AL544" s="94"/>
    </row>
    <row r="545" hidden="1">
      <c r="A545" s="105" t="s">
        <v>1540</v>
      </c>
      <c r="B545" s="92" t="str">
        <f t="shared" si="494"/>
        <v>Pregunta</v>
      </c>
      <c r="C545" s="106" t="str">
        <f t="shared" si="9"/>
        <v>3.</v>
      </c>
      <c r="D545" s="106" t="str">
        <f t="shared" si="10"/>
        <v>Accesibilidad web</v>
      </c>
      <c r="E545" s="106"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545" s="204">
        <f t="shared" si="3"/>
        <v>45294</v>
      </c>
      <c r="G545" s="92" t="str">
        <f t="shared" si="4"/>
        <v>IMPRESCINDIBLES</v>
      </c>
      <c r="H545" s="141"/>
      <c r="I545" s="141" t="str">
        <f t="shared" si="5"/>
        <v>3.1.7</v>
      </c>
      <c r="J545" s="98" t="str">
        <f t="shared" si="6"/>
        <v>Contraste mínimo</v>
      </c>
      <c r="K545" s="98" t="str">
        <f t="shared" si="7"/>
        <v>Atención a los contrastes de color al diseñar la interfaz, los textos e imágenes de texto, que  deben tener un contraste mínimo de 4,5:1 entre el color de fondo y del texto o icono.
</v>
      </c>
      <c r="L545" s="141" t="str">
        <f t="shared" ref="L545:N545" si="551">IF(I545="",L544,I545)</f>
        <v>3.1.7</v>
      </c>
      <c r="M545" s="98" t="str">
        <f t="shared" si="551"/>
        <v>Contraste mínimo</v>
      </c>
      <c r="N545" s="98" t="str">
        <f t="shared" si="551"/>
        <v>Atención a los contrastes de color al diseñar la interfaz, los textos e imágenes de texto, que  deben tener un contraste mínimo de 4,5:1 entre el color de fondo y del texto o icono.
</v>
      </c>
      <c r="O545" s="165" t="s">
        <v>841</v>
      </c>
      <c r="P545" s="166" t="s">
        <v>854</v>
      </c>
      <c r="Q545" s="166" t="s">
        <v>1578</v>
      </c>
      <c r="R545" s="211"/>
      <c r="S545" s="213" t="s">
        <v>2178</v>
      </c>
      <c r="T545" s="326" t="s">
        <v>2033</v>
      </c>
      <c r="U545" s="94"/>
      <c r="V545" s="94"/>
      <c r="W545" s="94"/>
      <c r="X545" s="94"/>
      <c r="Y545" s="94"/>
      <c r="Z545" s="94"/>
      <c r="AA545" s="94"/>
      <c r="AB545" s="94"/>
      <c r="AC545" s="94"/>
      <c r="AD545" s="94"/>
      <c r="AE545" s="94"/>
      <c r="AF545" s="94"/>
      <c r="AG545" s="94"/>
      <c r="AH545" s="94"/>
      <c r="AI545" s="94"/>
      <c r="AJ545" s="94"/>
      <c r="AK545" s="94"/>
      <c r="AL545" s="94"/>
    </row>
    <row r="546" hidden="1">
      <c r="A546" s="86" t="s">
        <v>1540</v>
      </c>
      <c r="B546" s="95" t="str">
        <f t="shared" si="494"/>
        <v>Otro</v>
      </c>
      <c r="C546" s="106" t="str">
        <f t="shared" si="9"/>
        <v>3.</v>
      </c>
      <c r="D546" s="106" t="str">
        <f t="shared" si="10"/>
        <v>Accesibilidad web</v>
      </c>
      <c r="E546" s="106"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546" s="135" t="str">
        <f t="shared" si="3"/>
        <v>3.2  </v>
      </c>
      <c r="G546" s="92" t="str">
        <f t="shared" si="4"/>
        <v>ESPERABLES</v>
      </c>
      <c r="H546" s="135"/>
      <c r="I546" s="135" t="str">
        <f t="shared" si="5"/>
        <v/>
      </c>
      <c r="J546" s="98" t="str">
        <f t="shared" si="6"/>
        <v/>
      </c>
      <c r="K546" s="98" t="str">
        <f t="shared" si="7"/>
        <v/>
      </c>
      <c r="L546" s="141" t="str">
        <f t="shared" ref="L546:N546" si="552">IF(I546="",L545,I546)</f>
        <v>3.1.7</v>
      </c>
      <c r="M546" s="98" t="str">
        <f t="shared" si="552"/>
        <v>Contraste mínimo</v>
      </c>
      <c r="N546" s="98" t="str">
        <f t="shared" si="552"/>
        <v>Atención a los contrastes de color al diseñar la interfaz, los textos e imágenes de texto, que  deben tener un contraste mínimo de 4,5:1 entre el color de fondo y del texto o icono.
</v>
      </c>
      <c r="O546" s="195" t="s">
        <v>857</v>
      </c>
      <c r="P546" s="196" t="s">
        <v>714</v>
      </c>
      <c r="Q546" s="177"/>
      <c r="R546" s="177"/>
      <c r="S546" s="197">
        <f>COUNTA(P547:P551)</f>
        <v>5</v>
      </c>
      <c r="T546" s="197">
        <f>COUNTIF(U547:U551,"n/a")</f>
        <v>0</v>
      </c>
      <c r="U546" s="94"/>
      <c r="V546" s="94"/>
      <c r="W546" s="94"/>
      <c r="X546" s="94"/>
      <c r="Y546" s="94"/>
      <c r="Z546" s="94"/>
      <c r="AA546" s="94"/>
      <c r="AB546" s="94"/>
      <c r="AC546" s="94"/>
      <c r="AD546" s="94"/>
      <c r="AE546" s="94"/>
      <c r="AF546" s="94"/>
      <c r="AG546" s="94"/>
      <c r="AH546" s="94"/>
      <c r="AI546" s="94"/>
      <c r="AJ546" s="94"/>
      <c r="AK546" s="94"/>
      <c r="AL546" s="94"/>
    </row>
    <row r="547" hidden="1">
      <c r="A547" s="105" t="s">
        <v>1540</v>
      </c>
      <c r="B547" s="92" t="str">
        <f t="shared" si="494"/>
        <v>Pregunta</v>
      </c>
      <c r="C547" s="106" t="str">
        <f t="shared" si="9"/>
        <v>3.</v>
      </c>
      <c r="D547" s="106" t="str">
        <f t="shared" si="10"/>
        <v>Accesibilidad web</v>
      </c>
      <c r="E547" s="106"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547" s="135" t="str">
        <f t="shared" si="3"/>
        <v>3.2  </v>
      </c>
      <c r="G547" s="92" t="str">
        <f t="shared" si="4"/>
        <v>ESPERABLES</v>
      </c>
      <c r="H547" s="141"/>
      <c r="I547" s="141" t="str">
        <f t="shared" si="5"/>
        <v>3.2.1</v>
      </c>
      <c r="J547" s="98" t="str">
        <f t="shared" si="6"/>
        <v>Componentes accesibles</v>
      </c>
      <c r="K547" s="98" t="str">
        <f t="shared" si="7"/>
        <v>Información de estados, roles e información de valor en todos los componentes de interfaz de usuario para permitir la compatibilidad con la tecnología asistiva utilizada para acceder al contenido. Por ejemplo: personas que utilizan lectores de pantalla, ampliadores de pantalla y software de reconocimiento de voz.
</v>
      </c>
      <c r="L547" s="141" t="str">
        <f t="shared" ref="L547:N547" si="553">IF(I547="",L546,I547)</f>
        <v>3.2.1</v>
      </c>
      <c r="M547" s="98" t="str">
        <f t="shared" si="553"/>
        <v>Componentes accesibles</v>
      </c>
      <c r="N547" s="98" t="str">
        <f t="shared" si="553"/>
        <v>Información de estados, roles e información de valor en todos los componentes de interfaz de usuario para permitir la compatibilidad con la tecnología asistiva utilizada para acceder al contenido. Por ejemplo: personas que utilizan lectores de pantalla, ampliadores de pantalla y software de reconocimiento de voz.
</v>
      </c>
      <c r="O547" s="212" t="s">
        <v>858</v>
      </c>
      <c r="P547" s="170" t="s">
        <v>863</v>
      </c>
      <c r="Q547" s="170" t="s">
        <v>864</v>
      </c>
      <c r="R547" s="158"/>
      <c r="S547" s="327" t="s">
        <v>1579</v>
      </c>
      <c r="T547" s="326" t="s">
        <v>2033</v>
      </c>
      <c r="U547" s="94"/>
      <c r="V547" s="94"/>
      <c r="W547" s="94"/>
      <c r="X547" s="94"/>
      <c r="Y547" s="94"/>
      <c r="Z547" s="94"/>
      <c r="AA547" s="94"/>
      <c r="AB547" s="94"/>
      <c r="AC547" s="94"/>
      <c r="AD547" s="94"/>
      <c r="AE547" s="94"/>
      <c r="AF547" s="94"/>
      <c r="AG547" s="94"/>
      <c r="AH547" s="94"/>
      <c r="AI547" s="94"/>
      <c r="AJ547" s="94"/>
      <c r="AK547" s="94"/>
      <c r="AL547" s="94"/>
    </row>
    <row r="548" hidden="1">
      <c r="A548" s="105" t="s">
        <v>1540</v>
      </c>
      <c r="B548" s="92" t="str">
        <f t="shared" si="494"/>
        <v>Pregunta</v>
      </c>
      <c r="C548" s="106" t="str">
        <f t="shared" si="9"/>
        <v>3.</v>
      </c>
      <c r="D548" s="106" t="str">
        <f t="shared" si="10"/>
        <v>Accesibilidad web</v>
      </c>
      <c r="E548" s="106"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548" s="135" t="str">
        <f t="shared" si="3"/>
        <v>3.2  </v>
      </c>
      <c r="G548" s="92" t="str">
        <f t="shared" si="4"/>
        <v>ESPERABLES</v>
      </c>
      <c r="H548" s="141"/>
      <c r="I548" s="141" t="str">
        <f t="shared" si="5"/>
        <v>3.2.2</v>
      </c>
      <c r="J548" s="98" t="str">
        <f t="shared" si="6"/>
        <v>Llamado a la acción claro</v>
      </c>
      <c r="K548" s="98" t="str">
        <f t="shared" si="7"/>
        <v>Presencia de enlaces y botones con llamados a la acción claros y descriptivos.
</v>
      </c>
      <c r="L548" s="141" t="str">
        <f t="shared" ref="L548:N548" si="554">IF(I548="",L547,I548)</f>
        <v>3.2.2</v>
      </c>
      <c r="M548" s="98" t="str">
        <f t="shared" si="554"/>
        <v>Llamado a la acción claro</v>
      </c>
      <c r="N548" s="98" t="str">
        <f t="shared" si="554"/>
        <v>Presencia de enlaces y botones con llamados a la acción claros y descriptivos.
</v>
      </c>
      <c r="O548" s="165" t="s">
        <v>862</v>
      </c>
      <c r="P548" s="166" t="s">
        <v>867</v>
      </c>
      <c r="Q548" s="166" t="s">
        <v>868</v>
      </c>
      <c r="R548" s="211"/>
      <c r="S548" s="166" t="s">
        <v>869</v>
      </c>
      <c r="T548" s="326" t="s">
        <v>2033</v>
      </c>
      <c r="U548" s="94"/>
      <c r="V548" s="94"/>
      <c r="W548" s="94"/>
      <c r="X548" s="94"/>
      <c r="Y548" s="94"/>
      <c r="Z548" s="94"/>
      <c r="AA548" s="94"/>
      <c r="AB548" s="94"/>
      <c r="AC548" s="94"/>
      <c r="AD548" s="94"/>
      <c r="AE548" s="94"/>
      <c r="AF548" s="94"/>
      <c r="AG548" s="94"/>
      <c r="AH548" s="94"/>
      <c r="AI548" s="94"/>
      <c r="AJ548" s="94"/>
      <c r="AK548" s="94"/>
      <c r="AL548" s="94"/>
    </row>
    <row r="549" hidden="1">
      <c r="A549" s="105" t="s">
        <v>1540</v>
      </c>
      <c r="B549" s="92" t="str">
        <f t="shared" si="494"/>
        <v>Pregunta</v>
      </c>
      <c r="C549" s="106" t="str">
        <f t="shared" si="9"/>
        <v>3.</v>
      </c>
      <c r="D549" s="106" t="str">
        <f t="shared" si="10"/>
        <v>Accesibilidad web</v>
      </c>
      <c r="E549" s="106"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549" s="135" t="str">
        <f t="shared" si="3"/>
        <v>3.2  </v>
      </c>
      <c r="G549" s="92" t="str">
        <f t="shared" si="4"/>
        <v>ESPERABLES</v>
      </c>
      <c r="H549" s="141"/>
      <c r="I549" s="141" t="str">
        <f t="shared" si="5"/>
        <v>3.2.3</v>
      </c>
      <c r="J549" s="98" t="str">
        <f t="shared" si="6"/>
        <v>Predecible al recibir entrada</v>
      </c>
      <c r="K549" s="98" t="str">
        <f t="shared" si="7"/>
        <v>Preocupación por que los cambios y acciones que ocurran en el sitio web sean predecibles, esto se hace al explicar la acción antes de que se ejecute.
</v>
      </c>
      <c r="L549" s="141" t="str">
        <f t="shared" ref="L549:N549" si="555">IF(I549="",L548,I549)</f>
        <v>3.2.3</v>
      </c>
      <c r="M549" s="98" t="str">
        <f t="shared" si="555"/>
        <v>Predecible al recibir entrada</v>
      </c>
      <c r="N549" s="98" t="str">
        <f t="shared" si="555"/>
        <v>Preocupación por que los cambios y acciones que ocurran en el sitio web sean predecibles, esto se hace al explicar la acción antes de que se ejecute.
</v>
      </c>
      <c r="O549" s="165" t="s">
        <v>866</v>
      </c>
      <c r="P549" s="166" t="s">
        <v>871</v>
      </c>
      <c r="Q549" s="166" t="s">
        <v>872</v>
      </c>
      <c r="R549" s="211"/>
      <c r="S549" s="166" t="s">
        <v>873</v>
      </c>
      <c r="T549" s="326" t="s">
        <v>2033</v>
      </c>
      <c r="U549" s="94"/>
      <c r="V549" s="94"/>
      <c r="W549" s="94"/>
      <c r="X549" s="94"/>
      <c r="Y549" s="94"/>
      <c r="Z549" s="94"/>
      <c r="AA549" s="94"/>
      <c r="AB549" s="94"/>
      <c r="AC549" s="94"/>
      <c r="AD549" s="94"/>
      <c r="AE549" s="94"/>
      <c r="AF549" s="94"/>
      <c r="AG549" s="94"/>
      <c r="AH549" s="94"/>
      <c r="AI549" s="94"/>
      <c r="AJ549" s="94"/>
      <c r="AK549" s="94"/>
      <c r="AL549" s="94"/>
    </row>
    <row r="550" hidden="1">
      <c r="A550" s="105" t="s">
        <v>1540</v>
      </c>
      <c r="B550" s="92" t="str">
        <f t="shared" si="494"/>
        <v>Pregunta</v>
      </c>
      <c r="C550" s="106" t="str">
        <f t="shared" si="9"/>
        <v>3.</v>
      </c>
      <c r="D550" s="106" t="str">
        <f t="shared" si="10"/>
        <v>Accesibilidad web</v>
      </c>
      <c r="E550" s="106"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550" s="135" t="str">
        <f t="shared" si="3"/>
        <v>3.2  </v>
      </c>
      <c r="G550" s="92" t="str">
        <f t="shared" si="4"/>
        <v>ESPERABLES</v>
      </c>
      <c r="H550" s="141"/>
      <c r="I550" s="141" t="str">
        <f t="shared" si="5"/>
        <v>3.2.4</v>
      </c>
      <c r="J550" s="98" t="str">
        <f t="shared" si="6"/>
        <v>Autocompletado en formularios</v>
      </c>
      <c r="K550" s="98" t="str">
        <f t="shared" si="7"/>
        <v>Opciones de autocompletado o que la información esté disponible para que la persona usuaria pueda utilizarla cuando ya ingresó algunos datos que se le piden en un formulario. Salvo en casos donde la información es para asegurar la seguridad del contenido o información.
</v>
      </c>
      <c r="L550" s="141" t="str">
        <f t="shared" ref="L550:N550" si="556">IF(I550="",L549,I550)</f>
        <v>3.2.4</v>
      </c>
      <c r="M550" s="98" t="str">
        <f t="shared" si="556"/>
        <v>Autocompletado en formularios</v>
      </c>
      <c r="N550" s="98" t="str">
        <f t="shared" si="556"/>
        <v>Opciones de autocompletado o que la información esté disponible para que la persona usuaria pueda utilizarla cuando ya ingresó algunos datos que se le piden en un formulario. Salvo en casos donde la información es para asegurar la seguridad del contenido o información.
</v>
      </c>
      <c r="O550" s="165" t="s">
        <v>870</v>
      </c>
      <c r="P550" s="166" t="s">
        <v>1580</v>
      </c>
      <c r="Q550" s="166" t="s">
        <v>1581</v>
      </c>
      <c r="R550" s="211"/>
      <c r="S550" s="166" t="s">
        <v>2179</v>
      </c>
      <c r="T550" s="326" t="s">
        <v>2033</v>
      </c>
      <c r="U550" s="94"/>
      <c r="V550" s="94"/>
      <c r="W550" s="94"/>
      <c r="X550" s="94"/>
      <c r="Y550" s="94"/>
      <c r="Z550" s="94"/>
      <c r="AA550" s="94"/>
      <c r="AB550" s="94"/>
      <c r="AC550" s="94"/>
      <c r="AD550" s="94"/>
      <c r="AE550" s="94"/>
      <c r="AF550" s="94"/>
      <c r="AG550" s="94"/>
      <c r="AH550" s="94"/>
      <c r="AI550" s="94"/>
      <c r="AJ550" s="94"/>
      <c r="AK550" s="94"/>
      <c r="AL550" s="94"/>
    </row>
    <row r="551" hidden="1">
      <c r="A551" s="105" t="s">
        <v>1540</v>
      </c>
      <c r="B551" s="92" t="str">
        <f t="shared" si="494"/>
        <v>Pregunta</v>
      </c>
      <c r="C551" s="106" t="str">
        <f t="shared" si="9"/>
        <v>3.</v>
      </c>
      <c r="D551" s="106" t="str">
        <f t="shared" si="10"/>
        <v>Accesibilidad web</v>
      </c>
      <c r="E551" s="106"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551" s="135" t="str">
        <f t="shared" si="3"/>
        <v>3.2  </v>
      </c>
      <c r="G551" s="92" t="str">
        <f t="shared" si="4"/>
        <v>ESPERABLES</v>
      </c>
      <c r="H551" s="141"/>
      <c r="I551" s="141" t="str">
        <f t="shared" si="5"/>
        <v>3.2.5</v>
      </c>
      <c r="J551" s="98" t="str">
        <f t="shared" si="6"/>
        <v>Foco visible</v>
      </c>
      <c r="K551" s="98" t="str">
        <f t="shared" si="7"/>
        <v>Preocupación de que al navegar el sitio web por teclado se muestre de forma visible el indicador del foco donde está ubicado el usuario.
</v>
      </c>
      <c r="L551" s="141" t="str">
        <f t="shared" ref="L551:N551" si="557">IF(I551="",L550,I551)</f>
        <v>3.2.5</v>
      </c>
      <c r="M551" s="98" t="str">
        <f t="shared" si="557"/>
        <v>Foco visible</v>
      </c>
      <c r="N551" s="98" t="str">
        <f t="shared" si="557"/>
        <v>Preocupación de que al navegar el sitio web por teclado se muestre de forma visible el indicador del foco donde está ubicado el usuario.
</v>
      </c>
      <c r="O551" s="142" t="s">
        <v>874</v>
      </c>
      <c r="P551" s="143" t="s">
        <v>875</v>
      </c>
      <c r="Q551" s="143" t="s">
        <v>876</v>
      </c>
      <c r="R551" s="174"/>
      <c r="S551" s="143" t="s">
        <v>1583</v>
      </c>
      <c r="T551" s="326" t="s">
        <v>2033</v>
      </c>
      <c r="U551" s="94"/>
      <c r="V551" s="94"/>
      <c r="W551" s="94"/>
      <c r="X551" s="94"/>
      <c r="Y551" s="94"/>
      <c r="Z551" s="94"/>
      <c r="AA551" s="94"/>
      <c r="AB551" s="94"/>
      <c r="AC551" s="94"/>
      <c r="AD551" s="94"/>
      <c r="AE551" s="94"/>
      <c r="AF551" s="94"/>
      <c r="AG551" s="94"/>
      <c r="AH551" s="94"/>
      <c r="AI551" s="94"/>
      <c r="AJ551" s="94"/>
      <c r="AK551" s="94"/>
      <c r="AL551" s="94"/>
    </row>
    <row r="552" hidden="1">
      <c r="A552" s="86" t="s">
        <v>1540</v>
      </c>
      <c r="B552" s="95" t="str">
        <f t="shared" si="494"/>
        <v>Otro</v>
      </c>
      <c r="C552" s="106" t="str">
        <f t="shared" si="9"/>
        <v>3.</v>
      </c>
      <c r="D552" s="106" t="str">
        <f t="shared" si="10"/>
        <v>Accesibilidad web</v>
      </c>
      <c r="E552" s="106"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552" s="135" t="str">
        <f t="shared" si="3"/>
        <v>3.3  </v>
      </c>
      <c r="G552" s="92" t="str">
        <f t="shared" si="4"/>
        <v>DESEABLES</v>
      </c>
      <c r="H552" s="135"/>
      <c r="I552" s="135" t="str">
        <f t="shared" si="5"/>
        <v/>
      </c>
      <c r="J552" s="98" t="str">
        <f t="shared" si="6"/>
        <v/>
      </c>
      <c r="K552" s="98" t="str">
        <f t="shared" si="7"/>
        <v/>
      </c>
      <c r="L552" s="141" t="str">
        <f t="shared" ref="L552:N552" si="558">IF(I552="",L551,I552)</f>
        <v>3.2.5</v>
      </c>
      <c r="M552" s="98" t="str">
        <f t="shared" si="558"/>
        <v>Foco visible</v>
      </c>
      <c r="N552" s="98" t="str">
        <f t="shared" si="558"/>
        <v>Preocupación de que al navegar el sitio web por teclado se muestre de forma visible el indicador del foco donde está ubicado el usuario.
</v>
      </c>
      <c r="O552" s="198" t="s">
        <v>878</v>
      </c>
      <c r="P552" s="182" t="s">
        <v>749</v>
      </c>
      <c r="Q552" s="183"/>
      <c r="R552" s="183"/>
      <c r="S552" s="199">
        <f>COUNTA(P553)</f>
        <v>1</v>
      </c>
      <c r="T552" s="199">
        <f>COUNTIF(U553,"n/a")</f>
        <v>0</v>
      </c>
      <c r="U552" s="94"/>
      <c r="V552" s="94"/>
      <c r="W552" s="94"/>
      <c r="X552" s="94"/>
      <c r="Y552" s="94"/>
      <c r="Z552" s="94"/>
      <c r="AA552" s="94"/>
      <c r="AB552" s="94"/>
      <c r="AC552" s="94"/>
      <c r="AD552" s="94"/>
      <c r="AE552" s="94"/>
      <c r="AF552" s="94"/>
      <c r="AG552" s="94"/>
      <c r="AH552" s="94"/>
      <c r="AI552" s="94"/>
      <c r="AJ552" s="94"/>
      <c r="AK552" s="94"/>
      <c r="AL552" s="94"/>
    </row>
    <row r="553" hidden="1">
      <c r="A553" s="105" t="s">
        <v>1540</v>
      </c>
      <c r="B553" s="92" t="str">
        <f t="shared" si="494"/>
        <v>Pregunta</v>
      </c>
      <c r="C553" s="106" t="str">
        <f t="shared" si="9"/>
        <v>3.</v>
      </c>
      <c r="D553" s="106" t="str">
        <f t="shared" si="10"/>
        <v>Accesibilidad web</v>
      </c>
      <c r="E553" s="106" t="str">
        <f t="shared" si="11"/>
        <v>Especial cuidado de que todos los sitios web estén diseñados para que todos y todas puedan acceder. Pone foco principalmente en las personas con discapacidad para que puedan percibir, comprender, navegar, interactuar y contribuir con la web. Es importante destacar que esta dimensión no abarca de manera exhaustiva todas los criterios de accesibilidad. Para ello se recomienda utilizar la Plataforma de Reportabilidad de Accesibilidad Universal de SENADIS. Más información en: https://reportedeaccesibilidad.senadis.cl/sign.</v>
      </c>
      <c r="F553" s="135" t="str">
        <f t="shared" si="3"/>
        <v>3.3  </v>
      </c>
      <c r="G553" s="92" t="str">
        <f t="shared" si="4"/>
        <v>DESEABLES</v>
      </c>
      <c r="H553" s="141"/>
      <c r="I553" s="141" t="str">
        <f t="shared" si="5"/>
        <v>3.3.1</v>
      </c>
      <c r="J553" s="98" t="str">
        <f t="shared" si="6"/>
        <v>Documentos accesibles</v>
      </c>
      <c r="K553" s="98" t="str">
        <f t="shared" si="7"/>
        <v>Preocupación de ofrecer documentos descargables accesibles para todos los usuarios.
</v>
      </c>
      <c r="L553" s="141" t="str">
        <f t="shared" ref="L553:N553" si="559">IF(I553="",L552,I553)</f>
        <v>3.3.1</v>
      </c>
      <c r="M553" s="98" t="str">
        <f t="shared" si="559"/>
        <v>Documentos accesibles</v>
      </c>
      <c r="N553" s="98" t="str">
        <f t="shared" si="559"/>
        <v>Preocupación de ofrecer documentos descargables accesibles para todos los usuarios.
</v>
      </c>
      <c r="O553" s="328" t="s">
        <v>879</v>
      </c>
      <c r="P553" s="329" t="s">
        <v>892</v>
      </c>
      <c r="Q553" s="329" t="s">
        <v>893</v>
      </c>
      <c r="R553" s="218"/>
      <c r="S553" s="330" t="s">
        <v>2180</v>
      </c>
      <c r="T553" s="326" t="s">
        <v>2033</v>
      </c>
      <c r="U553" s="94"/>
      <c r="V553" s="94"/>
      <c r="W553" s="94"/>
      <c r="X553" s="94"/>
      <c r="Y553" s="94"/>
      <c r="Z553" s="94"/>
      <c r="AA553" s="94"/>
      <c r="AB553" s="94"/>
      <c r="AC553" s="94"/>
      <c r="AD553" s="94"/>
      <c r="AE553" s="94"/>
      <c r="AF553" s="94"/>
      <c r="AG553" s="94"/>
      <c r="AH553" s="94"/>
      <c r="AI553" s="94"/>
      <c r="AJ553" s="94"/>
      <c r="AK553" s="94"/>
      <c r="AL553" s="94"/>
    </row>
    <row r="554" hidden="1">
      <c r="A554" s="86" t="s">
        <v>1540</v>
      </c>
      <c r="B554" s="95" t="str">
        <f t="shared" si="494"/>
        <v>Otro</v>
      </c>
      <c r="C554" s="106" t="str">
        <f t="shared" si="9"/>
        <v>4.</v>
      </c>
      <c r="D554" s="106" t="str">
        <f t="shared" si="10"/>
        <v>Interoperabilidad</v>
      </c>
      <c r="E554" s="106" t="str">
        <f t="shared" si="11"/>
        <v>Capacidad de los sistemas para intercambiar datos de manera segura y automática. Esto se traduce en una mejor experiencia usuaria gracias a que no es necesario completar datos de forma manual cuando se pueden obtener de una base de datos compartida.</v>
      </c>
      <c r="F554" s="135" t="str">
        <f t="shared" si="3"/>
        <v>3.3  </v>
      </c>
      <c r="G554" s="92" t="str">
        <f t="shared" si="4"/>
        <v>DESEABLES</v>
      </c>
      <c r="H554" s="107"/>
      <c r="I554" s="107" t="str">
        <f t="shared" si="5"/>
        <v/>
      </c>
      <c r="J554" s="98" t="str">
        <f t="shared" si="6"/>
        <v/>
      </c>
      <c r="K554" s="98" t="str">
        <f t="shared" si="7"/>
        <v/>
      </c>
      <c r="L554" s="141" t="str">
        <f t="shared" ref="L554:N554" si="560">IF(I554="",L553,I554)</f>
        <v>3.3.1</v>
      </c>
      <c r="M554" s="98" t="str">
        <f t="shared" si="560"/>
        <v>Documentos accesibles</v>
      </c>
      <c r="N554" s="98" t="str">
        <f t="shared" si="560"/>
        <v>Preocupación de ofrecer documentos descargables accesibles para todos los usuarios.
</v>
      </c>
      <c r="O554" s="220" t="s">
        <v>25</v>
      </c>
      <c r="P554" s="112" t="s">
        <v>60</v>
      </c>
      <c r="Q554" s="113"/>
      <c r="R554" s="114"/>
      <c r="S554" s="115" t="s">
        <v>1585</v>
      </c>
      <c r="T554" s="116" t="s">
        <v>2161</v>
      </c>
      <c r="U554" s="94"/>
      <c r="V554" s="94"/>
      <c r="W554" s="94"/>
      <c r="X554" s="94"/>
      <c r="Y554" s="94"/>
      <c r="Z554" s="94"/>
      <c r="AA554" s="94"/>
      <c r="AB554" s="94"/>
      <c r="AC554" s="94"/>
      <c r="AD554" s="94"/>
      <c r="AE554" s="94"/>
      <c r="AF554" s="94"/>
      <c r="AG554" s="94"/>
      <c r="AH554" s="94"/>
      <c r="AI554" s="94"/>
      <c r="AJ554" s="94"/>
      <c r="AK554" s="94"/>
      <c r="AL554" s="94"/>
    </row>
    <row r="555" hidden="1">
      <c r="A555" s="86" t="s">
        <v>1540</v>
      </c>
      <c r="B555" s="95" t="str">
        <f t="shared" si="494"/>
        <v>Otro</v>
      </c>
      <c r="C555" s="106" t="str">
        <f t="shared" si="9"/>
        <v>4.</v>
      </c>
      <c r="D555" s="106" t="str">
        <f t="shared" si="10"/>
        <v>Interoperabilidad</v>
      </c>
      <c r="E555" s="106" t="str">
        <f t="shared" si="11"/>
        <v>Capacidad de los sistemas para intercambiar datos de manera segura y automática. Esto se traduce en una mejor experiencia usuaria gracias a que no es necesario completar datos de forma manual cuando se pueden obtener de una base de datos compartida.</v>
      </c>
      <c r="F555" s="135" t="str">
        <f t="shared" si="3"/>
        <v>3.3  </v>
      </c>
      <c r="G555" s="92" t="str">
        <f t="shared" si="4"/>
        <v>DESEABLES</v>
      </c>
      <c r="H555" s="107"/>
      <c r="I555" s="107" t="str">
        <f t="shared" si="5"/>
        <v/>
      </c>
      <c r="J555" s="98" t="str">
        <f t="shared" si="6"/>
        <v/>
      </c>
      <c r="K555" s="98" t="str">
        <f t="shared" si="7"/>
        <v/>
      </c>
      <c r="L555" s="141" t="str">
        <f t="shared" ref="L555:N555" si="561">IF(I555="",L554,I555)</f>
        <v>3.3.1</v>
      </c>
      <c r="M555" s="98" t="str">
        <f t="shared" si="561"/>
        <v>Documentos accesibles</v>
      </c>
      <c r="N555" s="98" t="str">
        <f t="shared" si="561"/>
        <v>Preocupación de ofrecer documentos descargables accesibles para todos los usuarios.
</v>
      </c>
      <c r="O555" s="221"/>
      <c r="P555" s="118"/>
      <c r="Q555" s="119"/>
      <c r="R555" s="114"/>
      <c r="S555" s="239"/>
      <c r="T555" s="116" t="s">
        <v>19</v>
      </c>
      <c r="U555" s="94"/>
      <c r="V555" s="94"/>
      <c r="W555" s="94"/>
      <c r="X555" s="94"/>
      <c r="Y555" s="94"/>
      <c r="Z555" s="94"/>
      <c r="AA555" s="94"/>
      <c r="AB555" s="94"/>
      <c r="AC555" s="94"/>
      <c r="AD555" s="94"/>
      <c r="AE555" s="94"/>
      <c r="AF555" s="94"/>
      <c r="AG555" s="94"/>
      <c r="AH555" s="94"/>
      <c r="AI555" s="94"/>
      <c r="AJ555" s="94"/>
      <c r="AK555" s="94"/>
      <c r="AL555" s="94"/>
    </row>
    <row r="556" hidden="1">
      <c r="A556" s="86" t="s">
        <v>1540</v>
      </c>
      <c r="B556" s="95" t="str">
        <f t="shared" si="494"/>
        <v>Otro</v>
      </c>
      <c r="C556" s="106" t="str">
        <f t="shared" si="9"/>
        <v>4.</v>
      </c>
      <c r="D556" s="106" t="str">
        <f t="shared" si="10"/>
        <v>Interoperabilidad</v>
      </c>
      <c r="E556" s="106" t="str">
        <f t="shared" si="11"/>
        <v>Capacidad de los sistemas para intercambiar datos de manera segura y automática. Esto se traduce en una mejor experiencia usuaria gracias a que no es necesario completar datos de forma manual cuando se pueden obtener de una base de datos compartida.</v>
      </c>
      <c r="F556" s="135" t="str">
        <f t="shared" si="3"/>
        <v>3.3  </v>
      </c>
      <c r="G556" s="92" t="str">
        <f t="shared" si="4"/>
        <v>DESEABLES</v>
      </c>
      <c r="H556" s="107"/>
      <c r="I556" s="107" t="str">
        <f t="shared" si="5"/>
        <v/>
      </c>
      <c r="J556" s="98" t="str">
        <f t="shared" si="6"/>
        <v/>
      </c>
      <c r="K556" s="98" t="str">
        <f t="shared" si="7"/>
        <v/>
      </c>
      <c r="L556" s="141" t="str">
        <f t="shared" ref="L556:N556" si="562">IF(I556="",L555,I556)</f>
        <v>3.3.1</v>
      </c>
      <c r="M556" s="98" t="str">
        <f t="shared" si="562"/>
        <v>Documentos accesibles</v>
      </c>
      <c r="N556" s="98" t="str">
        <f t="shared" si="562"/>
        <v>Preocupación de ofrecer documentos descargables accesibles para todos los usuarios.
</v>
      </c>
      <c r="O556" s="222"/>
      <c r="P556" s="122"/>
      <c r="Q556" s="123"/>
      <c r="R556" s="114"/>
      <c r="S556" s="240"/>
      <c r="T556" s="241"/>
      <c r="U556" s="94"/>
      <c r="V556" s="94"/>
      <c r="W556" s="94"/>
      <c r="X556" s="94"/>
      <c r="Y556" s="94"/>
      <c r="Z556" s="94"/>
      <c r="AA556" s="94"/>
      <c r="AB556" s="94"/>
      <c r="AC556" s="94"/>
      <c r="AD556" s="94"/>
      <c r="AE556" s="94"/>
      <c r="AF556" s="94"/>
      <c r="AG556" s="94"/>
      <c r="AH556" s="94"/>
      <c r="AI556" s="94"/>
      <c r="AJ556" s="94"/>
      <c r="AK556" s="94"/>
      <c r="AL556" s="94"/>
    </row>
    <row r="557" hidden="1">
      <c r="A557" s="86" t="s">
        <v>1540</v>
      </c>
      <c r="B557" s="95" t="str">
        <f t="shared" si="494"/>
        <v>Otro</v>
      </c>
      <c r="C557" s="106" t="str">
        <f t="shared" si="9"/>
        <v>4.</v>
      </c>
      <c r="D557" s="106" t="str">
        <f t="shared" si="10"/>
        <v>Interoperabilidad</v>
      </c>
      <c r="E557" s="106" t="str">
        <f t="shared" si="11"/>
        <v>Capacidad de los sistemas para intercambiar datos de manera segura y automática. Esto se traduce en una mejor experiencia usuaria gracias a que no es necesario completar datos de forma manual cuando se pueden obtener de una base de datos compartida.</v>
      </c>
      <c r="F557" s="135" t="str">
        <f t="shared" si="3"/>
        <v>3.3  </v>
      </c>
      <c r="G557" s="92" t="str">
        <f t="shared" si="4"/>
        <v>DESEABLES</v>
      </c>
      <c r="H557" s="96"/>
      <c r="I557" s="96" t="str">
        <f t="shared" si="5"/>
        <v/>
      </c>
      <c r="J557" s="98" t="str">
        <f t="shared" si="6"/>
        <v/>
      </c>
      <c r="K557" s="98" t="str">
        <f t="shared" si="7"/>
        <v/>
      </c>
      <c r="L557" s="141" t="str">
        <f t="shared" ref="L557:N557" si="563">IF(I557="",L556,I557)</f>
        <v>3.3.1</v>
      </c>
      <c r="M557" s="98" t="str">
        <f t="shared" si="563"/>
        <v>Documentos accesibles</v>
      </c>
      <c r="N557" s="98" t="str">
        <f t="shared" si="563"/>
        <v>Preocupación de ofrecer documentos descargables accesibles para todos los usuarios.
</v>
      </c>
      <c r="O557" s="104"/>
      <c r="P557" s="114"/>
      <c r="Q557" s="114"/>
      <c r="R557" s="114"/>
      <c r="S557" s="114"/>
      <c r="T557" s="127"/>
      <c r="U557" s="94"/>
      <c r="V557" s="94"/>
      <c r="W557" s="94"/>
      <c r="X557" s="94"/>
      <c r="Y557" s="94"/>
      <c r="Z557" s="94"/>
      <c r="AA557" s="94"/>
      <c r="AB557" s="94"/>
      <c r="AC557" s="94"/>
      <c r="AD557" s="94"/>
      <c r="AE557" s="94"/>
      <c r="AF557" s="94"/>
      <c r="AG557" s="94"/>
      <c r="AH557" s="94"/>
      <c r="AI557" s="94"/>
      <c r="AJ557" s="94"/>
      <c r="AK557" s="94"/>
      <c r="AL557" s="94"/>
    </row>
    <row r="558" hidden="1">
      <c r="A558" s="86" t="s">
        <v>1540</v>
      </c>
      <c r="B558" s="95" t="str">
        <f t="shared" si="494"/>
        <v>Otro</v>
      </c>
      <c r="C558" s="106" t="str">
        <f t="shared" si="9"/>
        <v>4.</v>
      </c>
      <c r="D558" s="106" t="str">
        <f t="shared" si="10"/>
        <v>Interoperabilidad</v>
      </c>
      <c r="E558" s="106" t="str">
        <f t="shared" si="11"/>
        <v>Capacidad de los sistemas para intercambiar datos de manera segura y automática. Esto se traduce en una mejor experiencia usuaria gracias a que no es necesario completar datos de forma manual cuando se pueden obtener de una base de datos compartida.</v>
      </c>
      <c r="F558" s="135" t="str">
        <f t="shared" si="3"/>
        <v>3.3  </v>
      </c>
      <c r="G558" s="92" t="str">
        <f t="shared" si="4"/>
        <v>DESEABLES</v>
      </c>
      <c r="H558" s="128"/>
      <c r="I558" s="128" t="str">
        <f t="shared" si="5"/>
        <v/>
      </c>
      <c r="J558" s="98" t="str">
        <f t="shared" si="6"/>
        <v/>
      </c>
      <c r="K558" s="98" t="str">
        <f t="shared" si="7"/>
        <v/>
      </c>
      <c r="L558" s="141" t="str">
        <f t="shared" ref="L558:N558" si="564">IF(I558="",L557,I558)</f>
        <v>3.3.1</v>
      </c>
      <c r="M558" s="98" t="str">
        <f t="shared" si="564"/>
        <v>Documentos accesibles</v>
      </c>
      <c r="N558" s="98" t="str">
        <f t="shared" si="564"/>
        <v>Preocupación de ofrecer documentos descargables accesibles para todos los usuarios.
</v>
      </c>
      <c r="O558" s="223" t="s">
        <v>1822</v>
      </c>
      <c r="P558" s="133" t="s">
        <v>1823</v>
      </c>
      <c r="Q558" s="133" t="s">
        <v>2031</v>
      </c>
      <c r="R558" s="134"/>
      <c r="S558" s="133" t="s">
        <v>1824</v>
      </c>
      <c r="T558" s="133" t="s">
        <v>1825</v>
      </c>
      <c r="U558" s="94"/>
      <c r="V558" s="94"/>
      <c r="W558" s="94"/>
      <c r="X558" s="94"/>
      <c r="Y558" s="94"/>
      <c r="Z558" s="94"/>
      <c r="AA558" s="94"/>
      <c r="AB558" s="94"/>
      <c r="AC558" s="94"/>
      <c r="AD558" s="94"/>
      <c r="AE558" s="94"/>
      <c r="AF558" s="94"/>
      <c r="AG558" s="94"/>
      <c r="AH558" s="94"/>
      <c r="AI558" s="94"/>
      <c r="AJ558" s="94"/>
      <c r="AK558" s="94"/>
      <c r="AL558" s="94"/>
    </row>
    <row r="559" hidden="1">
      <c r="A559" s="86" t="s">
        <v>1540</v>
      </c>
      <c r="B559" s="95" t="str">
        <f t="shared" si="494"/>
        <v>Otro</v>
      </c>
      <c r="C559" s="106" t="str">
        <f t="shared" si="9"/>
        <v>4.</v>
      </c>
      <c r="D559" s="106" t="str">
        <f t="shared" si="10"/>
        <v>Interoperabilidad</v>
      </c>
      <c r="E559" s="106" t="str">
        <f t="shared" si="11"/>
        <v>Capacidad de los sistemas para intercambiar datos de manera segura y automática. Esto se traduce en una mejor experiencia usuaria gracias a que no es necesario completar datos de forma manual cuando se pueden obtener de una base de datos compartida.</v>
      </c>
      <c r="F559" s="141" t="str">
        <f t="shared" si="3"/>
        <v>4.1</v>
      </c>
      <c r="G559" s="92" t="str">
        <f t="shared" si="4"/>
        <v>IMPRESCINDIBLES</v>
      </c>
      <c r="H559" s="141"/>
      <c r="I559" s="141" t="str">
        <f t="shared" si="5"/>
        <v/>
      </c>
      <c r="J559" s="98" t="str">
        <f t="shared" si="6"/>
        <v/>
      </c>
      <c r="K559" s="98" t="str">
        <f t="shared" si="7"/>
        <v/>
      </c>
      <c r="L559" s="141" t="str">
        <f t="shared" ref="L559:N559" si="565">IF(I559="",L558,I559)</f>
        <v>3.3.1</v>
      </c>
      <c r="M559" s="98" t="str">
        <f t="shared" si="565"/>
        <v>Documentos accesibles</v>
      </c>
      <c r="N559" s="98" t="str">
        <f t="shared" si="565"/>
        <v>Preocupación de ofrecer documentos descargables accesibles para todos los usuarios.
</v>
      </c>
      <c r="O559" s="258" t="s">
        <v>900</v>
      </c>
      <c r="P559" s="137" t="s">
        <v>664</v>
      </c>
      <c r="Q559" s="138"/>
      <c r="R559" s="138"/>
      <c r="S559" s="139">
        <f>COUNTA(P560)</f>
        <v>1</v>
      </c>
      <c r="T559" s="140">
        <f>COUNTIF(U560,"n/a")</f>
        <v>0</v>
      </c>
      <c r="U559" s="94"/>
      <c r="V559" s="94"/>
      <c r="W559" s="94"/>
      <c r="X559" s="94"/>
      <c r="Y559" s="94"/>
      <c r="Z559" s="94"/>
      <c r="AA559" s="94"/>
      <c r="AB559" s="94"/>
      <c r="AC559" s="94"/>
      <c r="AD559" s="94"/>
      <c r="AE559" s="94"/>
      <c r="AF559" s="94"/>
      <c r="AG559" s="94"/>
      <c r="AH559" s="94"/>
      <c r="AI559" s="94"/>
      <c r="AJ559" s="94"/>
      <c r="AK559" s="94"/>
      <c r="AL559" s="94"/>
    </row>
    <row r="560" hidden="1">
      <c r="A560" s="105" t="s">
        <v>1540</v>
      </c>
      <c r="B560" s="92" t="str">
        <f t="shared" si="494"/>
        <v>Pregunta</v>
      </c>
      <c r="C560" s="106" t="str">
        <f t="shared" si="9"/>
        <v>4.</v>
      </c>
      <c r="D560" s="106" t="str">
        <f t="shared" si="10"/>
        <v>Interoperabilidad</v>
      </c>
      <c r="E560" s="106" t="str">
        <f t="shared" si="11"/>
        <v>Capacidad de los sistemas para intercambiar datos de manera segura y automática. Esto se traduce en una mejor experiencia usuaria gracias a que no es necesario completar datos de forma manual cuando se pueden obtener de una base de datos compartida.</v>
      </c>
      <c r="F560" s="141" t="str">
        <f t="shared" si="3"/>
        <v>4.1</v>
      </c>
      <c r="G560" s="92" t="str">
        <f t="shared" si="4"/>
        <v>IMPRESCINDIBLES</v>
      </c>
      <c r="H560" s="141"/>
      <c r="I560" s="141" t="str">
        <f t="shared" si="5"/>
        <v>4.1.1</v>
      </c>
      <c r="J560" s="98" t="str">
        <f t="shared" si="6"/>
        <v>ClaveÚnica</v>
      </c>
      <c r="K560" s="98" t="str">
        <f t="shared" si="7"/>
        <v>Iniciativa que busca proveer a los ciudadanos de una Identidad Electrónica Única (RUN y contraseña) para la realización de trámites en línea del Estado.</v>
      </c>
      <c r="L560" s="141" t="str">
        <f t="shared" ref="L560:N560" si="566">IF(I560="",L559,I560)</f>
        <v>4.1.1</v>
      </c>
      <c r="M560" s="98" t="str">
        <f t="shared" si="566"/>
        <v>ClaveÚnica</v>
      </c>
      <c r="N560" s="98" t="str">
        <f t="shared" si="566"/>
        <v>Iniciativa que busca proveer a los ciudadanos de una Identidad Electrónica Única (RUN y contraseña) para la realización de trámites en línea del Estado.</v>
      </c>
      <c r="O560" s="262" t="s">
        <v>901</v>
      </c>
      <c r="P560" s="169" t="s">
        <v>1586</v>
      </c>
      <c r="Q560" s="169" t="s">
        <v>1587</v>
      </c>
      <c r="R560" s="168"/>
      <c r="S560" s="169" t="s">
        <v>2181</v>
      </c>
      <c r="T560" s="164" t="s">
        <v>2033</v>
      </c>
      <c r="U560" s="94"/>
      <c r="V560" s="94"/>
      <c r="W560" s="94"/>
      <c r="X560" s="94"/>
      <c r="Y560" s="94"/>
      <c r="Z560" s="94"/>
      <c r="AA560" s="94"/>
      <c r="AB560" s="94"/>
      <c r="AC560" s="94"/>
      <c r="AD560" s="94"/>
      <c r="AE560" s="94"/>
      <c r="AF560" s="94"/>
      <c r="AG560" s="94"/>
      <c r="AH560" s="94"/>
      <c r="AI560" s="94"/>
      <c r="AJ560" s="94"/>
      <c r="AK560" s="94"/>
      <c r="AL560" s="94"/>
    </row>
    <row r="561" hidden="1">
      <c r="A561" s="86" t="s">
        <v>1540</v>
      </c>
      <c r="B561" s="95" t="str">
        <f t="shared" si="494"/>
        <v>Otro</v>
      </c>
      <c r="C561" s="106" t="str">
        <f t="shared" si="9"/>
        <v>4.</v>
      </c>
      <c r="D561" s="106" t="str">
        <f t="shared" si="10"/>
        <v>Interoperabilidad</v>
      </c>
      <c r="E561" s="106" t="str">
        <f t="shared" si="11"/>
        <v>Capacidad de los sistemas para intercambiar datos de manera segura y automática. Esto se traduce en una mejor experiencia usuaria gracias a que no es necesario completar datos de forma manual cuando se pueden obtener de una base de datos compartida.</v>
      </c>
      <c r="F561" s="141" t="str">
        <f t="shared" si="3"/>
        <v>4.2</v>
      </c>
      <c r="G561" s="92" t="str">
        <f t="shared" si="4"/>
        <v>ESPERABLES</v>
      </c>
      <c r="H561" s="141"/>
      <c r="I561" s="141" t="str">
        <f t="shared" si="5"/>
        <v/>
      </c>
      <c r="J561" s="98" t="str">
        <f t="shared" si="6"/>
        <v/>
      </c>
      <c r="K561" s="98" t="str">
        <f t="shared" si="7"/>
        <v/>
      </c>
      <c r="L561" s="141" t="str">
        <f t="shared" ref="L561:N561" si="567">IF(I561="",L560,I561)</f>
        <v>4.1.1</v>
      </c>
      <c r="M561" s="98" t="str">
        <f t="shared" si="567"/>
        <v>ClaveÚnica</v>
      </c>
      <c r="N561" s="98" t="str">
        <f t="shared" si="567"/>
        <v>Iniciativa que busca proveer a los ciudadanos de una Identidad Electrónica Única (RUN y contraseña) para la realización de trámites en línea del Estado.</v>
      </c>
      <c r="O561" s="175" t="s">
        <v>935</v>
      </c>
      <c r="P561" s="196" t="s">
        <v>714</v>
      </c>
      <c r="Q561" s="177"/>
      <c r="R561" s="177"/>
      <c r="S561" s="197">
        <f>COUNTA(P562:P564)</f>
        <v>1</v>
      </c>
      <c r="T561" s="197">
        <f>COUNTIF(U562:U564,"n/a")</f>
        <v>0</v>
      </c>
      <c r="U561" s="94"/>
      <c r="V561" s="94"/>
      <c r="W561" s="94"/>
      <c r="X561" s="94"/>
      <c r="Y561" s="94"/>
      <c r="Z561" s="94"/>
      <c r="AA561" s="94"/>
      <c r="AB561" s="94"/>
      <c r="AC561" s="94"/>
      <c r="AD561" s="94"/>
      <c r="AE561" s="94"/>
      <c r="AF561" s="94"/>
      <c r="AG561" s="94"/>
      <c r="AH561" s="94"/>
      <c r="AI561" s="94"/>
      <c r="AJ561" s="94"/>
      <c r="AK561" s="94"/>
      <c r="AL561" s="94"/>
    </row>
    <row r="562" hidden="1">
      <c r="A562" s="105" t="s">
        <v>1540</v>
      </c>
      <c r="B562" s="92" t="str">
        <f t="shared" si="494"/>
        <v>Pregunta</v>
      </c>
      <c r="C562" s="106" t="str">
        <f t="shared" si="9"/>
        <v>4.</v>
      </c>
      <c r="D562" s="106" t="str">
        <f t="shared" si="10"/>
        <v>Interoperabilidad</v>
      </c>
      <c r="E562" s="106" t="str">
        <f t="shared" si="11"/>
        <v>Capacidad de los sistemas para intercambiar datos de manera segura y automática. Esto se traduce en una mejor experiencia usuaria gracias a que no es necesario completar datos de forma manual cuando se pueden obtener de una base de datos compartida.</v>
      </c>
      <c r="F562" s="141" t="str">
        <f t="shared" si="3"/>
        <v>4.2</v>
      </c>
      <c r="G562" s="92" t="str">
        <f t="shared" si="4"/>
        <v>ESPERABLES</v>
      </c>
      <c r="H562" s="141"/>
      <c r="I562" s="141" t="str">
        <f t="shared" si="5"/>
        <v>4.2.1</v>
      </c>
      <c r="J562" s="98" t="str">
        <f t="shared" si="6"/>
        <v>Precarga y reutilización de datos</v>
      </c>
      <c r="K562" s="98" t="str">
        <f t="shared" si="7"/>
        <v>Intercambio y obtención de información desde bases de datos centralizadas, que permita a las personas usuarias evitar tener que completar datos previamente entregados.</v>
      </c>
      <c r="L562" s="141" t="str">
        <f t="shared" ref="L562:N562" si="568">IF(I562="",L561,I562)</f>
        <v>4.2.1</v>
      </c>
      <c r="M562" s="98" t="str">
        <f t="shared" si="568"/>
        <v>Precarga y reutilización de datos</v>
      </c>
      <c r="N562" s="98" t="str">
        <f t="shared" si="568"/>
        <v>Intercambio y obtención de información desde bases de datos centralizadas, que permita a las personas usuarias evitar tener que completar datos previamente entregados.</v>
      </c>
      <c r="O562" s="278" t="s">
        <v>936</v>
      </c>
      <c r="P562" s="162" t="s">
        <v>1589</v>
      </c>
      <c r="Q562" s="180" t="s">
        <v>1590</v>
      </c>
      <c r="R562" s="161"/>
      <c r="S562" s="162" t="s">
        <v>1591</v>
      </c>
      <c r="T562" s="160" t="s">
        <v>2033</v>
      </c>
      <c r="U562" s="94"/>
      <c r="V562" s="94"/>
      <c r="W562" s="94"/>
      <c r="X562" s="94"/>
      <c r="Y562" s="94"/>
      <c r="Z562" s="94"/>
      <c r="AA562" s="94"/>
      <c r="AB562" s="94"/>
      <c r="AC562" s="94"/>
      <c r="AD562" s="94"/>
      <c r="AE562" s="94"/>
      <c r="AF562" s="94"/>
      <c r="AG562" s="94"/>
      <c r="AH562" s="94"/>
      <c r="AI562" s="94"/>
      <c r="AJ562" s="94"/>
      <c r="AK562" s="94"/>
      <c r="AL562" s="94"/>
    </row>
    <row r="563" hidden="1">
      <c r="A563" s="86" t="s">
        <v>1540</v>
      </c>
      <c r="B563" s="95" t="str">
        <f t="shared" si="494"/>
        <v>Pregunta</v>
      </c>
      <c r="C563" s="106" t="str">
        <f t="shared" si="9"/>
        <v>4.</v>
      </c>
      <c r="D563" s="106" t="str">
        <f t="shared" si="10"/>
        <v>Interoperabilidad</v>
      </c>
      <c r="E563" s="106" t="str">
        <f t="shared" si="11"/>
        <v>Capacidad de los sistemas para intercambiar datos de manera segura y automática. Esto se traduce en una mejor experiencia usuaria gracias a que no es necesario completar datos de forma manual cuando se pueden obtener de una base de datos compartida.</v>
      </c>
      <c r="F563" s="141" t="str">
        <f t="shared" si="3"/>
        <v>4.2</v>
      </c>
      <c r="G563" s="92" t="str">
        <f t="shared" si="4"/>
        <v>ESPERABLES</v>
      </c>
      <c r="H563" s="141"/>
      <c r="I563" s="141" t="str">
        <f t="shared" si="5"/>
        <v/>
      </c>
      <c r="J563" s="98" t="str">
        <f t="shared" si="6"/>
        <v/>
      </c>
      <c r="K563" s="98" t="str">
        <f t="shared" si="7"/>
        <v/>
      </c>
      <c r="L563" s="141" t="str">
        <f t="shared" ref="L563:N563" si="569">IF(I563="",L562,I563)</f>
        <v>4.2.1</v>
      </c>
      <c r="M563" s="98" t="str">
        <f t="shared" si="569"/>
        <v>Precarga y reutilización de datos</v>
      </c>
      <c r="N563" s="98" t="str">
        <f t="shared" si="569"/>
        <v>Intercambio y obtención de información desde bases de datos centralizadas, que permita a las personas usuarias evitar tener que completar datos previamente entregados.</v>
      </c>
      <c r="O563" s="306"/>
      <c r="P563" s="161"/>
      <c r="Q563" s="331"/>
      <c r="R563" s="161"/>
      <c r="S563" s="162" t="s">
        <v>2182</v>
      </c>
      <c r="T563" s="160" t="s">
        <v>2033</v>
      </c>
      <c r="U563" s="94"/>
      <c r="V563" s="94"/>
      <c r="W563" s="94"/>
      <c r="X563" s="94"/>
      <c r="Y563" s="94"/>
      <c r="Z563" s="94"/>
      <c r="AA563" s="94"/>
      <c r="AB563" s="94"/>
      <c r="AC563" s="94"/>
      <c r="AD563" s="94"/>
      <c r="AE563" s="94"/>
      <c r="AF563" s="94"/>
      <c r="AG563" s="94"/>
      <c r="AH563" s="94"/>
      <c r="AI563" s="94"/>
      <c r="AJ563" s="94"/>
      <c r="AK563" s="94"/>
      <c r="AL563" s="94"/>
    </row>
    <row r="564" hidden="1">
      <c r="A564" s="86" t="s">
        <v>1540</v>
      </c>
      <c r="B564" s="95" t="str">
        <f t="shared" si="494"/>
        <v>Pregunta</v>
      </c>
      <c r="C564" s="106" t="str">
        <f t="shared" si="9"/>
        <v>4.</v>
      </c>
      <c r="D564" s="106" t="str">
        <f t="shared" si="10"/>
        <v>Interoperabilidad</v>
      </c>
      <c r="E564" s="106" t="str">
        <f t="shared" si="11"/>
        <v>Capacidad de los sistemas para intercambiar datos de manera segura y automática. Esto se traduce en una mejor experiencia usuaria gracias a que no es necesario completar datos de forma manual cuando se pueden obtener de una base de datos compartida.</v>
      </c>
      <c r="F564" s="141" t="str">
        <f t="shared" si="3"/>
        <v>4.2</v>
      </c>
      <c r="G564" s="92" t="str">
        <f t="shared" si="4"/>
        <v>ESPERABLES</v>
      </c>
      <c r="H564" s="96"/>
      <c r="I564" s="96" t="str">
        <f t="shared" si="5"/>
        <v/>
      </c>
      <c r="J564" s="98" t="str">
        <f t="shared" si="6"/>
        <v/>
      </c>
      <c r="K564" s="98" t="str">
        <f t="shared" si="7"/>
        <v/>
      </c>
      <c r="L564" s="141" t="str">
        <f t="shared" ref="L564:N564" si="570">IF(I564="",L563,I564)</f>
        <v>4.2.1</v>
      </c>
      <c r="M564" s="98" t="str">
        <f t="shared" si="570"/>
        <v>Precarga y reutilización de datos</v>
      </c>
      <c r="N564" s="98" t="str">
        <f t="shared" si="570"/>
        <v>Intercambio y obtención de información desde bases de datos centralizadas, que permita a las personas usuarias evitar tener que completar datos previamente entregados.</v>
      </c>
      <c r="O564" s="332"/>
      <c r="P564" s="171"/>
      <c r="Q564" s="171"/>
      <c r="R564" s="168"/>
      <c r="S564" s="169" t="s">
        <v>2183</v>
      </c>
      <c r="T564" s="164" t="s">
        <v>2033</v>
      </c>
      <c r="U564" s="94"/>
      <c r="V564" s="94"/>
      <c r="W564" s="94"/>
      <c r="X564" s="94"/>
      <c r="Y564" s="94"/>
      <c r="Z564" s="94"/>
      <c r="AA564" s="94"/>
      <c r="AB564" s="94"/>
      <c r="AC564" s="94"/>
      <c r="AD564" s="94"/>
      <c r="AE564" s="94"/>
      <c r="AF564" s="94"/>
      <c r="AG564" s="94"/>
      <c r="AH564" s="94"/>
      <c r="AI564" s="94"/>
      <c r="AJ564" s="94"/>
      <c r="AK564" s="94"/>
      <c r="AL564" s="94"/>
    </row>
    <row r="565" hidden="1">
      <c r="A565" s="105" t="s">
        <v>1540</v>
      </c>
      <c r="B565" s="106" t="str">
        <f t="shared" si="494"/>
        <v>Otro</v>
      </c>
      <c r="C565" s="106" t="str">
        <f t="shared" si="9"/>
        <v>5.</v>
      </c>
      <c r="D565" s="106" t="str">
        <f t="shared" si="10"/>
        <v>Contenido y lenguaje claro</v>
      </c>
      <c r="E565"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65" s="141" t="str">
        <f t="shared" si="3"/>
        <v>4.2</v>
      </c>
      <c r="G565" s="92" t="str">
        <f t="shared" si="4"/>
        <v>ESPERABLES</v>
      </c>
      <c r="H565" s="109"/>
      <c r="I565" s="109" t="str">
        <f t="shared" si="5"/>
        <v/>
      </c>
      <c r="J565" s="98" t="str">
        <f t="shared" si="6"/>
        <v/>
      </c>
      <c r="K565" s="98" t="str">
        <f t="shared" si="7"/>
        <v/>
      </c>
      <c r="L565" s="141" t="str">
        <f t="shared" ref="L565:N565" si="571">IF(I565="",L564,I565)</f>
        <v>4.2.1</v>
      </c>
      <c r="M565" s="98" t="str">
        <f t="shared" si="571"/>
        <v>Precarga y reutilización de datos</v>
      </c>
      <c r="N565" s="98" t="str">
        <f t="shared" si="571"/>
        <v>Intercambio y obtención de información desde bases de datos centralizadas, que permita a las personas usuarias evitar tener que completar datos previamente entregados.</v>
      </c>
      <c r="O565" s="111" t="s">
        <v>27</v>
      </c>
      <c r="P565" s="112" t="s">
        <v>18</v>
      </c>
      <c r="Q565" s="113"/>
      <c r="R565" s="114"/>
      <c r="S565" s="115" t="s">
        <v>662</v>
      </c>
      <c r="T565" s="116" t="s">
        <v>2161</v>
      </c>
      <c r="U565" s="94"/>
      <c r="V565" s="94"/>
      <c r="W565" s="94"/>
      <c r="X565" s="94"/>
      <c r="Y565" s="94"/>
      <c r="Z565" s="94"/>
      <c r="AA565" s="94"/>
      <c r="AB565" s="94"/>
      <c r="AC565" s="94"/>
      <c r="AD565" s="94"/>
      <c r="AE565" s="94"/>
      <c r="AF565" s="94"/>
      <c r="AG565" s="94"/>
      <c r="AH565" s="94"/>
      <c r="AI565" s="94"/>
      <c r="AJ565" s="94"/>
      <c r="AK565" s="94"/>
      <c r="AL565" s="94"/>
    </row>
    <row r="566" hidden="1">
      <c r="A566" s="105" t="s">
        <v>1540</v>
      </c>
      <c r="B566" s="106" t="str">
        <f t="shared" si="494"/>
        <v>Otro</v>
      </c>
      <c r="C566" s="106" t="str">
        <f t="shared" si="9"/>
        <v>5.</v>
      </c>
      <c r="D566" s="106" t="str">
        <f t="shared" si="10"/>
        <v>Contenido y lenguaje claro</v>
      </c>
      <c r="E566"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66" s="141" t="str">
        <f t="shared" si="3"/>
        <v>4.2</v>
      </c>
      <c r="G566" s="92" t="str">
        <f t="shared" si="4"/>
        <v>ESPERABLES</v>
      </c>
      <c r="H566" s="109"/>
      <c r="I566" s="109" t="str">
        <f t="shared" si="5"/>
        <v/>
      </c>
      <c r="J566" s="98" t="str">
        <f t="shared" si="6"/>
        <v/>
      </c>
      <c r="K566" s="98" t="str">
        <f t="shared" si="7"/>
        <v/>
      </c>
      <c r="L566" s="141" t="str">
        <f t="shared" ref="L566:N566" si="572">IF(I566="",L565,I566)</f>
        <v>4.2.1</v>
      </c>
      <c r="M566" s="98" t="str">
        <f t="shared" si="572"/>
        <v>Precarga y reutilización de datos</v>
      </c>
      <c r="N566" s="98" t="str">
        <f t="shared" si="572"/>
        <v>Intercambio y obtención de información desde bases de datos centralizadas, que permita a las personas usuarias evitar tener que completar datos previamente entregados.</v>
      </c>
      <c r="O566" s="117"/>
      <c r="P566" s="118"/>
      <c r="Q566" s="119"/>
      <c r="R566" s="114"/>
      <c r="S566" s="239"/>
      <c r="T566" s="116" t="s">
        <v>19</v>
      </c>
      <c r="U566" s="94"/>
      <c r="V566" s="94"/>
      <c r="W566" s="94"/>
      <c r="X566" s="94"/>
      <c r="Y566" s="94"/>
      <c r="Z566" s="94"/>
      <c r="AA566" s="94"/>
      <c r="AB566" s="94"/>
      <c r="AC566" s="94"/>
      <c r="AD566" s="94"/>
      <c r="AE566" s="94"/>
      <c r="AF566" s="94"/>
      <c r="AG566" s="94"/>
      <c r="AH566" s="94"/>
      <c r="AI566" s="94"/>
      <c r="AJ566" s="94"/>
      <c r="AK566" s="94"/>
      <c r="AL566" s="94"/>
    </row>
    <row r="567" hidden="1">
      <c r="A567" s="105" t="s">
        <v>1540</v>
      </c>
      <c r="B567" s="106" t="str">
        <f t="shared" si="494"/>
        <v>Otro</v>
      </c>
      <c r="C567" s="106" t="str">
        <f t="shared" si="9"/>
        <v>5.</v>
      </c>
      <c r="D567" s="106" t="str">
        <f t="shared" si="10"/>
        <v>Contenido y lenguaje claro</v>
      </c>
      <c r="E567"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67" s="141" t="str">
        <f t="shared" si="3"/>
        <v>4.2</v>
      </c>
      <c r="G567" s="92" t="str">
        <f t="shared" si="4"/>
        <v>ESPERABLES</v>
      </c>
      <c r="H567" s="109"/>
      <c r="I567" s="109" t="str">
        <f t="shared" si="5"/>
        <v/>
      </c>
      <c r="J567" s="98" t="str">
        <f t="shared" si="6"/>
        <v/>
      </c>
      <c r="K567" s="98" t="str">
        <f t="shared" si="7"/>
        <v/>
      </c>
      <c r="L567" s="141" t="str">
        <f t="shared" ref="L567:N567" si="573">IF(I567="",L566,I567)</f>
        <v>4.2.1</v>
      </c>
      <c r="M567" s="98" t="str">
        <f t="shared" si="573"/>
        <v>Precarga y reutilización de datos</v>
      </c>
      <c r="N567" s="98" t="str">
        <f t="shared" si="573"/>
        <v>Intercambio y obtención de información desde bases de datos centralizadas, que permita a las personas usuarias evitar tener que completar datos previamente entregados.</v>
      </c>
      <c r="O567" s="121"/>
      <c r="P567" s="122"/>
      <c r="Q567" s="123"/>
      <c r="R567" s="114"/>
      <c r="S567" s="240"/>
      <c r="T567" s="116" t="s">
        <v>22</v>
      </c>
      <c r="U567" s="94"/>
      <c r="V567" s="94"/>
      <c r="W567" s="94"/>
      <c r="X567" s="94"/>
      <c r="Y567" s="94"/>
      <c r="Z567" s="94"/>
      <c r="AA567" s="94"/>
      <c r="AB567" s="94"/>
      <c r="AC567" s="94"/>
      <c r="AD567" s="94"/>
      <c r="AE567" s="94"/>
      <c r="AF567" s="94"/>
      <c r="AG567" s="94"/>
      <c r="AH567" s="94"/>
      <c r="AI567" s="94"/>
      <c r="AJ567" s="94"/>
      <c r="AK567" s="94"/>
      <c r="AL567" s="94"/>
    </row>
    <row r="568" hidden="1">
      <c r="A568" s="105" t="s">
        <v>1540</v>
      </c>
      <c r="B568" s="106" t="str">
        <f t="shared" si="494"/>
        <v>Otro</v>
      </c>
      <c r="C568" s="106" t="str">
        <f t="shared" si="9"/>
        <v>5.</v>
      </c>
      <c r="D568" s="106" t="str">
        <f t="shared" si="10"/>
        <v>Contenido y lenguaje claro</v>
      </c>
      <c r="E568"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68" s="141" t="str">
        <f t="shared" si="3"/>
        <v>4.2</v>
      </c>
      <c r="G568" s="92" t="str">
        <f t="shared" si="4"/>
        <v>ESPERABLES</v>
      </c>
      <c r="H568" s="125"/>
      <c r="I568" s="125" t="str">
        <f t="shared" si="5"/>
        <v/>
      </c>
      <c r="J568" s="98" t="str">
        <f t="shared" si="6"/>
        <v/>
      </c>
      <c r="K568" s="98" t="str">
        <f t="shared" si="7"/>
        <v/>
      </c>
      <c r="L568" s="141" t="str">
        <f t="shared" ref="L568:N568" si="574">IF(I568="",L567,I568)</f>
        <v>4.2.1</v>
      </c>
      <c r="M568" s="98" t="str">
        <f t="shared" si="574"/>
        <v>Precarga y reutilización de datos</v>
      </c>
      <c r="N568" s="98" t="str">
        <f t="shared" si="574"/>
        <v>Intercambio y obtención de información desde bases de datos centralizadas, que permita a las personas usuarias evitar tener que completar datos previamente entregados.</v>
      </c>
      <c r="O568" s="126"/>
      <c r="P568" s="114"/>
      <c r="Q568" s="114"/>
      <c r="R568" s="114"/>
      <c r="S568" s="114"/>
      <c r="T568" s="127"/>
      <c r="U568" s="94"/>
      <c r="V568" s="94"/>
      <c r="W568" s="94"/>
      <c r="X568" s="94"/>
      <c r="Y568" s="94"/>
      <c r="Z568" s="94"/>
      <c r="AA568" s="94"/>
      <c r="AB568" s="94"/>
      <c r="AC568" s="94"/>
      <c r="AD568" s="94"/>
      <c r="AE568" s="94"/>
      <c r="AF568" s="94"/>
      <c r="AG568" s="94"/>
      <c r="AH568" s="94"/>
      <c r="AI568" s="94"/>
      <c r="AJ568" s="94"/>
      <c r="AK568" s="94"/>
      <c r="AL568" s="94"/>
    </row>
    <row r="569" hidden="1">
      <c r="A569" s="86" t="s">
        <v>1540</v>
      </c>
      <c r="B569" s="95" t="str">
        <f t="shared" si="494"/>
        <v>Otro</v>
      </c>
      <c r="C569" s="106" t="str">
        <f t="shared" si="9"/>
        <v>5.</v>
      </c>
      <c r="D569" s="106" t="str">
        <f t="shared" si="10"/>
        <v>Contenido y lenguaje claro</v>
      </c>
      <c r="E569"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69" s="141" t="str">
        <f t="shared" si="3"/>
        <v>4.2</v>
      </c>
      <c r="G569" s="92" t="str">
        <f t="shared" si="4"/>
        <v>ESPERABLES</v>
      </c>
      <c r="H569" s="130"/>
      <c r="I569" s="130" t="str">
        <f t="shared" si="5"/>
        <v/>
      </c>
      <c r="J569" s="98" t="str">
        <f t="shared" si="6"/>
        <v/>
      </c>
      <c r="K569" s="98" t="str">
        <f t="shared" si="7"/>
        <v/>
      </c>
      <c r="L569" s="141" t="str">
        <f t="shared" ref="L569:N569" si="575">IF(I569="",L568,I569)</f>
        <v>4.2.1</v>
      </c>
      <c r="M569" s="98" t="str">
        <f t="shared" si="575"/>
        <v>Precarga y reutilización de datos</v>
      </c>
      <c r="N569" s="98" t="str">
        <f t="shared" si="575"/>
        <v>Intercambio y obtención de información desde bases de datos centralizadas, que permita a las personas usuarias evitar tener que completar datos previamente entregados.</v>
      </c>
      <c r="O569" s="132" t="s">
        <v>1822</v>
      </c>
      <c r="P569" s="133" t="s">
        <v>1823</v>
      </c>
      <c r="Q569" s="133" t="s">
        <v>2031</v>
      </c>
      <c r="R569" s="134"/>
      <c r="S569" s="133" t="s">
        <v>1824</v>
      </c>
      <c r="T569" s="133" t="s">
        <v>1825</v>
      </c>
      <c r="U569" s="94"/>
      <c r="V569" s="94"/>
      <c r="W569" s="94"/>
      <c r="X569" s="94"/>
      <c r="Y569" s="94"/>
      <c r="Z569" s="94"/>
      <c r="AA569" s="94"/>
      <c r="AB569" s="94"/>
      <c r="AC569" s="94"/>
      <c r="AD569" s="94"/>
      <c r="AE569" s="94"/>
      <c r="AF569" s="94"/>
      <c r="AG569" s="94"/>
      <c r="AH569" s="94"/>
      <c r="AI569" s="94"/>
      <c r="AJ569" s="94"/>
      <c r="AK569" s="94"/>
      <c r="AL569" s="94"/>
    </row>
    <row r="570" hidden="1">
      <c r="A570" s="86" t="s">
        <v>1540</v>
      </c>
      <c r="B570" s="95" t="str">
        <f t="shared" si="494"/>
        <v>Otro</v>
      </c>
      <c r="C570" s="106" t="str">
        <f t="shared" si="9"/>
        <v>5.</v>
      </c>
      <c r="D570" s="106" t="str">
        <f t="shared" si="10"/>
        <v>Contenido y lenguaje claro</v>
      </c>
      <c r="E570"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70" s="141" t="str">
        <f t="shared" si="3"/>
        <v>5.1</v>
      </c>
      <c r="G570" s="92" t="str">
        <f t="shared" si="4"/>
        <v>IMPRESCINDIBLES</v>
      </c>
      <c r="H570" s="141"/>
      <c r="I570" s="141" t="str">
        <f t="shared" si="5"/>
        <v/>
      </c>
      <c r="J570" s="98" t="str">
        <f t="shared" si="6"/>
        <v/>
      </c>
      <c r="K570" s="98" t="str">
        <f t="shared" si="7"/>
        <v/>
      </c>
      <c r="L570" s="141" t="str">
        <f t="shared" ref="L570:N570" si="576">IF(I570="",L569,I570)</f>
        <v>4.2.1</v>
      </c>
      <c r="M570" s="98" t="str">
        <f t="shared" si="576"/>
        <v>Precarga y reutilización de datos</v>
      </c>
      <c r="N570" s="98" t="str">
        <f t="shared" si="576"/>
        <v>Intercambio y obtención de información desde bases de datos centralizadas, que permita a las personas usuarias evitar tener que completar datos previamente entregados.</v>
      </c>
      <c r="O570" s="258" t="s">
        <v>972</v>
      </c>
      <c r="P570" s="137" t="s">
        <v>664</v>
      </c>
      <c r="Q570" s="138"/>
      <c r="R570" s="138"/>
      <c r="S570" s="139">
        <f>COUNTA(P571:P586)</f>
        <v>7</v>
      </c>
      <c r="T570" s="140">
        <f>COUNTIF(U571:U586,"n/a")</f>
        <v>0</v>
      </c>
      <c r="U570" s="94"/>
      <c r="V570" s="94"/>
      <c r="W570" s="94"/>
      <c r="X570" s="94"/>
      <c r="Y570" s="94"/>
      <c r="Z570" s="94"/>
      <c r="AA570" s="94"/>
      <c r="AB570" s="94"/>
      <c r="AC570" s="94"/>
      <c r="AD570" s="94"/>
      <c r="AE570" s="94"/>
      <c r="AF570" s="94"/>
      <c r="AG570" s="94"/>
      <c r="AH570" s="94"/>
      <c r="AI570" s="94"/>
      <c r="AJ570" s="94"/>
      <c r="AK570" s="94"/>
      <c r="AL570" s="94"/>
    </row>
    <row r="571" hidden="1">
      <c r="A571" s="105" t="s">
        <v>1540</v>
      </c>
      <c r="B571" s="92" t="str">
        <f t="shared" si="494"/>
        <v>Pregunta</v>
      </c>
      <c r="C571" s="106" t="str">
        <f t="shared" si="9"/>
        <v>5.</v>
      </c>
      <c r="D571" s="106" t="str">
        <f t="shared" si="10"/>
        <v>Contenido y lenguaje claro</v>
      </c>
      <c r="E571"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71" s="141" t="str">
        <f t="shared" si="3"/>
        <v>5.1</v>
      </c>
      <c r="G571" s="92" t="str">
        <f t="shared" si="4"/>
        <v>IMPRESCINDIBLES</v>
      </c>
      <c r="H571" s="141"/>
      <c r="I571" s="141" t="str">
        <f t="shared" si="5"/>
        <v>5.1.1</v>
      </c>
      <c r="J571" s="98" t="str">
        <f t="shared" si="6"/>
        <v>Fiabilidad</v>
      </c>
      <c r="K571" s="98" t="str">
        <f t="shared" si="7"/>
        <v>Entrega de información veraz, segura y rigurosa.</v>
      </c>
      <c r="L571" s="141" t="str">
        <f t="shared" ref="L571:N571" si="577">IF(I571="",L570,I571)</f>
        <v>5.1.1</v>
      </c>
      <c r="M571" s="98" t="str">
        <f t="shared" si="577"/>
        <v>Fiabilidad</v>
      </c>
      <c r="N571" s="98" t="str">
        <f t="shared" si="577"/>
        <v>Entrega de información veraz, segura y rigurosa.</v>
      </c>
      <c r="O571" s="142" t="s">
        <v>973</v>
      </c>
      <c r="P571" s="143" t="s">
        <v>666</v>
      </c>
      <c r="Q571" s="143" t="s">
        <v>667</v>
      </c>
      <c r="R571" s="144"/>
      <c r="S571" s="145" t="s">
        <v>1594</v>
      </c>
      <c r="T571" s="164" t="s">
        <v>2033</v>
      </c>
      <c r="U571" s="94"/>
      <c r="V571" s="94"/>
      <c r="W571" s="94"/>
      <c r="X571" s="94"/>
      <c r="Y571" s="94"/>
      <c r="Z571" s="94"/>
      <c r="AA571" s="94"/>
      <c r="AB571" s="94"/>
      <c r="AC571" s="94"/>
      <c r="AD571" s="94"/>
      <c r="AE571" s="94"/>
      <c r="AF571" s="94"/>
      <c r="AG571" s="94"/>
      <c r="AH571" s="94"/>
      <c r="AI571" s="94"/>
      <c r="AJ571" s="94"/>
      <c r="AK571" s="94"/>
      <c r="AL571" s="94"/>
    </row>
    <row r="572" hidden="1">
      <c r="A572" s="105" t="s">
        <v>1540</v>
      </c>
      <c r="B572" s="92" t="str">
        <f t="shared" si="494"/>
        <v>Pregunta</v>
      </c>
      <c r="C572" s="106" t="str">
        <f t="shared" si="9"/>
        <v>5.</v>
      </c>
      <c r="D572" s="106" t="str">
        <f t="shared" si="10"/>
        <v>Contenido y lenguaje claro</v>
      </c>
      <c r="E572"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72" s="141" t="str">
        <f t="shared" si="3"/>
        <v>5.1</v>
      </c>
      <c r="G572" s="92" t="str">
        <f t="shared" si="4"/>
        <v>IMPRESCINDIBLES</v>
      </c>
      <c r="H572" s="141"/>
      <c r="I572" s="141" t="str">
        <f t="shared" si="5"/>
        <v>5.1.2</v>
      </c>
      <c r="J572" s="98" t="str">
        <f t="shared" si="6"/>
        <v>Completitud</v>
      </c>
      <c r="K572" s="98" t="str">
        <f t="shared" si="7"/>
        <v>Entrega de información con la cobertura y datos necesarios para divulgar un tema con exhaustividad.</v>
      </c>
      <c r="L572" s="141" t="str">
        <f t="shared" ref="L572:N572" si="578">IF(I572="",L571,I572)</f>
        <v>5.1.2</v>
      </c>
      <c r="M572" s="98" t="str">
        <f t="shared" si="578"/>
        <v>Completitud</v>
      </c>
      <c r="N572" s="98" t="str">
        <f t="shared" si="578"/>
        <v>Entrega de información con la cobertura y datos necesarios para divulgar un tema con exhaustividad.</v>
      </c>
      <c r="O572" s="147" t="s">
        <v>1595</v>
      </c>
      <c r="P572" s="148" t="s">
        <v>671</v>
      </c>
      <c r="Q572" s="148" t="s">
        <v>672</v>
      </c>
      <c r="R572" s="149"/>
      <c r="S572" s="150" t="s">
        <v>673</v>
      </c>
      <c r="T572" s="160" t="s">
        <v>2033</v>
      </c>
      <c r="U572" s="94"/>
      <c r="V572" s="94"/>
      <c r="W572" s="94"/>
      <c r="X572" s="94"/>
      <c r="Y572" s="94"/>
      <c r="Z572" s="94"/>
      <c r="AA572" s="94"/>
      <c r="AB572" s="94"/>
      <c r="AC572" s="94"/>
      <c r="AD572" s="94"/>
      <c r="AE572" s="94"/>
      <c r="AF572" s="94"/>
      <c r="AG572" s="94"/>
      <c r="AH572" s="94"/>
      <c r="AI572" s="94"/>
      <c r="AJ572" s="94"/>
      <c r="AK572" s="94"/>
      <c r="AL572" s="94"/>
    </row>
    <row r="573" hidden="1">
      <c r="A573" s="86" t="s">
        <v>1540</v>
      </c>
      <c r="B573" s="95" t="str">
        <f t="shared" si="494"/>
        <v>Pregunta</v>
      </c>
      <c r="C573" s="106" t="str">
        <f t="shared" si="9"/>
        <v>5.</v>
      </c>
      <c r="D573" s="106" t="str">
        <f t="shared" si="10"/>
        <v>Contenido y lenguaje claro</v>
      </c>
      <c r="E573"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73" s="141" t="str">
        <f t="shared" si="3"/>
        <v>5.1</v>
      </c>
      <c r="G573" s="92" t="str">
        <f t="shared" si="4"/>
        <v>IMPRESCINDIBLES</v>
      </c>
      <c r="H573" s="141"/>
      <c r="I573" s="141" t="str">
        <f t="shared" si="5"/>
        <v/>
      </c>
      <c r="J573" s="98" t="str">
        <f t="shared" si="6"/>
        <v/>
      </c>
      <c r="K573" s="98" t="str">
        <f t="shared" si="7"/>
        <v/>
      </c>
      <c r="L573" s="141" t="str">
        <f t="shared" ref="L573:N573" si="579">IF(I573="",L572,I573)</f>
        <v>5.1.2</v>
      </c>
      <c r="M573" s="98" t="str">
        <f t="shared" si="579"/>
        <v>Completitud</v>
      </c>
      <c r="N573" s="98" t="str">
        <f t="shared" si="579"/>
        <v>Entrega de información con la cobertura y datos necesarios para divulgar un tema con exhaustividad.</v>
      </c>
      <c r="O573" s="152"/>
      <c r="P573" s="153"/>
      <c r="Q573" s="153"/>
      <c r="R573" s="154"/>
      <c r="S573" s="155" t="s">
        <v>674</v>
      </c>
      <c r="T573" s="160" t="s">
        <v>2033</v>
      </c>
      <c r="U573" s="94"/>
      <c r="V573" s="94"/>
      <c r="W573" s="94"/>
      <c r="X573" s="94"/>
      <c r="Y573" s="94"/>
      <c r="Z573" s="94"/>
      <c r="AA573" s="94"/>
      <c r="AB573" s="94"/>
      <c r="AC573" s="94"/>
      <c r="AD573" s="94"/>
      <c r="AE573" s="94"/>
      <c r="AF573" s="94"/>
      <c r="AG573" s="94"/>
      <c r="AH573" s="94"/>
      <c r="AI573" s="94"/>
      <c r="AJ573" s="94"/>
      <c r="AK573" s="94"/>
      <c r="AL573" s="94"/>
    </row>
    <row r="574" hidden="1">
      <c r="A574" s="86" t="s">
        <v>1540</v>
      </c>
      <c r="B574" s="95" t="str">
        <f t="shared" si="494"/>
        <v>Pregunta</v>
      </c>
      <c r="C574" s="106" t="str">
        <f t="shared" si="9"/>
        <v>5.</v>
      </c>
      <c r="D574" s="106" t="str">
        <f t="shared" si="10"/>
        <v>Contenido y lenguaje claro</v>
      </c>
      <c r="E574"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74" s="141" t="str">
        <f t="shared" si="3"/>
        <v>5.1</v>
      </c>
      <c r="G574" s="92" t="str">
        <f t="shared" si="4"/>
        <v>IMPRESCINDIBLES</v>
      </c>
      <c r="H574" s="141"/>
      <c r="I574" s="141" t="str">
        <f t="shared" si="5"/>
        <v/>
      </c>
      <c r="J574" s="98" t="str">
        <f t="shared" si="6"/>
        <v/>
      </c>
      <c r="K574" s="98" t="str">
        <f t="shared" si="7"/>
        <v/>
      </c>
      <c r="L574" s="141" t="str">
        <f t="shared" ref="L574:N574" si="580">IF(I574="",L573,I574)</f>
        <v>5.1.2</v>
      </c>
      <c r="M574" s="98" t="str">
        <f t="shared" si="580"/>
        <v>Completitud</v>
      </c>
      <c r="N574" s="98" t="str">
        <f t="shared" si="580"/>
        <v>Entrega de información con la cobertura y datos necesarios para divulgar un tema con exhaustividad.</v>
      </c>
      <c r="O574" s="152"/>
      <c r="P574" s="153"/>
      <c r="Q574" s="153"/>
      <c r="R574" s="154"/>
      <c r="S574" s="155" t="s">
        <v>675</v>
      </c>
      <c r="T574" s="160" t="s">
        <v>2033</v>
      </c>
      <c r="U574" s="94"/>
      <c r="V574" s="94"/>
      <c r="W574" s="94"/>
      <c r="X574" s="94"/>
      <c r="Y574" s="94"/>
      <c r="Z574" s="94"/>
      <c r="AA574" s="94"/>
      <c r="AB574" s="94"/>
      <c r="AC574" s="94"/>
      <c r="AD574" s="94"/>
      <c r="AE574" s="94"/>
      <c r="AF574" s="94"/>
      <c r="AG574" s="94"/>
      <c r="AH574" s="94"/>
      <c r="AI574" s="94"/>
      <c r="AJ574" s="94"/>
      <c r="AK574" s="94"/>
      <c r="AL574" s="94"/>
    </row>
    <row r="575" hidden="1">
      <c r="A575" s="86" t="s">
        <v>1540</v>
      </c>
      <c r="B575" s="95" t="str">
        <f t="shared" si="494"/>
        <v>Pregunta</v>
      </c>
      <c r="C575" s="106" t="str">
        <f t="shared" si="9"/>
        <v>5.</v>
      </c>
      <c r="D575" s="106" t="str">
        <f t="shared" si="10"/>
        <v>Contenido y lenguaje claro</v>
      </c>
      <c r="E575"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75" s="141" t="str">
        <f t="shared" si="3"/>
        <v>5.1</v>
      </c>
      <c r="G575" s="92" t="str">
        <f t="shared" si="4"/>
        <v>IMPRESCINDIBLES</v>
      </c>
      <c r="H575" s="141"/>
      <c r="I575" s="141" t="str">
        <f t="shared" si="5"/>
        <v/>
      </c>
      <c r="J575" s="98" t="str">
        <f t="shared" si="6"/>
        <v/>
      </c>
      <c r="K575" s="98" t="str">
        <f t="shared" si="7"/>
        <v/>
      </c>
      <c r="L575" s="141" t="str">
        <f t="shared" ref="L575:N575" si="581">IF(I575="",L574,I575)</f>
        <v>5.1.2</v>
      </c>
      <c r="M575" s="98" t="str">
        <f t="shared" si="581"/>
        <v>Completitud</v>
      </c>
      <c r="N575" s="98" t="str">
        <f t="shared" si="581"/>
        <v>Entrega de información con la cobertura y datos necesarios para divulgar un tema con exhaustividad.</v>
      </c>
      <c r="O575" s="142"/>
      <c r="P575" s="143"/>
      <c r="Q575" s="143"/>
      <c r="R575" s="156"/>
      <c r="S575" s="157" t="s">
        <v>2184</v>
      </c>
      <c r="T575" s="164" t="s">
        <v>2033</v>
      </c>
      <c r="U575" s="94"/>
      <c r="V575" s="94"/>
      <c r="W575" s="94"/>
      <c r="X575" s="94"/>
      <c r="Y575" s="94"/>
      <c r="Z575" s="94"/>
      <c r="AA575" s="94"/>
      <c r="AB575" s="94"/>
      <c r="AC575" s="94"/>
      <c r="AD575" s="94"/>
      <c r="AE575" s="94"/>
      <c r="AF575" s="94"/>
      <c r="AG575" s="94"/>
      <c r="AH575" s="94"/>
      <c r="AI575" s="94"/>
      <c r="AJ575" s="94"/>
      <c r="AK575" s="94"/>
      <c r="AL575" s="94"/>
    </row>
    <row r="576" hidden="1">
      <c r="A576" s="105" t="s">
        <v>1540</v>
      </c>
      <c r="B576" s="92" t="str">
        <f t="shared" si="494"/>
        <v>Pregunta</v>
      </c>
      <c r="C576" s="106" t="str">
        <f t="shared" si="9"/>
        <v>5.</v>
      </c>
      <c r="D576" s="106" t="str">
        <f t="shared" si="10"/>
        <v>Contenido y lenguaje claro</v>
      </c>
      <c r="E576"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76" s="141" t="str">
        <f t="shared" si="3"/>
        <v>5.1</v>
      </c>
      <c r="G576" s="92" t="str">
        <f t="shared" si="4"/>
        <v>IMPRESCINDIBLES</v>
      </c>
      <c r="H576" s="141"/>
      <c r="I576" s="141" t="str">
        <f t="shared" si="5"/>
        <v>5.1.3</v>
      </c>
      <c r="J576" s="98" t="str">
        <f t="shared" si="6"/>
        <v>Lenguaje plano</v>
      </c>
      <c r="K576" s="98" t="str">
        <f t="shared" si="7"/>
        <v>Estilo de redacción simple y centrado en las personas usuarias, alejado de jergas legales y tecnicismos.</v>
      </c>
      <c r="L576" s="141" t="str">
        <f t="shared" ref="L576:N576" si="582">IF(I576="",L575,I576)</f>
        <v>5.1.3</v>
      </c>
      <c r="M576" s="98" t="str">
        <f t="shared" si="582"/>
        <v>Lenguaje plano</v>
      </c>
      <c r="N576" s="98" t="str">
        <f t="shared" si="582"/>
        <v>Estilo de redacción simple y centrado en las personas usuarias, alejado de jergas legales y tecnicismos.</v>
      </c>
      <c r="O576" s="147" t="s">
        <v>1596</v>
      </c>
      <c r="P576" s="148" t="s">
        <v>678</v>
      </c>
      <c r="Q576" s="148" t="s">
        <v>679</v>
      </c>
      <c r="R576" s="158"/>
      <c r="S576" s="159" t="s">
        <v>2185</v>
      </c>
      <c r="T576" s="160" t="s">
        <v>2033</v>
      </c>
      <c r="U576" s="94"/>
      <c r="V576" s="94"/>
      <c r="W576" s="94"/>
      <c r="X576" s="94"/>
      <c r="Y576" s="94"/>
      <c r="Z576" s="94"/>
      <c r="AA576" s="94"/>
      <c r="AB576" s="94"/>
      <c r="AC576" s="94"/>
      <c r="AD576" s="94"/>
      <c r="AE576" s="94"/>
      <c r="AF576" s="94"/>
      <c r="AG576" s="94"/>
      <c r="AH576" s="94"/>
      <c r="AI576" s="94"/>
      <c r="AJ576" s="94"/>
      <c r="AK576" s="94"/>
      <c r="AL576" s="94"/>
    </row>
    <row r="577" hidden="1">
      <c r="A577" s="86" t="s">
        <v>1540</v>
      </c>
      <c r="B577" s="95" t="str">
        <f t="shared" si="494"/>
        <v>Pregunta</v>
      </c>
      <c r="C577" s="106" t="str">
        <f t="shared" si="9"/>
        <v>5.</v>
      </c>
      <c r="D577" s="106" t="str">
        <f t="shared" si="10"/>
        <v>Contenido y lenguaje claro</v>
      </c>
      <c r="E577"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77" s="141" t="str">
        <f t="shared" si="3"/>
        <v>5.1</v>
      </c>
      <c r="G577" s="92" t="str">
        <f t="shared" si="4"/>
        <v>IMPRESCINDIBLES</v>
      </c>
      <c r="H577" s="141"/>
      <c r="I577" s="141" t="str">
        <f t="shared" si="5"/>
        <v/>
      </c>
      <c r="J577" s="98" t="str">
        <f t="shared" si="6"/>
        <v/>
      </c>
      <c r="K577" s="98" t="str">
        <f t="shared" si="7"/>
        <v/>
      </c>
      <c r="L577" s="141" t="str">
        <f t="shared" ref="L577:N577" si="583">IF(I577="",L576,I577)</f>
        <v>5.1.3</v>
      </c>
      <c r="M577" s="98" t="str">
        <f t="shared" si="583"/>
        <v>Lenguaje plano</v>
      </c>
      <c r="N577" s="98" t="str">
        <f t="shared" si="583"/>
        <v>Estilo de redacción simple y centrado en las personas usuarias, alejado de jergas legales y tecnicismos.</v>
      </c>
      <c r="O577" s="152"/>
      <c r="P577" s="153"/>
      <c r="Q577" s="153"/>
      <c r="R577" s="154"/>
      <c r="S577" s="155" t="s">
        <v>681</v>
      </c>
      <c r="T577" s="160" t="s">
        <v>2033</v>
      </c>
      <c r="U577" s="94"/>
      <c r="V577" s="94"/>
      <c r="W577" s="94"/>
      <c r="X577" s="94"/>
      <c r="Y577" s="94"/>
      <c r="Z577" s="94"/>
      <c r="AA577" s="94"/>
      <c r="AB577" s="94"/>
      <c r="AC577" s="94"/>
      <c r="AD577" s="94"/>
      <c r="AE577" s="94"/>
      <c r="AF577" s="94"/>
      <c r="AG577" s="94"/>
      <c r="AH577" s="94"/>
      <c r="AI577" s="94"/>
      <c r="AJ577" s="94"/>
      <c r="AK577" s="94"/>
      <c r="AL577" s="94"/>
    </row>
    <row r="578" hidden="1">
      <c r="A578" s="86" t="s">
        <v>1540</v>
      </c>
      <c r="B578" s="95" t="str">
        <f t="shared" si="494"/>
        <v>Pregunta</v>
      </c>
      <c r="C578" s="106" t="str">
        <f t="shared" si="9"/>
        <v>5.</v>
      </c>
      <c r="D578" s="106" t="str">
        <f t="shared" si="10"/>
        <v>Contenido y lenguaje claro</v>
      </c>
      <c r="E578"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78" s="141" t="str">
        <f t="shared" si="3"/>
        <v>5.1</v>
      </c>
      <c r="G578" s="92" t="str">
        <f t="shared" si="4"/>
        <v>IMPRESCINDIBLES</v>
      </c>
      <c r="H578" s="141"/>
      <c r="I578" s="141" t="str">
        <f t="shared" si="5"/>
        <v/>
      </c>
      <c r="J578" s="98" t="str">
        <f t="shared" si="6"/>
        <v/>
      </c>
      <c r="K578" s="98" t="str">
        <f t="shared" si="7"/>
        <v/>
      </c>
      <c r="L578" s="141" t="str">
        <f t="shared" ref="L578:N578" si="584">IF(I578="",L577,I578)</f>
        <v>5.1.3</v>
      </c>
      <c r="M578" s="98" t="str">
        <f t="shared" si="584"/>
        <v>Lenguaje plano</v>
      </c>
      <c r="N578" s="98" t="str">
        <f t="shared" si="584"/>
        <v>Estilo de redacción simple y centrado en las personas usuarias, alejado de jergas legales y tecnicismos.</v>
      </c>
      <c r="O578" s="152"/>
      <c r="P578" s="153"/>
      <c r="Q578" s="153"/>
      <c r="R578" s="154"/>
      <c r="S578" s="155" t="s">
        <v>682</v>
      </c>
      <c r="T578" s="160" t="s">
        <v>2033</v>
      </c>
      <c r="U578" s="94"/>
      <c r="V578" s="94"/>
      <c r="W578" s="94"/>
      <c r="X578" s="94"/>
      <c r="Y578" s="94"/>
      <c r="Z578" s="94"/>
      <c r="AA578" s="94"/>
      <c r="AB578" s="94"/>
      <c r="AC578" s="94"/>
      <c r="AD578" s="94"/>
      <c r="AE578" s="94"/>
      <c r="AF578" s="94"/>
      <c r="AG578" s="94"/>
      <c r="AH578" s="94"/>
      <c r="AI578" s="94"/>
      <c r="AJ578" s="94"/>
      <c r="AK578" s="94"/>
      <c r="AL578" s="94"/>
    </row>
    <row r="579" hidden="1">
      <c r="A579" s="86" t="s">
        <v>1540</v>
      </c>
      <c r="B579" s="95" t="str">
        <f t="shared" si="494"/>
        <v>Pregunta</v>
      </c>
      <c r="C579" s="106" t="str">
        <f t="shared" si="9"/>
        <v>5.</v>
      </c>
      <c r="D579" s="106" t="str">
        <f t="shared" si="10"/>
        <v>Contenido y lenguaje claro</v>
      </c>
      <c r="E579"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79" s="141" t="str">
        <f t="shared" si="3"/>
        <v>5.1</v>
      </c>
      <c r="G579" s="92" t="str">
        <f t="shared" si="4"/>
        <v>IMPRESCINDIBLES</v>
      </c>
      <c r="H579" s="141"/>
      <c r="I579" s="141" t="str">
        <f t="shared" si="5"/>
        <v/>
      </c>
      <c r="J579" s="98" t="str">
        <f t="shared" si="6"/>
        <v/>
      </c>
      <c r="K579" s="98" t="str">
        <f t="shared" si="7"/>
        <v/>
      </c>
      <c r="L579" s="141" t="str">
        <f t="shared" ref="L579:N579" si="585">IF(I579="",L578,I579)</f>
        <v>5.1.3</v>
      </c>
      <c r="M579" s="98" t="str">
        <f t="shared" si="585"/>
        <v>Lenguaje plano</v>
      </c>
      <c r="N579" s="98" t="str">
        <f t="shared" si="585"/>
        <v>Estilo de redacción simple y centrado en las personas usuarias, alejado de jergas legales y tecnicismos.</v>
      </c>
      <c r="O579" s="152"/>
      <c r="P579" s="153"/>
      <c r="Q579" s="153"/>
      <c r="R579" s="161"/>
      <c r="S579" s="162" t="s">
        <v>683</v>
      </c>
      <c r="T579" s="160" t="s">
        <v>2033</v>
      </c>
      <c r="U579" s="94"/>
      <c r="V579" s="94"/>
      <c r="W579" s="94"/>
      <c r="X579" s="94"/>
      <c r="Y579" s="94"/>
      <c r="Z579" s="94"/>
      <c r="AA579" s="94"/>
      <c r="AB579" s="94"/>
      <c r="AC579" s="94"/>
      <c r="AD579" s="94"/>
      <c r="AE579" s="94"/>
      <c r="AF579" s="94"/>
      <c r="AG579" s="94"/>
      <c r="AH579" s="94"/>
      <c r="AI579" s="94"/>
      <c r="AJ579" s="94"/>
      <c r="AK579" s="94"/>
      <c r="AL579" s="94"/>
    </row>
    <row r="580" hidden="1">
      <c r="A580" s="86" t="s">
        <v>1540</v>
      </c>
      <c r="B580" s="95" t="str">
        <f t="shared" si="494"/>
        <v>Pregunta</v>
      </c>
      <c r="C580" s="106" t="str">
        <f t="shared" si="9"/>
        <v>5.</v>
      </c>
      <c r="D580" s="106" t="str">
        <f t="shared" si="10"/>
        <v>Contenido y lenguaje claro</v>
      </c>
      <c r="E580"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80" s="141" t="str">
        <f t="shared" si="3"/>
        <v>5.1</v>
      </c>
      <c r="G580" s="92" t="str">
        <f t="shared" si="4"/>
        <v>IMPRESCINDIBLES</v>
      </c>
      <c r="H580" s="141"/>
      <c r="I580" s="141" t="str">
        <f t="shared" si="5"/>
        <v/>
      </c>
      <c r="J580" s="98" t="str">
        <f t="shared" si="6"/>
        <v/>
      </c>
      <c r="K580" s="98" t="str">
        <f t="shared" si="7"/>
        <v/>
      </c>
      <c r="L580" s="141" t="str">
        <f t="shared" ref="L580:N580" si="586">IF(I580="",L579,I580)</f>
        <v>5.1.3</v>
      </c>
      <c r="M580" s="98" t="str">
        <f t="shared" si="586"/>
        <v>Lenguaje plano</v>
      </c>
      <c r="N580" s="98" t="str">
        <f t="shared" si="586"/>
        <v>Estilo de redacción simple y centrado en las personas usuarias, alejado de jergas legales y tecnicismos.</v>
      </c>
      <c r="O580" s="152"/>
      <c r="P580" s="153"/>
      <c r="Q580" s="153"/>
      <c r="R580" s="154"/>
      <c r="S580" s="155" t="s">
        <v>2186</v>
      </c>
      <c r="T580" s="160" t="s">
        <v>2033</v>
      </c>
      <c r="U580" s="94"/>
      <c r="V580" s="94"/>
      <c r="W580" s="94"/>
      <c r="X580" s="94"/>
      <c r="Y580" s="94"/>
      <c r="Z580" s="94"/>
      <c r="AA580" s="94"/>
      <c r="AB580" s="94"/>
      <c r="AC580" s="94"/>
      <c r="AD580" s="94"/>
      <c r="AE580" s="94"/>
      <c r="AF580" s="94"/>
      <c r="AG580" s="94"/>
      <c r="AH580" s="94"/>
      <c r="AI580" s="94"/>
      <c r="AJ580" s="94"/>
      <c r="AK580" s="94"/>
      <c r="AL580" s="94"/>
    </row>
    <row r="581" hidden="1">
      <c r="A581" s="86" t="s">
        <v>1540</v>
      </c>
      <c r="B581" s="95" t="str">
        <f t="shared" si="494"/>
        <v>Pregunta</v>
      </c>
      <c r="C581" s="106" t="str">
        <f t="shared" si="9"/>
        <v>5.</v>
      </c>
      <c r="D581" s="106" t="str">
        <f t="shared" si="10"/>
        <v>Contenido y lenguaje claro</v>
      </c>
      <c r="E581"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81" s="141" t="str">
        <f t="shared" si="3"/>
        <v>5.1</v>
      </c>
      <c r="G581" s="92" t="str">
        <f t="shared" si="4"/>
        <v>IMPRESCINDIBLES</v>
      </c>
      <c r="H581" s="141"/>
      <c r="I581" s="141" t="str">
        <f t="shared" si="5"/>
        <v/>
      </c>
      <c r="J581" s="98" t="str">
        <f t="shared" si="6"/>
        <v/>
      </c>
      <c r="K581" s="98" t="str">
        <f t="shared" si="7"/>
        <v/>
      </c>
      <c r="L581" s="141" t="str">
        <f t="shared" ref="L581:N581" si="587">IF(I581="",L580,I581)</f>
        <v>5.1.3</v>
      </c>
      <c r="M581" s="98" t="str">
        <f t="shared" si="587"/>
        <v>Lenguaje plano</v>
      </c>
      <c r="N581" s="98" t="str">
        <f t="shared" si="587"/>
        <v>Estilo de redacción simple y centrado en las personas usuarias, alejado de jergas legales y tecnicismos.</v>
      </c>
      <c r="O581" s="142"/>
      <c r="P581" s="143"/>
      <c r="Q581" s="143"/>
      <c r="R581" s="156"/>
      <c r="S581" s="163" t="s">
        <v>685</v>
      </c>
      <c r="T581" s="164" t="s">
        <v>2033</v>
      </c>
      <c r="U581" s="94"/>
      <c r="V581" s="94"/>
      <c r="W581" s="94"/>
      <c r="X581" s="94"/>
      <c r="Y581" s="94"/>
      <c r="Z581" s="94"/>
      <c r="AA581" s="94"/>
      <c r="AB581" s="94"/>
      <c r="AC581" s="94"/>
      <c r="AD581" s="94"/>
      <c r="AE581" s="94"/>
      <c r="AF581" s="94"/>
      <c r="AG581" s="94"/>
      <c r="AH581" s="94"/>
      <c r="AI581" s="94"/>
      <c r="AJ581" s="94"/>
      <c r="AK581" s="94"/>
      <c r="AL581" s="94"/>
    </row>
    <row r="582" hidden="1">
      <c r="A582" s="105" t="s">
        <v>1540</v>
      </c>
      <c r="B582" s="92" t="str">
        <f t="shared" si="494"/>
        <v>Pregunta</v>
      </c>
      <c r="C582" s="106" t="str">
        <f t="shared" si="9"/>
        <v>5.</v>
      </c>
      <c r="D582" s="106" t="str">
        <f t="shared" si="10"/>
        <v>Contenido y lenguaje claro</v>
      </c>
      <c r="E582"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82" s="141" t="str">
        <f t="shared" si="3"/>
        <v>5.1</v>
      </c>
      <c r="G582" s="92" t="str">
        <f t="shared" si="4"/>
        <v>IMPRESCINDIBLES</v>
      </c>
      <c r="H582" s="141"/>
      <c r="I582" s="141" t="str">
        <f t="shared" si="5"/>
        <v>5.1.4</v>
      </c>
      <c r="J582" s="98" t="str">
        <f t="shared" si="6"/>
        <v>Actualización</v>
      </c>
      <c r="K582" s="98" t="str">
        <f t="shared" si="7"/>
        <v>Renovación permanente de los contenidos, con el objeto de garantizar la entrega de información eficaz y oportuna a la ciudadanía.
</v>
      </c>
      <c r="L582" s="141" t="str">
        <f t="shared" ref="L582:N582" si="588">IF(I582="",L581,I582)</f>
        <v>5.1.4</v>
      </c>
      <c r="M582" s="98" t="str">
        <f t="shared" si="588"/>
        <v>Actualización</v>
      </c>
      <c r="N582" s="98" t="str">
        <f t="shared" si="588"/>
        <v>Renovación permanente de los contenidos, con el objeto de garantizar la entrega de información eficaz y oportuna a la ciudadanía.
</v>
      </c>
      <c r="O582" s="165" t="s">
        <v>1597</v>
      </c>
      <c r="P582" s="166" t="s">
        <v>687</v>
      </c>
      <c r="Q582" s="166" t="s">
        <v>688</v>
      </c>
      <c r="R582" s="167"/>
      <c r="S582" s="170" t="s">
        <v>689</v>
      </c>
      <c r="T582" s="164" t="s">
        <v>2033</v>
      </c>
      <c r="U582" s="94"/>
      <c r="V582" s="94"/>
      <c r="W582" s="94"/>
      <c r="X582" s="94"/>
      <c r="Y582" s="94"/>
      <c r="Z582" s="94"/>
      <c r="AA582" s="94"/>
      <c r="AB582" s="94"/>
      <c r="AC582" s="94"/>
      <c r="AD582" s="94"/>
      <c r="AE582" s="94"/>
      <c r="AF582" s="94"/>
      <c r="AG582" s="94"/>
      <c r="AH582" s="94"/>
      <c r="AI582" s="94"/>
      <c r="AJ582" s="94"/>
      <c r="AK582" s="94"/>
      <c r="AL582" s="94"/>
    </row>
    <row r="583" hidden="1">
      <c r="A583" s="105" t="s">
        <v>1540</v>
      </c>
      <c r="B583" s="92" t="str">
        <f t="shared" si="494"/>
        <v>Pregunta</v>
      </c>
      <c r="C583" s="106" t="str">
        <f t="shared" si="9"/>
        <v>5.</v>
      </c>
      <c r="D583" s="106" t="str">
        <f t="shared" si="10"/>
        <v>Contenido y lenguaje claro</v>
      </c>
      <c r="E583"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83" s="141" t="str">
        <f t="shared" si="3"/>
        <v>5.1</v>
      </c>
      <c r="G583" s="92" t="str">
        <f t="shared" si="4"/>
        <v>IMPRESCINDIBLES</v>
      </c>
      <c r="H583" s="141"/>
      <c r="I583" s="141" t="str">
        <f t="shared" si="5"/>
        <v>5.1.5</v>
      </c>
      <c r="J583" s="98" t="str">
        <f t="shared" si="6"/>
        <v>Redacción y ortografía</v>
      </c>
      <c r="K583" s="98" t="str">
        <f t="shared" si="7"/>
        <v>Correcta escritura de los textos publicados.</v>
      </c>
      <c r="L583" s="141" t="str">
        <f t="shared" ref="L583:N583" si="589">IF(I583="",L582,I583)</f>
        <v>5.1.5</v>
      </c>
      <c r="M583" s="98" t="str">
        <f t="shared" si="589"/>
        <v>Redacción y ortografía</v>
      </c>
      <c r="N583" s="98" t="str">
        <f t="shared" si="589"/>
        <v>Correcta escritura de los textos publicados.</v>
      </c>
      <c r="O583" s="147" t="s">
        <v>1598</v>
      </c>
      <c r="P583" s="148" t="s">
        <v>691</v>
      </c>
      <c r="Q583" s="148" t="s">
        <v>692</v>
      </c>
      <c r="R583" s="158"/>
      <c r="S583" s="159" t="s">
        <v>2187</v>
      </c>
      <c r="T583" s="160" t="s">
        <v>2033</v>
      </c>
      <c r="U583" s="94"/>
      <c r="V583" s="94"/>
      <c r="W583" s="94"/>
      <c r="X583" s="94"/>
      <c r="Y583" s="94"/>
      <c r="Z583" s="94"/>
      <c r="AA583" s="94"/>
      <c r="AB583" s="94"/>
      <c r="AC583" s="94"/>
      <c r="AD583" s="94"/>
      <c r="AE583" s="94"/>
      <c r="AF583" s="94"/>
      <c r="AG583" s="94"/>
      <c r="AH583" s="94"/>
      <c r="AI583" s="94"/>
      <c r="AJ583" s="94"/>
      <c r="AK583" s="94"/>
      <c r="AL583" s="94"/>
    </row>
    <row r="584" hidden="1">
      <c r="A584" s="86" t="s">
        <v>1540</v>
      </c>
      <c r="B584" s="95" t="str">
        <f t="shared" si="494"/>
        <v>Pregunta</v>
      </c>
      <c r="C584" s="106" t="str">
        <f t="shared" si="9"/>
        <v>5.</v>
      </c>
      <c r="D584" s="106" t="str">
        <f t="shared" si="10"/>
        <v>Contenido y lenguaje claro</v>
      </c>
      <c r="E584"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84" s="141" t="str">
        <f t="shared" si="3"/>
        <v>5.1</v>
      </c>
      <c r="G584" s="92" t="str">
        <f t="shared" si="4"/>
        <v>IMPRESCINDIBLES</v>
      </c>
      <c r="H584" s="141"/>
      <c r="I584" s="141" t="str">
        <f t="shared" si="5"/>
        <v/>
      </c>
      <c r="J584" s="98" t="str">
        <f t="shared" si="6"/>
        <v/>
      </c>
      <c r="K584" s="98" t="str">
        <f t="shared" si="7"/>
        <v/>
      </c>
      <c r="L584" s="141" t="str">
        <f t="shared" ref="L584:N584" si="590">IF(I584="",L583,I584)</f>
        <v>5.1.5</v>
      </c>
      <c r="M584" s="98" t="str">
        <f t="shared" si="590"/>
        <v>Redacción y ortografía</v>
      </c>
      <c r="N584" s="98" t="str">
        <f t="shared" si="590"/>
        <v>Correcta escritura de los textos publicados.</v>
      </c>
      <c r="O584" s="142"/>
      <c r="P584" s="143"/>
      <c r="Q584" s="143"/>
      <c r="R584" s="161"/>
      <c r="S584" s="162" t="s">
        <v>694</v>
      </c>
      <c r="T584" s="164" t="s">
        <v>2033</v>
      </c>
      <c r="U584" s="94"/>
      <c r="V584" s="94"/>
      <c r="W584" s="94"/>
      <c r="X584" s="94"/>
      <c r="Y584" s="94"/>
      <c r="Z584" s="94"/>
      <c r="AA584" s="94"/>
      <c r="AB584" s="94"/>
      <c r="AC584" s="94"/>
      <c r="AD584" s="94"/>
      <c r="AE584" s="94"/>
      <c r="AF584" s="94"/>
      <c r="AG584" s="94"/>
      <c r="AH584" s="94"/>
      <c r="AI584" s="94"/>
      <c r="AJ584" s="94"/>
      <c r="AK584" s="94"/>
      <c r="AL584" s="94"/>
    </row>
    <row r="585" hidden="1">
      <c r="A585" s="105" t="s">
        <v>1540</v>
      </c>
      <c r="B585" s="92" t="str">
        <f t="shared" si="494"/>
        <v>Pregunta</v>
      </c>
      <c r="C585" s="106" t="str">
        <f t="shared" si="9"/>
        <v>5.</v>
      </c>
      <c r="D585" s="106" t="str">
        <f t="shared" si="10"/>
        <v>Contenido y lenguaje claro</v>
      </c>
      <c r="E585"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85" s="141" t="str">
        <f t="shared" si="3"/>
        <v>5.1</v>
      </c>
      <c r="G585" s="92" t="str">
        <f t="shared" si="4"/>
        <v>IMPRESCINDIBLES</v>
      </c>
      <c r="H585" s="141"/>
      <c r="I585" s="141" t="str">
        <f t="shared" si="5"/>
        <v>5.1.6</v>
      </c>
      <c r="J585" s="98" t="str">
        <f t="shared" si="6"/>
        <v>Propiedad intelectual</v>
      </c>
      <c r="K585" s="98" t="str">
        <f t="shared" si="7"/>
        <v>Posesión de los derechos de uso de contenidos publicados en un sitio web.</v>
      </c>
      <c r="L585" s="141" t="str">
        <f t="shared" ref="L585:N585" si="591">IF(I585="",L584,I585)</f>
        <v>5.1.6</v>
      </c>
      <c r="M585" s="98" t="str">
        <f t="shared" si="591"/>
        <v>Propiedad intelectual</v>
      </c>
      <c r="N585" s="98" t="str">
        <f t="shared" si="591"/>
        <v>Posesión de los derechos de uso de contenidos publicados en un sitio web.</v>
      </c>
      <c r="O585" s="165" t="s">
        <v>1600</v>
      </c>
      <c r="P585" s="166" t="s">
        <v>697</v>
      </c>
      <c r="Q585" s="166" t="s">
        <v>698</v>
      </c>
      <c r="R585" s="167"/>
      <c r="S585" s="166" t="s">
        <v>1601</v>
      </c>
      <c r="T585" s="164" t="s">
        <v>2033</v>
      </c>
      <c r="U585" s="94"/>
      <c r="V585" s="94"/>
      <c r="W585" s="94"/>
      <c r="X585" s="94"/>
      <c r="Y585" s="94"/>
      <c r="Z585" s="94"/>
      <c r="AA585" s="94"/>
      <c r="AB585" s="94"/>
      <c r="AC585" s="94"/>
      <c r="AD585" s="94"/>
      <c r="AE585" s="94"/>
      <c r="AF585" s="94"/>
      <c r="AG585" s="94"/>
      <c r="AH585" s="94"/>
      <c r="AI585" s="94"/>
      <c r="AJ585" s="94"/>
      <c r="AK585" s="94"/>
      <c r="AL585" s="94"/>
    </row>
    <row r="586" hidden="1">
      <c r="A586" s="105" t="s">
        <v>1540</v>
      </c>
      <c r="B586" s="92" t="str">
        <f t="shared" si="494"/>
        <v>Pregunta</v>
      </c>
      <c r="C586" s="106" t="str">
        <f t="shared" si="9"/>
        <v>5.</v>
      </c>
      <c r="D586" s="106" t="str">
        <f t="shared" si="10"/>
        <v>Contenido y lenguaje claro</v>
      </c>
      <c r="E586"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86" s="141" t="str">
        <f t="shared" si="3"/>
        <v>5.1</v>
      </c>
      <c r="G586" s="92" t="str">
        <f t="shared" si="4"/>
        <v>IMPRESCINDIBLES</v>
      </c>
      <c r="H586" s="141"/>
      <c r="I586" s="141" t="str">
        <f t="shared" si="5"/>
        <v>5.1.7</v>
      </c>
      <c r="J586" s="98" t="str">
        <f t="shared" si="6"/>
        <v>Privacidad y datos personales</v>
      </c>
      <c r="K586" s="98" t="str">
        <f t="shared" si="7"/>
        <v>Protección de los datos e información personal de las personas usuarias de un sitio web.</v>
      </c>
      <c r="L586" s="141" t="str">
        <f t="shared" ref="L586:N586" si="592">IF(I586="",L585,I586)</f>
        <v>5.1.7</v>
      </c>
      <c r="M586" s="98" t="str">
        <f t="shared" si="592"/>
        <v>Privacidad y datos personales</v>
      </c>
      <c r="N586" s="98" t="str">
        <f t="shared" si="592"/>
        <v>Protección de los datos e información personal de las personas usuarias de un sitio web.</v>
      </c>
      <c r="O586" s="165" t="s">
        <v>1602</v>
      </c>
      <c r="P586" s="143" t="s">
        <v>702</v>
      </c>
      <c r="Q586" s="143" t="s">
        <v>703</v>
      </c>
      <c r="R586" s="211"/>
      <c r="S586" s="173" t="s">
        <v>1603</v>
      </c>
      <c r="T586" s="164" t="s">
        <v>2033</v>
      </c>
      <c r="U586" s="94"/>
      <c r="V586" s="94"/>
      <c r="W586" s="94"/>
      <c r="X586" s="94"/>
      <c r="Y586" s="94"/>
      <c r="Z586" s="94"/>
      <c r="AA586" s="94"/>
      <c r="AB586" s="94"/>
      <c r="AC586" s="94"/>
      <c r="AD586" s="94"/>
      <c r="AE586" s="94"/>
      <c r="AF586" s="94"/>
      <c r="AG586" s="94"/>
      <c r="AH586" s="94"/>
      <c r="AI586" s="94"/>
      <c r="AJ586" s="94"/>
      <c r="AK586" s="94"/>
      <c r="AL586" s="94"/>
    </row>
    <row r="587" hidden="1">
      <c r="A587" s="86" t="s">
        <v>1540</v>
      </c>
      <c r="B587" s="95" t="str">
        <f t="shared" si="494"/>
        <v>Otro</v>
      </c>
      <c r="C587" s="106" t="str">
        <f t="shared" si="9"/>
        <v>5.</v>
      </c>
      <c r="D587" s="106" t="str">
        <f t="shared" si="10"/>
        <v>Contenido y lenguaje claro</v>
      </c>
      <c r="E587"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87" s="141" t="str">
        <f t="shared" si="3"/>
        <v>5.2</v>
      </c>
      <c r="G587" s="92" t="str">
        <f t="shared" si="4"/>
        <v>ESPERABLES</v>
      </c>
      <c r="H587" s="141"/>
      <c r="I587" s="141" t="str">
        <f t="shared" si="5"/>
        <v/>
      </c>
      <c r="J587" s="98" t="str">
        <f t="shared" si="6"/>
        <v/>
      </c>
      <c r="K587" s="98" t="str">
        <f t="shared" si="7"/>
        <v/>
      </c>
      <c r="L587" s="141" t="str">
        <f t="shared" ref="L587:N587" si="593">IF(I587="",L586,I587)</f>
        <v>5.1.7</v>
      </c>
      <c r="M587" s="98" t="str">
        <f t="shared" si="593"/>
        <v>Privacidad y datos personales</v>
      </c>
      <c r="N587" s="98" t="str">
        <f t="shared" si="593"/>
        <v>Protección de los datos e información personal de las personas usuarias de un sitio web.</v>
      </c>
      <c r="O587" s="175" t="s">
        <v>981</v>
      </c>
      <c r="P587" s="176" t="s">
        <v>714</v>
      </c>
      <c r="Q587" s="177"/>
      <c r="R587" s="265"/>
      <c r="S587" s="333">
        <f>COUNTA(P588:P608)</f>
        <v>4</v>
      </c>
      <c r="T587" s="333">
        <f>COUNTIF(U588:U608,"n/a")</f>
        <v>0</v>
      </c>
      <c r="U587" s="94"/>
      <c r="V587" s="94"/>
      <c r="W587" s="94"/>
      <c r="X587" s="94"/>
      <c r="Y587" s="94"/>
      <c r="Z587" s="94"/>
      <c r="AA587" s="94"/>
      <c r="AB587" s="94"/>
      <c r="AC587" s="94"/>
      <c r="AD587" s="94"/>
      <c r="AE587" s="94"/>
      <c r="AF587" s="94"/>
      <c r="AG587" s="94"/>
      <c r="AH587" s="94"/>
      <c r="AI587" s="94"/>
      <c r="AJ587" s="94"/>
      <c r="AK587" s="94"/>
      <c r="AL587" s="94"/>
    </row>
    <row r="588" hidden="1">
      <c r="A588" s="105" t="s">
        <v>1540</v>
      </c>
      <c r="B588" s="92" t="str">
        <f t="shared" si="494"/>
        <v>Pregunta</v>
      </c>
      <c r="C588" s="106" t="str">
        <f t="shared" si="9"/>
        <v>5.</v>
      </c>
      <c r="D588" s="106" t="str">
        <f t="shared" si="10"/>
        <v>Contenido y lenguaje claro</v>
      </c>
      <c r="E588"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88" s="141" t="str">
        <f t="shared" si="3"/>
        <v>5.2</v>
      </c>
      <c r="G588" s="92" t="str">
        <f t="shared" si="4"/>
        <v>ESPERABLES</v>
      </c>
      <c r="H588" s="141"/>
      <c r="I588" s="141" t="str">
        <f t="shared" si="5"/>
        <v>5.2.1</v>
      </c>
      <c r="J588" s="98" t="str">
        <f t="shared" si="6"/>
        <v>Claridad</v>
      </c>
      <c r="K588" s="98" t="str">
        <f t="shared" si="7"/>
        <v>Redacción orientada hacia una facilidad de comprensión de los contenidos.</v>
      </c>
      <c r="L588" s="141" t="str">
        <f t="shared" ref="L588:N588" si="594">IF(I588="",L587,I588)</f>
        <v>5.2.1</v>
      </c>
      <c r="M588" s="98" t="str">
        <f t="shared" si="594"/>
        <v>Claridad</v>
      </c>
      <c r="N588" s="98" t="str">
        <f t="shared" si="594"/>
        <v>Redacción orientada hacia una facilidad de comprensión de los contenidos.</v>
      </c>
      <c r="O588" s="152" t="s">
        <v>982</v>
      </c>
      <c r="P588" s="179" t="s">
        <v>716</v>
      </c>
      <c r="Q588" s="153" t="s">
        <v>717</v>
      </c>
      <c r="R588" s="267"/>
      <c r="S588" s="162" t="s">
        <v>2188</v>
      </c>
      <c r="T588" s="160" t="s">
        <v>2033</v>
      </c>
      <c r="U588" s="94"/>
      <c r="V588" s="94"/>
      <c r="W588" s="94"/>
      <c r="X588" s="94"/>
      <c r="Y588" s="94"/>
      <c r="Z588" s="94"/>
      <c r="AA588" s="94"/>
      <c r="AB588" s="94"/>
      <c r="AC588" s="94"/>
      <c r="AD588" s="94"/>
      <c r="AE588" s="94"/>
      <c r="AF588" s="94"/>
      <c r="AG588" s="94"/>
      <c r="AH588" s="94"/>
      <c r="AI588" s="94"/>
      <c r="AJ588" s="94"/>
      <c r="AK588" s="94"/>
      <c r="AL588" s="94"/>
    </row>
    <row r="589" hidden="1">
      <c r="A589" s="86" t="s">
        <v>1540</v>
      </c>
      <c r="B589" s="95" t="str">
        <f t="shared" si="494"/>
        <v>Pregunta</v>
      </c>
      <c r="C589" s="106" t="str">
        <f t="shared" si="9"/>
        <v>5.</v>
      </c>
      <c r="D589" s="106" t="str">
        <f t="shared" si="10"/>
        <v>Contenido y lenguaje claro</v>
      </c>
      <c r="E589"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89" s="141" t="str">
        <f t="shared" si="3"/>
        <v>5.2</v>
      </c>
      <c r="G589" s="92" t="str">
        <f t="shared" si="4"/>
        <v>ESPERABLES</v>
      </c>
      <c r="H589" s="141"/>
      <c r="I589" s="141" t="str">
        <f t="shared" si="5"/>
        <v/>
      </c>
      <c r="J589" s="98" t="str">
        <f t="shared" si="6"/>
        <v/>
      </c>
      <c r="K589" s="98" t="str">
        <f t="shared" si="7"/>
        <v/>
      </c>
      <c r="L589" s="141" t="str">
        <f t="shared" ref="L589:N589" si="595">IF(I589="",L588,I589)</f>
        <v>5.2.1</v>
      </c>
      <c r="M589" s="98" t="str">
        <f t="shared" si="595"/>
        <v>Claridad</v>
      </c>
      <c r="N589" s="98" t="str">
        <f t="shared" si="595"/>
        <v>Redacción orientada hacia una facilidad de comprensión de los contenidos.</v>
      </c>
      <c r="O589" s="152"/>
      <c r="P589" s="179"/>
      <c r="Q589" s="153"/>
      <c r="R589" s="304"/>
      <c r="S589" s="162" t="s">
        <v>719</v>
      </c>
      <c r="T589" s="160" t="s">
        <v>2033</v>
      </c>
      <c r="U589" s="94"/>
      <c r="V589" s="94"/>
      <c r="W589" s="94"/>
      <c r="X589" s="94"/>
      <c r="Y589" s="94"/>
      <c r="Z589" s="94"/>
      <c r="AA589" s="94"/>
      <c r="AB589" s="94"/>
      <c r="AC589" s="94"/>
      <c r="AD589" s="94"/>
      <c r="AE589" s="94"/>
      <c r="AF589" s="94"/>
      <c r="AG589" s="94"/>
      <c r="AH589" s="94"/>
      <c r="AI589" s="94"/>
      <c r="AJ589" s="94"/>
      <c r="AK589" s="94"/>
      <c r="AL589" s="94"/>
    </row>
    <row r="590" hidden="1">
      <c r="A590" s="86" t="s">
        <v>1540</v>
      </c>
      <c r="B590" s="95" t="str">
        <f t="shared" si="494"/>
        <v>Pregunta</v>
      </c>
      <c r="C590" s="106" t="str">
        <f t="shared" si="9"/>
        <v>5.</v>
      </c>
      <c r="D590" s="106" t="str">
        <f t="shared" si="10"/>
        <v>Contenido y lenguaje claro</v>
      </c>
      <c r="E590"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90" s="141" t="str">
        <f t="shared" si="3"/>
        <v>5.2</v>
      </c>
      <c r="G590" s="92" t="str">
        <f t="shared" si="4"/>
        <v>ESPERABLES</v>
      </c>
      <c r="H590" s="141"/>
      <c r="I590" s="141" t="str">
        <f t="shared" si="5"/>
        <v/>
      </c>
      <c r="J590" s="98" t="str">
        <f t="shared" si="6"/>
        <v/>
      </c>
      <c r="K590" s="98" t="str">
        <f t="shared" si="7"/>
        <v/>
      </c>
      <c r="L590" s="141" t="str">
        <f t="shared" ref="L590:N590" si="596">IF(I590="",L589,I590)</f>
        <v>5.2.1</v>
      </c>
      <c r="M590" s="98" t="str">
        <f t="shared" si="596"/>
        <v>Claridad</v>
      </c>
      <c r="N590" s="98" t="str">
        <f t="shared" si="596"/>
        <v>Redacción orientada hacia una facilidad de comprensión de los contenidos.</v>
      </c>
      <c r="O590" s="152"/>
      <c r="P590" s="179"/>
      <c r="Q590" s="153"/>
      <c r="R590" s="304"/>
      <c r="S590" s="162" t="s">
        <v>720</v>
      </c>
      <c r="T590" s="160" t="s">
        <v>2033</v>
      </c>
      <c r="U590" s="94"/>
      <c r="V590" s="94"/>
      <c r="W590" s="94"/>
      <c r="X590" s="94"/>
      <c r="Y590" s="94"/>
      <c r="Z590" s="94"/>
      <c r="AA590" s="94"/>
      <c r="AB590" s="94"/>
      <c r="AC590" s="94"/>
      <c r="AD590" s="94"/>
      <c r="AE590" s="94"/>
      <c r="AF590" s="94"/>
      <c r="AG590" s="94"/>
      <c r="AH590" s="94"/>
      <c r="AI590" s="94"/>
      <c r="AJ590" s="94"/>
      <c r="AK590" s="94"/>
      <c r="AL590" s="94"/>
    </row>
    <row r="591" hidden="1">
      <c r="A591" s="86" t="s">
        <v>1540</v>
      </c>
      <c r="B591" s="95" t="str">
        <f t="shared" si="494"/>
        <v>Pregunta</v>
      </c>
      <c r="C591" s="106" t="str">
        <f t="shared" si="9"/>
        <v>5.</v>
      </c>
      <c r="D591" s="106" t="str">
        <f t="shared" si="10"/>
        <v>Contenido y lenguaje claro</v>
      </c>
      <c r="E591"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91" s="141" t="str">
        <f t="shared" si="3"/>
        <v>5.2</v>
      </c>
      <c r="G591" s="92" t="str">
        <f t="shared" si="4"/>
        <v>ESPERABLES</v>
      </c>
      <c r="H591" s="141"/>
      <c r="I591" s="141" t="str">
        <f t="shared" si="5"/>
        <v/>
      </c>
      <c r="J591" s="98" t="str">
        <f t="shared" si="6"/>
        <v/>
      </c>
      <c r="K591" s="98" t="str">
        <f t="shared" si="7"/>
        <v/>
      </c>
      <c r="L591" s="141" t="str">
        <f t="shared" ref="L591:N591" si="597">IF(I591="",L590,I591)</f>
        <v>5.2.1</v>
      </c>
      <c r="M591" s="98" t="str">
        <f t="shared" si="597"/>
        <v>Claridad</v>
      </c>
      <c r="N591" s="98" t="str">
        <f t="shared" si="597"/>
        <v>Redacción orientada hacia una facilidad de comprensión de los contenidos.</v>
      </c>
      <c r="O591" s="152"/>
      <c r="P591" s="179"/>
      <c r="Q591" s="153"/>
      <c r="R591" s="304"/>
      <c r="S591" s="162" t="s">
        <v>721</v>
      </c>
      <c r="T591" s="160" t="s">
        <v>2033</v>
      </c>
      <c r="U591" s="94"/>
      <c r="V591" s="94"/>
      <c r="W591" s="94"/>
      <c r="X591" s="94"/>
      <c r="Y591" s="94"/>
      <c r="Z591" s="94"/>
      <c r="AA591" s="94"/>
      <c r="AB591" s="94"/>
      <c r="AC591" s="94"/>
      <c r="AD591" s="94"/>
      <c r="AE591" s="94"/>
      <c r="AF591" s="94"/>
      <c r="AG591" s="94"/>
      <c r="AH591" s="94"/>
      <c r="AI591" s="94"/>
      <c r="AJ591" s="94"/>
      <c r="AK591" s="94"/>
      <c r="AL591" s="94"/>
    </row>
    <row r="592" hidden="1">
      <c r="A592" s="86" t="s">
        <v>1540</v>
      </c>
      <c r="B592" s="95" t="str">
        <f t="shared" si="494"/>
        <v>Pregunta</v>
      </c>
      <c r="C592" s="106" t="str">
        <f t="shared" si="9"/>
        <v>5.</v>
      </c>
      <c r="D592" s="106" t="str">
        <f t="shared" si="10"/>
        <v>Contenido y lenguaje claro</v>
      </c>
      <c r="E592"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92" s="141" t="str">
        <f t="shared" si="3"/>
        <v>5.2</v>
      </c>
      <c r="G592" s="92" t="str">
        <f t="shared" si="4"/>
        <v>ESPERABLES</v>
      </c>
      <c r="H592" s="141"/>
      <c r="I592" s="141" t="str">
        <f t="shared" si="5"/>
        <v/>
      </c>
      <c r="J592" s="98" t="str">
        <f t="shared" si="6"/>
        <v/>
      </c>
      <c r="K592" s="98" t="str">
        <f t="shared" si="7"/>
        <v/>
      </c>
      <c r="L592" s="141" t="str">
        <f t="shared" ref="L592:N592" si="598">IF(I592="",L591,I592)</f>
        <v>5.2.1</v>
      </c>
      <c r="M592" s="98" t="str">
        <f t="shared" si="598"/>
        <v>Claridad</v>
      </c>
      <c r="N592" s="98" t="str">
        <f t="shared" si="598"/>
        <v>Redacción orientada hacia una facilidad de comprensión de los contenidos.</v>
      </c>
      <c r="O592" s="142"/>
      <c r="P592" s="145"/>
      <c r="Q592" s="143"/>
      <c r="R592" s="308"/>
      <c r="S592" s="162" t="s">
        <v>2189</v>
      </c>
      <c r="T592" s="164" t="s">
        <v>2033</v>
      </c>
      <c r="U592" s="94"/>
      <c r="V592" s="94"/>
      <c r="W592" s="94"/>
      <c r="X592" s="94"/>
      <c r="Y592" s="94"/>
      <c r="Z592" s="94"/>
      <c r="AA592" s="94"/>
      <c r="AB592" s="94"/>
      <c r="AC592" s="94"/>
      <c r="AD592" s="94"/>
      <c r="AE592" s="94"/>
      <c r="AF592" s="94"/>
      <c r="AG592" s="94"/>
      <c r="AH592" s="94"/>
      <c r="AI592" s="94"/>
      <c r="AJ592" s="94"/>
      <c r="AK592" s="94"/>
      <c r="AL592" s="94"/>
    </row>
    <row r="593" hidden="1">
      <c r="A593" s="105" t="s">
        <v>1540</v>
      </c>
      <c r="B593" s="92" t="str">
        <f t="shared" si="494"/>
        <v>Pregunta</v>
      </c>
      <c r="C593" s="106" t="str">
        <f t="shared" si="9"/>
        <v>5.</v>
      </c>
      <c r="D593" s="106" t="str">
        <f t="shared" si="10"/>
        <v>Contenido y lenguaje claro</v>
      </c>
      <c r="E593"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93" s="141" t="str">
        <f t="shared" si="3"/>
        <v>5.2</v>
      </c>
      <c r="G593" s="92" t="str">
        <f t="shared" si="4"/>
        <v>ESPERABLES</v>
      </c>
      <c r="H593" s="141"/>
      <c r="I593" s="141" t="str">
        <f t="shared" si="5"/>
        <v>5.2.2</v>
      </c>
      <c r="J593" s="98" t="str">
        <f t="shared" si="6"/>
        <v>Concisión</v>
      </c>
      <c r="K593" s="98" t="str">
        <f t="shared" si="7"/>
        <v>Capacidad de los sitios de presentar sus contenidos de manera breve.</v>
      </c>
      <c r="L593" s="141" t="str">
        <f t="shared" ref="L593:N593" si="599">IF(I593="",L592,I593)</f>
        <v>5.2.2</v>
      </c>
      <c r="M593" s="98" t="str">
        <f t="shared" si="599"/>
        <v>Concisión</v>
      </c>
      <c r="N593" s="98" t="str">
        <f t="shared" si="599"/>
        <v>Capacidad de los sitios de presentar sus contenidos de manera breve.</v>
      </c>
      <c r="O593" s="147" t="s">
        <v>986</v>
      </c>
      <c r="P593" s="148" t="s">
        <v>724</v>
      </c>
      <c r="Q593" s="148" t="s">
        <v>725</v>
      </c>
      <c r="R593" s="167"/>
      <c r="S593" s="170" t="s">
        <v>1605</v>
      </c>
      <c r="T593" s="160" t="s">
        <v>2033</v>
      </c>
      <c r="U593" s="94"/>
      <c r="V593" s="94"/>
      <c r="W593" s="94"/>
      <c r="X593" s="94"/>
      <c r="Y593" s="94"/>
      <c r="Z593" s="94"/>
      <c r="AA593" s="94"/>
      <c r="AB593" s="94"/>
      <c r="AC593" s="94"/>
      <c r="AD593" s="94"/>
      <c r="AE593" s="94"/>
      <c r="AF593" s="94"/>
      <c r="AG593" s="94"/>
      <c r="AH593" s="94"/>
      <c r="AI593" s="94"/>
      <c r="AJ593" s="94"/>
      <c r="AK593" s="94"/>
      <c r="AL593" s="94"/>
    </row>
    <row r="594" hidden="1">
      <c r="A594" s="86" t="s">
        <v>1540</v>
      </c>
      <c r="B594" s="95" t="str">
        <f t="shared" si="494"/>
        <v>Pregunta</v>
      </c>
      <c r="C594" s="106" t="str">
        <f t="shared" si="9"/>
        <v>5.</v>
      </c>
      <c r="D594" s="106" t="str">
        <f t="shared" si="10"/>
        <v>Contenido y lenguaje claro</v>
      </c>
      <c r="E594"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94" s="141" t="str">
        <f t="shared" si="3"/>
        <v>5.2</v>
      </c>
      <c r="G594" s="92" t="str">
        <f t="shared" si="4"/>
        <v>ESPERABLES</v>
      </c>
      <c r="H594" s="141"/>
      <c r="I594" s="141" t="str">
        <f t="shared" si="5"/>
        <v/>
      </c>
      <c r="J594" s="98" t="str">
        <f t="shared" si="6"/>
        <v/>
      </c>
      <c r="K594" s="98" t="str">
        <f t="shared" si="7"/>
        <v/>
      </c>
      <c r="L594" s="141" t="str">
        <f t="shared" ref="L594:N594" si="600">IF(I594="",L593,I594)</f>
        <v>5.2.2</v>
      </c>
      <c r="M594" s="98" t="str">
        <f t="shared" si="600"/>
        <v>Concisión</v>
      </c>
      <c r="N594" s="98" t="str">
        <f t="shared" si="600"/>
        <v>Capacidad de los sitios de presentar sus contenidos de manera breve.</v>
      </c>
      <c r="O594" s="152"/>
      <c r="P594" s="153"/>
      <c r="Q594" s="153"/>
      <c r="R594" s="305"/>
      <c r="S594" s="162" t="s">
        <v>727</v>
      </c>
      <c r="T594" s="160" t="s">
        <v>2033</v>
      </c>
      <c r="U594" s="94"/>
      <c r="V594" s="94"/>
      <c r="W594" s="94"/>
      <c r="X594" s="94"/>
      <c r="Y594" s="94"/>
      <c r="Z594" s="94"/>
      <c r="AA594" s="94"/>
      <c r="AB594" s="94"/>
      <c r="AC594" s="94"/>
      <c r="AD594" s="94"/>
      <c r="AE594" s="94"/>
      <c r="AF594" s="94"/>
      <c r="AG594" s="94"/>
      <c r="AH594" s="94"/>
      <c r="AI594" s="94"/>
      <c r="AJ594" s="94"/>
      <c r="AK594" s="94"/>
      <c r="AL594" s="94"/>
    </row>
    <row r="595" hidden="1">
      <c r="A595" s="86" t="s">
        <v>1540</v>
      </c>
      <c r="B595" s="95" t="str">
        <f t="shared" si="494"/>
        <v>Pregunta</v>
      </c>
      <c r="C595" s="106" t="str">
        <f t="shared" si="9"/>
        <v>5.</v>
      </c>
      <c r="D595" s="106" t="str">
        <f t="shared" si="10"/>
        <v>Contenido y lenguaje claro</v>
      </c>
      <c r="E595"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95" s="141" t="str">
        <f t="shared" si="3"/>
        <v>5.2</v>
      </c>
      <c r="G595" s="92" t="str">
        <f t="shared" si="4"/>
        <v>ESPERABLES</v>
      </c>
      <c r="H595" s="141"/>
      <c r="I595" s="141" t="str">
        <f t="shared" si="5"/>
        <v/>
      </c>
      <c r="J595" s="98" t="str">
        <f t="shared" si="6"/>
        <v/>
      </c>
      <c r="K595" s="98" t="str">
        <f t="shared" si="7"/>
        <v/>
      </c>
      <c r="L595" s="141" t="str">
        <f t="shared" ref="L595:N595" si="601">IF(I595="",L594,I595)</f>
        <v>5.2.2</v>
      </c>
      <c r="M595" s="98" t="str">
        <f t="shared" si="601"/>
        <v>Concisión</v>
      </c>
      <c r="N595" s="98" t="str">
        <f t="shared" si="601"/>
        <v>Capacidad de los sitios de presentar sus contenidos de manera breve.</v>
      </c>
      <c r="O595" s="152"/>
      <c r="P595" s="153"/>
      <c r="Q595" s="153"/>
      <c r="R595" s="305"/>
      <c r="S595" s="162" t="s">
        <v>728</v>
      </c>
      <c r="T595" s="160" t="s">
        <v>2033</v>
      </c>
      <c r="U595" s="94"/>
      <c r="V595" s="94"/>
      <c r="W595" s="94"/>
      <c r="X595" s="94"/>
      <c r="Y595" s="94"/>
      <c r="Z595" s="94"/>
      <c r="AA595" s="94"/>
      <c r="AB595" s="94"/>
      <c r="AC595" s="94"/>
      <c r="AD595" s="94"/>
      <c r="AE595" s="94"/>
      <c r="AF595" s="94"/>
      <c r="AG595" s="94"/>
      <c r="AH595" s="94"/>
      <c r="AI595" s="94"/>
      <c r="AJ595" s="94"/>
      <c r="AK595" s="94"/>
      <c r="AL595" s="94"/>
    </row>
    <row r="596" hidden="1">
      <c r="A596" s="86" t="s">
        <v>1540</v>
      </c>
      <c r="B596" s="95" t="str">
        <f t="shared" si="494"/>
        <v>Pregunta</v>
      </c>
      <c r="C596" s="106" t="str">
        <f t="shared" si="9"/>
        <v>5.</v>
      </c>
      <c r="D596" s="106" t="str">
        <f t="shared" si="10"/>
        <v>Contenido y lenguaje claro</v>
      </c>
      <c r="E596"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96" s="141" t="str">
        <f t="shared" si="3"/>
        <v>5.2</v>
      </c>
      <c r="G596" s="92" t="str">
        <f t="shared" si="4"/>
        <v>ESPERABLES</v>
      </c>
      <c r="H596" s="141"/>
      <c r="I596" s="141" t="str">
        <f t="shared" si="5"/>
        <v/>
      </c>
      <c r="J596" s="98" t="str">
        <f t="shared" si="6"/>
        <v/>
      </c>
      <c r="K596" s="98" t="str">
        <f t="shared" si="7"/>
        <v/>
      </c>
      <c r="L596" s="141" t="str">
        <f t="shared" ref="L596:N596" si="602">IF(I596="",L595,I596)</f>
        <v>5.2.2</v>
      </c>
      <c r="M596" s="98" t="str">
        <f t="shared" si="602"/>
        <v>Concisión</v>
      </c>
      <c r="N596" s="98" t="str">
        <f t="shared" si="602"/>
        <v>Capacidad de los sitios de presentar sus contenidos de manera breve.</v>
      </c>
      <c r="O596" s="152"/>
      <c r="P596" s="153"/>
      <c r="Q596" s="153"/>
      <c r="R596" s="305"/>
      <c r="S596" s="162" t="s">
        <v>729</v>
      </c>
      <c r="T596" s="160" t="s">
        <v>2033</v>
      </c>
      <c r="U596" s="94"/>
      <c r="V596" s="94"/>
      <c r="W596" s="94"/>
      <c r="X596" s="94"/>
      <c r="Y596" s="94"/>
      <c r="Z596" s="94"/>
      <c r="AA596" s="94"/>
      <c r="AB596" s="94"/>
      <c r="AC596" s="94"/>
      <c r="AD596" s="94"/>
      <c r="AE596" s="94"/>
      <c r="AF596" s="94"/>
      <c r="AG596" s="94"/>
      <c r="AH596" s="94"/>
      <c r="AI596" s="94"/>
      <c r="AJ596" s="94"/>
      <c r="AK596" s="94"/>
      <c r="AL596" s="94"/>
    </row>
    <row r="597" hidden="1">
      <c r="A597" s="86" t="s">
        <v>1540</v>
      </c>
      <c r="B597" s="95" t="str">
        <f t="shared" si="494"/>
        <v>Pregunta</v>
      </c>
      <c r="C597" s="106" t="str">
        <f t="shared" si="9"/>
        <v>5.</v>
      </c>
      <c r="D597" s="106" t="str">
        <f t="shared" si="10"/>
        <v>Contenido y lenguaje claro</v>
      </c>
      <c r="E597"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97" s="141" t="str">
        <f t="shared" si="3"/>
        <v>5.2</v>
      </c>
      <c r="G597" s="92" t="str">
        <f t="shared" si="4"/>
        <v>ESPERABLES</v>
      </c>
      <c r="H597" s="141"/>
      <c r="I597" s="141" t="str">
        <f t="shared" si="5"/>
        <v/>
      </c>
      <c r="J597" s="98" t="str">
        <f t="shared" si="6"/>
        <v/>
      </c>
      <c r="K597" s="98" t="str">
        <f t="shared" si="7"/>
        <v/>
      </c>
      <c r="L597" s="141" t="str">
        <f t="shared" ref="L597:N597" si="603">IF(I597="",L596,I597)</f>
        <v>5.2.2</v>
      </c>
      <c r="M597" s="98" t="str">
        <f t="shared" si="603"/>
        <v>Concisión</v>
      </c>
      <c r="N597" s="98" t="str">
        <f t="shared" si="603"/>
        <v>Capacidad de los sitios de presentar sus contenidos de manera breve.</v>
      </c>
      <c r="O597" s="142"/>
      <c r="P597" s="143"/>
      <c r="Q597" s="143"/>
      <c r="R597" s="307"/>
      <c r="S597" s="169" t="s">
        <v>2190</v>
      </c>
      <c r="T597" s="164" t="s">
        <v>2033</v>
      </c>
      <c r="U597" s="94"/>
      <c r="V597" s="94"/>
      <c r="W597" s="94"/>
      <c r="X597" s="94"/>
      <c r="Y597" s="94"/>
      <c r="Z597" s="94"/>
      <c r="AA597" s="94"/>
      <c r="AB597" s="94"/>
      <c r="AC597" s="94"/>
      <c r="AD597" s="94"/>
      <c r="AE597" s="94"/>
      <c r="AF597" s="94"/>
      <c r="AG597" s="94"/>
      <c r="AH597" s="94"/>
      <c r="AI597" s="94"/>
      <c r="AJ597" s="94"/>
      <c r="AK597" s="94"/>
      <c r="AL597" s="94"/>
    </row>
    <row r="598" hidden="1">
      <c r="A598" s="105" t="s">
        <v>1540</v>
      </c>
      <c r="B598" s="92" t="str">
        <f t="shared" si="494"/>
        <v>Pregunta</v>
      </c>
      <c r="C598" s="106" t="str">
        <f t="shared" si="9"/>
        <v>5.</v>
      </c>
      <c r="D598" s="106" t="str">
        <f t="shared" si="10"/>
        <v>Contenido y lenguaje claro</v>
      </c>
      <c r="E598"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98" s="141" t="str">
        <f t="shared" si="3"/>
        <v>5.2</v>
      </c>
      <c r="G598" s="92" t="str">
        <f t="shared" si="4"/>
        <v>ESPERABLES</v>
      </c>
      <c r="H598" s="141"/>
      <c r="I598" s="141" t="str">
        <f t="shared" si="5"/>
        <v>5.2.3</v>
      </c>
      <c r="J598" s="98" t="str">
        <f t="shared" si="6"/>
        <v>Legibilidad</v>
      </c>
      <c r="K598" s="98" t="str">
        <f t="shared" si="7"/>
        <v>Facilidad de lectura de los contenidos publicados.</v>
      </c>
      <c r="L598" s="141" t="str">
        <f t="shared" ref="L598:N598" si="604">IF(I598="",L597,I598)</f>
        <v>5.2.3</v>
      </c>
      <c r="M598" s="98" t="str">
        <f t="shared" si="604"/>
        <v>Legibilidad</v>
      </c>
      <c r="N598" s="98" t="str">
        <f t="shared" si="604"/>
        <v>Facilidad de lectura de los contenidos publicados.</v>
      </c>
      <c r="O598" s="147" t="s">
        <v>1607</v>
      </c>
      <c r="P598" s="148" t="s">
        <v>732</v>
      </c>
      <c r="Q598" s="148" t="s">
        <v>733</v>
      </c>
      <c r="R598" s="167"/>
      <c r="S598" s="162" t="s">
        <v>734</v>
      </c>
      <c r="T598" s="160" t="s">
        <v>2033</v>
      </c>
      <c r="U598" s="94"/>
      <c r="V598" s="94"/>
      <c r="W598" s="94"/>
      <c r="X598" s="94"/>
      <c r="Y598" s="94"/>
      <c r="Z598" s="94"/>
      <c r="AA598" s="94"/>
      <c r="AB598" s="94"/>
      <c r="AC598" s="94"/>
      <c r="AD598" s="94"/>
      <c r="AE598" s="94"/>
      <c r="AF598" s="94"/>
      <c r="AG598" s="94"/>
      <c r="AH598" s="94"/>
      <c r="AI598" s="94"/>
      <c r="AJ598" s="94"/>
      <c r="AK598" s="94"/>
      <c r="AL598" s="94"/>
    </row>
    <row r="599" hidden="1">
      <c r="A599" s="86" t="s">
        <v>1540</v>
      </c>
      <c r="B599" s="95" t="str">
        <f t="shared" si="494"/>
        <v>Pregunta</v>
      </c>
      <c r="C599" s="106" t="str">
        <f t="shared" si="9"/>
        <v>5.</v>
      </c>
      <c r="D599" s="106" t="str">
        <f t="shared" si="10"/>
        <v>Contenido y lenguaje claro</v>
      </c>
      <c r="E599"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599" s="141" t="str">
        <f t="shared" si="3"/>
        <v>5.2</v>
      </c>
      <c r="G599" s="92" t="str">
        <f t="shared" si="4"/>
        <v>ESPERABLES</v>
      </c>
      <c r="H599" s="141"/>
      <c r="I599" s="141" t="str">
        <f t="shared" si="5"/>
        <v/>
      </c>
      <c r="J599" s="98" t="str">
        <f t="shared" si="6"/>
        <v/>
      </c>
      <c r="K599" s="98" t="str">
        <f t="shared" si="7"/>
        <v/>
      </c>
      <c r="L599" s="141" t="str">
        <f t="shared" ref="L599:N599" si="605">IF(I599="",L598,I599)</f>
        <v>5.2.3</v>
      </c>
      <c r="M599" s="98" t="str">
        <f t="shared" si="605"/>
        <v>Legibilidad</v>
      </c>
      <c r="N599" s="98" t="str">
        <f t="shared" si="605"/>
        <v>Facilidad de lectura de los contenidos publicados.</v>
      </c>
      <c r="O599" s="152"/>
      <c r="P599" s="153"/>
      <c r="Q599" s="153"/>
      <c r="R599" s="305"/>
      <c r="S599" s="180" t="s">
        <v>735</v>
      </c>
      <c r="T599" s="160" t="s">
        <v>2033</v>
      </c>
      <c r="U599" s="94"/>
      <c r="V599" s="94"/>
      <c r="W599" s="94"/>
      <c r="X599" s="94"/>
      <c r="Y599" s="94"/>
      <c r="Z599" s="94"/>
      <c r="AA599" s="94"/>
      <c r="AB599" s="94"/>
      <c r="AC599" s="94"/>
      <c r="AD599" s="94"/>
      <c r="AE599" s="94"/>
      <c r="AF599" s="94"/>
      <c r="AG599" s="94"/>
      <c r="AH599" s="94"/>
      <c r="AI599" s="94"/>
      <c r="AJ599" s="94"/>
      <c r="AK599" s="94"/>
      <c r="AL599" s="94"/>
    </row>
    <row r="600" hidden="1">
      <c r="A600" s="86" t="s">
        <v>1540</v>
      </c>
      <c r="B600" s="95" t="str">
        <f t="shared" si="494"/>
        <v>Pregunta</v>
      </c>
      <c r="C600" s="106" t="str">
        <f t="shared" si="9"/>
        <v>5.</v>
      </c>
      <c r="D600" s="106" t="str">
        <f t="shared" si="10"/>
        <v>Contenido y lenguaje claro</v>
      </c>
      <c r="E600"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600" s="141" t="str">
        <f t="shared" si="3"/>
        <v>5.2</v>
      </c>
      <c r="G600" s="92" t="str">
        <f t="shared" si="4"/>
        <v>ESPERABLES</v>
      </c>
      <c r="H600" s="141"/>
      <c r="I600" s="141" t="str">
        <f t="shared" si="5"/>
        <v/>
      </c>
      <c r="J600" s="98" t="str">
        <f t="shared" si="6"/>
        <v/>
      </c>
      <c r="K600" s="98" t="str">
        <f t="shared" si="7"/>
        <v/>
      </c>
      <c r="L600" s="141" t="str">
        <f t="shared" ref="L600:N600" si="606">IF(I600="",L599,I600)</f>
        <v>5.2.3</v>
      </c>
      <c r="M600" s="98" t="str">
        <f t="shared" si="606"/>
        <v>Legibilidad</v>
      </c>
      <c r="N600" s="98" t="str">
        <f t="shared" si="606"/>
        <v>Facilidad de lectura de los contenidos publicados.</v>
      </c>
      <c r="O600" s="142"/>
      <c r="P600" s="143"/>
      <c r="Q600" s="143"/>
      <c r="R600" s="307"/>
      <c r="S600" s="162" t="s">
        <v>736</v>
      </c>
      <c r="T600" s="164" t="s">
        <v>2033</v>
      </c>
      <c r="U600" s="94"/>
      <c r="V600" s="94"/>
      <c r="W600" s="94"/>
      <c r="X600" s="94"/>
      <c r="Y600" s="94"/>
      <c r="Z600" s="94"/>
      <c r="AA600" s="94"/>
      <c r="AB600" s="94"/>
      <c r="AC600" s="94"/>
      <c r="AD600" s="94"/>
      <c r="AE600" s="94"/>
      <c r="AF600" s="94"/>
      <c r="AG600" s="94"/>
      <c r="AH600" s="94"/>
      <c r="AI600" s="94"/>
      <c r="AJ600" s="94"/>
      <c r="AK600" s="94"/>
      <c r="AL600" s="94"/>
    </row>
    <row r="601" hidden="1">
      <c r="A601" s="105" t="s">
        <v>1540</v>
      </c>
      <c r="B601" s="92" t="str">
        <f t="shared" si="494"/>
        <v>Pregunta</v>
      </c>
      <c r="C601" s="106" t="str">
        <f t="shared" si="9"/>
        <v>5.</v>
      </c>
      <c r="D601" s="106" t="str">
        <f t="shared" si="10"/>
        <v>Contenido y lenguaje claro</v>
      </c>
      <c r="E601"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601" s="141" t="str">
        <f t="shared" si="3"/>
        <v>5.2</v>
      </c>
      <c r="G601" s="92" t="str">
        <f t="shared" si="4"/>
        <v>ESPERABLES</v>
      </c>
      <c r="H601" s="141"/>
      <c r="I601" s="141" t="str">
        <f t="shared" si="5"/>
        <v>5.2.4</v>
      </c>
      <c r="J601" s="98" t="str">
        <f t="shared" si="6"/>
        <v>Escritura para la web</v>
      </c>
      <c r="K601" s="98" t="str">
        <f t="shared" si="7"/>
        <v>Adaptación de la redacción optimizada para su lectoría en una interfaz digital.</v>
      </c>
      <c r="L601" s="141" t="str">
        <f t="shared" ref="L601:N601" si="607">IF(I601="",L600,I601)</f>
        <v>5.2.4</v>
      </c>
      <c r="M601" s="98" t="str">
        <f t="shared" si="607"/>
        <v>Escritura para la web</v>
      </c>
      <c r="N601" s="98" t="str">
        <f t="shared" si="607"/>
        <v>Adaptación de la redacción optimizada para su lectoría en una interfaz digital.</v>
      </c>
      <c r="O601" s="147" t="s">
        <v>1608</v>
      </c>
      <c r="P601" s="148" t="s">
        <v>738</v>
      </c>
      <c r="Q601" s="148" t="s">
        <v>739</v>
      </c>
      <c r="R601" s="167"/>
      <c r="S601" s="170" t="s">
        <v>740</v>
      </c>
      <c r="T601" s="160" t="s">
        <v>2033</v>
      </c>
      <c r="U601" s="94"/>
      <c r="V601" s="94"/>
      <c r="W601" s="94"/>
      <c r="X601" s="94"/>
      <c r="Y601" s="94"/>
      <c r="Z601" s="94"/>
      <c r="AA601" s="94"/>
      <c r="AB601" s="94"/>
      <c r="AC601" s="94"/>
      <c r="AD601" s="94"/>
      <c r="AE601" s="94"/>
      <c r="AF601" s="94"/>
      <c r="AG601" s="94"/>
      <c r="AH601" s="94"/>
      <c r="AI601" s="94"/>
      <c r="AJ601" s="94"/>
      <c r="AK601" s="94"/>
      <c r="AL601" s="94"/>
    </row>
    <row r="602" hidden="1">
      <c r="A602" s="86" t="s">
        <v>1540</v>
      </c>
      <c r="B602" s="95" t="str">
        <f t="shared" si="494"/>
        <v>Pregunta</v>
      </c>
      <c r="C602" s="106" t="str">
        <f t="shared" si="9"/>
        <v>5.</v>
      </c>
      <c r="D602" s="106" t="str">
        <f t="shared" si="10"/>
        <v>Contenido y lenguaje claro</v>
      </c>
      <c r="E602"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602" s="141" t="str">
        <f t="shared" si="3"/>
        <v>5.2</v>
      </c>
      <c r="G602" s="92" t="str">
        <f t="shared" si="4"/>
        <v>ESPERABLES</v>
      </c>
      <c r="H602" s="141"/>
      <c r="I602" s="141" t="str">
        <f t="shared" si="5"/>
        <v/>
      </c>
      <c r="J602" s="98" t="str">
        <f t="shared" si="6"/>
        <v/>
      </c>
      <c r="K602" s="98" t="str">
        <f t="shared" si="7"/>
        <v/>
      </c>
      <c r="L602" s="141" t="str">
        <f t="shared" ref="L602:N602" si="608">IF(I602="",L601,I602)</f>
        <v>5.2.4</v>
      </c>
      <c r="M602" s="98" t="str">
        <f t="shared" si="608"/>
        <v>Escritura para la web</v>
      </c>
      <c r="N602" s="98" t="str">
        <f t="shared" si="608"/>
        <v>Adaptación de la redacción optimizada para su lectoría en una interfaz digital.</v>
      </c>
      <c r="O602" s="152"/>
      <c r="P602" s="153"/>
      <c r="Q602" s="153"/>
      <c r="R602" s="305"/>
      <c r="S602" s="162" t="s">
        <v>1609</v>
      </c>
      <c r="T602" s="160" t="s">
        <v>2033</v>
      </c>
      <c r="U602" s="94"/>
      <c r="V602" s="94"/>
      <c r="W602" s="94"/>
      <c r="X602" s="94"/>
      <c r="Y602" s="94"/>
      <c r="Z602" s="94"/>
      <c r="AA602" s="94"/>
      <c r="AB602" s="94"/>
      <c r="AC602" s="94"/>
      <c r="AD602" s="94"/>
      <c r="AE602" s="94"/>
      <c r="AF602" s="94"/>
      <c r="AG602" s="94"/>
      <c r="AH602" s="94"/>
      <c r="AI602" s="94"/>
      <c r="AJ602" s="94"/>
      <c r="AK602" s="94"/>
      <c r="AL602" s="94"/>
    </row>
    <row r="603" hidden="1">
      <c r="A603" s="86" t="s">
        <v>1540</v>
      </c>
      <c r="B603" s="95" t="str">
        <f t="shared" si="494"/>
        <v>Pregunta</v>
      </c>
      <c r="C603" s="106" t="str">
        <f t="shared" si="9"/>
        <v>5.</v>
      </c>
      <c r="D603" s="106" t="str">
        <f t="shared" si="10"/>
        <v>Contenido y lenguaje claro</v>
      </c>
      <c r="E603"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603" s="141" t="str">
        <f t="shared" si="3"/>
        <v>5.2</v>
      </c>
      <c r="G603" s="92" t="str">
        <f t="shared" si="4"/>
        <v>ESPERABLES</v>
      </c>
      <c r="H603" s="141"/>
      <c r="I603" s="141" t="str">
        <f t="shared" si="5"/>
        <v/>
      </c>
      <c r="J603" s="98" t="str">
        <f t="shared" si="6"/>
        <v/>
      </c>
      <c r="K603" s="98" t="str">
        <f t="shared" si="7"/>
        <v/>
      </c>
      <c r="L603" s="141" t="str">
        <f t="shared" ref="L603:N603" si="609">IF(I603="",L602,I603)</f>
        <v>5.2.4</v>
      </c>
      <c r="M603" s="98" t="str">
        <f t="shared" si="609"/>
        <v>Escritura para la web</v>
      </c>
      <c r="N603" s="98" t="str">
        <f t="shared" si="609"/>
        <v>Adaptación de la redacción optimizada para su lectoría en una interfaz digital.</v>
      </c>
      <c r="O603" s="152"/>
      <c r="P603" s="153"/>
      <c r="Q603" s="153"/>
      <c r="R603" s="305"/>
      <c r="S603" s="162" t="s">
        <v>742</v>
      </c>
      <c r="T603" s="160" t="s">
        <v>2033</v>
      </c>
      <c r="U603" s="94"/>
      <c r="V603" s="94"/>
      <c r="W603" s="94"/>
      <c r="X603" s="94"/>
      <c r="Y603" s="94"/>
      <c r="Z603" s="94"/>
      <c r="AA603" s="94"/>
      <c r="AB603" s="94"/>
      <c r="AC603" s="94"/>
      <c r="AD603" s="94"/>
      <c r="AE603" s="94"/>
      <c r="AF603" s="94"/>
      <c r="AG603" s="94"/>
      <c r="AH603" s="94"/>
      <c r="AI603" s="94"/>
      <c r="AJ603" s="94"/>
      <c r="AK603" s="94"/>
      <c r="AL603" s="94"/>
    </row>
    <row r="604" hidden="1">
      <c r="A604" s="86" t="s">
        <v>1540</v>
      </c>
      <c r="B604" s="95" t="str">
        <f t="shared" si="494"/>
        <v>Pregunta</v>
      </c>
      <c r="C604" s="106" t="str">
        <f t="shared" si="9"/>
        <v>5.</v>
      </c>
      <c r="D604" s="106" t="str">
        <f t="shared" si="10"/>
        <v>Contenido y lenguaje claro</v>
      </c>
      <c r="E604"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604" s="141" t="str">
        <f t="shared" si="3"/>
        <v>5.2</v>
      </c>
      <c r="G604" s="92" t="str">
        <f t="shared" si="4"/>
        <v>ESPERABLES</v>
      </c>
      <c r="H604" s="141"/>
      <c r="I604" s="141" t="str">
        <f t="shared" si="5"/>
        <v/>
      </c>
      <c r="J604" s="98" t="str">
        <f t="shared" si="6"/>
        <v/>
      </c>
      <c r="K604" s="98" t="str">
        <f t="shared" si="7"/>
        <v/>
      </c>
      <c r="L604" s="141" t="str">
        <f t="shared" ref="L604:N604" si="610">IF(I604="",L603,I604)</f>
        <v>5.2.4</v>
      </c>
      <c r="M604" s="98" t="str">
        <f t="shared" si="610"/>
        <v>Escritura para la web</v>
      </c>
      <c r="N604" s="98" t="str">
        <f t="shared" si="610"/>
        <v>Adaptación de la redacción optimizada para su lectoría en una interfaz digital.</v>
      </c>
      <c r="O604" s="152"/>
      <c r="P604" s="153"/>
      <c r="Q604" s="153"/>
      <c r="R604" s="305"/>
      <c r="S604" s="162" t="s">
        <v>743</v>
      </c>
      <c r="T604" s="160" t="s">
        <v>2033</v>
      </c>
      <c r="U604" s="94"/>
      <c r="V604" s="94"/>
      <c r="W604" s="94"/>
      <c r="X604" s="94"/>
      <c r="Y604" s="94"/>
      <c r="Z604" s="94"/>
      <c r="AA604" s="94"/>
      <c r="AB604" s="94"/>
      <c r="AC604" s="94"/>
      <c r="AD604" s="94"/>
      <c r="AE604" s="94"/>
      <c r="AF604" s="94"/>
      <c r="AG604" s="94"/>
      <c r="AH604" s="94"/>
      <c r="AI604" s="94"/>
      <c r="AJ604" s="94"/>
      <c r="AK604" s="94"/>
      <c r="AL604" s="94"/>
    </row>
    <row r="605" hidden="1">
      <c r="A605" s="86" t="s">
        <v>1540</v>
      </c>
      <c r="B605" s="95" t="str">
        <f t="shared" si="494"/>
        <v>Pregunta</v>
      </c>
      <c r="C605" s="106" t="str">
        <f t="shared" si="9"/>
        <v>5.</v>
      </c>
      <c r="D605" s="106" t="str">
        <f t="shared" si="10"/>
        <v>Contenido y lenguaje claro</v>
      </c>
      <c r="E605"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605" s="141" t="str">
        <f t="shared" si="3"/>
        <v>5.2</v>
      </c>
      <c r="G605" s="92" t="str">
        <f t="shared" si="4"/>
        <v>ESPERABLES</v>
      </c>
      <c r="H605" s="141"/>
      <c r="I605" s="141" t="str">
        <f t="shared" si="5"/>
        <v/>
      </c>
      <c r="J605" s="98" t="str">
        <f t="shared" si="6"/>
        <v/>
      </c>
      <c r="K605" s="98" t="str">
        <f t="shared" si="7"/>
        <v/>
      </c>
      <c r="L605" s="141" t="str">
        <f t="shared" ref="L605:N605" si="611">IF(I605="",L604,I605)</f>
        <v>5.2.4</v>
      </c>
      <c r="M605" s="98" t="str">
        <f t="shared" si="611"/>
        <v>Escritura para la web</v>
      </c>
      <c r="N605" s="98" t="str">
        <f t="shared" si="611"/>
        <v>Adaptación de la redacción optimizada para su lectoría en una interfaz digital.</v>
      </c>
      <c r="O605" s="152"/>
      <c r="P605" s="153"/>
      <c r="Q605" s="153"/>
      <c r="R605" s="305"/>
      <c r="S605" s="162" t="s">
        <v>744</v>
      </c>
      <c r="T605" s="160" t="s">
        <v>2033</v>
      </c>
      <c r="U605" s="94"/>
      <c r="V605" s="94"/>
      <c r="W605" s="94"/>
      <c r="X605" s="94"/>
      <c r="Y605" s="94"/>
      <c r="Z605" s="94"/>
      <c r="AA605" s="94"/>
      <c r="AB605" s="94"/>
      <c r="AC605" s="94"/>
      <c r="AD605" s="94"/>
      <c r="AE605" s="94"/>
      <c r="AF605" s="94"/>
      <c r="AG605" s="94"/>
      <c r="AH605" s="94"/>
      <c r="AI605" s="94"/>
      <c r="AJ605" s="94"/>
      <c r="AK605" s="94"/>
      <c r="AL605" s="94"/>
    </row>
    <row r="606" hidden="1">
      <c r="A606" s="86" t="s">
        <v>1540</v>
      </c>
      <c r="B606" s="95" t="str">
        <f t="shared" si="494"/>
        <v>Pregunta</v>
      </c>
      <c r="C606" s="106" t="str">
        <f t="shared" si="9"/>
        <v>5.</v>
      </c>
      <c r="D606" s="106" t="str">
        <f t="shared" si="10"/>
        <v>Contenido y lenguaje claro</v>
      </c>
      <c r="E606"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606" s="141" t="str">
        <f t="shared" si="3"/>
        <v>5.2</v>
      </c>
      <c r="G606" s="92" t="str">
        <f t="shared" si="4"/>
        <v>ESPERABLES</v>
      </c>
      <c r="H606" s="141"/>
      <c r="I606" s="141" t="str">
        <f t="shared" si="5"/>
        <v/>
      </c>
      <c r="J606" s="98" t="str">
        <f t="shared" si="6"/>
        <v/>
      </c>
      <c r="K606" s="98" t="str">
        <f t="shared" si="7"/>
        <v/>
      </c>
      <c r="L606" s="141" t="str">
        <f t="shared" ref="L606:N606" si="612">IF(I606="",L605,I606)</f>
        <v>5.2.4</v>
      </c>
      <c r="M606" s="98" t="str">
        <f t="shared" si="612"/>
        <v>Escritura para la web</v>
      </c>
      <c r="N606" s="98" t="str">
        <f t="shared" si="612"/>
        <v>Adaptación de la redacción optimizada para su lectoría en una interfaz digital.</v>
      </c>
      <c r="O606" s="152"/>
      <c r="P606" s="153"/>
      <c r="Q606" s="153"/>
      <c r="R606" s="305"/>
      <c r="S606" s="162" t="s">
        <v>1610</v>
      </c>
      <c r="T606" s="160" t="s">
        <v>2033</v>
      </c>
      <c r="U606" s="94"/>
      <c r="V606" s="94"/>
      <c r="W606" s="94"/>
      <c r="X606" s="94"/>
      <c r="Y606" s="94"/>
      <c r="Z606" s="94"/>
      <c r="AA606" s="94"/>
      <c r="AB606" s="94"/>
      <c r="AC606" s="94"/>
      <c r="AD606" s="94"/>
      <c r="AE606" s="94"/>
      <c r="AF606" s="94"/>
      <c r="AG606" s="94"/>
      <c r="AH606" s="94"/>
      <c r="AI606" s="94"/>
      <c r="AJ606" s="94"/>
      <c r="AK606" s="94"/>
      <c r="AL606" s="94"/>
    </row>
    <row r="607" hidden="1">
      <c r="A607" s="86" t="s">
        <v>1540</v>
      </c>
      <c r="B607" s="95" t="str">
        <f t="shared" si="494"/>
        <v>Pregunta</v>
      </c>
      <c r="C607" s="106" t="str">
        <f t="shared" si="9"/>
        <v>5.</v>
      </c>
      <c r="D607" s="106" t="str">
        <f t="shared" si="10"/>
        <v>Contenido y lenguaje claro</v>
      </c>
      <c r="E607"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607" s="141" t="str">
        <f t="shared" si="3"/>
        <v>5.2</v>
      </c>
      <c r="G607" s="92" t="str">
        <f t="shared" si="4"/>
        <v>ESPERABLES</v>
      </c>
      <c r="H607" s="141"/>
      <c r="I607" s="141" t="str">
        <f t="shared" si="5"/>
        <v/>
      </c>
      <c r="J607" s="98" t="str">
        <f t="shared" si="6"/>
        <v/>
      </c>
      <c r="K607" s="98" t="str">
        <f t="shared" si="7"/>
        <v/>
      </c>
      <c r="L607" s="141" t="str">
        <f t="shared" ref="L607:N607" si="613">IF(I607="",L606,I607)</f>
        <v>5.2.4</v>
      </c>
      <c r="M607" s="98" t="str">
        <f t="shared" si="613"/>
        <v>Escritura para la web</v>
      </c>
      <c r="N607" s="98" t="str">
        <f t="shared" si="613"/>
        <v>Adaptación de la redacción optimizada para su lectoría en una interfaz digital.</v>
      </c>
      <c r="O607" s="152"/>
      <c r="P607" s="153"/>
      <c r="Q607" s="153"/>
      <c r="R607" s="305"/>
      <c r="S607" s="162" t="s">
        <v>2191</v>
      </c>
      <c r="T607" s="160" t="s">
        <v>2033</v>
      </c>
      <c r="U607" s="94"/>
      <c r="V607" s="94"/>
      <c r="W607" s="94"/>
      <c r="X607" s="94"/>
      <c r="Y607" s="94"/>
      <c r="Z607" s="94"/>
      <c r="AA607" s="94"/>
      <c r="AB607" s="94"/>
      <c r="AC607" s="94"/>
      <c r="AD607" s="94"/>
      <c r="AE607" s="94"/>
      <c r="AF607" s="94"/>
      <c r="AG607" s="94"/>
      <c r="AH607" s="94"/>
      <c r="AI607" s="94"/>
      <c r="AJ607" s="94"/>
      <c r="AK607" s="94"/>
      <c r="AL607" s="94"/>
    </row>
    <row r="608" hidden="1">
      <c r="A608" s="86" t="s">
        <v>1540</v>
      </c>
      <c r="B608" s="95" t="str">
        <f t="shared" si="494"/>
        <v>Pregunta</v>
      </c>
      <c r="C608" s="106" t="str">
        <f t="shared" si="9"/>
        <v>5.</v>
      </c>
      <c r="D608" s="106" t="str">
        <f t="shared" si="10"/>
        <v>Contenido y lenguaje claro</v>
      </c>
      <c r="E608"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608" s="141" t="str">
        <f t="shared" si="3"/>
        <v>5.2</v>
      </c>
      <c r="G608" s="92" t="str">
        <f t="shared" si="4"/>
        <v>ESPERABLES</v>
      </c>
      <c r="H608" s="141"/>
      <c r="I608" s="141" t="str">
        <f t="shared" si="5"/>
        <v/>
      </c>
      <c r="J608" s="98" t="str">
        <f t="shared" si="6"/>
        <v/>
      </c>
      <c r="K608" s="98" t="str">
        <f t="shared" si="7"/>
        <v/>
      </c>
      <c r="L608" s="141" t="str">
        <f t="shared" ref="L608:N608" si="614">IF(I608="",L607,I608)</f>
        <v>5.2.4</v>
      </c>
      <c r="M608" s="98" t="str">
        <f t="shared" si="614"/>
        <v>Escritura para la web</v>
      </c>
      <c r="N608" s="98" t="str">
        <f t="shared" si="614"/>
        <v>Adaptación de la redacción optimizada para su lectoría en una interfaz digital.</v>
      </c>
      <c r="O608" s="142"/>
      <c r="P608" s="143"/>
      <c r="Q608" s="143"/>
      <c r="R608" s="307"/>
      <c r="S608" s="169" t="s">
        <v>2192</v>
      </c>
      <c r="T608" s="164" t="s">
        <v>2033</v>
      </c>
      <c r="U608" s="94"/>
      <c r="V608" s="94"/>
      <c r="W608" s="94"/>
      <c r="X608" s="94"/>
      <c r="Y608" s="94"/>
      <c r="Z608" s="94"/>
      <c r="AA608" s="94"/>
      <c r="AB608" s="94"/>
      <c r="AC608" s="94"/>
      <c r="AD608" s="94"/>
      <c r="AE608" s="94"/>
      <c r="AF608" s="94"/>
      <c r="AG608" s="94"/>
      <c r="AH608" s="94"/>
      <c r="AI608" s="94"/>
      <c r="AJ608" s="94"/>
      <c r="AK608" s="94"/>
      <c r="AL608" s="94"/>
    </row>
    <row r="609" hidden="1">
      <c r="A609" s="86" t="s">
        <v>1540</v>
      </c>
      <c r="B609" s="95" t="str">
        <f t="shared" si="494"/>
        <v>Otro</v>
      </c>
      <c r="C609" s="106" t="str">
        <f t="shared" si="9"/>
        <v>5.</v>
      </c>
      <c r="D609" s="106" t="str">
        <f t="shared" si="10"/>
        <v>Contenido y lenguaje claro</v>
      </c>
      <c r="E609"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609" s="141" t="str">
        <f t="shared" si="3"/>
        <v>5.3</v>
      </c>
      <c r="G609" s="92" t="str">
        <f t="shared" si="4"/>
        <v>DESEABLES</v>
      </c>
      <c r="H609" s="141"/>
      <c r="I609" s="141" t="str">
        <f t="shared" si="5"/>
        <v/>
      </c>
      <c r="J609" s="98" t="str">
        <f t="shared" si="6"/>
        <v/>
      </c>
      <c r="K609" s="98" t="str">
        <f t="shared" si="7"/>
        <v/>
      </c>
      <c r="L609" s="141" t="str">
        <f t="shared" ref="L609:N609" si="615">IF(I609="",L608,I609)</f>
        <v>5.2.4</v>
      </c>
      <c r="M609" s="98" t="str">
        <f t="shared" si="615"/>
        <v>Escritura para la web</v>
      </c>
      <c r="N609" s="98" t="str">
        <f t="shared" si="615"/>
        <v>Adaptación de la redacción optimizada para su lectoría en una interfaz digital.</v>
      </c>
      <c r="O609" s="181" t="s">
        <v>992</v>
      </c>
      <c r="P609" s="182" t="s">
        <v>749</v>
      </c>
      <c r="Q609" s="183"/>
      <c r="R609" s="183"/>
      <c r="S609" s="323">
        <f>COUNTA(P610:P611)</f>
        <v>2</v>
      </c>
      <c r="T609" s="323">
        <f>COUNTIF(U610:U611,"n/a")</f>
        <v>0</v>
      </c>
      <c r="U609" s="94"/>
      <c r="V609" s="94"/>
      <c r="W609" s="94"/>
      <c r="X609" s="94"/>
      <c r="Y609" s="94"/>
      <c r="Z609" s="94"/>
      <c r="AA609" s="94"/>
      <c r="AB609" s="94"/>
      <c r="AC609" s="94"/>
      <c r="AD609" s="94"/>
      <c r="AE609" s="94"/>
      <c r="AF609" s="94"/>
      <c r="AG609" s="94"/>
      <c r="AH609" s="94"/>
      <c r="AI609" s="94"/>
      <c r="AJ609" s="94"/>
      <c r="AK609" s="94"/>
      <c r="AL609" s="94"/>
    </row>
    <row r="610" hidden="1">
      <c r="A610" s="105" t="s">
        <v>1540</v>
      </c>
      <c r="B610" s="92" t="str">
        <f t="shared" si="494"/>
        <v>Pregunta</v>
      </c>
      <c r="C610" s="106" t="str">
        <f t="shared" si="9"/>
        <v>5.</v>
      </c>
      <c r="D610" s="106" t="str">
        <f t="shared" si="10"/>
        <v>Contenido y lenguaje claro</v>
      </c>
      <c r="E610"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610" s="141" t="str">
        <f t="shared" si="3"/>
        <v>5.3</v>
      </c>
      <c r="G610" s="92" t="str">
        <f t="shared" si="4"/>
        <v>DESEABLES</v>
      </c>
      <c r="H610" s="141"/>
      <c r="I610" s="141" t="str">
        <f t="shared" si="5"/>
        <v>5.3.1</v>
      </c>
      <c r="J610" s="98" t="str">
        <f t="shared" si="6"/>
        <v>Objetividad</v>
      </c>
      <c r="K610" s="98" t="str">
        <f t="shared" si="7"/>
        <v>Imparcialidad y neutralidad de la información publicada.</v>
      </c>
      <c r="L610" s="141" t="str">
        <f t="shared" ref="L610:N610" si="616">IF(I610="",L609,I610)</f>
        <v>5.3.1</v>
      </c>
      <c r="M610" s="98" t="str">
        <f t="shared" si="616"/>
        <v>Objetividad</v>
      </c>
      <c r="N610" s="98" t="str">
        <f t="shared" si="616"/>
        <v>Imparcialidad y neutralidad de la información publicada.</v>
      </c>
      <c r="O610" s="165" t="s">
        <v>993</v>
      </c>
      <c r="P610" s="166" t="s">
        <v>755</v>
      </c>
      <c r="Q610" s="166" t="s">
        <v>756</v>
      </c>
      <c r="R610" s="211"/>
      <c r="S610" s="179" t="s">
        <v>757</v>
      </c>
      <c r="T610" s="164" t="s">
        <v>2033</v>
      </c>
      <c r="U610" s="94"/>
      <c r="V610" s="94"/>
      <c r="W610" s="94"/>
      <c r="X610" s="94"/>
      <c r="Y610" s="94"/>
      <c r="Z610" s="94"/>
      <c r="AA610" s="94"/>
      <c r="AB610" s="94"/>
      <c r="AC610" s="94"/>
      <c r="AD610" s="94"/>
      <c r="AE610" s="94"/>
      <c r="AF610" s="94"/>
      <c r="AG610" s="94"/>
      <c r="AH610" s="94"/>
      <c r="AI610" s="94"/>
      <c r="AJ610" s="94"/>
      <c r="AK610" s="94"/>
      <c r="AL610" s="94"/>
    </row>
    <row r="611" hidden="1">
      <c r="A611" s="105" t="s">
        <v>1540</v>
      </c>
      <c r="B611" s="92" t="str">
        <f t="shared" si="494"/>
        <v>Pregunta</v>
      </c>
      <c r="C611" s="106" t="str">
        <f t="shared" si="9"/>
        <v>5.</v>
      </c>
      <c r="D611" s="106" t="str">
        <f t="shared" si="10"/>
        <v>Contenido y lenguaje claro</v>
      </c>
      <c r="E611" s="106" t="str">
        <f t="shared" si="11"/>
        <v>Información representada por texto, imagen, video, sonido u otros tipos de medios. Debe utilizarse un lenguaje comprensible para la ciudadanía, además de cumplir con criterios de relevancia, actualización, precisión, fiabilidad y legibilidad, entre otros.</v>
      </c>
      <c r="F611" s="141" t="str">
        <f t="shared" si="3"/>
        <v>5.3</v>
      </c>
      <c r="G611" s="92" t="str">
        <f t="shared" si="4"/>
        <v>DESEABLES</v>
      </c>
      <c r="H611" s="141"/>
      <c r="I611" s="141" t="str">
        <f t="shared" si="5"/>
        <v>5.3.2</v>
      </c>
      <c r="J611" s="98" t="str">
        <f t="shared" si="6"/>
        <v>Archivo</v>
      </c>
      <c r="K611" s="98" t="str">
        <f t="shared" si="7"/>
        <v>Conservación del contenido histórico del sitio web cuando se realice un reemplazo del mismo.</v>
      </c>
      <c r="L611" s="141" t="str">
        <f t="shared" ref="L611:N611" si="617">IF(I611="",L610,I611)</f>
        <v>5.3.2</v>
      </c>
      <c r="M611" s="98" t="str">
        <f t="shared" si="617"/>
        <v>Archivo</v>
      </c>
      <c r="N611" s="98" t="str">
        <f t="shared" si="617"/>
        <v>Conservación del contenido histórico del sitio web cuando se realice un reemplazo del mismo.</v>
      </c>
      <c r="O611" s="147" t="s">
        <v>997</v>
      </c>
      <c r="P611" s="188" t="s">
        <v>760</v>
      </c>
      <c r="Q611" s="188" t="s">
        <v>761</v>
      </c>
      <c r="R611" s="189"/>
      <c r="S611" s="257" t="s">
        <v>2193</v>
      </c>
      <c r="T611" s="164" t="s">
        <v>2033</v>
      </c>
      <c r="U611" s="94"/>
      <c r="V611" s="94"/>
      <c r="W611" s="94"/>
      <c r="X611" s="94"/>
      <c r="Y611" s="94"/>
      <c r="Z611" s="94"/>
      <c r="AA611" s="94"/>
      <c r="AB611" s="94"/>
      <c r="AC611" s="94"/>
      <c r="AD611" s="94"/>
      <c r="AE611" s="94"/>
      <c r="AF611" s="94"/>
      <c r="AG611" s="94"/>
      <c r="AH611" s="94"/>
      <c r="AI611" s="94"/>
      <c r="AJ611" s="94"/>
      <c r="AK611" s="94"/>
      <c r="AL611" s="94"/>
    </row>
    <row r="612" hidden="1">
      <c r="A612" s="86" t="s">
        <v>1540</v>
      </c>
      <c r="B612" s="201" t="str">
        <f t="shared" si="494"/>
        <v>Otro</v>
      </c>
      <c r="C612" s="106" t="str">
        <f t="shared" si="9"/>
        <v>6.</v>
      </c>
      <c r="D612" s="106" t="str">
        <f t="shared" si="10"/>
        <v>Responsividad móvil</v>
      </c>
      <c r="E612" s="106" t="str">
        <f t="shared" si="11"/>
        <v>Cualidad que posee un sitio web para adaptarse a todos los dispositivos y tamaños de pantalla, sin perder calidad ni información esencial.</v>
      </c>
      <c r="F612" s="141" t="str">
        <f t="shared" si="3"/>
        <v>5.3</v>
      </c>
      <c r="G612" s="92" t="str">
        <f t="shared" si="4"/>
        <v>DESEABLES</v>
      </c>
      <c r="H612" s="107"/>
      <c r="I612" s="107" t="str">
        <f t="shared" si="5"/>
        <v/>
      </c>
      <c r="J612" s="98" t="str">
        <f t="shared" si="6"/>
        <v/>
      </c>
      <c r="K612" s="98" t="str">
        <f t="shared" si="7"/>
        <v/>
      </c>
      <c r="L612" s="141" t="str">
        <f t="shared" ref="L612:N612" si="618">IF(I612="",L611,I612)</f>
        <v>5.3.2</v>
      </c>
      <c r="M612" s="98" t="str">
        <f t="shared" si="618"/>
        <v>Archivo</v>
      </c>
      <c r="N612" s="98" t="str">
        <f t="shared" si="618"/>
        <v>Conservación del contenido histórico del sitio web cuando se realice un reemplazo del mismo.</v>
      </c>
      <c r="O612" s="220" t="s">
        <v>29</v>
      </c>
      <c r="P612" s="112" t="s">
        <v>30</v>
      </c>
      <c r="Q612" s="113"/>
      <c r="R612" s="114"/>
      <c r="S612" s="115" t="s">
        <v>1010</v>
      </c>
      <c r="T612" s="116" t="s">
        <v>2161</v>
      </c>
      <c r="U612" s="94"/>
      <c r="V612" s="94"/>
      <c r="W612" s="94"/>
      <c r="X612" s="94"/>
      <c r="Y612" s="94"/>
      <c r="Z612" s="94"/>
      <c r="AA612" s="94"/>
      <c r="AB612" s="94"/>
      <c r="AC612" s="94"/>
      <c r="AD612" s="94"/>
      <c r="AE612" s="94"/>
      <c r="AF612" s="94"/>
      <c r="AG612" s="94"/>
      <c r="AH612" s="94"/>
      <c r="AI612" s="94"/>
      <c r="AJ612" s="94"/>
      <c r="AK612" s="94"/>
      <c r="AL612" s="94"/>
    </row>
    <row r="613" hidden="1">
      <c r="A613" s="86" t="s">
        <v>1540</v>
      </c>
      <c r="B613" s="201" t="str">
        <f t="shared" si="494"/>
        <v>Otro</v>
      </c>
      <c r="C613" s="106" t="str">
        <f t="shared" si="9"/>
        <v>6.</v>
      </c>
      <c r="D613" s="106" t="str">
        <f t="shared" si="10"/>
        <v>Responsividad móvil</v>
      </c>
      <c r="E613" s="106" t="str">
        <f t="shared" si="11"/>
        <v>Cualidad que posee un sitio web para adaptarse a todos los dispositivos y tamaños de pantalla, sin perder calidad ni información esencial.</v>
      </c>
      <c r="F613" s="141" t="str">
        <f t="shared" si="3"/>
        <v>5.3</v>
      </c>
      <c r="G613" s="92" t="str">
        <f t="shared" si="4"/>
        <v>DESEABLES</v>
      </c>
      <c r="H613" s="107"/>
      <c r="I613" s="107" t="str">
        <f t="shared" si="5"/>
        <v/>
      </c>
      <c r="J613" s="98" t="str">
        <f t="shared" si="6"/>
        <v/>
      </c>
      <c r="K613" s="98" t="str">
        <f t="shared" si="7"/>
        <v/>
      </c>
      <c r="L613" s="141" t="str">
        <f t="shared" ref="L613:N613" si="619">IF(I613="",L612,I613)</f>
        <v>5.3.2</v>
      </c>
      <c r="M613" s="98" t="str">
        <f t="shared" si="619"/>
        <v>Archivo</v>
      </c>
      <c r="N613" s="98" t="str">
        <f t="shared" si="619"/>
        <v>Conservación del contenido histórico del sitio web cuando se realice un reemplazo del mismo.</v>
      </c>
      <c r="O613" s="221"/>
      <c r="P613" s="118"/>
      <c r="Q613" s="119"/>
      <c r="R613" s="114"/>
      <c r="S613" s="239"/>
      <c r="T613" s="116" t="s">
        <v>19</v>
      </c>
      <c r="U613" s="94"/>
      <c r="V613" s="94"/>
      <c r="W613" s="94"/>
      <c r="X613" s="94"/>
      <c r="Y613" s="94"/>
      <c r="Z613" s="94"/>
      <c r="AA613" s="94"/>
      <c r="AB613" s="94"/>
      <c r="AC613" s="94"/>
      <c r="AD613" s="94"/>
      <c r="AE613" s="94"/>
      <c r="AF613" s="94"/>
      <c r="AG613" s="94"/>
      <c r="AH613" s="94"/>
      <c r="AI613" s="94"/>
      <c r="AJ613" s="94"/>
      <c r="AK613" s="94"/>
      <c r="AL613" s="94"/>
    </row>
    <row r="614" hidden="1">
      <c r="A614" s="86" t="s">
        <v>1540</v>
      </c>
      <c r="B614" s="201" t="str">
        <f t="shared" si="494"/>
        <v>Otro</v>
      </c>
      <c r="C614" s="106" t="str">
        <f t="shared" si="9"/>
        <v>6.</v>
      </c>
      <c r="D614" s="106" t="str">
        <f t="shared" si="10"/>
        <v>Responsividad móvil</v>
      </c>
      <c r="E614" s="106" t="str">
        <f t="shared" si="11"/>
        <v>Cualidad que posee un sitio web para adaptarse a todos los dispositivos y tamaños de pantalla, sin perder calidad ni información esencial.</v>
      </c>
      <c r="F614" s="141" t="str">
        <f t="shared" si="3"/>
        <v>5.3</v>
      </c>
      <c r="G614" s="92" t="str">
        <f t="shared" si="4"/>
        <v>DESEABLES</v>
      </c>
      <c r="H614" s="107"/>
      <c r="I614" s="107" t="str">
        <f t="shared" si="5"/>
        <v/>
      </c>
      <c r="J614" s="98" t="str">
        <f t="shared" si="6"/>
        <v/>
      </c>
      <c r="K614" s="98" t="str">
        <f t="shared" si="7"/>
        <v/>
      </c>
      <c r="L614" s="141" t="str">
        <f t="shared" ref="L614:N614" si="620">IF(I614="",L613,I614)</f>
        <v>5.3.2</v>
      </c>
      <c r="M614" s="98" t="str">
        <f t="shared" si="620"/>
        <v>Archivo</v>
      </c>
      <c r="N614" s="98" t="str">
        <f t="shared" si="620"/>
        <v>Conservación del contenido histórico del sitio web cuando se realice un reemplazo del mismo.</v>
      </c>
      <c r="O614" s="222"/>
      <c r="P614" s="122"/>
      <c r="Q614" s="123"/>
      <c r="R614" s="114"/>
      <c r="S614" s="240"/>
      <c r="T614" s="241"/>
      <c r="U614" s="94"/>
      <c r="V614" s="94"/>
      <c r="W614" s="94"/>
      <c r="X614" s="94"/>
      <c r="Y614" s="94"/>
      <c r="Z614" s="94"/>
      <c r="AA614" s="94"/>
      <c r="AB614" s="94"/>
      <c r="AC614" s="94"/>
      <c r="AD614" s="94"/>
      <c r="AE614" s="94"/>
      <c r="AF614" s="94"/>
      <c r="AG614" s="94"/>
      <c r="AH614" s="94"/>
      <c r="AI614" s="94"/>
      <c r="AJ614" s="94"/>
      <c r="AK614" s="94"/>
      <c r="AL614" s="94"/>
    </row>
    <row r="615" hidden="1">
      <c r="A615" s="86" t="s">
        <v>1540</v>
      </c>
      <c r="B615" s="201" t="str">
        <f t="shared" si="494"/>
        <v>Otro</v>
      </c>
      <c r="C615" s="106" t="str">
        <f t="shared" si="9"/>
        <v>6.</v>
      </c>
      <c r="D615" s="106" t="str">
        <f t="shared" si="10"/>
        <v>Responsividad móvil</v>
      </c>
      <c r="E615" s="106" t="str">
        <f t="shared" si="11"/>
        <v>Cualidad que posee un sitio web para adaptarse a todos los dispositivos y tamaños de pantalla, sin perder calidad ni información esencial.</v>
      </c>
      <c r="F615" s="141" t="str">
        <f t="shared" si="3"/>
        <v>5.3</v>
      </c>
      <c r="G615" s="92" t="str">
        <f t="shared" si="4"/>
        <v>DESEABLES</v>
      </c>
      <c r="H615" s="96"/>
      <c r="I615" s="96" t="str">
        <f t="shared" si="5"/>
        <v/>
      </c>
      <c r="J615" s="98" t="str">
        <f t="shared" si="6"/>
        <v/>
      </c>
      <c r="K615" s="98" t="str">
        <f t="shared" si="7"/>
        <v/>
      </c>
      <c r="L615" s="141" t="str">
        <f t="shared" ref="L615:N615" si="621">IF(I615="",L614,I615)</f>
        <v>5.3.2</v>
      </c>
      <c r="M615" s="98" t="str">
        <f t="shared" si="621"/>
        <v>Archivo</v>
      </c>
      <c r="N615" s="98" t="str">
        <f t="shared" si="621"/>
        <v>Conservación del contenido histórico del sitio web cuando se realice un reemplazo del mismo.</v>
      </c>
      <c r="O615" s="104"/>
      <c r="P615" s="114"/>
      <c r="Q615" s="114"/>
      <c r="R615" s="127"/>
      <c r="S615" s="127"/>
      <c r="T615" s="127"/>
      <c r="U615" s="94"/>
      <c r="V615" s="94"/>
      <c r="W615" s="94"/>
      <c r="X615" s="94"/>
      <c r="Y615" s="94"/>
      <c r="Z615" s="94"/>
      <c r="AA615" s="94"/>
      <c r="AB615" s="94"/>
      <c r="AC615" s="94"/>
      <c r="AD615" s="94"/>
      <c r="AE615" s="94"/>
      <c r="AF615" s="94"/>
      <c r="AG615" s="94"/>
      <c r="AH615" s="94"/>
      <c r="AI615" s="94"/>
      <c r="AJ615" s="94"/>
      <c r="AK615" s="94"/>
      <c r="AL615" s="94"/>
    </row>
    <row r="616" hidden="1">
      <c r="A616" s="86" t="s">
        <v>1540</v>
      </c>
      <c r="B616" s="95" t="str">
        <f t="shared" si="494"/>
        <v>Otro</v>
      </c>
      <c r="C616" s="106" t="str">
        <f t="shared" si="9"/>
        <v>6.</v>
      </c>
      <c r="D616" s="106" t="str">
        <f t="shared" si="10"/>
        <v>Responsividad móvil</v>
      </c>
      <c r="E616" s="106" t="str">
        <f t="shared" si="11"/>
        <v>Cualidad que posee un sitio web para adaptarse a todos los dispositivos y tamaños de pantalla, sin perder calidad ni información esencial.</v>
      </c>
      <c r="F616" s="141" t="str">
        <f t="shared" si="3"/>
        <v>5.3</v>
      </c>
      <c r="G616" s="92" t="str">
        <f t="shared" si="4"/>
        <v>DESEABLES</v>
      </c>
      <c r="H616" s="128"/>
      <c r="I616" s="128" t="str">
        <f t="shared" si="5"/>
        <v/>
      </c>
      <c r="J616" s="98" t="str">
        <f t="shared" si="6"/>
        <v/>
      </c>
      <c r="K616" s="98" t="str">
        <f t="shared" si="7"/>
        <v/>
      </c>
      <c r="L616" s="141" t="str">
        <f t="shared" ref="L616:N616" si="622">IF(I616="",L615,I616)</f>
        <v>5.3.2</v>
      </c>
      <c r="M616" s="98" t="str">
        <f t="shared" si="622"/>
        <v>Archivo</v>
      </c>
      <c r="N616" s="98" t="str">
        <f t="shared" si="622"/>
        <v>Conservación del contenido histórico del sitio web cuando se realice un reemplazo del mismo.</v>
      </c>
      <c r="O616" s="223" t="s">
        <v>1822</v>
      </c>
      <c r="P616" s="133" t="s">
        <v>1823</v>
      </c>
      <c r="Q616" s="133" t="s">
        <v>2031</v>
      </c>
      <c r="R616" s="134"/>
      <c r="S616" s="133" t="s">
        <v>1824</v>
      </c>
      <c r="T616" s="133" t="s">
        <v>1825</v>
      </c>
      <c r="U616" s="94"/>
      <c r="V616" s="94"/>
      <c r="W616" s="94"/>
      <c r="X616" s="94"/>
      <c r="Y616" s="94"/>
      <c r="Z616" s="94"/>
      <c r="AA616" s="94"/>
      <c r="AB616" s="94"/>
      <c r="AC616" s="94"/>
      <c r="AD616" s="94"/>
      <c r="AE616" s="94"/>
      <c r="AF616" s="94"/>
      <c r="AG616" s="94"/>
      <c r="AH616" s="94"/>
      <c r="AI616" s="94"/>
      <c r="AJ616" s="94"/>
      <c r="AK616" s="94"/>
      <c r="AL616" s="94"/>
    </row>
    <row r="617" hidden="1">
      <c r="A617" s="86" t="s">
        <v>1540</v>
      </c>
      <c r="B617" s="95" t="str">
        <f t="shared" si="494"/>
        <v>Otro</v>
      </c>
      <c r="C617" s="106" t="str">
        <f t="shared" si="9"/>
        <v>6.</v>
      </c>
      <c r="D617" s="106" t="str">
        <f t="shared" si="10"/>
        <v>Responsividad móvil</v>
      </c>
      <c r="E617" s="106" t="str">
        <f t="shared" si="11"/>
        <v>Cualidad que posee un sitio web para adaptarse a todos los dispositivos y tamaños de pantalla, sin perder calidad ni información esencial.</v>
      </c>
      <c r="F617" s="141" t="str">
        <f t="shared" si="3"/>
        <v>6.1</v>
      </c>
      <c r="G617" s="92" t="str">
        <f t="shared" si="4"/>
        <v>IMPRESCINDIBLES</v>
      </c>
      <c r="H617" s="141"/>
      <c r="I617" s="141" t="str">
        <f t="shared" si="5"/>
        <v/>
      </c>
      <c r="J617" s="98" t="str">
        <f t="shared" si="6"/>
        <v/>
      </c>
      <c r="K617" s="98" t="str">
        <f t="shared" si="7"/>
        <v/>
      </c>
      <c r="L617" s="141" t="str">
        <f t="shared" ref="L617:N617" si="623">IF(I617="",L616,I617)</f>
        <v>5.3.2</v>
      </c>
      <c r="M617" s="98" t="str">
        <f t="shared" si="623"/>
        <v>Archivo</v>
      </c>
      <c r="N617" s="98" t="str">
        <f t="shared" si="623"/>
        <v>Conservación del contenido histórico del sitio web cuando se realice un reemplazo del mismo.</v>
      </c>
      <c r="O617" s="152" t="s">
        <v>1011</v>
      </c>
      <c r="P617" s="206" t="s">
        <v>664</v>
      </c>
      <c r="Q617" s="200"/>
      <c r="R617" s="138"/>
      <c r="S617" s="139">
        <f>COUNTA(P618:P623)</f>
        <v>1</v>
      </c>
      <c r="T617" s="140">
        <f>COUNTIF(U618:U623,"n/a")</f>
        <v>0</v>
      </c>
      <c r="U617" s="94"/>
      <c r="V617" s="94"/>
      <c r="W617" s="94"/>
      <c r="X617" s="94"/>
      <c r="Y617" s="94"/>
      <c r="Z617" s="94"/>
      <c r="AA617" s="94"/>
      <c r="AB617" s="94"/>
      <c r="AC617" s="94"/>
      <c r="AD617" s="94"/>
      <c r="AE617" s="94"/>
      <c r="AF617" s="94"/>
      <c r="AG617" s="94"/>
      <c r="AH617" s="94"/>
      <c r="AI617" s="94"/>
      <c r="AJ617" s="94"/>
      <c r="AK617" s="94"/>
      <c r="AL617" s="94"/>
    </row>
    <row r="618" hidden="1">
      <c r="A618" s="105" t="s">
        <v>1540</v>
      </c>
      <c r="B618" s="92" t="str">
        <f t="shared" si="494"/>
        <v>Pregunta</v>
      </c>
      <c r="C618" s="106" t="str">
        <f t="shared" si="9"/>
        <v>6.</v>
      </c>
      <c r="D618" s="106" t="str">
        <f t="shared" si="10"/>
        <v>Responsividad móvil</v>
      </c>
      <c r="E618" s="106" t="str">
        <f t="shared" si="11"/>
        <v>Cualidad que posee un sitio web para adaptarse a todos los dispositivos y tamaños de pantalla, sin perder calidad ni información esencial.</v>
      </c>
      <c r="F618" s="141" t="str">
        <f t="shared" si="3"/>
        <v>6.1</v>
      </c>
      <c r="G618" s="92" t="str">
        <f t="shared" si="4"/>
        <v>IMPRESCINDIBLES</v>
      </c>
      <c r="H618" s="141"/>
      <c r="I618" s="141" t="str">
        <f t="shared" si="5"/>
        <v>6.1.1</v>
      </c>
      <c r="J618" s="98" t="str">
        <f t="shared" si="6"/>
        <v>Visualización móvil</v>
      </c>
      <c r="K618" s="98" t="str">
        <f t="shared" si="7"/>
        <v>Diseño responsivo, formulado y desarrollado para ser accesible desde cualquier dispositivo móvil en primer lugar.</v>
      </c>
      <c r="L618" s="141" t="str">
        <f t="shared" ref="L618:N618" si="624">IF(I618="",L617,I618)</f>
        <v>6.1.1</v>
      </c>
      <c r="M618" s="98" t="str">
        <f t="shared" si="624"/>
        <v>Visualización móvil</v>
      </c>
      <c r="N618" s="98" t="str">
        <f t="shared" si="624"/>
        <v>Diseño responsivo, formulado y desarrollado para ser accesible desde cualquier dispositivo móvil en primer lugar.</v>
      </c>
      <c r="O618" s="207" t="s">
        <v>1012</v>
      </c>
      <c r="P618" s="180" t="s">
        <v>1013</v>
      </c>
      <c r="Q618" s="180" t="s">
        <v>1613</v>
      </c>
      <c r="R618" s="161"/>
      <c r="S618" s="162" t="s">
        <v>2194</v>
      </c>
      <c r="T618" s="160" t="s">
        <v>2033</v>
      </c>
      <c r="U618" s="94"/>
      <c r="V618" s="94"/>
      <c r="W618" s="94"/>
      <c r="X618" s="94"/>
      <c r="Y618" s="94"/>
      <c r="Z618" s="94"/>
      <c r="AA618" s="94"/>
      <c r="AB618" s="94"/>
      <c r="AC618" s="94"/>
      <c r="AD618" s="94"/>
      <c r="AE618" s="94"/>
      <c r="AF618" s="94"/>
      <c r="AG618" s="94"/>
      <c r="AH618" s="94"/>
      <c r="AI618" s="94"/>
      <c r="AJ618" s="94"/>
      <c r="AK618" s="94"/>
      <c r="AL618" s="94"/>
    </row>
    <row r="619" hidden="1">
      <c r="A619" s="86" t="s">
        <v>1540</v>
      </c>
      <c r="B619" s="95" t="str">
        <f t="shared" si="494"/>
        <v>Pregunta</v>
      </c>
      <c r="C619" s="106" t="str">
        <f t="shared" si="9"/>
        <v>6.</v>
      </c>
      <c r="D619" s="106" t="str">
        <f t="shared" si="10"/>
        <v>Responsividad móvil</v>
      </c>
      <c r="E619" s="106" t="str">
        <f t="shared" si="11"/>
        <v>Cualidad que posee un sitio web para adaptarse a todos los dispositivos y tamaños de pantalla, sin perder calidad ni información esencial.</v>
      </c>
      <c r="F619" s="141" t="str">
        <f t="shared" si="3"/>
        <v>6.1</v>
      </c>
      <c r="G619" s="92" t="str">
        <f t="shared" si="4"/>
        <v>IMPRESCINDIBLES</v>
      </c>
      <c r="H619" s="141"/>
      <c r="I619" s="141" t="str">
        <f t="shared" si="5"/>
        <v/>
      </c>
      <c r="J619" s="98" t="str">
        <f t="shared" si="6"/>
        <v/>
      </c>
      <c r="K619" s="98" t="str">
        <f t="shared" si="7"/>
        <v/>
      </c>
      <c r="L619" s="141" t="str">
        <f t="shared" ref="L619:N619" si="625">IF(I619="",L618,I619)</f>
        <v>6.1.1</v>
      </c>
      <c r="M619" s="98" t="str">
        <f t="shared" si="625"/>
        <v>Visualización móvil</v>
      </c>
      <c r="N619" s="98" t="str">
        <f t="shared" si="625"/>
        <v>Diseño responsivo, formulado y desarrollado para ser accesible desde cualquier dispositivo móvil en primer lugar.</v>
      </c>
      <c r="O619" s="152"/>
      <c r="P619" s="153"/>
      <c r="Q619" s="153"/>
      <c r="R619" s="161"/>
      <c r="S619" s="162" t="s">
        <v>2195</v>
      </c>
      <c r="T619" s="160" t="s">
        <v>2033</v>
      </c>
      <c r="U619" s="94"/>
      <c r="V619" s="94"/>
      <c r="W619" s="94"/>
      <c r="X619" s="94"/>
      <c r="Y619" s="94"/>
      <c r="Z619" s="94"/>
      <c r="AA619" s="94"/>
      <c r="AB619" s="94"/>
      <c r="AC619" s="94"/>
      <c r="AD619" s="94"/>
      <c r="AE619" s="94"/>
      <c r="AF619" s="94"/>
      <c r="AG619" s="94"/>
      <c r="AH619" s="94"/>
      <c r="AI619" s="94"/>
      <c r="AJ619" s="94"/>
      <c r="AK619" s="94"/>
      <c r="AL619" s="94"/>
    </row>
    <row r="620" hidden="1">
      <c r="A620" s="86" t="s">
        <v>1540</v>
      </c>
      <c r="B620" s="95" t="str">
        <f t="shared" si="494"/>
        <v>Pregunta</v>
      </c>
      <c r="C620" s="106" t="str">
        <f t="shared" si="9"/>
        <v>6.</v>
      </c>
      <c r="D620" s="106" t="str">
        <f t="shared" si="10"/>
        <v>Responsividad móvil</v>
      </c>
      <c r="E620" s="106" t="str">
        <f t="shared" si="11"/>
        <v>Cualidad que posee un sitio web para adaptarse a todos los dispositivos y tamaños de pantalla, sin perder calidad ni información esencial.</v>
      </c>
      <c r="F620" s="141" t="str">
        <f t="shared" si="3"/>
        <v>6.1</v>
      </c>
      <c r="G620" s="92" t="str">
        <f t="shared" si="4"/>
        <v>IMPRESCINDIBLES</v>
      </c>
      <c r="H620" s="141"/>
      <c r="I620" s="141" t="str">
        <f t="shared" si="5"/>
        <v/>
      </c>
      <c r="J620" s="98" t="str">
        <f t="shared" si="6"/>
        <v/>
      </c>
      <c r="K620" s="98" t="str">
        <f t="shared" si="7"/>
        <v/>
      </c>
      <c r="L620" s="141" t="str">
        <f t="shared" ref="L620:N620" si="626">IF(I620="",L619,I620)</f>
        <v>6.1.1</v>
      </c>
      <c r="M620" s="98" t="str">
        <f t="shared" si="626"/>
        <v>Visualización móvil</v>
      </c>
      <c r="N620" s="98" t="str">
        <f t="shared" si="626"/>
        <v>Diseño responsivo, formulado y desarrollado para ser accesible desde cualquier dispositivo móvil en primer lugar.</v>
      </c>
      <c r="O620" s="152"/>
      <c r="P620" s="153"/>
      <c r="Q620" s="153"/>
      <c r="R620" s="161"/>
      <c r="S620" s="162" t="s">
        <v>1017</v>
      </c>
      <c r="T620" s="160" t="s">
        <v>2033</v>
      </c>
      <c r="U620" s="94"/>
      <c r="V620" s="94"/>
      <c r="W620" s="94"/>
      <c r="X620" s="94"/>
      <c r="Y620" s="94"/>
      <c r="Z620" s="94"/>
      <c r="AA620" s="94"/>
      <c r="AB620" s="94"/>
      <c r="AC620" s="94"/>
      <c r="AD620" s="94"/>
      <c r="AE620" s="94"/>
      <c r="AF620" s="94"/>
      <c r="AG620" s="94"/>
      <c r="AH620" s="94"/>
      <c r="AI620" s="94"/>
      <c r="AJ620" s="94"/>
      <c r="AK620" s="94"/>
      <c r="AL620" s="94"/>
    </row>
    <row r="621" hidden="1">
      <c r="A621" s="86" t="s">
        <v>1540</v>
      </c>
      <c r="B621" s="95" t="str">
        <f t="shared" si="494"/>
        <v>Pregunta</v>
      </c>
      <c r="C621" s="106" t="str">
        <f t="shared" si="9"/>
        <v>6.</v>
      </c>
      <c r="D621" s="106" t="str">
        <f t="shared" si="10"/>
        <v>Responsividad móvil</v>
      </c>
      <c r="E621" s="106" t="str">
        <f t="shared" si="11"/>
        <v>Cualidad que posee un sitio web para adaptarse a todos los dispositivos y tamaños de pantalla, sin perder calidad ni información esencial.</v>
      </c>
      <c r="F621" s="141" t="str">
        <f t="shared" si="3"/>
        <v>6.1</v>
      </c>
      <c r="G621" s="92" t="str">
        <f t="shared" si="4"/>
        <v>IMPRESCINDIBLES</v>
      </c>
      <c r="H621" s="141"/>
      <c r="I621" s="141" t="str">
        <f t="shared" si="5"/>
        <v/>
      </c>
      <c r="J621" s="98" t="str">
        <f t="shared" si="6"/>
        <v/>
      </c>
      <c r="K621" s="98" t="str">
        <f t="shared" si="7"/>
        <v/>
      </c>
      <c r="L621" s="141" t="str">
        <f t="shared" ref="L621:N621" si="627">IF(I621="",L620,I621)</f>
        <v>6.1.1</v>
      </c>
      <c r="M621" s="98" t="str">
        <f t="shared" si="627"/>
        <v>Visualización móvil</v>
      </c>
      <c r="N621" s="98" t="str">
        <f t="shared" si="627"/>
        <v>Diseño responsivo, formulado y desarrollado para ser accesible desde cualquier dispositivo móvil en primer lugar.</v>
      </c>
      <c r="O621" s="152"/>
      <c r="P621" s="153"/>
      <c r="Q621" s="153"/>
      <c r="R621" s="161"/>
      <c r="S621" s="162" t="s">
        <v>1018</v>
      </c>
      <c r="T621" s="160" t="s">
        <v>2033</v>
      </c>
      <c r="U621" s="94"/>
      <c r="V621" s="94"/>
      <c r="W621" s="94"/>
      <c r="X621" s="94"/>
      <c r="Y621" s="94"/>
      <c r="Z621" s="94"/>
      <c r="AA621" s="94"/>
      <c r="AB621" s="94"/>
      <c r="AC621" s="94"/>
      <c r="AD621" s="94"/>
      <c r="AE621" s="94"/>
      <c r="AF621" s="94"/>
      <c r="AG621" s="94"/>
      <c r="AH621" s="94"/>
      <c r="AI621" s="94"/>
      <c r="AJ621" s="94"/>
      <c r="AK621" s="94"/>
      <c r="AL621" s="94"/>
    </row>
    <row r="622" hidden="1">
      <c r="A622" s="86" t="s">
        <v>1540</v>
      </c>
      <c r="B622" s="95" t="str">
        <f t="shared" si="494"/>
        <v>Pregunta</v>
      </c>
      <c r="C622" s="106" t="str">
        <f t="shared" si="9"/>
        <v>6.</v>
      </c>
      <c r="D622" s="106" t="str">
        <f t="shared" si="10"/>
        <v>Responsividad móvil</v>
      </c>
      <c r="E622" s="106" t="str">
        <f t="shared" si="11"/>
        <v>Cualidad que posee un sitio web para adaptarse a todos los dispositivos y tamaños de pantalla, sin perder calidad ni información esencial.</v>
      </c>
      <c r="F622" s="141" t="str">
        <f t="shared" si="3"/>
        <v>6.1</v>
      </c>
      <c r="G622" s="92" t="str">
        <f t="shared" si="4"/>
        <v>IMPRESCINDIBLES</v>
      </c>
      <c r="H622" s="141"/>
      <c r="I622" s="141" t="str">
        <f t="shared" si="5"/>
        <v/>
      </c>
      <c r="J622" s="98" t="str">
        <f t="shared" si="6"/>
        <v/>
      </c>
      <c r="K622" s="98" t="str">
        <f t="shared" si="7"/>
        <v/>
      </c>
      <c r="L622" s="141" t="str">
        <f t="shared" ref="L622:N622" si="628">IF(I622="",L621,I622)</f>
        <v>6.1.1</v>
      </c>
      <c r="M622" s="98" t="str">
        <f t="shared" si="628"/>
        <v>Visualización móvil</v>
      </c>
      <c r="N622" s="98" t="str">
        <f t="shared" si="628"/>
        <v>Diseño responsivo, formulado y desarrollado para ser accesible desde cualquier dispositivo móvil en primer lugar.</v>
      </c>
      <c r="O622" s="152"/>
      <c r="P622" s="153"/>
      <c r="Q622" s="153"/>
      <c r="R622" s="238"/>
      <c r="S622" s="162" t="s">
        <v>1019</v>
      </c>
      <c r="T622" s="160" t="s">
        <v>2033</v>
      </c>
      <c r="U622" s="94"/>
      <c r="V622" s="94"/>
      <c r="W622" s="94"/>
      <c r="X622" s="94"/>
      <c r="Y622" s="94"/>
      <c r="Z622" s="94"/>
      <c r="AA622" s="94"/>
      <c r="AB622" s="94"/>
      <c r="AC622" s="94"/>
      <c r="AD622" s="94"/>
      <c r="AE622" s="94"/>
      <c r="AF622" s="94"/>
      <c r="AG622" s="94"/>
      <c r="AH622" s="94"/>
      <c r="AI622" s="94"/>
      <c r="AJ622" s="94"/>
      <c r="AK622" s="94"/>
      <c r="AL622" s="94"/>
    </row>
    <row r="623" hidden="1">
      <c r="A623" s="86" t="s">
        <v>1540</v>
      </c>
      <c r="B623" s="95" t="str">
        <f t="shared" si="494"/>
        <v>Pregunta</v>
      </c>
      <c r="C623" s="106" t="str">
        <f t="shared" si="9"/>
        <v>6.</v>
      </c>
      <c r="D623" s="106" t="str">
        <f t="shared" si="10"/>
        <v>Responsividad móvil</v>
      </c>
      <c r="E623" s="106" t="str">
        <f t="shared" si="11"/>
        <v>Cualidad que posee un sitio web para adaptarse a todos los dispositivos y tamaños de pantalla, sin perder calidad ni información esencial.</v>
      </c>
      <c r="F623" s="141" t="str">
        <f t="shared" si="3"/>
        <v>6.1</v>
      </c>
      <c r="G623" s="92" t="str">
        <f t="shared" si="4"/>
        <v>IMPRESCINDIBLES</v>
      </c>
      <c r="H623" s="141"/>
      <c r="I623" s="141" t="str">
        <f t="shared" si="5"/>
        <v/>
      </c>
      <c r="J623" s="98" t="str">
        <f t="shared" si="6"/>
        <v/>
      </c>
      <c r="K623" s="98" t="str">
        <f t="shared" si="7"/>
        <v/>
      </c>
      <c r="L623" s="141" t="str">
        <f t="shared" ref="L623:N623" si="629">IF(I623="",L622,I623)</f>
        <v>6.1.1</v>
      </c>
      <c r="M623" s="98" t="str">
        <f t="shared" si="629"/>
        <v>Visualización móvil</v>
      </c>
      <c r="N623" s="98" t="str">
        <f t="shared" si="629"/>
        <v>Diseño responsivo, formulado y desarrollado para ser accesible desde cualquier dispositivo móvil en primer lugar.</v>
      </c>
      <c r="O623" s="142"/>
      <c r="P623" s="143"/>
      <c r="Q623" s="143"/>
      <c r="R623" s="247"/>
      <c r="S623" s="169" t="s">
        <v>1020</v>
      </c>
      <c r="T623" s="164" t="s">
        <v>2033</v>
      </c>
      <c r="U623" s="94"/>
      <c r="V623" s="94"/>
      <c r="W623" s="94"/>
      <c r="X623" s="94"/>
      <c r="Y623" s="94"/>
      <c r="Z623" s="94"/>
      <c r="AA623" s="94"/>
      <c r="AB623" s="94"/>
      <c r="AC623" s="94"/>
      <c r="AD623" s="94"/>
      <c r="AE623" s="94"/>
      <c r="AF623" s="94"/>
      <c r="AG623" s="94"/>
      <c r="AH623" s="94"/>
      <c r="AI623" s="94"/>
      <c r="AJ623" s="94"/>
      <c r="AK623" s="94"/>
      <c r="AL623" s="94"/>
    </row>
    <row r="624" hidden="1">
      <c r="A624" s="86" t="s">
        <v>1540</v>
      </c>
      <c r="B624" s="95" t="str">
        <f t="shared" si="494"/>
        <v>Otro</v>
      </c>
      <c r="C624" s="106" t="str">
        <f t="shared" si="9"/>
        <v>6.</v>
      </c>
      <c r="D624" s="106" t="str">
        <f t="shared" si="10"/>
        <v>Responsividad móvil</v>
      </c>
      <c r="E624" s="106" t="str">
        <f t="shared" si="11"/>
        <v>Cualidad que posee un sitio web para adaptarse a todos los dispositivos y tamaños de pantalla, sin perder calidad ni información esencial.</v>
      </c>
      <c r="F624" s="141" t="str">
        <f t="shared" si="3"/>
        <v>6.2</v>
      </c>
      <c r="G624" s="92" t="str">
        <f t="shared" si="4"/>
        <v>ESPERABLES</v>
      </c>
      <c r="H624" s="141"/>
      <c r="I624" s="141" t="str">
        <f t="shared" si="5"/>
        <v/>
      </c>
      <c r="J624" s="98" t="str">
        <f t="shared" si="6"/>
        <v/>
      </c>
      <c r="K624" s="98" t="str">
        <f t="shared" si="7"/>
        <v/>
      </c>
      <c r="L624" s="141" t="str">
        <f t="shared" ref="L624:N624" si="630">IF(I624="",L623,I624)</f>
        <v>6.1.1</v>
      </c>
      <c r="M624" s="98" t="str">
        <f t="shared" si="630"/>
        <v>Visualización móvil</v>
      </c>
      <c r="N624" s="98" t="str">
        <f t="shared" si="630"/>
        <v>Diseño responsivo, formulado y desarrollado para ser accesible desde cualquier dispositivo móvil en primer lugar.</v>
      </c>
      <c r="O624" s="152" t="s">
        <v>1021</v>
      </c>
      <c r="P624" s="206" t="s">
        <v>714</v>
      </c>
      <c r="Q624" s="200"/>
      <c r="R624" s="177"/>
      <c r="S624" s="197">
        <f>COUNTA(P625:P626)</f>
        <v>1</v>
      </c>
      <c r="T624" s="197">
        <f>COUNTIF(U625:U626,"n/a")</f>
        <v>0</v>
      </c>
      <c r="U624" s="94"/>
      <c r="V624" s="94"/>
      <c r="W624" s="94"/>
      <c r="X624" s="94"/>
      <c r="Y624" s="94"/>
      <c r="Z624" s="94"/>
      <c r="AA624" s="94"/>
      <c r="AB624" s="94"/>
      <c r="AC624" s="94"/>
      <c r="AD624" s="94"/>
      <c r="AE624" s="94"/>
      <c r="AF624" s="94"/>
      <c r="AG624" s="94"/>
      <c r="AH624" s="94"/>
      <c r="AI624" s="94"/>
      <c r="AJ624" s="94"/>
      <c r="AK624" s="94"/>
      <c r="AL624" s="94"/>
    </row>
    <row r="625" hidden="1">
      <c r="A625" s="105" t="s">
        <v>1540</v>
      </c>
      <c r="B625" s="92" t="str">
        <f t="shared" si="494"/>
        <v>Pregunta</v>
      </c>
      <c r="C625" s="106" t="str">
        <f t="shared" si="9"/>
        <v>6.</v>
      </c>
      <c r="D625" s="106" t="str">
        <f t="shared" si="10"/>
        <v>Responsividad móvil</v>
      </c>
      <c r="E625" s="106" t="str">
        <f t="shared" si="11"/>
        <v>Cualidad que posee un sitio web para adaptarse a todos los dispositivos y tamaños de pantalla, sin perder calidad ni información esencial.</v>
      </c>
      <c r="F625" s="141" t="str">
        <f t="shared" si="3"/>
        <v>6.2</v>
      </c>
      <c r="G625" s="92" t="str">
        <f t="shared" si="4"/>
        <v>ESPERABLES</v>
      </c>
      <c r="H625" s="141"/>
      <c r="I625" s="141" t="str">
        <f t="shared" si="5"/>
        <v>6.2.1</v>
      </c>
      <c r="J625" s="98" t="str">
        <f t="shared" si="6"/>
        <v>Adaptabilidad</v>
      </c>
      <c r="K625" s="98" t="str">
        <f t="shared" si="7"/>
        <v>Adecuación automática de un sitio web con sus elementos visuales y contenidos para que sean visualizados correctamente en cualquier dispositivo.
</v>
      </c>
      <c r="L625" s="141" t="str">
        <f t="shared" ref="L625:N625" si="631">IF(I625="",L624,I625)</f>
        <v>6.2.1</v>
      </c>
      <c r="M625" s="98" t="str">
        <f t="shared" si="631"/>
        <v>Adaptabilidad</v>
      </c>
      <c r="N625" s="98" t="str">
        <f t="shared" si="631"/>
        <v>Adecuación automática de un sitio web con sus elementos visuales y contenidos para que sean visualizados correctamente en cualquier dispositivo.
</v>
      </c>
      <c r="O625" s="207" t="s">
        <v>1022</v>
      </c>
      <c r="P625" s="180" t="s">
        <v>1023</v>
      </c>
      <c r="Q625" s="180" t="s">
        <v>1024</v>
      </c>
      <c r="R625" s="161"/>
      <c r="S625" s="162" t="s">
        <v>1025</v>
      </c>
      <c r="T625" s="160" t="s">
        <v>2033</v>
      </c>
      <c r="U625" s="94"/>
      <c r="V625" s="94"/>
      <c r="W625" s="94"/>
      <c r="X625" s="94"/>
      <c r="Y625" s="94"/>
      <c r="Z625" s="94"/>
      <c r="AA625" s="94"/>
      <c r="AB625" s="94"/>
      <c r="AC625" s="94"/>
      <c r="AD625" s="94"/>
      <c r="AE625" s="94"/>
      <c r="AF625" s="94"/>
      <c r="AG625" s="94"/>
      <c r="AH625" s="94"/>
      <c r="AI625" s="94"/>
      <c r="AJ625" s="94"/>
      <c r="AK625" s="94"/>
      <c r="AL625" s="94"/>
    </row>
    <row r="626" hidden="1">
      <c r="A626" s="86" t="s">
        <v>1540</v>
      </c>
      <c r="B626" s="95" t="str">
        <f t="shared" si="494"/>
        <v>Pregunta</v>
      </c>
      <c r="C626" s="106" t="str">
        <f t="shared" si="9"/>
        <v>6.</v>
      </c>
      <c r="D626" s="106" t="str">
        <f t="shared" si="10"/>
        <v>Responsividad móvil</v>
      </c>
      <c r="E626" s="106" t="str">
        <f t="shared" si="11"/>
        <v>Cualidad que posee un sitio web para adaptarse a todos los dispositivos y tamaños de pantalla, sin perder calidad ni información esencial.</v>
      </c>
      <c r="F626" s="141" t="str">
        <f t="shared" si="3"/>
        <v>6.2</v>
      </c>
      <c r="G626" s="92" t="str">
        <f t="shared" si="4"/>
        <v>ESPERABLES</v>
      </c>
      <c r="H626" s="141"/>
      <c r="I626" s="141" t="str">
        <f t="shared" si="5"/>
        <v/>
      </c>
      <c r="J626" s="98" t="str">
        <f t="shared" si="6"/>
        <v/>
      </c>
      <c r="K626" s="98" t="str">
        <f t="shared" si="7"/>
        <v/>
      </c>
      <c r="L626" s="141" t="str">
        <f t="shared" ref="L626:N626" si="632">IF(I626="",L625,I626)</f>
        <v>6.2.1</v>
      </c>
      <c r="M626" s="98" t="str">
        <f t="shared" si="632"/>
        <v>Adaptabilidad</v>
      </c>
      <c r="N626" s="98" t="str">
        <f t="shared" si="632"/>
        <v>Adecuación automática de un sitio web con sus elementos visuales y contenidos para que sean visualizados correctamente en cualquier dispositivo.
</v>
      </c>
      <c r="O626" s="142"/>
      <c r="P626" s="143"/>
      <c r="Q626" s="143"/>
      <c r="R626" s="174"/>
      <c r="S626" s="143" t="s">
        <v>1026</v>
      </c>
      <c r="T626" s="164" t="s">
        <v>2033</v>
      </c>
      <c r="U626" s="94"/>
      <c r="V626" s="94"/>
      <c r="W626" s="94"/>
      <c r="X626" s="94"/>
      <c r="Y626" s="94"/>
      <c r="Z626" s="94"/>
      <c r="AA626" s="94"/>
      <c r="AB626" s="94"/>
      <c r="AC626" s="94"/>
      <c r="AD626" s="94"/>
      <c r="AE626" s="94"/>
      <c r="AF626" s="94"/>
      <c r="AG626" s="94"/>
      <c r="AH626" s="94"/>
      <c r="AI626" s="94"/>
      <c r="AJ626" s="94"/>
      <c r="AK626" s="94"/>
      <c r="AL626" s="94"/>
    </row>
    <row r="627" hidden="1">
      <c r="A627" s="105" t="s">
        <v>1540</v>
      </c>
      <c r="B627" s="106" t="str">
        <f t="shared" si="494"/>
        <v>Otro</v>
      </c>
      <c r="C627" s="106" t="str">
        <f t="shared" si="9"/>
        <v>7.</v>
      </c>
      <c r="D627" s="106" t="str">
        <f t="shared" si="10"/>
        <v>Seguridad</v>
      </c>
      <c r="E627" s="106" t="str">
        <f t="shared" si="11"/>
        <v>Apego a estándares de desarrollo, compatibilidad y directrices para cautelar la seguridad de los sistemas. Esto protege la disponibilidad, integridad y confidencialidad de la información y datos institucionales y personales.</v>
      </c>
      <c r="F627" s="141" t="str">
        <f t="shared" si="3"/>
        <v>6.2</v>
      </c>
      <c r="G627" s="92" t="str">
        <f t="shared" si="4"/>
        <v>ESPERABLES</v>
      </c>
      <c r="H627" s="107"/>
      <c r="I627" s="107" t="str">
        <f t="shared" si="5"/>
        <v/>
      </c>
      <c r="J627" s="98" t="str">
        <f t="shared" si="6"/>
        <v/>
      </c>
      <c r="K627" s="98" t="str">
        <f t="shared" si="7"/>
        <v/>
      </c>
      <c r="L627" s="141" t="str">
        <f t="shared" ref="L627:N627" si="633">IF(I627="",L626,I627)</f>
        <v>6.2.1</v>
      </c>
      <c r="M627" s="98" t="str">
        <f t="shared" si="633"/>
        <v>Adaptabilidad</v>
      </c>
      <c r="N627" s="98" t="str">
        <f t="shared" si="633"/>
        <v>Adecuación automática de un sitio web con sus elementos visuales y contenidos para que sean visualizados correctamente en cualquier dispositivo.
</v>
      </c>
      <c r="O627" s="221" t="s">
        <v>31</v>
      </c>
      <c r="P627" s="118" t="s">
        <v>34</v>
      </c>
      <c r="Q627" s="119"/>
      <c r="R627" s="114"/>
      <c r="S627" s="115" t="s">
        <v>1083</v>
      </c>
      <c r="T627" s="116" t="s">
        <v>2161</v>
      </c>
      <c r="U627" s="94"/>
      <c r="V627" s="94"/>
      <c r="W627" s="94"/>
      <c r="X627" s="94"/>
      <c r="Y627" s="94"/>
      <c r="Z627" s="94"/>
      <c r="AA627" s="94"/>
      <c r="AB627" s="94"/>
      <c r="AC627" s="94"/>
      <c r="AD627" s="94"/>
      <c r="AE627" s="94"/>
      <c r="AF627" s="94"/>
      <c r="AG627" s="94"/>
      <c r="AH627" s="94"/>
      <c r="AI627" s="94"/>
      <c r="AJ627" s="94"/>
      <c r="AK627" s="94"/>
      <c r="AL627" s="94"/>
    </row>
    <row r="628" hidden="1">
      <c r="A628" s="105" t="s">
        <v>1540</v>
      </c>
      <c r="B628" s="106" t="str">
        <f t="shared" si="494"/>
        <v>Otro</v>
      </c>
      <c r="C628" s="106" t="str">
        <f t="shared" si="9"/>
        <v>7.</v>
      </c>
      <c r="D628" s="106" t="str">
        <f t="shared" si="10"/>
        <v>Seguridad</v>
      </c>
      <c r="E628" s="106" t="str">
        <f t="shared" si="11"/>
        <v>Apego a estándares de desarrollo, compatibilidad y directrices para cautelar la seguridad de los sistemas. Esto protege la disponibilidad, integridad y confidencialidad de la información y datos institucionales y personales.</v>
      </c>
      <c r="F628" s="141" t="str">
        <f t="shared" si="3"/>
        <v>6.2</v>
      </c>
      <c r="G628" s="92" t="str">
        <f t="shared" si="4"/>
        <v>ESPERABLES</v>
      </c>
      <c r="H628" s="107"/>
      <c r="I628" s="107" t="str">
        <f t="shared" si="5"/>
        <v/>
      </c>
      <c r="J628" s="98" t="str">
        <f t="shared" si="6"/>
        <v/>
      </c>
      <c r="K628" s="98" t="str">
        <f t="shared" si="7"/>
        <v/>
      </c>
      <c r="L628" s="141" t="str">
        <f t="shared" ref="L628:N628" si="634">IF(I628="",L627,I628)</f>
        <v>6.2.1</v>
      </c>
      <c r="M628" s="98" t="str">
        <f t="shared" si="634"/>
        <v>Adaptabilidad</v>
      </c>
      <c r="N628" s="98" t="str">
        <f t="shared" si="634"/>
        <v>Adecuación automática de un sitio web con sus elementos visuales y contenidos para que sean visualizados correctamente en cualquier dispositivo.
</v>
      </c>
      <c r="O628" s="221"/>
      <c r="P628" s="118"/>
      <c r="Q628" s="119"/>
      <c r="R628" s="114"/>
      <c r="S628" s="239"/>
      <c r="T628" s="116" t="s">
        <v>19</v>
      </c>
      <c r="U628" s="94"/>
      <c r="V628" s="94"/>
      <c r="W628" s="94"/>
      <c r="X628" s="94"/>
      <c r="Y628" s="94"/>
      <c r="Z628" s="94"/>
      <c r="AA628" s="94"/>
      <c r="AB628" s="94"/>
      <c r="AC628" s="94"/>
      <c r="AD628" s="94"/>
      <c r="AE628" s="94"/>
      <c r="AF628" s="94"/>
      <c r="AG628" s="94"/>
      <c r="AH628" s="94"/>
      <c r="AI628" s="94"/>
      <c r="AJ628" s="94"/>
      <c r="AK628" s="94"/>
      <c r="AL628" s="94"/>
    </row>
    <row r="629" hidden="1">
      <c r="A629" s="105" t="s">
        <v>1540</v>
      </c>
      <c r="B629" s="106" t="str">
        <f t="shared" si="494"/>
        <v>Otro</v>
      </c>
      <c r="C629" s="106" t="str">
        <f t="shared" si="9"/>
        <v>7.</v>
      </c>
      <c r="D629" s="106" t="str">
        <f t="shared" si="10"/>
        <v>Seguridad</v>
      </c>
      <c r="E629" s="106" t="str">
        <f t="shared" si="11"/>
        <v>Apego a estándares de desarrollo, compatibilidad y directrices para cautelar la seguridad de los sistemas. Esto protege la disponibilidad, integridad y confidencialidad de la información y datos institucionales y personales.</v>
      </c>
      <c r="F629" s="141" t="str">
        <f t="shared" si="3"/>
        <v>6.2</v>
      </c>
      <c r="G629" s="92" t="str">
        <f t="shared" si="4"/>
        <v>ESPERABLES</v>
      </c>
      <c r="H629" s="107"/>
      <c r="I629" s="107" t="str">
        <f t="shared" si="5"/>
        <v/>
      </c>
      <c r="J629" s="98" t="str">
        <f t="shared" si="6"/>
        <v/>
      </c>
      <c r="K629" s="98" t="str">
        <f t="shared" si="7"/>
        <v/>
      </c>
      <c r="L629" s="141" t="str">
        <f t="shared" ref="L629:N629" si="635">IF(I629="",L628,I629)</f>
        <v>6.2.1</v>
      </c>
      <c r="M629" s="98" t="str">
        <f t="shared" si="635"/>
        <v>Adaptabilidad</v>
      </c>
      <c r="N629" s="98" t="str">
        <f t="shared" si="635"/>
        <v>Adecuación automática de un sitio web con sus elementos visuales y contenidos para que sean visualizados correctamente en cualquier dispositivo.
</v>
      </c>
      <c r="O629" s="222"/>
      <c r="P629" s="122"/>
      <c r="Q629" s="123"/>
      <c r="R629" s="114"/>
      <c r="S629" s="240"/>
      <c r="T629" s="116" t="s">
        <v>22</v>
      </c>
      <c r="U629" s="94"/>
      <c r="V629" s="94"/>
      <c r="W629" s="94"/>
      <c r="X629" s="94"/>
      <c r="Y629" s="94"/>
      <c r="Z629" s="94"/>
      <c r="AA629" s="94"/>
      <c r="AB629" s="94"/>
      <c r="AC629" s="94"/>
      <c r="AD629" s="94"/>
      <c r="AE629" s="94"/>
      <c r="AF629" s="94"/>
      <c r="AG629" s="94"/>
      <c r="AH629" s="94"/>
      <c r="AI629" s="94"/>
      <c r="AJ629" s="94"/>
      <c r="AK629" s="94"/>
      <c r="AL629" s="94"/>
    </row>
    <row r="630" hidden="1">
      <c r="A630" s="105" t="s">
        <v>1540</v>
      </c>
      <c r="B630" s="106" t="str">
        <f t="shared" si="494"/>
        <v>Otro</v>
      </c>
      <c r="C630" s="106" t="str">
        <f t="shared" si="9"/>
        <v>7.</v>
      </c>
      <c r="D630" s="106" t="str">
        <f t="shared" si="10"/>
        <v>Seguridad</v>
      </c>
      <c r="E630" s="106" t="str">
        <f t="shared" si="11"/>
        <v>Apego a estándares de desarrollo, compatibilidad y directrices para cautelar la seguridad de los sistemas. Esto protege la disponibilidad, integridad y confidencialidad de la información y datos institucionales y personales.</v>
      </c>
      <c r="F630" s="141" t="str">
        <f t="shared" si="3"/>
        <v>6.2</v>
      </c>
      <c r="G630" s="92" t="str">
        <f t="shared" si="4"/>
        <v>ESPERABLES</v>
      </c>
      <c r="H630" s="96"/>
      <c r="I630" s="96" t="str">
        <f t="shared" si="5"/>
        <v/>
      </c>
      <c r="J630" s="98" t="str">
        <f t="shared" si="6"/>
        <v/>
      </c>
      <c r="K630" s="98" t="str">
        <f t="shared" si="7"/>
        <v/>
      </c>
      <c r="L630" s="141" t="str">
        <f t="shared" ref="L630:N630" si="636">IF(I630="",L629,I630)</f>
        <v>6.2.1</v>
      </c>
      <c r="M630" s="98" t="str">
        <f t="shared" si="636"/>
        <v>Adaptabilidad</v>
      </c>
      <c r="N630" s="98" t="str">
        <f t="shared" si="636"/>
        <v>Adecuación automática de un sitio web con sus elementos visuales y contenidos para que sean visualizados correctamente en cualquier dispositivo.
</v>
      </c>
      <c r="O630" s="104"/>
      <c r="P630" s="114"/>
      <c r="Q630" s="114"/>
      <c r="R630" s="242"/>
      <c r="S630" s="242"/>
      <c r="T630" s="127"/>
      <c r="U630" s="94"/>
      <c r="V630" s="94"/>
      <c r="W630" s="94"/>
      <c r="X630" s="94"/>
      <c r="Y630" s="94"/>
      <c r="Z630" s="94"/>
      <c r="AA630" s="94"/>
      <c r="AB630" s="94"/>
      <c r="AC630" s="94"/>
      <c r="AD630" s="94"/>
      <c r="AE630" s="94"/>
      <c r="AF630" s="94"/>
      <c r="AG630" s="94"/>
      <c r="AH630" s="94"/>
      <c r="AI630" s="94"/>
      <c r="AJ630" s="94"/>
      <c r="AK630" s="94"/>
      <c r="AL630" s="94"/>
    </row>
    <row r="631" hidden="1">
      <c r="A631" s="86" t="s">
        <v>1540</v>
      </c>
      <c r="B631" s="95" t="str">
        <f t="shared" si="494"/>
        <v>Otro</v>
      </c>
      <c r="C631" s="106" t="str">
        <f t="shared" si="9"/>
        <v>7.</v>
      </c>
      <c r="D631" s="106" t="str">
        <f t="shared" si="10"/>
        <v>Seguridad</v>
      </c>
      <c r="E631" s="106" t="str">
        <f t="shared" si="11"/>
        <v>Apego a estándares de desarrollo, compatibilidad y directrices para cautelar la seguridad de los sistemas. Esto protege la disponibilidad, integridad y confidencialidad de la información y datos institucionales y personales.</v>
      </c>
      <c r="F631" s="141" t="str">
        <f t="shared" si="3"/>
        <v>6.2</v>
      </c>
      <c r="G631" s="92" t="str">
        <f t="shared" si="4"/>
        <v>ESPERABLES</v>
      </c>
      <c r="H631" s="128"/>
      <c r="I631" s="128" t="str">
        <f t="shared" si="5"/>
        <v/>
      </c>
      <c r="J631" s="98" t="str">
        <f t="shared" si="6"/>
        <v/>
      </c>
      <c r="K631" s="98" t="str">
        <f t="shared" si="7"/>
        <v/>
      </c>
      <c r="L631" s="141" t="str">
        <f t="shared" ref="L631:N631" si="637">IF(I631="",L630,I631)</f>
        <v>6.2.1</v>
      </c>
      <c r="M631" s="98" t="str">
        <f t="shared" si="637"/>
        <v>Adaptabilidad</v>
      </c>
      <c r="N631" s="98" t="str">
        <f t="shared" si="637"/>
        <v>Adecuación automática de un sitio web con sus elementos visuales y contenidos para que sean visualizados correctamente en cualquier dispositivo.
</v>
      </c>
      <c r="O631" s="223" t="s">
        <v>1822</v>
      </c>
      <c r="P631" s="133" t="s">
        <v>1823</v>
      </c>
      <c r="Q631" s="133" t="s">
        <v>2031</v>
      </c>
      <c r="R631" s="134"/>
      <c r="S631" s="133" t="s">
        <v>1824</v>
      </c>
      <c r="T631" s="133" t="s">
        <v>1825</v>
      </c>
      <c r="U631" s="94"/>
      <c r="V631" s="94"/>
      <c r="W631" s="94"/>
      <c r="X631" s="94"/>
      <c r="Y631" s="94"/>
      <c r="Z631" s="94"/>
      <c r="AA631" s="94"/>
      <c r="AB631" s="94"/>
      <c r="AC631" s="94"/>
      <c r="AD631" s="94"/>
      <c r="AE631" s="94"/>
      <c r="AF631" s="94"/>
      <c r="AG631" s="94"/>
      <c r="AH631" s="94"/>
      <c r="AI631" s="94"/>
      <c r="AJ631" s="94"/>
      <c r="AK631" s="94"/>
      <c r="AL631" s="94"/>
    </row>
    <row r="632" hidden="1">
      <c r="A632" s="86" t="s">
        <v>1540</v>
      </c>
      <c r="B632" s="95" t="str">
        <f t="shared" si="494"/>
        <v>Otro</v>
      </c>
      <c r="C632" s="106" t="str">
        <f t="shared" si="9"/>
        <v>7.</v>
      </c>
      <c r="D632" s="106" t="str">
        <f t="shared" si="10"/>
        <v>Seguridad</v>
      </c>
      <c r="E632" s="106" t="str">
        <f t="shared" si="11"/>
        <v>Apego a estándares de desarrollo, compatibilidad y directrices para cautelar la seguridad de los sistemas. Esto protege la disponibilidad, integridad y confidencialidad de la información y datos institucionales y personales.</v>
      </c>
      <c r="F632" s="141" t="str">
        <f t="shared" si="3"/>
        <v>7.1</v>
      </c>
      <c r="G632" s="92" t="str">
        <f t="shared" si="4"/>
        <v>IMPRESCINDIBLES</v>
      </c>
      <c r="H632" s="141"/>
      <c r="I632" s="141" t="str">
        <f t="shared" si="5"/>
        <v/>
      </c>
      <c r="J632" s="98" t="str">
        <f t="shared" si="6"/>
        <v/>
      </c>
      <c r="K632" s="98" t="str">
        <f t="shared" si="7"/>
        <v/>
      </c>
      <c r="L632" s="141" t="str">
        <f t="shared" ref="L632:N632" si="638">IF(I632="",L631,I632)</f>
        <v>6.2.1</v>
      </c>
      <c r="M632" s="98" t="str">
        <f t="shared" si="638"/>
        <v>Adaptabilidad</v>
      </c>
      <c r="N632" s="98" t="str">
        <f t="shared" si="638"/>
        <v>Adecuación automática de un sitio web con sus elementos visuales y contenidos para que sean visualizados correctamente en cualquier dispositivo.
</v>
      </c>
      <c r="O632" s="258" t="s">
        <v>1028</v>
      </c>
      <c r="P632" s="137" t="s">
        <v>664</v>
      </c>
      <c r="Q632" s="138"/>
      <c r="R632" s="138"/>
      <c r="S632" s="139">
        <f>COUNTA(P633:P636)</f>
        <v>3</v>
      </c>
      <c r="T632" s="140">
        <f>COUNTIF(U633:U636,"n/a")</f>
        <v>0</v>
      </c>
      <c r="U632" s="94"/>
      <c r="V632" s="94"/>
      <c r="W632" s="94"/>
      <c r="X632" s="94"/>
      <c r="Y632" s="94"/>
      <c r="Z632" s="94"/>
      <c r="AA632" s="94"/>
      <c r="AB632" s="94"/>
      <c r="AC632" s="94"/>
      <c r="AD632" s="94"/>
      <c r="AE632" s="94"/>
      <c r="AF632" s="94"/>
      <c r="AG632" s="94"/>
      <c r="AH632" s="94"/>
      <c r="AI632" s="94"/>
      <c r="AJ632" s="94"/>
      <c r="AK632" s="94"/>
      <c r="AL632" s="94"/>
    </row>
    <row r="633" hidden="1">
      <c r="A633" s="105" t="s">
        <v>1540</v>
      </c>
      <c r="B633" s="92" t="str">
        <f t="shared" si="494"/>
        <v>Pregunta</v>
      </c>
      <c r="C633" s="106" t="str">
        <f t="shared" si="9"/>
        <v>7.</v>
      </c>
      <c r="D633" s="106" t="str">
        <f t="shared" si="10"/>
        <v>Seguridad</v>
      </c>
      <c r="E633" s="106" t="str">
        <f t="shared" si="11"/>
        <v>Apego a estándares de desarrollo, compatibilidad y directrices para cautelar la seguridad de los sistemas. Esto protege la disponibilidad, integridad y confidencialidad de la información y datos institucionales y personales.</v>
      </c>
      <c r="F633" s="141" t="str">
        <f t="shared" si="3"/>
        <v>7.1</v>
      </c>
      <c r="G633" s="92" t="str">
        <f t="shared" si="4"/>
        <v>IMPRESCINDIBLES</v>
      </c>
      <c r="H633" s="141"/>
      <c r="I633" s="141" t="str">
        <f t="shared" si="5"/>
        <v>7.1.1</v>
      </c>
      <c r="J633" s="98" t="str">
        <f t="shared" si="6"/>
        <v>Certificado SSL válido y vigente</v>
      </c>
      <c r="K633" s="98" t="str">
        <f t="shared" si="7"/>
        <v>Utilización de mecanismos SSL/TLS o los protocolos de seguridad que los reemplacen. El certificado debe ser válido y estar vigente.</v>
      </c>
      <c r="L633" s="141" t="str">
        <f t="shared" ref="L633:N633" si="639">IF(I633="",L632,I633)</f>
        <v>7.1.1</v>
      </c>
      <c r="M633" s="98" t="str">
        <f t="shared" si="639"/>
        <v>Certificado SSL válido y vigente</v>
      </c>
      <c r="N633" s="98" t="str">
        <f t="shared" si="639"/>
        <v>Utilización de mecanismos SSL/TLS o los protocolos de seguridad que los reemplacen. El certificado debe ser válido y estar vigente.</v>
      </c>
      <c r="O633" s="259" t="s">
        <v>1029</v>
      </c>
      <c r="P633" s="179" t="s">
        <v>1086</v>
      </c>
      <c r="Q633" s="179" t="s">
        <v>1087</v>
      </c>
      <c r="R633" s="185"/>
      <c r="S633" s="260" t="s">
        <v>1615</v>
      </c>
      <c r="T633" s="160" t="s">
        <v>2033</v>
      </c>
      <c r="U633" s="94"/>
      <c r="V633" s="94"/>
      <c r="W633" s="94"/>
      <c r="X633" s="94"/>
      <c r="Y633" s="94"/>
      <c r="Z633" s="94"/>
      <c r="AA633" s="94"/>
      <c r="AB633" s="94"/>
      <c r="AC633" s="94"/>
      <c r="AD633" s="94"/>
      <c r="AE633" s="94"/>
      <c r="AF633" s="94"/>
      <c r="AG633" s="94"/>
      <c r="AH633" s="94"/>
      <c r="AI633" s="94"/>
      <c r="AJ633" s="94"/>
      <c r="AK633" s="94"/>
      <c r="AL633" s="94"/>
    </row>
    <row r="634" hidden="1">
      <c r="A634" s="86" t="s">
        <v>1540</v>
      </c>
      <c r="B634" s="95" t="str">
        <f t="shared" si="494"/>
        <v>Pregunta</v>
      </c>
      <c r="C634" s="106" t="str">
        <f t="shared" si="9"/>
        <v>7.</v>
      </c>
      <c r="D634" s="106" t="str">
        <f t="shared" si="10"/>
        <v>Seguridad</v>
      </c>
      <c r="E634" s="106" t="str">
        <f t="shared" si="11"/>
        <v>Apego a estándares de desarrollo, compatibilidad y directrices para cautelar la seguridad de los sistemas. Esto protege la disponibilidad, integridad y confidencialidad de la información y datos institucionales y personales.</v>
      </c>
      <c r="F634" s="141" t="str">
        <f t="shared" si="3"/>
        <v>7.1</v>
      </c>
      <c r="G634" s="92" t="str">
        <f t="shared" si="4"/>
        <v>IMPRESCINDIBLES</v>
      </c>
      <c r="H634" s="141"/>
      <c r="I634" s="141" t="str">
        <f t="shared" si="5"/>
        <v/>
      </c>
      <c r="J634" s="98" t="str">
        <f t="shared" si="6"/>
        <v/>
      </c>
      <c r="K634" s="98" t="str">
        <f t="shared" si="7"/>
        <v/>
      </c>
      <c r="L634" s="141" t="str">
        <f t="shared" ref="L634:N634" si="640">IF(I634="",L633,I634)</f>
        <v>7.1.1</v>
      </c>
      <c r="M634" s="98" t="str">
        <f t="shared" si="640"/>
        <v>Certificado SSL válido y vigente</v>
      </c>
      <c r="N634" s="98" t="str">
        <f t="shared" si="640"/>
        <v>Utilización de mecanismos SSL/TLS o los protocolos de seguridad que los reemplacen. El certificado debe ser válido y estar vigente.</v>
      </c>
      <c r="O634" s="142"/>
      <c r="P634" s="145"/>
      <c r="Q634" s="145"/>
      <c r="R634" s="261"/>
      <c r="S634" s="256" t="s">
        <v>2196</v>
      </c>
      <c r="T634" s="164" t="s">
        <v>2033</v>
      </c>
      <c r="U634" s="94"/>
      <c r="V634" s="94"/>
      <c r="W634" s="94"/>
      <c r="X634" s="94"/>
      <c r="Y634" s="94"/>
      <c r="Z634" s="94"/>
      <c r="AA634" s="94"/>
      <c r="AB634" s="94"/>
      <c r="AC634" s="94"/>
      <c r="AD634" s="94"/>
      <c r="AE634" s="94"/>
      <c r="AF634" s="94"/>
      <c r="AG634" s="94"/>
      <c r="AH634" s="94"/>
      <c r="AI634" s="94"/>
      <c r="AJ634" s="94"/>
      <c r="AK634" s="94"/>
      <c r="AL634" s="94"/>
    </row>
    <row r="635" hidden="1">
      <c r="A635" s="105" t="s">
        <v>1540</v>
      </c>
      <c r="B635" s="92" t="str">
        <f t="shared" si="494"/>
        <v>Pregunta</v>
      </c>
      <c r="C635" s="106" t="str">
        <f t="shared" si="9"/>
        <v>7.</v>
      </c>
      <c r="D635" s="106" t="str">
        <f t="shared" si="10"/>
        <v>Seguridad</v>
      </c>
      <c r="E635" s="106" t="str">
        <f t="shared" si="11"/>
        <v>Apego a estándares de desarrollo, compatibilidad y directrices para cautelar la seguridad de los sistemas. Esto protege la disponibilidad, integridad y confidencialidad de la información y datos institucionales y personales.</v>
      </c>
      <c r="F635" s="141" t="str">
        <f t="shared" si="3"/>
        <v>7.1</v>
      </c>
      <c r="G635" s="92" t="str">
        <f t="shared" si="4"/>
        <v>IMPRESCINDIBLES</v>
      </c>
      <c r="H635" s="141"/>
      <c r="I635" s="141" t="str">
        <f t="shared" si="5"/>
        <v>7.1.2</v>
      </c>
      <c r="J635" s="98" t="str">
        <f t="shared" si="6"/>
        <v>Redirección de HTTP a HTTPS</v>
      </c>
      <c r="K635" s="98" t="str">
        <f t="shared" si="7"/>
        <v>Redirección de las solicitudes con protocolo HTTP a su equivalente con protocolo HTTPS.
</v>
      </c>
      <c r="L635" s="141" t="str">
        <f t="shared" ref="L635:N635" si="641">IF(I635="",L634,I635)</f>
        <v>7.1.2</v>
      </c>
      <c r="M635" s="98" t="str">
        <f t="shared" si="641"/>
        <v>Redirección de HTTP a HTTPS</v>
      </c>
      <c r="N635" s="98" t="str">
        <f t="shared" si="641"/>
        <v>Redirección de las solicitudes con protocolo HTTP a su equivalente con protocolo HTTPS.
</v>
      </c>
      <c r="O635" s="262" t="s">
        <v>1035</v>
      </c>
      <c r="P635" s="145" t="s">
        <v>1091</v>
      </c>
      <c r="Q635" s="263" t="s">
        <v>1092</v>
      </c>
      <c r="R635" s="144"/>
      <c r="S635" s="145" t="s">
        <v>1093</v>
      </c>
      <c r="T635" s="164" t="s">
        <v>2033</v>
      </c>
      <c r="U635" s="94"/>
      <c r="V635" s="94"/>
      <c r="W635" s="94"/>
      <c r="X635" s="94"/>
      <c r="Y635" s="94"/>
      <c r="Z635" s="94"/>
      <c r="AA635" s="94"/>
      <c r="AB635" s="94"/>
      <c r="AC635" s="94"/>
      <c r="AD635" s="94"/>
      <c r="AE635" s="94"/>
      <c r="AF635" s="94"/>
      <c r="AG635" s="94"/>
      <c r="AH635" s="94"/>
      <c r="AI635" s="94"/>
      <c r="AJ635" s="94"/>
      <c r="AK635" s="94"/>
      <c r="AL635" s="94"/>
    </row>
    <row r="636" hidden="1">
      <c r="A636" s="105" t="s">
        <v>1540</v>
      </c>
      <c r="B636" s="92" t="str">
        <f t="shared" si="494"/>
        <v>Pregunta</v>
      </c>
      <c r="C636" s="106" t="str">
        <f t="shared" si="9"/>
        <v>7.</v>
      </c>
      <c r="D636" s="106" t="str">
        <f t="shared" si="10"/>
        <v>Seguridad</v>
      </c>
      <c r="E636" s="106" t="str">
        <f t="shared" si="11"/>
        <v>Apego a estándares de desarrollo, compatibilidad y directrices para cautelar la seguridad de los sistemas. Esto protege la disponibilidad, integridad y confidencialidad de la información y datos institucionales y personales.</v>
      </c>
      <c r="F636" s="141" t="str">
        <f t="shared" si="3"/>
        <v>7.1</v>
      </c>
      <c r="G636" s="92" t="str">
        <f t="shared" si="4"/>
        <v>IMPRESCINDIBLES</v>
      </c>
      <c r="H636" s="141"/>
      <c r="I636" s="141" t="str">
        <f t="shared" si="5"/>
        <v>7.1.3</v>
      </c>
      <c r="J636" s="98" t="str">
        <f t="shared" si="6"/>
        <v>Bloqueo de enmascarado</v>
      </c>
      <c r="K636" s="98" t="str">
        <f t="shared" si="7"/>
        <v>Inhibición de la posibilidad de enmascarar el sitio dentro de un sitio externo a través de un "frame".</v>
      </c>
      <c r="L636" s="141" t="str">
        <f t="shared" ref="L636:N636" si="642">IF(I636="",L635,I636)</f>
        <v>7.1.3</v>
      </c>
      <c r="M636" s="98" t="str">
        <f t="shared" si="642"/>
        <v>Bloqueo de enmascarado</v>
      </c>
      <c r="N636" s="98" t="str">
        <f t="shared" si="642"/>
        <v>Inhibición de la posibilidad de enmascarar el sitio dentro de un sitio externo a través de un "frame".</v>
      </c>
      <c r="O636" s="262" t="s">
        <v>1039</v>
      </c>
      <c r="P636" s="145" t="s">
        <v>1095</v>
      </c>
      <c r="Q636" s="263" t="s">
        <v>1096</v>
      </c>
      <c r="R636" s="144"/>
      <c r="S636" s="264" t="s">
        <v>2197</v>
      </c>
      <c r="T636" s="164" t="s">
        <v>2033</v>
      </c>
      <c r="U636" s="94"/>
      <c r="V636" s="94"/>
      <c r="W636" s="94"/>
      <c r="X636" s="94"/>
      <c r="Y636" s="94"/>
      <c r="Z636" s="94"/>
      <c r="AA636" s="94"/>
      <c r="AB636" s="94"/>
      <c r="AC636" s="94"/>
      <c r="AD636" s="94"/>
      <c r="AE636" s="94"/>
      <c r="AF636" s="94"/>
      <c r="AG636" s="94"/>
      <c r="AH636" s="94"/>
      <c r="AI636" s="94"/>
      <c r="AJ636" s="94"/>
      <c r="AK636" s="94"/>
      <c r="AL636" s="94"/>
    </row>
    <row r="637" hidden="1">
      <c r="A637" s="86" t="s">
        <v>1540</v>
      </c>
      <c r="B637" s="95" t="str">
        <f t="shared" si="494"/>
        <v>Otro</v>
      </c>
      <c r="C637" s="106" t="str">
        <f t="shared" si="9"/>
        <v>7.</v>
      </c>
      <c r="D637" s="106" t="str">
        <f t="shared" si="10"/>
        <v>Seguridad</v>
      </c>
      <c r="E637" s="106" t="str">
        <f t="shared" si="11"/>
        <v>Apego a estándares de desarrollo, compatibilidad y directrices para cautelar la seguridad de los sistemas. Esto protege la disponibilidad, integridad y confidencialidad de la información y datos institucionales y personales.</v>
      </c>
      <c r="F637" s="141" t="str">
        <f t="shared" si="3"/>
        <v>7.2</v>
      </c>
      <c r="G637" s="92" t="str">
        <f t="shared" si="4"/>
        <v>ESPERABLES</v>
      </c>
      <c r="H637" s="141"/>
      <c r="I637" s="141" t="str">
        <f t="shared" si="5"/>
        <v/>
      </c>
      <c r="J637" s="98" t="str">
        <f t="shared" si="6"/>
        <v/>
      </c>
      <c r="K637" s="98" t="str">
        <f t="shared" si="7"/>
        <v/>
      </c>
      <c r="L637" s="141" t="str">
        <f t="shared" ref="L637:N637" si="643">IF(I637="",L636,I637)</f>
        <v>7.1.3</v>
      </c>
      <c r="M637" s="98" t="str">
        <f t="shared" si="643"/>
        <v>Bloqueo de enmascarado</v>
      </c>
      <c r="N637" s="98" t="str">
        <f t="shared" si="643"/>
        <v>Inhibición de la posibilidad de enmascarar el sitio dentro de un sitio externo a través de un "frame".</v>
      </c>
      <c r="O637" s="175" t="s">
        <v>1043</v>
      </c>
      <c r="P637" s="176" t="s">
        <v>714</v>
      </c>
      <c r="Q637" s="265"/>
      <c r="R637" s="265"/>
      <c r="S637" s="253">
        <f>COUNTA(P638:P639)</f>
        <v>1</v>
      </c>
      <c r="T637" s="253">
        <f>COUNTIF(U638:U639,"n/a")</f>
        <v>0</v>
      </c>
      <c r="U637" s="94"/>
      <c r="V637" s="94"/>
      <c r="W637" s="94"/>
      <c r="X637" s="94"/>
      <c r="Y637" s="94"/>
      <c r="Z637" s="94"/>
      <c r="AA637" s="94"/>
      <c r="AB637" s="94"/>
      <c r="AC637" s="94"/>
      <c r="AD637" s="94"/>
      <c r="AE637" s="94"/>
      <c r="AF637" s="94"/>
      <c r="AG637" s="94"/>
      <c r="AH637" s="94"/>
      <c r="AI637" s="94"/>
      <c r="AJ637" s="94"/>
      <c r="AK637" s="94"/>
      <c r="AL637" s="94"/>
    </row>
    <row r="638" hidden="1">
      <c r="A638" s="105" t="s">
        <v>1540</v>
      </c>
      <c r="B638" s="92" t="str">
        <f t="shared" si="494"/>
        <v>Pregunta</v>
      </c>
      <c r="C638" s="106" t="str">
        <f t="shared" si="9"/>
        <v>7.</v>
      </c>
      <c r="D638" s="106" t="str">
        <f t="shared" si="10"/>
        <v>Seguridad</v>
      </c>
      <c r="E638" s="106" t="str">
        <f t="shared" si="11"/>
        <v>Apego a estándares de desarrollo, compatibilidad y directrices para cautelar la seguridad de los sistemas. Esto protege la disponibilidad, integridad y confidencialidad de la información y datos institucionales y personales.</v>
      </c>
      <c r="F638" s="141" t="str">
        <f t="shared" si="3"/>
        <v>7.2</v>
      </c>
      <c r="G638" s="92" t="str">
        <f t="shared" si="4"/>
        <v>ESPERABLES</v>
      </c>
      <c r="H638" s="141"/>
      <c r="I638" s="141" t="str">
        <f t="shared" si="5"/>
        <v>7.2.1</v>
      </c>
      <c r="J638" s="98" t="str">
        <f t="shared" si="6"/>
        <v>Política de privacidad</v>
      </c>
      <c r="K638" s="98" t="str">
        <f t="shared" si="7"/>
        <v>Presencia de una política que describa cómo se recopila, utiliza, gestiona, protege y divulga la información de las personas usuarias que utilizan el sitio web.
</v>
      </c>
      <c r="L638" s="141" t="str">
        <f t="shared" ref="L638:N638" si="644">IF(I638="",L637,I638)</f>
        <v>7.2.1</v>
      </c>
      <c r="M638" s="98" t="str">
        <f t="shared" si="644"/>
        <v>Política de privacidad</v>
      </c>
      <c r="N638" s="98" t="str">
        <f t="shared" si="644"/>
        <v>Presencia de una política que describa cómo se recopila, utiliza, gestiona, protege y divulga la información de las personas usuarias que utilizan el sitio web.
</v>
      </c>
      <c r="O638" s="152" t="s">
        <v>1044</v>
      </c>
      <c r="P638" s="179" t="s">
        <v>1104</v>
      </c>
      <c r="Q638" s="179" t="s">
        <v>1105</v>
      </c>
      <c r="R638" s="185"/>
      <c r="S638" s="186" t="s">
        <v>1106</v>
      </c>
      <c r="T638" s="160" t="s">
        <v>2033</v>
      </c>
      <c r="U638" s="94"/>
      <c r="V638" s="94"/>
      <c r="W638" s="94"/>
      <c r="X638" s="94"/>
      <c r="Y638" s="94"/>
      <c r="Z638" s="94"/>
      <c r="AA638" s="94"/>
      <c r="AB638" s="94"/>
      <c r="AC638" s="94"/>
      <c r="AD638" s="94"/>
      <c r="AE638" s="94"/>
      <c r="AF638" s="94"/>
      <c r="AG638" s="94"/>
      <c r="AH638" s="94"/>
      <c r="AI638" s="94"/>
      <c r="AJ638" s="94"/>
      <c r="AK638" s="94"/>
      <c r="AL638" s="94"/>
    </row>
    <row r="639" hidden="1">
      <c r="A639" s="105" t="s">
        <v>1540</v>
      </c>
      <c r="B639" s="92" t="str">
        <f t="shared" si="494"/>
        <v>Pregunta</v>
      </c>
      <c r="C639" s="106" t="str">
        <f t="shared" si="9"/>
        <v>7.</v>
      </c>
      <c r="D639" s="106" t="str">
        <f t="shared" si="10"/>
        <v>Seguridad</v>
      </c>
      <c r="E639" s="106" t="str">
        <f t="shared" si="11"/>
        <v>Apego a estándares de desarrollo, compatibilidad y directrices para cautelar la seguridad de los sistemas. Esto protege la disponibilidad, integridad y confidencialidad de la información y datos institucionales y personales.</v>
      </c>
      <c r="F639" s="141" t="str">
        <f t="shared" si="3"/>
        <v>7.2</v>
      </c>
      <c r="G639" s="92" t="str">
        <f t="shared" si="4"/>
        <v>ESPERABLES</v>
      </c>
      <c r="H639" s="141"/>
      <c r="I639" s="141" t="str">
        <f t="shared" si="5"/>
        <v/>
      </c>
      <c r="J639" s="98" t="str">
        <f t="shared" si="6"/>
        <v/>
      </c>
      <c r="K639" s="98" t="str">
        <f t="shared" si="7"/>
        <v/>
      </c>
      <c r="L639" s="141" t="str">
        <f t="shared" ref="L639:N639" si="645">IF(I639="",L638,I639)</f>
        <v>7.2.1</v>
      </c>
      <c r="M639" s="98" t="str">
        <f t="shared" si="645"/>
        <v>Política de privacidad</v>
      </c>
      <c r="N639" s="98" t="str">
        <f t="shared" si="645"/>
        <v>Presencia de una política que describa cómo se recopila, utiliza, gestiona, protege y divulga la información de las personas usuarias que utilizan el sitio web.
</v>
      </c>
      <c r="O639" s="142"/>
      <c r="P639" s="145"/>
      <c r="Q639" s="145"/>
      <c r="R639" s="144"/>
      <c r="S639" s="145" t="s">
        <v>2198</v>
      </c>
      <c r="T639" s="164" t="s">
        <v>2033</v>
      </c>
      <c r="U639" s="94"/>
      <c r="V639" s="94"/>
      <c r="W639" s="94"/>
      <c r="X639" s="94"/>
      <c r="Y639" s="94"/>
      <c r="Z639" s="94"/>
      <c r="AA639" s="94"/>
      <c r="AB639" s="94"/>
      <c r="AC639" s="94"/>
      <c r="AD639" s="94"/>
      <c r="AE639" s="94"/>
      <c r="AF639" s="94"/>
      <c r="AG639" s="94"/>
      <c r="AH639" s="94"/>
      <c r="AI639" s="94"/>
      <c r="AJ639" s="94"/>
      <c r="AK639" s="94"/>
      <c r="AL639" s="94"/>
    </row>
    <row r="640" hidden="1">
      <c r="A640" s="86" t="s">
        <v>1540</v>
      </c>
      <c r="B640" s="95" t="str">
        <f t="shared" si="494"/>
        <v>Otro</v>
      </c>
      <c r="C640" s="106" t="str">
        <f t="shared" si="9"/>
        <v>7.</v>
      </c>
      <c r="D640" s="106" t="str">
        <f t="shared" si="10"/>
        <v>Seguridad</v>
      </c>
      <c r="E640" s="106" t="str">
        <f t="shared" si="11"/>
        <v>Apego a estándares de desarrollo, compatibilidad y directrices para cautelar la seguridad de los sistemas. Esto protege la disponibilidad, integridad y confidencialidad de la información y datos institucionales y personales.</v>
      </c>
      <c r="F640" s="141" t="str">
        <f t="shared" si="3"/>
        <v>7.3</v>
      </c>
      <c r="G640" s="92" t="str">
        <f t="shared" si="4"/>
        <v>DESEABLES</v>
      </c>
      <c r="H640" s="141"/>
      <c r="I640" s="141" t="str">
        <f t="shared" si="5"/>
        <v/>
      </c>
      <c r="J640" s="98" t="str">
        <f t="shared" si="6"/>
        <v/>
      </c>
      <c r="K640" s="98" t="str">
        <f t="shared" si="7"/>
        <v/>
      </c>
      <c r="L640" s="141" t="str">
        <f t="shared" ref="L640:N640" si="646">IF(I640="",L639,I640)</f>
        <v>7.2.1</v>
      </c>
      <c r="M640" s="98" t="str">
        <f t="shared" si="646"/>
        <v>Política de privacidad</v>
      </c>
      <c r="N640" s="98" t="str">
        <f t="shared" si="646"/>
        <v>Presencia de una política que describa cómo se recopila, utiliza, gestiona, protege y divulga la información de las personas usuarias que utilizan el sitio web.
</v>
      </c>
      <c r="O640" s="181" t="s">
        <v>1078</v>
      </c>
      <c r="P640" s="182" t="s">
        <v>749</v>
      </c>
      <c r="Q640" s="183"/>
      <c r="R640" s="183"/>
      <c r="S640" s="199">
        <f>COUNTA(P641:P643)</f>
        <v>3</v>
      </c>
      <c r="T640" s="199">
        <f>COUNTIF(U641:U643,"n/a")</f>
        <v>0</v>
      </c>
      <c r="U640" s="94"/>
      <c r="V640" s="94"/>
      <c r="W640" s="94"/>
      <c r="X640" s="94"/>
      <c r="Y640" s="94"/>
      <c r="Z640" s="94"/>
      <c r="AA640" s="94"/>
      <c r="AB640" s="94"/>
      <c r="AC640" s="94"/>
      <c r="AD640" s="94"/>
      <c r="AE640" s="94"/>
      <c r="AF640" s="94"/>
      <c r="AG640" s="94"/>
      <c r="AH640" s="94"/>
      <c r="AI640" s="94"/>
      <c r="AJ640" s="94"/>
      <c r="AK640" s="94"/>
      <c r="AL640" s="94"/>
    </row>
    <row r="641" hidden="1">
      <c r="A641" s="105" t="s">
        <v>1540</v>
      </c>
      <c r="B641" s="92" t="str">
        <f t="shared" si="494"/>
        <v>Pregunta</v>
      </c>
      <c r="C641" s="106" t="str">
        <f t="shared" si="9"/>
        <v>7.</v>
      </c>
      <c r="D641" s="106" t="str">
        <f t="shared" si="10"/>
        <v>Seguridad</v>
      </c>
      <c r="E641" s="106" t="str">
        <f t="shared" si="11"/>
        <v>Apego a estándares de desarrollo, compatibilidad y directrices para cautelar la seguridad de los sistemas. Esto protege la disponibilidad, integridad y confidencialidad de la información y datos institucionales y personales.</v>
      </c>
      <c r="F641" s="141" t="str">
        <f t="shared" si="3"/>
        <v>7.3</v>
      </c>
      <c r="G641" s="92" t="str">
        <f t="shared" si="4"/>
        <v>DESEABLES</v>
      </c>
      <c r="H641" s="141"/>
      <c r="I641" s="141" t="str">
        <f t="shared" si="5"/>
        <v>7.3.1</v>
      </c>
      <c r="J641" s="98" t="str">
        <f t="shared" si="6"/>
        <v>Prevención de ataques MIME</v>
      </c>
      <c r="K641" s="98" t="str">
        <f t="shared" si="7"/>
        <v>Uso de la cabecera "X-Content-Type-Options" con el valor "nosniff" para así indicar a los navegadores que deben respetar el tipo MIME (Multipurpose Internet Mail Extensions) especificado por el servidor.
</v>
      </c>
      <c r="L641" s="141" t="str">
        <f t="shared" ref="L641:N641" si="647">IF(I641="",L640,I641)</f>
        <v>7.3.1</v>
      </c>
      <c r="M641" s="98" t="str">
        <f t="shared" si="647"/>
        <v>Prevención de ataques MIME</v>
      </c>
      <c r="N641" s="98" t="str">
        <f t="shared" si="647"/>
        <v>Uso de la cabecera "X-Content-Type-Options" con el valor "nosniff" para así indicar a los navegadores que deben respetar el tipo MIME (Multipurpose Internet Mail Extensions) especificado por el servidor.
</v>
      </c>
      <c r="O641" s="262" t="s">
        <v>1079</v>
      </c>
      <c r="P641" s="263" t="s">
        <v>1110</v>
      </c>
      <c r="Q641" s="263" t="s">
        <v>1111</v>
      </c>
      <c r="R641" s="144"/>
      <c r="S641" s="219" t="s">
        <v>2199</v>
      </c>
      <c r="T641" s="164" t="s">
        <v>2033</v>
      </c>
      <c r="U641" s="94"/>
      <c r="V641" s="94"/>
      <c r="W641" s="94"/>
      <c r="X641" s="94"/>
      <c r="Y641" s="94"/>
      <c r="Z641" s="94"/>
      <c r="AA641" s="94"/>
      <c r="AB641" s="94"/>
      <c r="AC641" s="94"/>
      <c r="AD641" s="94"/>
      <c r="AE641" s="94"/>
      <c r="AF641" s="94"/>
      <c r="AG641" s="94"/>
      <c r="AH641" s="94"/>
      <c r="AI641" s="94"/>
      <c r="AJ641" s="94"/>
      <c r="AK641" s="94"/>
      <c r="AL641" s="94"/>
    </row>
    <row r="642" hidden="1">
      <c r="A642" s="105" t="s">
        <v>1540</v>
      </c>
      <c r="B642" s="92" t="str">
        <f t="shared" si="494"/>
        <v>Pregunta</v>
      </c>
      <c r="C642" s="106" t="str">
        <f t="shared" si="9"/>
        <v>7.</v>
      </c>
      <c r="D642" s="106" t="str">
        <f t="shared" si="10"/>
        <v>Seguridad</v>
      </c>
      <c r="E642" s="106" t="str">
        <f t="shared" si="11"/>
        <v>Apego a estándares de desarrollo, compatibilidad y directrices para cautelar la seguridad de los sistemas. Esto protege la disponibilidad, integridad y confidencialidad de la información y datos institucionales y personales.</v>
      </c>
      <c r="F642" s="141" t="str">
        <f t="shared" si="3"/>
        <v>7.3</v>
      </c>
      <c r="G642" s="92" t="str">
        <f t="shared" si="4"/>
        <v>DESEABLES</v>
      </c>
      <c r="H642" s="141"/>
      <c r="I642" s="141" t="str">
        <f t="shared" si="5"/>
        <v>7.3.2</v>
      </c>
      <c r="J642" s="98" t="str">
        <f t="shared" si="6"/>
        <v>Límite de referencias Referrer-Policy</v>
      </c>
      <c r="K642" s="98" t="str">
        <f t="shared" si="7"/>
        <v>Utilización de la cabecera "Referrer-Policy" con el valor "strict-origin" para controlar la cantidad de información de referencia que se envía al realizar solicitudes desde una página.
</v>
      </c>
      <c r="L642" s="141" t="str">
        <f t="shared" ref="L642:N642" si="648">IF(I642="",L641,I642)</f>
        <v>7.3.2</v>
      </c>
      <c r="M642" s="98" t="str">
        <f t="shared" si="648"/>
        <v>Límite de referencias Referrer-Policy</v>
      </c>
      <c r="N642" s="98" t="str">
        <f t="shared" si="648"/>
        <v>Utilización de la cabecera "Referrer-Policy" con el valor "strict-origin" para controlar la cantidad de información de referencia que se envía al realizar solicitudes desde una página.
</v>
      </c>
      <c r="O642" s="172" t="s">
        <v>1619</v>
      </c>
      <c r="P642" s="334" t="s">
        <v>1114</v>
      </c>
      <c r="Q642" s="334" t="s">
        <v>1115</v>
      </c>
      <c r="R642" s="185"/>
      <c r="S642" s="335" t="s">
        <v>2200</v>
      </c>
      <c r="T642" s="164" t="s">
        <v>2033</v>
      </c>
      <c r="U642" s="94"/>
      <c r="V642" s="94"/>
      <c r="W642" s="94"/>
      <c r="X642" s="94"/>
      <c r="Y642" s="94"/>
      <c r="Z642" s="94"/>
      <c r="AA642" s="94"/>
      <c r="AB642" s="94"/>
      <c r="AC642" s="94"/>
      <c r="AD642" s="94"/>
      <c r="AE642" s="94"/>
      <c r="AF642" s="94"/>
      <c r="AG642" s="94"/>
      <c r="AH642" s="94"/>
      <c r="AI642" s="94"/>
      <c r="AJ642" s="94"/>
      <c r="AK642" s="94"/>
      <c r="AL642" s="94"/>
    </row>
    <row r="643" hidden="1">
      <c r="A643" s="105" t="s">
        <v>1540</v>
      </c>
      <c r="B643" s="92" t="str">
        <f t="shared" si="494"/>
        <v>Pregunta</v>
      </c>
      <c r="C643" s="106" t="str">
        <f t="shared" si="9"/>
        <v>7.</v>
      </c>
      <c r="D643" s="106" t="str">
        <f t="shared" si="10"/>
        <v>Seguridad</v>
      </c>
      <c r="E643" s="106" t="str">
        <f t="shared" si="11"/>
        <v>Apego a estándares de desarrollo, compatibilidad y directrices para cautelar la seguridad de los sistemas. Esto protege la disponibilidad, integridad y confidencialidad de la información y datos institucionales y personales.</v>
      </c>
      <c r="F643" s="141" t="str">
        <f t="shared" si="3"/>
        <v>7.3</v>
      </c>
      <c r="G643" s="92" t="str">
        <f t="shared" si="4"/>
        <v>DESEABLES</v>
      </c>
      <c r="H643" s="141"/>
      <c r="I643" s="141" t="str">
        <f t="shared" si="5"/>
        <v>7.3.3</v>
      </c>
      <c r="J643" s="98" t="str">
        <f t="shared" si="6"/>
        <v>Aviso de uso de cookies</v>
      </c>
      <c r="K643" s="98" t="str">
        <f t="shared" si="7"/>
        <v>Información clara que informe al usuario sobre la política de uso de cookies.
</v>
      </c>
      <c r="L643" s="141" t="str">
        <f t="shared" ref="L643:N643" si="649">IF(I643="",L642,I643)</f>
        <v>7.3.3</v>
      </c>
      <c r="M643" s="98" t="str">
        <f t="shared" si="649"/>
        <v>Aviso de uso de cookies</v>
      </c>
      <c r="N643" s="98" t="str">
        <f t="shared" si="649"/>
        <v>Información clara que informe al usuario sobre la política de uso de cookies.
</v>
      </c>
      <c r="O643" s="147" t="s">
        <v>1621</v>
      </c>
      <c r="P643" s="191" t="s">
        <v>1118</v>
      </c>
      <c r="Q643" s="191" t="s">
        <v>1119</v>
      </c>
      <c r="R643" s="268"/>
      <c r="S643" s="217" t="s">
        <v>2201</v>
      </c>
      <c r="T643" s="164" t="s">
        <v>2033</v>
      </c>
      <c r="U643" s="94"/>
      <c r="V643" s="94"/>
      <c r="W643" s="94"/>
      <c r="X643" s="94"/>
      <c r="Y643" s="94"/>
      <c r="Z643" s="94"/>
      <c r="AA643" s="94"/>
      <c r="AB643" s="94"/>
      <c r="AC643" s="94"/>
      <c r="AD643" s="94"/>
      <c r="AE643" s="94"/>
      <c r="AF643" s="94"/>
      <c r="AG643" s="94"/>
      <c r="AH643" s="94"/>
      <c r="AI643" s="94"/>
      <c r="AJ643" s="94"/>
      <c r="AK643" s="94"/>
      <c r="AL643" s="94"/>
    </row>
    <row r="644" hidden="1">
      <c r="A644" s="86" t="s">
        <v>1540</v>
      </c>
      <c r="B644" s="95" t="str">
        <f t="shared" si="494"/>
        <v>Otro</v>
      </c>
      <c r="C644" s="106" t="str">
        <f t="shared" si="9"/>
        <v>8.</v>
      </c>
      <c r="D644" s="106" t="str">
        <f t="shared" si="10"/>
        <v>Resolutividad</v>
      </c>
      <c r="E644" s="106" t="str">
        <f t="shared" si="11"/>
        <v>Capacidad exhibida por la institución pública de dar respuesta y atender las necesidades de las personas usuaria de forma completa.</v>
      </c>
      <c r="F644" s="141" t="str">
        <f t="shared" si="3"/>
        <v>7.3</v>
      </c>
      <c r="G644" s="92" t="str">
        <f t="shared" si="4"/>
        <v>DESEABLES</v>
      </c>
      <c r="H644" s="107"/>
      <c r="I644" s="107" t="str">
        <f t="shared" si="5"/>
        <v/>
      </c>
      <c r="J644" s="98" t="str">
        <f t="shared" si="6"/>
        <v/>
      </c>
      <c r="K644" s="98" t="str">
        <f t="shared" si="7"/>
        <v/>
      </c>
      <c r="L644" s="141" t="str">
        <f t="shared" ref="L644:N644" si="650">IF(I644="",L643,I644)</f>
        <v>7.3.3</v>
      </c>
      <c r="M644" s="98" t="str">
        <f t="shared" si="650"/>
        <v>Aviso de uso de cookies</v>
      </c>
      <c r="N644" s="98" t="str">
        <f t="shared" si="650"/>
        <v>Información clara que informe al usuario sobre la política de uso de cookies.
</v>
      </c>
      <c r="O644" s="220" t="s">
        <v>33</v>
      </c>
      <c r="P644" s="112" t="s">
        <v>61</v>
      </c>
      <c r="Q644" s="113"/>
      <c r="R644" s="114"/>
      <c r="S644" s="115" t="s">
        <v>1623</v>
      </c>
      <c r="T644" s="116" t="s">
        <v>2161</v>
      </c>
      <c r="U644" s="94"/>
      <c r="V644" s="94"/>
      <c r="W644" s="94"/>
      <c r="X644" s="94"/>
      <c r="Y644" s="94"/>
      <c r="Z644" s="94"/>
      <c r="AA644" s="94"/>
      <c r="AB644" s="94"/>
      <c r="AC644" s="94"/>
      <c r="AD644" s="94"/>
      <c r="AE644" s="94"/>
      <c r="AF644" s="94"/>
      <c r="AG644" s="94"/>
      <c r="AH644" s="94"/>
      <c r="AI644" s="94"/>
      <c r="AJ644" s="94"/>
      <c r="AK644" s="94"/>
      <c r="AL644" s="94"/>
    </row>
    <row r="645" hidden="1">
      <c r="A645" s="86" t="s">
        <v>1540</v>
      </c>
      <c r="B645" s="95" t="str">
        <f t="shared" si="494"/>
        <v>Otro</v>
      </c>
      <c r="C645" s="106" t="str">
        <f t="shared" si="9"/>
        <v>8.</v>
      </c>
      <c r="D645" s="106" t="str">
        <f t="shared" si="10"/>
        <v>Resolutividad</v>
      </c>
      <c r="E645" s="106" t="str">
        <f t="shared" si="11"/>
        <v>Capacidad exhibida por la institución pública de dar respuesta y atender las necesidades de las personas usuaria de forma completa.</v>
      </c>
      <c r="F645" s="141" t="str">
        <f t="shared" si="3"/>
        <v>7.3</v>
      </c>
      <c r="G645" s="92" t="str">
        <f t="shared" si="4"/>
        <v>DESEABLES</v>
      </c>
      <c r="H645" s="107"/>
      <c r="I645" s="107" t="str">
        <f t="shared" si="5"/>
        <v/>
      </c>
      <c r="J645" s="98" t="str">
        <f t="shared" si="6"/>
        <v/>
      </c>
      <c r="K645" s="98" t="str">
        <f t="shared" si="7"/>
        <v/>
      </c>
      <c r="L645" s="141" t="str">
        <f t="shared" ref="L645:N645" si="651">IF(I645="",L644,I645)</f>
        <v>7.3.3</v>
      </c>
      <c r="M645" s="98" t="str">
        <f t="shared" si="651"/>
        <v>Aviso de uso de cookies</v>
      </c>
      <c r="N645" s="98" t="str">
        <f t="shared" si="651"/>
        <v>Información clara que informe al usuario sobre la política de uso de cookies.
</v>
      </c>
      <c r="O645" s="221"/>
      <c r="P645" s="118"/>
      <c r="Q645" s="119"/>
      <c r="R645" s="114"/>
      <c r="S645" s="239"/>
      <c r="T645" s="116" t="s">
        <v>19</v>
      </c>
      <c r="U645" s="94"/>
      <c r="V645" s="94"/>
      <c r="W645" s="94"/>
      <c r="X645" s="94"/>
      <c r="Y645" s="94"/>
      <c r="Z645" s="94"/>
      <c r="AA645" s="94"/>
      <c r="AB645" s="94"/>
      <c r="AC645" s="94"/>
      <c r="AD645" s="94"/>
      <c r="AE645" s="94"/>
      <c r="AF645" s="94"/>
      <c r="AG645" s="94"/>
      <c r="AH645" s="94"/>
      <c r="AI645" s="94"/>
      <c r="AJ645" s="94"/>
      <c r="AK645" s="94"/>
      <c r="AL645" s="94"/>
    </row>
    <row r="646" hidden="1">
      <c r="A646" s="86" t="s">
        <v>1540</v>
      </c>
      <c r="B646" s="95" t="str">
        <f t="shared" si="494"/>
        <v>Otro</v>
      </c>
      <c r="C646" s="106" t="str">
        <f t="shared" si="9"/>
        <v>8.</v>
      </c>
      <c r="D646" s="106" t="str">
        <f t="shared" si="10"/>
        <v>Resolutividad</v>
      </c>
      <c r="E646" s="106" t="str">
        <f t="shared" si="11"/>
        <v>Capacidad exhibida por la institución pública de dar respuesta y atender las necesidades de las personas usuaria de forma completa.</v>
      </c>
      <c r="F646" s="141" t="str">
        <f t="shared" si="3"/>
        <v>7.3</v>
      </c>
      <c r="G646" s="92" t="str">
        <f t="shared" si="4"/>
        <v>DESEABLES</v>
      </c>
      <c r="H646" s="107"/>
      <c r="I646" s="107" t="str">
        <f t="shared" si="5"/>
        <v/>
      </c>
      <c r="J646" s="98" t="str">
        <f t="shared" si="6"/>
        <v/>
      </c>
      <c r="K646" s="98" t="str">
        <f t="shared" si="7"/>
        <v/>
      </c>
      <c r="L646" s="141" t="str">
        <f t="shared" ref="L646:N646" si="652">IF(I646="",L645,I646)</f>
        <v>7.3.3</v>
      </c>
      <c r="M646" s="98" t="str">
        <f t="shared" si="652"/>
        <v>Aviso de uso de cookies</v>
      </c>
      <c r="N646" s="98" t="str">
        <f t="shared" si="652"/>
        <v>Información clara que informe al usuario sobre la política de uso de cookies.
</v>
      </c>
      <c r="O646" s="222"/>
      <c r="P646" s="122"/>
      <c r="Q646" s="123"/>
      <c r="R646" s="114"/>
      <c r="S646" s="240"/>
      <c r="T646" s="241"/>
      <c r="U646" s="94"/>
      <c r="V646" s="94"/>
      <c r="W646" s="94"/>
      <c r="X646" s="94"/>
      <c r="Y646" s="94"/>
      <c r="Z646" s="94"/>
      <c r="AA646" s="94"/>
      <c r="AB646" s="94"/>
      <c r="AC646" s="94"/>
      <c r="AD646" s="94"/>
      <c r="AE646" s="94"/>
      <c r="AF646" s="94"/>
      <c r="AG646" s="94"/>
      <c r="AH646" s="94"/>
      <c r="AI646" s="94"/>
      <c r="AJ646" s="94"/>
      <c r="AK646" s="94"/>
      <c r="AL646" s="94"/>
    </row>
    <row r="647" hidden="1">
      <c r="A647" s="86" t="s">
        <v>1540</v>
      </c>
      <c r="B647" s="95" t="str">
        <f t="shared" si="494"/>
        <v>Otro</v>
      </c>
      <c r="C647" s="106" t="str">
        <f t="shared" si="9"/>
        <v>8.</v>
      </c>
      <c r="D647" s="106" t="str">
        <f t="shared" si="10"/>
        <v>Resolutividad</v>
      </c>
      <c r="E647" s="106" t="str">
        <f t="shared" si="11"/>
        <v>Capacidad exhibida por la institución pública de dar respuesta y atender las necesidades de las personas usuaria de forma completa.</v>
      </c>
      <c r="F647" s="141" t="str">
        <f t="shared" si="3"/>
        <v>7.3</v>
      </c>
      <c r="G647" s="92" t="str">
        <f t="shared" si="4"/>
        <v>DESEABLES</v>
      </c>
      <c r="H647" s="96"/>
      <c r="I647" s="96" t="str">
        <f t="shared" si="5"/>
        <v/>
      </c>
      <c r="J647" s="98" t="str">
        <f t="shared" si="6"/>
        <v/>
      </c>
      <c r="K647" s="98" t="str">
        <f t="shared" si="7"/>
        <v/>
      </c>
      <c r="L647" s="141" t="str">
        <f t="shared" ref="L647:N647" si="653">IF(I647="",L646,I647)</f>
        <v>7.3.3</v>
      </c>
      <c r="M647" s="98" t="str">
        <f t="shared" si="653"/>
        <v>Aviso de uso de cookies</v>
      </c>
      <c r="N647" s="98" t="str">
        <f t="shared" si="653"/>
        <v>Información clara que informe al usuario sobre la política de uso de cookies.
</v>
      </c>
      <c r="O647" s="316"/>
      <c r="P647" s="242"/>
      <c r="Q647" s="282"/>
      <c r="R647" s="282"/>
      <c r="S647" s="127"/>
      <c r="T647" s="127"/>
      <c r="U647" s="94"/>
      <c r="V647" s="94"/>
      <c r="W647" s="94"/>
      <c r="X647" s="94"/>
      <c r="Y647" s="94"/>
      <c r="Z647" s="94"/>
      <c r="AA647" s="94"/>
      <c r="AB647" s="94"/>
      <c r="AC647" s="94"/>
      <c r="AD647" s="94"/>
      <c r="AE647" s="94"/>
      <c r="AF647" s="94"/>
      <c r="AG647" s="94"/>
      <c r="AH647" s="94"/>
      <c r="AI647" s="94"/>
      <c r="AJ647" s="94"/>
      <c r="AK647" s="94"/>
      <c r="AL647" s="94"/>
    </row>
    <row r="648" hidden="1">
      <c r="A648" s="86" t="s">
        <v>1540</v>
      </c>
      <c r="B648" s="95" t="str">
        <f t="shared" si="494"/>
        <v>Otro</v>
      </c>
      <c r="C648" s="106" t="str">
        <f t="shared" si="9"/>
        <v>8.</v>
      </c>
      <c r="D648" s="106" t="str">
        <f t="shared" si="10"/>
        <v>Resolutividad</v>
      </c>
      <c r="E648" s="106" t="str">
        <f t="shared" si="11"/>
        <v>Capacidad exhibida por la institución pública de dar respuesta y atender las necesidades de las personas usuaria de forma completa.</v>
      </c>
      <c r="F648" s="141" t="str">
        <f t="shared" si="3"/>
        <v>7.3</v>
      </c>
      <c r="G648" s="92" t="str">
        <f t="shared" si="4"/>
        <v>DESEABLES</v>
      </c>
      <c r="H648" s="128"/>
      <c r="I648" s="128" t="str">
        <f t="shared" si="5"/>
        <v/>
      </c>
      <c r="J648" s="98" t="str">
        <f t="shared" si="6"/>
        <v/>
      </c>
      <c r="K648" s="98" t="str">
        <f t="shared" si="7"/>
        <v/>
      </c>
      <c r="L648" s="141" t="str">
        <f t="shared" ref="L648:N648" si="654">IF(I648="",L647,I648)</f>
        <v>7.3.3</v>
      </c>
      <c r="M648" s="98" t="str">
        <f t="shared" si="654"/>
        <v>Aviso de uso de cookies</v>
      </c>
      <c r="N648" s="98" t="str">
        <f t="shared" si="654"/>
        <v>Información clara que informe al usuario sobre la política de uso de cookies.
</v>
      </c>
      <c r="O648" s="223" t="s">
        <v>1822</v>
      </c>
      <c r="P648" s="133" t="s">
        <v>1823</v>
      </c>
      <c r="Q648" s="133" t="s">
        <v>2031</v>
      </c>
      <c r="R648" s="134"/>
      <c r="S648" s="133" t="s">
        <v>1824</v>
      </c>
      <c r="T648" s="133" t="s">
        <v>1825</v>
      </c>
      <c r="U648" s="94"/>
      <c r="V648" s="94"/>
      <c r="W648" s="94"/>
      <c r="X648" s="94"/>
      <c r="Y648" s="94"/>
      <c r="Z648" s="94"/>
      <c r="AA648" s="94"/>
      <c r="AB648" s="94"/>
      <c r="AC648" s="94"/>
      <c r="AD648" s="94"/>
      <c r="AE648" s="94"/>
      <c r="AF648" s="94"/>
      <c r="AG648" s="94"/>
      <c r="AH648" s="94"/>
      <c r="AI648" s="94"/>
      <c r="AJ648" s="94"/>
      <c r="AK648" s="94"/>
      <c r="AL648" s="94"/>
    </row>
    <row r="649" hidden="1">
      <c r="A649" s="86" t="s">
        <v>1540</v>
      </c>
      <c r="B649" s="95" t="str">
        <f t="shared" si="494"/>
        <v>Otro</v>
      </c>
      <c r="C649" s="106" t="str">
        <f t="shared" si="9"/>
        <v>8.</v>
      </c>
      <c r="D649" s="106" t="str">
        <f t="shared" si="10"/>
        <v>Resolutividad</v>
      </c>
      <c r="E649" s="106" t="str">
        <f t="shared" si="11"/>
        <v>Capacidad exhibida por la institución pública de dar respuesta y atender las necesidades de las personas usuaria de forma completa.</v>
      </c>
      <c r="F649" s="141" t="str">
        <f t="shared" si="3"/>
        <v>8.1</v>
      </c>
      <c r="G649" s="92" t="str">
        <f t="shared" si="4"/>
        <v>IMPRESCINDIBLES</v>
      </c>
      <c r="H649" s="141"/>
      <c r="I649" s="141" t="str">
        <f t="shared" si="5"/>
        <v/>
      </c>
      <c r="J649" s="98" t="str">
        <f t="shared" si="6"/>
        <v/>
      </c>
      <c r="K649" s="98" t="str">
        <f t="shared" si="7"/>
        <v/>
      </c>
      <c r="L649" s="141" t="str">
        <f t="shared" ref="L649:N649" si="655">IF(I649="",L648,I649)</f>
        <v>7.3.3</v>
      </c>
      <c r="M649" s="98" t="str">
        <f t="shared" si="655"/>
        <v>Aviso de uso de cookies</v>
      </c>
      <c r="N649" s="98" t="str">
        <f t="shared" si="655"/>
        <v>Información clara que informe al usuario sobre la política de uso de cookies.
</v>
      </c>
      <c r="O649" s="258" t="s">
        <v>1084</v>
      </c>
      <c r="P649" s="137" t="s">
        <v>664</v>
      </c>
      <c r="Q649" s="138"/>
      <c r="R649" s="138"/>
      <c r="S649" s="139">
        <f>COUNTA(P650:P651)</f>
        <v>2</v>
      </c>
      <c r="T649" s="140">
        <f>COUNTIF(U650:U651,"n/a")</f>
        <v>0</v>
      </c>
      <c r="U649" s="94"/>
      <c r="V649" s="94"/>
      <c r="W649" s="94"/>
      <c r="X649" s="94"/>
      <c r="Y649" s="94"/>
      <c r="Z649" s="94"/>
      <c r="AA649" s="94"/>
      <c r="AB649" s="94"/>
      <c r="AC649" s="94"/>
      <c r="AD649" s="94"/>
      <c r="AE649" s="94"/>
      <c r="AF649" s="94"/>
      <c r="AG649" s="94"/>
      <c r="AH649" s="94"/>
      <c r="AI649" s="94"/>
      <c r="AJ649" s="94"/>
      <c r="AK649" s="94"/>
      <c r="AL649" s="94"/>
    </row>
    <row r="650" hidden="1">
      <c r="A650" s="105" t="s">
        <v>1540</v>
      </c>
      <c r="B650" s="92" t="str">
        <f t="shared" si="494"/>
        <v>Pregunta</v>
      </c>
      <c r="C650" s="106" t="str">
        <f t="shared" si="9"/>
        <v>8.</v>
      </c>
      <c r="D650" s="106" t="str">
        <f t="shared" si="10"/>
        <v>Resolutividad</v>
      </c>
      <c r="E650" s="106" t="str">
        <f t="shared" si="11"/>
        <v>Capacidad exhibida por la institución pública de dar respuesta y atender las necesidades de las personas usuaria de forma completa.</v>
      </c>
      <c r="F650" s="141" t="str">
        <f t="shared" si="3"/>
        <v>8.1</v>
      </c>
      <c r="G650" s="92" t="str">
        <f t="shared" si="4"/>
        <v>IMPRESCINDIBLES</v>
      </c>
      <c r="H650" s="141"/>
      <c r="I650" s="141" t="str">
        <f t="shared" si="5"/>
        <v>8.1.1</v>
      </c>
      <c r="J650" s="98" t="str">
        <f t="shared" si="6"/>
        <v>Acceso destacado a trámites</v>
      </c>
      <c r="K650" s="98" t="str">
        <f t="shared" si="7"/>
        <v>Presentación de un acceso destacado al trámite en los contenidos que hablen del trámite en cuestión.</v>
      </c>
      <c r="L650" s="141" t="str">
        <f t="shared" ref="L650:N650" si="656">IF(I650="",L649,I650)</f>
        <v>8.1.1</v>
      </c>
      <c r="M650" s="98" t="str">
        <f t="shared" si="656"/>
        <v>Acceso destacado a trámites</v>
      </c>
      <c r="N650" s="98" t="str">
        <f t="shared" si="656"/>
        <v>Presentación de un acceso destacado al trámite en los contenidos que hablen del trámite en cuestión.</v>
      </c>
      <c r="O650" s="336" t="s">
        <v>1085</v>
      </c>
      <c r="P650" s="162" t="s">
        <v>1624</v>
      </c>
      <c r="Q650" s="162" t="s">
        <v>1625</v>
      </c>
      <c r="R650" s="161"/>
      <c r="S650" s="162" t="s">
        <v>2202</v>
      </c>
      <c r="T650" s="164" t="s">
        <v>2033</v>
      </c>
      <c r="U650" s="94"/>
      <c r="V650" s="94"/>
      <c r="W650" s="94"/>
      <c r="X650" s="94"/>
      <c r="Y650" s="94"/>
      <c r="Z650" s="94"/>
      <c r="AA650" s="94"/>
      <c r="AB650" s="94"/>
      <c r="AC650" s="94"/>
      <c r="AD650" s="94"/>
      <c r="AE650" s="94"/>
      <c r="AF650" s="94"/>
      <c r="AG650" s="94"/>
      <c r="AH650" s="94"/>
      <c r="AI650" s="94"/>
      <c r="AJ650" s="94"/>
      <c r="AK650" s="94"/>
      <c r="AL650" s="94"/>
    </row>
    <row r="651" hidden="1">
      <c r="A651" s="105" t="s">
        <v>1540</v>
      </c>
      <c r="B651" s="92" t="str">
        <f t="shared" si="494"/>
        <v>Pregunta</v>
      </c>
      <c r="C651" s="106" t="str">
        <f t="shared" si="9"/>
        <v>8.</v>
      </c>
      <c r="D651" s="106" t="str">
        <f t="shared" si="10"/>
        <v>Resolutividad</v>
      </c>
      <c r="E651" s="106" t="str">
        <f t="shared" si="11"/>
        <v>Capacidad exhibida por la institución pública de dar respuesta y atender las necesidades de las personas usuaria de forma completa.</v>
      </c>
      <c r="F651" s="141" t="str">
        <f t="shared" si="3"/>
        <v>8.1</v>
      </c>
      <c r="G651" s="92" t="str">
        <f t="shared" si="4"/>
        <v>IMPRESCINDIBLES</v>
      </c>
      <c r="H651" s="141"/>
      <c r="I651" s="141" t="str">
        <f t="shared" si="5"/>
        <v>8.1.2</v>
      </c>
      <c r="J651" s="98" t="str">
        <f t="shared" si="6"/>
        <v>Funcionamiento de los sistemas</v>
      </c>
      <c r="K651" s="98" t="str">
        <f t="shared" si="7"/>
        <v>Correcto rendimiento de los sistemas que sustentan los servicios y trámites digitales, los que deben funcionar desde el inicio hasta final de una sesión sin la presencia de errores técnicos.
</v>
      </c>
      <c r="L651" s="141" t="str">
        <f t="shared" ref="L651:N651" si="657">IF(I651="",L650,I651)</f>
        <v>8.1.2</v>
      </c>
      <c r="M651" s="98" t="str">
        <f t="shared" si="657"/>
        <v>Funcionamiento de los sistemas</v>
      </c>
      <c r="N651" s="98" t="str">
        <f t="shared" si="657"/>
        <v>Correcto rendimiento de los sistemas que sustentan los servicios y trámites digitales, los que deben funcionar desde el inicio hasta final de una sesión sin la presencia de errores técnicos.
</v>
      </c>
      <c r="O651" s="165" t="s">
        <v>1090</v>
      </c>
      <c r="P651" s="166" t="s">
        <v>1627</v>
      </c>
      <c r="Q651" s="166" t="s">
        <v>1628</v>
      </c>
      <c r="R651" s="211"/>
      <c r="S651" s="166" t="s">
        <v>1629</v>
      </c>
      <c r="T651" s="164" t="s">
        <v>2033</v>
      </c>
      <c r="U651" s="94"/>
      <c r="V651" s="94"/>
      <c r="W651" s="94"/>
      <c r="X651" s="94"/>
      <c r="Y651" s="94"/>
      <c r="Z651" s="94"/>
      <c r="AA651" s="94"/>
      <c r="AB651" s="94"/>
      <c r="AC651" s="94"/>
      <c r="AD651" s="94"/>
      <c r="AE651" s="94"/>
      <c r="AF651" s="94"/>
      <c r="AG651" s="94"/>
      <c r="AH651" s="94"/>
      <c r="AI651" s="94"/>
      <c r="AJ651" s="94"/>
      <c r="AK651" s="94"/>
      <c r="AL651" s="94"/>
    </row>
    <row r="652" hidden="1">
      <c r="A652" s="86" t="s">
        <v>1540</v>
      </c>
      <c r="B652" s="95" t="str">
        <f t="shared" si="494"/>
        <v>Otro</v>
      </c>
      <c r="C652" s="106" t="str">
        <f t="shared" si="9"/>
        <v>8.</v>
      </c>
      <c r="D652" s="106" t="str">
        <f t="shared" si="10"/>
        <v>Resolutividad</v>
      </c>
      <c r="E652" s="106" t="str">
        <f t="shared" si="11"/>
        <v>Capacidad exhibida por la institución pública de dar respuesta y atender las necesidades de las personas usuaria de forma completa.</v>
      </c>
      <c r="F652" s="141" t="str">
        <f t="shared" si="3"/>
        <v>8.2</v>
      </c>
      <c r="G652" s="92" t="str">
        <f t="shared" si="4"/>
        <v>ESPERABLES</v>
      </c>
      <c r="H652" s="141"/>
      <c r="I652" s="141" t="str">
        <f t="shared" si="5"/>
        <v/>
      </c>
      <c r="J652" s="98" t="str">
        <f t="shared" si="6"/>
        <v/>
      </c>
      <c r="K652" s="98" t="str">
        <f t="shared" si="7"/>
        <v/>
      </c>
      <c r="L652" s="141" t="str">
        <f t="shared" ref="L652:N652" si="658">IF(I652="",L651,I652)</f>
        <v>8.1.2</v>
      </c>
      <c r="M652" s="98" t="str">
        <f t="shared" si="658"/>
        <v>Funcionamiento de los sistemas</v>
      </c>
      <c r="N652" s="98" t="str">
        <f t="shared" si="658"/>
        <v>Correcto rendimiento de los sistemas que sustentan los servicios y trámites digitales, los que deben funcionar desde el inicio hasta final de una sesión sin la presencia de errores técnicos.
</v>
      </c>
      <c r="O652" s="175" t="s">
        <v>1102</v>
      </c>
      <c r="P652" s="196" t="s">
        <v>714</v>
      </c>
      <c r="Q652" s="177"/>
      <c r="R652" s="177"/>
      <c r="S652" s="197">
        <f>COUNTA(P653:P661)</f>
        <v>6</v>
      </c>
      <c r="T652" s="197">
        <f>COUNTIF(U653:U661,"n/a")</f>
        <v>0</v>
      </c>
      <c r="U652" s="94"/>
      <c r="V652" s="94"/>
      <c r="W652" s="94"/>
      <c r="X652" s="94"/>
      <c r="Y652" s="94"/>
      <c r="Z652" s="94"/>
      <c r="AA652" s="94"/>
      <c r="AB652" s="94"/>
      <c r="AC652" s="94"/>
      <c r="AD652" s="94"/>
      <c r="AE652" s="94"/>
      <c r="AF652" s="94"/>
      <c r="AG652" s="94"/>
      <c r="AH652" s="94"/>
      <c r="AI652" s="94"/>
      <c r="AJ652" s="94"/>
      <c r="AK652" s="94"/>
      <c r="AL652" s="94"/>
    </row>
    <row r="653" hidden="1">
      <c r="A653" s="105" t="s">
        <v>1540</v>
      </c>
      <c r="B653" s="92" t="str">
        <f t="shared" si="494"/>
        <v>Pregunta</v>
      </c>
      <c r="C653" s="106" t="str">
        <f t="shared" si="9"/>
        <v>8.</v>
      </c>
      <c r="D653" s="106" t="str">
        <f t="shared" si="10"/>
        <v>Resolutividad</v>
      </c>
      <c r="E653" s="106" t="str">
        <f t="shared" si="11"/>
        <v>Capacidad exhibida por la institución pública de dar respuesta y atender las necesidades de las personas usuaria de forma completa.</v>
      </c>
      <c r="F653" s="141" t="str">
        <f t="shared" si="3"/>
        <v>8.2</v>
      </c>
      <c r="G653" s="92" t="str">
        <f t="shared" si="4"/>
        <v>ESPERABLES</v>
      </c>
      <c r="H653" s="141"/>
      <c r="I653" s="141" t="str">
        <f t="shared" si="5"/>
        <v>8.2.1</v>
      </c>
      <c r="J653" s="98" t="str">
        <f t="shared" si="6"/>
        <v>Oportunidad</v>
      </c>
      <c r="K653" s="98" t="str">
        <f t="shared" si="7"/>
        <v>Capacidad exhibida por la institución pública de atender y dar respuesta a un trámite o servicio solicitado por una persona usuaria, en un plazo razonable.</v>
      </c>
      <c r="L653" s="141" t="str">
        <f t="shared" ref="L653:N653" si="659">IF(I653="",L652,I653)</f>
        <v>8.2.1</v>
      </c>
      <c r="M653" s="98" t="str">
        <f t="shared" si="659"/>
        <v>Oportunidad</v>
      </c>
      <c r="N653" s="98" t="str">
        <f t="shared" si="659"/>
        <v>Capacidad exhibida por la institución pública de atender y dar respuesta a un trámite o servicio solicitado por una persona usuaria, en un plazo razonable.</v>
      </c>
      <c r="O653" s="278" t="s">
        <v>1103</v>
      </c>
      <c r="P653" s="162" t="s">
        <v>1630</v>
      </c>
      <c r="Q653" s="180" t="s">
        <v>1631</v>
      </c>
      <c r="R653" s="161"/>
      <c r="S653" s="162" t="s">
        <v>2203</v>
      </c>
      <c r="T653" s="160" t="s">
        <v>2033</v>
      </c>
      <c r="U653" s="94"/>
      <c r="V653" s="94"/>
      <c r="W653" s="94"/>
      <c r="X653" s="94"/>
      <c r="Y653" s="94"/>
      <c r="Z653" s="94"/>
      <c r="AA653" s="94"/>
      <c r="AB653" s="94"/>
      <c r="AC653" s="94"/>
      <c r="AD653" s="94"/>
      <c r="AE653" s="94"/>
      <c r="AF653" s="94"/>
      <c r="AG653" s="94"/>
      <c r="AH653" s="94"/>
      <c r="AI653" s="94"/>
      <c r="AJ653" s="94"/>
      <c r="AK653" s="94"/>
      <c r="AL653" s="94"/>
    </row>
    <row r="654" hidden="1">
      <c r="A654" s="86" t="s">
        <v>1540</v>
      </c>
      <c r="B654" s="95" t="str">
        <f t="shared" si="494"/>
        <v>Pregunta</v>
      </c>
      <c r="C654" s="106" t="str">
        <f t="shared" si="9"/>
        <v>8.</v>
      </c>
      <c r="D654" s="106" t="str">
        <f t="shared" si="10"/>
        <v>Resolutividad</v>
      </c>
      <c r="E654" s="106" t="str">
        <f t="shared" si="11"/>
        <v>Capacidad exhibida por la institución pública de dar respuesta y atender las necesidades de las personas usuaria de forma completa.</v>
      </c>
      <c r="F654" s="141" t="str">
        <f t="shared" si="3"/>
        <v>8.2</v>
      </c>
      <c r="G654" s="92" t="str">
        <f t="shared" si="4"/>
        <v>ESPERABLES</v>
      </c>
      <c r="H654" s="141"/>
      <c r="I654" s="141" t="str">
        <f t="shared" si="5"/>
        <v/>
      </c>
      <c r="J654" s="98" t="str">
        <f t="shared" si="6"/>
        <v/>
      </c>
      <c r="K654" s="98" t="str">
        <f t="shared" si="7"/>
        <v/>
      </c>
      <c r="L654" s="141" t="str">
        <f t="shared" ref="L654:N654" si="660">IF(I654="",L653,I654)</f>
        <v>8.2.1</v>
      </c>
      <c r="M654" s="98" t="str">
        <f t="shared" si="660"/>
        <v>Oportunidad</v>
      </c>
      <c r="N654" s="98" t="str">
        <f t="shared" si="660"/>
        <v>Capacidad exhibida por la institución pública de atender y dar respuesta a un trámite o servicio solicitado por una persona usuaria, en un plazo razonable.</v>
      </c>
      <c r="O654" s="304"/>
      <c r="P654" s="161"/>
      <c r="Q654" s="331"/>
      <c r="R654" s="161"/>
      <c r="S654" s="162" t="s">
        <v>1633</v>
      </c>
      <c r="T654" s="160" t="s">
        <v>2033</v>
      </c>
      <c r="U654" s="94"/>
      <c r="V654" s="94"/>
      <c r="W654" s="94"/>
      <c r="X654" s="94"/>
      <c r="Y654" s="94"/>
      <c r="Z654" s="94"/>
      <c r="AA654" s="94"/>
      <c r="AB654" s="94"/>
      <c r="AC654" s="94"/>
      <c r="AD654" s="94"/>
      <c r="AE654" s="94"/>
      <c r="AF654" s="94"/>
      <c r="AG654" s="94"/>
      <c r="AH654" s="94"/>
      <c r="AI654" s="94"/>
      <c r="AJ654" s="94"/>
      <c r="AK654" s="94"/>
      <c r="AL654" s="94"/>
    </row>
    <row r="655" hidden="1">
      <c r="A655" s="86" t="s">
        <v>1540</v>
      </c>
      <c r="B655" s="95" t="str">
        <f t="shared" si="494"/>
        <v>Pregunta</v>
      </c>
      <c r="C655" s="106" t="str">
        <f t="shared" si="9"/>
        <v>8.</v>
      </c>
      <c r="D655" s="106" t="str">
        <f t="shared" si="10"/>
        <v>Resolutividad</v>
      </c>
      <c r="E655" s="106" t="str">
        <f t="shared" si="11"/>
        <v>Capacidad exhibida por la institución pública de dar respuesta y atender las necesidades de las personas usuaria de forma completa.</v>
      </c>
      <c r="F655" s="141" t="str">
        <f t="shared" si="3"/>
        <v>8.2</v>
      </c>
      <c r="G655" s="92" t="str">
        <f t="shared" si="4"/>
        <v>ESPERABLES</v>
      </c>
      <c r="H655" s="141"/>
      <c r="I655" s="141" t="str">
        <f t="shared" si="5"/>
        <v/>
      </c>
      <c r="J655" s="98" t="str">
        <f t="shared" si="6"/>
        <v/>
      </c>
      <c r="K655" s="98" t="str">
        <f t="shared" si="7"/>
        <v/>
      </c>
      <c r="L655" s="141" t="str">
        <f t="shared" ref="L655:N655" si="661">IF(I655="",L654,I655)</f>
        <v>8.2.1</v>
      </c>
      <c r="M655" s="98" t="str">
        <f t="shared" si="661"/>
        <v>Oportunidad</v>
      </c>
      <c r="N655" s="98" t="str">
        <f t="shared" si="661"/>
        <v>Capacidad exhibida por la institución pública de atender y dar respuesta a un trámite o servicio solicitado por una persona usuaria, en un plazo razonable.</v>
      </c>
      <c r="O655" s="306"/>
      <c r="P655" s="171"/>
      <c r="Q655" s="171"/>
      <c r="R655" s="171"/>
      <c r="S655" s="180" t="s">
        <v>1634</v>
      </c>
      <c r="T655" s="164" t="s">
        <v>2033</v>
      </c>
      <c r="U655" s="94"/>
      <c r="V655" s="94"/>
      <c r="W655" s="94"/>
      <c r="X655" s="94"/>
      <c r="Y655" s="94"/>
      <c r="Z655" s="94"/>
      <c r="AA655" s="94"/>
      <c r="AB655" s="94"/>
      <c r="AC655" s="94"/>
      <c r="AD655" s="94"/>
      <c r="AE655" s="94"/>
      <c r="AF655" s="94"/>
      <c r="AG655" s="94"/>
      <c r="AH655" s="94"/>
      <c r="AI655" s="94"/>
      <c r="AJ655" s="94"/>
      <c r="AK655" s="94"/>
      <c r="AL655" s="94"/>
    </row>
    <row r="656" hidden="1">
      <c r="A656" s="105" t="s">
        <v>1540</v>
      </c>
      <c r="B656" s="92" t="str">
        <f t="shared" si="494"/>
        <v>Pregunta</v>
      </c>
      <c r="C656" s="106" t="str">
        <f t="shared" si="9"/>
        <v>8.</v>
      </c>
      <c r="D656" s="106" t="str">
        <f t="shared" si="10"/>
        <v>Resolutividad</v>
      </c>
      <c r="E656" s="106" t="str">
        <f t="shared" si="11"/>
        <v>Capacidad exhibida por la institución pública de dar respuesta y atender las necesidades de las personas usuaria de forma completa.</v>
      </c>
      <c r="F656" s="141" t="str">
        <f t="shared" si="3"/>
        <v>8.2</v>
      </c>
      <c r="G656" s="92" t="str">
        <f t="shared" si="4"/>
        <v>ESPERABLES</v>
      </c>
      <c r="H656" s="141"/>
      <c r="I656" s="141" t="str">
        <f t="shared" si="5"/>
        <v>8.2.2</v>
      </c>
      <c r="J656" s="98" t="str">
        <f t="shared" si="6"/>
        <v>Eficiencia</v>
      </c>
      <c r="K656" s="98" t="str">
        <f t="shared" si="7"/>
        <v>Reducción de tiempo empleado por las personas usuarias en acceder a la información y servicios, frente a la experiencia presencial.</v>
      </c>
      <c r="L656" s="141" t="str">
        <f t="shared" ref="L656:N656" si="662">IF(I656="",L655,I656)</f>
        <v>8.2.2</v>
      </c>
      <c r="M656" s="98" t="str">
        <f t="shared" si="662"/>
        <v>Eficiencia</v>
      </c>
      <c r="N656" s="98" t="str">
        <f t="shared" si="662"/>
        <v>Reducción de tiempo empleado por las personas usuarias en acceder a la información y servicios, frente a la experiencia presencial.</v>
      </c>
      <c r="O656" s="147" t="s">
        <v>1635</v>
      </c>
      <c r="P656" s="148" t="s">
        <v>1636</v>
      </c>
      <c r="Q656" s="148" t="s">
        <v>1637</v>
      </c>
      <c r="R656" s="158"/>
      <c r="S656" s="170" t="s">
        <v>1638</v>
      </c>
      <c r="T656" s="160" t="s">
        <v>2033</v>
      </c>
      <c r="U656" s="94"/>
      <c r="V656" s="94"/>
      <c r="W656" s="94"/>
      <c r="X656" s="94"/>
      <c r="Y656" s="94"/>
      <c r="Z656" s="94"/>
      <c r="AA656" s="94"/>
      <c r="AB656" s="94"/>
      <c r="AC656" s="94"/>
      <c r="AD656" s="94"/>
      <c r="AE656" s="94"/>
      <c r="AF656" s="94"/>
      <c r="AG656" s="94"/>
      <c r="AH656" s="94"/>
      <c r="AI656" s="94"/>
      <c r="AJ656" s="94"/>
      <c r="AK656" s="94"/>
      <c r="AL656" s="94"/>
    </row>
    <row r="657" hidden="1">
      <c r="A657" s="86" t="s">
        <v>1540</v>
      </c>
      <c r="B657" s="95" t="str">
        <f t="shared" si="494"/>
        <v>Pregunta</v>
      </c>
      <c r="C657" s="106" t="str">
        <f t="shared" si="9"/>
        <v>8.</v>
      </c>
      <c r="D657" s="106" t="str">
        <f t="shared" si="10"/>
        <v>Resolutividad</v>
      </c>
      <c r="E657" s="106" t="str">
        <f t="shared" si="11"/>
        <v>Capacidad exhibida por la institución pública de dar respuesta y atender las necesidades de las personas usuaria de forma completa.</v>
      </c>
      <c r="F657" s="141" t="str">
        <f t="shared" si="3"/>
        <v>8.2</v>
      </c>
      <c r="G657" s="92" t="str">
        <f t="shared" si="4"/>
        <v>ESPERABLES</v>
      </c>
      <c r="H657" s="141"/>
      <c r="I657" s="141" t="str">
        <f t="shared" si="5"/>
        <v/>
      </c>
      <c r="J657" s="98" t="str">
        <f t="shared" si="6"/>
        <v/>
      </c>
      <c r="K657" s="98" t="str">
        <f t="shared" si="7"/>
        <v/>
      </c>
      <c r="L657" s="141" t="str">
        <f t="shared" ref="L657:N657" si="663">IF(I657="",L656,I657)</f>
        <v>8.2.2</v>
      </c>
      <c r="M657" s="98" t="str">
        <f t="shared" si="663"/>
        <v>Eficiencia</v>
      </c>
      <c r="N657" s="98" t="str">
        <f t="shared" si="663"/>
        <v>Reducción de tiempo empleado por las personas usuarias en acceder a la información y servicios, frente a la experiencia presencial.</v>
      </c>
      <c r="O657" s="308"/>
      <c r="P657" s="307"/>
      <c r="Q657" s="307"/>
      <c r="R657" s="168"/>
      <c r="S657" s="169" t="s">
        <v>1639</v>
      </c>
      <c r="T657" s="164" t="s">
        <v>2033</v>
      </c>
      <c r="U657" s="94"/>
      <c r="V657" s="94"/>
      <c r="W657" s="94"/>
      <c r="X657" s="94"/>
      <c r="Y657" s="94"/>
      <c r="Z657" s="94"/>
      <c r="AA657" s="94"/>
      <c r="AB657" s="94"/>
      <c r="AC657" s="94"/>
      <c r="AD657" s="94"/>
      <c r="AE657" s="94"/>
      <c r="AF657" s="94"/>
      <c r="AG657" s="94"/>
      <c r="AH657" s="94"/>
      <c r="AI657" s="94"/>
      <c r="AJ657" s="94"/>
      <c r="AK657" s="94"/>
      <c r="AL657" s="94"/>
    </row>
    <row r="658" hidden="1">
      <c r="A658" s="105" t="s">
        <v>1540</v>
      </c>
      <c r="B658" s="92" t="str">
        <f t="shared" si="494"/>
        <v>Pregunta</v>
      </c>
      <c r="C658" s="106" t="str">
        <f t="shared" si="9"/>
        <v>8.</v>
      </c>
      <c r="D658" s="106" t="str">
        <f t="shared" si="10"/>
        <v>Resolutividad</v>
      </c>
      <c r="E658" s="106" t="str">
        <f t="shared" si="11"/>
        <v>Capacidad exhibida por la institución pública de dar respuesta y atender las necesidades de las personas usuaria de forma completa.</v>
      </c>
      <c r="F658" s="141" t="str">
        <f t="shared" si="3"/>
        <v>8.2</v>
      </c>
      <c r="G658" s="92" t="str">
        <f t="shared" si="4"/>
        <v>ESPERABLES</v>
      </c>
      <c r="H658" s="141"/>
      <c r="I658" s="141" t="str">
        <f t="shared" si="5"/>
        <v>8.2.3</v>
      </c>
      <c r="J658" s="98" t="str">
        <f t="shared" si="6"/>
        <v>Estado de progreso del trámite</v>
      </c>
      <c r="K658" s="98" t="str">
        <f t="shared" si="7"/>
        <v>Indicación a la persona usuaria del estado de avance de su trámite.
</v>
      </c>
      <c r="L658" s="141" t="str">
        <f t="shared" ref="L658:N658" si="664">IF(I658="",L657,I658)</f>
        <v>8.2.3</v>
      </c>
      <c r="M658" s="98" t="str">
        <f t="shared" si="664"/>
        <v>Estado de progreso del trámite</v>
      </c>
      <c r="N658" s="98" t="str">
        <f t="shared" si="664"/>
        <v>Indicación a la persona usuaria del estado de avance de su trámite.
</v>
      </c>
      <c r="O658" s="165" t="s">
        <v>1640</v>
      </c>
      <c r="P658" s="166" t="s">
        <v>1641</v>
      </c>
      <c r="Q658" s="166" t="s">
        <v>1642</v>
      </c>
      <c r="R658" s="211"/>
      <c r="S658" s="166" t="s">
        <v>1643</v>
      </c>
      <c r="T658" s="164" t="s">
        <v>2033</v>
      </c>
      <c r="U658" s="94"/>
      <c r="V658" s="94"/>
      <c r="W658" s="94"/>
      <c r="X658" s="94"/>
      <c r="Y658" s="94"/>
      <c r="Z658" s="94"/>
      <c r="AA658" s="94"/>
      <c r="AB658" s="94"/>
      <c r="AC658" s="94"/>
      <c r="AD658" s="94"/>
      <c r="AE658" s="94"/>
      <c r="AF658" s="94"/>
      <c r="AG658" s="94"/>
      <c r="AH658" s="94"/>
      <c r="AI658" s="94"/>
      <c r="AJ658" s="94"/>
      <c r="AK658" s="94"/>
      <c r="AL658" s="94"/>
    </row>
    <row r="659" hidden="1">
      <c r="A659" s="105" t="s">
        <v>1540</v>
      </c>
      <c r="B659" s="92" t="str">
        <f t="shared" si="494"/>
        <v>Pregunta</v>
      </c>
      <c r="C659" s="106" t="str">
        <f t="shared" si="9"/>
        <v>8.</v>
      </c>
      <c r="D659" s="106" t="str">
        <f t="shared" si="10"/>
        <v>Resolutividad</v>
      </c>
      <c r="E659" s="106" t="str">
        <f t="shared" si="11"/>
        <v>Capacidad exhibida por la institución pública de dar respuesta y atender las necesidades de las personas usuaria de forma completa.</v>
      </c>
      <c r="F659" s="141" t="str">
        <f t="shared" si="3"/>
        <v>8.2</v>
      </c>
      <c r="G659" s="92" t="str">
        <f t="shared" si="4"/>
        <v>ESPERABLES</v>
      </c>
      <c r="H659" s="141"/>
      <c r="I659" s="141" t="str">
        <f t="shared" si="5"/>
        <v>8.2.4</v>
      </c>
      <c r="J659" s="98" t="str">
        <f t="shared" si="6"/>
        <v>Resolutividad</v>
      </c>
      <c r="K659" s="98" t="str">
        <f t="shared" si="7"/>
        <v>Capacidad de realizar el trámite en su totalidad sin necesidad de acudir a una oficina para terminarlo.
</v>
      </c>
      <c r="L659" s="141" t="str">
        <f t="shared" ref="L659:N659" si="665">IF(I659="",L658,I659)</f>
        <v>8.2.4</v>
      </c>
      <c r="M659" s="98" t="str">
        <f t="shared" si="665"/>
        <v>Resolutividad</v>
      </c>
      <c r="N659" s="98" t="str">
        <f t="shared" si="665"/>
        <v>Capacidad de realizar el trámite en su totalidad sin necesidad de acudir a una oficina para terminarlo.
</v>
      </c>
      <c r="O659" s="165" t="s">
        <v>1644</v>
      </c>
      <c r="P659" s="166" t="s">
        <v>61</v>
      </c>
      <c r="Q659" s="166" t="s">
        <v>1645</v>
      </c>
      <c r="R659" s="211"/>
      <c r="S659" s="166" t="s">
        <v>2204</v>
      </c>
      <c r="T659" s="164" t="s">
        <v>2033</v>
      </c>
      <c r="U659" s="94"/>
      <c r="V659" s="94"/>
      <c r="W659" s="94"/>
      <c r="X659" s="94"/>
      <c r="Y659" s="94"/>
      <c r="Z659" s="94"/>
      <c r="AA659" s="94"/>
      <c r="AB659" s="94"/>
      <c r="AC659" s="94"/>
      <c r="AD659" s="94"/>
      <c r="AE659" s="94"/>
      <c r="AF659" s="94"/>
      <c r="AG659" s="94"/>
      <c r="AH659" s="94"/>
      <c r="AI659" s="94"/>
      <c r="AJ659" s="94"/>
      <c r="AK659" s="94"/>
      <c r="AL659" s="94"/>
    </row>
    <row r="660" hidden="1">
      <c r="A660" s="105" t="s">
        <v>1540</v>
      </c>
      <c r="B660" s="92" t="str">
        <f t="shared" si="494"/>
        <v>Pregunta</v>
      </c>
      <c r="C660" s="106" t="str">
        <f t="shared" si="9"/>
        <v>8.</v>
      </c>
      <c r="D660" s="106" t="str">
        <f t="shared" si="10"/>
        <v>Resolutividad</v>
      </c>
      <c r="E660" s="106" t="str">
        <f t="shared" si="11"/>
        <v>Capacidad exhibida por la institución pública de dar respuesta y atender las necesidades de las personas usuaria de forma completa.</v>
      </c>
      <c r="F660" s="141" t="str">
        <f t="shared" si="3"/>
        <v>8.2</v>
      </c>
      <c r="G660" s="92" t="str">
        <f t="shared" si="4"/>
        <v>ESPERABLES</v>
      </c>
      <c r="H660" s="141"/>
      <c r="I660" s="141" t="str">
        <f t="shared" si="5"/>
        <v>8.2.5</v>
      </c>
      <c r="J660" s="98" t="str">
        <f t="shared" si="6"/>
        <v>Cantidad de pasos limitada</v>
      </c>
      <c r="K660" s="98" t="str">
        <f t="shared" si="7"/>
        <v>Proporción de pasos acotados para realizar un trámite.</v>
      </c>
      <c r="L660" s="141" t="str">
        <f t="shared" ref="L660:N660" si="666">IF(I660="",L659,I660)</f>
        <v>8.2.5</v>
      </c>
      <c r="M660" s="98" t="str">
        <f t="shared" si="666"/>
        <v>Cantidad de pasos limitada</v>
      </c>
      <c r="N660" s="98" t="str">
        <f t="shared" si="666"/>
        <v>Proporción de pasos acotados para realizar un trámite.</v>
      </c>
      <c r="O660" s="165" t="s">
        <v>1647</v>
      </c>
      <c r="P660" s="166" t="s">
        <v>1648</v>
      </c>
      <c r="Q660" s="166" t="s">
        <v>1649</v>
      </c>
      <c r="R660" s="211"/>
      <c r="S660" s="166" t="s">
        <v>1650</v>
      </c>
      <c r="T660" s="164" t="s">
        <v>2033</v>
      </c>
      <c r="U660" s="94"/>
      <c r="V660" s="94"/>
      <c r="W660" s="94"/>
      <c r="X660" s="94"/>
      <c r="Y660" s="94"/>
      <c r="Z660" s="94"/>
      <c r="AA660" s="94"/>
      <c r="AB660" s="94"/>
      <c r="AC660" s="94"/>
      <c r="AD660" s="94"/>
      <c r="AE660" s="94"/>
      <c r="AF660" s="94"/>
      <c r="AG660" s="94"/>
      <c r="AH660" s="94"/>
      <c r="AI660" s="94"/>
      <c r="AJ660" s="94"/>
      <c r="AK660" s="94"/>
      <c r="AL660" s="94"/>
    </row>
    <row r="661" hidden="1">
      <c r="A661" s="105" t="s">
        <v>1540</v>
      </c>
      <c r="B661" s="92" t="str">
        <f t="shared" si="494"/>
        <v>Pregunta</v>
      </c>
      <c r="C661" s="106" t="str">
        <f t="shared" si="9"/>
        <v>8.</v>
      </c>
      <c r="D661" s="106" t="str">
        <f t="shared" si="10"/>
        <v>Resolutividad</v>
      </c>
      <c r="E661" s="106" t="str">
        <f t="shared" si="11"/>
        <v>Capacidad exhibida por la institución pública de dar respuesta y atender las necesidades de las personas usuaria de forma completa.</v>
      </c>
      <c r="F661" s="141" t="str">
        <f t="shared" si="3"/>
        <v>8.2</v>
      </c>
      <c r="G661" s="92" t="str">
        <f t="shared" si="4"/>
        <v>ESPERABLES</v>
      </c>
      <c r="H661" s="141"/>
      <c r="I661" s="141" t="str">
        <f t="shared" si="5"/>
        <v>8.2.6</v>
      </c>
      <c r="J661" s="98" t="str">
        <f t="shared" si="6"/>
        <v>Calidad de la respuesta entregada</v>
      </c>
      <c r="K661" s="98" t="str">
        <f t="shared" si="7"/>
        <v>Medida en que las respuestas o interacciones proporcionadas por un servicio digital son precisas, relevantes, completas y útiles para la persona usuaria.
</v>
      </c>
      <c r="L661" s="141" t="str">
        <f t="shared" ref="L661:N661" si="667">IF(I661="",L660,I661)</f>
        <v>8.2.6</v>
      </c>
      <c r="M661" s="98" t="str">
        <f t="shared" si="667"/>
        <v>Calidad de la respuesta entregada</v>
      </c>
      <c r="N661" s="98" t="str">
        <f t="shared" si="667"/>
        <v>Medida en que las respuestas o interacciones proporcionadas por un servicio digital son precisas, relevantes, completas y útiles para la persona usuaria.
</v>
      </c>
      <c r="O661" s="165" t="s">
        <v>1652</v>
      </c>
      <c r="P661" s="166" t="s">
        <v>1653</v>
      </c>
      <c r="Q661" s="166" t="s">
        <v>1654</v>
      </c>
      <c r="R661" s="211"/>
      <c r="S661" s="166" t="s">
        <v>1655</v>
      </c>
      <c r="T661" s="164" t="s">
        <v>2033</v>
      </c>
      <c r="U661" s="94"/>
      <c r="V661" s="94"/>
      <c r="W661" s="94"/>
      <c r="X661" s="94"/>
      <c r="Y661" s="94"/>
      <c r="Z661" s="94"/>
      <c r="AA661" s="94"/>
      <c r="AB661" s="94"/>
      <c r="AC661" s="94"/>
      <c r="AD661" s="94"/>
      <c r="AE661" s="94"/>
      <c r="AF661" s="94"/>
      <c r="AG661" s="94"/>
      <c r="AH661" s="94"/>
      <c r="AI661" s="94"/>
      <c r="AJ661" s="94"/>
      <c r="AK661" s="94"/>
      <c r="AL661" s="94"/>
    </row>
    <row r="662" hidden="1">
      <c r="A662" s="86" t="s">
        <v>1540</v>
      </c>
      <c r="B662" s="95" t="str">
        <f t="shared" si="494"/>
        <v>Otro</v>
      </c>
      <c r="C662" s="106" t="str">
        <f t="shared" si="9"/>
        <v>9. </v>
      </c>
      <c r="D662" s="106" t="str">
        <f t="shared" si="10"/>
        <v>Facilidad de acceso e independencia tecnológica</v>
      </c>
      <c r="E662" s="106" t="str">
        <f t="shared" si="11"/>
        <v>Condición del servicio digital que permite a las personas usuarias acceder a la información expedita y oportuna, independiente de la calidad o tipo de dispositivo a través del que se está conectando.</v>
      </c>
      <c r="F662" s="141" t="str">
        <f t="shared" si="3"/>
        <v>8.2</v>
      </c>
      <c r="G662" s="92" t="str">
        <f t="shared" si="4"/>
        <v>ESPERABLES</v>
      </c>
      <c r="H662" s="107"/>
      <c r="I662" s="107" t="str">
        <f t="shared" si="5"/>
        <v/>
      </c>
      <c r="J662" s="98" t="str">
        <f t="shared" si="6"/>
        <v/>
      </c>
      <c r="K662" s="98" t="str">
        <f t="shared" si="7"/>
        <v/>
      </c>
      <c r="L662" s="141" t="str">
        <f t="shared" ref="L662:N662" si="668">IF(I662="",L661,I662)</f>
        <v>8.2.6</v>
      </c>
      <c r="M662" s="98" t="str">
        <f t="shared" si="668"/>
        <v>Calidad de la respuesta entregada</v>
      </c>
      <c r="N662" s="98" t="str">
        <f t="shared" si="668"/>
        <v>Medida en que las respuestas o interacciones proporcionadas por un servicio digital son precisas, relevantes, completas y útiles para la persona usuaria.
</v>
      </c>
      <c r="O662" s="220" t="s">
        <v>1651</v>
      </c>
      <c r="P662" s="112" t="s">
        <v>54</v>
      </c>
      <c r="Q662" s="309"/>
      <c r="R662" s="114"/>
      <c r="S662" s="115" t="s">
        <v>1656</v>
      </c>
      <c r="T662" s="116" t="s">
        <v>2161</v>
      </c>
      <c r="U662" s="94"/>
      <c r="V662" s="94"/>
      <c r="W662" s="94"/>
      <c r="X662" s="94"/>
      <c r="Y662" s="94"/>
      <c r="Z662" s="94"/>
      <c r="AA662" s="94"/>
      <c r="AB662" s="94"/>
      <c r="AC662" s="94"/>
      <c r="AD662" s="94"/>
      <c r="AE662" s="94"/>
      <c r="AF662" s="94"/>
      <c r="AG662" s="94"/>
      <c r="AH662" s="94"/>
      <c r="AI662" s="94"/>
      <c r="AJ662" s="94"/>
      <c r="AK662" s="94"/>
      <c r="AL662" s="94"/>
    </row>
    <row r="663" hidden="1">
      <c r="A663" s="86" t="s">
        <v>1540</v>
      </c>
      <c r="B663" s="95" t="str">
        <f t="shared" si="494"/>
        <v>Otro</v>
      </c>
      <c r="C663" s="106" t="str">
        <f t="shared" si="9"/>
        <v>9. </v>
      </c>
      <c r="D663" s="106" t="str">
        <f t="shared" si="10"/>
        <v>Facilidad de acceso e independencia tecnológica</v>
      </c>
      <c r="E663" s="106" t="str">
        <f t="shared" si="11"/>
        <v>Condición del servicio digital que permite a las personas usuarias acceder a la información expedita y oportuna, independiente de la calidad o tipo de dispositivo a través del que se está conectando.</v>
      </c>
      <c r="F663" s="141" t="str">
        <f t="shared" si="3"/>
        <v>8.2</v>
      </c>
      <c r="G663" s="92" t="str">
        <f t="shared" si="4"/>
        <v>ESPERABLES</v>
      </c>
      <c r="H663" s="107"/>
      <c r="I663" s="107" t="str">
        <f t="shared" si="5"/>
        <v/>
      </c>
      <c r="J663" s="98" t="str">
        <f t="shared" si="6"/>
        <v/>
      </c>
      <c r="K663" s="98" t="str">
        <f t="shared" si="7"/>
        <v/>
      </c>
      <c r="L663" s="141" t="str">
        <f t="shared" ref="L663:N663" si="669">IF(I663="",L662,I663)</f>
        <v>8.2.6</v>
      </c>
      <c r="M663" s="98" t="str">
        <f t="shared" si="669"/>
        <v>Calidad de la respuesta entregada</v>
      </c>
      <c r="N663" s="98" t="str">
        <f t="shared" si="669"/>
        <v>Medida en que las respuestas o interacciones proporcionadas por un servicio digital son precisas, relevantes, completas y útiles para la persona usuaria.
</v>
      </c>
      <c r="O663" s="310"/>
      <c r="P663" s="311"/>
      <c r="Q663" s="310"/>
      <c r="R663" s="114"/>
      <c r="S663" s="239"/>
      <c r="T663" s="241"/>
      <c r="U663" s="94"/>
      <c r="V663" s="94"/>
      <c r="W663" s="94"/>
      <c r="X663" s="94"/>
      <c r="Y663" s="94"/>
      <c r="Z663" s="94"/>
      <c r="AA663" s="94"/>
      <c r="AB663" s="94"/>
      <c r="AC663" s="94"/>
      <c r="AD663" s="94"/>
      <c r="AE663" s="94"/>
      <c r="AF663" s="94"/>
      <c r="AG663" s="94"/>
      <c r="AH663" s="94"/>
      <c r="AI663" s="94"/>
      <c r="AJ663" s="94"/>
      <c r="AK663" s="94"/>
      <c r="AL663" s="94"/>
    </row>
    <row r="664" hidden="1">
      <c r="A664" s="86" t="s">
        <v>1540</v>
      </c>
      <c r="B664" s="95" t="str">
        <f t="shared" si="494"/>
        <v>Otro</v>
      </c>
      <c r="C664" s="106" t="str">
        <f t="shared" si="9"/>
        <v>9. </v>
      </c>
      <c r="D664" s="106" t="str">
        <f t="shared" si="10"/>
        <v>Facilidad de acceso e independencia tecnológica</v>
      </c>
      <c r="E664" s="106" t="str">
        <f t="shared" si="11"/>
        <v>Condición del servicio digital que permite a las personas usuarias acceder a la información expedita y oportuna, independiente de la calidad o tipo de dispositivo a través del que se está conectando.</v>
      </c>
      <c r="F664" s="141" t="str">
        <f t="shared" si="3"/>
        <v>8.2</v>
      </c>
      <c r="G664" s="92" t="str">
        <f t="shared" si="4"/>
        <v>ESPERABLES</v>
      </c>
      <c r="H664" s="107"/>
      <c r="I664" s="107" t="str">
        <f t="shared" si="5"/>
        <v/>
      </c>
      <c r="J664" s="98" t="str">
        <f t="shared" si="6"/>
        <v/>
      </c>
      <c r="K664" s="98" t="str">
        <f t="shared" si="7"/>
        <v/>
      </c>
      <c r="L664" s="141" t="str">
        <f t="shared" ref="L664:N664" si="670">IF(I664="",L663,I664)</f>
        <v>8.2.6</v>
      </c>
      <c r="M664" s="98" t="str">
        <f t="shared" si="670"/>
        <v>Calidad de la respuesta entregada</v>
      </c>
      <c r="N664" s="98" t="str">
        <f t="shared" si="670"/>
        <v>Medida en que las respuestas o interacciones proporcionadas por un servicio digital son precisas, relevantes, completas y útiles para la persona usuaria.
</v>
      </c>
      <c r="O664" s="312"/>
      <c r="P664" s="313"/>
      <c r="Q664" s="312"/>
      <c r="R664" s="114"/>
      <c r="S664" s="240"/>
      <c r="T664" s="241"/>
      <c r="U664" s="94"/>
      <c r="V664" s="94"/>
      <c r="W664" s="94"/>
      <c r="X664" s="94"/>
      <c r="Y664" s="94"/>
      <c r="Z664" s="94"/>
      <c r="AA664" s="94"/>
      <c r="AB664" s="94"/>
      <c r="AC664" s="94"/>
      <c r="AD664" s="94"/>
      <c r="AE664" s="94"/>
      <c r="AF664" s="94"/>
      <c r="AG664" s="94"/>
      <c r="AH664" s="94"/>
      <c r="AI664" s="94"/>
      <c r="AJ664" s="94"/>
      <c r="AK664" s="94"/>
      <c r="AL664" s="94"/>
    </row>
    <row r="665" hidden="1">
      <c r="A665" s="86" t="s">
        <v>1540</v>
      </c>
      <c r="B665" s="95" t="str">
        <f t="shared" si="494"/>
        <v>Otro</v>
      </c>
      <c r="C665" s="106" t="str">
        <f t="shared" si="9"/>
        <v>9. </v>
      </c>
      <c r="D665" s="106" t="str">
        <f t="shared" si="10"/>
        <v>Facilidad de acceso e independencia tecnológica</v>
      </c>
      <c r="E665" s="106" t="str">
        <f t="shared" si="11"/>
        <v>Condición del servicio digital que permite a las personas usuarias acceder a la información expedita y oportuna, independiente de la calidad o tipo de dispositivo a través del que se está conectando.</v>
      </c>
      <c r="F665" s="141" t="str">
        <f t="shared" si="3"/>
        <v>8.2</v>
      </c>
      <c r="G665" s="92" t="str">
        <f t="shared" si="4"/>
        <v>ESPERABLES</v>
      </c>
      <c r="H665" s="96"/>
      <c r="I665" s="96" t="str">
        <f t="shared" si="5"/>
        <v/>
      </c>
      <c r="J665" s="98" t="str">
        <f t="shared" si="6"/>
        <v/>
      </c>
      <c r="K665" s="98" t="str">
        <f t="shared" si="7"/>
        <v/>
      </c>
      <c r="L665" s="141" t="str">
        <f t="shared" ref="L665:N665" si="671">IF(I665="",L664,I665)</f>
        <v>8.2.6</v>
      </c>
      <c r="M665" s="98" t="str">
        <f t="shared" si="671"/>
        <v>Calidad de la respuesta entregada</v>
      </c>
      <c r="N665" s="98" t="str">
        <f t="shared" si="671"/>
        <v>Medida en que las respuestas o interacciones proporcionadas por un servicio digital son precisas, relevantes, completas y útiles para la persona usuaria.
</v>
      </c>
      <c r="O665" s="104"/>
      <c r="P665" s="114"/>
      <c r="Q665" s="114"/>
      <c r="R665" s="114"/>
      <c r="S665" s="114"/>
      <c r="T665" s="114"/>
      <c r="U665" s="94"/>
      <c r="V665" s="94"/>
      <c r="W665" s="94"/>
      <c r="X665" s="94"/>
      <c r="Y665" s="94"/>
      <c r="Z665" s="94"/>
      <c r="AA665" s="94"/>
      <c r="AB665" s="94"/>
      <c r="AC665" s="94"/>
      <c r="AD665" s="94"/>
      <c r="AE665" s="94"/>
      <c r="AF665" s="94"/>
      <c r="AG665" s="94"/>
      <c r="AH665" s="94"/>
      <c r="AI665" s="94"/>
      <c r="AJ665" s="94"/>
      <c r="AK665" s="94"/>
      <c r="AL665" s="94"/>
    </row>
    <row r="666" hidden="1">
      <c r="A666" s="86" t="s">
        <v>1540</v>
      </c>
      <c r="B666" s="95" t="str">
        <f t="shared" si="494"/>
        <v>Otro</v>
      </c>
      <c r="C666" s="106" t="str">
        <f t="shared" si="9"/>
        <v>9. </v>
      </c>
      <c r="D666" s="106" t="str">
        <f t="shared" si="10"/>
        <v>Facilidad de acceso e independencia tecnológica</v>
      </c>
      <c r="E666" s="106" t="str">
        <f t="shared" si="11"/>
        <v>Condición del servicio digital que permite a las personas usuarias acceder a la información expedita y oportuna, independiente de la calidad o tipo de dispositivo a través del que se está conectando.</v>
      </c>
      <c r="F666" s="141" t="str">
        <f t="shared" si="3"/>
        <v>8.2</v>
      </c>
      <c r="G666" s="92" t="str">
        <f t="shared" si="4"/>
        <v>ESPERABLES</v>
      </c>
      <c r="H666" s="128"/>
      <c r="I666" s="128" t="str">
        <f t="shared" si="5"/>
        <v/>
      </c>
      <c r="J666" s="98" t="str">
        <f t="shared" si="6"/>
        <v/>
      </c>
      <c r="K666" s="98" t="str">
        <f t="shared" si="7"/>
        <v/>
      </c>
      <c r="L666" s="141" t="str">
        <f t="shared" ref="L666:N666" si="672">IF(I666="",L665,I666)</f>
        <v>8.2.6</v>
      </c>
      <c r="M666" s="98" t="str">
        <f t="shared" si="672"/>
        <v>Calidad de la respuesta entregada</v>
      </c>
      <c r="N666" s="98" t="str">
        <f t="shared" si="672"/>
        <v>Medida en que las respuestas o interacciones proporcionadas por un servicio digital son precisas, relevantes, completas y útiles para la persona usuaria.
</v>
      </c>
      <c r="O666" s="337" t="s">
        <v>1822</v>
      </c>
      <c r="P666" s="338" t="s">
        <v>1823</v>
      </c>
      <c r="Q666" s="338" t="s">
        <v>2031</v>
      </c>
      <c r="R666" s="339"/>
      <c r="S666" s="133" t="s">
        <v>1824</v>
      </c>
      <c r="T666" s="133" t="s">
        <v>1825</v>
      </c>
      <c r="U666" s="94"/>
      <c r="V666" s="94"/>
      <c r="W666" s="94"/>
      <c r="X666" s="94"/>
      <c r="Y666" s="94"/>
      <c r="Z666" s="94"/>
      <c r="AA666" s="94"/>
      <c r="AB666" s="94"/>
      <c r="AC666" s="94"/>
      <c r="AD666" s="94"/>
      <c r="AE666" s="94"/>
      <c r="AF666" s="94"/>
      <c r="AG666" s="94"/>
      <c r="AH666" s="94"/>
      <c r="AI666" s="94"/>
      <c r="AJ666" s="94"/>
      <c r="AK666" s="94"/>
      <c r="AL666" s="94"/>
    </row>
    <row r="667" hidden="1">
      <c r="A667" s="86" t="s">
        <v>1540</v>
      </c>
      <c r="B667" s="95" t="str">
        <f t="shared" si="494"/>
        <v>Otro</v>
      </c>
      <c r="C667" s="106" t="str">
        <f t="shared" si="9"/>
        <v>9. </v>
      </c>
      <c r="D667" s="106" t="str">
        <f t="shared" si="10"/>
        <v>Facilidad de acceso e independencia tecnológica</v>
      </c>
      <c r="E667" s="106" t="str">
        <f t="shared" si="11"/>
        <v>Condición del servicio digital que permite a las personas usuarias acceder a la información expedita y oportuna, independiente de la calidad o tipo de dispositivo a través del que se está conectando.</v>
      </c>
      <c r="F667" s="141" t="str">
        <f t="shared" si="3"/>
        <v>9.1</v>
      </c>
      <c r="G667" s="92" t="str">
        <f t="shared" si="4"/>
        <v>IMPRESCINDIBLES</v>
      </c>
      <c r="H667" s="141"/>
      <c r="I667" s="141" t="str">
        <f t="shared" si="5"/>
        <v/>
      </c>
      <c r="J667" s="98" t="str">
        <f t="shared" si="6"/>
        <v/>
      </c>
      <c r="K667" s="98" t="str">
        <f t="shared" si="7"/>
        <v/>
      </c>
      <c r="L667" s="141" t="str">
        <f t="shared" ref="L667:N667" si="673">IF(I667="",L666,I667)</f>
        <v>8.2.6</v>
      </c>
      <c r="M667" s="98" t="str">
        <f t="shared" si="673"/>
        <v>Calidad de la respuesta entregada</v>
      </c>
      <c r="N667" s="98" t="str">
        <f t="shared" si="673"/>
        <v>Medida en que las respuestas o interacciones proporcionadas por un servicio digital son precisas, relevantes, completas y útiles para la persona usuaria.
</v>
      </c>
      <c r="O667" s="258" t="s">
        <v>1122</v>
      </c>
      <c r="P667" s="137" t="s">
        <v>664</v>
      </c>
      <c r="Q667" s="138"/>
      <c r="R667" s="138"/>
      <c r="S667" s="139">
        <f>COUNTA(P668:P675)</f>
        <v>7</v>
      </c>
      <c r="T667" s="140">
        <f>COUNTIF(U668:U675,"n/a")</f>
        <v>0</v>
      </c>
      <c r="U667" s="94"/>
      <c r="V667" s="94"/>
      <c r="W667" s="94"/>
      <c r="X667" s="94"/>
      <c r="Y667" s="94"/>
      <c r="Z667" s="94"/>
      <c r="AA667" s="94"/>
      <c r="AB667" s="94"/>
      <c r="AC667" s="94"/>
      <c r="AD667" s="94"/>
      <c r="AE667" s="94"/>
      <c r="AF667" s="94"/>
      <c r="AG667" s="94"/>
      <c r="AH667" s="94"/>
      <c r="AI667" s="94"/>
      <c r="AJ667" s="94"/>
      <c r="AK667" s="94"/>
      <c r="AL667" s="94"/>
    </row>
    <row r="668" hidden="1">
      <c r="A668" s="105" t="s">
        <v>1540</v>
      </c>
      <c r="B668" s="92" t="str">
        <f t="shared" si="494"/>
        <v>Pregunta</v>
      </c>
      <c r="C668" s="106" t="str">
        <f t="shared" si="9"/>
        <v>9. </v>
      </c>
      <c r="D668" s="106" t="str">
        <f t="shared" si="10"/>
        <v>Facilidad de acceso e independencia tecnológica</v>
      </c>
      <c r="E668" s="106" t="str">
        <f t="shared" si="11"/>
        <v>Condición del servicio digital que permite a las personas usuarias acceder a la información expedita y oportuna, independiente de la calidad o tipo de dispositivo a través del que se está conectando.</v>
      </c>
      <c r="F668" s="141" t="str">
        <f t="shared" si="3"/>
        <v>9.1</v>
      </c>
      <c r="G668" s="92" t="str">
        <f t="shared" si="4"/>
        <v>IMPRESCINDIBLES</v>
      </c>
      <c r="H668" s="141"/>
      <c r="I668" s="141" t="str">
        <f t="shared" si="5"/>
        <v>9.1.1</v>
      </c>
      <c r="J668" s="98" t="str">
        <f t="shared" si="6"/>
        <v>Prioridad de la web</v>
      </c>
      <c r="K668" s="98" t="str">
        <f t="shared" si="7"/>
        <v>Preferencia de la web como canal para el desarrollo y entrega de servicios digitales, aunque también esté disponible a través de la aplicación móvil.
</v>
      </c>
      <c r="L668" s="141" t="str">
        <f t="shared" ref="L668:N668" si="674">IF(I668="",L667,I668)</f>
        <v>9.1.1</v>
      </c>
      <c r="M668" s="98" t="str">
        <f t="shared" si="674"/>
        <v>Prioridad de la web</v>
      </c>
      <c r="N668" s="98" t="str">
        <f t="shared" si="674"/>
        <v>Preferencia de la web como canal para el desarrollo y entrega de servicios digitales, aunque también esté disponible a través de la aplicación móvil.
</v>
      </c>
      <c r="O668" s="262" t="s">
        <v>1123</v>
      </c>
      <c r="P668" s="143" t="s">
        <v>1657</v>
      </c>
      <c r="Q668" s="143" t="s">
        <v>1658</v>
      </c>
      <c r="R668" s="174"/>
      <c r="S668" s="143" t="s">
        <v>1659</v>
      </c>
      <c r="T668" s="164" t="s">
        <v>2033</v>
      </c>
      <c r="U668" s="94"/>
      <c r="V668" s="94"/>
      <c r="W668" s="94"/>
      <c r="X668" s="94"/>
      <c r="Y668" s="94"/>
      <c r="Z668" s="94"/>
      <c r="AA668" s="94"/>
      <c r="AB668" s="94"/>
      <c r="AC668" s="94"/>
      <c r="AD668" s="94"/>
      <c r="AE668" s="94"/>
      <c r="AF668" s="94"/>
      <c r="AG668" s="94"/>
      <c r="AH668" s="94"/>
      <c r="AI668" s="94"/>
      <c r="AJ668" s="94"/>
      <c r="AK668" s="94"/>
      <c r="AL668" s="94"/>
    </row>
    <row r="669" hidden="1">
      <c r="A669" s="105" t="s">
        <v>1540</v>
      </c>
      <c r="B669" s="92" t="str">
        <f t="shared" si="494"/>
        <v>Pregunta</v>
      </c>
      <c r="C669" s="106" t="str">
        <f t="shared" si="9"/>
        <v>9. </v>
      </c>
      <c r="D669" s="106" t="str">
        <f t="shared" si="10"/>
        <v>Facilidad de acceso e independencia tecnológica</v>
      </c>
      <c r="E669" s="106" t="str">
        <f t="shared" si="11"/>
        <v>Condición del servicio digital que permite a las personas usuarias acceder a la información expedita y oportuna, independiente de la calidad o tipo de dispositivo a través del que se está conectando.</v>
      </c>
      <c r="F669" s="141" t="str">
        <f t="shared" si="3"/>
        <v>9.1</v>
      </c>
      <c r="G669" s="92" t="str">
        <f t="shared" si="4"/>
        <v>IMPRESCINDIBLES</v>
      </c>
      <c r="H669" s="141"/>
      <c r="I669" s="141" t="str">
        <f t="shared" si="5"/>
        <v>9.1.2</v>
      </c>
      <c r="J669" s="98" t="str">
        <f t="shared" si="6"/>
        <v>Velocidad de acceso
</v>
      </c>
      <c r="K669" s="98" t="str">
        <f t="shared" si="7"/>
        <v>Rapidez con la que las personas usuarias pueden cargar y acceder al contenido de un servicio digital. Es un factor crítico en la experiencia del usuario y puede influir significativamente en la retención de visitantes, la tasa de rebote y el posicionamiento en los motores de búsqueda.
</v>
      </c>
      <c r="L669" s="141" t="str">
        <f t="shared" ref="L669:N669" si="675">IF(I669="",L668,I669)</f>
        <v>9.1.2</v>
      </c>
      <c r="M669" s="98" t="str">
        <f t="shared" si="675"/>
        <v>Velocidad de acceso
</v>
      </c>
      <c r="N669" s="98" t="str">
        <f t="shared" si="675"/>
        <v>Rapidez con la que las personas usuarias pueden cargar y acceder al contenido de un servicio digital. Es un factor crítico en la experiencia del usuario y puede influir significativamente en la retención de visitantes, la tasa de rebote y el posicionamiento en los motores de búsqueda.
</v>
      </c>
      <c r="O669" s="314" t="s">
        <v>1129</v>
      </c>
      <c r="P669" s="166" t="s">
        <v>1482</v>
      </c>
      <c r="Q669" s="166" t="s">
        <v>1660</v>
      </c>
      <c r="R669" s="211"/>
      <c r="S669" s="213" t="s">
        <v>2205</v>
      </c>
      <c r="T669" s="164" t="s">
        <v>2033</v>
      </c>
      <c r="U669" s="94"/>
      <c r="V669" s="94"/>
      <c r="W669" s="94"/>
      <c r="X669" s="94"/>
      <c r="Y669" s="94"/>
      <c r="Z669" s="94"/>
      <c r="AA669" s="94"/>
      <c r="AB669" s="94"/>
      <c r="AC669" s="94"/>
      <c r="AD669" s="94"/>
      <c r="AE669" s="94"/>
      <c r="AF669" s="94"/>
      <c r="AG669" s="94"/>
      <c r="AH669" s="94"/>
      <c r="AI669" s="94"/>
      <c r="AJ669" s="94"/>
      <c r="AK669" s="94"/>
      <c r="AL669" s="94"/>
    </row>
    <row r="670" hidden="1">
      <c r="A670" s="86" t="s">
        <v>1540</v>
      </c>
      <c r="B670" s="95" t="str">
        <f t="shared" si="494"/>
        <v>Pregunta</v>
      </c>
      <c r="C670" s="106" t="str">
        <f t="shared" si="9"/>
        <v>9. </v>
      </c>
      <c r="D670" s="106" t="str">
        <f t="shared" si="10"/>
        <v>Facilidad de acceso e independencia tecnológica</v>
      </c>
      <c r="E670" s="106" t="str">
        <f t="shared" si="11"/>
        <v>Condición del servicio digital que permite a las personas usuarias acceder a la información expedita y oportuna, independiente de la calidad o tipo de dispositivo a través del que se está conectando.</v>
      </c>
      <c r="F670" s="141" t="str">
        <f t="shared" si="3"/>
        <v>9.1</v>
      </c>
      <c r="G670" s="92" t="str">
        <f t="shared" si="4"/>
        <v>IMPRESCINDIBLES</v>
      </c>
      <c r="H670" s="141"/>
      <c r="I670" s="141" t="str">
        <f t="shared" si="5"/>
        <v>9.1.3</v>
      </c>
      <c r="J670" s="98" t="str">
        <f t="shared" si="6"/>
        <v>Compatibilidad retroactiva</v>
      </c>
      <c r="K670" s="98" t="str">
        <f t="shared" si="7"/>
        <v>Solidez del contenido para ser interpretado de manera confiable por una amplia variedad de navegadores. Es decir, que las personas usuarias sigan accediendo al contenido a medida que avanzan y evolucionan las tecnologías.</v>
      </c>
      <c r="L670" s="141" t="str">
        <f t="shared" ref="L670:N670" si="676">IF(I670="",L669,I670)</f>
        <v>9.1.3</v>
      </c>
      <c r="M670" s="98" t="str">
        <f t="shared" si="676"/>
        <v>Compatibilidad retroactiva</v>
      </c>
      <c r="N670" s="98" t="str">
        <f t="shared" si="676"/>
        <v>Solidez del contenido para ser interpretado de manera confiable por una amplia variedad de navegadores. Es decir, que las personas usuarias sigan accediendo al contenido a medida que avanzan y evolucionan las tecnologías.</v>
      </c>
      <c r="O670" s="315" t="s">
        <v>1133</v>
      </c>
      <c r="P670" s="153" t="s">
        <v>1499</v>
      </c>
      <c r="Q670" s="153" t="s">
        <v>1500</v>
      </c>
      <c r="R670" s="200"/>
      <c r="S670" s="153" t="s">
        <v>1662</v>
      </c>
      <c r="T670" s="164" t="s">
        <v>2033</v>
      </c>
      <c r="U670" s="94"/>
      <c r="V670" s="94"/>
      <c r="W670" s="94"/>
      <c r="X670" s="94"/>
      <c r="Y670" s="94"/>
      <c r="Z670" s="94"/>
      <c r="AA670" s="94"/>
      <c r="AB670" s="94"/>
      <c r="AC670" s="94"/>
      <c r="AD670" s="94"/>
      <c r="AE670" s="94"/>
      <c r="AF670" s="94"/>
      <c r="AG670" s="94"/>
      <c r="AH670" s="94"/>
      <c r="AI670" s="94"/>
      <c r="AJ670" s="94"/>
      <c r="AK670" s="94"/>
      <c r="AL670" s="94"/>
    </row>
    <row r="671" hidden="1">
      <c r="A671" s="86" t="s">
        <v>1540</v>
      </c>
      <c r="B671" s="95" t="str">
        <f t="shared" si="494"/>
        <v>Pregunta</v>
      </c>
      <c r="C671" s="106" t="str">
        <f t="shared" si="9"/>
        <v>9. </v>
      </c>
      <c r="D671" s="106" t="str">
        <f t="shared" si="10"/>
        <v>Facilidad de acceso e independencia tecnológica</v>
      </c>
      <c r="E671" s="106" t="str">
        <f t="shared" si="11"/>
        <v>Condición del servicio digital que permite a las personas usuarias acceder a la información expedita y oportuna, independiente de la calidad o tipo de dispositivo a través del que se está conectando.</v>
      </c>
      <c r="F671" s="141" t="str">
        <f t="shared" si="3"/>
        <v>9.1</v>
      </c>
      <c r="G671" s="92" t="str">
        <f t="shared" si="4"/>
        <v>IMPRESCINDIBLES</v>
      </c>
      <c r="H671" s="141"/>
      <c r="I671" s="141" t="str">
        <f t="shared" si="5"/>
        <v>9.1.4</v>
      </c>
      <c r="J671" s="98" t="str">
        <f t="shared" si="6"/>
        <v>Compatibilidad de navegadores
</v>
      </c>
      <c r="K671" s="98" t="str">
        <f t="shared" si="7"/>
        <v>Garantía de acceso y correcta visualización de los sitios web en los diversos navegadores de Internet.
</v>
      </c>
      <c r="L671" s="141" t="str">
        <f t="shared" ref="L671:N671" si="677">IF(I671="",L670,I671)</f>
        <v>9.1.4</v>
      </c>
      <c r="M671" s="98" t="str">
        <f t="shared" si="677"/>
        <v>Compatibilidad de navegadores
</v>
      </c>
      <c r="N671" s="98" t="str">
        <f t="shared" si="677"/>
        <v>Garantía de acceso y correcta visualización de los sitios web en los diversos navegadores de Internet.
</v>
      </c>
      <c r="O671" s="165" t="s">
        <v>1137</v>
      </c>
      <c r="P671" s="166" t="s">
        <v>1486</v>
      </c>
      <c r="Q671" s="166" t="s">
        <v>1487</v>
      </c>
      <c r="R671" s="211"/>
      <c r="S671" s="166" t="s">
        <v>1663</v>
      </c>
      <c r="T671" s="164" t="s">
        <v>2033</v>
      </c>
      <c r="U671" s="94"/>
      <c r="V671" s="94"/>
      <c r="W671" s="94"/>
      <c r="X671" s="94"/>
      <c r="Y671" s="94"/>
      <c r="Z671" s="94"/>
      <c r="AA671" s="94"/>
      <c r="AB671" s="94"/>
      <c r="AC671" s="94"/>
      <c r="AD671" s="94"/>
      <c r="AE671" s="94"/>
      <c r="AF671" s="94"/>
      <c r="AG671" s="94"/>
      <c r="AH671" s="94"/>
      <c r="AI671" s="94"/>
      <c r="AJ671" s="94"/>
      <c r="AK671" s="94"/>
      <c r="AL671" s="94"/>
    </row>
    <row r="672" hidden="1">
      <c r="A672" s="105" t="s">
        <v>1540</v>
      </c>
      <c r="B672" s="92" t="str">
        <f t="shared" si="494"/>
        <v>Pregunta</v>
      </c>
      <c r="C672" s="106" t="str">
        <f t="shared" si="9"/>
        <v>9. </v>
      </c>
      <c r="D672" s="106" t="str">
        <f t="shared" si="10"/>
        <v>Facilidad de acceso e independencia tecnológica</v>
      </c>
      <c r="E672" s="106" t="str">
        <f t="shared" si="11"/>
        <v>Condición del servicio digital que permite a las personas usuarias acceder a la información expedita y oportuna, independiente de la calidad o tipo de dispositivo a través del que se está conectando.</v>
      </c>
      <c r="F672" s="141" t="str">
        <f t="shared" si="3"/>
        <v>9.1</v>
      </c>
      <c r="G672" s="92" t="str">
        <f t="shared" si="4"/>
        <v>IMPRESCINDIBLES</v>
      </c>
      <c r="H672" s="141"/>
      <c r="I672" s="141" t="str">
        <f t="shared" si="5"/>
        <v>9.1.5</v>
      </c>
      <c r="J672" s="98" t="str">
        <f t="shared" si="6"/>
        <v>Accesibilidad técnica
</v>
      </c>
      <c r="K672" s="98" t="str">
        <f t="shared" si="7"/>
        <v>Capacidad de un sitio web para ser accesible y funcional en una amplia gama de dispositivos y tecnologías, sin importar las limitaciones técnicas o las preferencias de la persona usuaria. Esto implica que el sitio web debe ser diseñado y desarrollado de manera que pueda ser utilizado fácilmente por cualquier persona, independientemente del dispositivo que estén utilizando.
</v>
      </c>
      <c r="L672" s="141" t="str">
        <f t="shared" ref="L672:N672" si="678">IF(I672="",L671,I672)</f>
        <v>9.1.5</v>
      </c>
      <c r="M672" s="98" t="str">
        <f t="shared" si="678"/>
        <v>Accesibilidad técnica
</v>
      </c>
      <c r="N672" s="98" t="str">
        <f t="shared" si="678"/>
        <v>Capacidad de un sitio web para ser accesible y funcional en una amplia gama de dispositivos y tecnologías, sin importar las limitaciones técnicas o las preferencias de la persona usuaria. Esto implica que el sitio web debe ser diseñado y desarrollado de manera que pueda ser utilizado fácilmente por cualquier persona, independientemente del dispositivo que estén utilizando.
</v>
      </c>
      <c r="O672" s="314" t="s">
        <v>1141</v>
      </c>
      <c r="P672" s="166" t="s">
        <v>1664</v>
      </c>
      <c r="Q672" s="166" t="s">
        <v>1491</v>
      </c>
      <c r="R672" s="211"/>
      <c r="S672" s="166" t="s">
        <v>1665</v>
      </c>
      <c r="T672" s="164" t="s">
        <v>2033</v>
      </c>
      <c r="U672" s="94"/>
      <c r="V672" s="94"/>
      <c r="W672" s="94"/>
      <c r="X672" s="94"/>
      <c r="Y672" s="94"/>
      <c r="Z672" s="94"/>
      <c r="AA672" s="94"/>
      <c r="AB672" s="94"/>
      <c r="AC672" s="94"/>
      <c r="AD672" s="94"/>
      <c r="AE672" s="94"/>
      <c r="AF672" s="94"/>
      <c r="AG672" s="94"/>
      <c r="AH672" s="94"/>
      <c r="AI672" s="94"/>
      <c r="AJ672" s="94"/>
      <c r="AK672" s="94"/>
      <c r="AL672" s="94"/>
    </row>
    <row r="673" hidden="1">
      <c r="A673" s="105" t="s">
        <v>1540</v>
      </c>
      <c r="B673" s="92" t="str">
        <f t="shared" si="494"/>
        <v>Pregunta</v>
      </c>
      <c r="C673" s="106" t="str">
        <f t="shared" si="9"/>
        <v>9. </v>
      </c>
      <c r="D673" s="106" t="str">
        <f t="shared" si="10"/>
        <v>Facilidad de acceso e independencia tecnológica</v>
      </c>
      <c r="E673" s="106" t="str">
        <f t="shared" si="11"/>
        <v>Condición del servicio digital que permite a las personas usuarias acceder a la información expedita y oportuna, independiente de la calidad o tipo de dispositivo a través del que se está conectando.</v>
      </c>
      <c r="F673" s="141" t="str">
        <f t="shared" si="3"/>
        <v>9.1</v>
      </c>
      <c r="G673" s="92" t="str">
        <f t="shared" si="4"/>
        <v>IMPRESCINDIBLES</v>
      </c>
      <c r="H673" s="141"/>
      <c r="I673" s="141" t="str">
        <f t="shared" si="5"/>
        <v>9.1.6</v>
      </c>
      <c r="J673" s="98" t="str">
        <f t="shared" si="6"/>
        <v>Independencia de conectividad
</v>
      </c>
      <c r="K673" s="98" t="str">
        <f t="shared" si="7"/>
        <v>Grado de equidad con que el sitio web brinda acceso a la ciudadanía, independientemente de sus diversos dispositivos y la continuidad, la calidad de señal y la rapidez de su conexión a Internet.
</v>
      </c>
      <c r="L673" s="141" t="str">
        <f t="shared" ref="L673:N673" si="679">IF(I673="",L672,I673)</f>
        <v>9.1.6</v>
      </c>
      <c r="M673" s="98" t="str">
        <f t="shared" si="679"/>
        <v>Independencia de conectividad
</v>
      </c>
      <c r="N673" s="98" t="str">
        <f t="shared" si="679"/>
        <v>Grado de equidad con que el sitio web brinda acceso a la ciudadanía, independientemente de sus diversos dispositivos y la continuidad, la calidad de señal y la rapidez de su conexión a Internet.
</v>
      </c>
      <c r="O673" s="315" t="s">
        <v>1145</v>
      </c>
      <c r="P673" s="148" t="s">
        <v>1494</v>
      </c>
      <c r="Q673" s="148" t="s">
        <v>1666</v>
      </c>
      <c r="R673" s="158"/>
      <c r="S673" s="170" t="s">
        <v>1667</v>
      </c>
      <c r="T673" s="160" t="s">
        <v>2033</v>
      </c>
      <c r="U673" s="94"/>
      <c r="V673" s="94"/>
      <c r="W673" s="94"/>
      <c r="X673" s="94"/>
      <c r="Y673" s="94"/>
      <c r="Z673" s="94"/>
      <c r="AA673" s="94"/>
      <c r="AB673" s="94"/>
      <c r="AC673" s="94"/>
      <c r="AD673" s="94"/>
      <c r="AE673" s="94"/>
      <c r="AF673" s="94"/>
      <c r="AG673" s="94"/>
      <c r="AH673" s="94"/>
      <c r="AI673" s="94"/>
      <c r="AJ673" s="94"/>
      <c r="AK673" s="94"/>
      <c r="AL673" s="94"/>
    </row>
    <row r="674" hidden="1">
      <c r="A674" s="86" t="s">
        <v>1540</v>
      </c>
      <c r="B674" s="95" t="str">
        <f t="shared" si="494"/>
        <v>Pregunta</v>
      </c>
      <c r="C674" s="106" t="str">
        <f t="shared" si="9"/>
        <v>9. </v>
      </c>
      <c r="D674" s="106" t="str">
        <f t="shared" si="10"/>
        <v>Facilidad de acceso e independencia tecnológica</v>
      </c>
      <c r="E674" s="106" t="str">
        <f t="shared" si="11"/>
        <v>Condición del servicio digital que permite a las personas usuarias acceder a la información expedita y oportuna, independiente de la calidad o tipo de dispositivo a través del que se está conectando.</v>
      </c>
      <c r="F674" s="141" t="str">
        <f t="shared" si="3"/>
        <v>9.1</v>
      </c>
      <c r="G674" s="92" t="str">
        <f t="shared" si="4"/>
        <v>IMPRESCINDIBLES</v>
      </c>
      <c r="H674" s="141"/>
      <c r="I674" s="141" t="str">
        <f t="shared" si="5"/>
        <v/>
      </c>
      <c r="J674" s="98" t="str">
        <f t="shared" si="6"/>
        <v/>
      </c>
      <c r="K674" s="98" t="str">
        <f t="shared" si="7"/>
        <v/>
      </c>
      <c r="L674" s="141" t="str">
        <f t="shared" ref="L674:N674" si="680">IF(I674="",L673,I674)</f>
        <v>9.1.6</v>
      </c>
      <c r="M674" s="98" t="str">
        <f t="shared" si="680"/>
        <v>Independencia de conectividad
</v>
      </c>
      <c r="N674" s="98" t="str">
        <f t="shared" si="680"/>
        <v>Grado de equidad con que el sitio web brinda acceso a la ciudadanía, independientemente de sus diversos dispositivos y la continuidad, la calidad de señal y la rapidez de su conexión a Internet.
</v>
      </c>
      <c r="O674" s="142"/>
      <c r="P674" s="143"/>
      <c r="Q674" s="143"/>
      <c r="R674" s="168"/>
      <c r="S674" s="256" t="s">
        <v>2206</v>
      </c>
      <c r="T674" s="164" t="s">
        <v>2033</v>
      </c>
      <c r="U674" s="94"/>
      <c r="V674" s="94"/>
      <c r="W674" s="94"/>
      <c r="X674" s="94"/>
      <c r="Y674" s="94"/>
      <c r="Z674" s="94"/>
      <c r="AA674" s="94"/>
      <c r="AB674" s="94"/>
      <c r="AC674" s="94"/>
      <c r="AD674" s="94"/>
      <c r="AE674" s="94"/>
      <c r="AF674" s="94"/>
      <c r="AG674" s="94"/>
      <c r="AH674" s="94"/>
      <c r="AI674" s="94"/>
      <c r="AJ674" s="94"/>
      <c r="AK674" s="94"/>
      <c r="AL674" s="94"/>
    </row>
    <row r="675" hidden="1">
      <c r="A675" s="105" t="s">
        <v>1540</v>
      </c>
      <c r="B675" s="92" t="str">
        <f t="shared" si="494"/>
        <v>Pregunta</v>
      </c>
      <c r="C675" s="106" t="str">
        <f t="shared" si="9"/>
        <v>9. </v>
      </c>
      <c r="D675" s="106" t="str">
        <f t="shared" si="10"/>
        <v>Facilidad de acceso e independencia tecnológica</v>
      </c>
      <c r="E675" s="106" t="str">
        <f t="shared" si="11"/>
        <v>Condición del servicio digital que permite a las personas usuarias acceder a la información expedita y oportuna, independiente de la calidad o tipo de dispositivo a través del que se está conectando.</v>
      </c>
      <c r="F675" s="141" t="str">
        <f t="shared" si="3"/>
        <v>9.1</v>
      </c>
      <c r="G675" s="92" t="str">
        <f t="shared" si="4"/>
        <v>IMPRESCINDIBLES</v>
      </c>
      <c r="H675" s="141"/>
      <c r="I675" s="141" t="str">
        <f t="shared" si="5"/>
        <v>9.1.7</v>
      </c>
      <c r="J675" s="98" t="str">
        <f t="shared" si="6"/>
        <v>Uso del dominio principal</v>
      </c>
      <c r="K675" s="98" t="str">
        <f t="shared" si="7"/>
        <v>Utilización de directorios o subdominios hijos del dominio principal para los servicios digitales.
</v>
      </c>
      <c r="L675" s="141" t="str">
        <f t="shared" ref="L675:N675" si="681">IF(I675="",L674,I675)</f>
        <v>9.1.7</v>
      </c>
      <c r="M675" s="98" t="str">
        <f t="shared" si="681"/>
        <v>Uso del dominio principal</v>
      </c>
      <c r="N675" s="98" t="str">
        <f t="shared" si="681"/>
        <v>Utilización de directorios o subdominios hijos del dominio principal para los servicios digitales.
</v>
      </c>
      <c r="O675" s="152" t="s">
        <v>1149</v>
      </c>
      <c r="P675" s="153" t="s">
        <v>1669</v>
      </c>
      <c r="Q675" s="153" t="s">
        <v>1670</v>
      </c>
      <c r="R675" s="340"/>
      <c r="S675" s="341" t="s">
        <v>1671</v>
      </c>
      <c r="T675" s="164" t="s">
        <v>2033</v>
      </c>
      <c r="U675" s="94"/>
      <c r="V675" s="94"/>
      <c r="W675" s="94"/>
      <c r="X675" s="94"/>
      <c r="Y675" s="94"/>
      <c r="Z675" s="94"/>
      <c r="AA675" s="94"/>
      <c r="AB675" s="94"/>
      <c r="AC675" s="94"/>
      <c r="AD675" s="94"/>
      <c r="AE675" s="94"/>
      <c r="AF675" s="94"/>
      <c r="AG675" s="94"/>
      <c r="AH675" s="94"/>
      <c r="AI675" s="94"/>
      <c r="AJ675" s="94"/>
      <c r="AK675" s="94"/>
      <c r="AL675" s="94"/>
    </row>
    <row r="676" hidden="1">
      <c r="A676" s="86" t="s">
        <v>1540</v>
      </c>
      <c r="B676" s="201" t="str">
        <f t="shared" si="494"/>
        <v>Otro</v>
      </c>
      <c r="C676" s="106" t="str">
        <f t="shared" si="9"/>
        <v>10.</v>
      </c>
      <c r="D676" s="106" t="str">
        <f t="shared" si="10"/>
        <v>Arquitectura de información</v>
      </c>
      <c r="E676" s="106" t="str">
        <f t="shared" si="11"/>
        <v>Práctica de decidir cómo organizar y rotular de forma lógica el contenido y la navegación de un producto digital para que sea comprensible y que las personas usuarias localicen fácilmente lo que buscan.</v>
      </c>
      <c r="F676" s="141" t="str">
        <f t="shared" si="3"/>
        <v>9.1</v>
      </c>
      <c r="G676" s="92" t="str">
        <f t="shared" si="4"/>
        <v>IMPRESCINDIBLES</v>
      </c>
      <c r="H676" s="107"/>
      <c r="I676" s="107" t="str">
        <f t="shared" si="5"/>
        <v/>
      </c>
      <c r="J676" s="98" t="str">
        <f t="shared" si="6"/>
        <v/>
      </c>
      <c r="K676" s="98" t="str">
        <f t="shared" si="7"/>
        <v/>
      </c>
      <c r="L676" s="141" t="str">
        <f t="shared" ref="L676:N676" si="682">IF(I676="",L675,I676)</f>
        <v>9.1.7</v>
      </c>
      <c r="M676" s="98" t="str">
        <f t="shared" si="682"/>
        <v>Uso del dominio principal</v>
      </c>
      <c r="N676" s="98" t="str">
        <f t="shared" si="682"/>
        <v>Utilización de directorios o subdominios hijos del dominio principal para los servicios digitales.
</v>
      </c>
      <c r="O676" s="220" t="s">
        <v>37</v>
      </c>
      <c r="P676" s="112" t="s">
        <v>26</v>
      </c>
      <c r="Q676" s="113"/>
      <c r="R676" s="114"/>
      <c r="S676" s="115" t="s">
        <v>899</v>
      </c>
      <c r="T676" s="116" t="s">
        <v>2161</v>
      </c>
      <c r="U676" s="94"/>
      <c r="V676" s="94"/>
      <c r="W676" s="94"/>
      <c r="X676" s="94"/>
      <c r="Y676" s="94"/>
      <c r="Z676" s="94"/>
      <c r="AA676" s="94"/>
      <c r="AB676" s="94"/>
      <c r="AC676" s="94"/>
      <c r="AD676" s="94"/>
      <c r="AE676" s="94"/>
      <c r="AF676" s="94"/>
      <c r="AG676" s="94"/>
      <c r="AH676" s="94"/>
      <c r="AI676" s="94"/>
      <c r="AJ676" s="94"/>
      <c r="AK676" s="94"/>
      <c r="AL676" s="94"/>
    </row>
    <row r="677" hidden="1">
      <c r="A677" s="86" t="s">
        <v>1540</v>
      </c>
      <c r="B677" s="201" t="str">
        <f t="shared" si="494"/>
        <v>Otro</v>
      </c>
      <c r="C677" s="106" t="str">
        <f t="shared" si="9"/>
        <v>10.</v>
      </c>
      <c r="D677" s="106" t="str">
        <f t="shared" si="10"/>
        <v>Arquitectura de información</v>
      </c>
      <c r="E677" s="106" t="str">
        <f t="shared" si="11"/>
        <v>Práctica de decidir cómo organizar y rotular de forma lógica el contenido y la navegación de un producto digital para que sea comprensible y que las personas usuarias localicen fácilmente lo que buscan.</v>
      </c>
      <c r="F677" s="141" t="str">
        <f t="shared" si="3"/>
        <v>9.1</v>
      </c>
      <c r="G677" s="92" t="str">
        <f t="shared" si="4"/>
        <v>IMPRESCINDIBLES</v>
      </c>
      <c r="H677" s="107"/>
      <c r="I677" s="107" t="str">
        <f t="shared" si="5"/>
        <v/>
      </c>
      <c r="J677" s="98" t="str">
        <f t="shared" si="6"/>
        <v/>
      </c>
      <c r="K677" s="98" t="str">
        <f t="shared" si="7"/>
        <v/>
      </c>
      <c r="L677" s="141" t="str">
        <f t="shared" ref="L677:N677" si="683">IF(I677="",L676,I677)</f>
        <v>9.1.7</v>
      </c>
      <c r="M677" s="98" t="str">
        <f t="shared" si="683"/>
        <v>Uso del dominio principal</v>
      </c>
      <c r="N677" s="98" t="str">
        <f t="shared" si="683"/>
        <v>Utilización de directorios o subdominios hijos del dominio principal para los servicios digitales.
</v>
      </c>
      <c r="O677" s="221"/>
      <c r="P677" s="118"/>
      <c r="Q677" s="119"/>
      <c r="R677" s="114"/>
      <c r="S677" s="239"/>
      <c r="T677" s="116" t="s">
        <v>19</v>
      </c>
      <c r="U677" s="94"/>
      <c r="V677" s="94"/>
      <c r="W677" s="94"/>
      <c r="X677" s="94"/>
      <c r="Y677" s="94"/>
      <c r="Z677" s="94"/>
      <c r="AA677" s="94"/>
      <c r="AB677" s="94"/>
      <c r="AC677" s="94"/>
      <c r="AD677" s="94"/>
      <c r="AE677" s="94"/>
      <c r="AF677" s="94"/>
      <c r="AG677" s="94"/>
      <c r="AH677" s="94"/>
      <c r="AI677" s="94"/>
      <c r="AJ677" s="94"/>
      <c r="AK677" s="94"/>
      <c r="AL677" s="94"/>
    </row>
    <row r="678" hidden="1">
      <c r="A678" s="86" t="s">
        <v>1540</v>
      </c>
      <c r="B678" s="201" t="str">
        <f t="shared" si="494"/>
        <v>Otro</v>
      </c>
      <c r="C678" s="106" t="str">
        <f t="shared" si="9"/>
        <v>10.</v>
      </c>
      <c r="D678" s="106" t="str">
        <f t="shared" si="10"/>
        <v>Arquitectura de información</v>
      </c>
      <c r="E678" s="106" t="str">
        <f t="shared" si="11"/>
        <v>Práctica de decidir cómo organizar y rotular de forma lógica el contenido y la navegación de un producto digital para que sea comprensible y que las personas usuarias localicen fácilmente lo que buscan.</v>
      </c>
      <c r="F678" s="141" t="str">
        <f t="shared" si="3"/>
        <v>9.1</v>
      </c>
      <c r="G678" s="92" t="str">
        <f t="shared" si="4"/>
        <v>IMPRESCINDIBLES</v>
      </c>
      <c r="H678" s="107"/>
      <c r="I678" s="107" t="str">
        <f t="shared" si="5"/>
        <v/>
      </c>
      <c r="J678" s="98" t="str">
        <f t="shared" si="6"/>
        <v/>
      </c>
      <c r="K678" s="98" t="str">
        <f t="shared" si="7"/>
        <v/>
      </c>
      <c r="L678" s="141" t="str">
        <f t="shared" ref="L678:N678" si="684">IF(I678="",L677,I678)</f>
        <v>9.1.7</v>
      </c>
      <c r="M678" s="98" t="str">
        <f t="shared" si="684"/>
        <v>Uso del dominio principal</v>
      </c>
      <c r="N678" s="98" t="str">
        <f t="shared" si="684"/>
        <v>Utilización de directorios o subdominios hijos del dominio principal para los servicios digitales.
</v>
      </c>
      <c r="O678" s="222"/>
      <c r="P678" s="122"/>
      <c r="Q678" s="123"/>
      <c r="R678" s="114"/>
      <c r="S678" s="240"/>
      <c r="T678" s="303"/>
      <c r="U678" s="94"/>
      <c r="V678" s="94"/>
      <c r="W678" s="94"/>
      <c r="X678" s="94"/>
      <c r="Y678" s="94"/>
      <c r="Z678" s="94"/>
      <c r="AA678" s="94"/>
      <c r="AB678" s="94"/>
      <c r="AC678" s="94"/>
      <c r="AD678" s="94"/>
      <c r="AE678" s="94"/>
      <c r="AF678" s="94"/>
      <c r="AG678" s="94"/>
      <c r="AH678" s="94"/>
      <c r="AI678" s="94"/>
      <c r="AJ678" s="94"/>
      <c r="AK678" s="94"/>
      <c r="AL678" s="94"/>
    </row>
    <row r="679" hidden="1">
      <c r="A679" s="86" t="s">
        <v>1540</v>
      </c>
      <c r="B679" s="201" t="str">
        <f t="shared" si="494"/>
        <v>Otro</v>
      </c>
      <c r="C679" s="106" t="str">
        <f t="shared" si="9"/>
        <v>10.</v>
      </c>
      <c r="D679" s="106" t="str">
        <f t="shared" si="10"/>
        <v>Arquitectura de información</v>
      </c>
      <c r="E679" s="106" t="str">
        <f t="shared" si="11"/>
        <v>Práctica de decidir cómo organizar y rotular de forma lógica el contenido y la navegación de un producto digital para que sea comprensible y que las personas usuarias localicen fácilmente lo que buscan.</v>
      </c>
      <c r="F679" s="141" t="str">
        <f t="shared" si="3"/>
        <v>9.1</v>
      </c>
      <c r="G679" s="92" t="str">
        <f t="shared" si="4"/>
        <v>IMPRESCINDIBLES</v>
      </c>
      <c r="H679" s="96"/>
      <c r="I679" s="96" t="str">
        <f t="shared" si="5"/>
        <v/>
      </c>
      <c r="J679" s="98" t="str">
        <f t="shared" si="6"/>
        <v/>
      </c>
      <c r="K679" s="98" t="str">
        <f t="shared" si="7"/>
        <v/>
      </c>
      <c r="L679" s="141" t="str">
        <f t="shared" ref="L679:N679" si="685">IF(I679="",L678,I679)</f>
        <v>9.1.7</v>
      </c>
      <c r="M679" s="98" t="str">
        <f t="shared" si="685"/>
        <v>Uso del dominio principal</v>
      </c>
      <c r="N679" s="98" t="str">
        <f t="shared" si="685"/>
        <v>Utilización de directorios o subdominios hijos del dominio principal para los servicios digitales.
</v>
      </c>
      <c r="O679" s="104"/>
      <c r="P679" s="114"/>
      <c r="Q679" s="114"/>
      <c r="R679" s="127"/>
      <c r="S679" s="127"/>
      <c r="T679" s="127"/>
      <c r="U679" s="94"/>
      <c r="V679" s="94"/>
      <c r="W679" s="94"/>
      <c r="X679" s="94"/>
      <c r="Y679" s="94"/>
      <c r="Z679" s="94"/>
      <c r="AA679" s="94"/>
      <c r="AB679" s="94"/>
      <c r="AC679" s="94"/>
      <c r="AD679" s="94"/>
      <c r="AE679" s="94"/>
      <c r="AF679" s="94"/>
      <c r="AG679" s="94"/>
      <c r="AH679" s="94"/>
      <c r="AI679" s="94"/>
      <c r="AJ679" s="94"/>
      <c r="AK679" s="94"/>
      <c r="AL679" s="94"/>
    </row>
    <row r="680" hidden="1">
      <c r="A680" s="86" t="s">
        <v>1540</v>
      </c>
      <c r="B680" s="95" t="str">
        <f t="shared" si="494"/>
        <v>Otro</v>
      </c>
      <c r="C680" s="106" t="str">
        <f t="shared" si="9"/>
        <v>10.</v>
      </c>
      <c r="D680" s="106" t="str">
        <f t="shared" si="10"/>
        <v>Arquitectura de información</v>
      </c>
      <c r="E680" s="106" t="str">
        <f t="shared" si="11"/>
        <v>Práctica de decidir cómo organizar y rotular de forma lógica el contenido y la navegación de un producto digital para que sea comprensible y que las personas usuarias localicen fácilmente lo que buscan.</v>
      </c>
      <c r="F680" s="141" t="str">
        <f t="shared" si="3"/>
        <v>9.1</v>
      </c>
      <c r="G680" s="92" t="str">
        <f t="shared" si="4"/>
        <v>IMPRESCINDIBLES</v>
      </c>
      <c r="H680" s="128"/>
      <c r="I680" s="128" t="str">
        <f t="shared" si="5"/>
        <v/>
      </c>
      <c r="J680" s="98" t="str">
        <f t="shared" si="6"/>
        <v/>
      </c>
      <c r="K680" s="98" t="str">
        <f t="shared" si="7"/>
        <v/>
      </c>
      <c r="L680" s="141" t="str">
        <f t="shared" ref="L680:N680" si="686">IF(I680="",L679,I680)</f>
        <v>9.1.7</v>
      </c>
      <c r="M680" s="98" t="str">
        <f t="shared" si="686"/>
        <v>Uso del dominio principal</v>
      </c>
      <c r="N680" s="98" t="str">
        <f t="shared" si="686"/>
        <v>Utilización de directorios o subdominios hijos del dominio principal para los servicios digitales.
</v>
      </c>
      <c r="O680" s="223" t="s">
        <v>1822</v>
      </c>
      <c r="P680" s="133" t="s">
        <v>1823</v>
      </c>
      <c r="Q680" s="133" t="s">
        <v>2031</v>
      </c>
      <c r="R680" s="134"/>
      <c r="S680" s="133" t="s">
        <v>1824</v>
      </c>
      <c r="T680" s="133" t="s">
        <v>1825</v>
      </c>
      <c r="U680" s="94"/>
      <c r="V680" s="94"/>
      <c r="W680" s="94"/>
      <c r="X680" s="94"/>
      <c r="Y680" s="94"/>
      <c r="Z680" s="94"/>
      <c r="AA680" s="94"/>
      <c r="AB680" s="94"/>
      <c r="AC680" s="94"/>
      <c r="AD680" s="94"/>
      <c r="AE680" s="94"/>
      <c r="AF680" s="94"/>
      <c r="AG680" s="94"/>
      <c r="AH680" s="94"/>
      <c r="AI680" s="94"/>
      <c r="AJ680" s="94"/>
      <c r="AK680" s="94"/>
      <c r="AL680" s="94"/>
    </row>
    <row r="681" hidden="1">
      <c r="A681" s="86" t="s">
        <v>1540</v>
      </c>
      <c r="B681" s="95" t="str">
        <f t="shared" si="494"/>
        <v>Otro</v>
      </c>
      <c r="C681" s="106" t="str">
        <f t="shared" si="9"/>
        <v>10.</v>
      </c>
      <c r="D681" s="106" t="str">
        <f t="shared" si="10"/>
        <v>Arquitectura de información</v>
      </c>
      <c r="E681" s="106" t="str">
        <f t="shared" si="11"/>
        <v>Práctica de decidir cómo organizar y rotular de forma lógica el contenido y la navegación de un producto digital para que sea comprensible y que las personas usuarias localicen fácilmente lo que buscan.</v>
      </c>
      <c r="F681" s="141" t="str">
        <f t="shared" si="3"/>
        <v>10.1</v>
      </c>
      <c r="G681" s="92" t="str">
        <f t="shared" si="4"/>
        <v>IMPRESCINDIBLES</v>
      </c>
      <c r="H681" s="141"/>
      <c r="I681" s="141" t="str">
        <f t="shared" si="5"/>
        <v/>
      </c>
      <c r="J681" s="98" t="str">
        <f t="shared" si="6"/>
        <v/>
      </c>
      <c r="K681" s="98" t="str">
        <f t="shared" si="7"/>
        <v/>
      </c>
      <c r="L681" s="141" t="str">
        <f t="shared" ref="L681:N681" si="687">IF(I681="",L680,I681)</f>
        <v>9.1.7</v>
      </c>
      <c r="M681" s="98" t="str">
        <f t="shared" si="687"/>
        <v>Uso del dominio principal</v>
      </c>
      <c r="N681" s="98" t="str">
        <f t="shared" si="687"/>
        <v>Utilización de directorios o subdominios hijos del dominio principal para los servicios digitales.
</v>
      </c>
      <c r="O681" s="258" t="s">
        <v>1184</v>
      </c>
      <c r="P681" s="137" t="s">
        <v>664</v>
      </c>
      <c r="Q681" s="138"/>
      <c r="R681" s="138"/>
      <c r="S681" s="139">
        <f>COUNTA(P682:P690)</f>
        <v>5</v>
      </c>
      <c r="T681" s="140">
        <f>COUNTIF(U682:U690,"n/a")</f>
        <v>0</v>
      </c>
      <c r="U681" s="94"/>
      <c r="V681" s="94"/>
      <c r="W681" s="94"/>
      <c r="X681" s="94"/>
      <c r="Y681" s="94"/>
      <c r="Z681" s="94"/>
      <c r="AA681" s="94"/>
      <c r="AB681" s="94"/>
      <c r="AC681" s="94"/>
      <c r="AD681" s="94"/>
      <c r="AE681" s="94"/>
      <c r="AF681" s="94"/>
      <c r="AG681" s="94"/>
      <c r="AH681" s="94"/>
      <c r="AI681" s="94"/>
      <c r="AJ681" s="94"/>
      <c r="AK681" s="94"/>
      <c r="AL681" s="94"/>
    </row>
    <row r="682" hidden="1">
      <c r="A682" s="105" t="s">
        <v>1540</v>
      </c>
      <c r="B682" s="92" t="str">
        <f t="shared" si="494"/>
        <v>Pregunta</v>
      </c>
      <c r="C682" s="106" t="str">
        <f t="shared" si="9"/>
        <v>10.</v>
      </c>
      <c r="D682" s="106" t="str">
        <f t="shared" si="10"/>
        <v>Arquitectura de información</v>
      </c>
      <c r="E682" s="106" t="str">
        <f t="shared" si="11"/>
        <v>Práctica de decidir cómo organizar y rotular de forma lógica el contenido y la navegación de un producto digital para que sea comprensible y que las personas usuarias localicen fácilmente lo que buscan.</v>
      </c>
      <c r="F682" s="141" t="str">
        <f t="shared" si="3"/>
        <v>10.1</v>
      </c>
      <c r="G682" s="92" t="str">
        <f t="shared" si="4"/>
        <v>IMPRESCINDIBLES</v>
      </c>
      <c r="H682" s="141"/>
      <c r="I682" s="141" t="str">
        <f t="shared" si="5"/>
        <v>10.1.1</v>
      </c>
      <c r="J682" s="98" t="str">
        <f t="shared" si="6"/>
        <v>Similitud de criterio de organización</v>
      </c>
      <c r="K682" s="98" t="str">
        <f t="shared" si="7"/>
        <v>Organización de los contenidos según el criterio más adecuado para el contexto, nivel cultural, hábitos informacionales y estructuras mentales de su público objetivo.
</v>
      </c>
      <c r="L682" s="141" t="str">
        <f t="shared" ref="L682:N682" si="688">IF(I682="",L681,I682)</f>
        <v>10.1.1</v>
      </c>
      <c r="M682" s="98" t="str">
        <f t="shared" si="688"/>
        <v>Similitud de criterio de organización</v>
      </c>
      <c r="N682" s="98" t="str">
        <f t="shared" si="688"/>
        <v>Organización de los contenidos según el criterio más adecuado para el contexto, nivel cultural, hábitos informacionales y estructuras mentales de su público objetivo.
</v>
      </c>
      <c r="O682" s="214" t="s">
        <v>1185</v>
      </c>
      <c r="P682" s="169" t="s">
        <v>902</v>
      </c>
      <c r="Q682" s="169" t="s">
        <v>903</v>
      </c>
      <c r="R682" s="168"/>
      <c r="S682" s="169" t="s">
        <v>1672</v>
      </c>
      <c r="T682" s="164" t="s">
        <v>2033</v>
      </c>
      <c r="U682" s="94"/>
      <c r="V682" s="94"/>
      <c r="W682" s="94"/>
      <c r="X682" s="94"/>
      <c r="Y682" s="94"/>
      <c r="Z682" s="94"/>
      <c r="AA682" s="94"/>
      <c r="AB682" s="94"/>
      <c r="AC682" s="94"/>
      <c r="AD682" s="94"/>
      <c r="AE682" s="94"/>
      <c r="AF682" s="94"/>
      <c r="AG682" s="94"/>
      <c r="AH682" s="94"/>
      <c r="AI682" s="94"/>
      <c r="AJ682" s="94"/>
      <c r="AK682" s="94"/>
      <c r="AL682" s="94"/>
    </row>
    <row r="683" hidden="1">
      <c r="A683" s="105" t="s">
        <v>1540</v>
      </c>
      <c r="B683" s="92" t="str">
        <f t="shared" si="494"/>
        <v>Pregunta</v>
      </c>
      <c r="C683" s="106" t="str">
        <f t="shared" si="9"/>
        <v>10.</v>
      </c>
      <c r="D683" s="106" t="str">
        <f t="shared" si="10"/>
        <v>Arquitectura de información</v>
      </c>
      <c r="E683" s="106" t="str">
        <f t="shared" si="11"/>
        <v>Práctica de decidir cómo organizar y rotular de forma lógica el contenido y la navegación de un producto digital para que sea comprensible y que las personas usuarias localicen fácilmente lo que buscan.</v>
      </c>
      <c r="F683" s="141" t="str">
        <f t="shared" si="3"/>
        <v>10.1</v>
      </c>
      <c r="G683" s="92" t="str">
        <f t="shared" si="4"/>
        <v>IMPRESCINDIBLES</v>
      </c>
      <c r="H683" s="141"/>
      <c r="I683" s="141" t="str">
        <f t="shared" si="5"/>
        <v>10.1.2</v>
      </c>
      <c r="J683" s="98" t="str">
        <f t="shared" si="6"/>
        <v>Jerarquización de la portada</v>
      </c>
      <c r="K683" s="98" t="str">
        <f t="shared" si="7"/>
        <v>Consonancia entre la distribución de las secciones de la página de inicio y las necesidades de las personas usuarias.
</v>
      </c>
      <c r="L683" s="141" t="str">
        <f t="shared" ref="L683:N683" si="689">IF(I683="",L682,I683)</f>
        <v>10.1.2</v>
      </c>
      <c r="M683" s="98" t="str">
        <f t="shared" si="689"/>
        <v>Jerarquización de la portada</v>
      </c>
      <c r="N683" s="98" t="str">
        <f t="shared" si="689"/>
        <v>Consonancia entre la distribución de las secciones de la página de inicio y las necesidades de las personas usuarias.
</v>
      </c>
      <c r="O683" s="225" t="s">
        <v>1190</v>
      </c>
      <c r="P683" s="148" t="s">
        <v>906</v>
      </c>
      <c r="Q683" s="148" t="s">
        <v>907</v>
      </c>
      <c r="R683" s="158"/>
      <c r="S683" s="170" t="s">
        <v>2207</v>
      </c>
      <c r="T683" s="160" t="s">
        <v>2033</v>
      </c>
      <c r="U683" s="94"/>
      <c r="V683" s="94"/>
      <c r="W683" s="94"/>
      <c r="X683" s="94"/>
      <c r="Y683" s="94"/>
      <c r="Z683" s="94"/>
      <c r="AA683" s="94"/>
      <c r="AB683" s="94"/>
      <c r="AC683" s="94"/>
      <c r="AD683" s="94"/>
      <c r="AE683" s="94"/>
      <c r="AF683" s="94"/>
      <c r="AG683" s="94"/>
      <c r="AH683" s="94"/>
      <c r="AI683" s="94"/>
      <c r="AJ683" s="94"/>
      <c r="AK683" s="94"/>
      <c r="AL683" s="94"/>
    </row>
    <row r="684" hidden="1">
      <c r="A684" s="86" t="s">
        <v>1540</v>
      </c>
      <c r="B684" s="95" t="str">
        <f t="shared" si="494"/>
        <v>Pregunta</v>
      </c>
      <c r="C684" s="106" t="str">
        <f t="shared" si="9"/>
        <v>10.</v>
      </c>
      <c r="D684" s="106" t="str">
        <f t="shared" si="10"/>
        <v>Arquitectura de información</v>
      </c>
      <c r="E684" s="106" t="str">
        <f t="shared" si="11"/>
        <v>Práctica de decidir cómo organizar y rotular de forma lógica el contenido y la navegación de un producto digital para que sea comprensible y que las personas usuarias localicen fácilmente lo que buscan.</v>
      </c>
      <c r="F684" s="141" t="str">
        <f t="shared" si="3"/>
        <v>10.1</v>
      </c>
      <c r="G684" s="92" t="str">
        <f t="shared" si="4"/>
        <v>IMPRESCINDIBLES</v>
      </c>
      <c r="H684" s="141"/>
      <c r="I684" s="141" t="str">
        <f t="shared" si="5"/>
        <v/>
      </c>
      <c r="J684" s="98" t="str">
        <f t="shared" si="6"/>
        <v/>
      </c>
      <c r="K684" s="98" t="str">
        <f t="shared" si="7"/>
        <v/>
      </c>
      <c r="L684" s="141" t="str">
        <f t="shared" ref="L684:N684" si="690">IF(I684="",L683,I684)</f>
        <v>10.1.2</v>
      </c>
      <c r="M684" s="98" t="str">
        <f t="shared" si="690"/>
        <v>Jerarquización de la portada</v>
      </c>
      <c r="N684" s="98" t="str">
        <f t="shared" si="690"/>
        <v>Consonancia entre la distribución de las secciones de la página de inicio y las necesidades de las personas usuarias.
</v>
      </c>
      <c r="O684" s="231"/>
      <c r="P684" s="143"/>
      <c r="Q684" s="143"/>
      <c r="R684" s="168"/>
      <c r="S684" s="169" t="s">
        <v>910</v>
      </c>
      <c r="T684" s="164" t="s">
        <v>2033</v>
      </c>
      <c r="U684" s="94"/>
      <c r="V684" s="94"/>
      <c r="W684" s="94"/>
      <c r="X684" s="94"/>
      <c r="Y684" s="94"/>
      <c r="Z684" s="94"/>
      <c r="AA684" s="94"/>
      <c r="AB684" s="94"/>
      <c r="AC684" s="94"/>
      <c r="AD684" s="94"/>
      <c r="AE684" s="94"/>
      <c r="AF684" s="94"/>
      <c r="AG684" s="94"/>
      <c r="AH684" s="94"/>
      <c r="AI684" s="94"/>
      <c r="AJ684" s="94"/>
      <c r="AK684" s="94"/>
      <c r="AL684" s="94"/>
    </row>
    <row r="685" hidden="1">
      <c r="A685" s="105" t="s">
        <v>1540</v>
      </c>
      <c r="B685" s="92" t="str">
        <f t="shared" si="494"/>
        <v>Pregunta</v>
      </c>
      <c r="C685" s="106" t="str">
        <f t="shared" si="9"/>
        <v>10.</v>
      </c>
      <c r="D685" s="106" t="str">
        <f t="shared" si="10"/>
        <v>Arquitectura de información</v>
      </c>
      <c r="E685" s="106" t="str">
        <f t="shared" si="11"/>
        <v>Práctica de decidir cómo organizar y rotular de forma lógica el contenido y la navegación de un producto digital para que sea comprensible y que las personas usuarias localicen fácilmente lo que buscan.</v>
      </c>
      <c r="F685" s="141" t="str">
        <f t="shared" si="3"/>
        <v>10.1</v>
      </c>
      <c r="G685" s="92" t="str">
        <f t="shared" si="4"/>
        <v>IMPRESCINDIBLES</v>
      </c>
      <c r="H685" s="141"/>
      <c r="I685" s="141" t="str">
        <f t="shared" si="5"/>
        <v>10.1.3</v>
      </c>
      <c r="J685" s="98" t="str">
        <f t="shared" si="6"/>
        <v>Consistencia del rotulado</v>
      </c>
      <c r="K685" s="98" t="str">
        <f t="shared" si="7"/>
        <v>Coherencia en el uso y estilo de las etiquetas en todo el sitio.
</v>
      </c>
      <c r="L685" s="141" t="str">
        <f t="shared" ref="L685:N685" si="691">IF(I685="",L684,I685)</f>
        <v>10.1.3</v>
      </c>
      <c r="M685" s="98" t="str">
        <f t="shared" si="691"/>
        <v>Consistencia del rotulado</v>
      </c>
      <c r="N685" s="98" t="str">
        <f t="shared" si="691"/>
        <v>Coherencia en el uso y estilo de las etiquetas en todo el sitio.
</v>
      </c>
      <c r="O685" s="225" t="s">
        <v>1674</v>
      </c>
      <c r="P685" s="166" t="s">
        <v>913</v>
      </c>
      <c r="Q685" s="166" t="s">
        <v>914</v>
      </c>
      <c r="R685" s="211"/>
      <c r="S685" s="166" t="s">
        <v>1675</v>
      </c>
      <c r="T685" s="164" t="s">
        <v>2033</v>
      </c>
      <c r="U685" s="94"/>
      <c r="V685" s="94"/>
      <c r="W685" s="94"/>
      <c r="X685" s="94"/>
      <c r="Y685" s="94"/>
      <c r="Z685" s="94"/>
      <c r="AA685" s="94"/>
      <c r="AB685" s="94"/>
      <c r="AC685" s="94"/>
      <c r="AD685" s="94"/>
      <c r="AE685" s="94"/>
      <c r="AF685" s="94"/>
      <c r="AG685" s="94"/>
      <c r="AH685" s="94"/>
      <c r="AI685" s="94"/>
      <c r="AJ685" s="94"/>
      <c r="AK685" s="94"/>
      <c r="AL685" s="94"/>
    </row>
    <row r="686" hidden="1">
      <c r="A686" s="105" t="s">
        <v>1540</v>
      </c>
      <c r="B686" s="92" t="str">
        <f t="shared" si="494"/>
        <v>Pregunta</v>
      </c>
      <c r="C686" s="106" t="str">
        <f t="shared" si="9"/>
        <v>10.</v>
      </c>
      <c r="D686" s="106" t="str">
        <f t="shared" si="10"/>
        <v>Arquitectura de información</v>
      </c>
      <c r="E686" s="106" t="str">
        <f t="shared" si="11"/>
        <v>Práctica de decidir cómo organizar y rotular de forma lógica el contenido y la navegación de un producto digital para que sea comprensible y que las personas usuarias localicen fácilmente lo que buscan.</v>
      </c>
      <c r="F686" s="141" t="str">
        <f t="shared" si="3"/>
        <v>10.1</v>
      </c>
      <c r="G686" s="92" t="str">
        <f t="shared" si="4"/>
        <v>IMPRESCINDIBLES</v>
      </c>
      <c r="H686" s="141"/>
      <c r="I686" s="141" t="str">
        <f t="shared" si="5"/>
        <v>10.1.4</v>
      </c>
      <c r="J686" s="98" t="str">
        <f t="shared" si="6"/>
        <v>Claridad del rotulado</v>
      </c>
      <c r="K686" s="98" t="str">
        <f t="shared" si="7"/>
        <v>Facilidad de comprensión de las etiquetas del menú.</v>
      </c>
      <c r="L686" s="141" t="str">
        <f t="shared" ref="L686:N686" si="692">IF(I686="",L685,I686)</f>
        <v>10.1.4</v>
      </c>
      <c r="M686" s="98" t="str">
        <f t="shared" si="692"/>
        <v>Claridad del rotulado</v>
      </c>
      <c r="N686" s="98" t="str">
        <f t="shared" si="692"/>
        <v>Facilidad de comprensión de las etiquetas del menú.</v>
      </c>
      <c r="O686" s="165" t="s">
        <v>1676</v>
      </c>
      <c r="P686" s="166" t="s">
        <v>917</v>
      </c>
      <c r="Q686" s="166" t="s">
        <v>918</v>
      </c>
      <c r="R686" s="211"/>
      <c r="S686" s="166" t="s">
        <v>1677</v>
      </c>
      <c r="T686" s="164" t="s">
        <v>2033</v>
      </c>
      <c r="U686" s="94"/>
      <c r="V686" s="94"/>
      <c r="W686" s="94"/>
      <c r="X686" s="94"/>
      <c r="Y686" s="94"/>
      <c r="Z686" s="94"/>
      <c r="AA686" s="94"/>
      <c r="AB686" s="94"/>
      <c r="AC686" s="94"/>
      <c r="AD686" s="94"/>
      <c r="AE686" s="94"/>
      <c r="AF686" s="94"/>
      <c r="AG686" s="94"/>
      <c r="AH686" s="94"/>
      <c r="AI686" s="94"/>
      <c r="AJ686" s="94"/>
      <c r="AK686" s="94"/>
      <c r="AL686" s="94"/>
    </row>
    <row r="687" hidden="1">
      <c r="A687" s="105" t="s">
        <v>1540</v>
      </c>
      <c r="B687" s="92" t="str">
        <f t="shared" si="494"/>
        <v>Pregunta</v>
      </c>
      <c r="C687" s="106" t="str">
        <f t="shared" si="9"/>
        <v>10.</v>
      </c>
      <c r="D687" s="106" t="str">
        <f t="shared" si="10"/>
        <v>Arquitectura de información</v>
      </c>
      <c r="E687" s="106" t="str">
        <f t="shared" si="11"/>
        <v>Práctica de decidir cómo organizar y rotular de forma lógica el contenido y la navegación de un producto digital para que sea comprensible y que las personas usuarias localicen fácilmente lo que buscan.</v>
      </c>
      <c r="F687" s="141" t="str">
        <f t="shared" si="3"/>
        <v>10.1</v>
      </c>
      <c r="G687" s="92" t="str">
        <f t="shared" si="4"/>
        <v>IMPRESCINDIBLES</v>
      </c>
      <c r="H687" s="141"/>
      <c r="I687" s="141" t="str">
        <f t="shared" si="5"/>
        <v>10.1.5</v>
      </c>
      <c r="J687" s="98" t="str">
        <f t="shared" si="6"/>
        <v>Notoriedad de la navegación</v>
      </c>
      <c r="K687" s="98" t="str">
        <f t="shared" si="7"/>
        <v>Presencia y visibilidad del menú de navegación, sus opciones, localización del usuario, estado del sistema y etapa o paso del trámite.</v>
      </c>
      <c r="L687" s="141" t="str">
        <f t="shared" ref="L687:N687" si="693">IF(I687="",L686,I687)</f>
        <v>10.1.5</v>
      </c>
      <c r="M687" s="98" t="str">
        <f t="shared" si="693"/>
        <v>Notoriedad de la navegación</v>
      </c>
      <c r="N687" s="98" t="str">
        <f t="shared" si="693"/>
        <v>Presencia y visibilidad del menú de navegación, sus opciones, localización del usuario, estado del sistema y etapa o paso del trámite.</v>
      </c>
      <c r="O687" s="225" t="s">
        <v>1678</v>
      </c>
      <c r="P687" s="153" t="s">
        <v>921</v>
      </c>
      <c r="Q687" s="153" t="s">
        <v>922</v>
      </c>
      <c r="R687" s="149"/>
      <c r="S687" s="149" t="s">
        <v>2208</v>
      </c>
      <c r="T687" s="160" t="s">
        <v>2033</v>
      </c>
      <c r="U687" s="94"/>
      <c r="V687" s="94"/>
      <c r="W687" s="94"/>
      <c r="X687" s="94"/>
      <c r="Y687" s="94"/>
      <c r="Z687" s="94"/>
      <c r="AA687" s="94"/>
      <c r="AB687" s="94"/>
      <c r="AC687" s="94"/>
      <c r="AD687" s="94"/>
      <c r="AE687" s="94"/>
      <c r="AF687" s="94"/>
      <c r="AG687" s="94"/>
      <c r="AH687" s="94"/>
      <c r="AI687" s="94"/>
      <c r="AJ687" s="94"/>
      <c r="AK687" s="94"/>
      <c r="AL687" s="94"/>
    </row>
    <row r="688" hidden="1">
      <c r="A688" s="86" t="s">
        <v>1540</v>
      </c>
      <c r="B688" s="95" t="str">
        <f t="shared" si="494"/>
        <v>Pregunta</v>
      </c>
      <c r="C688" s="106" t="str">
        <f t="shared" si="9"/>
        <v>10.</v>
      </c>
      <c r="D688" s="106" t="str">
        <f t="shared" si="10"/>
        <v>Arquitectura de información</v>
      </c>
      <c r="E688" s="106" t="str">
        <f t="shared" si="11"/>
        <v>Práctica de decidir cómo organizar y rotular de forma lógica el contenido y la navegación de un producto digital para que sea comprensible y que las personas usuarias localicen fácilmente lo que buscan.</v>
      </c>
      <c r="F688" s="141" t="str">
        <f t="shared" si="3"/>
        <v>10.1</v>
      </c>
      <c r="G688" s="92" t="str">
        <f t="shared" si="4"/>
        <v>IMPRESCINDIBLES</v>
      </c>
      <c r="H688" s="141"/>
      <c r="I688" s="141" t="str">
        <f t="shared" si="5"/>
        <v/>
      </c>
      <c r="J688" s="98" t="str">
        <f t="shared" si="6"/>
        <v/>
      </c>
      <c r="K688" s="98" t="str">
        <f t="shared" si="7"/>
        <v/>
      </c>
      <c r="L688" s="141" t="str">
        <f t="shared" ref="L688:N688" si="694">IF(I688="",L687,I688)</f>
        <v>10.1.5</v>
      </c>
      <c r="M688" s="98" t="str">
        <f t="shared" si="694"/>
        <v>Notoriedad de la navegación</v>
      </c>
      <c r="N688" s="98" t="str">
        <f t="shared" si="694"/>
        <v>Presencia y visibilidad del menú de navegación, sus opciones, localización del usuario, estado del sistema y etapa o paso del trámite.</v>
      </c>
      <c r="O688" s="225"/>
      <c r="P688" s="153"/>
      <c r="Q688" s="153"/>
      <c r="R688" s="149"/>
      <c r="S688" s="161" t="s">
        <v>2209</v>
      </c>
      <c r="T688" s="160" t="s">
        <v>2033</v>
      </c>
      <c r="U688" s="94"/>
      <c r="V688" s="94"/>
      <c r="W688" s="94"/>
      <c r="X688" s="94"/>
      <c r="Y688" s="94"/>
      <c r="Z688" s="94"/>
      <c r="AA688" s="94"/>
      <c r="AB688" s="94"/>
      <c r="AC688" s="94"/>
      <c r="AD688" s="94"/>
      <c r="AE688" s="94"/>
      <c r="AF688" s="94"/>
      <c r="AG688" s="94"/>
      <c r="AH688" s="94"/>
      <c r="AI688" s="94"/>
      <c r="AJ688" s="94"/>
      <c r="AK688" s="94"/>
      <c r="AL688" s="94"/>
    </row>
    <row r="689" hidden="1">
      <c r="A689" s="86" t="s">
        <v>1540</v>
      </c>
      <c r="B689" s="95" t="str">
        <f t="shared" si="494"/>
        <v>Pregunta</v>
      </c>
      <c r="C689" s="106" t="str">
        <f t="shared" si="9"/>
        <v>10.</v>
      </c>
      <c r="D689" s="106" t="str">
        <f t="shared" si="10"/>
        <v>Arquitectura de información</v>
      </c>
      <c r="E689" s="106" t="str">
        <f t="shared" si="11"/>
        <v>Práctica de decidir cómo organizar y rotular de forma lógica el contenido y la navegación de un producto digital para que sea comprensible y que las personas usuarias localicen fácilmente lo que buscan.</v>
      </c>
      <c r="F689" s="141" t="str">
        <f t="shared" si="3"/>
        <v>10.1</v>
      </c>
      <c r="G689" s="92" t="str">
        <f t="shared" si="4"/>
        <v>IMPRESCINDIBLES</v>
      </c>
      <c r="H689" s="141"/>
      <c r="I689" s="141" t="str">
        <f t="shared" si="5"/>
        <v/>
      </c>
      <c r="J689" s="98" t="str">
        <f t="shared" si="6"/>
        <v/>
      </c>
      <c r="K689" s="98" t="str">
        <f t="shared" si="7"/>
        <v/>
      </c>
      <c r="L689" s="141" t="str">
        <f t="shared" ref="L689:N689" si="695">IF(I689="",L688,I689)</f>
        <v>10.1.5</v>
      </c>
      <c r="M689" s="98" t="str">
        <f t="shared" si="695"/>
        <v>Notoriedad de la navegación</v>
      </c>
      <c r="N689" s="98" t="str">
        <f t="shared" si="695"/>
        <v>Presencia y visibilidad del menú de navegación, sus opciones, localización del usuario, estado del sistema y etapa o paso del trámite.</v>
      </c>
      <c r="O689" s="225"/>
      <c r="P689" s="153"/>
      <c r="Q689" s="153"/>
      <c r="R689" s="149"/>
      <c r="S689" s="161" t="s">
        <v>2210</v>
      </c>
      <c r="T689" s="160" t="s">
        <v>2033</v>
      </c>
      <c r="U689" s="94"/>
      <c r="V689" s="94"/>
      <c r="W689" s="94"/>
      <c r="X689" s="94"/>
      <c r="Y689" s="94"/>
      <c r="Z689" s="94"/>
      <c r="AA689" s="94"/>
      <c r="AB689" s="94"/>
      <c r="AC689" s="94"/>
      <c r="AD689" s="94"/>
      <c r="AE689" s="94"/>
      <c r="AF689" s="94"/>
      <c r="AG689" s="94"/>
      <c r="AH689" s="94"/>
      <c r="AI689" s="94"/>
      <c r="AJ689" s="94"/>
      <c r="AK689" s="94"/>
      <c r="AL689" s="94"/>
    </row>
    <row r="690" hidden="1">
      <c r="A690" s="86" t="s">
        <v>1540</v>
      </c>
      <c r="B690" s="95" t="str">
        <f t="shared" si="494"/>
        <v>Pregunta</v>
      </c>
      <c r="C690" s="106" t="str">
        <f t="shared" si="9"/>
        <v>10.</v>
      </c>
      <c r="D690" s="106" t="str">
        <f t="shared" si="10"/>
        <v>Arquitectura de información</v>
      </c>
      <c r="E690" s="106" t="str">
        <f t="shared" si="11"/>
        <v>Práctica de decidir cómo organizar y rotular de forma lógica el contenido y la navegación de un producto digital para que sea comprensible y que las personas usuarias localicen fácilmente lo que buscan.</v>
      </c>
      <c r="F690" s="141" t="str">
        <f t="shared" si="3"/>
        <v>10.1</v>
      </c>
      <c r="G690" s="92" t="str">
        <f t="shared" si="4"/>
        <v>IMPRESCINDIBLES</v>
      </c>
      <c r="H690" s="141"/>
      <c r="I690" s="141" t="str">
        <f t="shared" si="5"/>
        <v/>
      </c>
      <c r="J690" s="98" t="str">
        <f t="shared" si="6"/>
        <v/>
      </c>
      <c r="K690" s="98" t="str">
        <f t="shared" si="7"/>
        <v/>
      </c>
      <c r="L690" s="141" t="str">
        <f t="shared" ref="L690:N690" si="696">IF(I690="",L689,I690)</f>
        <v>10.1.5</v>
      </c>
      <c r="M690" s="98" t="str">
        <f t="shared" si="696"/>
        <v>Notoriedad de la navegación</v>
      </c>
      <c r="N690" s="98" t="str">
        <f t="shared" si="696"/>
        <v>Presencia y visibilidad del menú de navegación, sus opciones, localización del usuario, estado del sistema y etapa o paso del trámite.</v>
      </c>
      <c r="O690" s="231"/>
      <c r="P690" s="143"/>
      <c r="Q690" s="143"/>
      <c r="R690" s="174"/>
      <c r="S690" s="168" t="s">
        <v>1682</v>
      </c>
      <c r="T690" s="164" t="s">
        <v>2033</v>
      </c>
      <c r="U690" s="94"/>
      <c r="V690" s="94"/>
      <c r="W690" s="94"/>
      <c r="X690" s="94"/>
      <c r="Y690" s="94"/>
      <c r="Z690" s="94"/>
      <c r="AA690" s="94"/>
      <c r="AB690" s="94"/>
      <c r="AC690" s="94"/>
      <c r="AD690" s="94"/>
      <c r="AE690" s="94"/>
      <c r="AF690" s="94"/>
      <c r="AG690" s="94"/>
      <c r="AH690" s="94"/>
      <c r="AI690" s="94"/>
      <c r="AJ690" s="94"/>
      <c r="AK690" s="94"/>
      <c r="AL690" s="94"/>
    </row>
    <row r="691" hidden="1">
      <c r="A691" s="86" t="s">
        <v>1540</v>
      </c>
      <c r="B691" s="95" t="str">
        <f t="shared" si="494"/>
        <v>Otro</v>
      </c>
      <c r="C691" s="106" t="str">
        <f t="shared" si="9"/>
        <v>10.</v>
      </c>
      <c r="D691" s="106" t="str">
        <f t="shared" si="10"/>
        <v>Arquitectura de información</v>
      </c>
      <c r="E691" s="106" t="str">
        <f t="shared" si="11"/>
        <v>Práctica de decidir cómo organizar y rotular de forma lógica el contenido y la navegación de un producto digital para que sea comprensible y que las personas usuarias localicen fácilmente lo que buscan.</v>
      </c>
      <c r="F691" s="141" t="str">
        <f t="shared" si="3"/>
        <v>10.2</v>
      </c>
      <c r="G691" s="92" t="str">
        <f t="shared" si="4"/>
        <v>ESPERABLES</v>
      </c>
      <c r="H691" s="141"/>
      <c r="I691" s="141" t="str">
        <f t="shared" si="5"/>
        <v/>
      </c>
      <c r="J691" s="98" t="str">
        <f t="shared" si="6"/>
        <v/>
      </c>
      <c r="K691" s="98" t="str">
        <f t="shared" si="7"/>
        <v/>
      </c>
      <c r="L691" s="141" t="str">
        <f t="shared" ref="L691:N691" si="697">IF(I691="",L690,I691)</f>
        <v>10.1.5</v>
      </c>
      <c r="M691" s="98" t="str">
        <f t="shared" si="697"/>
        <v>Notoriedad de la navegación</v>
      </c>
      <c r="N691" s="98" t="str">
        <f t="shared" si="697"/>
        <v>Presencia y visibilidad del menú de navegación, sus opciones, localización del usuario, estado del sistema y etapa o paso del trámite.</v>
      </c>
      <c r="O691" s="175" t="s">
        <v>1194</v>
      </c>
      <c r="P691" s="196" t="s">
        <v>714</v>
      </c>
      <c r="Q691" s="177"/>
      <c r="R691" s="177"/>
      <c r="S691" s="197">
        <f>COUNTA(P692:P698)</f>
        <v>4</v>
      </c>
      <c r="T691" s="197">
        <f>COUNTIF(U692:U698,"n/a")</f>
        <v>0</v>
      </c>
      <c r="U691" s="94"/>
      <c r="V691" s="94"/>
      <c r="W691" s="94"/>
      <c r="X691" s="94"/>
      <c r="Y691" s="94"/>
      <c r="Z691" s="94"/>
      <c r="AA691" s="94"/>
      <c r="AB691" s="94"/>
      <c r="AC691" s="94"/>
      <c r="AD691" s="94"/>
      <c r="AE691" s="94"/>
      <c r="AF691" s="94"/>
      <c r="AG691" s="94"/>
      <c r="AH691" s="94"/>
      <c r="AI691" s="94"/>
      <c r="AJ691" s="94"/>
      <c r="AK691" s="94"/>
      <c r="AL691" s="94"/>
    </row>
    <row r="692" hidden="1">
      <c r="A692" s="105" t="s">
        <v>1540</v>
      </c>
      <c r="B692" s="92" t="str">
        <f t="shared" si="494"/>
        <v>Pregunta</v>
      </c>
      <c r="C692" s="106" t="str">
        <f t="shared" si="9"/>
        <v>10.</v>
      </c>
      <c r="D692" s="106" t="str">
        <f t="shared" si="10"/>
        <v>Arquitectura de información</v>
      </c>
      <c r="E692" s="106" t="str">
        <f t="shared" si="11"/>
        <v>Práctica de decidir cómo organizar y rotular de forma lógica el contenido y la navegación de un producto digital para que sea comprensible y que las personas usuarias localicen fácilmente lo que buscan.</v>
      </c>
      <c r="F692" s="141" t="str">
        <f t="shared" si="3"/>
        <v>10.2</v>
      </c>
      <c r="G692" s="92" t="str">
        <f t="shared" si="4"/>
        <v>ESPERABLES</v>
      </c>
      <c r="H692" s="141"/>
      <c r="I692" s="141" t="str">
        <f t="shared" si="5"/>
        <v>10.2.1</v>
      </c>
      <c r="J692" s="98" t="str">
        <f t="shared" si="6"/>
        <v>Marca o nombre de fantasía</v>
      </c>
      <c r="K692" s="98" t="str">
        <f t="shared" si="7"/>
        <v>Identificación formal de la institución que usa un nombre de fantasía.</v>
      </c>
      <c r="L692" s="141" t="str">
        <f t="shared" ref="L692:N692" si="698">IF(I692="",L691,I692)</f>
        <v>10.2.1</v>
      </c>
      <c r="M692" s="98" t="str">
        <f t="shared" si="698"/>
        <v>Marca o nombre de fantasía</v>
      </c>
      <c r="N692" s="98" t="str">
        <f t="shared" si="698"/>
        <v>Identificación formal de la institución que usa un nombre de fantasía.</v>
      </c>
      <c r="O692" s="278" t="s">
        <v>1195</v>
      </c>
      <c r="P692" s="180" t="s">
        <v>937</v>
      </c>
      <c r="Q692" s="180" t="s">
        <v>938</v>
      </c>
      <c r="R692" s="171"/>
      <c r="S692" s="169" t="s">
        <v>2211</v>
      </c>
      <c r="T692" s="164" t="s">
        <v>2033</v>
      </c>
      <c r="U692" s="94"/>
      <c r="V692" s="94"/>
      <c r="W692" s="94"/>
      <c r="X692" s="94"/>
      <c r="Y692" s="94"/>
      <c r="Z692" s="94"/>
      <c r="AA692" s="94"/>
      <c r="AB692" s="94"/>
      <c r="AC692" s="94"/>
      <c r="AD692" s="94"/>
      <c r="AE692" s="94"/>
      <c r="AF692" s="94"/>
      <c r="AG692" s="94"/>
      <c r="AH692" s="94"/>
      <c r="AI692" s="94"/>
      <c r="AJ692" s="94"/>
      <c r="AK692" s="94"/>
      <c r="AL692" s="94"/>
    </row>
    <row r="693" hidden="1">
      <c r="A693" s="105" t="s">
        <v>1540</v>
      </c>
      <c r="B693" s="92" t="str">
        <f t="shared" si="494"/>
        <v>Pregunta</v>
      </c>
      <c r="C693" s="106" t="str">
        <f t="shared" si="9"/>
        <v>10.</v>
      </c>
      <c r="D693" s="106" t="str">
        <f t="shared" si="10"/>
        <v>Arquitectura de información</v>
      </c>
      <c r="E693" s="106" t="str">
        <f t="shared" si="11"/>
        <v>Práctica de decidir cómo organizar y rotular de forma lógica el contenido y la navegación de un producto digital para que sea comprensible y que las personas usuarias localicen fácilmente lo que buscan.</v>
      </c>
      <c r="F693" s="141" t="str">
        <f t="shared" si="3"/>
        <v>10.2</v>
      </c>
      <c r="G693" s="92" t="str">
        <f t="shared" si="4"/>
        <v>ESPERABLES</v>
      </c>
      <c r="H693" s="141"/>
      <c r="I693" s="141" t="str">
        <f t="shared" si="5"/>
        <v>10.2.2</v>
      </c>
      <c r="J693" s="98" t="str">
        <f t="shared" si="6"/>
        <v>Precisión del rotulado</v>
      </c>
      <c r="K693" s="98" t="str">
        <f t="shared" si="7"/>
        <v>Capacidad de los rótulos para expresar su significado de manera directa y concisa.</v>
      </c>
      <c r="L693" s="141" t="str">
        <f t="shared" ref="L693:N693" si="699">IF(I693="",L692,I693)</f>
        <v>10.2.2</v>
      </c>
      <c r="M693" s="98" t="str">
        <f t="shared" si="699"/>
        <v>Precisión del rotulado</v>
      </c>
      <c r="N693" s="98" t="str">
        <f t="shared" si="699"/>
        <v>Capacidad de los rótulos para expresar su significado de manera directa y concisa.</v>
      </c>
      <c r="O693" s="147" t="s">
        <v>1200</v>
      </c>
      <c r="P693" s="148" t="s">
        <v>945</v>
      </c>
      <c r="Q693" s="148" t="s">
        <v>946</v>
      </c>
      <c r="R693" s="158"/>
      <c r="S693" s="162" t="s">
        <v>1683</v>
      </c>
      <c r="T693" s="160" t="s">
        <v>2033</v>
      </c>
      <c r="U693" s="94"/>
      <c r="V693" s="94"/>
      <c r="W693" s="94"/>
      <c r="X693" s="94"/>
      <c r="Y693" s="94"/>
      <c r="Z693" s="94"/>
      <c r="AA693" s="94"/>
      <c r="AB693" s="94"/>
      <c r="AC693" s="94"/>
      <c r="AD693" s="94"/>
      <c r="AE693" s="94"/>
      <c r="AF693" s="94"/>
      <c r="AG693" s="94"/>
      <c r="AH693" s="94"/>
      <c r="AI693" s="94"/>
      <c r="AJ693" s="94"/>
      <c r="AK693" s="94"/>
      <c r="AL693" s="94"/>
    </row>
    <row r="694" hidden="1">
      <c r="A694" s="86" t="s">
        <v>1540</v>
      </c>
      <c r="B694" s="95" t="str">
        <f t="shared" si="494"/>
        <v>Pregunta</v>
      </c>
      <c r="C694" s="106" t="str">
        <f t="shared" si="9"/>
        <v>10.</v>
      </c>
      <c r="D694" s="106" t="str">
        <f t="shared" si="10"/>
        <v>Arquitectura de información</v>
      </c>
      <c r="E694" s="106" t="str">
        <f t="shared" si="11"/>
        <v>Práctica de decidir cómo organizar y rotular de forma lógica el contenido y la navegación de un producto digital para que sea comprensible y que las personas usuarias localicen fácilmente lo que buscan.</v>
      </c>
      <c r="F694" s="141" t="str">
        <f t="shared" si="3"/>
        <v>10.2</v>
      </c>
      <c r="G694" s="92" t="str">
        <f t="shared" si="4"/>
        <v>ESPERABLES</v>
      </c>
      <c r="H694" s="141"/>
      <c r="I694" s="141" t="str">
        <f t="shared" si="5"/>
        <v/>
      </c>
      <c r="J694" s="98" t="str">
        <f t="shared" si="6"/>
        <v/>
      </c>
      <c r="K694" s="98" t="str">
        <f t="shared" si="7"/>
        <v/>
      </c>
      <c r="L694" s="141" t="str">
        <f t="shared" ref="L694:N694" si="700">IF(I694="",L693,I694)</f>
        <v>10.2.2</v>
      </c>
      <c r="M694" s="98" t="str">
        <f t="shared" si="700"/>
        <v>Precisión del rotulado</v>
      </c>
      <c r="N694" s="98" t="str">
        <f t="shared" si="700"/>
        <v>Capacidad de los rótulos para expresar su significado de manera directa y concisa.</v>
      </c>
      <c r="O694" s="152"/>
      <c r="P694" s="153"/>
      <c r="Q694" s="153"/>
      <c r="R694" s="161"/>
      <c r="S694" s="162" t="s">
        <v>948</v>
      </c>
      <c r="T694" s="160" t="s">
        <v>2033</v>
      </c>
      <c r="U694" s="94"/>
      <c r="V694" s="94"/>
      <c r="W694" s="94"/>
      <c r="X694" s="94"/>
      <c r="Y694" s="94"/>
      <c r="Z694" s="94"/>
      <c r="AA694" s="94"/>
      <c r="AB694" s="94"/>
      <c r="AC694" s="94"/>
      <c r="AD694" s="94"/>
      <c r="AE694" s="94"/>
      <c r="AF694" s="94"/>
      <c r="AG694" s="94"/>
      <c r="AH694" s="94"/>
      <c r="AI694" s="94"/>
      <c r="AJ694" s="94"/>
      <c r="AK694" s="94"/>
      <c r="AL694" s="94"/>
    </row>
    <row r="695" hidden="1">
      <c r="A695" s="86" t="s">
        <v>1540</v>
      </c>
      <c r="B695" s="95" t="str">
        <f t="shared" si="494"/>
        <v>Pregunta</v>
      </c>
      <c r="C695" s="106" t="str">
        <f t="shared" si="9"/>
        <v>10.</v>
      </c>
      <c r="D695" s="106" t="str">
        <f t="shared" si="10"/>
        <v>Arquitectura de información</v>
      </c>
      <c r="E695" s="106" t="str">
        <f t="shared" si="11"/>
        <v>Práctica de decidir cómo organizar y rotular de forma lógica el contenido y la navegación de un producto digital para que sea comprensible y que las personas usuarias localicen fácilmente lo que buscan.</v>
      </c>
      <c r="F695" s="141" t="str">
        <f t="shared" si="3"/>
        <v>10.2</v>
      </c>
      <c r="G695" s="92" t="str">
        <f t="shared" si="4"/>
        <v>ESPERABLES</v>
      </c>
      <c r="H695" s="141"/>
      <c r="I695" s="141" t="str">
        <f t="shared" si="5"/>
        <v/>
      </c>
      <c r="J695" s="98" t="str">
        <f t="shared" si="6"/>
        <v/>
      </c>
      <c r="K695" s="98" t="str">
        <f t="shared" si="7"/>
        <v/>
      </c>
      <c r="L695" s="141" t="str">
        <f t="shared" ref="L695:N695" si="701">IF(I695="",L694,I695)</f>
        <v>10.2.2</v>
      </c>
      <c r="M695" s="98" t="str">
        <f t="shared" si="701"/>
        <v>Precisión del rotulado</v>
      </c>
      <c r="N695" s="98" t="str">
        <f t="shared" si="701"/>
        <v>Capacidad de los rótulos para expresar su significado de manera directa y concisa.</v>
      </c>
      <c r="O695" s="142"/>
      <c r="P695" s="143"/>
      <c r="Q695" s="143"/>
      <c r="R695" s="161"/>
      <c r="S695" s="169" t="s">
        <v>1684</v>
      </c>
      <c r="T695" s="164" t="s">
        <v>2033</v>
      </c>
      <c r="U695" s="94"/>
      <c r="V695" s="94"/>
      <c r="W695" s="94"/>
      <c r="X695" s="94"/>
      <c r="Y695" s="94"/>
      <c r="Z695" s="94"/>
      <c r="AA695" s="94"/>
      <c r="AB695" s="94"/>
      <c r="AC695" s="94"/>
      <c r="AD695" s="94"/>
      <c r="AE695" s="94"/>
      <c r="AF695" s="94"/>
      <c r="AG695" s="94"/>
      <c r="AH695" s="94"/>
      <c r="AI695" s="94"/>
      <c r="AJ695" s="94"/>
      <c r="AK695" s="94"/>
      <c r="AL695" s="94"/>
    </row>
    <row r="696" hidden="1">
      <c r="A696" s="105" t="s">
        <v>1540</v>
      </c>
      <c r="B696" s="92" t="str">
        <f t="shared" si="494"/>
        <v>Pregunta</v>
      </c>
      <c r="C696" s="106" t="str">
        <f t="shared" si="9"/>
        <v>10.</v>
      </c>
      <c r="D696" s="106" t="str">
        <f t="shared" si="10"/>
        <v>Arquitectura de información</v>
      </c>
      <c r="E696" s="106" t="str">
        <f t="shared" si="11"/>
        <v>Práctica de decidir cómo organizar y rotular de forma lógica el contenido y la navegación de un producto digital para que sea comprensible y que las personas usuarias localicen fácilmente lo que buscan.</v>
      </c>
      <c r="F696" s="141" t="str">
        <f t="shared" si="3"/>
        <v>10.2</v>
      </c>
      <c r="G696" s="92" t="str">
        <f t="shared" si="4"/>
        <v>ESPERABLES</v>
      </c>
      <c r="H696" s="141"/>
      <c r="I696" s="141" t="str">
        <f t="shared" si="5"/>
        <v>10.2.3</v>
      </c>
      <c r="J696" s="98" t="str">
        <f t="shared" si="6"/>
        <v>Concisión del rotulado</v>
      </c>
      <c r="K696" s="98" t="str">
        <f t="shared" si="7"/>
        <v>Brevedad y economía de palabras en las etiquetas, de cara al tiempo de lectura en Internet y al espacio reducido en dispositivos móviles.
</v>
      </c>
      <c r="L696" s="141" t="str">
        <f t="shared" ref="L696:N696" si="702">IF(I696="",L695,I696)</f>
        <v>10.2.3</v>
      </c>
      <c r="M696" s="98" t="str">
        <f t="shared" si="702"/>
        <v>Concisión del rotulado</v>
      </c>
      <c r="N696" s="98" t="str">
        <f t="shared" si="702"/>
        <v>Brevedad y economía de palabras en las etiquetas, de cara al tiempo de lectura en Internet y al espacio reducido en dispositivos móviles.
</v>
      </c>
      <c r="O696" s="165" t="s">
        <v>1205</v>
      </c>
      <c r="P696" s="166" t="s">
        <v>951</v>
      </c>
      <c r="Q696" s="166" t="s">
        <v>1685</v>
      </c>
      <c r="R696" s="211"/>
      <c r="S696" s="143" t="s">
        <v>954</v>
      </c>
      <c r="T696" s="164" t="s">
        <v>2033</v>
      </c>
      <c r="U696" s="94"/>
      <c r="V696" s="94"/>
      <c r="W696" s="94"/>
      <c r="X696" s="94"/>
      <c r="Y696" s="94"/>
      <c r="Z696" s="94"/>
      <c r="AA696" s="94"/>
      <c r="AB696" s="94"/>
      <c r="AC696" s="94"/>
      <c r="AD696" s="94"/>
      <c r="AE696" s="94"/>
      <c r="AF696" s="94"/>
      <c r="AG696" s="94"/>
      <c r="AH696" s="94"/>
      <c r="AI696" s="94"/>
      <c r="AJ696" s="94"/>
      <c r="AK696" s="94"/>
      <c r="AL696" s="94"/>
    </row>
    <row r="697" hidden="1">
      <c r="A697" s="105" t="s">
        <v>1540</v>
      </c>
      <c r="B697" s="92" t="str">
        <f t="shared" si="494"/>
        <v>Pregunta</v>
      </c>
      <c r="C697" s="106" t="str">
        <f t="shared" si="9"/>
        <v>10.</v>
      </c>
      <c r="D697" s="106" t="str">
        <f t="shared" si="10"/>
        <v>Arquitectura de información</v>
      </c>
      <c r="E697" s="106" t="str">
        <f t="shared" si="11"/>
        <v>Práctica de decidir cómo organizar y rotular de forma lógica el contenido y la navegación de un producto digital para que sea comprensible y que las personas usuarias localicen fácilmente lo que buscan.</v>
      </c>
      <c r="F697" s="141" t="str">
        <f t="shared" si="3"/>
        <v>10.2</v>
      </c>
      <c r="G697" s="92" t="str">
        <f t="shared" si="4"/>
        <v>ESPERABLES</v>
      </c>
      <c r="H697" s="141"/>
      <c r="I697" s="141" t="str">
        <f t="shared" si="5"/>
        <v>10.2.4</v>
      </c>
      <c r="J697" s="98" t="str">
        <f t="shared" si="6"/>
        <v>Pertinencia de la navegación</v>
      </c>
      <c r="K697" s="98" t="str">
        <f t="shared" si="7"/>
        <v>Adecuada ubicación de los enlaces, de manera tal que aparezcan en contexto y brinden acceso oportuno a la información.</v>
      </c>
      <c r="L697" s="141" t="str">
        <f t="shared" ref="L697:N697" si="703">IF(I697="",L696,I697)</f>
        <v>10.2.4</v>
      </c>
      <c r="M697" s="98" t="str">
        <f t="shared" si="703"/>
        <v>Pertinencia de la navegación</v>
      </c>
      <c r="N697" s="98" t="str">
        <f t="shared" si="703"/>
        <v>Adecuada ubicación de los enlaces, de manera tal que aparezcan en contexto y brinden acceso oportuno a la información.</v>
      </c>
      <c r="O697" s="147" t="s">
        <v>1686</v>
      </c>
      <c r="P697" s="170" t="s">
        <v>961</v>
      </c>
      <c r="Q697" s="148" t="s">
        <v>962</v>
      </c>
      <c r="R697" s="158"/>
      <c r="S697" s="170" t="s">
        <v>963</v>
      </c>
      <c r="T697" s="160" t="s">
        <v>2033</v>
      </c>
      <c r="U697" s="94"/>
      <c r="V697" s="94"/>
      <c r="W697" s="94"/>
      <c r="X697" s="94"/>
      <c r="Y697" s="94"/>
      <c r="Z697" s="94"/>
      <c r="AA697" s="94"/>
      <c r="AB697" s="94"/>
      <c r="AC697" s="94"/>
      <c r="AD697" s="94"/>
      <c r="AE697" s="94"/>
      <c r="AF697" s="94"/>
      <c r="AG697" s="94"/>
      <c r="AH697" s="94"/>
      <c r="AI697" s="94"/>
      <c r="AJ697" s="94"/>
      <c r="AK697" s="94"/>
      <c r="AL697" s="94"/>
    </row>
    <row r="698" hidden="1">
      <c r="A698" s="86" t="s">
        <v>1540</v>
      </c>
      <c r="B698" s="95" t="str">
        <f t="shared" si="494"/>
        <v>Pregunta</v>
      </c>
      <c r="C698" s="106" t="str">
        <f t="shared" si="9"/>
        <v>10.</v>
      </c>
      <c r="D698" s="106" t="str">
        <f t="shared" si="10"/>
        <v>Arquitectura de información</v>
      </c>
      <c r="E698" s="106" t="str">
        <f t="shared" si="11"/>
        <v>Práctica de decidir cómo organizar y rotular de forma lógica el contenido y la navegación de un producto digital para que sea comprensible y que las personas usuarias localicen fácilmente lo que buscan.</v>
      </c>
      <c r="F698" s="141" t="str">
        <f t="shared" si="3"/>
        <v>10.2</v>
      </c>
      <c r="G698" s="92" t="str">
        <f t="shared" si="4"/>
        <v>ESPERABLES</v>
      </c>
      <c r="H698" s="141"/>
      <c r="I698" s="141" t="str">
        <f t="shared" si="5"/>
        <v/>
      </c>
      <c r="J698" s="98" t="str">
        <f t="shared" si="6"/>
        <v/>
      </c>
      <c r="K698" s="98" t="str">
        <f t="shared" si="7"/>
        <v/>
      </c>
      <c r="L698" s="141" t="str">
        <f t="shared" ref="L698:N698" si="704">IF(I698="",L697,I698)</f>
        <v>10.2.4</v>
      </c>
      <c r="M698" s="98" t="str">
        <f t="shared" si="704"/>
        <v>Pertinencia de la navegación</v>
      </c>
      <c r="N698" s="98" t="str">
        <f t="shared" si="704"/>
        <v>Adecuada ubicación de los enlaces, de manera tal que aparezcan en contexto y brinden acceso oportuno a la información.</v>
      </c>
      <c r="O698" s="142"/>
      <c r="P698" s="171"/>
      <c r="Q698" s="153"/>
      <c r="R698" s="174"/>
      <c r="S698" s="169" t="s">
        <v>964</v>
      </c>
      <c r="T698" s="164" t="s">
        <v>2033</v>
      </c>
      <c r="U698" s="94"/>
      <c r="V698" s="94"/>
      <c r="W698" s="94"/>
      <c r="X698" s="94"/>
      <c r="Y698" s="94"/>
      <c r="Z698" s="94"/>
      <c r="AA698" s="94"/>
      <c r="AB698" s="94"/>
      <c r="AC698" s="94"/>
      <c r="AD698" s="94"/>
      <c r="AE698" s="94"/>
      <c r="AF698" s="94"/>
      <c r="AG698" s="94"/>
      <c r="AH698" s="94"/>
      <c r="AI698" s="94"/>
      <c r="AJ698" s="94"/>
      <c r="AK698" s="94"/>
      <c r="AL698" s="94"/>
    </row>
    <row r="699" hidden="1">
      <c r="A699" s="86" t="s">
        <v>1540</v>
      </c>
      <c r="B699" s="201" t="str">
        <f t="shared" si="494"/>
        <v>Otro</v>
      </c>
      <c r="C699" s="106" t="str">
        <f t="shared" si="9"/>
        <v>11.</v>
      </c>
      <c r="D699" s="106" t="str">
        <f t="shared" si="10"/>
        <v>Atención a la ciudadanía </v>
      </c>
      <c r="E699"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699" s="141" t="str">
        <f t="shared" si="3"/>
        <v>10.2</v>
      </c>
      <c r="G699" s="92" t="str">
        <f t="shared" si="4"/>
        <v>ESPERABLES</v>
      </c>
      <c r="H699" s="107"/>
      <c r="I699" s="107" t="str">
        <f t="shared" si="5"/>
        <v/>
      </c>
      <c r="J699" s="98" t="str">
        <f t="shared" si="6"/>
        <v/>
      </c>
      <c r="K699" s="98" t="str">
        <f t="shared" si="7"/>
        <v/>
      </c>
      <c r="L699" s="141" t="str">
        <f t="shared" ref="L699:N699" si="705">IF(I699="",L698,I699)</f>
        <v>10.2.4</v>
      </c>
      <c r="M699" s="98" t="str">
        <f t="shared" si="705"/>
        <v>Pertinencia de la navegación</v>
      </c>
      <c r="N699" s="98" t="str">
        <f t="shared" si="705"/>
        <v>Adecuada ubicación de los enlaces, de manera tal que aparezcan en contexto y brinden acceso oportuno a la información.</v>
      </c>
      <c r="O699" s="221" t="s">
        <v>39</v>
      </c>
      <c r="P699" s="112" t="s">
        <v>1182</v>
      </c>
      <c r="Q699" s="113"/>
      <c r="R699" s="114"/>
      <c r="S699" s="115" t="s">
        <v>1183</v>
      </c>
      <c r="T699" s="116" t="s">
        <v>2161</v>
      </c>
      <c r="U699" s="94"/>
      <c r="V699" s="94"/>
      <c r="W699" s="94"/>
      <c r="X699" s="94"/>
      <c r="Y699" s="94"/>
      <c r="Z699" s="94"/>
      <c r="AA699" s="94"/>
      <c r="AB699" s="94"/>
      <c r="AC699" s="94"/>
      <c r="AD699" s="94"/>
      <c r="AE699" s="94"/>
      <c r="AF699" s="94"/>
      <c r="AG699" s="94"/>
      <c r="AH699" s="94"/>
      <c r="AI699" s="94"/>
      <c r="AJ699" s="94"/>
      <c r="AK699" s="94"/>
      <c r="AL699" s="94"/>
    </row>
    <row r="700" hidden="1">
      <c r="A700" s="86" t="s">
        <v>1540</v>
      </c>
      <c r="B700" s="201" t="str">
        <f t="shared" si="494"/>
        <v>Otro</v>
      </c>
      <c r="C700" s="106" t="str">
        <f t="shared" si="9"/>
        <v>11.</v>
      </c>
      <c r="D700" s="106" t="str">
        <f t="shared" si="10"/>
        <v>Atención a la ciudadanía </v>
      </c>
      <c r="E700"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700" s="141" t="str">
        <f t="shared" si="3"/>
        <v>10.2</v>
      </c>
      <c r="G700" s="92" t="str">
        <f t="shared" si="4"/>
        <v>ESPERABLES</v>
      </c>
      <c r="H700" s="107"/>
      <c r="I700" s="107" t="str">
        <f t="shared" si="5"/>
        <v/>
      </c>
      <c r="J700" s="98" t="str">
        <f t="shared" si="6"/>
        <v/>
      </c>
      <c r="K700" s="98" t="str">
        <f t="shared" si="7"/>
        <v/>
      </c>
      <c r="L700" s="141" t="str">
        <f t="shared" ref="L700:N700" si="706">IF(I700="",L699,I700)</f>
        <v>10.2.4</v>
      </c>
      <c r="M700" s="98" t="str">
        <f t="shared" si="706"/>
        <v>Pertinencia de la navegación</v>
      </c>
      <c r="N700" s="98" t="str">
        <f t="shared" si="706"/>
        <v>Adecuada ubicación de los enlaces, de manera tal que aparezcan en contexto y brinden acceso oportuno a la información.</v>
      </c>
      <c r="O700" s="221"/>
      <c r="P700" s="118"/>
      <c r="Q700" s="119"/>
      <c r="R700" s="114"/>
      <c r="S700" s="239"/>
      <c r="T700" s="116" t="s">
        <v>19</v>
      </c>
      <c r="U700" s="94"/>
      <c r="V700" s="94"/>
      <c r="W700" s="94"/>
      <c r="X700" s="94"/>
      <c r="Y700" s="94"/>
      <c r="Z700" s="94"/>
      <c r="AA700" s="94"/>
      <c r="AB700" s="94"/>
      <c r="AC700" s="94"/>
      <c r="AD700" s="94"/>
      <c r="AE700" s="94"/>
      <c r="AF700" s="94"/>
      <c r="AG700" s="94"/>
      <c r="AH700" s="94"/>
      <c r="AI700" s="94"/>
      <c r="AJ700" s="94"/>
      <c r="AK700" s="94"/>
      <c r="AL700" s="94"/>
    </row>
    <row r="701" hidden="1">
      <c r="A701" s="86" t="s">
        <v>1540</v>
      </c>
      <c r="B701" s="201" t="str">
        <f t="shared" si="494"/>
        <v>Otro</v>
      </c>
      <c r="C701" s="106" t="str">
        <f t="shared" si="9"/>
        <v>11.</v>
      </c>
      <c r="D701" s="106" t="str">
        <f t="shared" si="10"/>
        <v>Atención a la ciudadanía </v>
      </c>
      <c r="E701"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701" s="141" t="str">
        <f t="shared" si="3"/>
        <v>10.2</v>
      </c>
      <c r="G701" s="92" t="str">
        <f t="shared" si="4"/>
        <v>ESPERABLES</v>
      </c>
      <c r="H701" s="107"/>
      <c r="I701" s="107" t="str">
        <f t="shared" si="5"/>
        <v/>
      </c>
      <c r="J701" s="98" t="str">
        <f t="shared" si="6"/>
        <v/>
      </c>
      <c r="K701" s="98" t="str">
        <f t="shared" si="7"/>
        <v/>
      </c>
      <c r="L701" s="141" t="str">
        <f t="shared" ref="L701:N701" si="707">IF(I701="",L700,I701)</f>
        <v>10.2.4</v>
      </c>
      <c r="M701" s="98" t="str">
        <f t="shared" si="707"/>
        <v>Pertinencia de la navegación</v>
      </c>
      <c r="N701" s="98" t="str">
        <f t="shared" si="707"/>
        <v>Adecuada ubicación de los enlaces, de manera tal que aparezcan en contexto y brinden acceso oportuno a la información.</v>
      </c>
      <c r="O701" s="222"/>
      <c r="P701" s="122"/>
      <c r="Q701" s="123"/>
      <c r="R701" s="114"/>
      <c r="S701" s="240"/>
      <c r="T701" s="116" t="s">
        <v>22</v>
      </c>
      <c r="U701" s="94"/>
      <c r="V701" s="94"/>
      <c r="W701" s="94"/>
      <c r="X701" s="94"/>
      <c r="Y701" s="94"/>
      <c r="Z701" s="94"/>
      <c r="AA701" s="94"/>
      <c r="AB701" s="94"/>
      <c r="AC701" s="94"/>
      <c r="AD701" s="94"/>
      <c r="AE701" s="94"/>
      <c r="AF701" s="94"/>
      <c r="AG701" s="94"/>
      <c r="AH701" s="94"/>
      <c r="AI701" s="94"/>
      <c r="AJ701" s="94"/>
      <c r="AK701" s="94"/>
      <c r="AL701" s="94"/>
    </row>
    <row r="702" hidden="1">
      <c r="A702" s="86" t="s">
        <v>1540</v>
      </c>
      <c r="B702" s="201" t="str">
        <f t="shared" si="494"/>
        <v>Otro</v>
      </c>
      <c r="C702" s="106" t="str">
        <f t="shared" si="9"/>
        <v>11.</v>
      </c>
      <c r="D702" s="106" t="str">
        <f t="shared" si="10"/>
        <v>Atención a la ciudadanía </v>
      </c>
      <c r="E702"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702" s="141" t="str">
        <f t="shared" si="3"/>
        <v>10.2</v>
      </c>
      <c r="G702" s="92" t="str">
        <f t="shared" si="4"/>
        <v>ESPERABLES</v>
      </c>
      <c r="H702" s="96"/>
      <c r="I702" s="96" t="str">
        <f t="shared" si="5"/>
        <v/>
      </c>
      <c r="J702" s="98" t="str">
        <f t="shared" si="6"/>
        <v/>
      </c>
      <c r="K702" s="98" t="str">
        <f t="shared" si="7"/>
        <v/>
      </c>
      <c r="L702" s="141" t="str">
        <f t="shared" ref="L702:N702" si="708">IF(I702="",L701,I702)</f>
        <v>10.2.4</v>
      </c>
      <c r="M702" s="98" t="str">
        <f t="shared" si="708"/>
        <v>Pertinencia de la navegación</v>
      </c>
      <c r="N702" s="98" t="str">
        <f t="shared" si="708"/>
        <v>Adecuada ubicación de los enlaces, de manera tal que aparezcan en contexto y brinden acceso oportuno a la información.</v>
      </c>
      <c r="O702" s="104"/>
      <c r="P702" s="114"/>
      <c r="Q702" s="114"/>
      <c r="R702" s="127"/>
      <c r="S702" s="127"/>
      <c r="T702" s="127"/>
      <c r="U702" s="94"/>
      <c r="V702" s="94"/>
      <c r="W702" s="94"/>
      <c r="X702" s="94"/>
      <c r="Y702" s="94"/>
      <c r="Z702" s="94"/>
      <c r="AA702" s="94"/>
      <c r="AB702" s="94"/>
      <c r="AC702" s="94"/>
      <c r="AD702" s="94"/>
      <c r="AE702" s="94"/>
      <c r="AF702" s="94"/>
      <c r="AG702" s="94"/>
      <c r="AH702" s="94"/>
      <c r="AI702" s="94"/>
      <c r="AJ702" s="94"/>
      <c r="AK702" s="94"/>
      <c r="AL702" s="94"/>
    </row>
    <row r="703" hidden="1">
      <c r="A703" s="86" t="s">
        <v>1540</v>
      </c>
      <c r="B703" s="95" t="str">
        <f t="shared" si="494"/>
        <v>Otro</v>
      </c>
      <c r="C703" s="106" t="str">
        <f t="shared" si="9"/>
        <v>11.</v>
      </c>
      <c r="D703" s="106" t="str">
        <f t="shared" si="10"/>
        <v>Atención a la ciudadanía </v>
      </c>
      <c r="E703"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703" s="141" t="str">
        <f t="shared" si="3"/>
        <v>10.2</v>
      </c>
      <c r="G703" s="92" t="str">
        <f t="shared" si="4"/>
        <v>ESPERABLES</v>
      </c>
      <c r="H703" s="128"/>
      <c r="I703" s="128" t="str">
        <f t="shared" si="5"/>
        <v/>
      </c>
      <c r="J703" s="98" t="str">
        <f t="shared" si="6"/>
        <v/>
      </c>
      <c r="K703" s="98" t="str">
        <f t="shared" si="7"/>
        <v/>
      </c>
      <c r="L703" s="141" t="str">
        <f t="shared" ref="L703:N703" si="709">IF(I703="",L702,I703)</f>
        <v>10.2.4</v>
      </c>
      <c r="M703" s="98" t="str">
        <f t="shared" si="709"/>
        <v>Pertinencia de la navegación</v>
      </c>
      <c r="N703" s="98" t="str">
        <f t="shared" si="709"/>
        <v>Adecuada ubicación de los enlaces, de manera tal que aparezcan en contexto y brinden acceso oportuno a la información.</v>
      </c>
      <c r="O703" s="223" t="s">
        <v>1822</v>
      </c>
      <c r="P703" s="133" t="s">
        <v>1823</v>
      </c>
      <c r="Q703" s="133" t="s">
        <v>2031</v>
      </c>
      <c r="R703" s="134"/>
      <c r="S703" s="133" t="s">
        <v>1824</v>
      </c>
      <c r="T703" s="133" t="s">
        <v>1825</v>
      </c>
      <c r="U703" s="94"/>
      <c r="V703" s="94"/>
      <c r="W703" s="94"/>
      <c r="X703" s="94"/>
      <c r="Y703" s="94"/>
      <c r="Z703" s="94"/>
      <c r="AA703" s="94"/>
      <c r="AB703" s="94"/>
      <c r="AC703" s="94"/>
      <c r="AD703" s="94"/>
      <c r="AE703" s="94"/>
      <c r="AF703" s="94"/>
      <c r="AG703" s="94"/>
      <c r="AH703" s="94"/>
      <c r="AI703" s="94"/>
      <c r="AJ703" s="94"/>
      <c r="AK703" s="94"/>
      <c r="AL703" s="94"/>
    </row>
    <row r="704" hidden="1">
      <c r="A704" s="86" t="s">
        <v>1540</v>
      </c>
      <c r="B704" s="95" t="str">
        <f t="shared" si="494"/>
        <v>Otro</v>
      </c>
      <c r="C704" s="106" t="str">
        <f t="shared" si="9"/>
        <v>11.</v>
      </c>
      <c r="D704" s="106" t="str">
        <f t="shared" si="10"/>
        <v>Atención a la ciudadanía </v>
      </c>
      <c r="E704"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704" s="141" t="str">
        <f t="shared" si="3"/>
        <v>11.1</v>
      </c>
      <c r="G704" s="92" t="str">
        <f t="shared" si="4"/>
        <v>IMPRESCINDIBLES</v>
      </c>
      <c r="H704" s="141"/>
      <c r="I704" s="141" t="str">
        <f t="shared" si="5"/>
        <v/>
      </c>
      <c r="J704" s="98" t="str">
        <f t="shared" si="6"/>
        <v/>
      </c>
      <c r="K704" s="98" t="str">
        <f t="shared" si="7"/>
        <v/>
      </c>
      <c r="L704" s="141" t="str">
        <f t="shared" ref="L704:N704" si="710">IF(I704="",L703,I704)</f>
        <v>10.2.4</v>
      </c>
      <c r="M704" s="98" t="str">
        <f t="shared" si="710"/>
        <v>Pertinencia de la navegación</v>
      </c>
      <c r="N704" s="98" t="str">
        <f t="shared" si="710"/>
        <v>Adecuada ubicación de los enlaces, de manera tal que aparezcan en contexto y brinden acceso oportuno a la información.</v>
      </c>
      <c r="O704" s="258" t="s">
        <v>1218</v>
      </c>
      <c r="P704" s="137" t="s">
        <v>664</v>
      </c>
      <c r="Q704" s="138"/>
      <c r="R704" s="138"/>
      <c r="S704" s="139">
        <f>COUNTA(P705)</f>
        <v>1</v>
      </c>
      <c r="T704" s="140">
        <f>COUNTIF(U705,"n/a")</f>
        <v>0</v>
      </c>
      <c r="U704" s="94"/>
      <c r="V704" s="94"/>
      <c r="W704" s="94"/>
      <c r="X704" s="94"/>
      <c r="Y704" s="94"/>
      <c r="Z704" s="94"/>
      <c r="AA704" s="94"/>
      <c r="AB704" s="94"/>
      <c r="AC704" s="94"/>
      <c r="AD704" s="94"/>
      <c r="AE704" s="94"/>
      <c r="AF704" s="94"/>
      <c r="AG704" s="94"/>
      <c r="AH704" s="94"/>
      <c r="AI704" s="94"/>
      <c r="AJ704" s="94"/>
      <c r="AK704" s="94"/>
      <c r="AL704" s="94"/>
    </row>
    <row r="705" hidden="1">
      <c r="A705" s="105" t="s">
        <v>1540</v>
      </c>
      <c r="B705" s="92" t="str">
        <f t="shared" si="494"/>
        <v>Pregunta</v>
      </c>
      <c r="C705" s="106" t="str">
        <f t="shared" si="9"/>
        <v>11.</v>
      </c>
      <c r="D705" s="106" t="str">
        <f t="shared" si="10"/>
        <v>Atención a la ciudadanía </v>
      </c>
      <c r="E705"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705" s="141" t="str">
        <f t="shared" si="3"/>
        <v>11.1</v>
      </c>
      <c r="G705" s="92" t="str">
        <f t="shared" si="4"/>
        <v>IMPRESCINDIBLES</v>
      </c>
      <c r="H705" s="141"/>
      <c r="I705" s="141" t="str">
        <f t="shared" si="5"/>
        <v>11.1.1</v>
      </c>
      <c r="J705" s="98" t="str">
        <f t="shared" si="6"/>
        <v>Contacto</v>
      </c>
      <c r="K705" s="98" t="str">
        <f t="shared" si="7"/>
        <v>Oferta de múltiples vías de comunicación de las personas usuarias con los puntos de contacto del organismo.
</v>
      </c>
      <c r="L705" s="141" t="str">
        <f t="shared" ref="L705:N705" si="711">IF(I705="",L704,I705)</f>
        <v>11.1.1</v>
      </c>
      <c r="M705" s="98" t="str">
        <f t="shared" si="711"/>
        <v>Contacto</v>
      </c>
      <c r="N705" s="98" t="str">
        <f t="shared" si="711"/>
        <v>Oferta de múltiples vías de comunicación de las personas usuarias con los puntos de contacto del organismo.
</v>
      </c>
      <c r="O705" s="262" t="s">
        <v>1219</v>
      </c>
      <c r="P705" s="169" t="s">
        <v>1186</v>
      </c>
      <c r="Q705" s="169" t="s">
        <v>1687</v>
      </c>
      <c r="R705" s="168"/>
      <c r="S705" s="169" t="s">
        <v>1688</v>
      </c>
      <c r="T705" s="164" t="s">
        <v>2033</v>
      </c>
      <c r="U705" s="94"/>
      <c r="V705" s="94"/>
      <c r="W705" s="94"/>
      <c r="X705" s="94"/>
      <c r="Y705" s="94"/>
      <c r="Z705" s="94"/>
      <c r="AA705" s="94"/>
      <c r="AB705" s="94"/>
      <c r="AC705" s="94"/>
      <c r="AD705" s="94"/>
      <c r="AE705" s="94"/>
      <c r="AF705" s="94"/>
      <c r="AG705" s="94"/>
      <c r="AH705" s="94"/>
      <c r="AI705" s="94"/>
      <c r="AJ705" s="94"/>
      <c r="AK705" s="94"/>
      <c r="AL705" s="94"/>
    </row>
    <row r="706" hidden="1">
      <c r="A706" s="86" t="s">
        <v>1540</v>
      </c>
      <c r="B706" s="95" t="str">
        <f t="shared" si="494"/>
        <v>Otro</v>
      </c>
      <c r="C706" s="106" t="str">
        <f t="shared" si="9"/>
        <v>11.</v>
      </c>
      <c r="D706" s="106" t="str">
        <f t="shared" si="10"/>
        <v>Atención a la ciudadanía </v>
      </c>
      <c r="E706"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706" s="141" t="str">
        <f t="shared" si="3"/>
        <v>11.2</v>
      </c>
      <c r="G706" s="92" t="str">
        <f t="shared" si="4"/>
        <v>ESPERABLES</v>
      </c>
      <c r="H706" s="141"/>
      <c r="I706" s="141" t="str">
        <f t="shared" si="5"/>
        <v/>
      </c>
      <c r="J706" s="98" t="str">
        <f t="shared" si="6"/>
        <v/>
      </c>
      <c r="K706" s="98" t="str">
        <f t="shared" si="7"/>
        <v/>
      </c>
      <c r="L706" s="141" t="str">
        <f t="shared" ref="L706:N706" si="712">IF(I706="",L705,I706)</f>
        <v>11.1.1</v>
      </c>
      <c r="M706" s="98" t="str">
        <f t="shared" si="712"/>
        <v>Contacto</v>
      </c>
      <c r="N706" s="98" t="str">
        <f t="shared" si="712"/>
        <v>Oferta de múltiples vías de comunicación de las personas usuarias con los puntos de contacto del organismo.
</v>
      </c>
      <c r="O706" s="175" t="s">
        <v>1224</v>
      </c>
      <c r="P706" s="206" t="s">
        <v>714</v>
      </c>
      <c r="Q706" s="200"/>
      <c r="R706" s="177"/>
      <c r="S706" s="197">
        <f>COUNTA(P707:P713)</f>
        <v>3</v>
      </c>
      <c r="T706" s="197">
        <f>COUNTIF(U707:U713,"n/a")</f>
        <v>0</v>
      </c>
      <c r="U706" s="94"/>
      <c r="V706" s="94"/>
      <c r="W706" s="94"/>
      <c r="X706" s="94"/>
      <c r="Y706" s="94"/>
      <c r="Z706" s="94"/>
      <c r="AA706" s="94"/>
      <c r="AB706" s="94"/>
      <c r="AC706" s="94"/>
      <c r="AD706" s="94"/>
      <c r="AE706" s="94"/>
      <c r="AF706" s="94"/>
      <c r="AG706" s="94"/>
      <c r="AH706" s="94"/>
      <c r="AI706" s="94"/>
      <c r="AJ706" s="94"/>
      <c r="AK706" s="94"/>
      <c r="AL706" s="94"/>
    </row>
    <row r="707" hidden="1">
      <c r="A707" s="105" t="s">
        <v>1540</v>
      </c>
      <c r="B707" s="92" t="str">
        <f t="shared" si="494"/>
        <v>Pregunta</v>
      </c>
      <c r="C707" s="106" t="str">
        <f t="shared" si="9"/>
        <v>11.</v>
      </c>
      <c r="D707" s="106" t="str">
        <f t="shared" si="10"/>
        <v>Atención a la ciudadanía </v>
      </c>
      <c r="E707"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707" s="141" t="str">
        <f t="shared" si="3"/>
        <v>11.2</v>
      </c>
      <c r="G707" s="92" t="str">
        <f t="shared" si="4"/>
        <v>ESPERABLES</v>
      </c>
      <c r="H707" s="141"/>
      <c r="I707" s="141" t="str">
        <f t="shared" si="5"/>
        <v>11.2.1</v>
      </c>
      <c r="J707" s="98" t="str">
        <f t="shared" si="6"/>
        <v>Recursos de apoyo y documentación</v>
      </c>
      <c r="K707" s="98" t="str">
        <f t="shared" si="7"/>
        <v>Presencia de recursos y documentación de ayuda a las personas usuarias a responder sus consultas y necesidades de información que les surjan al utilizar un sitio web o servicios digitales.
</v>
      </c>
      <c r="L707" s="141" t="str">
        <f t="shared" ref="L707:N707" si="713">IF(I707="",L706,I707)</f>
        <v>11.2.1</v>
      </c>
      <c r="M707" s="98" t="str">
        <f t="shared" si="713"/>
        <v>Recursos de apoyo y documentación</v>
      </c>
      <c r="N707" s="98" t="str">
        <f t="shared" si="713"/>
        <v>Presencia de recursos y documentación de ayuda a las personas usuarias a responder sus consultas y necesidades de información que les surjan al utilizar un sitio web o servicios digitales.
</v>
      </c>
      <c r="O707" s="259" t="s">
        <v>1225</v>
      </c>
      <c r="P707" s="180" t="s">
        <v>1196</v>
      </c>
      <c r="Q707" s="180" t="s">
        <v>1689</v>
      </c>
      <c r="R707" s="171"/>
      <c r="S707" s="162" t="s">
        <v>1198</v>
      </c>
      <c r="T707" s="160" t="s">
        <v>2033</v>
      </c>
      <c r="U707" s="94"/>
      <c r="V707" s="94"/>
      <c r="W707" s="94"/>
      <c r="X707" s="94"/>
      <c r="Y707" s="94"/>
      <c r="Z707" s="94"/>
      <c r="AA707" s="94"/>
      <c r="AB707" s="94"/>
      <c r="AC707" s="94"/>
      <c r="AD707" s="94"/>
      <c r="AE707" s="94"/>
      <c r="AF707" s="94"/>
      <c r="AG707" s="94"/>
      <c r="AH707" s="94"/>
      <c r="AI707" s="94"/>
      <c r="AJ707" s="94"/>
      <c r="AK707" s="94"/>
      <c r="AL707" s="94"/>
    </row>
    <row r="708" hidden="1">
      <c r="A708" s="86" t="s">
        <v>1540</v>
      </c>
      <c r="B708" s="95" t="str">
        <f t="shared" si="494"/>
        <v>Pregunta</v>
      </c>
      <c r="C708" s="106" t="str">
        <f t="shared" si="9"/>
        <v>11.</v>
      </c>
      <c r="D708" s="106" t="str">
        <f t="shared" si="10"/>
        <v>Atención a la ciudadanía </v>
      </c>
      <c r="E708"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708" s="141" t="str">
        <f t="shared" si="3"/>
        <v>11.2</v>
      </c>
      <c r="G708" s="92" t="str">
        <f t="shared" si="4"/>
        <v>ESPERABLES</v>
      </c>
      <c r="H708" s="141"/>
      <c r="I708" s="141" t="str">
        <f t="shared" si="5"/>
        <v/>
      </c>
      <c r="J708" s="98" t="str">
        <f t="shared" si="6"/>
        <v/>
      </c>
      <c r="K708" s="98" t="str">
        <f t="shared" si="7"/>
        <v/>
      </c>
      <c r="L708" s="141" t="str">
        <f t="shared" ref="L708:N708" si="714">IF(I708="",L707,I708)</f>
        <v>11.2.1</v>
      </c>
      <c r="M708" s="98" t="str">
        <f t="shared" si="714"/>
        <v>Recursos de apoyo y documentación</v>
      </c>
      <c r="N708" s="98" t="str">
        <f t="shared" si="714"/>
        <v>Presencia de recursos y documentación de ayuda a las personas usuarias a responder sus consultas y necesidades de información que les surjan al utilizar un sitio web o servicios digitales.
</v>
      </c>
      <c r="O708" s="172"/>
      <c r="P708" s="143"/>
      <c r="Q708" s="143"/>
      <c r="R708" s="168"/>
      <c r="S708" s="169" t="s">
        <v>1690</v>
      </c>
      <c r="T708" s="164" t="s">
        <v>2033</v>
      </c>
      <c r="U708" s="94"/>
      <c r="V708" s="94"/>
      <c r="W708" s="94"/>
      <c r="X708" s="94"/>
      <c r="Y708" s="94"/>
      <c r="Z708" s="94"/>
      <c r="AA708" s="94"/>
      <c r="AB708" s="94"/>
      <c r="AC708" s="94"/>
      <c r="AD708" s="94"/>
      <c r="AE708" s="94"/>
      <c r="AF708" s="94"/>
      <c r="AG708" s="94"/>
      <c r="AH708" s="94"/>
      <c r="AI708" s="94"/>
      <c r="AJ708" s="94"/>
      <c r="AK708" s="94"/>
      <c r="AL708" s="94"/>
    </row>
    <row r="709" hidden="1">
      <c r="A709" s="105" t="s">
        <v>1540</v>
      </c>
      <c r="B709" s="92" t="str">
        <f t="shared" si="494"/>
        <v>Pregunta</v>
      </c>
      <c r="C709" s="106" t="str">
        <f t="shared" si="9"/>
        <v>11.</v>
      </c>
      <c r="D709" s="106" t="str">
        <f t="shared" si="10"/>
        <v>Atención a la ciudadanía </v>
      </c>
      <c r="E709"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709" s="141" t="str">
        <f t="shared" si="3"/>
        <v>11.2</v>
      </c>
      <c r="G709" s="92" t="str">
        <f t="shared" si="4"/>
        <v>ESPERABLES</v>
      </c>
      <c r="H709" s="141"/>
      <c r="I709" s="141" t="str">
        <f t="shared" si="5"/>
        <v>11.2.2</v>
      </c>
      <c r="J709" s="98" t="str">
        <f t="shared" si="6"/>
        <v>Sección de ayuda</v>
      </c>
      <c r="K709" s="98" t="str">
        <f t="shared" si="7"/>
        <v>Existencia de una sección especialmente dedicada a la ayuda para las personas usuarias, que reúna tanto los canales de atención como la documentación.
</v>
      </c>
      <c r="L709" s="141" t="str">
        <f t="shared" ref="L709:N709" si="715">IF(I709="",L708,I709)</f>
        <v>11.2.2</v>
      </c>
      <c r="M709" s="98" t="str">
        <f t="shared" si="715"/>
        <v>Sección de ayuda</v>
      </c>
      <c r="N709" s="98" t="str">
        <f t="shared" si="715"/>
        <v>Existencia de una sección especialmente dedicada a la ayuda para las personas usuarias, que reúna tanto los canales de atención como la documentación.
</v>
      </c>
      <c r="O709" s="259" t="s">
        <v>1229</v>
      </c>
      <c r="P709" s="148" t="s">
        <v>1201</v>
      </c>
      <c r="Q709" s="148" t="s">
        <v>1202</v>
      </c>
      <c r="R709" s="158"/>
      <c r="S709" s="170" t="s">
        <v>1203</v>
      </c>
      <c r="T709" s="160" t="s">
        <v>2033</v>
      </c>
      <c r="U709" s="94"/>
      <c r="V709" s="94"/>
      <c r="W709" s="94"/>
      <c r="X709" s="94"/>
      <c r="Y709" s="94"/>
      <c r="Z709" s="94"/>
      <c r="AA709" s="94"/>
      <c r="AB709" s="94"/>
      <c r="AC709" s="94"/>
      <c r="AD709" s="94"/>
      <c r="AE709" s="94"/>
      <c r="AF709" s="94"/>
      <c r="AG709" s="94"/>
      <c r="AH709" s="94"/>
      <c r="AI709" s="94"/>
      <c r="AJ709" s="94"/>
      <c r="AK709" s="94"/>
      <c r="AL709" s="94"/>
    </row>
    <row r="710" hidden="1">
      <c r="A710" s="86" t="s">
        <v>1540</v>
      </c>
      <c r="B710" s="95" t="str">
        <f t="shared" si="494"/>
        <v>Pregunta</v>
      </c>
      <c r="C710" s="106" t="str">
        <f t="shared" si="9"/>
        <v>11.</v>
      </c>
      <c r="D710" s="106" t="str">
        <f t="shared" si="10"/>
        <v>Atención a la ciudadanía </v>
      </c>
      <c r="E710"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710" s="141" t="str">
        <f t="shared" si="3"/>
        <v>11.2</v>
      </c>
      <c r="G710" s="92" t="str">
        <f t="shared" si="4"/>
        <v>ESPERABLES</v>
      </c>
      <c r="H710" s="141"/>
      <c r="I710" s="141" t="str">
        <f t="shared" si="5"/>
        <v/>
      </c>
      <c r="J710" s="98" t="str">
        <f t="shared" si="6"/>
        <v/>
      </c>
      <c r="K710" s="98" t="str">
        <f t="shared" si="7"/>
        <v/>
      </c>
      <c r="L710" s="141" t="str">
        <f t="shared" ref="L710:N710" si="716">IF(I710="",L709,I710)</f>
        <v>11.2.2</v>
      </c>
      <c r="M710" s="98" t="str">
        <f t="shared" si="716"/>
        <v>Sección de ayuda</v>
      </c>
      <c r="N710" s="98" t="str">
        <f t="shared" si="716"/>
        <v>Existencia de una sección especialmente dedicada a la ayuda para las personas usuarias, que reúna tanto los canales de atención como la documentación.
</v>
      </c>
      <c r="O710" s="172"/>
      <c r="P710" s="143"/>
      <c r="Q710" s="143"/>
      <c r="R710" s="168"/>
      <c r="S710" s="169" t="s">
        <v>1691</v>
      </c>
      <c r="T710" s="164" t="s">
        <v>2033</v>
      </c>
      <c r="U710" s="94"/>
      <c r="V710" s="94"/>
      <c r="W710" s="94"/>
      <c r="X710" s="94"/>
      <c r="Y710" s="94"/>
      <c r="Z710" s="94"/>
      <c r="AA710" s="94"/>
      <c r="AB710" s="94"/>
      <c r="AC710" s="94"/>
      <c r="AD710" s="94"/>
      <c r="AE710" s="94"/>
      <c r="AF710" s="94"/>
      <c r="AG710" s="94"/>
      <c r="AH710" s="94"/>
      <c r="AI710" s="94"/>
      <c r="AJ710" s="94"/>
      <c r="AK710" s="94"/>
      <c r="AL710" s="94"/>
    </row>
    <row r="711" hidden="1">
      <c r="A711" s="105" t="s">
        <v>1540</v>
      </c>
      <c r="B711" s="92" t="str">
        <f t="shared" si="494"/>
        <v>Pregunta</v>
      </c>
      <c r="C711" s="106" t="str">
        <f t="shared" si="9"/>
        <v>11.</v>
      </c>
      <c r="D711" s="106" t="str">
        <f t="shared" si="10"/>
        <v>Atención a la ciudadanía </v>
      </c>
      <c r="E711"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711" s="141" t="str">
        <f t="shared" si="3"/>
        <v>11.2</v>
      </c>
      <c r="G711" s="92" t="str">
        <f t="shared" si="4"/>
        <v>ESPERABLES</v>
      </c>
      <c r="H711" s="141"/>
      <c r="I711" s="141" t="str">
        <f t="shared" si="5"/>
        <v>11.2.3</v>
      </c>
      <c r="J711" s="98" t="str">
        <f t="shared" si="6"/>
        <v>Asistencia en línea</v>
      </c>
      <c r="K711" s="98" t="str">
        <f t="shared" si="7"/>
        <v>Canales de atención al ciudadano de manera sincrónica para satisfacer las necesidades de soporte que tengan las personas usuarias.</v>
      </c>
      <c r="L711" s="141" t="str">
        <f t="shared" ref="L711:N711" si="717">IF(I711="",L710,I711)</f>
        <v>11.2.3</v>
      </c>
      <c r="M711" s="98" t="str">
        <f t="shared" si="717"/>
        <v>Asistencia en línea</v>
      </c>
      <c r="N711" s="98" t="str">
        <f t="shared" si="717"/>
        <v>Canales de atención al ciudadano de manera sincrónica para satisfacer las necesidades de soporte que tengan las personas usuarias.</v>
      </c>
      <c r="O711" s="259" t="s">
        <v>1234</v>
      </c>
      <c r="P711" s="148" t="s">
        <v>1206</v>
      </c>
      <c r="Q711" s="148" t="s">
        <v>1207</v>
      </c>
      <c r="R711" s="158"/>
      <c r="S711" s="170" t="s">
        <v>1692</v>
      </c>
      <c r="T711" s="160" t="s">
        <v>2033</v>
      </c>
      <c r="U711" s="94"/>
      <c r="V711" s="94"/>
      <c r="W711" s="94"/>
      <c r="X711" s="94"/>
      <c r="Y711" s="94"/>
      <c r="Z711" s="94"/>
      <c r="AA711" s="94"/>
      <c r="AB711" s="94"/>
      <c r="AC711" s="94"/>
      <c r="AD711" s="94"/>
      <c r="AE711" s="94"/>
      <c r="AF711" s="94"/>
      <c r="AG711" s="94"/>
      <c r="AH711" s="94"/>
      <c r="AI711" s="94"/>
      <c r="AJ711" s="94"/>
      <c r="AK711" s="94"/>
      <c r="AL711" s="94"/>
    </row>
    <row r="712" hidden="1">
      <c r="A712" s="86" t="s">
        <v>1540</v>
      </c>
      <c r="B712" s="95" t="str">
        <f t="shared" si="494"/>
        <v>Pregunta</v>
      </c>
      <c r="C712" s="106" t="str">
        <f t="shared" si="9"/>
        <v>11.</v>
      </c>
      <c r="D712" s="106" t="str">
        <f t="shared" si="10"/>
        <v>Atención a la ciudadanía </v>
      </c>
      <c r="E712"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712" s="141" t="str">
        <f t="shared" si="3"/>
        <v>11.2</v>
      </c>
      <c r="G712" s="92" t="str">
        <f t="shared" si="4"/>
        <v>ESPERABLES</v>
      </c>
      <c r="H712" s="141"/>
      <c r="I712" s="141" t="str">
        <f t="shared" si="5"/>
        <v/>
      </c>
      <c r="J712" s="98" t="str">
        <f t="shared" si="6"/>
        <v/>
      </c>
      <c r="K712" s="98" t="str">
        <f t="shared" si="7"/>
        <v/>
      </c>
      <c r="L712" s="141" t="str">
        <f t="shared" ref="L712:N712" si="718">IF(I712="",L711,I712)</f>
        <v>11.2.3</v>
      </c>
      <c r="M712" s="98" t="str">
        <f t="shared" si="718"/>
        <v>Asistencia en línea</v>
      </c>
      <c r="N712" s="98" t="str">
        <f t="shared" si="718"/>
        <v>Canales de atención al ciudadano de manera sincrónica para satisfacer las necesidades de soporte que tengan las personas usuarias.</v>
      </c>
      <c r="O712" s="152"/>
      <c r="P712" s="153"/>
      <c r="Q712" s="153"/>
      <c r="R712" s="149"/>
      <c r="S712" s="162" t="s">
        <v>2212</v>
      </c>
      <c r="T712" s="160" t="s">
        <v>2033</v>
      </c>
      <c r="U712" s="94"/>
      <c r="V712" s="94"/>
      <c r="W712" s="94"/>
      <c r="X712" s="94"/>
      <c r="Y712" s="94"/>
      <c r="Z712" s="94"/>
      <c r="AA712" s="94"/>
      <c r="AB712" s="94"/>
      <c r="AC712" s="94"/>
      <c r="AD712" s="94"/>
      <c r="AE712" s="94"/>
      <c r="AF712" s="94"/>
      <c r="AG712" s="94"/>
      <c r="AH712" s="94"/>
      <c r="AI712" s="94"/>
      <c r="AJ712" s="94"/>
      <c r="AK712" s="94"/>
      <c r="AL712" s="94"/>
    </row>
    <row r="713" hidden="1">
      <c r="A713" s="86" t="s">
        <v>1540</v>
      </c>
      <c r="B713" s="95" t="str">
        <f t="shared" si="494"/>
        <v>Pregunta</v>
      </c>
      <c r="C713" s="106" t="str">
        <f t="shared" si="9"/>
        <v>11.</v>
      </c>
      <c r="D713" s="106" t="str">
        <f t="shared" si="10"/>
        <v>Atención a la ciudadanía </v>
      </c>
      <c r="E713"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713" s="141" t="str">
        <f t="shared" si="3"/>
        <v>11.2</v>
      </c>
      <c r="G713" s="92" t="str">
        <f t="shared" si="4"/>
        <v>ESPERABLES</v>
      </c>
      <c r="H713" s="141"/>
      <c r="I713" s="141" t="str">
        <f t="shared" si="5"/>
        <v/>
      </c>
      <c r="J713" s="98" t="str">
        <f t="shared" si="6"/>
        <v/>
      </c>
      <c r="K713" s="98" t="str">
        <f t="shared" si="7"/>
        <v/>
      </c>
      <c r="L713" s="141" t="str">
        <f t="shared" ref="L713:N713" si="719">IF(I713="",L712,I713)</f>
        <v>11.2.3</v>
      </c>
      <c r="M713" s="98" t="str">
        <f t="shared" si="719"/>
        <v>Asistencia en línea</v>
      </c>
      <c r="N713" s="98" t="str">
        <f t="shared" si="719"/>
        <v>Canales de atención al ciudadano de manera sincrónica para satisfacer las necesidades de soporte que tengan las personas usuarias.</v>
      </c>
      <c r="O713" s="142"/>
      <c r="P713" s="143"/>
      <c r="Q713" s="143"/>
      <c r="R713" s="174"/>
      <c r="S713" s="169" t="s">
        <v>2213</v>
      </c>
      <c r="T713" s="164" t="s">
        <v>2033</v>
      </c>
      <c r="U713" s="94"/>
      <c r="V713" s="94"/>
      <c r="W713" s="94"/>
      <c r="X713" s="94"/>
      <c r="Y713" s="94"/>
      <c r="Z713" s="94"/>
      <c r="AA713" s="94"/>
      <c r="AB713" s="94"/>
      <c r="AC713" s="94"/>
      <c r="AD713" s="94"/>
      <c r="AE713" s="94"/>
      <c r="AF713" s="94"/>
      <c r="AG713" s="94"/>
      <c r="AH713" s="94"/>
      <c r="AI713" s="94"/>
      <c r="AJ713" s="94"/>
      <c r="AK713" s="94"/>
      <c r="AL713" s="94"/>
    </row>
    <row r="714" hidden="1">
      <c r="A714" s="86" t="s">
        <v>1540</v>
      </c>
      <c r="B714" s="95" t="str">
        <f t="shared" si="494"/>
        <v>Otro</v>
      </c>
      <c r="C714" s="106" t="str">
        <f t="shared" si="9"/>
        <v>11.</v>
      </c>
      <c r="D714" s="106" t="str">
        <f t="shared" si="10"/>
        <v>Atención a la ciudadanía </v>
      </c>
      <c r="E714"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714" s="141" t="str">
        <f t="shared" si="3"/>
        <v>11.3</v>
      </c>
      <c r="G714" s="92" t="str">
        <f t="shared" si="4"/>
        <v>DESEABLES</v>
      </c>
      <c r="H714" s="141"/>
      <c r="I714" s="141" t="str">
        <f t="shared" si="5"/>
        <v/>
      </c>
      <c r="J714" s="98" t="str">
        <f t="shared" si="6"/>
        <v/>
      </c>
      <c r="K714" s="98" t="str">
        <f t="shared" si="7"/>
        <v/>
      </c>
      <c r="L714" s="141" t="str">
        <f t="shared" ref="L714:N714" si="720">IF(I714="",L713,I714)</f>
        <v>11.2.3</v>
      </c>
      <c r="M714" s="98" t="str">
        <f t="shared" si="720"/>
        <v>Asistencia en línea</v>
      </c>
      <c r="N714" s="98" t="str">
        <f t="shared" si="720"/>
        <v>Canales de atención al ciudadano de manera sincrónica para satisfacer las necesidades de soporte que tengan las personas usuarias.</v>
      </c>
      <c r="O714" s="181" t="s">
        <v>1693</v>
      </c>
      <c r="P714" s="182" t="s">
        <v>749</v>
      </c>
      <c r="Q714" s="183"/>
      <c r="R714" s="183"/>
      <c r="S714" s="199">
        <f>COUNTA(P715:P724)</f>
        <v>5</v>
      </c>
      <c r="T714" s="199">
        <f>COUNTIF(U715:U719,"n/a")</f>
        <v>0</v>
      </c>
      <c r="U714" s="94"/>
      <c r="V714" s="94"/>
      <c r="W714" s="94"/>
      <c r="X714" s="94"/>
      <c r="Y714" s="94"/>
      <c r="Z714" s="94"/>
      <c r="AA714" s="94"/>
      <c r="AB714" s="94"/>
      <c r="AC714" s="94"/>
      <c r="AD714" s="94"/>
      <c r="AE714" s="94"/>
      <c r="AF714" s="94"/>
      <c r="AG714" s="94"/>
      <c r="AH714" s="94"/>
      <c r="AI714" s="94"/>
      <c r="AJ714" s="94"/>
      <c r="AK714" s="94"/>
      <c r="AL714" s="94"/>
    </row>
    <row r="715" hidden="1">
      <c r="A715" s="105" t="s">
        <v>1540</v>
      </c>
      <c r="B715" s="92" t="str">
        <f t="shared" si="494"/>
        <v>Pregunta</v>
      </c>
      <c r="C715" s="106" t="str">
        <f t="shared" si="9"/>
        <v>11.</v>
      </c>
      <c r="D715" s="106" t="str">
        <f t="shared" si="10"/>
        <v>Atención a la ciudadanía </v>
      </c>
      <c r="E715" s="106" t="str">
        <f t="shared" si="11"/>
        <v>Recursos y documentación que ayuden a la persona usuaria a responder sus consultas y necesidades que surjan al utilizar un producto digital. Es recomendable contar con múltiples canales de comunicación para satisfacer las necesidades de soporte.</v>
      </c>
      <c r="F715" s="141" t="str">
        <f t="shared" si="3"/>
        <v>11.3</v>
      </c>
      <c r="G715" s="92" t="str">
        <f t="shared" si="4"/>
        <v>DESEABLES</v>
      </c>
      <c r="H715" s="141"/>
      <c r="I715" s="141" t="str">
        <f t="shared" si="5"/>
        <v>11.3.1</v>
      </c>
      <c r="J715" s="98" t="str">
        <f t="shared" si="6"/>
        <v>Ayuda contextual</v>
      </c>
      <c r="K715" s="98" t="str">
        <f t="shared" si="7"/>
        <v>Opción de ayuda en contexto para la realización de tareas e interacciones complejas.
</v>
      </c>
      <c r="L715" s="141" t="str">
        <f t="shared" ref="L715:N715" si="721">IF(I715="",L714,I715)</f>
        <v>11.3.1</v>
      </c>
      <c r="M715" s="98" t="str">
        <f t="shared" si="721"/>
        <v>Ayuda contextual</v>
      </c>
      <c r="N715" s="98" t="str">
        <f t="shared" si="721"/>
        <v>Opción de ayuda en contexto para la realización de tareas e interacciones complejas.
</v>
      </c>
      <c r="O715" s="315" t="s">
        <v>1694</v>
      </c>
      <c r="P715" s="148" t="s">
        <v>1695</v>
      </c>
      <c r="Q715" s="148" t="s">
        <v>1696</v>
      </c>
      <c r="R715" s="211"/>
      <c r="S715" s="166" t="s">
        <v>1209</v>
      </c>
      <c r="T715" s="164" t="s">
        <v>2033</v>
      </c>
      <c r="U715" s="94"/>
      <c r="V715" s="94"/>
      <c r="W715" s="94"/>
      <c r="X715" s="94"/>
      <c r="Y715" s="94"/>
      <c r="Z715" s="94"/>
      <c r="AA715" s="94"/>
      <c r="AB715" s="94"/>
      <c r="AC715" s="94"/>
      <c r="AD715" s="94"/>
      <c r="AE715" s="94"/>
      <c r="AF715" s="94"/>
      <c r="AG715" s="94"/>
      <c r="AH715" s="94"/>
      <c r="AI715" s="94"/>
      <c r="AJ715" s="94"/>
      <c r="AK715" s="94"/>
      <c r="AL715" s="94"/>
    </row>
    <row r="716" hidden="1">
      <c r="A716" s="86" t="s">
        <v>1540</v>
      </c>
      <c r="B716" s="201" t="str">
        <f t="shared" si="494"/>
        <v>Otro</v>
      </c>
      <c r="C716" s="106" t="str">
        <f t="shared" si="9"/>
        <v>12.</v>
      </c>
      <c r="D716" s="106" t="str">
        <f t="shared" si="10"/>
        <v>Diseño e imagen institucional</v>
      </c>
      <c r="E716"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16" s="141" t="str">
        <f t="shared" si="3"/>
        <v>11.3</v>
      </c>
      <c r="G716" s="92" t="str">
        <f t="shared" si="4"/>
        <v>DESEABLES</v>
      </c>
      <c r="H716" s="107"/>
      <c r="I716" s="107" t="str">
        <f t="shared" si="5"/>
        <v/>
      </c>
      <c r="J716" s="98" t="str">
        <f t="shared" si="6"/>
        <v/>
      </c>
      <c r="K716" s="98" t="str">
        <f t="shared" si="7"/>
        <v/>
      </c>
      <c r="L716" s="141" t="str">
        <f t="shared" ref="L716:N716" si="722">IF(I716="",L715,I716)</f>
        <v>11.3.1</v>
      </c>
      <c r="M716" s="98" t="str">
        <f t="shared" si="722"/>
        <v>Ayuda contextual</v>
      </c>
      <c r="N716" s="98" t="str">
        <f t="shared" si="722"/>
        <v>Opción de ayuda en contexto para la realización de tareas e interacciones complejas.
</v>
      </c>
      <c r="O716" s="220" t="s">
        <v>41</v>
      </c>
      <c r="P716" s="112" t="s">
        <v>32</v>
      </c>
      <c r="Q716" s="113"/>
      <c r="R716" s="114"/>
      <c r="S716" s="115" t="s">
        <v>1027</v>
      </c>
      <c r="T716" s="116" t="s">
        <v>2161</v>
      </c>
      <c r="U716" s="94"/>
      <c r="V716" s="94"/>
      <c r="W716" s="94"/>
      <c r="X716" s="94"/>
      <c r="Y716" s="94"/>
      <c r="Z716" s="94"/>
      <c r="AA716" s="94"/>
      <c r="AB716" s="94"/>
      <c r="AC716" s="94"/>
      <c r="AD716" s="94"/>
      <c r="AE716" s="94"/>
      <c r="AF716" s="94"/>
      <c r="AG716" s="94"/>
      <c r="AH716" s="94"/>
      <c r="AI716" s="94"/>
      <c r="AJ716" s="94"/>
      <c r="AK716" s="94"/>
      <c r="AL716" s="94"/>
    </row>
    <row r="717" hidden="1">
      <c r="A717" s="86" t="s">
        <v>1540</v>
      </c>
      <c r="B717" s="201" t="str">
        <f t="shared" si="494"/>
        <v>Otro</v>
      </c>
      <c r="C717" s="106" t="str">
        <f t="shared" si="9"/>
        <v>12.</v>
      </c>
      <c r="D717" s="106" t="str">
        <f t="shared" si="10"/>
        <v>Diseño e imagen institucional</v>
      </c>
      <c r="E717"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17" s="141" t="str">
        <f t="shared" si="3"/>
        <v>11.3</v>
      </c>
      <c r="G717" s="92" t="str">
        <f t="shared" si="4"/>
        <v>DESEABLES</v>
      </c>
      <c r="H717" s="107"/>
      <c r="I717" s="107" t="str">
        <f t="shared" si="5"/>
        <v/>
      </c>
      <c r="J717" s="98" t="str">
        <f t="shared" si="6"/>
        <v/>
      </c>
      <c r="K717" s="98" t="str">
        <f t="shared" si="7"/>
        <v/>
      </c>
      <c r="L717" s="141" t="str">
        <f t="shared" ref="L717:N717" si="723">IF(I717="",L716,I717)</f>
        <v>11.3.1</v>
      </c>
      <c r="M717" s="98" t="str">
        <f t="shared" si="723"/>
        <v>Ayuda contextual</v>
      </c>
      <c r="N717" s="98" t="str">
        <f t="shared" si="723"/>
        <v>Opción de ayuda en contexto para la realización de tareas e interacciones complejas.
</v>
      </c>
      <c r="O717" s="221"/>
      <c r="P717" s="118"/>
      <c r="Q717" s="119"/>
      <c r="R717" s="114"/>
      <c r="S717" s="239"/>
      <c r="T717" s="116" t="s">
        <v>19</v>
      </c>
      <c r="U717" s="94"/>
      <c r="V717" s="94"/>
      <c r="W717" s="94"/>
      <c r="X717" s="94"/>
      <c r="Y717" s="94"/>
      <c r="Z717" s="94"/>
      <c r="AA717" s="94"/>
      <c r="AB717" s="94"/>
      <c r="AC717" s="94"/>
      <c r="AD717" s="94"/>
      <c r="AE717" s="94"/>
      <c r="AF717" s="94"/>
      <c r="AG717" s="94"/>
      <c r="AH717" s="94"/>
      <c r="AI717" s="94"/>
      <c r="AJ717" s="94"/>
      <c r="AK717" s="94"/>
      <c r="AL717" s="94"/>
    </row>
    <row r="718" hidden="1">
      <c r="A718" s="86" t="s">
        <v>1540</v>
      </c>
      <c r="B718" s="201" t="str">
        <f t="shared" si="494"/>
        <v>Otro</v>
      </c>
      <c r="C718" s="106" t="str">
        <f t="shared" si="9"/>
        <v>12.</v>
      </c>
      <c r="D718" s="106" t="str">
        <f t="shared" si="10"/>
        <v>Diseño e imagen institucional</v>
      </c>
      <c r="E718"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18" s="141" t="str">
        <f t="shared" si="3"/>
        <v>11.3</v>
      </c>
      <c r="G718" s="92" t="str">
        <f t="shared" si="4"/>
        <v>DESEABLES</v>
      </c>
      <c r="H718" s="107"/>
      <c r="I718" s="107" t="str">
        <f t="shared" si="5"/>
        <v/>
      </c>
      <c r="J718" s="98" t="str">
        <f t="shared" si="6"/>
        <v/>
      </c>
      <c r="K718" s="98" t="str">
        <f t="shared" si="7"/>
        <v/>
      </c>
      <c r="L718" s="141" t="str">
        <f t="shared" ref="L718:N718" si="724">IF(I718="",L717,I718)</f>
        <v>11.3.1</v>
      </c>
      <c r="M718" s="98" t="str">
        <f t="shared" si="724"/>
        <v>Ayuda contextual</v>
      </c>
      <c r="N718" s="98" t="str">
        <f t="shared" si="724"/>
        <v>Opción de ayuda en contexto para la realización de tareas e interacciones complejas.
</v>
      </c>
      <c r="O718" s="222"/>
      <c r="P718" s="122"/>
      <c r="Q718" s="123"/>
      <c r="R718" s="114"/>
      <c r="S718" s="240"/>
      <c r="T718" s="116" t="s">
        <v>22</v>
      </c>
      <c r="U718" s="94"/>
      <c r="V718" s="94"/>
      <c r="W718" s="94"/>
      <c r="X718" s="94"/>
      <c r="Y718" s="94"/>
      <c r="Z718" s="94"/>
      <c r="AA718" s="94"/>
      <c r="AB718" s="94"/>
      <c r="AC718" s="94"/>
      <c r="AD718" s="94"/>
      <c r="AE718" s="94"/>
      <c r="AF718" s="94"/>
      <c r="AG718" s="94"/>
      <c r="AH718" s="94"/>
      <c r="AI718" s="94"/>
      <c r="AJ718" s="94"/>
      <c r="AK718" s="94"/>
      <c r="AL718" s="94"/>
    </row>
    <row r="719" hidden="1">
      <c r="A719" s="86" t="s">
        <v>1540</v>
      </c>
      <c r="B719" s="201" t="str">
        <f t="shared" si="494"/>
        <v>Otro</v>
      </c>
      <c r="C719" s="106" t="str">
        <f t="shared" si="9"/>
        <v>12.</v>
      </c>
      <c r="D719" s="106" t="str">
        <f t="shared" si="10"/>
        <v>Diseño e imagen institucional</v>
      </c>
      <c r="E719"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19" s="141" t="str">
        <f t="shared" si="3"/>
        <v>11.3</v>
      </c>
      <c r="G719" s="92" t="str">
        <f t="shared" si="4"/>
        <v>DESEABLES</v>
      </c>
      <c r="H719" s="96"/>
      <c r="I719" s="96" t="str">
        <f t="shared" si="5"/>
        <v/>
      </c>
      <c r="J719" s="98" t="str">
        <f t="shared" si="6"/>
        <v/>
      </c>
      <c r="K719" s="98" t="str">
        <f t="shared" si="7"/>
        <v/>
      </c>
      <c r="L719" s="141" t="str">
        <f t="shared" ref="L719:N719" si="725">IF(I719="",L718,I719)</f>
        <v>11.3.1</v>
      </c>
      <c r="M719" s="98" t="str">
        <f t="shared" si="725"/>
        <v>Ayuda contextual</v>
      </c>
      <c r="N719" s="98" t="str">
        <f t="shared" si="725"/>
        <v>Opción de ayuda en contexto para la realización de tareas e interacciones complejas.
</v>
      </c>
      <c r="O719" s="104"/>
      <c r="P719" s="114"/>
      <c r="Q719" s="114"/>
      <c r="R719" s="242"/>
      <c r="S719" s="242"/>
      <c r="T719" s="342"/>
      <c r="U719" s="94"/>
      <c r="V719" s="94"/>
      <c r="W719" s="94"/>
      <c r="X719" s="94"/>
      <c r="Y719" s="94"/>
      <c r="Z719" s="94"/>
      <c r="AA719" s="94"/>
      <c r="AB719" s="94"/>
      <c r="AC719" s="94"/>
      <c r="AD719" s="94"/>
      <c r="AE719" s="94"/>
      <c r="AF719" s="94"/>
      <c r="AG719" s="94"/>
      <c r="AH719" s="94"/>
      <c r="AI719" s="94"/>
      <c r="AJ719" s="94"/>
      <c r="AK719" s="94"/>
      <c r="AL719" s="94"/>
    </row>
    <row r="720" hidden="1">
      <c r="A720" s="86" t="s">
        <v>1540</v>
      </c>
      <c r="B720" s="95" t="str">
        <f t="shared" si="494"/>
        <v>Otro</v>
      </c>
      <c r="C720" s="106" t="str">
        <f t="shared" si="9"/>
        <v>12.</v>
      </c>
      <c r="D720" s="106" t="str">
        <f t="shared" si="10"/>
        <v>Diseño e imagen institucional</v>
      </c>
      <c r="E720"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20" s="141" t="str">
        <f t="shared" si="3"/>
        <v>11.3</v>
      </c>
      <c r="G720" s="92" t="str">
        <f t="shared" si="4"/>
        <v>DESEABLES</v>
      </c>
      <c r="H720" s="128"/>
      <c r="I720" s="128" t="str">
        <f t="shared" si="5"/>
        <v/>
      </c>
      <c r="J720" s="98" t="str">
        <f t="shared" si="6"/>
        <v/>
      </c>
      <c r="K720" s="98" t="str">
        <f t="shared" si="7"/>
        <v/>
      </c>
      <c r="L720" s="141" t="str">
        <f t="shared" ref="L720:N720" si="726">IF(I720="",L719,I720)</f>
        <v>11.3.1</v>
      </c>
      <c r="M720" s="98" t="str">
        <f t="shared" si="726"/>
        <v>Ayuda contextual</v>
      </c>
      <c r="N720" s="98" t="str">
        <f t="shared" si="726"/>
        <v>Opción de ayuda en contexto para la realización de tareas e interacciones complejas.
</v>
      </c>
      <c r="O720" s="223" t="s">
        <v>1822</v>
      </c>
      <c r="P720" s="133" t="s">
        <v>1823</v>
      </c>
      <c r="Q720" s="133" t="s">
        <v>2031</v>
      </c>
      <c r="R720" s="134"/>
      <c r="S720" s="133" t="s">
        <v>1824</v>
      </c>
      <c r="T720" s="133" t="s">
        <v>1825</v>
      </c>
      <c r="U720" s="94"/>
      <c r="V720" s="94"/>
      <c r="W720" s="94"/>
      <c r="X720" s="94"/>
      <c r="Y720" s="94"/>
      <c r="Z720" s="94"/>
      <c r="AA720" s="94"/>
      <c r="AB720" s="94"/>
      <c r="AC720" s="94"/>
      <c r="AD720" s="94"/>
      <c r="AE720" s="94"/>
      <c r="AF720" s="94"/>
      <c r="AG720" s="94"/>
      <c r="AH720" s="94"/>
      <c r="AI720" s="94"/>
      <c r="AJ720" s="94"/>
      <c r="AK720" s="94"/>
      <c r="AL720" s="94"/>
    </row>
    <row r="721" hidden="1">
      <c r="A721" s="86" t="s">
        <v>1540</v>
      </c>
      <c r="B721" s="95" t="str">
        <f t="shared" si="494"/>
        <v>Otro</v>
      </c>
      <c r="C721" s="106" t="str">
        <f t="shared" si="9"/>
        <v>12.</v>
      </c>
      <c r="D721" s="106" t="str">
        <f t="shared" si="10"/>
        <v>Diseño e imagen institucional</v>
      </c>
      <c r="E721"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21" s="141" t="str">
        <f t="shared" si="3"/>
        <v>12.1</v>
      </c>
      <c r="G721" s="92" t="str">
        <f t="shared" si="4"/>
        <v>IMPRESCINDIBLES</v>
      </c>
      <c r="H721" s="141"/>
      <c r="I721" s="141" t="str">
        <f t="shared" si="5"/>
        <v/>
      </c>
      <c r="J721" s="98" t="str">
        <f t="shared" si="6"/>
        <v/>
      </c>
      <c r="K721" s="98" t="str">
        <f t="shared" si="7"/>
        <v/>
      </c>
      <c r="L721" s="141" t="str">
        <f t="shared" ref="L721:N721" si="727">IF(I721="",L720,I721)</f>
        <v>11.3.1</v>
      </c>
      <c r="M721" s="98" t="str">
        <f t="shared" si="727"/>
        <v>Ayuda contextual</v>
      </c>
      <c r="N721" s="98" t="str">
        <f t="shared" si="727"/>
        <v>Opción de ayuda en contexto para la realización de tareas e interacciones complejas.
</v>
      </c>
      <c r="O721" s="259" t="s">
        <v>1246</v>
      </c>
      <c r="P721" s="206" t="s">
        <v>664</v>
      </c>
      <c r="Q721" s="200"/>
      <c r="R721" s="138"/>
      <c r="S721" s="139">
        <f>COUNTA(P722:P726)</f>
        <v>3</v>
      </c>
      <c r="T721" s="140">
        <f>COUNTIF(U722:U726,"n/a")</f>
        <v>0</v>
      </c>
      <c r="U721" s="94"/>
      <c r="V721" s="94"/>
      <c r="W721" s="94"/>
      <c r="X721" s="94"/>
      <c r="Y721" s="94"/>
      <c r="Z721" s="94"/>
      <c r="AA721" s="94"/>
      <c r="AB721" s="94"/>
      <c r="AC721" s="94"/>
      <c r="AD721" s="94"/>
      <c r="AE721" s="94"/>
      <c r="AF721" s="94"/>
      <c r="AG721" s="94"/>
      <c r="AH721" s="94"/>
      <c r="AI721" s="94"/>
      <c r="AJ721" s="94"/>
      <c r="AK721" s="94"/>
      <c r="AL721" s="94"/>
    </row>
    <row r="722" hidden="1">
      <c r="A722" s="105" t="s">
        <v>1540</v>
      </c>
      <c r="B722" s="92" t="str">
        <f t="shared" si="494"/>
        <v>Pregunta</v>
      </c>
      <c r="C722" s="106" t="str">
        <f t="shared" si="9"/>
        <v>12.</v>
      </c>
      <c r="D722" s="106" t="str">
        <f t="shared" si="10"/>
        <v>Diseño e imagen institucional</v>
      </c>
      <c r="E722"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22" s="141" t="str">
        <f t="shared" si="3"/>
        <v>12.1</v>
      </c>
      <c r="G722" s="92" t="str">
        <f t="shared" si="4"/>
        <v>IMPRESCINDIBLES</v>
      </c>
      <c r="H722" s="141"/>
      <c r="I722" s="141" t="str">
        <f t="shared" si="5"/>
        <v>12.1.1</v>
      </c>
      <c r="J722" s="98" t="str">
        <f t="shared" si="6"/>
        <v>Imagen gubernamental</v>
      </c>
      <c r="K722" s="98" t="str">
        <f t="shared" si="7"/>
        <v>Conectores visuales que vinculan e identifican a los organismos de administración del Estado, como tipografías, colores y definiciones gráficas.
</v>
      </c>
      <c r="L722" s="141" t="str">
        <f t="shared" ref="L722:N722" si="728">IF(I722="",L721,I722)</f>
        <v>12.1.1</v>
      </c>
      <c r="M722" s="98" t="str">
        <f t="shared" si="728"/>
        <v>Imagen gubernamental</v>
      </c>
      <c r="N722" s="98" t="str">
        <f t="shared" si="728"/>
        <v>Conectores visuales que vinculan e identifican a los organismos de administración del Estado, como tipografías, colores y definiciones gráficas.
</v>
      </c>
      <c r="O722" s="278" t="s">
        <v>1247</v>
      </c>
      <c r="P722" s="180" t="s">
        <v>1030</v>
      </c>
      <c r="Q722" s="180" t="s">
        <v>1031</v>
      </c>
      <c r="R722" s="171"/>
      <c r="S722" s="162" t="s">
        <v>1032</v>
      </c>
      <c r="T722" s="160" t="s">
        <v>2033</v>
      </c>
      <c r="U722" s="94"/>
      <c r="V722" s="94"/>
      <c r="W722" s="94"/>
      <c r="X722" s="94"/>
      <c r="Y722" s="94"/>
      <c r="Z722" s="94"/>
      <c r="AA722" s="94"/>
      <c r="AB722" s="94"/>
      <c r="AC722" s="94"/>
      <c r="AD722" s="94"/>
      <c r="AE722" s="94"/>
      <c r="AF722" s="94"/>
      <c r="AG722" s="94"/>
      <c r="AH722" s="94"/>
      <c r="AI722" s="94"/>
      <c r="AJ722" s="94"/>
      <c r="AK722" s="94"/>
      <c r="AL722" s="94"/>
    </row>
    <row r="723" hidden="1">
      <c r="A723" s="86" t="s">
        <v>1540</v>
      </c>
      <c r="B723" s="95" t="str">
        <f t="shared" si="494"/>
        <v>Pregunta</v>
      </c>
      <c r="C723" s="106" t="str">
        <f t="shared" si="9"/>
        <v>12.</v>
      </c>
      <c r="D723" s="106" t="str">
        <f t="shared" si="10"/>
        <v>Diseño e imagen institucional</v>
      </c>
      <c r="E723"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23" s="141" t="str">
        <f t="shared" si="3"/>
        <v>12.1</v>
      </c>
      <c r="G723" s="92" t="str">
        <f t="shared" si="4"/>
        <v>IMPRESCINDIBLES</v>
      </c>
      <c r="H723" s="141"/>
      <c r="I723" s="141" t="str">
        <f t="shared" si="5"/>
        <v/>
      </c>
      <c r="J723" s="98" t="str">
        <f t="shared" si="6"/>
        <v/>
      </c>
      <c r="K723" s="98" t="str">
        <f t="shared" si="7"/>
        <v/>
      </c>
      <c r="L723" s="141" t="str">
        <f t="shared" ref="L723:N723" si="729">IF(I723="",L722,I723)</f>
        <v>12.1.1</v>
      </c>
      <c r="M723" s="98" t="str">
        <f t="shared" si="729"/>
        <v>Imagen gubernamental</v>
      </c>
      <c r="N723" s="98" t="str">
        <f t="shared" si="729"/>
        <v>Conectores visuales que vinculan e identifican a los organismos de administración del Estado, como tipografías, colores y definiciones gráficas.
</v>
      </c>
      <c r="O723" s="152"/>
      <c r="P723" s="153"/>
      <c r="Q723" s="153"/>
      <c r="R723" s="171"/>
      <c r="S723" s="343" t="s">
        <v>2214</v>
      </c>
      <c r="T723" s="160" t="s">
        <v>2033</v>
      </c>
      <c r="U723" s="94"/>
      <c r="V723" s="94"/>
      <c r="W723" s="94"/>
      <c r="X723" s="94"/>
      <c r="Y723" s="94"/>
      <c r="Z723" s="94"/>
      <c r="AA723" s="94"/>
      <c r="AB723" s="94"/>
      <c r="AC723" s="94"/>
      <c r="AD723" s="94"/>
      <c r="AE723" s="94"/>
      <c r="AF723" s="94"/>
      <c r="AG723" s="94"/>
      <c r="AH723" s="94"/>
      <c r="AI723" s="94"/>
      <c r="AJ723" s="94"/>
      <c r="AK723" s="94"/>
      <c r="AL723" s="94"/>
    </row>
    <row r="724" hidden="1">
      <c r="A724" s="86" t="s">
        <v>1540</v>
      </c>
      <c r="B724" s="95" t="str">
        <f t="shared" si="494"/>
        <v>Pregunta</v>
      </c>
      <c r="C724" s="106" t="str">
        <f t="shared" si="9"/>
        <v>12.</v>
      </c>
      <c r="D724" s="106" t="str">
        <f t="shared" si="10"/>
        <v>Diseño e imagen institucional</v>
      </c>
      <c r="E724"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24" s="141" t="str">
        <f t="shared" si="3"/>
        <v>12.1</v>
      </c>
      <c r="G724" s="92" t="str">
        <f t="shared" si="4"/>
        <v>IMPRESCINDIBLES</v>
      </c>
      <c r="H724" s="141"/>
      <c r="I724" s="141" t="str">
        <f t="shared" si="5"/>
        <v/>
      </c>
      <c r="J724" s="98" t="str">
        <f t="shared" si="6"/>
        <v/>
      </c>
      <c r="K724" s="98" t="str">
        <f t="shared" si="7"/>
        <v/>
      </c>
      <c r="L724" s="141" t="str">
        <f t="shared" ref="L724:N724" si="730">IF(I724="",L723,I724)</f>
        <v>12.1.1</v>
      </c>
      <c r="M724" s="98" t="str">
        <f t="shared" si="730"/>
        <v>Imagen gubernamental</v>
      </c>
      <c r="N724" s="98" t="str">
        <f t="shared" si="730"/>
        <v>Conectores visuales que vinculan e identifican a los organismos de administración del Estado, como tipografías, colores y definiciones gráficas.
</v>
      </c>
      <c r="O724" s="142"/>
      <c r="P724" s="143"/>
      <c r="Q724" s="143"/>
      <c r="R724" s="344"/>
      <c r="S724" s="345" t="s">
        <v>1034</v>
      </c>
      <c r="T724" s="164" t="s">
        <v>2033</v>
      </c>
      <c r="U724" s="94"/>
      <c r="V724" s="94"/>
      <c r="W724" s="94"/>
      <c r="X724" s="94"/>
      <c r="Y724" s="94"/>
      <c r="Z724" s="94"/>
      <c r="AA724" s="94"/>
      <c r="AB724" s="94"/>
      <c r="AC724" s="94"/>
      <c r="AD724" s="94"/>
      <c r="AE724" s="94"/>
      <c r="AF724" s="94"/>
      <c r="AG724" s="94"/>
      <c r="AH724" s="94"/>
      <c r="AI724" s="94"/>
      <c r="AJ724" s="94"/>
      <c r="AK724" s="94"/>
      <c r="AL724" s="94"/>
    </row>
    <row r="725" hidden="1">
      <c r="A725" s="105" t="s">
        <v>1540</v>
      </c>
      <c r="B725" s="92" t="str">
        <f t="shared" si="494"/>
        <v>Pregunta</v>
      </c>
      <c r="C725" s="106" t="str">
        <f t="shared" si="9"/>
        <v>12.</v>
      </c>
      <c r="D725" s="106" t="str">
        <f t="shared" si="10"/>
        <v>Diseño e imagen institucional</v>
      </c>
      <c r="E725"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25" s="141" t="str">
        <f t="shared" si="3"/>
        <v>12.1</v>
      </c>
      <c r="G725" s="92" t="str">
        <f t="shared" si="4"/>
        <v>IMPRESCINDIBLES</v>
      </c>
      <c r="H725" s="141"/>
      <c r="I725" s="141" t="str">
        <f t="shared" si="5"/>
        <v>12.1.2</v>
      </c>
      <c r="J725" s="98" t="str">
        <f t="shared" si="6"/>
        <v>Enlaces perceptibles</v>
      </c>
      <c r="K725" s="98" t="str">
        <f t="shared" si="7"/>
        <v>Condición de los enlaces del sitio web, que se deben diferenciar claramente de un párrafo de texto o títulos.</v>
      </c>
      <c r="L725" s="141" t="str">
        <f t="shared" ref="L725:N725" si="731">IF(I725="",L724,I725)</f>
        <v>12.1.2</v>
      </c>
      <c r="M725" s="98" t="str">
        <f t="shared" si="731"/>
        <v>Enlaces perceptibles</v>
      </c>
      <c r="N725" s="98" t="str">
        <f t="shared" si="731"/>
        <v>Condición de los enlaces del sitio web, que se deben diferenciar claramente de un párrafo de texto o títulos.</v>
      </c>
      <c r="O725" s="346" t="s">
        <v>1697</v>
      </c>
      <c r="P725" s="170" t="s">
        <v>1036</v>
      </c>
      <c r="Q725" s="170" t="s">
        <v>1037</v>
      </c>
      <c r="R725" s="158"/>
      <c r="S725" s="170" t="s">
        <v>1038</v>
      </c>
      <c r="T725" s="164" t="s">
        <v>2033</v>
      </c>
      <c r="U725" s="94"/>
      <c r="V725" s="94"/>
      <c r="W725" s="94"/>
      <c r="X725" s="94"/>
      <c r="Y725" s="94"/>
      <c r="Z725" s="94"/>
      <c r="AA725" s="94"/>
      <c r="AB725" s="94"/>
      <c r="AC725" s="94"/>
      <c r="AD725" s="94"/>
      <c r="AE725" s="94"/>
      <c r="AF725" s="94"/>
      <c r="AG725" s="94"/>
      <c r="AH725" s="94"/>
      <c r="AI725" s="94"/>
      <c r="AJ725" s="94"/>
      <c r="AK725" s="94"/>
      <c r="AL725" s="94"/>
    </row>
    <row r="726" hidden="1">
      <c r="A726" s="105" t="s">
        <v>1540</v>
      </c>
      <c r="B726" s="92" t="str">
        <f t="shared" si="494"/>
        <v>Pregunta</v>
      </c>
      <c r="C726" s="106" t="str">
        <f t="shared" si="9"/>
        <v>12.</v>
      </c>
      <c r="D726" s="106" t="str">
        <f t="shared" si="10"/>
        <v>Diseño e imagen institucional</v>
      </c>
      <c r="E726"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26" s="141" t="str">
        <f t="shared" si="3"/>
        <v>12.1</v>
      </c>
      <c r="G726" s="92" t="str">
        <f t="shared" si="4"/>
        <v>IMPRESCINDIBLES</v>
      </c>
      <c r="H726" s="141"/>
      <c r="I726" s="141" t="str">
        <f t="shared" si="5"/>
        <v>12.1.3</v>
      </c>
      <c r="J726" s="98" t="str">
        <f t="shared" si="6"/>
        <v>Integridad estética</v>
      </c>
      <c r="K726" s="98" t="str">
        <f t="shared" si="7"/>
        <v>Coherencia de los elementos visuales, los que deben disponerse de la misma manera y permitir mantener una apariencia consistente en todo el sitio, que brinde una experiencia visual unificada para las personas usuarias.
</v>
      </c>
      <c r="L726" s="141" t="str">
        <f t="shared" ref="L726:N726" si="732">IF(I726="",L725,I726)</f>
        <v>12.1.3</v>
      </c>
      <c r="M726" s="98" t="str">
        <f t="shared" si="732"/>
        <v>Integridad estética</v>
      </c>
      <c r="N726" s="98" t="str">
        <f t="shared" si="732"/>
        <v>Coherencia de los elementos visuales, los que deben disponerse de la misma manera y permitir mantener una apariencia consistente en todo el sitio, que brinde una experiencia visual unificada para las personas usuarias.
</v>
      </c>
      <c r="O726" s="273" t="s">
        <v>1698</v>
      </c>
      <c r="P726" s="166" t="s">
        <v>1040</v>
      </c>
      <c r="Q726" s="166" t="s">
        <v>1699</v>
      </c>
      <c r="R726" s="211"/>
      <c r="S726" s="166" t="s">
        <v>1042</v>
      </c>
      <c r="T726" s="164" t="s">
        <v>2033</v>
      </c>
      <c r="U726" s="94"/>
      <c r="V726" s="94"/>
      <c r="W726" s="94"/>
      <c r="X726" s="94"/>
      <c r="Y726" s="94"/>
      <c r="Z726" s="94"/>
      <c r="AA726" s="94"/>
      <c r="AB726" s="94"/>
      <c r="AC726" s="94"/>
      <c r="AD726" s="94"/>
      <c r="AE726" s="94"/>
      <c r="AF726" s="94"/>
      <c r="AG726" s="94"/>
      <c r="AH726" s="94"/>
      <c r="AI726" s="94"/>
      <c r="AJ726" s="94"/>
      <c r="AK726" s="94"/>
      <c r="AL726" s="94"/>
    </row>
    <row r="727" hidden="1">
      <c r="A727" s="86" t="s">
        <v>1540</v>
      </c>
      <c r="B727" s="95" t="str">
        <f t="shared" si="494"/>
        <v>Otro</v>
      </c>
      <c r="C727" s="106" t="str">
        <f t="shared" si="9"/>
        <v>12.</v>
      </c>
      <c r="D727" s="106" t="str">
        <f t="shared" si="10"/>
        <v>Diseño e imagen institucional</v>
      </c>
      <c r="E727"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27" s="141" t="str">
        <f t="shared" si="3"/>
        <v>12.2</v>
      </c>
      <c r="G727" s="92" t="str">
        <f t="shared" si="4"/>
        <v>ESPERABLES</v>
      </c>
      <c r="H727" s="141"/>
      <c r="I727" s="141" t="str">
        <f t="shared" si="5"/>
        <v/>
      </c>
      <c r="J727" s="98" t="str">
        <f t="shared" si="6"/>
        <v/>
      </c>
      <c r="K727" s="98" t="str">
        <f t="shared" si="7"/>
        <v/>
      </c>
      <c r="L727" s="141" t="str">
        <f t="shared" ref="L727:N727" si="733">IF(I727="",L726,I727)</f>
        <v>12.1.3</v>
      </c>
      <c r="M727" s="98" t="str">
        <f t="shared" si="733"/>
        <v>Integridad estética</v>
      </c>
      <c r="N727" s="98" t="str">
        <f t="shared" si="733"/>
        <v>Coherencia de los elementos visuales, los que deben disponerse de la misma manera y permitir mantener una apariencia consistente en todo el sitio, que brinde una experiencia visual unificada para las personas usuarias.
</v>
      </c>
      <c r="O727" s="259" t="s">
        <v>1252</v>
      </c>
      <c r="P727" s="206" t="s">
        <v>714</v>
      </c>
      <c r="Q727" s="200"/>
      <c r="R727" s="177"/>
      <c r="S727" s="197">
        <f>COUNTA(P728:P743)</f>
        <v>6</v>
      </c>
      <c r="T727" s="197">
        <f>COUNTIF(U728:U743,"n/a")</f>
        <v>0</v>
      </c>
      <c r="U727" s="94"/>
      <c r="V727" s="94"/>
      <c r="W727" s="94"/>
      <c r="X727" s="94"/>
      <c r="Y727" s="94"/>
      <c r="Z727" s="94"/>
      <c r="AA727" s="94"/>
      <c r="AB727" s="94"/>
      <c r="AC727" s="94"/>
      <c r="AD727" s="94"/>
      <c r="AE727" s="94"/>
      <c r="AF727" s="94"/>
      <c r="AG727" s="94"/>
      <c r="AH727" s="94"/>
      <c r="AI727" s="94"/>
      <c r="AJ727" s="94"/>
      <c r="AK727" s="94"/>
      <c r="AL727" s="94"/>
    </row>
    <row r="728" hidden="1">
      <c r="A728" s="105" t="s">
        <v>1540</v>
      </c>
      <c r="B728" s="92" t="str">
        <f t="shared" si="494"/>
        <v>Pregunta</v>
      </c>
      <c r="C728" s="106" t="str">
        <f t="shared" si="9"/>
        <v>12.</v>
      </c>
      <c r="D728" s="106" t="str">
        <f t="shared" si="10"/>
        <v>Diseño e imagen institucional</v>
      </c>
      <c r="E728"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28" s="141" t="str">
        <f t="shared" si="3"/>
        <v>12.2</v>
      </c>
      <c r="G728" s="92" t="str">
        <f t="shared" si="4"/>
        <v>ESPERABLES</v>
      </c>
      <c r="H728" s="141"/>
      <c r="I728" s="141" t="str">
        <f t="shared" si="5"/>
        <v>12.2.1</v>
      </c>
      <c r="J728" s="98" t="str">
        <f t="shared" si="6"/>
        <v>Tipografía</v>
      </c>
      <c r="K728" s="98" t="str">
        <f t="shared" si="7"/>
        <v>Uso de tipografías que faciliten la legibilidad, con un tamaño adaptable a las diferentes condiciones de las personas usuarias y dispositivos. Adopción de las familias tipográficas establecidas en el sistema de diseño gubernamental.</v>
      </c>
      <c r="L728" s="141" t="str">
        <f t="shared" ref="L728:N728" si="734">IF(I728="",L727,I728)</f>
        <v>12.2.1</v>
      </c>
      <c r="M728" s="98" t="str">
        <f t="shared" si="734"/>
        <v>Tipografía</v>
      </c>
      <c r="N728" s="98" t="str">
        <f t="shared" si="734"/>
        <v>Uso de tipografías que faciliten la legibilidad, con un tamaño adaptable a las diferentes condiciones de las personas usuarias y dispositivos. Adopción de las familias tipográficas establecidas en el sistema de diseño gubernamental.</v>
      </c>
      <c r="O728" s="278" t="s">
        <v>1253</v>
      </c>
      <c r="P728" s="180" t="s">
        <v>1045</v>
      </c>
      <c r="Q728" s="180" t="s">
        <v>1046</v>
      </c>
      <c r="R728" s="171"/>
      <c r="S728" s="254" t="s">
        <v>2215</v>
      </c>
      <c r="T728" s="160" t="s">
        <v>2033</v>
      </c>
      <c r="U728" s="94"/>
      <c r="V728" s="94"/>
      <c r="W728" s="94"/>
      <c r="X728" s="94"/>
      <c r="Y728" s="94"/>
      <c r="Z728" s="94"/>
      <c r="AA728" s="94"/>
      <c r="AB728" s="94"/>
      <c r="AC728" s="94"/>
      <c r="AD728" s="94"/>
      <c r="AE728" s="94"/>
      <c r="AF728" s="94"/>
      <c r="AG728" s="94"/>
      <c r="AH728" s="94"/>
      <c r="AI728" s="94"/>
      <c r="AJ728" s="94"/>
      <c r="AK728" s="94"/>
      <c r="AL728" s="94"/>
    </row>
    <row r="729" hidden="1">
      <c r="A729" s="86" t="s">
        <v>1540</v>
      </c>
      <c r="B729" s="95" t="str">
        <f t="shared" si="494"/>
        <v>Pregunta</v>
      </c>
      <c r="C729" s="106" t="str">
        <f t="shared" si="9"/>
        <v>12.</v>
      </c>
      <c r="D729" s="106" t="str">
        <f t="shared" si="10"/>
        <v>Diseño e imagen institucional</v>
      </c>
      <c r="E729"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29" s="141" t="str">
        <f t="shared" si="3"/>
        <v>12.2</v>
      </c>
      <c r="G729" s="92" t="str">
        <f t="shared" si="4"/>
        <v>ESPERABLES</v>
      </c>
      <c r="H729" s="141"/>
      <c r="I729" s="141" t="str">
        <f t="shared" si="5"/>
        <v/>
      </c>
      <c r="J729" s="98" t="str">
        <f t="shared" si="6"/>
        <v/>
      </c>
      <c r="K729" s="98" t="str">
        <f t="shared" si="7"/>
        <v/>
      </c>
      <c r="L729" s="141" t="str">
        <f t="shared" ref="L729:N729" si="735">IF(I729="",L728,I729)</f>
        <v>12.2.1</v>
      </c>
      <c r="M729" s="98" t="str">
        <f t="shared" si="735"/>
        <v>Tipografía</v>
      </c>
      <c r="N729" s="98" t="str">
        <f t="shared" si="735"/>
        <v>Uso de tipografías que faciliten la legibilidad, con un tamaño adaptable a las diferentes condiciones de las personas usuarias y dispositivos. Adopción de las familias tipográficas establecidas en el sistema de diseño gubernamental.</v>
      </c>
      <c r="O729" s="152"/>
      <c r="P729" s="153"/>
      <c r="Q729" s="153"/>
      <c r="R729" s="171"/>
      <c r="S729" s="254" t="s">
        <v>2216</v>
      </c>
      <c r="T729" s="160" t="s">
        <v>2033</v>
      </c>
      <c r="U729" s="94"/>
      <c r="V729" s="94"/>
      <c r="W729" s="94"/>
      <c r="X729" s="94"/>
      <c r="Y729" s="94"/>
      <c r="Z729" s="94"/>
      <c r="AA729" s="94"/>
      <c r="AB729" s="94"/>
      <c r="AC729" s="94"/>
      <c r="AD729" s="94"/>
      <c r="AE729" s="94"/>
      <c r="AF729" s="94"/>
      <c r="AG729" s="94"/>
      <c r="AH729" s="94"/>
      <c r="AI729" s="94"/>
      <c r="AJ729" s="94"/>
      <c r="AK729" s="94"/>
      <c r="AL729" s="94"/>
    </row>
    <row r="730" hidden="1">
      <c r="A730" s="86" t="s">
        <v>1540</v>
      </c>
      <c r="B730" s="95" t="str">
        <f t="shared" si="494"/>
        <v>Pregunta</v>
      </c>
      <c r="C730" s="106" t="str">
        <f t="shared" si="9"/>
        <v>12.</v>
      </c>
      <c r="D730" s="106" t="str">
        <f t="shared" si="10"/>
        <v>Diseño e imagen institucional</v>
      </c>
      <c r="E730"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30" s="141" t="str">
        <f t="shared" si="3"/>
        <v>12.2</v>
      </c>
      <c r="G730" s="92" t="str">
        <f t="shared" si="4"/>
        <v>ESPERABLES</v>
      </c>
      <c r="H730" s="141"/>
      <c r="I730" s="141" t="str">
        <f t="shared" si="5"/>
        <v/>
      </c>
      <c r="J730" s="98" t="str">
        <f t="shared" si="6"/>
        <v/>
      </c>
      <c r="K730" s="98" t="str">
        <f t="shared" si="7"/>
        <v/>
      </c>
      <c r="L730" s="141" t="str">
        <f t="shared" ref="L730:N730" si="736">IF(I730="",L729,I730)</f>
        <v>12.2.1</v>
      </c>
      <c r="M730" s="98" t="str">
        <f t="shared" si="736"/>
        <v>Tipografía</v>
      </c>
      <c r="N730" s="98" t="str">
        <f t="shared" si="736"/>
        <v>Uso de tipografías que faciliten la legibilidad, con un tamaño adaptable a las diferentes condiciones de las personas usuarias y dispositivos. Adopción de las familias tipográficas establecidas en el sistema de diseño gubernamental.</v>
      </c>
      <c r="O730" s="152"/>
      <c r="P730" s="153"/>
      <c r="Q730" s="153"/>
      <c r="R730" s="171"/>
      <c r="S730" s="162" t="s">
        <v>1702</v>
      </c>
      <c r="T730" s="160" t="s">
        <v>2033</v>
      </c>
      <c r="U730" s="94"/>
      <c r="V730" s="94"/>
      <c r="W730" s="94"/>
      <c r="X730" s="94"/>
      <c r="Y730" s="94"/>
      <c r="Z730" s="94"/>
      <c r="AA730" s="94"/>
      <c r="AB730" s="94"/>
      <c r="AC730" s="94"/>
      <c r="AD730" s="94"/>
      <c r="AE730" s="94"/>
      <c r="AF730" s="94"/>
      <c r="AG730" s="94"/>
      <c r="AH730" s="94"/>
      <c r="AI730" s="94"/>
      <c r="AJ730" s="94"/>
      <c r="AK730" s="94"/>
      <c r="AL730" s="94"/>
    </row>
    <row r="731" hidden="1">
      <c r="A731" s="86" t="s">
        <v>1540</v>
      </c>
      <c r="B731" s="95" t="str">
        <f t="shared" si="494"/>
        <v>Pregunta</v>
      </c>
      <c r="C731" s="106" t="str">
        <f t="shared" si="9"/>
        <v>12.</v>
      </c>
      <c r="D731" s="106" t="str">
        <f t="shared" si="10"/>
        <v>Diseño e imagen institucional</v>
      </c>
      <c r="E731"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31" s="141" t="str">
        <f t="shared" si="3"/>
        <v>12.2</v>
      </c>
      <c r="G731" s="92" t="str">
        <f t="shared" si="4"/>
        <v>ESPERABLES</v>
      </c>
      <c r="H731" s="141"/>
      <c r="I731" s="141" t="str">
        <f t="shared" si="5"/>
        <v/>
      </c>
      <c r="J731" s="98" t="str">
        <f t="shared" si="6"/>
        <v/>
      </c>
      <c r="K731" s="98" t="str">
        <f t="shared" si="7"/>
        <v/>
      </c>
      <c r="L731" s="141" t="str">
        <f t="shared" ref="L731:N731" si="737">IF(I731="",L730,I731)</f>
        <v>12.2.1</v>
      </c>
      <c r="M731" s="98" t="str">
        <f t="shared" si="737"/>
        <v>Tipografía</v>
      </c>
      <c r="N731" s="98" t="str">
        <f t="shared" si="737"/>
        <v>Uso de tipografías que faciliten la legibilidad, con un tamaño adaptable a las diferentes condiciones de las personas usuarias y dispositivos. Adopción de las familias tipográficas establecidas en el sistema de diseño gubernamental.</v>
      </c>
      <c r="O731" s="142"/>
      <c r="P731" s="143"/>
      <c r="Q731" s="143"/>
      <c r="R731" s="171"/>
      <c r="S731" s="180" t="s">
        <v>2217</v>
      </c>
      <c r="T731" s="164" t="s">
        <v>2033</v>
      </c>
      <c r="U731" s="94"/>
      <c r="V731" s="94"/>
      <c r="W731" s="94"/>
      <c r="X731" s="94"/>
      <c r="Y731" s="94"/>
      <c r="Z731" s="94"/>
      <c r="AA731" s="94"/>
      <c r="AB731" s="94"/>
      <c r="AC731" s="94"/>
      <c r="AD731" s="94"/>
      <c r="AE731" s="94"/>
      <c r="AF731" s="94"/>
      <c r="AG731" s="94"/>
      <c r="AH731" s="94"/>
      <c r="AI731" s="94"/>
      <c r="AJ731" s="94"/>
      <c r="AK731" s="94"/>
      <c r="AL731" s="94"/>
    </row>
    <row r="732" hidden="1">
      <c r="A732" s="105" t="s">
        <v>1540</v>
      </c>
      <c r="B732" s="92" t="str">
        <f t="shared" si="494"/>
        <v>Pregunta</v>
      </c>
      <c r="C732" s="106" t="str">
        <f t="shared" si="9"/>
        <v>12.</v>
      </c>
      <c r="D732" s="106" t="str">
        <f t="shared" si="10"/>
        <v>Diseño e imagen institucional</v>
      </c>
      <c r="E732"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32" s="141" t="str">
        <f t="shared" si="3"/>
        <v>12.2</v>
      </c>
      <c r="G732" s="92" t="str">
        <f t="shared" si="4"/>
        <v>ESPERABLES</v>
      </c>
      <c r="H732" s="141"/>
      <c r="I732" s="141" t="str">
        <f t="shared" si="5"/>
        <v>12.2.2</v>
      </c>
      <c r="J732" s="98" t="str">
        <f t="shared" si="6"/>
        <v>Uso del color</v>
      </c>
      <c r="K732" s="98" t="str">
        <f t="shared" si="7"/>
        <v>Definición de una paleta de colores formulada para afianzar la imagen de la institución, sobre la base de criterios de una adecuada combinación, atractivo visual, coherencia y contraste. Estos deberán estar sujetos a las normas de accesibilidad y, si corresponde, adoptar los lineamientos del sistema de diseño gubernamental.
</v>
      </c>
      <c r="L732" s="141" t="str">
        <f t="shared" ref="L732:N732" si="738">IF(I732="",L731,I732)</f>
        <v>12.2.2</v>
      </c>
      <c r="M732" s="98" t="str">
        <f t="shared" si="738"/>
        <v>Uso del color</v>
      </c>
      <c r="N732" s="98" t="str">
        <f t="shared" si="738"/>
        <v>Definición de una paleta de colores formulada para afianzar la imagen de la institución, sobre la base de criterios de una adecuada combinación, atractivo visual, coherencia y contraste. Estos deberán estar sujetos a las normas de accesibilidad y, si corresponde, adoptar los lineamientos del sistema de diseño gubernamental.
</v>
      </c>
      <c r="O732" s="315" t="s">
        <v>1258</v>
      </c>
      <c r="P732" s="148" t="s">
        <v>1052</v>
      </c>
      <c r="Q732" s="148" t="s">
        <v>1053</v>
      </c>
      <c r="R732" s="158"/>
      <c r="S732" s="170" t="s">
        <v>1054</v>
      </c>
      <c r="T732" s="160" t="s">
        <v>2033</v>
      </c>
      <c r="U732" s="94"/>
      <c r="V732" s="94"/>
      <c r="W732" s="94"/>
      <c r="X732" s="94"/>
      <c r="Y732" s="94"/>
      <c r="Z732" s="94"/>
      <c r="AA732" s="94"/>
      <c r="AB732" s="94"/>
      <c r="AC732" s="94"/>
      <c r="AD732" s="94"/>
      <c r="AE732" s="94"/>
      <c r="AF732" s="94"/>
      <c r="AG732" s="94"/>
      <c r="AH732" s="94"/>
      <c r="AI732" s="94"/>
      <c r="AJ732" s="94"/>
      <c r="AK732" s="94"/>
      <c r="AL732" s="94"/>
    </row>
    <row r="733" hidden="1">
      <c r="A733" s="86" t="s">
        <v>1540</v>
      </c>
      <c r="B733" s="95" t="str">
        <f t="shared" si="494"/>
        <v>Pregunta</v>
      </c>
      <c r="C733" s="106" t="str">
        <f t="shared" si="9"/>
        <v>12.</v>
      </c>
      <c r="D733" s="106" t="str">
        <f t="shared" si="10"/>
        <v>Diseño e imagen institucional</v>
      </c>
      <c r="E733"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33" s="141" t="str">
        <f t="shared" si="3"/>
        <v>12.2</v>
      </c>
      <c r="G733" s="92" t="str">
        <f t="shared" si="4"/>
        <v>ESPERABLES</v>
      </c>
      <c r="H733" s="141"/>
      <c r="I733" s="141" t="str">
        <f t="shared" si="5"/>
        <v/>
      </c>
      <c r="J733" s="98" t="str">
        <f t="shared" si="6"/>
        <v/>
      </c>
      <c r="K733" s="98" t="str">
        <f t="shared" si="7"/>
        <v/>
      </c>
      <c r="L733" s="141" t="str">
        <f t="shared" ref="L733:N733" si="739">IF(I733="",L732,I733)</f>
        <v>12.2.2</v>
      </c>
      <c r="M733" s="98" t="str">
        <f t="shared" si="739"/>
        <v>Uso del color</v>
      </c>
      <c r="N733" s="98" t="str">
        <f t="shared" si="739"/>
        <v>Definición de una paleta de colores formulada para afianzar la imagen de la institución, sobre la base de criterios de una adecuada combinación, atractivo visual, coherencia y contraste. Estos deberán estar sujetos a las normas de accesibilidad y, si corresponde, adoptar los lineamientos del sistema de diseño gubernamental.
</v>
      </c>
      <c r="O733" s="142"/>
      <c r="P733" s="143"/>
      <c r="Q733" s="143"/>
      <c r="R733" s="171"/>
      <c r="S733" s="256" t="s">
        <v>2218</v>
      </c>
      <c r="T733" s="164" t="s">
        <v>2033</v>
      </c>
      <c r="U733" s="94"/>
      <c r="V733" s="94"/>
      <c r="W733" s="94"/>
      <c r="X733" s="94"/>
      <c r="Y733" s="94"/>
      <c r="Z733" s="94"/>
      <c r="AA733" s="94"/>
      <c r="AB733" s="94"/>
      <c r="AC733" s="94"/>
      <c r="AD733" s="94"/>
      <c r="AE733" s="94"/>
      <c r="AF733" s="94"/>
      <c r="AG733" s="94"/>
      <c r="AH733" s="94"/>
      <c r="AI733" s="94"/>
      <c r="AJ733" s="94"/>
      <c r="AK733" s="94"/>
      <c r="AL733" s="94"/>
    </row>
    <row r="734" hidden="1">
      <c r="A734" s="105" t="s">
        <v>1540</v>
      </c>
      <c r="B734" s="92" t="str">
        <f t="shared" si="494"/>
        <v>Pregunta</v>
      </c>
      <c r="C734" s="106" t="str">
        <f t="shared" si="9"/>
        <v>12.</v>
      </c>
      <c r="D734" s="106" t="str">
        <f t="shared" si="10"/>
        <v>Diseño e imagen institucional</v>
      </c>
      <c r="E734"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34" s="141" t="str">
        <f t="shared" si="3"/>
        <v>12.2</v>
      </c>
      <c r="G734" s="92" t="str">
        <f t="shared" si="4"/>
        <v>ESPERABLES</v>
      </c>
      <c r="H734" s="141"/>
      <c r="I734" s="141" t="str">
        <f t="shared" si="5"/>
        <v>12.2.3</v>
      </c>
      <c r="J734" s="98" t="str">
        <f t="shared" si="6"/>
        <v>Uso de imágenes</v>
      </c>
      <c r="K734" s="98" t="str">
        <f t="shared" si="7"/>
        <v>Selección cuidadosa de imágenes, fotografías y visualizaciones para afianzar la identidad institucional y complementar la información entregada. Tratamiento y optimización técnica para el soporte web.</v>
      </c>
      <c r="L734" s="141" t="str">
        <f t="shared" ref="L734:N734" si="740">IF(I734="",L733,I734)</f>
        <v>12.2.3</v>
      </c>
      <c r="M734" s="98" t="str">
        <f t="shared" si="740"/>
        <v>Uso de imágenes</v>
      </c>
      <c r="N734" s="98" t="str">
        <f t="shared" si="740"/>
        <v>Selección cuidadosa de imágenes, fotografías y visualizaciones para afianzar la identidad institucional y complementar la información entregada. Tratamiento y optimización técnica para el soporte web.</v>
      </c>
      <c r="O734" s="315" t="s">
        <v>1703</v>
      </c>
      <c r="P734" s="148" t="s">
        <v>1057</v>
      </c>
      <c r="Q734" s="148" t="s">
        <v>1704</v>
      </c>
      <c r="R734" s="158"/>
      <c r="S734" s="170" t="s">
        <v>1059</v>
      </c>
      <c r="T734" s="160" t="s">
        <v>2033</v>
      </c>
      <c r="U734" s="94"/>
      <c r="V734" s="94"/>
      <c r="W734" s="94"/>
      <c r="X734" s="94"/>
      <c r="Y734" s="94"/>
      <c r="Z734" s="94"/>
      <c r="AA734" s="94"/>
      <c r="AB734" s="94"/>
      <c r="AC734" s="94"/>
      <c r="AD734" s="94"/>
      <c r="AE734" s="94"/>
      <c r="AF734" s="94"/>
      <c r="AG734" s="94"/>
      <c r="AH734" s="94"/>
      <c r="AI734" s="94"/>
      <c r="AJ734" s="94"/>
      <c r="AK734" s="94"/>
      <c r="AL734" s="94"/>
    </row>
    <row r="735" hidden="1">
      <c r="A735" s="86" t="s">
        <v>1540</v>
      </c>
      <c r="B735" s="95" t="str">
        <f t="shared" si="494"/>
        <v>Pregunta</v>
      </c>
      <c r="C735" s="106" t="str">
        <f t="shared" si="9"/>
        <v>12.</v>
      </c>
      <c r="D735" s="106" t="str">
        <f t="shared" si="10"/>
        <v>Diseño e imagen institucional</v>
      </c>
      <c r="E735"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35" s="141" t="str">
        <f t="shared" si="3"/>
        <v>12.2</v>
      </c>
      <c r="G735" s="92" t="str">
        <f t="shared" si="4"/>
        <v>ESPERABLES</v>
      </c>
      <c r="H735" s="141"/>
      <c r="I735" s="141" t="str">
        <f t="shared" si="5"/>
        <v/>
      </c>
      <c r="J735" s="98" t="str">
        <f t="shared" si="6"/>
        <v/>
      </c>
      <c r="K735" s="98" t="str">
        <f t="shared" si="7"/>
        <v/>
      </c>
      <c r="L735" s="141" t="str">
        <f t="shared" ref="L735:N735" si="741">IF(I735="",L734,I735)</f>
        <v>12.2.3</v>
      </c>
      <c r="M735" s="98" t="str">
        <f t="shared" si="741"/>
        <v>Uso de imágenes</v>
      </c>
      <c r="N735" s="98" t="str">
        <f t="shared" si="741"/>
        <v>Selección cuidadosa de imágenes, fotografías y visualizaciones para afianzar la identidad institucional y complementar la información entregada. Tratamiento y optimización técnica para el soporte web.</v>
      </c>
      <c r="O735" s="152"/>
      <c r="P735" s="153"/>
      <c r="Q735" s="153"/>
      <c r="R735" s="161"/>
      <c r="S735" s="162" t="s">
        <v>2219</v>
      </c>
      <c r="T735" s="160" t="s">
        <v>2033</v>
      </c>
      <c r="U735" s="94"/>
      <c r="V735" s="94"/>
      <c r="W735" s="94"/>
      <c r="X735" s="94"/>
      <c r="Y735" s="94"/>
      <c r="Z735" s="94"/>
      <c r="AA735" s="94"/>
      <c r="AB735" s="94"/>
      <c r="AC735" s="94"/>
      <c r="AD735" s="94"/>
      <c r="AE735" s="94"/>
      <c r="AF735" s="94"/>
      <c r="AG735" s="94"/>
      <c r="AH735" s="94"/>
      <c r="AI735" s="94"/>
      <c r="AJ735" s="94"/>
      <c r="AK735" s="94"/>
      <c r="AL735" s="94"/>
    </row>
    <row r="736" hidden="1">
      <c r="A736" s="86" t="s">
        <v>1540</v>
      </c>
      <c r="B736" s="95" t="str">
        <f t="shared" si="494"/>
        <v>Pregunta</v>
      </c>
      <c r="C736" s="106" t="str">
        <f t="shared" si="9"/>
        <v>12.</v>
      </c>
      <c r="D736" s="106" t="str">
        <f t="shared" si="10"/>
        <v>Diseño e imagen institucional</v>
      </c>
      <c r="E736"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36" s="141" t="str">
        <f t="shared" si="3"/>
        <v>12.2</v>
      </c>
      <c r="G736" s="92" t="str">
        <f t="shared" si="4"/>
        <v>ESPERABLES</v>
      </c>
      <c r="H736" s="141"/>
      <c r="I736" s="141" t="str">
        <f t="shared" si="5"/>
        <v/>
      </c>
      <c r="J736" s="98" t="str">
        <f t="shared" si="6"/>
        <v/>
      </c>
      <c r="K736" s="98" t="str">
        <f t="shared" si="7"/>
        <v/>
      </c>
      <c r="L736" s="141" t="str">
        <f t="shared" ref="L736:N736" si="742">IF(I736="",L735,I736)</f>
        <v>12.2.3</v>
      </c>
      <c r="M736" s="98" t="str">
        <f t="shared" si="742"/>
        <v>Uso de imágenes</v>
      </c>
      <c r="N736" s="98" t="str">
        <f t="shared" si="742"/>
        <v>Selección cuidadosa de imágenes, fotografías y visualizaciones para afianzar la identidad institucional y complementar la información entregada. Tratamiento y optimización técnica para el soporte web.</v>
      </c>
      <c r="O736" s="152"/>
      <c r="P736" s="153"/>
      <c r="Q736" s="153"/>
      <c r="R736" s="161"/>
      <c r="S736" s="162" t="s">
        <v>2220</v>
      </c>
      <c r="T736" s="160" t="s">
        <v>2033</v>
      </c>
      <c r="U736" s="94"/>
      <c r="V736" s="94"/>
      <c r="W736" s="94"/>
      <c r="X736" s="94"/>
      <c r="Y736" s="94"/>
      <c r="Z736" s="94"/>
      <c r="AA736" s="94"/>
      <c r="AB736" s="94"/>
      <c r="AC736" s="94"/>
      <c r="AD736" s="94"/>
      <c r="AE736" s="94"/>
      <c r="AF736" s="94"/>
      <c r="AG736" s="94"/>
      <c r="AH736" s="94"/>
      <c r="AI736" s="94"/>
      <c r="AJ736" s="94"/>
      <c r="AK736" s="94"/>
      <c r="AL736" s="94"/>
    </row>
    <row r="737" hidden="1">
      <c r="A737" s="86" t="s">
        <v>1540</v>
      </c>
      <c r="B737" s="95" t="str">
        <f t="shared" si="494"/>
        <v>Pregunta</v>
      </c>
      <c r="C737" s="106" t="str">
        <f t="shared" si="9"/>
        <v>12.</v>
      </c>
      <c r="D737" s="106" t="str">
        <f t="shared" si="10"/>
        <v>Diseño e imagen institucional</v>
      </c>
      <c r="E737"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37" s="141" t="str">
        <f t="shared" si="3"/>
        <v>12.2</v>
      </c>
      <c r="G737" s="92" t="str">
        <f t="shared" si="4"/>
        <v>ESPERABLES</v>
      </c>
      <c r="H737" s="141"/>
      <c r="I737" s="141" t="str">
        <f t="shared" si="5"/>
        <v/>
      </c>
      <c r="J737" s="98" t="str">
        <f t="shared" si="6"/>
        <v/>
      </c>
      <c r="K737" s="98" t="str">
        <f t="shared" si="7"/>
        <v/>
      </c>
      <c r="L737" s="141" t="str">
        <f t="shared" ref="L737:N737" si="743">IF(I737="",L736,I737)</f>
        <v>12.2.3</v>
      </c>
      <c r="M737" s="98" t="str">
        <f t="shared" si="743"/>
        <v>Uso de imágenes</v>
      </c>
      <c r="N737" s="98" t="str">
        <f t="shared" si="743"/>
        <v>Selección cuidadosa de imágenes, fotografías y visualizaciones para afianzar la identidad institucional y complementar la información entregada. Tratamiento y optimización técnica para el soporte web.</v>
      </c>
      <c r="O737" s="152"/>
      <c r="P737" s="153"/>
      <c r="Q737" s="153"/>
      <c r="R737" s="161"/>
      <c r="S737" s="162" t="s">
        <v>2221</v>
      </c>
      <c r="T737" s="160" t="s">
        <v>2033</v>
      </c>
      <c r="U737" s="94"/>
      <c r="V737" s="94"/>
      <c r="W737" s="94"/>
      <c r="X737" s="94"/>
      <c r="Y737" s="94"/>
      <c r="Z737" s="94"/>
      <c r="AA737" s="94"/>
      <c r="AB737" s="94"/>
      <c r="AC737" s="94"/>
      <c r="AD737" s="94"/>
      <c r="AE737" s="94"/>
      <c r="AF737" s="94"/>
      <c r="AG737" s="94"/>
      <c r="AH737" s="94"/>
      <c r="AI737" s="94"/>
      <c r="AJ737" s="94"/>
      <c r="AK737" s="94"/>
      <c r="AL737" s="94"/>
    </row>
    <row r="738" hidden="1">
      <c r="A738" s="86" t="s">
        <v>1540</v>
      </c>
      <c r="B738" s="95" t="str">
        <f t="shared" si="494"/>
        <v>Pregunta</v>
      </c>
      <c r="C738" s="106" t="str">
        <f t="shared" si="9"/>
        <v>12.</v>
      </c>
      <c r="D738" s="106" t="str">
        <f t="shared" si="10"/>
        <v>Diseño e imagen institucional</v>
      </c>
      <c r="E738"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38" s="141" t="str">
        <f t="shared" si="3"/>
        <v>12.2</v>
      </c>
      <c r="G738" s="92" t="str">
        <f t="shared" si="4"/>
        <v>ESPERABLES</v>
      </c>
      <c r="H738" s="141"/>
      <c r="I738" s="141" t="str">
        <f t="shared" si="5"/>
        <v/>
      </c>
      <c r="J738" s="98" t="str">
        <f t="shared" si="6"/>
        <v/>
      </c>
      <c r="K738" s="98" t="str">
        <f t="shared" si="7"/>
        <v/>
      </c>
      <c r="L738" s="141" t="str">
        <f t="shared" ref="L738:N738" si="744">IF(I738="",L737,I738)</f>
        <v>12.2.3</v>
      </c>
      <c r="M738" s="98" t="str">
        <f t="shared" si="744"/>
        <v>Uso de imágenes</v>
      </c>
      <c r="N738" s="98" t="str">
        <f t="shared" si="744"/>
        <v>Selección cuidadosa de imágenes, fotografías y visualizaciones para afianzar la identidad institucional y complementar la información entregada. Tratamiento y optimización técnica para el soporte web.</v>
      </c>
      <c r="O738" s="152"/>
      <c r="P738" s="153"/>
      <c r="Q738" s="153"/>
      <c r="R738" s="161"/>
      <c r="S738" s="162" t="s">
        <v>2222</v>
      </c>
      <c r="T738" s="160" t="s">
        <v>2033</v>
      </c>
      <c r="U738" s="94"/>
      <c r="V738" s="94"/>
      <c r="W738" s="94"/>
      <c r="X738" s="94"/>
      <c r="Y738" s="94"/>
      <c r="Z738" s="94"/>
      <c r="AA738" s="94"/>
      <c r="AB738" s="94"/>
      <c r="AC738" s="94"/>
      <c r="AD738" s="94"/>
      <c r="AE738" s="94"/>
      <c r="AF738" s="94"/>
      <c r="AG738" s="94"/>
      <c r="AH738" s="94"/>
      <c r="AI738" s="94"/>
      <c r="AJ738" s="94"/>
      <c r="AK738" s="94"/>
      <c r="AL738" s="94"/>
    </row>
    <row r="739" hidden="1">
      <c r="A739" s="86" t="s">
        <v>1540</v>
      </c>
      <c r="B739" s="95" t="str">
        <f t="shared" si="494"/>
        <v>Pregunta</v>
      </c>
      <c r="C739" s="106" t="str">
        <f t="shared" si="9"/>
        <v>12.</v>
      </c>
      <c r="D739" s="106" t="str">
        <f t="shared" si="10"/>
        <v>Diseño e imagen institucional</v>
      </c>
      <c r="E739"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39" s="141" t="str">
        <f t="shared" si="3"/>
        <v>12.2</v>
      </c>
      <c r="G739" s="92" t="str">
        <f t="shared" si="4"/>
        <v>ESPERABLES</v>
      </c>
      <c r="H739" s="141"/>
      <c r="I739" s="141" t="str">
        <f t="shared" si="5"/>
        <v/>
      </c>
      <c r="J739" s="98" t="str">
        <f t="shared" si="6"/>
        <v/>
      </c>
      <c r="K739" s="98" t="str">
        <f t="shared" si="7"/>
        <v/>
      </c>
      <c r="L739" s="141" t="str">
        <f t="shared" ref="L739:N739" si="745">IF(I739="",L738,I739)</f>
        <v>12.2.3</v>
      </c>
      <c r="M739" s="98" t="str">
        <f t="shared" si="745"/>
        <v>Uso de imágenes</v>
      </c>
      <c r="N739" s="98" t="str">
        <f t="shared" si="745"/>
        <v>Selección cuidadosa de imágenes, fotografías y visualizaciones para afianzar la identidad institucional y complementar la información entregada. Tratamiento y optimización técnica para el soporte web.</v>
      </c>
      <c r="O739" s="142"/>
      <c r="P739" s="143"/>
      <c r="Q739" s="143"/>
      <c r="R739" s="161"/>
      <c r="S739" s="180" t="s">
        <v>2223</v>
      </c>
      <c r="T739" s="164" t="s">
        <v>2033</v>
      </c>
      <c r="U739" s="94"/>
      <c r="V739" s="94"/>
      <c r="W739" s="94"/>
      <c r="X739" s="94"/>
      <c r="Y739" s="94"/>
      <c r="Z739" s="94"/>
      <c r="AA739" s="94"/>
      <c r="AB739" s="94"/>
      <c r="AC739" s="94"/>
      <c r="AD739" s="94"/>
      <c r="AE739" s="94"/>
      <c r="AF739" s="94"/>
      <c r="AG739" s="94"/>
      <c r="AH739" s="94"/>
      <c r="AI739" s="94"/>
      <c r="AJ739" s="94"/>
      <c r="AK739" s="94"/>
      <c r="AL739" s="94"/>
    </row>
    <row r="740" hidden="1">
      <c r="A740" s="105" t="s">
        <v>1540</v>
      </c>
      <c r="B740" s="92" t="str">
        <f t="shared" si="494"/>
        <v>Pregunta</v>
      </c>
      <c r="C740" s="106" t="str">
        <f t="shared" si="9"/>
        <v>12.</v>
      </c>
      <c r="D740" s="106" t="str">
        <f t="shared" si="10"/>
        <v>Diseño e imagen institucional</v>
      </c>
      <c r="E740"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40" s="141" t="str">
        <f t="shared" si="3"/>
        <v>12.2</v>
      </c>
      <c r="G740" s="92" t="str">
        <f t="shared" si="4"/>
        <v>ESPERABLES</v>
      </c>
      <c r="H740" s="141"/>
      <c r="I740" s="141" t="str">
        <f t="shared" si="5"/>
        <v>12.2.4</v>
      </c>
      <c r="J740" s="98" t="str">
        <f t="shared" si="6"/>
        <v>Distribución de los elementos</v>
      </c>
      <c r="K740" s="98" t="str">
        <f t="shared" si="7"/>
        <v>Jerarquía de los elementos que se deben comprender a primera vista, sin ruido visual ni sobrecarga informativa.</v>
      </c>
      <c r="L740" s="141" t="str">
        <f t="shared" ref="L740:N740" si="746">IF(I740="",L739,I740)</f>
        <v>12.2.4</v>
      </c>
      <c r="M740" s="98" t="str">
        <f t="shared" si="746"/>
        <v>Distribución de los elementos</v>
      </c>
      <c r="N740" s="98" t="str">
        <f t="shared" si="746"/>
        <v>Jerarquía de los elementos que se deben comprender a primera vista, sin ruido visual ni sobrecarga informativa.</v>
      </c>
      <c r="O740" s="315" t="s">
        <v>1707</v>
      </c>
      <c r="P740" s="148" t="s">
        <v>1066</v>
      </c>
      <c r="Q740" s="148" t="s">
        <v>1067</v>
      </c>
      <c r="R740" s="158"/>
      <c r="S740" s="170" t="s">
        <v>1068</v>
      </c>
      <c r="T740" s="160" t="s">
        <v>2033</v>
      </c>
      <c r="U740" s="94"/>
      <c r="V740" s="94"/>
      <c r="W740" s="94"/>
      <c r="X740" s="94"/>
      <c r="Y740" s="94"/>
      <c r="Z740" s="94"/>
      <c r="AA740" s="94"/>
      <c r="AB740" s="94"/>
      <c r="AC740" s="94"/>
      <c r="AD740" s="94"/>
      <c r="AE740" s="94"/>
      <c r="AF740" s="94"/>
      <c r="AG740" s="94"/>
      <c r="AH740" s="94"/>
      <c r="AI740" s="94"/>
      <c r="AJ740" s="94"/>
      <c r="AK740" s="94"/>
      <c r="AL740" s="94"/>
    </row>
    <row r="741" hidden="1">
      <c r="A741" s="86" t="s">
        <v>1540</v>
      </c>
      <c r="B741" s="95" t="str">
        <f t="shared" si="494"/>
        <v>Pregunta</v>
      </c>
      <c r="C741" s="106" t="str">
        <f t="shared" si="9"/>
        <v>12.</v>
      </c>
      <c r="D741" s="106" t="str">
        <f t="shared" si="10"/>
        <v>Diseño e imagen institucional</v>
      </c>
      <c r="E741"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41" s="141" t="str">
        <f t="shared" si="3"/>
        <v>12.2</v>
      </c>
      <c r="G741" s="92" t="str">
        <f t="shared" si="4"/>
        <v>ESPERABLES</v>
      </c>
      <c r="H741" s="141"/>
      <c r="I741" s="141" t="str">
        <f t="shared" si="5"/>
        <v/>
      </c>
      <c r="J741" s="98" t="str">
        <f t="shared" si="6"/>
        <v/>
      </c>
      <c r="K741" s="98" t="str">
        <f t="shared" si="7"/>
        <v/>
      </c>
      <c r="L741" s="141" t="str">
        <f t="shared" ref="L741:N741" si="747">IF(I741="",L740,I741)</f>
        <v>12.2.4</v>
      </c>
      <c r="M741" s="98" t="str">
        <f t="shared" si="747"/>
        <v>Distribución de los elementos</v>
      </c>
      <c r="N741" s="98" t="str">
        <f t="shared" si="747"/>
        <v>Jerarquía de los elementos que se deben comprender a primera vista, sin ruido visual ni sobrecarga informativa.</v>
      </c>
      <c r="O741" s="142"/>
      <c r="P741" s="143"/>
      <c r="Q741" s="143"/>
      <c r="R741" s="171"/>
      <c r="S741" s="162" t="s">
        <v>1069</v>
      </c>
      <c r="T741" s="164" t="s">
        <v>2033</v>
      </c>
      <c r="U741" s="94"/>
      <c r="V741" s="94"/>
      <c r="W741" s="94"/>
      <c r="X741" s="94"/>
      <c r="Y741" s="94"/>
      <c r="Z741" s="94"/>
      <c r="AA741" s="94"/>
      <c r="AB741" s="94"/>
      <c r="AC741" s="94"/>
      <c r="AD741" s="94"/>
      <c r="AE741" s="94"/>
      <c r="AF741" s="94"/>
      <c r="AG741" s="94"/>
      <c r="AH741" s="94"/>
      <c r="AI741" s="94"/>
      <c r="AJ741" s="94"/>
      <c r="AK741" s="94"/>
      <c r="AL741" s="94"/>
    </row>
    <row r="742" hidden="1">
      <c r="A742" s="105" t="s">
        <v>1540</v>
      </c>
      <c r="B742" s="92" t="str">
        <f t="shared" si="494"/>
        <v>Pregunta</v>
      </c>
      <c r="C742" s="106" t="str">
        <f t="shared" si="9"/>
        <v>12.</v>
      </c>
      <c r="D742" s="106" t="str">
        <f t="shared" si="10"/>
        <v>Diseño e imagen institucional</v>
      </c>
      <c r="E742"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42" s="141" t="str">
        <f t="shared" si="3"/>
        <v>12.2</v>
      </c>
      <c r="G742" s="92" t="str">
        <f t="shared" si="4"/>
        <v>ESPERABLES</v>
      </c>
      <c r="H742" s="141"/>
      <c r="I742" s="141" t="str">
        <f t="shared" si="5"/>
        <v>12.2.5</v>
      </c>
      <c r="J742" s="98" t="str">
        <f t="shared" si="6"/>
        <v>Atractivo visual</v>
      </c>
      <c r="K742" s="98" t="str">
        <f t="shared" si="7"/>
        <v>Apariencia atractiva y armoniosa que logra captar la atención del usuario.</v>
      </c>
      <c r="L742" s="141" t="str">
        <f t="shared" ref="L742:N742" si="748">IF(I742="",L741,I742)</f>
        <v>12.2.5</v>
      </c>
      <c r="M742" s="98" t="str">
        <f t="shared" si="748"/>
        <v>Atractivo visual</v>
      </c>
      <c r="N742" s="98" t="str">
        <f t="shared" si="748"/>
        <v>Apariencia atractiva y armoniosa que logra captar la atención del usuario.</v>
      </c>
      <c r="O742" s="273" t="s">
        <v>1708</v>
      </c>
      <c r="P742" s="166" t="s">
        <v>1071</v>
      </c>
      <c r="Q742" s="166" t="s">
        <v>1072</v>
      </c>
      <c r="R742" s="167"/>
      <c r="S742" s="170" t="s">
        <v>1073</v>
      </c>
      <c r="T742" s="164" t="s">
        <v>2033</v>
      </c>
      <c r="U742" s="94"/>
      <c r="V742" s="94"/>
      <c r="W742" s="94"/>
      <c r="X742" s="94"/>
      <c r="Y742" s="94"/>
      <c r="Z742" s="94"/>
      <c r="AA742" s="94"/>
      <c r="AB742" s="94"/>
      <c r="AC742" s="94"/>
      <c r="AD742" s="94"/>
      <c r="AE742" s="94"/>
      <c r="AF742" s="94"/>
      <c r="AG742" s="94"/>
      <c r="AH742" s="94"/>
      <c r="AI742" s="94"/>
      <c r="AJ742" s="94"/>
      <c r="AK742" s="94"/>
      <c r="AL742" s="94"/>
    </row>
    <row r="743" hidden="1">
      <c r="A743" s="105" t="s">
        <v>1540</v>
      </c>
      <c r="B743" s="92" t="str">
        <f t="shared" si="494"/>
        <v>Pregunta</v>
      </c>
      <c r="C743" s="106" t="str">
        <f t="shared" si="9"/>
        <v>12.</v>
      </c>
      <c r="D743" s="106" t="str">
        <f t="shared" si="10"/>
        <v>Diseño e imagen institucional</v>
      </c>
      <c r="E743"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43" s="141" t="str">
        <f t="shared" si="3"/>
        <v>12.2</v>
      </c>
      <c r="G743" s="92" t="str">
        <f t="shared" si="4"/>
        <v>ESPERABLES</v>
      </c>
      <c r="H743" s="141"/>
      <c r="I743" s="141" t="str">
        <f t="shared" si="5"/>
        <v>12.2.6</v>
      </c>
      <c r="J743" s="98" t="str">
        <f t="shared" si="6"/>
        <v>Expresividad de iconos</v>
      </c>
      <c r="K743" s="98" t="str">
        <f t="shared" si="7"/>
        <v>Capacidad de los iconos para ser claros y precisos en lo que quieren expresar, sin llevar a una interpretación o confusión.
</v>
      </c>
      <c r="L743" s="141" t="str">
        <f t="shared" ref="L743:N743" si="749">IF(I743="",L742,I743)</f>
        <v>12.2.6</v>
      </c>
      <c r="M743" s="98" t="str">
        <f t="shared" si="749"/>
        <v>Expresividad de iconos</v>
      </c>
      <c r="N743" s="98" t="str">
        <f t="shared" si="749"/>
        <v>Capacidad de los iconos para ser claros y precisos en lo que quieren expresar, sin llevar a una interpretación o confusión.
</v>
      </c>
      <c r="O743" s="273" t="s">
        <v>1709</v>
      </c>
      <c r="P743" s="166" t="s">
        <v>1075</v>
      </c>
      <c r="Q743" s="166" t="s">
        <v>1076</v>
      </c>
      <c r="R743" s="211"/>
      <c r="S743" s="166" t="s">
        <v>2224</v>
      </c>
      <c r="T743" s="164" t="s">
        <v>2033</v>
      </c>
      <c r="U743" s="94"/>
      <c r="V743" s="94"/>
      <c r="W743" s="94"/>
      <c r="X743" s="94"/>
      <c r="Y743" s="94"/>
      <c r="Z743" s="94"/>
      <c r="AA743" s="94"/>
      <c r="AB743" s="94"/>
      <c r="AC743" s="94"/>
      <c r="AD743" s="94"/>
      <c r="AE743" s="94"/>
      <c r="AF743" s="94"/>
      <c r="AG743" s="94"/>
      <c r="AH743" s="94"/>
      <c r="AI743" s="94"/>
      <c r="AJ743" s="94"/>
      <c r="AK743" s="94"/>
      <c r="AL743" s="94"/>
    </row>
    <row r="744" hidden="1">
      <c r="A744" s="86" t="s">
        <v>1540</v>
      </c>
      <c r="B744" s="95" t="str">
        <f t="shared" si="494"/>
        <v>Otro</v>
      </c>
      <c r="C744" s="106" t="str">
        <f t="shared" si="9"/>
        <v>12.</v>
      </c>
      <c r="D744" s="106" t="str">
        <f t="shared" si="10"/>
        <v>Diseño e imagen institucional</v>
      </c>
      <c r="E744"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44" s="141" t="str">
        <f t="shared" si="3"/>
        <v>12.3</v>
      </c>
      <c r="G744" s="92" t="str">
        <f t="shared" si="4"/>
        <v>DESEABLES</v>
      </c>
      <c r="H744" s="141"/>
      <c r="I744" s="141" t="str">
        <f t="shared" si="5"/>
        <v/>
      </c>
      <c r="J744" s="98" t="str">
        <f t="shared" si="6"/>
        <v/>
      </c>
      <c r="K744" s="98" t="str">
        <f t="shared" si="7"/>
        <v/>
      </c>
      <c r="L744" s="141" t="str">
        <f t="shared" ref="L744:N744" si="750">IF(I744="",L743,I744)</f>
        <v>12.2.6</v>
      </c>
      <c r="M744" s="98" t="str">
        <f t="shared" si="750"/>
        <v>Expresividad de iconos</v>
      </c>
      <c r="N744" s="98" t="str">
        <f t="shared" si="750"/>
        <v>Capacidad de los iconos para ser claros y precisos en lo que quieren expresar, sin llevar a una interpretación o confusión.
</v>
      </c>
      <c r="O744" s="181" t="s">
        <v>1262</v>
      </c>
      <c r="P744" s="182" t="s">
        <v>749</v>
      </c>
      <c r="Q744" s="183"/>
      <c r="R744" s="183"/>
      <c r="S744" s="323">
        <f>COUNTA(P745)</f>
        <v>1</v>
      </c>
      <c r="T744" s="323">
        <f>COUNTIF(U745,"n/a")</f>
        <v>0</v>
      </c>
      <c r="U744" s="94"/>
      <c r="V744" s="94"/>
      <c r="W744" s="94"/>
      <c r="X744" s="94"/>
      <c r="Y744" s="94"/>
      <c r="Z744" s="94"/>
      <c r="AA744" s="94"/>
      <c r="AB744" s="94"/>
      <c r="AC744" s="94"/>
      <c r="AD744" s="94"/>
      <c r="AE744" s="94"/>
      <c r="AF744" s="94"/>
      <c r="AG744" s="94"/>
      <c r="AH744" s="94"/>
      <c r="AI744" s="94"/>
      <c r="AJ744" s="94"/>
      <c r="AK744" s="94"/>
      <c r="AL744" s="94"/>
    </row>
    <row r="745" hidden="1">
      <c r="A745" s="105" t="s">
        <v>1540</v>
      </c>
      <c r="B745" s="92" t="str">
        <f t="shared" si="494"/>
        <v>Pregunta</v>
      </c>
      <c r="C745" s="106" t="str">
        <f t="shared" si="9"/>
        <v>12.</v>
      </c>
      <c r="D745" s="106" t="str">
        <f t="shared" si="10"/>
        <v>Diseño e imagen institucional</v>
      </c>
      <c r="E745" s="106" t="str">
        <f t="shared" si="11"/>
        <v>Elementos visuales y gráficos para comunicar mensajes de forma efectiva que permitan proyectar la imagen institucional dentro del contexto de nuestro país, velando por un mensaje y contenido claro. Es importante mantener conectores visuales que vinculen e identifiquen a las instituciones, como tipografías, colores y algunas definiciones gráficas.</v>
      </c>
      <c r="F745" s="141" t="str">
        <f t="shared" si="3"/>
        <v>12.3</v>
      </c>
      <c r="G745" s="92" t="str">
        <f t="shared" si="4"/>
        <v>DESEABLES</v>
      </c>
      <c r="H745" s="141"/>
      <c r="I745" s="141" t="str">
        <f t="shared" si="5"/>
        <v>12.3.1</v>
      </c>
      <c r="J745" s="98" t="str">
        <f t="shared" si="6"/>
        <v>Familiaridad</v>
      </c>
      <c r="K745" s="98" t="str">
        <f t="shared" si="7"/>
        <v>Cercanía y capacidad de reconocimiento a simple vista del diseño, sin necesidad de un aprendizaje previo.
</v>
      </c>
      <c r="L745" s="141" t="str">
        <f t="shared" ref="L745:N745" si="751">IF(I745="",L744,I745)</f>
        <v>12.3.1</v>
      </c>
      <c r="M745" s="98" t="str">
        <f t="shared" si="751"/>
        <v>Familiaridad</v>
      </c>
      <c r="N745" s="98" t="str">
        <f t="shared" si="751"/>
        <v>Cercanía y capacidad de reconocimiento a simple vista del diseño, sin necesidad de un aprendizaje previo.
</v>
      </c>
      <c r="O745" s="315" t="s">
        <v>1263</v>
      </c>
      <c r="P745" s="148" t="s">
        <v>1080</v>
      </c>
      <c r="Q745" s="148" t="s">
        <v>1081</v>
      </c>
      <c r="R745" s="211"/>
      <c r="S745" s="257" t="s">
        <v>1082</v>
      </c>
      <c r="T745" s="164" t="s">
        <v>2033</v>
      </c>
      <c r="U745" s="94"/>
      <c r="V745" s="94"/>
      <c r="W745" s="94"/>
      <c r="X745" s="94"/>
      <c r="Y745" s="94"/>
      <c r="Z745" s="94"/>
      <c r="AA745" s="94"/>
      <c r="AB745" s="94"/>
      <c r="AC745" s="94"/>
      <c r="AD745" s="94"/>
      <c r="AE745" s="94"/>
      <c r="AF745" s="94"/>
      <c r="AG745" s="94"/>
      <c r="AH745" s="94"/>
      <c r="AI745" s="94"/>
      <c r="AJ745" s="94"/>
      <c r="AK745" s="94"/>
      <c r="AL745" s="94"/>
    </row>
    <row r="746" hidden="1">
      <c r="A746" s="86" t="s">
        <v>1540</v>
      </c>
      <c r="B746" s="201" t="str">
        <f t="shared" si="494"/>
        <v>Otro</v>
      </c>
      <c r="C746" s="106" t="str">
        <f t="shared" si="9"/>
        <v>13.</v>
      </c>
      <c r="D746" s="106" t="str">
        <f t="shared" si="10"/>
        <v>Tecnología</v>
      </c>
      <c r="E746"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746" s="141" t="str">
        <f t="shared" si="3"/>
        <v>12.3</v>
      </c>
      <c r="G746" s="92" t="str">
        <f t="shared" si="4"/>
        <v>DESEABLES</v>
      </c>
      <c r="H746" s="107"/>
      <c r="I746" s="107" t="str">
        <f t="shared" si="5"/>
        <v/>
      </c>
      <c r="J746" s="98" t="str">
        <f t="shared" si="6"/>
        <v/>
      </c>
      <c r="K746" s="98" t="str">
        <f t="shared" si="7"/>
        <v/>
      </c>
      <c r="L746" s="141" t="str">
        <f t="shared" ref="L746:N746" si="752">IF(I746="",L745,I746)</f>
        <v>12.3.1</v>
      </c>
      <c r="M746" s="98" t="str">
        <f t="shared" si="752"/>
        <v>Familiaridad</v>
      </c>
      <c r="N746" s="98" t="str">
        <f t="shared" si="752"/>
        <v>Cercanía y capacidad de reconocimiento a simple vista del diseño, sin necesidad de un aprendizaje previo.
</v>
      </c>
      <c r="O746" s="220" t="s">
        <v>43</v>
      </c>
      <c r="P746" s="112" t="s">
        <v>36</v>
      </c>
      <c r="Q746" s="113"/>
      <c r="R746" s="114"/>
      <c r="S746" s="115" t="s">
        <v>1121</v>
      </c>
      <c r="T746" s="116" t="s">
        <v>2161</v>
      </c>
      <c r="U746" s="94"/>
      <c r="V746" s="94"/>
      <c r="W746" s="94"/>
      <c r="X746" s="94"/>
      <c r="Y746" s="94"/>
      <c r="Z746" s="94"/>
      <c r="AA746" s="94"/>
      <c r="AB746" s="94"/>
      <c r="AC746" s="94"/>
      <c r="AD746" s="94"/>
      <c r="AE746" s="94"/>
      <c r="AF746" s="94"/>
      <c r="AG746" s="94"/>
      <c r="AH746" s="94"/>
      <c r="AI746" s="94"/>
      <c r="AJ746" s="94"/>
      <c r="AK746" s="94"/>
      <c r="AL746" s="94"/>
    </row>
    <row r="747" hidden="1">
      <c r="A747" s="86" t="s">
        <v>1540</v>
      </c>
      <c r="B747" s="201" t="str">
        <f t="shared" si="494"/>
        <v>Otro</v>
      </c>
      <c r="C747" s="106" t="str">
        <f t="shared" si="9"/>
        <v>13.</v>
      </c>
      <c r="D747" s="106" t="str">
        <f t="shared" si="10"/>
        <v>Tecnología</v>
      </c>
      <c r="E747"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747" s="141" t="str">
        <f t="shared" si="3"/>
        <v>12.3</v>
      </c>
      <c r="G747" s="92" t="str">
        <f t="shared" si="4"/>
        <v>DESEABLES</v>
      </c>
      <c r="H747" s="107"/>
      <c r="I747" s="107" t="str">
        <f t="shared" si="5"/>
        <v/>
      </c>
      <c r="J747" s="98" t="str">
        <f t="shared" si="6"/>
        <v/>
      </c>
      <c r="K747" s="98" t="str">
        <f t="shared" si="7"/>
        <v/>
      </c>
      <c r="L747" s="141" t="str">
        <f t="shared" ref="L747:N747" si="753">IF(I747="",L746,I747)</f>
        <v>12.3.1</v>
      </c>
      <c r="M747" s="98" t="str">
        <f t="shared" si="753"/>
        <v>Familiaridad</v>
      </c>
      <c r="N747" s="98" t="str">
        <f t="shared" si="753"/>
        <v>Cercanía y capacidad de reconocimiento a simple vista del diseño, sin necesidad de un aprendizaje previo.
</v>
      </c>
      <c r="O747" s="221"/>
      <c r="P747" s="118"/>
      <c r="Q747" s="119"/>
      <c r="R747" s="114"/>
      <c r="S747" s="239"/>
      <c r="T747" s="116" t="s">
        <v>19</v>
      </c>
      <c r="U747" s="94"/>
      <c r="V747" s="94"/>
      <c r="W747" s="94"/>
      <c r="X747" s="94"/>
      <c r="Y747" s="94"/>
      <c r="Z747" s="94"/>
      <c r="AA747" s="94"/>
      <c r="AB747" s="94"/>
      <c r="AC747" s="94"/>
      <c r="AD747" s="94"/>
      <c r="AE747" s="94"/>
      <c r="AF747" s="94"/>
      <c r="AG747" s="94"/>
      <c r="AH747" s="94"/>
      <c r="AI747" s="94"/>
      <c r="AJ747" s="94"/>
      <c r="AK747" s="94"/>
      <c r="AL747" s="94"/>
    </row>
    <row r="748" hidden="1">
      <c r="A748" s="86" t="s">
        <v>1540</v>
      </c>
      <c r="B748" s="201" t="str">
        <f t="shared" si="494"/>
        <v>Otro</v>
      </c>
      <c r="C748" s="106" t="str">
        <f t="shared" si="9"/>
        <v>13.</v>
      </c>
      <c r="D748" s="106" t="str">
        <f t="shared" si="10"/>
        <v>Tecnología</v>
      </c>
      <c r="E748"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748" s="141" t="str">
        <f t="shared" si="3"/>
        <v>12.3</v>
      </c>
      <c r="G748" s="92" t="str">
        <f t="shared" si="4"/>
        <v>DESEABLES</v>
      </c>
      <c r="H748" s="107"/>
      <c r="I748" s="107" t="str">
        <f t="shared" si="5"/>
        <v/>
      </c>
      <c r="J748" s="98" t="str">
        <f t="shared" si="6"/>
        <v/>
      </c>
      <c r="K748" s="98" t="str">
        <f t="shared" si="7"/>
        <v/>
      </c>
      <c r="L748" s="141" t="str">
        <f t="shared" ref="L748:N748" si="754">IF(I748="",L747,I748)</f>
        <v>12.3.1</v>
      </c>
      <c r="M748" s="98" t="str">
        <f t="shared" si="754"/>
        <v>Familiaridad</v>
      </c>
      <c r="N748" s="98" t="str">
        <f t="shared" si="754"/>
        <v>Cercanía y capacidad de reconocimiento a simple vista del diseño, sin necesidad de un aprendizaje previo.
</v>
      </c>
      <c r="O748" s="222"/>
      <c r="P748" s="122"/>
      <c r="Q748" s="123"/>
      <c r="R748" s="114"/>
      <c r="S748" s="240"/>
      <c r="T748" s="116" t="s">
        <v>22</v>
      </c>
      <c r="U748" s="94"/>
      <c r="V748" s="94"/>
      <c r="W748" s="94"/>
      <c r="X748" s="94"/>
      <c r="Y748" s="94"/>
      <c r="Z748" s="94"/>
      <c r="AA748" s="94"/>
      <c r="AB748" s="94"/>
      <c r="AC748" s="94"/>
      <c r="AD748" s="94"/>
      <c r="AE748" s="94"/>
      <c r="AF748" s="94"/>
      <c r="AG748" s="94"/>
      <c r="AH748" s="94"/>
      <c r="AI748" s="94"/>
      <c r="AJ748" s="94"/>
      <c r="AK748" s="94"/>
      <c r="AL748" s="94"/>
    </row>
    <row r="749" hidden="1">
      <c r="A749" s="86" t="s">
        <v>1540</v>
      </c>
      <c r="B749" s="201" t="str">
        <f t="shared" si="494"/>
        <v>Otro</v>
      </c>
      <c r="C749" s="106" t="str">
        <f t="shared" si="9"/>
        <v>13.</v>
      </c>
      <c r="D749" s="106" t="str">
        <f t="shared" si="10"/>
        <v>Tecnología</v>
      </c>
      <c r="E749"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749" s="141" t="str">
        <f t="shared" si="3"/>
        <v>12.3</v>
      </c>
      <c r="G749" s="92" t="str">
        <f t="shared" si="4"/>
        <v>DESEABLES</v>
      </c>
      <c r="H749" s="96"/>
      <c r="I749" s="96" t="str">
        <f t="shared" si="5"/>
        <v/>
      </c>
      <c r="J749" s="98" t="str">
        <f t="shared" si="6"/>
        <v/>
      </c>
      <c r="K749" s="98" t="str">
        <f t="shared" si="7"/>
        <v/>
      </c>
      <c r="L749" s="141" t="str">
        <f t="shared" ref="L749:N749" si="755">IF(I749="",L748,I749)</f>
        <v>12.3.1</v>
      </c>
      <c r="M749" s="98" t="str">
        <f t="shared" si="755"/>
        <v>Familiaridad</v>
      </c>
      <c r="N749" s="98" t="str">
        <f t="shared" si="755"/>
        <v>Cercanía y capacidad de reconocimiento a simple vista del diseño, sin necesidad de un aprendizaje previo.
</v>
      </c>
      <c r="O749" s="104"/>
      <c r="P749" s="114"/>
      <c r="Q749" s="114"/>
      <c r="R749" s="114"/>
      <c r="S749" s="114"/>
      <c r="T749" s="241"/>
      <c r="U749" s="94"/>
      <c r="V749" s="94"/>
      <c r="W749" s="94"/>
      <c r="X749" s="94"/>
      <c r="Y749" s="94"/>
      <c r="Z749" s="94"/>
      <c r="AA749" s="94"/>
      <c r="AB749" s="94"/>
      <c r="AC749" s="94"/>
      <c r="AD749" s="94"/>
      <c r="AE749" s="94"/>
      <c r="AF749" s="94"/>
      <c r="AG749" s="94"/>
      <c r="AH749" s="94"/>
      <c r="AI749" s="94"/>
      <c r="AJ749" s="94"/>
      <c r="AK749" s="94"/>
      <c r="AL749" s="94"/>
    </row>
    <row r="750" hidden="1">
      <c r="A750" s="86" t="s">
        <v>1540</v>
      </c>
      <c r="B750" s="95" t="str">
        <f t="shared" si="494"/>
        <v>Otro</v>
      </c>
      <c r="C750" s="106" t="str">
        <f t="shared" si="9"/>
        <v>13.</v>
      </c>
      <c r="D750" s="106" t="str">
        <f t="shared" si="10"/>
        <v>Tecnología</v>
      </c>
      <c r="E750"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750" s="141" t="str">
        <f t="shared" si="3"/>
        <v>12.3</v>
      </c>
      <c r="G750" s="92" t="str">
        <f t="shared" si="4"/>
        <v>DESEABLES</v>
      </c>
      <c r="H750" s="128"/>
      <c r="I750" s="128" t="str">
        <f t="shared" si="5"/>
        <v/>
      </c>
      <c r="J750" s="98" t="str">
        <f t="shared" si="6"/>
        <v/>
      </c>
      <c r="K750" s="98" t="str">
        <f t="shared" si="7"/>
        <v/>
      </c>
      <c r="L750" s="141" t="str">
        <f t="shared" ref="L750:N750" si="756">IF(I750="",L749,I750)</f>
        <v>12.3.1</v>
      </c>
      <c r="M750" s="98" t="str">
        <f t="shared" si="756"/>
        <v>Familiaridad</v>
      </c>
      <c r="N750" s="98" t="str">
        <f t="shared" si="756"/>
        <v>Cercanía y capacidad de reconocimiento a simple vista del diseño, sin necesidad de un aprendizaje previo.
</v>
      </c>
      <c r="O750" s="223" t="s">
        <v>1822</v>
      </c>
      <c r="P750" s="133" t="s">
        <v>1823</v>
      </c>
      <c r="Q750" s="133" t="s">
        <v>2031</v>
      </c>
      <c r="R750" s="134"/>
      <c r="S750" s="133" t="s">
        <v>1824</v>
      </c>
      <c r="T750" s="133" t="s">
        <v>1825</v>
      </c>
      <c r="U750" s="94"/>
      <c r="V750" s="94"/>
      <c r="W750" s="94"/>
      <c r="X750" s="94"/>
      <c r="Y750" s="94"/>
      <c r="Z750" s="94"/>
      <c r="AA750" s="94"/>
      <c r="AB750" s="94"/>
      <c r="AC750" s="94"/>
      <c r="AD750" s="94"/>
      <c r="AE750" s="94"/>
      <c r="AF750" s="94"/>
      <c r="AG750" s="94"/>
      <c r="AH750" s="94"/>
      <c r="AI750" s="94"/>
      <c r="AJ750" s="94"/>
      <c r="AK750" s="94"/>
      <c r="AL750" s="94"/>
    </row>
    <row r="751" hidden="1">
      <c r="A751" s="86" t="s">
        <v>1540</v>
      </c>
      <c r="B751" s="95" t="str">
        <f t="shared" si="494"/>
        <v>Otro</v>
      </c>
      <c r="C751" s="106" t="str">
        <f t="shared" si="9"/>
        <v>13.</v>
      </c>
      <c r="D751" s="106" t="str">
        <f t="shared" si="10"/>
        <v>Tecnología</v>
      </c>
      <c r="E751"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751" s="141" t="str">
        <f t="shared" si="3"/>
        <v>13.1</v>
      </c>
      <c r="G751" s="92" t="str">
        <f t="shared" si="4"/>
        <v>IMPRESCINDIBLES</v>
      </c>
      <c r="H751" s="141"/>
      <c r="I751" s="141" t="str">
        <f t="shared" si="5"/>
        <v/>
      </c>
      <c r="J751" s="98" t="str">
        <f t="shared" si="6"/>
        <v/>
      </c>
      <c r="K751" s="98" t="str">
        <f t="shared" si="7"/>
        <v/>
      </c>
      <c r="L751" s="141" t="str">
        <f t="shared" ref="L751:N751" si="757">IF(I751="",L750,I751)</f>
        <v>12.3.1</v>
      </c>
      <c r="M751" s="98" t="str">
        <f t="shared" si="757"/>
        <v>Familiaridad</v>
      </c>
      <c r="N751" s="98" t="str">
        <f t="shared" si="757"/>
        <v>Cercanía y capacidad de reconocimiento a simple vista del diseño, sin necesidad de un aprendizaje previo.
</v>
      </c>
      <c r="O751" s="258" t="s">
        <v>1710</v>
      </c>
      <c r="P751" s="137" t="s">
        <v>664</v>
      </c>
      <c r="Q751" s="138"/>
      <c r="R751" s="138"/>
      <c r="S751" s="139">
        <f>COUNTA(P752:P761)</f>
        <v>7</v>
      </c>
      <c r="T751" s="140">
        <f>COUNTIF(U752:U761,"n/a")</f>
        <v>0</v>
      </c>
      <c r="U751" s="94"/>
      <c r="V751" s="94"/>
      <c r="W751" s="94"/>
      <c r="X751" s="94"/>
      <c r="Y751" s="94"/>
      <c r="Z751" s="94"/>
      <c r="AA751" s="94"/>
      <c r="AB751" s="94"/>
      <c r="AC751" s="94"/>
      <c r="AD751" s="94"/>
      <c r="AE751" s="94"/>
      <c r="AF751" s="94"/>
      <c r="AG751" s="94"/>
      <c r="AH751" s="94"/>
      <c r="AI751" s="94"/>
      <c r="AJ751" s="94"/>
      <c r="AK751" s="94"/>
      <c r="AL751" s="94"/>
    </row>
    <row r="752" hidden="1">
      <c r="A752" s="105" t="s">
        <v>1540</v>
      </c>
      <c r="B752" s="92" t="str">
        <f t="shared" si="494"/>
        <v>Pregunta</v>
      </c>
      <c r="C752" s="106" t="str">
        <f t="shared" si="9"/>
        <v>13.</v>
      </c>
      <c r="D752" s="106" t="str">
        <f t="shared" si="10"/>
        <v>Tecnología</v>
      </c>
      <c r="E752"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752" s="141" t="str">
        <f t="shared" si="3"/>
        <v>13.1</v>
      </c>
      <c r="G752" s="92" t="str">
        <f t="shared" si="4"/>
        <v>IMPRESCINDIBLES</v>
      </c>
      <c r="H752" s="141"/>
      <c r="I752" s="141" t="str">
        <f t="shared" si="5"/>
        <v>13.1.1</v>
      </c>
      <c r="J752" s="98" t="str">
        <f t="shared" si="6"/>
        <v>Disponibilidad y estabilidad</v>
      </c>
      <c r="K752" s="98" t="str">
        <f t="shared" si="7"/>
        <v>Capacidad de un sitio web para estar accesible y operativo en todo momento. Además de mantener su funcionamiento sin caídas, errores o interrupciones, proporcionando una experiencia consistente.
</v>
      </c>
      <c r="L752" s="141" t="str">
        <f t="shared" ref="L752:N752" si="758">IF(I752="",L751,I752)</f>
        <v>13.1.1</v>
      </c>
      <c r="M752" s="98" t="str">
        <f t="shared" si="758"/>
        <v>Disponibilidad y estabilidad</v>
      </c>
      <c r="N752" s="98" t="str">
        <f t="shared" si="758"/>
        <v>Capacidad de un sitio web para estar accesible y operativo en todo momento. Además de mantener su funcionamiento sin caídas, errores o interrupciones, proporcionando una experiencia consistente.
</v>
      </c>
      <c r="O752" s="259" t="s">
        <v>1711</v>
      </c>
      <c r="P752" s="153" t="s">
        <v>1124</v>
      </c>
      <c r="Q752" s="153" t="s">
        <v>1125</v>
      </c>
      <c r="R752" s="149"/>
      <c r="S752" s="150" t="s">
        <v>1126</v>
      </c>
      <c r="T752" s="160" t="s">
        <v>2033</v>
      </c>
      <c r="U752" s="94"/>
      <c r="V752" s="94"/>
      <c r="W752" s="94"/>
      <c r="X752" s="94"/>
      <c r="Y752" s="94"/>
      <c r="Z752" s="94"/>
      <c r="AA752" s="94"/>
      <c r="AB752" s="94"/>
      <c r="AC752" s="94"/>
      <c r="AD752" s="94"/>
      <c r="AE752" s="94"/>
      <c r="AF752" s="94"/>
      <c r="AG752" s="94"/>
      <c r="AH752" s="94"/>
      <c r="AI752" s="94"/>
      <c r="AJ752" s="94"/>
      <c r="AK752" s="94"/>
      <c r="AL752" s="94"/>
    </row>
    <row r="753" hidden="1">
      <c r="A753" s="86" t="s">
        <v>1540</v>
      </c>
      <c r="B753" s="95" t="str">
        <f t="shared" si="494"/>
        <v>Pregunta</v>
      </c>
      <c r="C753" s="106" t="str">
        <f t="shared" si="9"/>
        <v>13.</v>
      </c>
      <c r="D753" s="106" t="str">
        <f t="shared" si="10"/>
        <v>Tecnología</v>
      </c>
      <c r="E753"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753" s="141" t="str">
        <f t="shared" si="3"/>
        <v>13.1</v>
      </c>
      <c r="G753" s="92" t="str">
        <f t="shared" si="4"/>
        <v>IMPRESCINDIBLES</v>
      </c>
      <c r="H753" s="141"/>
      <c r="I753" s="141" t="str">
        <f t="shared" si="5"/>
        <v/>
      </c>
      <c r="J753" s="98" t="str">
        <f t="shared" si="6"/>
        <v/>
      </c>
      <c r="K753" s="98" t="str">
        <f t="shared" si="7"/>
        <v/>
      </c>
      <c r="L753" s="141" t="str">
        <f t="shared" ref="L753:N753" si="759">IF(I753="",L752,I753)</f>
        <v>13.1.1</v>
      </c>
      <c r="M753" s="98" t="str">
        <f t="shared" si="759"/>
        <v>Disponibilidad y estabilidad</v>
      </c>
      <c r="N753" s="98" t="str">
        <f t="shared" si="759"/>
        <v>Capacidad de un sitio web para estar accesible y operativo en todo momento. Además de mantener su funcionamiento sin caídas, errores o interrupciones, proporcionando una experiencia consistente.
</v>
      </c>
      <c r="O753" s="152"/>
      <c r="P753" s="153"/>
      <c r="Q753" s="153"/>
      <c r="R753" s="156"/>
      <c r="S753" s="270" t="s">
        <v>2225</v>
      </c>
      <c r="T753" s="160" t="s">
        <v>2033</v>
      </c>
      <c r="U753" s="94"/>
      <c r="V753" s="94"/>
      <c r="W753" s="94"/>
      <c r="X753" s="94"/>
      <c r="Y753" s="94"/>
      <c r="Z753" s="94"/>
      <c r="AA753" s="94"/>
      <c r="AB753" s="94"/>
      <c r="AC753" s="94"/>
      <c r="AD753" s="94"/>
      <c r="AE753" s="94"/>
      <c r="AF753" s="94"/>
      <c r="AG753" s="94"/>
      <c r="AH753" s="94"/>
      <c r="AI753" s="94"/>
      <c r="AJ753" s="94"/>
      <c r="AK753" s="94"/>
      <c r="AL753" s="94"/>
    </row>
    <row r="754" hidden="1">
      <c r="A754" s="86" t="s">
        <v>1540</v>
      </c>
      <c r="B754" s="95" t="str">
        <f t="shared" si="494"/>
        <v>Pregunta</v>
      </c>
      <c r="C754" s="106" t="str">
        <f t="shared" si="9"/>
        <v>13.</v>
      </c>
      <c r="D754" s="106" t="str">
        <f t="shared" si="10"/>
        <v>Tecnología</v>
      </c>
      <c r="E754"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754" s="141" t="str">
        <f t="shared" si="3"/>
        <v>13.1</v>
      </c>
      <c r="G754" s="92" t="str">
        <f t="shared" si="4"/>
        <v>IMPRESCINDIBLES</v>
      </c>
      <c r="H754" s="141"/>
      <c r="I754" s="141" t="str">
        <f t="shared" si="5"/>
        <v/>
      </c>
      <c r="J754" s="98" t="str">
        <f t="shared" si="6"/>
        <v/>
      </c>
      <c r="K754" s="98" t="str">
        <f t="shared" si="7"/>
        <v/>
      </c>
      <c r="L754" s="141" t="str">
        <f t="shared" ref="L754:N754" si="760">IF(I754="",L753,I754)</f>
        <v>13.1.1</v>
      </c>
      <c r="M754" s="98" t="str">
        <f t="shared" si="760"/>
        <v>Disponibilidad y estabilidad</v>
      </c>
      <c r="N754" s="98" t="str">
        <f t="shared" si="760"/>
        <v>Capacidad de un sitio web para estar accesible y operativo en todo momento. Además de mantener su funcionamiento sin caídas, errores o interrupciones, proporcionando una experiencia consistente.
</v>
      </c>
      <c r="O754" s="142"/>
      <c r="P754" s="143"/>
      <c r="Q754" s="143"/>
      <c r="R754" s="347"/>
      <c r="S754" s="187" t="s">
        <v>1712</v>
      </c>
      <c r="T754" s="164" t="s">
        <v>2033</v>
      </c>
      <c r="U754" s="94"/>
      <c r="V754" s="94"/>
      <c r="W754" s="94"/>
      <c r="X754" s="94"/>
      <c r="Y754" s="94"/>
      <c r="Z754" s="94"/>
      <c r="AA754" s="94"/>
      <c r="AB754" s="94"/>
      <c r="AC754" s="94"/>
      <c r="AD754" s="94"/>
      <c r="AE754" s="94"/>
      <c r="AF754" s="94"/>
      <c r="AG754" s="94"/>
      <c r="AH754" s="94"/>
      <c r="AI754" s="94"/>
      <c r="AJ754" s="94"/>
      <c r="AK754" s="94"/>
      <c r="AL754" s="94"/>
    </row>
    <row r="755" hidden="1">
      <c r="A755" s="105" t="s">
        <v>1540</v>
      </c>
      <c r="B755" s="92" t="str">
        <f t="shared" si="494"/>
        <v>Pregunta</v>
      </c>
      <c r="C755" s="106" t="str">
        <f t="shared" si="9"/>
        <v>13.</v>
      </c>
      <c r="D755" s="106" t="str">
        <f t="shared" si="10"/>
        <v>Tecnología</v>
      </c>
      <c r="E755"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755" s="141" t="str">
        <f t="shared" si="3"/>
        <v>13.1</v>
      </c>
      <c r="G755" s="92" t="str">
        <f t="shared" si="4"/>
        <v>IMPRESCINDIBLES</v>
      </c>
      <c r="H755" s="141"/>
      <c r="I755" s="141" t="str">
        <f t="shared" si="5"/>
        <v>13.1.2</v>
      </c>
      <c r="J755" s="98" t="str">
        <f t="shared" si="6"/>
        <v>Codificación de caracteres</v>
      </c>
      <c r="K755" s="98" t="str">
        <f t="shared" si="7"/>
        <v>Definición del set de caracteres del sitio web, la que debe ser preferentemente "UTF-8".
</v>
      </c>
      <c r="L755" s="141" t="str">
        <f t="shared" ref="L755:N755" si="761">IF(I755="",L754,I755)</f>
        <v>13.1.2</v>
      </c>
      <c r="M755" s="98" t="str">
        <f t="shared" si="761"/>
        <v>Codificación de caracteres</v>
      </c>
      <c r="N755" s="98" t="str">
        <f t="shared" si="761"/>
        <v>Definición del set de caracteres del sitio web, la que debe ser preferentemente "UTF-8".
</v>
      </c>
      <c r="O755" s="273" t="s">
        <v>1713</v>
      </c>
      <c r="P755" s="166" t="s">
        <v>1130</v>
      </c>
      <c r="Q755" s="166" t="s">
        <v>1714</v>
      </c>
      <c r="R755" s="211"/>
      <c r="S755" s="166" t="s">
        <v>1132</v>
      </c>
      <c r="T755" s="164" t="s">
        <v>2033</v>
      </c>
      <c r="U755" s="94"/>
      <c r="V755" s="94"/>
      <c r="W755" s="94"/>
      <c r="X755" s="94"/>
      <c r="Y755" s="94"/>
      <c r="Z755" s="94"/>
      <c r="AA755" s="94"/>
      <c r="AB755" s="94"/>
      <c r="AC755" s="94"/>
      <c r="AD755" s="94"/>
      <c r="AE755" s="94"/>
      <c r="AF755" s="94"/>
      <c r="AG755" s="94"/>
      <c r="AH755" s="94"/>
      <c r="AI755" s="94"/>
      <c r="AJ755" s="94"/>
      <c r="AK755" s="94"/>
      <c r="AL755" s="94"/>
    </row>
    <row r="756" hidden="1">
      <c r="A756" s="105" t="s">
        <v>1540</v>
      </c>
      <c r="B756" s="92" t="str">
        <f t="shared" si="494"/>
        <v>Pregunta</v>
      </c>
      <c r="C756" s="106" t="str">
        <f t="shared" si="9"/>
        <v>13.</v>
      </c>
      <c r="D756" s="106" t="str">
        <f t="shared" si="10"/>
        <v>Tecnología</v>
      </c>
      <c r="E756"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756" s="141" t="str">
        <f t="shared" si="3"/>
        <v>13.1</v>
      </c>
      <c r="G756" s="92" t="str">
        <f t="shared" si="4"/>
        <v>IMPRESCINDIBLES</v>
      </c>
      <c r="H756" s="141"/>
      <c r="I756" s="141" t="str">
        <f t="shared" si="5"/>
        <v>13.1.3</v>
      </c>
      <c r="J756" s="98" t="str">
        <f t="shared" si="6"/>
        <v>Hojas de estilo en cascada (CSS)</v>
      </c>
      <c r="K756" s="98" t="str">
        <f t="shared" si="7"/>
        <v>Utilización de código CSS (hojas de estilo en cascada), en la diagramación y diseño de las páginas, separando el contenido, la estructura y la presentación.
</v>
      </c>
      <c r="L756" s="141" t="str">
        <f t="shared" ref="L756:N756" si="762">IF(I756="",L755,I756)</f>
        <v>13.1.3</v>
      </c>
      <c r="M756" s="98" t="str">
        <f t="shared" si="762"/>
        <v>Hojas de estilo en cascada (CSS)</v>
      </c>
      <c r="N756" s="98" t="str">
        <f t="shared" si="762"/>
        <v>Utilización de código CSS (hojas de estilo en cascada), en la diagramación y diseño de las páginas, separando el contenido, la estructura y la presentación.
</v>
      </c>
      <c r="O756" s="273" t="s">
        <v>1715</v>
      </c>
      <c r="P756" s="166" t="s">
        <v>1134</v>
      </c>
      <c r="Q756" s="166" t="s">
        <v>1135</v>
      </c>
      <c r="R756" s="174"/>
      <c r="S756" s="169" t="s">
        <v>1136</v>
      </c>
      <c r="T756" s="164" t="s">
        <v>2033</v>
      </c>
      <c r="U756" s="94"/>
      <c r="V756" s="94"/>
      <c r="W756" s="94"/>
      <c r="X756" s="94"/>
      <c r="Y756" s="94"/>
      <c r="Z756" s="94"/>
      <c r="AA756" s="94"/>
      <c r="AB756" s="94"/>
      <c r="AC756" s="94"/>
      <c r="AD756" s="94"/>
      <c r="AE756" s="94"/>
      <c r="AF756" s="94"/>
      <c r="AG756" s="94"/>
      <c r="AH756" s="94"/>
      <c r="AI756" s="94"/>
      <c r="AJ756" s="94"/>
      <c r="AK756" s="94"/>
      <c r="AL756" s="94"/>
    </row>
    <row r="757" hidden="1">
      <c r="A757" s="105" t="s">
        <v>1540</v>
      </c>
      <c r="B757" s="92" t="str">
        <f t="shared" si="494"/>
        <v>Pregunta</v>
      </c>
      <c r="C757" s="106" t="str">
        <f t="shared" si="9"/>
        <v>13.</v>
      </c>
      <c r="D757" s="106" t="str">
        <f t="shared" si="10"/>
        <v>Tecnología</v>
      </c>
      <c r="E757"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757" s="141" t="str">
        <f t="shared" si="3"/>
        <v>13.1</v>
      </c>
      <c r="G757" s="92" t="str">
        <f t="shared" si="4"/>
        <v>IMPRESCINDIBLES</v>
      </c>
      <c r="H757" s="141"/>
      <c r="I757" s="141" t="str">
        <f t="shared" si="5"/>
        <v>13.1.4</v>
      </c>
      <c r="J757" s="98" t="str">
        <f t="shared" si="6"/>
        <v>Especificación de idioma</v>
      </c>
      <c r="K757" s="98" t="str">
        <f t="shared" si="7"/>
        <v>Uso del atributo HTML "lang" para especificar el idioma del sitio o los textos del mismo.</v>
      </c>
      <c r="L757" s="141" t="str">
        <f t="shared" ref="L757:N757" si="763">IF(I757="",L756,I757)</f>
        <v>13.1.4</v>
      </c>
      <c r="M757" s="98" t="str">
        <f t="shared" si="763"/>
        <v>Especificación de idioma</v>
      </c>
      <c r="N757" s="98" t="str">
        <f t="shared" si="763"/>
        <v>Uso del atributo HTML "lang" para especificar el idioma del sitio o los textos del mismo.</v>
      </c>
      <c r="O757" s="273" t="s">
        <v>1716</v>
      </c>
      <c r="P757" s="166" t="s">
        <v>1138</v>
      </c>
      <c r="Q757" s="166" t="s">
        <v>1139</v>
      </c>
      <c r="R757" s="211"/>
      <c r="S757" s="166" t="s">
        <v>1140</v>
      </c>
      <c r="T757" s="164" t="s">
        <v>2033</v>
      </c>
      <c r="U757" s="94"/>
      <c r="V757" s="94"/>
      <c r="W757" s="94"/>
      <c r="X757" s="94"/>
      <c r="Y757" s="94"/>
      <c r="Z757" s="94"/>
      <c r="AA757" s="94"/>
      <c r="AB757" s="94"/>
      <c r="AC757" s="94"/>
      <c r="AD757" s="94"/>
      <c r="AE757" s="94"/>
      <c r="AF757" s="94"/>
      <c r="AG757" s="94"/>
      <c r="AH757" s="94"/>
      <c r="AI757" s="94"/>
      <c r="AJ757" s="94"/>
      <c r="AK757" s="94"/>
      <c r="AL757" s="94"/>
    </row>
    <row r="758" hidden="1">
      <c r="A758" s="105" t="s">
        <v>1540</v>
      </c>
      <c r="B758" s="92" t="str">
        <f t="shared" si="494"/>
        <v>Pregunta</v>
      </c>
      <c r="C758" s="106" t="str">
        <f t="shared" si="9"/>
        <v>13.</v>
      </c>
      <c r="D758" s="106" t="str">
        <f t="shared" si="10"/>
        <v>Tecnología</v>
      </c>
      <c r="E758"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758" s="141" t="str">
        <f t="shared" si="3"/>
        <v>13.1</v>
      </c>
      <c r="G758" s="92" t="str">
        <f t="shared" si="4"/>
        <v>IMPRESCINDIBLES</v>
      </c>
      <c r="H758" s="141"/>
      <c r="I758" s="141" t="str">
        <f t="shared" si="5"/>
        <v>13.1.5</v>
      </c>
      <c r="J758" s="98" t="str">
        <f t="shared" si="6"/>
        <v>Funcionamiento de los enlaces</v>
      </c>
      <c r="K758" s="98" t="str">
        <f t="shared" si="7"/>
        <v>Ausencia de enlaces rotos, enlaces redirigidos y enlaces inválidos.
</v>
      </c>
      <c r="L758" s="141" t="str">
        <f t="shared" ref="L758:N758" si="764">IF(I758="",L757,I758)</f>
        <v>13.1.5</v>
      </c>
      <c r="M758" s="98" t="str">
        <f t="shared" si="764"/>
        <v>Funcionamiento de los enlaces</v>
      </c>
      <c r="N758" s="98" t="str">
        <f t="shared" si="764"/>
        <v>Ausencia de enlaces rotos, enlaces redirigidos y enlaces inválidos.
</v>
      </c>
      <c r="O758" s="273" t="s">
        <v>1717</v>
      </c>
      <c r="P758" s="166" t="s">
        <v>1142</v>
      </c>
      <c r="Q758" s="166" t="s">
        <v>1143</v>
      </c>
      <c r="R758" s="174"/>
      <c r="S758" s="274" t="s">
        <v>2226</v>
      </c>
      <c r="T758" s="164" t="s">
        <v>2033</v>
      </c>
      <c r="U758" s="94"/>
      <c r="V758" s="94"/>
      <c r="W758" s="94"/>
      <c r="X758" s="94"/>
      <c r="Y758" s="94"/>
      <c r="Z758" s="94"/>
      <c r="AA758" s="94"/>
      <c r="AB758" s="94"/>
      <c r="AC758" s="94"/>
      <c r="AD758" s="94"/>
      <c r="AE758" s="94"/>
      <c r="AF758" s="94"/>
      <c r="AG758" s="94"/>
      <c r="AH758" s="94"/>
      <c r="AI758" s="94"/>
      <c r="AJ758" s="94"/>
      <c r="AK758" s="94"/>
      <c r="AL758" s="94"/>
    </row>
    <row r="759" hidden="1">
      <c r="A759" s="105" t="s">
        <v>1540</v>
      </c>
      <c r="B759" s="92" t="str">
        <f t="shared" si="494"/>
        <v>Pregunta</v>
      </c>
      <c r="C759" s="106" t="str">
        <f t="shared" si="9"/>
        <v>13.</v>
      </c>
      <c r="D759" s="106" t="str">
        <f t="shared" si="10"/>
        <v>Tecnología</v>
      </c>
      <c r="E759"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759" s="141" t="str">
        <f t="shared" si="3"/>
        <v>13.1</v>
      </c>
      <c r="G759" s="92" t="str">
        <f t="shared" si="4"/>
        <v>IMPRESCINDIBLES</v>
      </c>
      <c r="H759" s="141"/>
      <c r="I759" s="141" t="str">
        <f t="shared" si="5"/>
        <v>13.1.6</v>
      </c>
      <c r="J759" s="98" t="str">
        <f t="shared" si="6"/>
        <v>Soporte a URLs con y sin prefijo www</v>
      </c>
      <c r="K759" s="98" t="str">
        <f t="shared" si="7"/>
        <v>Habilitación de acceso utilizando o no el prefijo "www". Los sitios web deberán visualizarse independiente de la utilización de este prefijo, redirigiendo a la URL final del sitio.
</v>
      </c>
      <c r="L759" s="141" t="str">
        <f t="shared" ref="L759:N759" si="765">IF(I759="",L758,I759)</f>
        <v>13.1.6</v>
      </c>
      <c r="M759" s="98" t="str">
        <f t="shared" si="765"/>
        <v>Soporte a URLs con y sin prefijo www</v>
      </c>
      <c r="N759" s="98" t="str">
        <f t="shared" si="765"/>
        <v>Habilitación de acceso utilizando o no el prefijo "www". Los sitios web deberán visualizarse independiente de la utilización de este prefijo, redirigiendo a la URL final del sitio.
</v>
      </c>
      <c r="O759" s="262" t="s">
        <v>1718</v>
      </c>
      <c r="P759" s="148" t="s">
        <v>1146</v>
      </c>
      <c r="Q759" s="148" t="s">
        <v>1147</v>
      </c>
      <c r="R759" s="158"/>
      <c r="S759" s="170" t="s">
        <v>1719</v>
      </c>
      <c r="T759" s="164" t="s">
        <v>2033</v>
      </c>
      <c r="U759" s="94"/>
      <c r="V759" s="94"/>
      <c r="W759" s="94"/>
      <c r="X759" s="94"/>
      <c r="Y759" s="94"/>
      <c r="Z759" s="94"/>
      <c r="AA759" s="94"/>
      <c r="AB759" s="94"/>
      <c r="AC759" s="94"/>
      <c r="AD759" s="94"/>
      <c r="AE759" s="94"/>
      <c r="AF759" s="94"/>
      <c r="AG759" s="94"/>
      <c r="AH759" s="94"/>
      <c r="AI759" s="94"/>
      <c r="AJ759" s="94"/>
      <c r="AK759" s="94"/>
      <c r="AL759" s="94"/>
    </row>
    <row r="760" hidden="1">
      <c r="A760" s="86" t="s">
        <v>1540</v>
      </c>
      <c r="B760" s="95" t="str">
        <f t="shared" si="494"/>
        <v>Pregunta</v>
      </c>
      <c r="C760" s="106" t="str">
        <f t="shared" si="9"/>
        <v>13.</v>
      </c>
      <c r="D760" s="106" t="str">
        <f t="shared" si="10"/>
        <v>Tecnología</v>
      </c>
      <c r="E760"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760" s="141" t="str">
        <f t="shared" si="3"/>
        <v>13.1</v>
      </c>
      <c r="G760" s="92" t="str">
        <f t="shared" si="4"/>
        <v>IMPRESCINDIBLES</v>
      </c>
      <c r="H760" s="141"/>
      <c r="I760" s="141" t="str">
        <f t="shared" si="5"/>
        <v>13.1.7</v>
      </c>
      <c r="J760" s="98" t="str">
        <f t="shared" si="6"/>
        <v>Dominio ".gob.cl"</v>
      </c>
      <c r="K760" s="98" t="str">
        <f t="shared" si="7"/>
        <v>Utilización del dominio ".gob.cl", registrándolo previamente ante la División de Informática del Ministerio del Interior y Seguridad Pública, y en el sitio web Administración de Dominios gob.cl (nic.gob.cl)
</v>
      </c>
      <c r="L760" s="141" t="str">
        <f t="shared" ref="L760:N760" si="766">IF(I760="",L759,I760)</f>
        <v>13.1.7</v>
      </c>
      <c r="M760" s="98" t="str">
        <f t="shared" si="766"/>
        <v>Dominio ".gob.cl"</v>
      </c>
      <c r="N760" s="98" t="str">
        <f t="shared" si="766"/>
        <v>Utilización del dominio ".gob.cl", registrándolo previamente ante la División de Informática del Ministerio del Interior y Seguridad Pública, y en el sitio web Administración de Dominios gob.cl (nic.gob.cl)
</v>
      </c>
      <c r="O760" s="152" t="s">
        <v>1720</v>
      </c>
      <c r="P760" s="167" t="s">
        <v>1150</v>
      </c>
      <c r="Q760" s="148" t="s">
        <v>1721</v>
      </c>
      <c r="R760" s="158"/>
      <c r="S760" s="170" t="s">
        <v>2227</v>
      </c>
      <c r="T760" s="160" t="s">
        <v>2033</v>
      </c>
      <c r="U760" s="94"/>
      <c r="V760" s="94"/>
      <c r="W760" s="94"/>
      <c r="X760" s="94"/>
      <c r="Y760" s="94"/>
      <c r="Z760" s="94"/>
      <c r="AA760" s="94"/>
      <c r="AB760" s="94"/>
      <c r="AC760" s="94"/>
      <c r="AD760" s="94"/>
      <c r="AE760" s="94"/>
      <c r="AF760" s="94"/>
      <c r="AG760" s="94"/>
      <c r="AH760" s="94"/>
      <c r="AI760" s="94"/>
      <c r="AJ760" s="94"/>
      <c r="AK760" s="94"/>
      <c r="AL760" s="94"/>
    </row>
    <row r="761" hidden="1">
      <c r="A761" s="86" t="s">
        <v>1540</v>
      </c>
      <c r="B761" s="95" t="str">
        <f t="shared" si="494"/>
        <v>Pregunta</v>
      </c>
      <c r="C761" s="106" t="str">
        <f t="shared" si="9"/>
        <v>13.</v>
      </c>
      <c r="D761" s="106" t="str">
        <f t="shared" si="10"/>
        <v>Tecnología</v>
      </c>
      <c r="E761"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761" s="141" t="str">
        <f t="shared" si="3"/>
        <v>13.1</v>
      </c>
      <c r="G761" s="92" t="str">
        <f t="shared" si="4"/>
        <v>IMPRESCINDIBLES</v>
      </c>
      <c r="H761" s="141"/>
      <c r="I761" s="141" t="str">
        <f t="shared" si="5"/>
        <v/>
      </c>
      <c r="J761" s="98" t="str">
        <f t="shared" si="6"/>
        <v/>
      </c>
      <c r="K761" s="98" t="str">
        <f t="shared" si="7"/>
        <v/>
      </c>
      <c r="L761" s="141" t="str">
        <f t="shared" ref="L761:N761" si="767">IF(I761="",L760,I761)</f>
        <v>13.1.7</v>
      </c>
      <c r="M761" s="98" t="str">
        <f t="shared" si="767"/>
        <v>Dominio ".gob.cl"</v>
      </c>
      <c r="N761" s="98" t="str">
        <f t="shared" si="767"/>
        <v>Utilización del dominio ".gob.cl", registrándolo previamente ante la División de Informática del Ministerio del Interior y Seguridad Pública, y en el sitio web Administración de Dominios gob.cl (nic.gob.cl)
</v>
      </c>
      <c r="O761" s="142"/>
      <c r="P761" s="174"/>
      <c r="Q761" s="143"/>
      <c r="R761" s="174"/>
      <c r="S761" s="169" t="s">
        <v>2228</v>
      </c>
      <c r="T761" s="164" t="s">
        <v>2033</v>
      </c>
      <c r="U761" s="94"/>
      <c r="V761" s="94"/>
      <c r="W761" s="94"/>
      <c r="X761" s="94"/>
      <c r="Y761" s="94"/>
      <c r="Z761" s="94"/>
      <c r="AA761" s="94"/>
      <c r="AB761" s="94"/>
      <c r="AC761" s="94"/>
      <c r="AD761" s="94"/>
      <c r="AE761" s="94"/>
      <c r="AF761" s="94"/>
      <c r="AG761" s="94"/>
      <c r="AH761" s="94"/>
      <c r="AI761" s="94"/>
      <c r="AJ761" s="94"/>
      <c r="AK761" s="94"/>
      <c r="AL761" s="94"/>
    </row>
    <row r="762" hidden="1">
      <c r="A762" s="86" t="s">
        <v>1540</v>
      </c>
      <c r="B762" s="95" t="str">
        <f t="shared" si="494"/>
        <v>Otro</v>
      </c>
      <c r="C762" s="106" t="str">
        <f t="shared" si="9"/>
        <v>13.</v>
      </c>
      <c r="D762" s="106" t="str">
        <f t="shared" si="10"/>
        <v>Tecnología</v>
      </c>
      <c r="E762"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762" s="141" t="str">
        <f t="shared" si="3"/>
        <v>13.2</v>
      </c>
      <c r="G762" s="92" t="str">
        <f t="shared" si="4"/>
        <v>ESPERABLES</v>
      </c>
      <c r="H762" s="141"/>
      <c r="I762" s="141" t="str">
        <f t="shared" si="5"/>
        <v/>
      </c>
      <c r="J762" s="98" t="str">
        <f t="shared" si="6"/>
        <v/>
      </c>
      <c r="K762" s="98" t="str">
        <f t="shared" si="7"/>
        <v/>
      </c>
      <c r="L762" s="141" t="str">
        <f t="shared" ref="L762:N762" si="768">IF(I762="",L761,I762)</f>
        <v>13.1.7</v>
      </c>
      <c r="M762" s="98" t="str">
        <f t="shared" si="768"/>
        <v>Dominio ".gob.cl"</v>
      </c>
      <c r="N762" s="98" t="str">
        <f t="shared" si="768"/>
        <v>Utilización del dominio ".gob.cl", registrándolo previamente ante la División de Informática del Ministerio del Interior y Seguridad Pública, y en el sitio web Administración de Dominios gob.cl (nic.gob.cl)
</v>
      </c>
      <c r="O762" s="175" t="s">
        <v>1271</v>
      </c>
      <c r="P762" s="196" t="s">
        <v>714</v>
      </c>
      <c r="Q762" s="177"/>
      <c r="R762" s="177"/>
      <c r="S762" s="197">
        <f>COUNTA(P763:P769)</f>
        <v>5</v>
      </c>
      <c r="T762" s="197">
        <f>COUNTIF(U763:U769,"n/a")</f>
        <v>0</v>
      </c>
      <c r="U762" s="94"/>
      <c r="V762" s="94"/>
      <c r="W762" s="94"/>
      <c r="X762" s="94"/>
      <c r="Y762" s="94"/>
      <c r="Z762" s="94"/>
      <c r="AA762" s="94"/>
      <c r="AB762" s="94"/>
      <c r="AC762" s="94"/>
      <c r="AD762" s="94"/>
      <c r="AE762" s="94"/>
      <c r="AF762" s="94"/>
      <c r="AG762" s="94"/>
      <c r="AH762" s="94"/>
      <c r="AI762" s="94"/>
      <c r="AJ762" s="94"/>
      <c r="AK762" s="94"/>
      <c r="AL762" s="94"/>
    </row>
    <row r="763" hidden="1">
      <c r="A763" s="105" t="s">
        <v>1540</v>
      </c>
      <c r="B763" s="92" t="str">
        <f t="shared" si="494"/>
        <v>Pregunta</v>
      </c>
      <c r="C763" s="106" t="str">
        <f t="shared" si="9"/>
        <v>13.</v>
      </c>
      <c r="D763" s="106" t="str">
        <f t="shared" si="10"/>
        <v>Tecnología</v>
      </c>
      <c r="E763"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763" s="141" t="str">
        <f t="shared" si="3"/>
        <v>13.2</v>
      </c>
      <c r="G763" s="92" t="str">
        <f t="shared" si="4"/>
        <v>ESPERABLES</v>
      </c>
      <c r="H763" s="141"/>
      <c r="I763" s="141" t="str">
        <f t="shared" si="5"/>
        <v>13.2.1</v>
      </c>
      <c r="J763" s="98" t="str">
        <f t="shared" si="6"/>
        <v>Lenguaje HTML5</v>
      </c>
      <c r="K763" s="98" t="str">
        <f t="shared" si="7"/>
        <v>Utilización del lenguaje de marcado HTML5 para la creación y estructuración de contenido en las páginas web.
</v>
      </c>
      <c r="L763" s="141" t="str">
        <f t="shared" ref="L763:N763" si="769">IF(I763="",L762,I763)</f>
        <v>13.2.1</v>
      </c>
      <c r="M763" s="98" t="str">
        <f t="shared" si="769"/>
        <v>Lenguaje HTML5</v>
      </c>
      <c r="N763" s="98" t="str">
        <f t="shared" si="769"/>
        <v>Utilización del lenguaje de marcado HTML5 para la creación y estructuración de contenido en las páginas web.
</v>
      </c>
      <c r="O763" s="275" t="s">
        <v>1272</v>
      </c>
      <c r="P763" s="169" t="s">
        <v>1156</v>
      </c>
      <c r="Q763" s="169" t="s">
        <v>1157</v>
      </c>
      <c r="R763" s="168"/>
      <c r="S763" s="169" t="s">
        <v>1158</v>
      </c>
      <c r="T763" s="164" t="s">
        <v>2033</v>
      </c>
      <c r="U763" s="94"/>
      <c r="V763" s="94"/>
      <c r="W763" s="94"/>
      <c r="X763" s="94"/>
      <c r="Y763" s="94"/>
      <c r="Z763" s="94"/>
      <c r="AA763" s="94"/>
      <c r="AB763" s="94"/>
      <c r="AC763" s="94"/>
      <c r="AD763" s="94"/>
      <c r="AE763" s="94"/>
      <c r="AF763" s="94"/>
      <c r="AG763" s="94"/>
      <c r="AH763" s="94"/>
      <c r="AI763" s="94"/>
      <c r="AJ763" s="94"/>
      <c r="AK763" s="94"/>
      <c r="AL763" s="94"/>
    </row>
    <row r="764" hidden="1">
      <c r="A764" s="105" t="s">
        <v>1540</v>
      </c>
      <c r="B764" s="92" t="str">
        <f t="shared" si="494"/>
        <v>Pregunta</v>
      </c>
      <c r="C764" s="106" t="str">
        <f t="shared" si="9"/>
        <v>13.</v>
      </c>
      <c r="D764" s="106" t="str">
        <f t="shared" si="10"/>
        <v>Tecnología</v>
      </c>
      <c r="E764"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764" s="141" t="str">
        <f t="shared" si="3"/>
        <v>13.2</v>
      </c>
      <c r="G764" s="92" t="str">
        <f t="shared" si="4"/>
        <v>ESPERABLES</v>
      </c>
      <c r="H764" s="141"/>
      <c r="I764" s="141" t="str">
        <f t="shared" si="5"/>
        <v>13.2.2</v>
      </c>
      <c r="J764" s="98" t="str">
        <f t="shared" si="6"/>
        <v>Compatibilidad HTML</v>
      </c>
      <c r="K764" s="98" t="str">
        <f t="shared" si="7"/>
        <v>Validación del código HTML en el validador de la W3C, el código debe cumplir o cumplir con reparos.
</v>
      </c>
      <c r="L764" s="141" t="str">
        <f t="shared" ref="L764:N764" si="770">IF(I764="",L763,I764)</f>
        <v>13.2.2</v>
      </c>
      <c r="M764" s="98" t="str">
        <f t="shared" si="770"/>
        <v>Compatibilidad HTML</v>
      </c>
      <c r="N764" s="98" t="str">
        <f t="shared" si="770"/>
        <v>Validación del código HTML en el validador de la W3C, el código debe cumplir o cumplir con reparos.
</v>
      </c>
      <c r="O764" s="214" t="s">
        <v>1724</v>
      </c>
      <c r="P764" s="166" t="s">
        <v>1160</v>
      </c>
      <c r="Q764" s="166" t="s">
        <v>1725</v>
      </c>
      <c r="R764" s="211"/>
      <c r="S764" s="213" t="s">
        <v>2229</v>
      </c>
      <c r="T764" s="164" t="s">
        <v>2033</v>
      </c>
      <c r="U764" s="94"/>
      <c r="V764" s="94"/>
      <c r="W764" s="94"/>
      <c r="X764" s="94"/>
      <c r="Y764" s="94"/>
      <c r="Z764" s="94"/>
      <c r="AA764" s="94"/>
      <c r="AB764" s="94"/>
      <c r="AC764" s="94"/>
      <c r="AD764" s="94"/>
      <c r="AE764" s="94"/>
      <c r="AF764" s="94"/>
      <c r="AG764" s="94"/>
      <c r="AH764" s="94"/>
      <c r="AI764" s="94"/>
      <c r="AJ764" s="94"/>
      <c r="AK764" s="94"/>
      <c r="AL764" s="94"/>
    </row>
    <row r="765" hidden="1">
      <c r="A765" s="105" t="s">
        <v>1540</v>
      </c>
      <c r="B765" s="92" t="str">
        <f t="shared" si="494"/>
        <v>Pregunta</v>
      </c>
      <c r="C765" s="106" t="str">
        <f t="shared" si="9"/>
        <v>13.</v>
      </c>
      <c r="D765" s="106" t="str">
        <f t="shared" si="10"/>
        <v>Tecnología</v>
      </c>
      <c r="E765"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765" s="141" t="str">
        <f t="shared" si="3"/>
        <v>13.2</v>
      </c>
      <c r="G765" s="92" t="str">
        <f t="shared" si="4"/>
        <v>ESPERABLES</v>
      </c>
      <c r="H765" s="141"/>
      <c r="I765" s="141" t="str">
        <f t="shared" si="5"/>
        <v>13.2.3</v>
      </c>
      <c r="J765" s="98" t="str">
        <f t="shared" si="6"/>
        <v>Compatibilidad CSS</v>
      </c>
      <c r="K765" s="98" t="str">
        <f t="shared" si="7"/>
        <v>Validación de la escritura y compatibilidad del código CSS, el que no debe tener errores.
</v>
      </c>
      <c r="L765" s="141" t="str">
        <f t="shared" ref="L765:N765" si="771">IF(I765="",L764,I765)</f>
        <v>13.2.3</v>
      </c>
      <c r="M765" s="98" t="str">
        <f t="shared" si="771"/>
        <v>Compatibilidad CSS</v>
      </c>
      <c r="N765" s="98" t="str">
        <f t="shared" si="771"/>
        <v>Validación de la escritura y compatibilidad del código CSS, el que no debe tener errores.
</v>
      </c>
      <c r="O765" s="207" t="s">
        <v>1727</v>
      </c>
      <c r="P765" s="166" t="s">
        <v>1164</v>
      </c>
      <c r="Q765" s="166" t="s">
        <v>1165</v>
      </c>
      <c r="R765" s="211"/>
      <c r="S765" s="213" t="s">
        <v>2230</v>
      </c>
      <c r="T765" s="164" t="s">
        <v>2033</v>
      </c>
      <c r="U765" s="94"/>
      <c r="V765" s="94"/>
      <c r="W765" s="94"/>
      <c r="X765" s="94"/>
      <c r="Y765" s="94"/>
      <c r="Z765" s="94"/>
      <c r="AA765" s="94"/>
      <c r="AB765" s="94"/>
      <c r="AC765" s="94"/>
      <c r="AD765" s="94"/>
      <c r="AE765" s="94"/>
      <c r="AF765" s="94"/>
      <c r="AG765" s="94"/>
      <c r="AH765" s="94"/>
      <c r="AI765" s="94"/>
      <c r="AJ765" s="94"/>
      <c r="AK765" s="94"/>
      <c r="AL765" s="94"/>
    </row>
    <row r="766" hidden="1">
      <c r="A766" s="105" t="s">
        <v>1540</v>
      </c>
      <c r="B766" s="92" t="str">
        <f t="shared" si="494"/>
        <v>Pregunta</v>
      </c>
      <c r="C766" s="106" t="str">
        <f t="shared" si="9"/>
        <v>13.</v>
      </c>
      <c r="D766" s="106" t="str">
        <f t="shared" si="10"/>
        <v>Tecnología</v>
      </c>
      <c r="E766"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766" s="141" t="str">
        <f t="shared" si="3"/>
        <v>13.2</v>
      </c>
      <c r="G766" s="92" t="str">
        <f t="shared" si="4"/>
        <v>ESPERABLES</v>
      </c>
      <c r="H766" s="141"/>
      <c r="I766" s="141" t="str">
        <f t="shared" si="5"/>
        <v>13.2.4</v>
      </c>
      <c r="J766" s="98" t="str">
        <f t="shared" si="6"/>
        <v>Optimización y rendimiento</v>
      </c>
      <c r="K766" s="98" t="str">
        <f t="shared" si="7"/>
        <v>Capacidad de un sitio web para manejar el aumento en el tráfico y la demanda sin comprometer la estabilidad o la rapidez de respuesta.
</v>
      </c>
      <c r="L766" s="141" t="str">
        <f t="shared" ref="L766:N766" si="772">IF(I766="",L765,I766)</f>
        <v>13.2.4</v>
      </c>
      <c r="M766" s="98" t="str">
        <f t="shared" si="772"/>
        <v>Optimización y rendimiento</v>
      </c>
      <c r="N766" s="98" t="str">
        <f t="shared" si="772"/>
        <v>Capacidad de un sitio web para manejar el aumento en el tráfico y la demanda sin comprometer la estabilidad o la rapidez de respuesta.
</v>
      </c>
      <c r="O766" s="207" t="s">
        <v>1728</v>
      </c>
      <c r="P766" s="148" t="s">
        <v>1168</v>
      </c>
      <c r="Q766" s="148" t="s">
        <v>1169</v>
      </c>
      <c r="R766" s="200"/>
      <c r="S766" s="190" t="s">
        <v>2231</v>
      </c>
      <c r="T766" s="160" t="s">
        <v>2033</v>
      </c>
      <c r="U766" s="94"/>
      <c r="V766" s="94"/>
      <c r="W766" s="94"/>
      <c r="X766" s="94"/>
      <c r="Y766" s="94"/>
      <c r="Z766" s="94"/>
      <c r="AA766" s="94"/>
      <c r="AB766" s="94"/>
      <c r="AC766" s="94"/>
      <c r="AD766" s="94"/>
      <c r="AE766" s="94"/>
      <c r="AF766" s="94"/>
      <c r="AG766" s="94"/>
      <c r="AH766" s="94"/>
      <c r="AI766" s="94"/>
      <c r="AJ766" s="94"/>
      <c r="AK766" s="94"/>
      <c r="AL766" s="94"/>
    </row>
    <row r="767" hidden="1">
      <c r="A767" s="86" t="s">
        <v>1540</v>
      </c>
      <c r="B767" s="95" t="str">
        <f t="shared" si="494"/>
        <v>Pregunta</v>
      </c>
      <c r="C767" s="106" t="str">
        <f t="shared" si="9"/>
        <v>13.</v>
      </c>
      <c r="D767" s="106" t="str">
        <f t="shared" si="10"/>
        <v>Tecnología</v>
      </c>
      <c r="E767"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767" s="141" t="str">
        <f t="shared" si="3"/>
        <v>13.2</v>
      </c>
      <c r="G767" s="92" t="str">
        <f t="shared" si="4"/>
        <v>ESPERABLES</v>
      </c>
      <c r="H767" s="141"/>
      <c r="I767" s="141" t="str">
        <f t="shared" si="5"/>
        <v/>
      </c>
      <c r="J767" s="98" t="str">
        <f t="shared" si="6"/>
        <v/>
      </c>
      <c r="K767" s="98" t="str">
        <f t="shared" si="7"/>
        <v/>
      </c>
      <c r="L767" s="141" t="str">
        <f t="shared" ref="L767:N767" si="773">IF(I767="",L766,I767)</f>
        <v>13.2.4</v>
      </c>
      <c r="M767" s="98" t="str">
        <f t="shared" si="773"/>
        <v>Optimización y rendimiento</v>
      </c>
      <c r="N767" s="98" t="str">
        <f t="shared" si="773"/>
        <v>Capacidad de un sitio web para manejar el aumento en el tráfico y la demanda sin comprometer la estabilidad o la rapidez de respuesta.
</v>
      </c>
      <c r="O767" s="142"/>
      <c r="P767" s="153"/>
      <c r="Q767" s="153"/>
      <c r="R767" s="171"/>
      <c r="S767" s="348" t="s">
        <v>2232</v>
      </c>
      <c r="T767" s="164" t="s">
        <v>2033</v>
      </c>
      <c r="U767" s="94"/>
      <c r="V767" s="94"/>
      <c r="W767" s="94"/>
      <c r="X767" s="94"/>
      <c r="Y767" s="94"/>
      <c r="Z767" s="94"/>
      <c r="AA767" s="94"/>
      <c r="AB767" s="94"/>
      <c r="AC767" s="94"/>
      <c r="AD767" s="94"/>
      <c r="AE767" s="94"/>
      <c r="AF767" s="94"/>
      <c r="AG767" s="94"/>
      <c r="AH767" s="94"/>
      <c r="AI767" s="94"/>
      <c r="AJ767" s="94"/>
      <c r="AK767" s="94"/>
      <c r="AL767" s="94"/>
    </row>
    <row r="768" hidden="1">
      <c r="A768" s="105" t="s">
        <v>1540</v>
      </c>
      <c r="B768" s="92" t="str">
        <f t="shared" si="494"/>
        <v>Pregunta</v>
      </c>
      <c r="C768" s="106" t="str">
        <f t="shared" si="9"/>
        <v>13.</v>
      </c>
      <c r="D768" s="106" t="str">
        <f t="shared" si="10"/>
        <v>Tecnología</v>
      </c>
      <c r="E768"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768" s="141" t="str">
        <f t="shared" si="3"/>
        <v>13.2</v>
      </c>
      <c r="G768" s="92" t="str">
        <f t="shared" si="4"/>
        <v>ESPERABLES</v>
      </c>
      <c r="H768" s="141"/>
      <c r="I768" s="141" t="str">
        <f t="shared" si="5"/>
        <v>13.2.5</v>
      </c>
      <c r="J768" s="98" t="str">
        <f t="shared" si="6"/>
        <v>Versión de impresión</v>
      </c>
      <c r="K768" s="98" t="str">
        <f t="shared" si="7"/>
        <v>Adaptación del contenido para una óptima impresión. La finalización de un trámite, sea ésta una página de entrega de información o un certificado, debe poder imprimirse sin dificultad o alteraciones significativas de su apariencia.
</v>
      </c>
      <c r="L768" s="141" t="str">
        <f t="shared" ref="L768:N768" si="774">IF(I768="",L767,I768)</f>
        <v>13.2.5</v>
      </c>
      <c r="M768" s="98" t="str">
        <f t="shared" si="774"/>
        <v>Versión de impresión</v>
      </c>
      <c r="N768" s="98" t="str">
        <f t="shared" si="774"/>
        <v>Adaptación del contenido para una óptima impresión. La finalización de un trámite, sea ésta una página de entrega de información o un certificado, debe poder imprimirse sin dificultad o alteraciones significativas de su apariencia.
</v>
      </c>
      <c r="O768" s="147" t="s">
        <v>1729</v>
      </c>
      <c r="P768" s="148" t="s">
        <v>1173</v>
      </c>
      <c r="Q768" s="148" t="s">
        <v>1174</v>
      </c>
      <c r="R768" s="167"/>
      <c r="S768" s="148" t="s">
        <v>1175</v>
      </c>
      <c r="T768" s="160" t="s">
        <v>2033</v>
      </c>
      <c r="U768" s="94"/>
      <c r="V768" s="94"/>
      <c r="W768" s="94"/>
      <c r="X768" s="94"/>
      <c r="Y768" s="94"/>
      <c r="Z768" s="94"/>
      <c r="AA768" s="94"/>
      <c r="AB768" s="94"/>
      <c r="AC768" s="94"/>
      <c r="AD768" s="94"/>
      <c r="AE768" s="94"/>
      <c r="AF768" s="94"/>
      <c r="AG768" s="94"/>
      <c r="AH768" s="94"/>
      <c r="AI768" s="94"/>
      <c r="AJ768" s="94"/>
      <c r="AK768" s="94"/>
      <c r="AL768" s="94"/>
    </row>
    <row r="769" hidden="1">
      <c r="A769" s="86" t="s">
        <v>1540</v>
      </c>
      <c r="B769" s="95" t="str">
        <f t="shared" si="494"/>
        <v>Pregunta</v>
      </c>
      <c r="C769" s="106" t="str">
        <f t="shared" si="9"/>
        <v>13.</v>
      </c>
      <c r="D769" s="106" t="str">
        <f t="shared" si="10"/>
        <v>Tecnología</v>
      </c>
      <c r="E769"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769" s="141" t="str">
        <f t="shared" si="3"/>
        <v>13.2</v>
      </c>
      <c r="G769" s="92" t="str">
        <f t="shared" si="4"/>
        <v>ESPERABLES</v>
      </c>
      <c r="H769" s="141"/>
      <c r="I769" s="141" t="str">
        <f t="shared" si="5"/>
        <v/>
      </c>
      <c r="J769" s="98" t="str">
        <f t="shared" si="6"/>
        <v/>
      </c>
      <c r="K769" s="98" t="str">
        <f t="shared" si="7"/>
        <v/>
      </c>
      <c r="L769" s="141" t="str">
        <f t="shared" ref="L769:N769" si="775">IF(I769="",L768,I769)</f>
        <v>13.2.5</v>
      </c>
      <c r="M769" s="98" t="str">
        <f t="shared" si="775"/>
        <v>Versión de impresión</v>
      </c>
      <c r="N769" s="98" t="str">
        <f t="shared" si="775"/>
        <v>Adaptación del contenido para una óptima impresión. La finalización de un trámite, sea ésta una página de entrega de información o un certificado, debe poder imprimirse sin dificultad o alteraciones significativas de su apariencia.
</v>
      </c>
      <c r="O769" s="142"/>
      <c r="P769" s="143"/>
      <c r="Q769" s="143"/>
      <c r="R769" s="168"/>
      <c r="S769" s="169" t="s">
        <v>2233</v>
      </c>
      <c r="T769" s="164" t="s">
        <v>2033</v>
      </c>
      <c r="U769" s="94"/>
      <c r="V769" s="94"/>
      <c r="W769" s="94"/>
      <c r="X769" s="94"/>
      <c r="Y769" s="94"/>
      <c r="Z769" s="94"/>
      <c r="AA769" s="94"/>
      <c r="AB769" s="94"/>
      <c r="AC769" s="94"/>
      <c r="AD769" s="94"/>
      <c r="AE769" s="94"/>
      <c r="AF769" s="94"/>
      <c r="AG769" s="94"/>
      <c r="AH769" s="94"/>
      <c r="AI769" s="94"/>
      <c r="AJ769" s="94"/>
      <c r="AK769" s="94"/>
      <c r="AL769" s="94"/>
    </row>
    <row r="770" hidden="1">
      <c r="A770" s="86" t="s">
        <v>1540</v>
      </c>
      <c r="B770" s="95" t="str">
        <f t="shared" si="494"/>
        <v>Otro</v>
      </c>
      <c r="C770" s="106" t="str">
        <f t="shared" si="9"/>
        <v>13.</v>
      </c>
      <c r="D770" s="106" t="str">
        <f t="shared" si="10"/>
        <v>Tecnología</v>
      </c>
      <c r="E770"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770" s="141" t="str">
        <f t="shared" si="3"/>
        <v>13.3</v>
      </c>
      <c r="G770" s="92" t="str">
        <f t="shared" si="4"/>
        <v>DESEABLES</v>
      </c>
      <c r="H770" s="141"/>
      <c r="I770" s="141" t="str">
        <f t="shared" si="5"/>
        <v/>
      </c>
      <c r="J770" s="98" t="str">
        <f t="shared" si="6"/>
        <v/>
      </c>
      <c r="K770" s="98" t="str">
        <f t="shared" si="7"/>
        <v/>
      </c>
      <c r="L770" s="141" t="str">
        <f t="shared" ref="L770:N770" si="776">IF(I770="",L769,I770)</f>
        <v>13.2.5</v>
      </c>
      <c r="M770" s="98" t="str">
        <f t="shared" si="776"/>
        <v>Versión de impresión</v>
      </c>
      <c r="N770" s="98" t="str">
        <f t="shared" si="776"/>
        <v>Adaptación del contenido para una óptima impresión. La finalización de un trámite, sea ésta una página de entrega de información o un certificado, debe poder imprimirse sin dificultad o alteraciones significativas de su apariencia.
</v>
      </c>
      <c r="O770" s="181" t="s">
        <v>1276</v>
      </c>
      <c r="P770" s="182" t="s">
        <v>749</v>
      </c>
      <c r="Q770" s="183"/>
      <c r="R770" s="183"/>
      <c r="S770" s="323">
        <f>COUNTA(P771)</f>
        <v>1</v>
      </c>
      <c r="T770" s="323">
        <f>COUNTIF(U771,"n/a")</f>
        <v>0</v>
      </c>
      <c r="U770" s="94"/>
      <c r="V770" s="94"/>
      <c r="W770" s="94"/>
      <c r="X770" s="94"/>
      <c r="Y770" s="94"/>
      <c r="Z770" s="94"/>
      <c r="AA770" s="94"/>
      <c r="AB770" s="94"/>
      <c r="AC770" s="94"/>
      <c r="AD770" s="94"/>
      <c r="AE770" s="94"/>
      <c r="AF770" s="94"/>
      <c r="AG770" s="94"/>
      <c r="AH770" s="94"/>
      <c r="AI770" s="94"/>
      <c r="AJ770" s="94"/>
      <c r="AK770" s="94"/>
      <c r="AL770" s="94"/>
    </row>
    <row r="771" hidden="1">
      <c r="A771" s="105" t="s">
        <v>1540</v>
      </c>
      <c r="B771" s="92" t="str">
        <f t="shared" si="494"/>
        <v>Pregunta</v>
      </c>
      <c r="C771" s="106" t="str">
        <f t="shared" si="9"/>
        <v>13.</v>
      </c>
      <c r="D771" s="106" t="str">
        <f t="shared" si="10"/>
        <v>Tecnología</v>
      </c>
      <c r="E771" s="106" t="str">
        <f t="shared" si="11"/>
        <v>Conjunto de herramientas y estándares para la creación y funcionamiento de productos digitales. Se deben priorizar las herramientas y tecnologías que faciliten crear un servicio de alta calidad de forma rentable y que permitan minimizar el costo de cambiar en el futuro.</v>
      </c>
      <c r="F771" s="141" t="str">
        <f t="shared" si="3"/>
        <v>13.3</v>
      </c>
      <c r="G771" s="92" t="str">
        <f t="shared" si="4"/>
        <v>DESEABLES</v>
      </c>
      <c r="H771" s="141"/>
      <c r="I771" s="141" t="str">
        <f t="shared" si="5"/>
        <v>13.3.1</v>
      </c>
      <c r="J771" s="98" t="str">
        <f t="shared" si="6"/>
        <v>Javascript sin errores</v>
      </c>
      <c r="K771" s="98" t="str">
        <f t="shared" si="7"/>
        <v>Ausencia de errores de JavaScript en la consola del navegador.
</v>
      </c>
      <c r="L771" s="141" t="str">
        <f t="shared" ref="L771:N771" si="777">IF(I771="",L770,I771)</f>
        <v>13.3.1</v>
      </c>
      <c r="M771" s="98" t="str">
        <f t="shared" si="777"/>
        <v>Javascript sin errores</v>
      </c>
      <c r="N771" s="98" t="str">
        <f t="shared" si="777"/>
        <v>Ausencia de errores de JavaScript en la consola del navegador.
</v>
      </c>
      <c r="O771" s="278" t="s">
        <v>1277</v>
      </c>
      <c r="P771" s="279" t="s">
        <v>1179</v>
      </c>
      <c r="Q771" s="279" t="s">
        <v>1180</v>
      </c>
      <c r="R771" s="174"/>
      <c r="S771" s="280" t="s">
        <v>2234</v>
      </c>
      <c r="T771" s="164" t="s">
        <v>2033</v>
      </c>
      <c r="U771" s="94"/>
      <c r="V771" s="94"/>
      <c r="W771" s="94"/>
      <c r="X771" s="94"/>
      <c r="Y771" s="94"/>
      <c r="Z771" s="94"/>
      <c r="AA771" s="94"/>
      <c r="AB771" s="94"/>
      <c r="AC771" s="94"/>
      <c r="AD771" s="94"/>
      <c r="AE771" s="94"/>
      <c r="AF771" s="94"/>
      <c r="AG771" s="94"/>
      <c r="AH771" s="94"/>
      <c r="AI771" s="94"/>
      <c r="AJ771" s="94"/>
      <c r="AK771" s="94"/>
      <c r="AL771" s="94"/>
    </row>
    <row r="772" hidden="1">
      <c r="A772" s="86" t="s">
        <v>1540</v>
      </c>
      <c r="B772" s="95" t="str">
        <f t="shared" si="494"/>
        <v>Otro</v>
      </c>
      <c r="C772" s="106" t="str">
        <f t="shared" si="9"/>
        <v>14. </v>
      </c>
      <c r="D772" s="106" t="str">
        <f t="shared" si="10"/>
        <v>Interacción y retroalimentación</v>
      </c>
      <c r="E772"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772" s="141" t="str">
        <f t="shared" si="3"/>
        <v>13.3</v>
      </c>
      <c r="G772" s="92" t="str">
        <f t="shared" si="4"/>
        <v>DESEABLES</v>
      </c>
      <c r="H772" s="107"/>
      <c r="I772" s="107" t="str">
        <f t="shared" si="5"/>
        <v/>
      </c>
      <c r="J772" s="98" t="str">
        <f t="shared" si="6"/>
        <v/>
      </c>
      <c r="K772" s="98" t="str">
        <f t="shared" si="7"/>
        <v/>
      </c>
      <c r="L772" s="141" t="str">
        <f t="shared" ref="L772:N772" si="778">IF(I772="",L771,I772)</f>
        <v>13.3.1</v>
      </c>
      <c r="M772" s="98" t="str">
        <f t="shared" si="778"/>
        <v>Javascript sin errores</v>
      </c>
      <c r="N772" s="98" t="str">
        <f t="shared" si="778"/>
        <v>Ausencia de errores de JavaScript en la consola del navegador.
</v>
      </c>
      <c r="O772" s="220" t="s">
        <v>1731</v>
      </c>
      <c r="P772" s="112" t="s">
        <v>56</v>
      </c>
      <c r="Q772" s="113"/>
      <c r="R772" s="114"/>
      <c r="S772" s="115" t="s">
        <v>1503</v>
      </c>
      <c r="T772" s="116" t="s">
        <v>2161</v>
      </c>
      <c r="U772" s="94"/>
      <c r="V772" s="94"/>
      <c r="W772" s="94"/>
      <c r="X772" s="94"/>
      <c r="Y772" s="94"/>
      <c r="Z772" s="94"/>
      <c r="AA772" s="94"/>
      <c r="AB772" s="94"/>
      <c r="AC772" s="94"/>
      <c r="AD772" s="94"/>
      <c r="AE772" s="94"/>
      <c r="AF772" s="94"/>
      <c r="AG772" s="94"/>
      <c r="AH772" s="94"/>
      <c r="AI772" s="94"/>
      <c r="AJ772" s="94"/>
      <c r="AK772" s="94"/>
      <c r="AL772" s="94"/>
    </row>
    <row r="773" hidden="1">
      <c r="A773" s="86" t="s">
        <v>1540</v>
      </c>
      <c r="B773" s="95" t="str">
        <f t="shared" si="494"/>
        <v>Otro</v>
      </c>
      <c r="C773" s="106" t="str">
        <f t="shared" si="9"/>
        <v>14. </v>
      </c>
      <c r="D773" s="106" t="str">
        <f t="shared" si="10"/>
        <v>Interacción y retroalimentación</v>
      </c>
      <c r="E773"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773" s="141" t="str">
        <f t="shared" si="3"/>
        <v>13.3</v>
      </c>
      <c r="G773" s="92" t="str">
        <f t="shared" si="4"/>
        <v>DESEABLES</v>
      </c>
      <c r="H773" s="107"/>
      <c r="I773" s="107" t="str">
        <f t="shared" si="5"/>
        <v/>
      </c>
      <c r="J773" s="98" t="str">
        <f t="shared" si="6"/>
        <v/>
      </c>
      <c r="K773" s="98" t="str">
        <f t="shared" si="7"/>
        <v/>
      </c>
      <c r="L773" s="141" t="str">
        <f t="shared" ref="L773:N773" si="779">IF(I773="",L772,I773)</f>
        <v>13.3.1</v>
      </c>
      <c r="M773" s="98" t="str">
        <f t="shared" si="779"/>
        <v>Javascript sin errores</v>
      </c>
      <c r="N773" s="98" t="str">
        <f t="shared" si="779"/>
        <v>Ausencia de errores de JavaScript en la consola del navegador.
</v>
      </c>
      <c r="O773" s="221"/>
      <c r="P773" s="118"/>
      <c r="Q773" s="119"/>
      <c r="R773" s="114"/>
      <c r="S773" s="239"/>
      <c r="T773" s="116" t="s">
        <v>19</v>
      </c>
      <c r="U773" s="94"/>
      <c r="V773" s="94"/>
      <c r="W773" s="94"/>
      <c r="X773" s="94"/>
      <c r="Y773" s="94"/>
      <c r="Z773" s="94"/>
      <c r="AA773" s="94"/>
      <c r="AB773" s="94"/>
      <c r="AC773" s="94"/>
      <c r="AD773" s="94"/>
      <c r="AE773" s="94"/>
      <c r="AF773" s="94"/>
      <c r="AG773" s="94"/>
      <c r="AH773" s="94"/>
      <c r="AI773" s="94"/>
      <c r="AJ773" s="94"/>
      <c r="AK773" s="94"/>
      <c r="AL773" s="94"/>
    </row>
    <row r="774" hidden="1">
      <c r="A774" s="86" t="s">
        <v>1540</v>
      </c>
      <c r="B774" s="95" t="str">
        <f t="shared" si="494"/>
        <v>Otro</v>
      </c>
      <c r="C774" s="106" t="str">
        <f t="shared" si="9"/>
        <v>14. </v>
      </c>
      <c r="D774" s="106" t="str">
        <f t="shared" si="10"/>
        <v>Interacción y retroalimentación</v>
      </c>
      <c r="E774"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774" s="141" t="str">
        <f t="shared" si="3"/>
        <v>13.3</v>
      </c>
      <c r="G774" s="92" t="str">
        <f t="shared" si="4"/>
        <v>DESEABLES</v>
      </c>
      <c r="H774" s="107"/>
      <c r="I774" s="107" t="str">
        <f t="shared" si="5"/>
        <v/>
      </c>
      <c r="J774" s="98" t="str">
        <f t="shared" si="6"/>
        <v/>
      </c>
      <c r="K774" s="98" t="str">
        <f t="shared" si="7"/>
        <v/>
      </c>
      <c r="L774" s="141" t="str">
        <f t="shared" ref="L774:N774" si="780">IF(I774="",L773,I774)</f>
        <v>13.3.1</v>
      </c>
      <c r="M774" s="98" t="str">
        <f t="shared" si="780"/>
        <v>Javascript sin errores</v>
      </c>
      <c r="N774" s="98" t="str">
        <f t="shared" si="780"/>
        <v>Ausencia de errores de JavaScript en la consola del navegador.
</v>
      </c>
      <c r="O774" s="222"/>
      <c r="P774" s="122"/>
      <c r="Q774" s="123"/>
      <c r="R774" s="114"/>
      <c r="S774" s="240"/>
      <c r="T774" s="116" t="s">
        <v>22</v>
      </c>
      <c r="U774" s="94"/>
      <c r="V774" s="94"/>
      <c r="W774" s="94"/>
      <c r="X774" s="94"/>
      <c r="Y774" s="94"/>
      <c r="Z774" s="94"/>
      <c r="AA774" s="94"/>
      <c r="AB774" s="94"/>
      <c r="AC774" s="94"/>
      <c r="AD774" s="94"/>
      <c r="AE774" s="94"/>
      <c r="AF774" s="94"/>
      <c r="AG774" s="94"/>
      <c r="AH774" s="94"/>
      <c r="AI774" s="94"/>
      <c r="AJ774" s="94"/>
      <c r="AK774" s="94"/>
      <c r="AL774" s="94"/>
    </row>
    <row r="775" hidden="1">
      <c r="A775" s="86" t="s">
        <v>1540</v>
      </c>
      <c r="B775" s="95" t="str">
        <f t="shared" si="494"/>
        <v>Otro</v>
      </c>
      <c r="C775" s="106" t="str">
        <f t="shared" si="9"/>
        <v>14. </v>
      </c>
      <c r="D775" s="106" t="str">
        <f t="shared" si="10"/>
        <v>Interacción y retroalimentación</v>
      </c>
      <c r="E775"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775" s="141" t="str">
        <f t="shared" si="3"/>
        <v>13.3</v>
      </c>
      <c r="G775" s="92" t="str">
        <f t="shared" si="4"/>
        <v>DESEABLES</v>
      </c>
      <c r="H775" s="96"/>
      <c r="I775" s="96" t="str">
        <f t="shared" si="5"/>
        <v/>
      </c>
      <c r="J775" s="98" t="str">
        <f t="shared" si="6"/>
        <v/>
      </c>
      <c r="K775" s="98" t="str">
        <f t="shared" si="7"/>
        <v/>
      </c>
      <c r="L775" s="141" t="str">
        <f t="shared" ref="L775:N775" si="781">IF(I775="",L774,I775)</f>
        <v>13.3.1</v>
      </c>
      <c r="M775" s="98" t="str">
        <f t="shared" si="781"/>
        <v>Javascript sin errores</v>
      </c>
      <c r="N775" s="98" t="str">
        <f t="shared" si="781"/>
        <v>Ausencia de errores de JavaScript en la consola del navegador.
</v>
      </c>
      <c r="O775" s="316"/>
      <c r="P775" s="242"/>
      <c r="Q775" s="282"/>
      <c r="R775" s="282"/>
      <c r="S775" s="127"/>
      <c r="T775" s="241"/>
      <c r="U775" s="94"/>
      <c r="V775" s="94"/>
      <c r="W775" s="94"/>
      <c r="X775" s="94"/>
      <c r="Y775" s="94"/>
      <c r="Z775" s="94"/>
      <c r="AA775" s="94"/>
      <c r="AB775" s="94"/>
      <c r="AC775" s="94"/>
      <c r="AD775" s="94"/>
      <c r="AE775" s="94"/>
      <c r="AF775" s="94"/>
      <c r="AG775" s="94"/>
      <c r="AH775" s="94"/>
      <c r="AI775" s="94"/>
      <c r="AJ775" s="94"/>
      <c r="AK775" s="94"/>
      <c r="AL775" s="94"/>
    </row>
    <row r="776" hidden="1">
      <c r="A776" s="86" t="s">
        <v>1540</v>
      </c>
      <c r="B776" s="95" t="str">
        <f t="shared" si="494"/>
        <v>Otro</v>
      </c>
      <c r="C776" s="106" t="str">
        <f t="shared" si="9"/>
        <v>14. </v>
      </c>
      <c r="D776" s="106" t="str">
        <f t="shared" si="10"/>
        <v>Interacción y retroalimentación</v>
      </c>
      <c r="E776"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776" s="141" t="str">
        <f t="shared" si="3"/>
        <v>13.3</v>
      </c>
      <c r="G776" s="92" t="str">
        <f t="shared" si="4"/>
        <v>DESEABLES</v>
      </c>
      <c r="H776" s="128"/>
      <c r="I776" s="128" t="str">
        <f t="shared" si="5"/>
        <v/>
      </c>
      <c r="J776" s="98" t="str">
        <f t="shared" si="6"/>
        <v/>
      </c>
      <c r="K776" s="98" t="str">
        <f t="shared" si="7"/>
        <v/>
      </c>
      <c r="L776" s="141" t="str">
        <f t="shared" ref="L776:N776" si="782">IF(I776="",L775,I776)</f>
        <v>13.3.1</v>
      </c>
      <c r="M776" s="98" t="str">
        <f t="shared" si="782"/>
        <v>Javascript sin errores</v>
      </c>
      <c r="N776" s="98" t="str">
        <f t="shared" si="782"/>
        <v>Ausencia de errores de JavaScript en la consola del navegador.
</v>
      </c>
      <c r="O776" s="223" t="s">
        <v>1822</v>
      </c>
      <c r="P776" s="133" t="s">
        <v>1823</v>
      </c>
      <c r="Q776" s="133" t="s">
        <v>2031</v>
      </c>
      <c r="R776" s="134"/>
      <c r="S776" s="133" t="s">
        <v>1824</v>
      </c>
      <c r="T776" s="133" t="s">
        <v>1825</v>
      </c>
      <c r="U776" s="94"/>
      <c r="V776" s="94"/>
      <c r="W776" s="94"/>
      <c r="X776" s="94"/>
      <c r="Y776" s="94"/>
      <c r="Z776" s="94"/>
      <c r="AA776" s="94"/>
      <c r="AB776" s="94"/>
      <c r="AC776" s="94"/>
      <c r="AD776" s="94"/>
      <c r="AE776" s="94"/>
      <c r="AF776" s="94"/>
      <c r="AG776" s="94"/>
      <c r="AH776" s="94"/>
      <c r="AI776" s="94"/>
      <c r="AJ776" s="94"/>
      <c r="AK776" s="94"/>
      <c r="AL776" s="94"/>
    </row>
    <row r="777" hidden="1">
      <c r="A777" s="86" t="s">
        <v>1540</v>
      </c>
      <c r="B777" s="95" t="str">
        <f t="shared" si="494"/>
        <v>Otro</v>
      </c>
      <c r="C777" s="106" t="str">
        <f t="shared" si="9"/>
        <v>14. </v>
      </c>
      <c r="D777" s="106" t="str">
        <f t="shared" si="10"/>
        <v>Interacción y retroalimentación</v>
      </c>
      <c r="E777"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777" s="141" t="str">
        <f t="shared" si="3"/>
        <v>14.1</v>
      </c>
      <c r="G777" s="92" t="str">
        <f t="shared" si="4"/>
        <v>IMPRESCINDIBLES</v>
      </c>
      <c r="H777" s="141"/>
      <c r="I777" s="141" t="str">
        <f t="shared" si="5"/>
        <v/>
      </c>
      <c r="J777" s="98" t="str">
        <f t="shared" si="6"/>
        <v/>
      </c>
      <c r="K777" s="98" t="str">
        <f t="shared" si="7"/>
        <v/>
      </c>
      <c r="L777" s="141" t="str">
        <f t="shared" ref="L777:N777" si="783">IF(I777="",L776,I777)</f>
        <v>13.3.1</v>
      </c>
      <c r="M777" s="98" t="str">
        <f t="shared" si="783"/>
        <v>Javascript sin errores</v>
      </c>
      <c r="N777" s="98" t="str">
        <f t="shared" si="783"/>
        <v>Ausencia de errores de JavaScript en la consola del navegador.
</v>
      </c>
      <c r="O777" s="288" t="s">
        <v>1287</v>
      </c>
      <c r="P777" s="137" t="s">
        <v>664</v>
      </c>
      <c r="Q777" s="138"/>
      <c r="R777" s="138"/>
      <c r="S777" s="139">
        <f>COUNTA(P778:P783)</f>
        <v>2</v>
      </c>
      <c r="T777" s="140">
        <f>COUNTIF(U778:U783,"n/a")</f>
        <v>0</v>
      </c>
      <c r="U777" s="94"/>
      <c r="V777" s="94"/>
      <c r="W777" s="94"/>
      <c r="X777" s="94"/>
      <c r="Y777" s="94"/>
      <c r="Z777" s="94"/>
      <c r="AA777" s="94"/>
      <c r="AB777" s="94"/>
      <c r="AC777" s="94"/>
      <c r="AD777" s="94"/>
      <c r="AE777" s="94"/>
      <c r="AF777" s="94"/>
      <c r="AG777" s="94"/>
      <c r="AH777" s="94"/>
      <c r="AI777" s="94"/>
      <c r="AJ777" s="94"/>
      <c r="AK777" s="94"/>
      <c r="AL777" s="94"/>
    </row>
    <row r="778" hidden="1">
      <c r="A778" s="105" t="s">
        <v>1540</v>
      </c>
      <c r="B778" s="92" t="str">
        <f t="shared" si="494"/>
        <v>Pregunta</v>
      </c>
      <c r="C778" s="106" t="str">
        <f t="shared" si="9"/>
        <v>14. </v>
      </c>
      <c r="D778" s="106" t="str">
        <f t="shared" si="10"/>
        <v>Interacción y retroalimentación</v>
      </c>
      <c r="E778"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778" s="141" t="str">
        <f t="shared" si="3"/>
        <v>14.1</v>
      </c>
      <c r="G778" s="92" t="str">
        <f t="shared" si="4"/>
        <v>IMPRESCINDIBLES</v>
      </c>
      <c r="H778" s="141"/>
      <c r="I778" s="141" t="str">
        <f t="shared" si="5"/>
        <v>14.1.1</v>
      </c>
      <c r="J778" s="98" t="str">
        <f t="shared" si="6"/>
        <v>Visibilidad del estado del sistema</v>
      </c>
      <c r="K778" s="98" t="str">
        <f t="shared" si="7"/>
        <v>Información oportuna para las personas usuarias sobre lo que está sucediendo durante cada interacción y sus efectos.
</v>
      </c>
      <c r="L778" s="141" t="str">
        <f t="shared" ref="L778:N778" si="784">IF(I778="",L777,I778)</f>
        <v>14.1.1</v>
      </c>
      <c r="M778" s="98" t="str">
        <f t="shared" si="784"/>
        <v>Visibilidad del estado del sistema</v>
      </c>
      <c r="N778" s="98" t="str">
        <f t="shared" si="784"/>
        <v>Información oportuna para las personas usuarias sobre lo que está sucediendo durante cada interacción y sus efectos.
</v>
      </c>
      <c r="O778" s="152" t="s">
        <v>1288</v>
      </c>
      <c r="P778" s="153" t="s">
        <v>1506</v>
      </c>
      <c r="Q778" s="153" t="s">
        <v>1507</v>
      </c>
      <c r="R778" s="149"/>
      <c r="S778" s="150" t="s">
        <v>1733</v>
      </c>
      <c r="T778" s="160" t="s">
        <v>2033</v>
      </c>
      <c r="U778" s="94"/>
      <c r="V778" s="94"/>
      <c r="W778" s="94"/>
      <c r="X778" s="94"/>
      <c r="Y778" s="94"/>
      <c r="Z778" s="94"/>
      <c r="AA778" s="94"/>
      <c r="AB778" s="94"/>
      <c r="AC778" s="94"/>
      <c r="AD778" s="94"/>
      <c r="AE778" s="94"/>
      <c r="AF778" s="94"/>
      <c r="AG778" s="94"/>
      <c r="AH778" s="94"/>
      <c r="AI778" s="94"/>
      <c r="AJ778" s="94"/>
      <c r="AK778" s="94"/>
      <c r="AL778" s="94"/>
    </row>
    <row r="779" hidden="1">
      <c r="A779" s="86" t="s">
        <v>1540</v>
      </c>
      <c r="B779" s="95" t="str">
        <f t="shared" si="494"/>
        <v>Pregunta</v>
      </c>
      <c r="C779" s="106" t="str">
        <f t="shared" si="9"/>
        <v>14. </v>
      </c>
      <c r="D779" s="106" t="str">
        <f t="shared" si="10"/>
        <v>Interacción y retroalimentación</v>
      </c>
      <c r="E779"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779" s="141" t="str">
        <f t="shared" si="3"/>
        <v>14.1</v>
      </c>
      <c r="G779" s="92" t="str">
        <f t="shared" si="4"/>
        <v>IMPRESCINDIBLES</v>
      </c>
      <c r="H779" s="141"/>
      <c r="I779" s="141" t="str">
        <f t="shared" si="5"/>
        <v/>
      </c>
      <c r="J779" s="98" t="str">
        <f t="shared" si="6"/>
        <v/>
      </c>
      <c r="K779" s="98" t="str">
        <f t="shared" si="7"/>
        <v/>
      </c>
      <c r="L779" s="141" t="str">
        <f t="shared" ref="L779:N779" si="785">IF(I779="",L778,I779)</f>
        <v>14.1.1</v>
      </c>
      <c r="M779" s="98" t="str">
        <f t="shared" si="785"/>
        <v>Visibilidad del estado del sistema</v>
      </c>
      <c r="N779" s="98" t="str">
        <f t="shared" si="785"/>
        <v>Información oportuna para las personas usuarias sobre lo que está sucediendo durante cada interacción y sus efectos.
</v>
      </c>
      <c r="O779" s="304"/>
      <c r="P779" s="305"/>
      <c r="Q779" s="305"/>
      <c r="R779" s="161"/>
      <c r="S779" s="162" t="s">
        <v>2235</v>
      </c>
      <c r="T779" s="160" t="s">
        <v>2033</v>
      </c>
      <c r="U779" s="94"/>
      <c r="V779" s="94"/>
      <c r="W779" s="94"/>
      <c r="X779" s="94"/>
      <c r="Y779" s="94"/>
      <c r="Z779" s="94"/>
      <c r="AA779" s="94"/>
      <c r="AB779" s="94"/>
      <c r="AC779" s="94"/>
      <c r="AD779" s="94"/>
      <c r="AE779" s="94"/>
      <c r="AF779" s="94"/>
      <c r="AG779" s="94"/>
      <c r="AH779" s="94"/>
      <c r="AI779" s="94"/>
      <c r="AJ779" s="94"/>
      <c r="AK779" s="94"/>
      <c r="AL779" s="94"/>
    </row>
    <row r="780" hidden="1">
      <c r="A780" s="86" t="s">
        <v>1540</v>
      </c>
      <c r="B780" s="95" t="str">
        <f t="shared" si="494"/>
        <v>Pregunta</v>
      </c>
      <c r="C780" s="106" t="str">
        <f t="shared" si="9"/>
        <v>14. </v>
      </c>
      <c r="D780" s="106" t="str">
        <f t="shared" si="10"/>
        <v>Interacción y retroalimentación</v>
      </c>
      <c r="E780"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780" s="141" t="str">
        <f t="shared" si="3"/>
        <v>14.1</v>
      </c>
      <c r="G780" s="92" t="str">
        <f t="shared" si="4"/>
        <v>IMPRESCINDIBLES</v>
      </c>
      <c r="H780" s="141"/>
      <c r="I780" s="141" t="str">
        <f t="shared" si="5"/>
        <v/>
      </c>
      <c r="J780" s="98" t="str">
        <f t="shared" si="6"/>
        <v/>
      </c>
      <c r="K780" s="98" t="str">
        <f t="shared" si="7"/>
        <v/>
      </c>
      <c r="L780" s="141" t="str">
        <f t="shared" ref="L780:N780" si="786">IF(I780="",L779,I780)</f>
        <v>14.1.1</v>
      </c>
      <c r="M780" s="98" t="str">
        <f t="shared" si="786"/>
        <v>Visibilidad del estado del sistema</v>
      </c>
      <c r="N780" s="98" t="str">
        <f t="shared" si="786"/>
        <v>Información oportuna para las personas usuarias sobre lo que está sucediendo durante cada interacción y sus efectos.
</v>
      </c>
      <c r="O780" s="304"/>
      <c r="P780" s="305"/>
      <c r="Q780" s="305"/>
      <c r="R780" s="161"/>
      <c r="S780" s="162" t="s">
        <v>1510</v>
      </c>
      <c r="T780" s="160" t="s">
        <v>2033</v>
      </c>
      <c r="U780" s="94"/>
      <c r="V780" s="94"/>
      <c r="W780" s="94"/>
      <c r="X780" s="94"/>
      <c r="Y780" s="94"/>
      <c r="Z780" s="94"/>
      <c r="AA780" s="94"/>
      <c r="AB780" s="94"/>
      <c r="AC780" s="94"/>
      <c r="AD780" s="94"/>
      <c r="AE780" s="94"/>
      <c r="AF780" s="94"/>
      <c r="AG780" s="94"/>
      <c r="AH780" s="94"/>
      <c r="AI780" s="94"/>
      <c r="AJ780" s="94"/>
      <c r="AK780" s="94"/>
      <c r="AL780" s="94"/>
    </row>
    <row r="781" hidden="1">
      <c r="A781" s="86" t="s">
        <v>1540</v>
      </c>
      <c r="B781" s="95" t="str">
        <f t="shared" si="494"/>
        <v>Pregunta</v>
      </c>
      <c r="C781" s="106" t="str">
        <f t="shared" si="9"/>
        <v>14. </v>
      </c>
      <c r="D781" s="106" t="str">
        <f t="shared" si="10"/>
        <v>Interacción y retroalimentación</v>
      </c>
      <c r="E781"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781" s="141" t="str">
        <f t="shared" si="3"/>
        <v>14.1</v>
      </c>
      <c r="G781" s="92" t="str">
        <f t="shared" si="4"/>
        <v>IMPRESCINDIBLES</v>
      </c>
      <c r="H781" s="141"/>
      <c r="I781" s="141" t="str">
        <f t="shared" si="5"/>
        <v/>
      </c>
      <c r="J781" s="98" t="str">
        <f t="shared" si="6"/>
        <v/>
      </c>
      <c r="K781" s="98" t="str">
        <f t="shared" si="7"/>
        <v/>
      </c>
      <c r="L781" s="141" t="str">
        <f t="shared" ref="L781:N781" si="787">IF(I781="",L780,I781)</f>
        <v>14.1.1</v>
      </c>
      <c r="M781" s="98" t="str">
        <f t="shared" si="787"/>
        <v>Visibilidad del estado del sistema</v>
      </c>
      <c r="N781" s="98" t="str">
        <f t="shared" si="787"/>
        <v>Información oportuna para las personas usuarias sobre lo que está sucediendo durante cada interacción y sus efectos.
</v>
      </c>
      <c r="O781" s="308"/>
      <c r="P781" s="307"/>
      <c r="Q781" s="307"/>
      <c r="R781" s="168"/>
      <c r="S781" s="169" t="s">
        <v>1734</v>
      </c>
      <c r="T781" s="164" t="s">
        <v>2033</v>
      </c>
      <c r="U781" s="94"/>
      <c r="V781" s="94"/>
      <c r="W781" s="94"/>
      <c r="X781" s="94"/>
      <c r="Y781" s="94"/>
      <c r="Z781" s="94"/>
      <c r="AA781" s="94"/>
      <c r="AB781" s="94"/>
      <c r="AC781" s="94"/>
      <c r="AD781" s="94"/>
      <c r="AE781" s="94"/>
      <c r="AF781" s="94"/>
      <c r="AG781" s="94"/>
      <c r="AH781" s="94"/>
      <c r="AI781" s="94"/>
      <c r="AJ781" s="94"/>
      <c r="AK781" s="94"/>
      <c r="AL781" s="94"/>
    </row>
    <row r="782" hidden="1">
      <c r="A782" s="105" t="s">
        <v>1540</v>
      </c>
      <c r="B782" s="92" t="str">
        <f t="shared" si="494"/>
        <v>Pregunta</v>
      </c>
      <c r="C782" s="106" t="str">
        <f t="shared" si="9"/>
        <v>14. </v>
      </c>
      <c r="D782" s="106" t="str">
        <f t="shared" si="10"/>
        <v>Interacción y retroalimentación</v>
      </c>
      <c r="E782"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782" s="141" t="str">
        <f t="shared" si="3"/>
        <v>14.1</v>
      </c>
      <c r="G782" s="92" t="str">
        <f t="shared" si="4"/>
        <v>IMPRESCINDIBLES</v>
      </c>
      <c r="H782" s="141"/>
      <c r="I782" s="141" t="str">
        <f t="shared" si="5"/>
        <v>14.1.2</v>
      </c>
      <c r="J782" s="98" t="str">
        <f t="shared" si="6"/>
        <v>Indicador de proceso
</v>
      </c>
      <c r="K782" s="98" t="str">
        <f t="shared" si="7"/>
        <v>Existencia de elementos de la interfaz de usuario que indica en qué parte del servicio digital se encuentra la persona usuaria.
</v>
      </c>
      <c r="L782" s="141" t="str">
        <f t="shared" ref="L782:N782" si="788">IF(I782="",L781,I782)</f>
        <v>14.1.2</v>
      </c>
      <c r="M782" s="98" t="str">
        <f t="shared" si="788"/>
        <v>Indicador de proceso
</v>
      </c>
      <c r="N782" s="98" t="str">
        <f t="shared" si="788"/>
        <v>Existencia de elementos de la interfaz de usuario que indica en qué parte del servicio digital se encuentra la persona usuaria.
</v>
      </c>
      <c r="O782" s="152" t="s">
        <v>1735</v>
      </c>
      <c r="P782" s="153" t="s">
        <v>1513</v>
      </c>
      <c r="Q782" s="153" t="s">
        <v>1736</v>
      </c>
      <c r="R782" s="149"/>
      <c r="S782" s="150" t="s">
        <v>2236</v>
      </c>
      <c r="T782" s="160" t="s">
        <v>2033</v>
      </c>
      <c r="U782" s="94"/>
      <c r="V782" s="94"/>
      <c r="W782" s="94"/>
      <c r="X782" s="94"/>
      <c r="Y782" s="94"/>
      <c r="Z782" s="94"/>
      <c r="AA782" s="94"/>
      <c r="AB782" s="94"/>
      <c r="AC782" s="94"/>
      <c r="AD782" s="94"/>
      <c r="AE782" s="94"/>
      <c r="AF782" s="94"/>
      <c r="AG782" s="94"/>
      <c r="AH782" s="94"/>
      <c r="AI782" s="94"/>
      <c r="AJ782" s="94"/>
      <c r="AK782" s="94"/>
      <c r="AL782" s="94"/>
    </row>
    <row r="783" hidden="1">
      <c r="A783" s="86" t="s">
        <v>1540</v>
      </c>
      <c r="B783" s="95" t="str">
        <f t="shared" si="494"/>
        <v>Pregunta</v>
      </c>
      <c r="C783" s="106" t="str">
        <f t="shared" si="9"/>
        <v>14. </v>
      </c>
      <c r="D783" s="106" t="str">
        <f t="shared" si="10"/>
        <v>Interacción y retroalimentación</v>
      </c>
      <c r="E783"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783" s="141" t="str">
        <f t="shared" si="3"/>
        <v>14.1</v>
      </c>
      <c r="G783" s="92" t="str">
        <f t="shared" si="4"/>
        <v>IMPRESCINDIBLES</v>
      </c>
      <c r="H783" s="141"/>
      <c r="I783" s="141" t="str">
        <f t="shared" si="5"/>
        <v/>
      </c>
      <c r="J783" s="98" t="str">
        <f t="shared" si="6"/>
        <v/>
      </c>
      <c r="K783" s="98" t="str">
        <f t="shared" si="7"/>
        <v/>
      </c>
      <c r="L783" s="141" t="str">
        <f t="shared" ref="L783:N783" si="789">IF(I783="",L782,I783)</f>
        <v>14.1.2</v>
      </c>
      <c r="M783" s="98" t="str">
        <f t="shared" si="789"/>
        <v>Indicador de proceso
</v>
      </c>
      <c r="N783" s="98" t="str">
        <f t="shared" si="789"/>
        <v>Existencia de elementos de la interfaz de usuario que indica en qué parte del servicio digital se encuentra la persona usuaria.
</v>
      </c>
      <c r="O783" s="308"/>
      <c r="P783" s="307"/>
      <c r="Q783" s="307"/>
      <c r="R783" s="174"/>
      <c r="S783" s="169" t="s">
        <v>2237</v>
      </c>
      <c r="T783" s="164" t="s">
        <v>2033</v>
      </c>
      <c r="U783" s="94"/>
      <c r="V783" s="94"/>
      <c r="W783" s="94"/>
      <c r="X783" s="94"/>
      <c r="Y783" s="94"/>
      <c r="Z783" s="94"/>
      <c r="AA783" s="94"/>
      <c r="AB783" s="94"/>
      <c r="AC783" s="94"/>
      <c r="AD783" s="94"/>
      <c r="AE783" s="94"/>
      <c r="AF783" s="94"/>
      <c r="AG783" s="94"/>
      <c r="AH783" s="94"/>
      <c r="AI783" s="94"/>
      <c r="AJ783" s="94"/>
      <c r="AK783" s="94"/>
      <c r="AL783" s="94"/>
    </row>
    <row r="784" hidden="1">
      <c r="A784" s="86" t="s">
        <v>1540</v>
      </c>
      <c r="B784" s="95" t="str">
        <f t="shared" si="494"/>
        <v>Otro</v>
      </c>
      <c r="C784" s="106" t="str">
        <f t="shared" si="9"/>
        <v>14. </v>
      </c>
      <c r="D784" s="106" t="str">
        <f t="shared" si="10"/>
        <v>Interacción y retroalimentación</v>
      </c>
      <c r="E784"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784" s="141" t="str">
        <f t="shared" si="3"/>
        <v>14.2</v>
      </c>
      <c r="G784" s="92" t="str">
        <f t="shared" si="4"/>
        <v>ESPERABLES</v>
      </c>
      <c r="H784" s="141"/>
      <c r="I784" s="141" t="str">
        <f t="shared" si="5"/>
        <v/>
      </c>
      <c r="J784" s="98" t="str">
        <f t="shared" si="6"/>
        <v/>
      </c>
      <c r="K784" s="98" t="str">
        <f t="shared" si="7"/>
        <v/>
      </c>
      <c r="L784" s="141" t="str">
        <f t="shared" ref="L784:N784" si="790">IF(I784="",L783,I784)</f>
        <v>14.1.2</v>
      </c>
      <c r="M784" s="98" t="str">
        <f t="shared" si="790"/>
        <v>Indicador de proceso
</v>
      </c>
      <c r="N784" s="98" t="str">
        <f t="shared" si="790"/>
        <v>Existencia de elementos de la interfaz de usuario que indica en qué parte del servicio digital se encuentra la persona usuaria.
</v>
      </c>
      <c r="O784" s="291" t="s">
        <v>1292</v>
      </c>
      <c r="P784" s="196" t="s">
        <v>714</v>
      </c>
      <c r="Q784" s="177"/>
      <c r="R784" s="177"/>
      <c r="S784" s="333">
        <f>COUNTA(P785:P787)</f>
        <v>1</v>
      </c>
      <c r="T784" s="333">
        <f>COUNTIF(U785:U787,"n/a")</f>
        <v>0</v>
      </c>
      <c r="U784" s="94"/>
      <c r="V784" s="94"/>
      <c r="W784" s="94"/>
      <c r="X784" s="94"/>
      <c r="Y784" s="94"/>
      <c r="Z784" s="94"/>
      <c r="AA784" s="94"/>
      <c r="AB784" s="94"/>
      <c r="AC784" s="94"/>
      <c r="AD784" s="94"/>
      <c r="AE784" s="94"/>
      <c r="AF784" s="94"/>
      <c r="AG784" s="94"/>
      <c r="AH784" s="94"/>
      <c r="AI784" s="94"/>
      <c r="AJ784" s="94"/>
      <c r="AK784" s="94"/>
      <c r="AL784" s="94"/>
    </row>
    <row r="785" hidden="1">
      <c r="A785" s="105" t="s">
        <v>1540</v>
      </c>
      <c r="B785" s="92" t="str">
        <f t="shared" si="494"/>
        <v>Pregunta</v>
      </c>
      <c r="C785" s="106" t="str">
        <f t="shared" si="9"/>
        <v>14. </v>
      </c>
      <c r="D785" s="106" t="str">
        <f t="shared" si="10"/>
        <v>Interacción y retroalimentación</v>
      </c>
      <c r="E785"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785" s="141" t="str">
        <f t="shared" si="3"/>
        <v>14.2</v>
      </c>
      <c r="G785" s="92" t="str">
        <f t="shared" si="4"/>
        <v>ESPERABLES</v>
      </c>
      <c r="H785" s="141"/>
      <c r="I785" s="141" t="str">
        <f t="shared" si="5"/>
        <v>14.2.1</v>
      </c>
      <c r="J785" s="98" t="str">
        <f t="shared" si="6"/>
        <v>Botones y pasarelas de pago</v>
      </c>
      <c r="K785" s="98" t="str">
        <f t="shared" si="7"/>
        <v>Plataforma que conecta una cuenta bancaria con un procesador de pagos, haciendo posible el pago por medios electrónicos en sitios web.</v>
      </c>
      <c r="L785" s="141" t="str">
        <f t="shared" ref="L785:N785" si="791">IF(I785="",L784,I785)</f>
        <v>14.2.1</v>
      </c>
      <c r="M785" s="98" t="str">
        <f t="shared" si="791"/>
        <v>Botones y pasarelas de pago</v>
      </c>
      <c r="N785" s="98" t="str">
        <f t="shared" si="791"/>
        <v>Plataforma que conecta una cuenta bancaria con un procesador de pagos, haciendo posible el pago por medios electrónicos en sitios web.</v>
      </c>
      <c r="O785" s="147" t="s">
        <v>1293</v>
      </c>
      <c r="P785" s="148" t="s">
        <v>1738</v>
      </c>
      <c r="Q785" s="148" t="s">
        <v>1739</v>
      </c>
      <c r="R785" s="158"/>
      <c r="S785" s="302" t="s">
        <v>2238</v>
      </c>
      <c r="T785" s="160" t="s">
        <v>2033</v>
      </c>
      <c r="U785" s="94"/>
      <c r="V785" s="94"/>
      <c r="W785" s="94"/>
      <c r="X785" s="94"/>
      <c r="Y785" s="94"/>
      <c r="Z785" s="94"/>
      <c r="AA785" s="94"/>
      <c r="AB785" s="94"/>
      <c r="AC785" s="94"/>
      <c r="AD785" s="94"/>
      <c r="AE785" s="94"/>
      <c r="AF785" s="94"/>
      <c r="AG785" s="94"/>
      <c r="AH785" s="94"/>
      <c r="AI785" s="94"/>
      <c r="AJ785" s="94"/>
      <c r="AK785" s="94"/>
      <c r="AL785" s="94"/>
    </row>
    <row r="786" hidden="1">
      <c r="A786" s="86" t="s">
        <v>1540</v>
      </c>
      <c r="B786" s="95" t="str">
        <f t="shared" si="494"/>
        <v>Pregunta</v>
      </c>
      <c r="C786" s="106" t="str">
        <f t="shared" si="9"/>
        <v>14. </v>
      </c>
      <c r="D786" s="106" t="str">
        <f t="shared" si="10"/>
        <v>Interacción y retroalimentación</v>
      </c>
      <c r="E786"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786" s="141" t="str">
        <f t="shared" si="3"/>
        <v>14.2</v>
      </c>
      <c r="G786" s="92" t="str">
        <f t="shared" si="4"/>
        <v>ESPERABLES</v>
      </c>
      <c r="H786" s="141"/>
      <c r="I786" s="141" t="str">
        <f t="shared" si="5"/>
        <v/>
      </c>
      <c r="J786" s="98" t="str">
        <f t="shared" si="6"/>
        <v/>
      </c>
      <c r="K786" s="98" t="str">
        <f t="shared" si="7"/>
        <v/>
      </c>
      <c r="L786" s="141" t="str">
        <f t="shared" ref="L786:N786" si="792">IF(I786="",L785,I786)</f>
        <v>14.2.1</v>
      </c>
      <c r="M786" s="98" t="str">
        <f t="shared" si="792"/>
        <v>Botones y pasarelas de pago</v>
      </c>
      <c r="N786" s="98" t="str">
        <f t="shared" si="792"/>
        <v>Plataforma que conecta una cuenta bancaria con un procesador de pagos, haciendo posible el pago por medios electrónicos en sitios web.</v>
      </c>
      <c r="O786" s="304"/>
      <c r="P786" s="305"/>
      <c r="Q786" s="305"/>
      <c r="R786" s="161"/>
      <c r="S786" s="155" t="s">
        <v>2239</v>
      </c>
      <c r="T786" s="160" t="s">
        <v>2033</v>
      </c>
      <c r="U786" s="94"/>
      <c r="V786" s="94"/>
      <c r="W786" s="94"/>
      <c r="X786" s="94"/>
      <c r="Y786" s="94"/>
      <c r="Z786" s="94"/>
      <c r="AA786" s="94"/>
      <c r="AB786" s="94"/>
      <c r="AC786" s="94"/>
      <c r="AD786" s="94"/>
      <c r="AE786" s="94"/>
      <c r="AF786" s="94"/>
      <c r="AG786" s="94"/>
      <c r="AH786" s="94"/>
      <c r="AI786" s="94"/>
      <c r="AJ786" s="94"/>
      <c r="AK786" s="94"/>
      <c r="AL786" s="94"/>
    </row>
    <row r="787" hidden="1">
      <c r="A787" s="86" t="s">
        <v>1540</v>
      </c>
      <c r="B787" s="95" t="str">
        <f t="shared" si="494"/>
        <v>Pregunta</v>
      </c>
      <c r="C787" s="106" t="str">
        <f t="shared" si="9"/>
        <v>14. </v>
      </c>
      <c r="D787" s="106" t="str">
        <f t="shared" si="10"/>
        <v>Interacción y retroalimentación</v>
      </c>
      <c r="E787"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787" s="141" t="str">
        <f t="shared" si="3"/>
        <v>14.2</v>
      </c>
      <c r="G787" s="92" t="str">
        <f t="shared" si="4"/>
        <v>ESPERABLES</v>
      </c>
      <c r="H787" s="141"/>
      <c r="I787" s="141" t="str">
        <f t="shared" si="5"/>
        <v/>
      </c>
      <c r="J787" s="98" t="str">
        <f t="shared" si="6"/>
        <v/>
      </c>
      <c r="K787" s="98" t="str">
        <f t="shared" si="7"/>
        <v/>
      </c>
      <c r="L787" s="141" t="str">
        <f t="shared" ref="L787:N787" si="793">IF(I787="",L786,I787)</f>
        <v>14.2.1</v>
      </c>
      <c r="M787" s="98" t="str">
        <f t="shared" si="793"/>
        <v>Botones y pasarelas de pago</v>
      </c>
      <c r="N787" s="98" t="str">
        <f t="shared" si="793"/>
        <v>Plataforma que conecta una cuenta bancaria con un procesador de pagos, haciendo posible el pago por medios electrónicos en sitios web.</v>
      </c>
      <c r="O787" s="308"/>
      <c r="P787" s="307"/>
      <c r="Q787" s="307"/>
      <c r="R787" s="168"/>
      <c r="S787" s="163" t="s">
        <v>2240</v>
      </c>
      <c r="T787" s="164" t="s">
        <v>2033</v>
      </c>
      <c r="U787" s="94"/>
      <c r="V787" s="94"/>
      <c r="W787" s="94"/>
      <c r="X787" s="94"/>
      <c r="Y787" s="94"/>
      <c r="Z787" s="94"/>
      <c r="AA787" s="94"/>
      <c r="AB787" s="94"/>
      <c r="AC787" s="94"/>
      <c r="AD787" s="94"/>
      <c r="AE787" s="94"/>
      <c r="AF787" s="94"/>
      <c r="AG787" s="94"/>
      <c r="AH787" s="94"/>
      <c r="AI787" s="94"/>
      <c r="AJ787" s="94"/>
      <c r="AK787" s="94"/>
      <c r="AL787" s="94"/>
    </row>
    <row r="788" hidden="1">
      <c r="A788" s="86" t="s">
        <v>1540</v>
      </c>
      <c r="B788" s="95" t="str">
        <f t="shared" si="494"/>
        <v>Otro</v>
      </c>
      <c r="C788" s="106" t="str">
        <f t="shared" si="9"/>
        <v>14. </v>
      </c>
      <c r="D788" s="106" t="str">
        <f t="shared" si="10"/>
        <v>Interacción y retroalimentación</v>
      </c>
      <c r="E788"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788" s="141" t="str">
        <f t="shared" si="3"/>
        <v>14.3</v>
      </c>
      <c r="G788" s="92" t="str">
        <f t="shared" si="4"/>
        <v>DESEABLES</v>
      </c>
      <c r="H788" s="141"/>
      <c r="I788" s="141" t="str">
        <f t="shared" si="5"/>
        <v/>
      </c>
      <c r="J788" s="98" t="str">
        <f t="shared" si="6"/>
        <v/>
      </c>
      <c r="K788" s="98" t="str">
        <f t="shared" si="7"/>
        <v/>
      </c>
      <c r="L788" s="141" t="str">
        <f t="shared" ref="L788:N788" si="794">IF(I788="",L787,I788)</f>
        <v>14.2.1</v>
      </c>
      <c r="M788" s="98" t="str">
        <f t="shared" si="794"/>
        <v>Botones y pasarelas de pago</v>
      </c>
      <c r="N788" s="98" t="str">
        <f t="shared" si="794"/>
        <v>Plataforma que conecta una cuenta bancaria con un procesador de pagos, haciendo posible el pago por medios electrónicos en sitios web.</v>
      </c>
      <c r="O788" s="289" t="s">
        <v>1297</v>
      </c>
      <c r="P788" s="182" t="s">
        <v>749</v>
      </c>
      <c r="Q788" s="183"/>
      <c r="R788" s="183"/>
      <c r="S788" s="323">
        <f>COUNTA(P789:P796)</f>
        <v>5</v>
      </c>
      <c r="T788" s="323">
        <f>COUNTIF(U789:U796,"n/a")</f>
        <v>0</v>
      </c>
      <c r="U788" s="94"/>
      <c r="V788" s="94"/>
      <c r="W788" s="94"/>
      <c r="X788" s="94"/>
      <c r="Y788" s="94"/>
      <c r="Z788" s="94"/>
      <c r="AA788" s="94"/>
      <c r="AB788" s="94"/>
      <c r="AC788" s="94"/>
      <c r="AD788" s="94"/>
      <c r="AE788" s="94"/>
      <c r="AF788" s="94"/>
      <c r="AG788" s="94"/>
      <c r="AH788" s="94"/>
      <c r="AI788" s="94"/>
      <c r="AJ788" s="94"/>
      <c r="AK788" s="94"/>
      <c r="AL788" s="94"/>
    </row>
    <row r="789" hidden="1">
      <c r="A789" s="105" t="s">
        <v>1540</v>
      </c>
      <c r="B789" s="92" t="str">
        <f t="shared" si="494"/>
        <v>Pregunta</v>
      </c>
      <c r="C789" s="106" t="str">
        <f t="shared" si="9"/>
        <v>14. </v>
      </c>
      <c r="D789" s="106" t="str">
        <f t="shared" si="10"/>
        <v>Interacción y retroalimentación</v>
      </c>
      <c r="E789"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789" s="141" t="str">
        <f t="shared" si="3"/>
        <v>14.3</v>
      </c>
      <c r="G789" s="92" t="str">
        <f t="shared" si="4"/>
        <v>DESEABLES</v>
      </c>
      <c r="H789" s="141"/>
      <c r="I789" s="141" t="str">
        <f t="shared" si="5"/>
        <v>14.3.1</v>
      </c>
      <c r="J789" s="98" t="str">
        <f t="shared" si="6"/>
        <v>Enlaces visitados</v>
      </c>
      <c r="K789" s="98" t="str">
        <f t="shared" si="7"/>
        <v>Existe una diferencia perceptible entre enlaces visitados y por visitar.
</v>
      </c>
      <c r="L789" s="141" t="str">
        <f t="shared" ref="L789:N789" si="795">IF(I789="",L788,I789)</f>
        <v>14.3.1</v>
      </c>
      <c r="M789" s="98" t="str">
        <f t="shared" si="795"/>
        <v>Enlaces visitados</v>
      </c>
      <c r="N789" s="98" t="str">
        <f t="shared" si="795"/>
        <v>Existe una diferencia perceptible entre enlaces visitados y por visitar.
</v>
      </c>
      <c r="O789" s="214" t="s">
        <v>1298</v>
      </c>
      <c r="P789" s="169" t="s">
        <v>1518</v>
      </c>
      <c r="Q789" s="169" t="s">
        <v>1519</v>
      </c>
      <c r="R789" s="171"/>
      <c r="S789" s="162" t="s">
        <v>2241</v>
      </c>
      <c r="T789" s="164" t="s">
        <v>2033</v>
      </c>
      <c r="U789" s="94"/>
      <c r="V789" s="94"/>
      <c r="W789" s="94"/>
      <c r="X789" s="94"/>
      <c r="Y789" s="94"/>
      <c r="Z789" s="94"/>
      <c r="AA789" s="94"/>
      <c r="AB789" s="94"/>
      <c r="AC789" s="94"/>
      <c r="AD789" s="94"/>
      <c r="AE789" s="94"/>
      <c r="AF789" s="94"/>
      <c r="AG789" s="94"/>
      <c r="AH789" s="94"/>
      <c r="AI789" s="94"/>
      <c r="AJ789" s="94"/>
      <c r="AK789" s="94"/>
      <c r="AL789" s="94"/>
    </row>
    <row r="790" hidden="1">
      <c r="A790" s="105" t="s">
        <v>1540</v>
      </c>
      <c r="B790" s="92" t="str">
        <f t="shared" si="494"/>
        <v>Pregunta</v>
      </c>
      <c r="C790" s="106" t="str">
        <f t="shared" si="9"/>
        <v>14. </v>
      </c>
      <c r="D790" s="106" t="str">
        <f t="shared" si="10"/>
        <v>Interacción y retroalimentación</v>
      </c>
      <c r="E790"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790" s="141" t="str">
        <f t="shared" si="3"/>
        <v>14.3</v>
      </c>
      <c r="G790" s="92" t="str">
        <f t="shared" si="4"/>
        <v>DESEABLES</v>
      </c>
      <c r="H790" s="141"/>
      <c r="I790" s="141" t="str">
        <f t="shared" si="5"/>
        <v>14.3.2</v>
      </c>
      <c r="J790" s="98" t="str">
        <f t="shared" si="6"/>
        <v>Descarga de documentos</v>
      </c>
      <c r="K790" s="98" t="str">
        <f t="shared" si="7"/>
        <v>Posibilidad de descargar los documentos asociados a un trámite en diferentes formatos.
</v>
      </c>
      <c r="L790" s="141" t="str">
        <f t="shared" ref="L790:N790" si="796">IF(I790="",L789,I790)</f>
        <v>14.3.2</v>
      </c>
      <c r="M790" s="98" t="str">
        <f t="shared" si="796"/>
        <v>Descarga de documentos</v>
      </c>
      <c r="N790" s="98" t="str">
        <f t="shared" si="796"/>
        <v>Posibilidad de descargar los documentos asociados a un trámite en diferentes formatos.
</v>
      </c>
      <c r="O790" s="165" t="s">
        <v>1302</v>
      </c>
      <c r="P790" s="166" t="s">
        <v>1743</v>
      </c>
      <c r="Q790" s="166" t="s">
        <v>1744</v>
      </c>
      <c r="R790" s="211"/>
      <c r="S790" s="166" t="s">
        <v>2242</v>
      </c>
      <c r="T790" s="164" t="s">
        <v>2033</v>
      </c>
      <c r="U790" s="94"/>
      <c r="V790" s="94"/>
      <c r="W790" s="94"/>
      <c r="X790" s="94"/>
      <c r="Y790" s="94"/>
      <c r="Z790" s="94"/>
      <c r="AA790" s="94"/>
      <c r="AB790" s="94"/>
      <c r="AC790" s="94"/>
      <c r="AD790" s="94"/>
      <c r="AE790" s="94"/>
      <c r="AF790" s="94"/>
      <c r="AG790" s="94"/>
      <c r="AH790" s="94"/>
      <c r="AI790" s="94"/>
      <c r="AJ790" s="94"/>
      <c r="AK790" s="94"/>
      <c r="AL790" s="94"/>
    </row>
    <row r="791" hidden="1">
      <c r="A791" s="105" t="s">
        <v>1540</v>
      </c>
      <c r="B791" s="92" t="str">
        <f t="shared" si="494"/>
        <v>Pregunta</v>
      </c>
      <c r="C791" s="106" t="str">
        <f t="shared" si="9"/>
        <v>14. </v>
      </c>
      <c r="D791" s="106" t="str">
        <f t="shared" si="10"/>
        <v>Interacción y retroalimentación</v>
      </c>
      <c r="E791"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791" s="141" t="str">
        <f t="shared" si="3"/>
        <v>14.3</v>
      </c>
      <c r="G791" s="92" t="str">
        <f t="shared" si="4"/>
        <v>DESEABLES</v>
      </c>
      <c r="H791" s="141"/>
      <c r="I791" s="141" t="str">
        <f t="shared" si="5"/>
        <v>14.3.3</v>
      </c>
      <c r="J791" s="98" t="str">
        <f t="shared" si="6"/>
        <v>Foros y encuestas</v>
      </c>
      <c r="K791" s="98" t="str">
        <f t="shared" si="7"/>
        <v>Presencia de espacios que permitan la comunicación, el intercambio y la participación entre las personas usuarias y los responsables del servicio digital.
</v>
      </c>
      <c r="L791" s="141" t="str">
        <f t="shared" ref="L791:N791" si="797">IF(I791="",L790,I791)</f>
        <v>14.3.3</v>
      </c>
      <c r="M791" s="98" t="str">
        <f t="shared" si="797"/>
        <v>Foros y encuestas</v>
      </c>
      <c r="N791" s="98" t="str">
        <f t="shared" si="797"/>
        <v>Presencia de espacios que permitan la comunicación, el intercambio y la participación entre las personas usuarias y los responsables del servicio digital.
</v>
      </c>
      <c r="O791" s="152" t="s">
        <v>1306</v>
      </c>
      <c r="P791" s="150" t="s">
        <v>1522</v>
      </c>
      <c r="Q791" s="153" t="s">
        <v>1746</v>
      </c>
      <c r="R791" s="149"/>
      <c r="S791" s="150" t="s">
        <v>1747</v>
      </c>
      <c r="T791" s="160" t="s">
        <v>2033</v>
      </c>
      <c r="U791" s="94"/>
      <c r="V791" s="94"/>
      <c r="W791" s="94"/>
      <c r="X791" s="94"/>
      <c r="Y791" s="94"/>
      <c r="Z791" s="94"/>
      <c r="AA791" s="94"/>
      <c r="AB791" s="94"/>
      <c r="AC791" s="94"/>
      <c r="AD791" s="94"/>
      <c r="AE791" s="94"/>
      <c r="AF791" s="94"/>
      <c r="AG791" s="94"/>
      <c r="AH791" s="94"/>
      <c r="AI791" s="94"/>
      <c r="AJ791" s="94"/>
      <c r="AK791" s="94"/>
      <c r="AL791" s="94"/>
    </row>
    <row r="792" hidden="1">
      <c r="A792" s="86" t="s">
        <v>1540</v>
      </c>
      <c r="B792" s="95" t="str">
        <f t="shared" si="494"/>
        <v>Pregunta</v>
      </c>
      <c r="C792" s="106" t="str">
        <f t="shared" si="9"/>
        <v>14. </v>
      </c>
      <c r="D792" s="106" t="str">
        <f t="shared" si="10"/>
        <v>Interacción y retroalimentación</v>
      </c>
      <c r="E792"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792" s="141" t="str">
        <f t="shared" si="3"/>
        <v>14.3</v>
      </c>
      <c r="G792" s="92" t="str">
        <f t="shared" si="4"/>
        <v>DESEABLES</v>
      </c>
      <c r="H792" s="141"/>
      <c r="I792" s="141" t="str">
        <f t="shared" si="5"/>
        <v/>
      </c>
      <c r="J792" s="98" t="str">
        <f t="shared" si="6"/>
        <v/>
      </c>
      <c r="K792" s="98" t="str">
        <f t="shared" si="7"/>
        <v/>
      </c>
      <c r="L792" s="141" t="str">
        <f t="shared" ref="L792:N792" si="798">IF(I792="",L791,I792)</f>
        <v>14.3.3</v>
      </c>
      <c r="M792" s="98" t="str">
        <f t="shared" si="798"/>
        <v>Foros y encuestas</v>
      </c>
      <c r="N792" s="98" t="str">
        <f t="shared" si="798"/>
        <v>Presencia de espacios que permitan la comunicación, el intercambio y la participación entre las personas usuarias y los responsables del servicio digital.
</v>
      </c>
      <c r="O792" s="306"/>
      <c r="P792" s="149"/>
      <c r="Q792" s="331"/>
      <c r="R792" s="149"/>
      <c r="S792" s="150" t="s">
        <v>1748</v>
      </c>
      <c r="T792" s="164" t="s">
        <v>2033</v>
      </c>
      <c r="U792" s="94"/>
      <c r="V792" s="94"/>
      <c r="W792" s="94"/>
      <c r="X792" s="94"/>
      <c r="Y792" s="94"/>
      <c r="Z792" s="94"/>
      <c r="AA792" s="94"/>
      <c r="AB792" s="94"/>
      <c r="AC792" s="94"/>
      <c r="AD792" s="94"/>
      <c r="AE792" s="94"/>
      <c r="AF792" s="94"/>
      <c r="AG792" s="94"/>
      <c r="AH792" s="94"/>
      <c r="AI792" s="94"/>
      <c r="AJ792" s="94"/>
      <c r="AK792" s="94"/>
      <c r="AL792" s="94"/>
    </row>
    <row r="793" hidden="1">
      <c r="A793" s="105" t="s">
        <v>1540</v>
      </c>
      <c r="B793" s="92" t="str">
        <f t="shared" si="494"/>
        <v>Pregunta</v>
      </c>
      <c r="C793" s="106" t="str">
        <f t="shared" si="9"/>
        <v>14. </v>
      </c>
      <c r="D793" s="106" t="str">
        <f t="shared" si="10"/>
        <v>Interacción y retroalimentación</v>
      </c>
      <c r="E793"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793" s="141" t="str">
        <f t="shared" si="3"/>
        <v>14.3</v>
      </c>
      <c r="G793" s="92" t="str">
        <f t="shared" si="4"/>
        <v>DESEABLES</v>
      </c>
      <c r="H793" s="141"/>
      <c r="I793" s="141" t="str">
        <f t="shared" si="5"/>
        <v>14.3.4</v>
      </c>
      <c r="J793" s="98" t="str">
        <f t="shared" si="6"/>
        <v>Recuperación ante fallos</v>
      </c>
      <c r="K793" s="98" t="str">
        <f t="shared" si="7"/>
        <v>Capacidad de un sitio web para funcionar de manera consistente y correcta, asegurando que las personas usuarias puedan acceder, utilizar los servicios y la información sin interrupciones ni errores.
</v>
      </c>
      <c r="L793" s="141" t="str">
        <f t="shared" ref="L793:N793" si="799">IF(I793="",L792,I793)</f>
        <v>14.3.4</v>
      </c>
      <c r="M793" s="98" t="str">
        <f t="shared" si="799"/>
        <v>Recuperación ante fallos</v>
      </c>
      <c r="N793" s="98" t="str">
        <f t="shared" si="799"/>
        <v>Capacidad de un sitio web para funcionar de manera consistente y correcta, asegurando que las personas usuarias puedan acceder, utilizar los servicios y la información sin interrupciones ni errores.
</v>
      </c>
      <c r="O793" s="147" t="s">
        <v>1310</v>
      </c>
      <c r="P793" s="148" t="s">
        <v>1749</v>
      </c>
      <c r="Q793" s="148" t="s">
        <v>1750</v>
      </c>
      <c r="R793" s="158"/>
      <c r="S793" s="170" t="s">
        <v>2243</v>
      </c>
      <c r="T793" s="160" t="s">
        <v>2033</v>
      </c>
      <c r="U793" s="94"/>
      <c r="V793" s="94"/>
      <c r="W793" s="94"/>
      <c r="X793" s="94"/>
      <c r="Y793" s="94"/>
      <c r="Z793" s="94"/>
      <c r="AA793" s="94"/>
      <c r="AB793" s="94"/>
      <c r="AC793" s="94"/>
      <c r="AD793" s="94"/>
      <c r="AE793" s="94"/>
      <c r="AF793" s="94"/>
      <c r="AG793" s="94"/>
      <c r="AH793" s="94"/>
      <c r="AI793" s="94"/>
      <c r="AJ793" s="94"/>
      <c r="AK793" s="94"/>
      <c r="AL793" s="94"/>
    </row>
    <row r="794" hidden="1">
      <c r="A794" s="86" t="s">
        <v>1540</v>
      </c>
      <c r="B794" s="95" t="str">
        <f t="shared" si="494"/>
        <v>Pregunta</v>
      </c>
      <c r="C794" s="106" t="str">
        <f t="shared" si="9"/>
        <v>14. </v>
      </c>
      <c r="D794" s="106" t="str">
        <f t="shared" si="10"/>
        <v>Interacción y retroalimentación</v>
      </c>
      <c r="E794"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794" s="141" t="str">
        <f t="shared" si="3"/>
        <v>14.3</v>
      </c>
      <c r="G794" s="92" t="str">
        <f t="shared" si="4"/>
        <v>DESEABLES</v>
      </c>
      <c r="H794" s="141"/>
      <c r="I794" s="141" t="str">
        <f t="shared" si="5"/>
        <v/>
      </c>
      <c r="J794" s="98" t="str">
        <f t="shared" si="6"/>
        <v/>
      </c>
      <c r="K794" s="98" t="str">
        <f t="shared" si="7"/>
        <v/>
      </c>
      <c r="L794" s="141" t="str">
        <f t="shared" ref="L794:N794" si="800">IF(I794="",L793,I794)</f>
        <v>14.3.4</v>
      </c>
      <c r="M794" s="98" t="str">
        <f t="shared" si="800"/>
        <v>Recuperación ante fallos</v>
      </c>
      <c r="N794" s="98" t="str">
        <f t="shared" si="800"/>
        <v>Capacidad de un sitio web para funcionar de manera consistente y correcta, asegurando que las personas usuarias puedan acceder, utilizar los servicios y la información sin interrupciones ni errores.
</v>
      </c>
      <c r="O794" s="308"/>
      <c r="P794" s="307"/>
      <c r="Q794" s="307"/>
      <c r="R794" s="168"/>
      <c r="S794" s="169" t="s">
        <v>2244</v>
      </c>
      <c r="T794" s="164" t="s">
        <v>2033</v>
      </c>
      <c r="U794" s="94"/>
      <c r="V794" s="94"/>
      <c r="W794" s="94"/>
      <c r="X794" s="94"/>
      <c r="Y794" s="94"/>
      <c r="Z794" s="94"/>
      <c r="AA794" s="94"/>
      <c r="AB794" s="94"/>
      <c r="AC794" s="94"/>
      <c r="AD794" s="94"/>
      <c r="AE794" s="94"/>
      <c r="AF794" s="94"/>
      <c r="AG794" s="94"/>
      <c r="AH794" s="94"/>
      <c r="AI794" s="94"/>
      <c r="AJ794" s="94"/>
      <c r="AK794" s="94"/>
      <c r="AL794" s="94"/>
    </row>
    <row r="795" hidden="1">
      <c r="A795" s="86" t="s">
        <v>1540</v>
      </c>
      <c r="B795" s="95" t="str">
        <f t="shared" si="494"/>
        <v>Pregunta</v>
      </c>
      <c r="C795" s="106" t="str">
        <f t="shared" si="9"/>
        <v>14. </v>
      </c>
      <c r="D795" s="106" t="str">
        <f t="shared" si="10"/>
        <v>Interacción y retroalimentación</v>
      </c>
      <c r="E795"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795" s="141" t="str">
        <f t="shared" si="3"/>
        <v>14.3</v>
      </c>
      <c r="G795" s="92" t="str">
        <f t="shared" si="4"/>
        <v>DESEABLES</v>
      </c>
      <c r="H795" s="141"/>
      <c r="I795" s="141" t="str">
        <f t="shared" si="5"/>
        <v>14.3.5</v>
      </c>
      <c r="J795" s="98" t="str">
        <f t="shared" si="6"/>
        <v>Comunicación con responsable</v>
      </c>
      <c r="K795" s="98" t="str">
        <f t="shared" si="7"/>
        <v>Posibilidad de comunicarse con la persona encargada, para realizar consultas, sugerencias o comentarios respecto del servicio digital.
</v>
      </c>
      <c r="L795" s="141" t="str">
        <f t="shared" ref="L795:N795" si="801">IF(I795="",L794,I795)</f>
        <v>14.3.5</v>
      </c>
      <c r="M795" s="98" t="str">
        <f t="shared" si="801"/>
        <v>Comunicación con responsable</v>
      </c>
      <c r="N795" s="98" t="str">
        <f t="shared" si="801"/>
        <v>Posibilidad de comunicarse con la persona encargada, para realizar consultas, sugerencias o comentarios respecto del servicio digital.
</v>
      </c>
      <c r="O795" s="152" t="s">
        <v>1753</v>
      </c>
      <c r="P795" s="153" t="s">
        <v>1526</v>
      </c>
      <c r="Q795" s="153" t="s">
        <v>1527</v>
      </c>
      <c r="R795" s="149"/>
      <c r="S795" s="150" t="s">
        <v>1754</v>
      </c>
      <c r="T795" s="160" t="s">
        <v>2033</v>
      </c>
      <c r="U795" s="94"/>
      <c r="V795" s="94"/>
      <c r="W795" s="94"/>
      <c r="X795" s="94"/>
      <c r="Y795" s="94"/>
      <c r="Z795" s="94"/>
      <c r="AA795" s="94"/>
      <c r="AB795" s="94"/>
      <c r="AC795" s="94"/>
      <c r="AD795" s="94"/>
      <c r="AE795" s="94"/>
      <c r="AF795" s="94"/>
      <c r="AG795" s="94"/>
      <c r="AH795" s="94"/>
      <c r="AI795" s="94"/>
      <c r="AJ795" s="94"/>
      <c r="AK795" s="94"/>
      <c r="AL795" s="94"/>
    </row>
    <row r="796" hidden="1">
      <c r="A796" s="86" t="s">
        <v>1540</v>
      </c>
      <c r="B796" s="95" t="str">
        <f t="shared" si="494"/>
        <v>Pregunta</v>
      </c>
      <c r="C796" s="106" t="str">
        <f t="shared" si="9"/>
        <v>14. </v>
      </c>
      <c r="D796" s="106" t="str">
        <f t="shared" si="10"/>
        <v>Interacción y retroalimentación</v>
      </c>
      <c r="E796" s="106" t="str">
        <f t="shared" si="11"/>
        <v>Comunicación entre la persona usuaria y las distintas interfaces que provee la plataforma que se le entrega al usuario para acceder a una información o servicio. Retroalimentación hace referencia a que la interfaz de usuario proporcione información sobre el estado del proceso en tiempo real, para poder tomar decisiones de forma efectiva.</v>
      </c>
      <c r="F796" s="141" t="str">
        <f t="shared" si="3"/>
        <v>14.3</v>
      </c>
      <c r="G796" s="92" t="str">
        <f t="shared" si="4"/>
        <v>DESEABLES</v>
      </c>
      <c r="H796" s="141"/>
      <c r="I796" s="141" t="str">
        <f t="shared" si="5"/>
        <v/>
      </c>
      <c r="J796" s="98" t="str">
        <f t="shared" si="6"/>
        <v/>
      </c>
      <c r="K796" s="98" t="str">
        <f t="shared" si="7"/>
        <v/>
      </c>
      <c r="L796" s="141" t="str">
        <f t="shared" ref="L796:N796" si="802">IF(I796="",L795,I796)</f>
        <v>14.3.5</v>
      </c>
      <c r="M796" s="98" t="str">
        <f t="shared" si="802"/>
        <v>Comunicación con responsable</v>
      </c>
      <c r="N796" s="98" t="str">
        <f t="shared" si="802"/>
        <v>Posibilidad de comunicarse con la persona encargada, para realizar consultas, sugerencias o comentarios respecto del servicio digital.
</v>
      </c>
      <c r="O796" s="308"/>
      <c r="P796" s="307"/>
      <c r="Q796" s="307"/>
      <c r="R796" s="168"/>
      <c r="S796" s="169" t="s">
        <v>2245</v>
      </c>
      <c r="T796" s="164" t="s">
        <v>2033</v>
      </c>
      <c r="U796" s="94"/>
      <c r="V796" s="94"/>
      <c r="W796" s="94"/>
      <c r="X796" s="94"/>
      <c r="Y796" s="94"/>
      <c r="Z796" s="94"/>
      <c r="AA796" s="94"/>
      <c r="AB796" s="94"/>
      <c r="AC796" s="94"/>
      <c r="AD796" s="94"/>
      <c r="AE796" s="94"/>
      <c r="AF796" s="94"/>
      <c r="AG796" s="94"/>
      <c r="AH796" s="94"/>
      <c r="AI796" s="94"/>
      <c r="AJ796" s="94"/>
      <c r="AK796" s="94"/>
      <c r="AL796" s="94"/>
    </row>
    <row r="797" hidden="1">
      <c r="A797" s="86" t="s">
        <v>1540</v>
      </c>
      <c r="B797" s="95" t="str">
        <f t="shared" si="494"/>
        <v>Otro</v>
      </c>
      <c r="C797" s="106" t="str">
        <f t="shared" si="9"/>
        <v>15. </v>
      </c>
      <c r="D797" s="106" t="str">
        <f t="shared" si="10"/>
        <v>Rapidez de respuesta</v>
      </c>
      <c r="E797" s="106" t="str">
        <f t="shared" si="11"/>
        <v>Capacidad del servicio digital para entregar una experiencia usuaria rápida y con una navegación fluida, sobre todo en los trámites. También considera los tiempos de la institución para dar respuestas a las solicitudes en plazos breves y acotados.</v>
      </c>
      <c r="F797" s="141" t="str">
        <f t="shared" si="3"/>
        <v>14.3</v>
      </c>
      <c r="G797" s="92" t="str">
        <f t="shared" si="4"/>
        <v>DESEABLES</v>
      </c>
      <c r="H797" s="107"/>
      <c r="I797" s="107" t="str">
        <f t="shared" si="5"/>
        <v/>
      </c>
      <c r="J797" s="98" t="str">
        <f t="shared" si="6"/>
        <v/>
      </c>
      <c r="K797" s="98" t="str">
        <f t="shared" si="7"/>
        <v/>
      </c>
      <c r="L797" s="141" t="str">
        <f t="shared" ref="L797:N797" si="803">IF(I797="",L796,I797)</f>
        <v>14.3.5</v>
      </c>
      <c r="M797" s="98" t="str">
        <f t="shared" si="803"/>
        <v>Comunicación con responsable</v>
      </c>
      <c r="N797" s="98" t="str">
        <f t="shared" si="803"/>
        <v>Posibilidad de comunicarse con la persona encargada, para realizar consultas, sugerencias o comentarios respecto del servicio digital.
</v>
      </c>
      <c r="O797" s="220" t="s">
        <v>1755</v>
      </c>
      <c r="P797" s="112" t="s">
        <v>58</v>
      </c>
      <c r="Q797" s="309"/>
      <c r="R797" s="114"/>
      <c r="S797" s="115" t="s">
        <v>1531</v>
      </c>
      <c r="T797" s="116" t="s">
        <v>2161</v>
      </c>
      <c r="U797" s="94"/>
      <c r="V797" s="94"/>
      <c r="W797" s="94"/>
      <c r="X797" s="94"/>
      <c r="Y797" s="94"/>
      <c r="Z797" s="94"/>
      <c r="AA797" s="94"/>
      <c r="AB797" s="94"/>
      <c r="AC797" s="94"/>
      <c r="AD797" s="94"/>
      <c r="AE797" s="94"/>
      <c r="AF797" s="94"/>
      <c r="AG797" s="94"/>
      <c r="AH797" s="94"/>
      <c r="AI797" s="94"/>
      <c r="AJ797" s="94"/>
      <c r="AK797" s="94"/>
      <c r="AL797" s="94"/>
    </row>
    <row r="798" hidden="1">
      <c r="A798" s="86" t="s">
        <v>1540</v>
      </c>
      <c r="B798" s="95" t="str">
        <f t="shared" si="494"/>
        <v>Otro</v>
      </c>
      <c r="C798" s="106" t="str">
        <f t="shared" si="9"/>
        <v>15. </v>
      </c>
      <c r="D798" s="106" t="str">
        <f t="shared" si="10"/>
        <v>Rapidez de respuesta</v>
      </c>
      <c r="E798" s="106" t="str">
        <f t="shared" si="11"/>
        <v>Capacidad del servicio digital para entregar una experiencia usuaria rápida y con una navegación fluida, sobre todo en los trámites. También considera los tiempos de la institución para dar respuestas a las solicitudes en plazos breves y acotados.</v>
      </c>
      <c r="F798" s="141" t="str">
        <f t="shared" si="3"/>
        <v>14.3</v>
      </c>
      <c r="G798" s="92" t="str">
        <f t="shared" si="4"/>
        <v>DESEABLES</v>
      </c>
      <c r="H798" s="107"/>
      <c r="I798" s="107" t="str">
        <f t="shared" si="5"/>
        <v/>
      </c>
      <c r="J798" s="98" t="str">
        <f t="shared" si="6"/>
        <v/>
      </c>
      <c r="K798" s="98" t="str">
        <f t="shared" si="7"/>
        <v/>
      </c>
      <c r="L798" s="141" t="str">
        <f t="shared" ref="L798:N798" si="804">IF(I798="",L797,I798)</f>
        <v>14.3.5</v>
      </c>
      <c r="M798" s="98" t="str">
        <f t="shared" si="804"/>
        <v>Comunicación con responsable</v>
      </c>
      <c r="N798" s="98" t="str">
        <f t="shared" si="804"/>
        <v>Posibilidad de comunicarse con la persona encargada, para realizar consultas, sugerencias o comentarios respecto del servicio digital.
</v>
      </c>
      <c r="O798" s="310"/>
      <c r="P798" s="311"/>
      <c r="Q798" s="310"/>
      <c r="R798" s="114"/>
      <c r="S798" s="239"/>
      <c r="T798" s="241"/>
      <c r="U798" s="94"/>
      <c r="V798" s="94"/>
      <c r="W798" s="94"/>
      <c r="X798" s="94"/>
      <c r="Y798" s="94"/>
      <c r="Z798" s="94"/>
      <c r="AA798" s="94"/>
      <c r="AB798" s="94"/>
      <c r="AC798" s="94"/>
      <c r="AD798" s="94"/>
      <c r="AE798" s="94"/>
      <c r="AF798" s="94"/>
      <c r="AG798" s="94"/>
      <c r="AH798" s="94"/>
      <c r="AI798" s="94"/>
      <c r="AJ798" s="94"/>
      <c r="AK798" s="94"/>
      <c r="AL798" s="94"/>
    </row>
    <row r="799" hidden="1">
      <c r="A799" s="86" t="s">
        <v>1540</v>
      </c>
      <c r="B799" s="95" t="str">
        <f t="shared" si="494"/>
        <v>Otro</v>
      </c>
      <c r="C799" s="106" t="str">
        <f t="shared" si="9"/>
        <v>15. </v>
      </c>
      <c r="D799" s="106" t="str">
        <f t="shared" si="10"/>
        <v>Rapidez de respuesta</v>
      </c>
      <c r="E799" s="106" t="str">
        <f t="shared" si="11"/>
        <v>Capacidad del servicio digital para entregar una experiencia usuaria rápida y con una navegación fluida, sobre todo en los trámites. También considera los tiempos de la institución para dar respuestas a las solicitudes en plazos breves y acotados.</v>
      </c>
      <c r="F799" s="141" t="str">
        <f t="shared" si="3"/>
        <v>14.3</v>
      </c>
      <c r="G799" s="92" t="str">
        <f t="shared" si="4"/>
        <v>DESEABLES</v>
      </c>
      <c r="H799" s="107"/>
      <c r="I799" s="107" t="str">
        <f t="shared" si="5"/>
        <v/>
      </c>
      <c r="J799" s="98" t="str">
        <f t="shared" si="6"/>
        <v/>
      </c>
      <c r="K799" s="98" t="str">
        <f t="shared" si="7"/>
        <v/>
      </c>
      <c r="L799" s="141" t="str">
        <f t="shared" ref="L799:N799" si="805">IF(I799="",L798,I799)</f>
        <v>14.3.5</v>
      </c>
      <c r="M799" s="98" t="str">
        <f t="shared" si="805"/>
        <v>Comunicación con responsable</v>
      </c>
      <c r="N799" s="98" t="str">
        <f t="shared" si="805"/>
        <v>Posibilidad de comunicarse con la persona encargada, para realizar consultas, sugerencias o comentarios respecto del servicio digital.
</v>
      </c>
      <c r="O799" s="312"/>
      <c r="P799" s="313"/>
      <c r="Q799" s="312"/>
      <c r="R799" s="114"/>
      <c r="S799" s="240"/>
      <c r="T799" s="303"/>
      <c r="U799" s="94"/>
      <c r="V799" s="94"/>
      <c r="W799" s="94"/>
      <c r="X799" s="94"/>
      <c r="Y799" s="94"/>
      <c r="Z799" s="94"/>
      <c r="AA799" s="94"/>
      <c r="AB799" s="94"/>
      <c r="AC799" s="94"/>
      <c r="AD799" s="94"/>
      <c r="AE799" s="94"/>
      <c r="AF799" s="94"/>
      <c r="AG799" s="94"/>
      <c r="AH799" s="94"/>
      <c r="AI799" s="94"/>
      <c r="AJ799" s="94"/>
      <c r="AK799" s="94"/>
      <c r="AL799" s="94"/>
    </row>
    <row r="800" hidden="1">
      <c r="A800" s="86" t="s">
        <v>1540</v>
      </c>
      <c r="B800" s="95" t="str">
        <f t="shared" si="494"/>
        <v>Otro</v>
      </c>
      <c r="C800" s="106" t="str">
        <f t="shared" si="9"/>
        <v>15. </v>
      </c>
      <c r="D800" s="106" t="str">
        <f t="shared" si="10"/>
        <v>Rapidez de respuesta</v>
      </c>
      <c r="E800" s="106" t="str">
        <f t="shared" si="11"/>
        <v>Capacidad del servicio digital para entregar una experiencia usuaria rápida y con una navegación fluida, sobre todo en los trámites. También considera los tiempos de la institución para dar respuestas a las solicitudes en plazos breves y acotados.</v>
      </c>
      <c r="F800" s="141" t="str">
        <f t="shared" si="3"/>
        <v>14.3</v>
      </c>
      <c r="G800" s="92" t="str">
        <f t="shared" si="4"/>
        <v>DESEABLES</v>
      </c>
      <c r="H800" s="96"/>
      <c r="I800" s="96" t="str">
        <f t="shared" si="5"/>
        <v/>
      </c>
      <c r="J800" s="98" t="str">
        <f t="shared" si="6"/>
        <v/>
      </c>
      <c r="K800" s="98" t="str">
        <f t="shared" si="7"/>
        <v/>
      </c>
      <c r="L800" s="141" t="str">
        <f t="shared" ref="L800:N800" si="806">IF(I800="",L799,I800)</f>
        <v>14.3.5</v>
      </c>
      <c r="M800" s="98" t="str">
        <f t="shared" si="806"/>
        <v>Comunicación con responsable</v>
      </c>
      <c r="N800" s="98" t="str">
        <f t="shared" si="806"/>
        <v>Posibilidad de comunicarse con la persona encargada, para realizar consultas, sugerencias o comentarios respecto del servicio digital.
</v>
      </c>
      <c r="O800" s="316"/>
      <c r="P800" s="242"/>
      <c r="Q800" s="282"/>
      <c r="R800" s="282"/>
      <c r="S800" s="127"/>
      <c r="T800" s="241"/>
      <c r="U800" s="94"/>
      <c r="V800" s="94"/>
      <c r="W800" s="94"/>
      <c r="X800" s="94"/>
      <c r="Y800" s="94"/>
      <c r="Z800" s="94"/>
      <c r="AA800" s="94"/>
      <c r="AB800" s="94"/>
      <c r="AC800" s="94"/>
      <c r="AD800" s="94"/>
      <c r="AE800" s="94"/>
      <c r="AF800" s="94"/>
      <c r="AG800" s="94"/>
      <c r="AH800" s="94"/>
      <c r="AI800" s="94"/>
      <c r="AJ800" s="94"/>
      <c r="AK800" s="94"/>
      <c r="AL800" s="94"/>
    </row>
    <row r="801" hidden="1">
      <c r="A801" s="86" t="s">
        <v>1540</v>
      </c>
      <c r="B801" s="95" t="str">
        <f t="shared" si="494"/>
        <v>Otro</v>
      </c>
      <c r="C801" s="106" t="str">
        <f t="shared" si="9"/>
        <v>15. </v>
      </c>
      <c r="D801" s="106" t="str">
        <f t="shared" si="10"/>
        <v>Rapidez de respuesta</v>
      </c>
      <c r="E801" s="106" t="str">
        <f t="shared" si="11"/>
        <v>Capacidad del servicio digital para entregar una experiencia usuaria rápida y con una navegación fluida, sobre todo en los trámites. También considera los tiempos de la institución para dar respuestas a las solicitudes en plazos breves y acotados.</v>
      </c>
      <c r="F801" s="141" t="str">
        <f t="shared" si="3"/>
        <v>14.3</v>
      </c>
      <c r="G801" s="92" t="str">
        <f t="shared" si="4"/>
        <v>DESEABLES</v>
      </c>
      <c r="H801" s="128"/>
      <c r="I801" s="128" t="str">
        <f t="shared" si="5"/>
        <v/>
      </c>
      <c r="J801" s="98" t="str">
        <f t="shared" si="6"/>
        <v/>
      </c>
      <c r="K801" s="98" t="str">
        <f t="shared" si="7"/>
        <v/>
      </c>
      <c r="L801" s="141" t="str">
        <f t="shared" ref="L801:N801" si="807">IF(I801="",L800,I801)</f>
        <v>14.3.5</v>
      </c>
      <c r="M801" s="98" t="str">
        <f t="shared" si="807"/>
        <v>Comunicación con responsable</v>
      </c>
      <c r="N801" s="98" t="str">
        <f t="shared" si="807"/>
        <v>Posibilidad de comunicarse con la persona encargada, para realizar consultas, sugerencias o comentarios respecto del servicio digital.
</v>
      </c>
      <c r="O801" s="223" t="s">
        <v>1822</v>
      </c>
      <c r="P801" s="133" t="s">
        <v>1823</v>
      </c>
      <c r="Q801" s="133" t="s">
        <v>2031</v>
      </c>
      <c r="R801" s="134"/>
      <c r="S801" s="133" t="s">
        <v>1824</v>
      </c>
      <c r="T801" s="133" t="s">
        <v>1825</v>
      </c>
      <c r="U801" s="94"/>
      <c r="V801" s="94"/>
      <c r="W801" s="94"/>
      <c r="X801" s="94"/>
      <c r="Y801" s="94"/>
      <c r="Z801" s="94"/>
      <c r="AA801" s="94"/>
      <c r="AB801" s="94"/>
      <c r="AC801" s="94"/>
      <c r="AD801" s="94"/>
      <c r="AE801" s="94"/>
      <c r="AF801" s="94"/>
      <c r="AG801" s="94"/>
      <c r="AH801" s="94"/>
      <c r="AI801" s="94"/>
      <c r="AJ801" s="94"/>
      <c r="AK801" s="94"/>
      <c r="AL801" s="94"/>
    </row>
    <row r="802" hidden="1">
      <c r="A802" s="86" t="s">
        <v>1540</v>
      </c>
      <c r="B802" s="95" t="str">
        <f t="shared" si="494"/>
        <v>Otro</v>
      </c>
      <c r="C802" s="106" t="str">
        <f t="shared" si="9"/>
        <v>15. </v>
      </c>
      <c r="D802" s="106" t="str">
        <f t="shared" si="10"/>
        <v>Rapidez de respuesta</v>
      </c>
      <c r="E802" s="106" t="str">
        <f t="shared" si="11"/>
        <v>Capacidad del servicio digital para entregar una experiencia usuaria rápida y con una navegación fluida, sobre todo en los trámites. También considera los tiempos de la institución para dar respuestas a las solicitudes en plazos breves y acotados.</v>
      </c>
      <c r="F802" s="141" t="str">
        <f t="shared" si="3"/>
        <v>15.1</v>
      </c>
      <c r="G802" s="92" t="str">
        <f t="shared" si="4"/>
        <v>IMPRESCINDIBLES</v>
      </c>
      <c r="H802" s="141"/>
      <c r="I802" s="141" t="str">
        <f t="shared" si="5"/>
        <v/>
      </c>
      <c r="J802" s="98" t="str">
        <f t="shared" si="6"/>
        <v/>
      </c>
      <c r="K802" s="98" t="str">
        <f t="shared" si="7"/>
        <v/>
      </c>
      <c r="L802" s="141" t="str">
        <f t="shared" ref="L802:N802" si="808">IF(I802="",L801,I802)</f>
        <v>14.3.5</v>
      </c>
      <c r="M802" s="98" t="str">
        <f t="shared" si="808"/>
        <v>Comunicación con responsable</v>
      </c>
      <c r="N802" s="98" t="str">
        <f t="shared" si="808"/>
        <v>Posibilidad de comunicarse con la persona encargada, para realizar consultas, sugerencias o comentarios respecto del servicio digital.
</v>
      </c>
      <c r="O802" s="288" t="s">
        <v>1315</v>
      </c>
      <c r="P802" s="137" t="s">
        <v>664</v>
      </c>
      <c r="Q802" s="138"/>
      <c r="R802" s="138"/>
      <c r="S802" s="139">
        <f>COUNTA(P803:P806)</f>
        <v>1</v>
      </c>
      <c r="T802" s="140">
        <f>COUNTIF(U803:U806,"n/a")</f>
        <v>0</v>
      </c>
      <c r="U802" s="94"/>
      <c r="V802" s="94"/>
      <c r="W802" s="94"/>
      <c r="X802" s="94"/>
      <c r="Y802" s="94"/>
      <c r="Z802" s="94"/>
      <c r="AA802" s="94"/>
      <c r="AB802" s="94"/>
      <c r="AC802" s="94"/>
      <c r="AD802" s="94"/>
      <c r="AE802" s="94"/>
      <c r="AF802" s="94"/>
      <c r="AG802" s="94"/>
      <c r="AH802" s="94"/>
      <c r="AI802" s="94"/>
      <c r="AJ802" s="94"/>
      <c r="AK802" s="94"/>
      <c r="AL802" s="94"/>
    </row>
    <row r="803" hidden="1">
      <c r="A803" s="105" t="s">
        <v>1540</v>
      </c>
      <c r="B803" s="92" t="str">
        <f t="shared" si="494"/>
        <v>Pregunta</v>
      </c>
      <c r="C803" s="106" t="str">
        <f t="shared" si="9"/>
        <v>15. </v>
      </c>
      <c r="D803" s="106" t="str">
        <f t="shared" si="10"/>
        <v>Rapidez de respuesta</v>
      </c>
      <c r="E803" s="106" t="str">
        <f t="shared" si="11"/>
        <v>Capacidad del servicio digital para entregar una experiencia usuaria rápida y con una navegación fluida, sobre todo en los trámites. También considera los tiempos de la institución para dar respuestas a las solicitudes en plazos breves y acotados.</v>
      </c>
      <c r="F803" s="141" t="str">
        <f t="shared" si="3"/>
        <v>15.1</v>
      </c>
      <c r="G803" s="92" t="str">
        <f t="shared" si="4"/>
        <v>IMPRESCINDIBLES</v>
      </c>
      <c r="H803" s="141"/>
      <c r="I803" s="141" t="str">
        <f t="shared" si="5"/>
        <v>15.1.1</v>
      </c>
      <c r="J803" s="98" t="str">
        <f t="shared" si="6"/>
        <v>Tiempo de respuesta</v>
      </c>
      <c r="K803" s="98" t="str">
        <f t="shared" si="7"/>
        <v>Velocidad con la que un sitio web puede procesar y responder a las solicitudes de las personas usuarias, proporcionando una experiencia de navegación ágil y eficiente.</v>
      </c>
      <c r="L803" s="141" t="str">
        <f t="shared" ref="L803:N803" si="809">IF(I803="",L802,I803)</f>
        <v>15.1.1</v>
      </c>
      <c r="M803" s="98" t="str">
        <f t="shared" si="809"/>
        <v>Tiempo de respuesta</v>
      </c>
      <c r="N803" s="98" t="str">
        <f t="shared" si="809"/>
        <v>Velocidad con la que un sitio web puede procesar y responder a las solicitudes de las personas usuarias, proporcionando una experiencia de navegación ágil y eficiente.</v>
      </c>
      <c r="O803" s="152" t="s">
        <v>1316</v>
      </c>
      <c r="P803" s="153" t="s">
        <v>1534</v>
      </c>
      <c r="Q803" s="153" t="s">
        <v>1535</v>
      </c>
      <c r="R803" s="149"/>
      <c r="S803" s="150" t="s">
        <v>2246</v>
      </c>
      <c r="T803" s="160" t="s">
        <v>2033</v>
      </c>
      <c r="U803" s="94"/>
      <c r="V803" s="94"/>
      <c r="W803" s="94"/>
      <c r="X803" s="94"/>
      <c r="Y803" s="94"/>
      <c r="Z803" s="94"/>
      <c r="AA803" s="94"/>
      <c r="AB803" s="94"/>
      <c r="AC803" s="94"/>
      <c r="AD803" s="94"/>
      <c r="AE803" s="94"/>
      <c r="AF803" s="94"/>
      <c r="AG803" s="94"/>
      <c r="AH803" s="94"/>
      <c r="AI803" s="94"/>
      <c r="AJ803" s="94"/>
      <c r="AK803" s="94"/>
      <c r="AL803" s="94"/>
    </row>
    <row r="804" hidden="1">
      <c r="A804" s="86" t="s">
        <v>1540</v>
      </c>
      <c r="B804" s="95" t="str">
        <f t="shared" si="494"/>
        <v>Pregunta</v>
      </c>
      <c r="C804" s="106" t="str">
        <f t="shared" si="9"/>
        <v>15. </v>
      </c>
      <c r="D804" s="106" t="str">
        <f t="shared" si="10"/>
        <v>Rapidez de respuesta</v>
      </c>
      <c r="E804" s="106" t="str">
        <f t="shared" si="11"/>
        <v>Capacidad del servicio digital para entregar una experiencia usuaria rápida y con una navegación fluida, sobre todo en los trámites. También considera los tiempos de la institución para dar respuestas a las solicitudes en plazos breves y acotados.</v>
      </c>
      <c r="F804" s="141" t="str">
        <f t="shared" si="3"/>
        <v>15.1</v>
      </c>
      <c r="G804" s="92" t="str">
        <f t="shared" si="4"/>
        <v>IMPRESCINDIBLES</v>
      </c>
      <c r="H804" s="141"/>
      <c r="I804" s="141" t="str">
        <f t="shared" si="5"/>
        <v/>
      </c>
      <c r="J804" s="98" t="str">
        <f t="shared" si="6"/>
        <v/>
      </c>
      <c r="K804" s="98" t="str">
        <f t="shared" si="7"/>
        <v/>
      </c>
      <c r="L804" s="141" t="str">
        <f t="shared" ref="L804:N804" si="810">IF(I804="",L803,I804)</f>
        <v>15.1.1</v>
      </c>
      <c r="M804" s="98" t="str">
        <f t="shared" si="810"/>
        <v>Tiempo de respuesta</v>
      </c>
      <c r="N804" s="98" t="str">
        <f t="shared" si="810"/>
        <v>Velocidad con la que un sitio web puede procesar y responder a las solicitudes de las personas usuarias, proporcionando una experiencia de navegación ágil y eficiente.</v>
      </c>
      <c r="O804" s="152"/>
      <c r="P804" s="153"/>
      <c r="Q804" s="153"/>
      <c r="R804" s="149"/>
      <c r="S804" s="162" t="s">
        <v>1757</v>
      </c>
      <c r="T804" s="160" t="s">
        <v>2033</v>
      </c>
      <c r="U804" s="94"/>
      <c r="V804" s="94"/>
      <c r="W804" s="94"/>
      <c r="X804" s="94"/>
      <c r="Y804" s="94"/>
      <c r="Z804" s="94"/>
      <c r="AA804" s="94"/>
      <c r="AB804" s="94"/>
      <c r="AC804" s="94"/>
      <c r="AD804" s="94"/>
      <c r="AE804" s="94"/>
      <c r="AF804" s="94"/>
      <c r="AG804" s="94"/>
      <c r="AH804" s="94"/>
      <c r="AI804" s="94"/>
      <c r="AJ804" s="94"/>
      <c r="AK804" s="94"/>
      <c r="AL804" s="94"/>
    </row>
    <row r="805" hidden="1">
      <c r="A805" s="86" t="s">
        <v>1540</v>
      </c>
      <c r="B805" s="95" t="str">
        <f t="shared" si="494"/>
        <v>Pregunta</v>
      </c>
      <c r="C805" s="106" t="str">
        <f t="shared" si="9"/>
        <v>15. </v>
      </c>
      <c r="D805" s="106" t="str">
        <f t="shared" si="10"/>
        <v>Rapidez de respuesta</v>
      </c>
      <c r="E805" s="106" t="str">
        <f t="shared" si="11"/>
        <v>Capacidad del servicio digital para entregar una experiencia usuaria rápida y con una navegación fluida, sobre todo en los trámites. También considera los tiempos de la institución para dar respuestas a las solicitudes en plazos breves y acotados.</v>
      </c>
      <c r="F805" s="141" t="str">
        <f t="shared" si="3"/>
        <v>15.1</v>
      </c>
      <c r="G805" s="92" t="str">
        <f t="shared" si="4"/>
        <v>IMPRESCINDIBLES</v>
      </c>
      <c r="H805" s="141"/>
      <c r="I805" s="141" t="str">
        <f t="shared" si="5"/>
        <v/>
      </c>
      <c r="J805" s="98" t="str">
        <f t="shared" si="6"/>
        <v/>
      </c>
      <c r="K805" s="98" t="str">
        <f t="shared" si="7"/>
        <v/>
      </c>
      <c r="L805" s="141" t="str">
        <f t="shared" ref="L805:N805" si="811">IF(I805="",L804,I805)</f>
        <v>15.1.1</v>
      </c>
      <c r="M805" s="98" t="str">
        <f t="shared" si="811"/>
        <v>Tiempo de respuesta</v>
      </c>
      <c r="N805" s="98" t="str">
        <f t="shared" si="811"/>
        <v>Velocidad con la que un sitio web puede procesar y responder a las solicitudes de las personas usuarias, proporcionando una experiencia de navegación ágil y eficiente.</v>
      </c>
      <c r="O805" s="152"/>
      <c r="P805" s="153"/>
      <c r="Q805" s="153"/>
      <c r="R805" s="149"/>
      <c r="S805" s="254" t="s">
        <v>2247</v>
      </c>
      <c r="T805" s="160" t="s">
        <v>2033</v>
      </c>
      <c r="U805" s="94"/>
      <c r="V805" s="94"/>
      <c r="W805" s="94"/>
      <c r="X805" s="94"/>
      <c r="Y805" s="94"/>
      <c r="Z805" s="94"/>
      <c r="AA805" s="94"/>
      <c r="AB805" s="94"/>
      <c r="AC805" s="94"/>
      <c r="AD805" s="94"/>
      <c r="AE805" s="94"/>
      <c r="AF805" s="94"/>
      <c r="AG805" s="94"/>
      <c r="AH805" s="94"/>
      <c r="AI805" s="94"/>
      <c r="AJ805" s="94"/>
      <c r="AK805" s="94"/>
      <c r="AL805" s="94"/>
    </row>
    <row r="806" hidden="1">
      <c r="A806" s="86" t="s">
        <v>1540</v>
      </c>
      <c r="B806" s="95" t="str">
        <f t="shared" si="494"/>
        <v>Pregunta</v>
      </c>
      <c r="C806" s="106" t="str">
        <f t="shared" si="9"/>
        <v>15. </v>
      </c>
      <c r="D806" s="106" t="str">
        <f t="shared" si="10"/>
        <v>Rapidez de respuesta</v>
      </c>
      <c r="E806" s="106" t="str">
        <f t="shared" si="11"/>
        <v>Capacidad del servicio digital para entregar una experiencia usuaria rápida y con una navegación fluida, sobre todo en los trámites. También considera los tiempos de la institución para dar respuestas a las solicitudes en plazos breves y acotados.</v>
      </c>
      <c r="F806" s="141" t="str">
        <f t="shared" si="3"/>
        <v>15.1</v>
      </c>
      <c r="G806" s="92" t="str">
        <f t="shared" si="4"/>
        <v>IMPRESCINDIBLES</v>
      </c>
      <c r="H806" s="141"/>
      <c r="I806" s="141" t="str">
        <f t="shared" si="5"/>
        <v/>
      </c>
      <c r="J806" s="98" t="str">
        <f t="shared" si="6"/>
        <v/>
      </c>
      <c r="K806" s="98" t="str">
        <f t="shared" si="7"/>
        <v/>
      </c>
      <c r="L806" s="141" t="str">
        <f t="shared" ref="L806:N806" si="812">IF(I806="",L805,I806)</f>
        <v>15.1.1</v>
      </c>
      <c r="M806" s="98" t="str">
        <f t="shared" si="812"/>
        <v>Tiempo de respuesta</v>
      </c>
      <c r="N806" s="98" t="str">
        <f t="shared" si="812"/>
        <v>Velocidad con la que un sitio web puede procesar y responder a las solicitudes de las personas usuarias, proporcionando una experiencia de navegación ágil y eficiente.</v>
      </c>
      <c r="O806" s="142"/>
      <c r="P806" s="143"/>
      <c r="Q806" s="143"/>
      <c r="R806" s="174"/>
      <c r="S806" s="256" t="s">
        <v>2248</v>
      </c>
      <c r="T806" s="164" t="s">
        <v>2033</v>
      </c>
      <c r="U806" s="94"/>
      <c r="V806" s="94"/>
      <c r="W806" s="94"/>
      <c r="X806" s="94"/>
      <c r="Y806" s="94"/>
      <c r="Z806" s="94"/>
      <c r="AA806" s="94"/>
      <c r="AB806" s="94"/>
      <c r="AC806" s="94"/>
      <c r="AD806" s="94"/>
      <c r="AE806" s="94"/>
      <c r="AF806" s="94"/>
      <c r="AG806" s="94"/>
      <c r="AH806" s="94"/>
      <c r="AI806" s="94"/>
      <c r="AJ806" s="94"/>
      <c r="AK806" s="94"/>
      <c r="AL806" s="94"/>
    </row>
    <row r="807" hidden="1">
      <c r="A807" s="86" t="s">
        <v>1540</v>
      </c>
      <c r="B807" s="201" t="str">
        <f t="shared" si="494"/>
        <v>Otro</v>
      </c>
      <c r="C807" s="106" t="str">
        <f t="shared" si="9"/>
        <v>16.</v>
      </c>
      <c r="D807" s="106" t="str">
        <f t="shared" si="10"/>
        <v>Audiovisualidad</v>
      </c>
      <c r="E807" s="106" t="str">
        <f t="shared" si="11"/>
        <v>Conjunto de objetos interactivos o no interactivos que contienen información representada por texto, imagen, video, animación, sonido u otro tipo de medios.</v>
      </c>
      <c r="F807" s="141" t="str">
        <f t="shared" si="3"/>
        <v>15.1</v>
      </c>
      <c r="G807" s="92" t="str">
        <f t="shared" si="4"/>
        <v>IMPRESCINDIBLES</v>
      </c>
      <c r="H807" s="107"/>
      <c r="I807" s="107" t="str">
        <f t="shared" si="5"/>
        <v/>
      </c>
      <c r="J807" s="98" t="str">
        <f t="shared" si="6"/>
        <v/>
      </c>
      <c r="K807" s="98" t="str">
        <f t="shared" si="7"/>
        <v/>
      </c>
      <c r="L807" s="141" t="str">
        <f t="shared" ref="L807:N807" si="813">IF(I807="",L806,I807)</f>
        <v>15.1.1</v>
      </c>
      <c r="M807" s="98" t="str">
        <f t="shared" si="813"/>
        <v>Tiempo de respuesta</v>
      </c>
      <c r="N807" s="98" t="str">
        <f t="shared" si="813"/>
        <v>Velocidad con la que un sitio web puede procesar y responder a las solicitudes de las personas usuarias, proporcionando una experiencia de navegación ágil y eficiente.</v>
      </c>
      <c r="O807" s="221" t="s">
        <v>49</v>
      </c>
      <c r="P807" s="281" t="s">
        <v>40</v>
      </c>
      <c r="Q807" s="119"/>
      <c r="R807" s="282"/>
      <c r="S807" s="120" t="s">
        <v>1217</v>
      </c>
      <c r="T807" s="116" t="s">
        <v>2161</v>
      </c>
      <c r="U807" s="94"/>
      <c r="V807" s="94"/>
      <c r="W807" s="94"/>
      <c r="X807" s="94"/>
      <c r="Y807" s="94"/>
      <c r="Z807" s="94"/>
      <c r="AA807" s="94"/>
      <c r="AB807" s="94"/>
      <c r="AC807" s="94"/>
      <c r="AD807" s="94"/>
      <c r="AE807" s="94"/>
      <c r="AF807" s="94"/>
      <c r="AG807" s="94"/>
      <c r="AH807" s="94"/>
      <c r="AI807" s="94"/>
      <c r="AJ807" s="94"/>
      <c r="AK807" s="94"/>
      <c r="AL807" s="94"/>
    </row>
    <row r="808" hidden="1">
      <c r="A808" s="86" t="s">
        <v>1540</v>
      </c>
      <c r="B808" s="201" t="str">
        <f t="shared" si="494"/>
        <v>Otro</v>
      </c>
      <c r="C808" s="106" t="str">
        <f t="shared" si="9"/>
        <v>16.</v>
      </c>
      <c r="D808" s="106" t="str">
        <f t="shared" si="10"/>
        <v>Audiovisualidad</v>
      </c>
      <c r="E808" s="106" t="str">
        <f t="shared" si="11"/>
        <v>Conjunto de objetos interactivos o no interactivos que contienen información representada por texto, imagen, video, animación, sonido u otro tipo de medios.</v>
      </c>
      <c r="F808" s="141" t="str">
        <f t="shared" si="3"/>
        <v>15.1</v>
      </c>
      <c r="G808" s="92" t="str">
        <f t="shared" si="4"/>
        <v>IMPRESCINDIBLES</v>
      </c>
      <c r="H808" s="107"/>
      <c r="I808" s="107" t="str">
        <f t="shared" si="5"/>
        <v/>
      </c>
      <c r="J808" s="98" t="str">
        <f t="shared" si="6"/>
        <v/>
      </c>
      <c r="K808" s="98" t="str">
        <f t="shared" si="7"/>
        <v/>
      </c>
      <c r="L808" s="141" t="str">
        <f t="shared" ref="L808:N808" si="814">IF(I808="",L807,I808)</f>
        <v>15.1.1</v>
      </c>
      <c r="M808" s="98" t="str">
        <f t="shared" si="814"/>
        <v>Tiempo de respuesta</v>
      </c>
      <c r="N808" s="98" t="str">
        <f t="shared" si="814"/>
        <v>Velocidad con la que un sitio web puede procesar y responder a las solicitudes de las personas usuarias, proporcionando una experiencia de navegación ágil y eficiente.</v>
      </c>
      <c r="O808" s="221"/>
      <c r="P808" s="281"/>
      <c r="Q808" s="119"/>
      <c r="R808" s="282"/>
      <c r="S808" s="239"/>
      <c r="T808" s="116" t="s">
        <v>19</v>
      </c>
      <c r="U808" s="94"/>
      <c r="V808" s="94"/>
      <c r="W808" s="94"/>
      <c r="X808" s="94"/>
      <c r="Y808" s="94"/>
      <c r="Z808" s="94"/>
      <c r="AA808" s="94"/>
      <c r="AB808" s="94"/>
      <c r="AC808" s="94"/>
      <c r="AD808" s="94"/>
      <c r="AE808" s="94"/>
      <c r="AF808" s="94"/>
      <c r="AG808" s="94"/>
      <c r="AH808" s="94"/>
      <c r="AI808" s="94"/>
      <c r="AJ808" s="94"/>
      <c r="AK808" s="94"/>
      <c r="AL808" s="94"/>
    </row>
    <row r="809" hidden="1">
      <c r="A809" s="86" t="s">
        <v>1540</v>
      </c>
      <c r="B809" s="201" t="str">
        <f t="shared" si="494"/>
        <v>Otro</v>
      </c>
      <c r="C809" s="106" t="str">
        <f t="shared" si="9"/>
        <v>16.</v>
      </c>
      <c r="D809" s="106" t="str">
        <f t="shared" si="10"/>
        <v>Audiovisualidad</v>
      </c>
      <c r="E809" s="106" t="str">
        <f t="shared" si="11"/>
        <v>Conjunto de objetos interactivos o no interactivos que contienen información representada por texto, imagen, video, animación, sonido u otro tipo de medios.</v>
      </c>
      <c r="F809" s="141" t="str">
        <f t="shared" si="3"/>
        <v>15.1</v>
      </c>
      <c r="G809" s="92" t="str">
        <f t="shared" si="4"/>
        <v>IMPRESCINDIBLES</v>
      </c>
      <c r="H809" s="107"/>
      <c r="I809" s="107" t="str">
        <f t="shared" si="5"/>
        <v/>
      </c>
      <c r="J809" s="98" t="str">
        <f t="shared" si="6"/>
        <v/>
      </c>
      <c r="K809" s="98" t="str">
        <f t="shared" si="7"/>
        <v/>
      </c>
      <c r="L809" s="141" t="str">
        <f t="shared" ref="L809:N809" si="815">IF(I809="",L808,I809)</f>
        <v>15.1.1</v>
      </c>
      <c r="M809" s="98" t="str">
        <f t="shared" si="815"/>
        <v>Tiempo de respuesta</v>
      </c>
      <c r="N809" s="98" t="str">
        <f t="shared" si="815"/>
        <v>Velocidad con la que un sitio web puede procesar y responder a las solicitudes de las personas usuarias, proporcionando una experiencia de navegación ágil y eficiente.</v>
      </c>
      <c r="O809" s="222"/>
      <c r="P809" s="283"/>
      <c r="Q809" s="123"/>
      <c r="R809" s="282"/>
      <c r="S809" s="240"/>
      <c r="T809" s="303"/>
      <c r="U809" s="94"/>
      <c r="V809" s="94"/>
      <c r="W809" s="94"/>
      <c r="X809" s="94"/>
      <c r="Y809" s="94"/>
      <c r="Z809" s="94"/>
      <c r="AA809" s="94"/>
      <c r="AB809" s="94"/>
      <c r="AC809" s="94"/>
      <c r="AD809" s="94"/>
      <c r="AE809" s="94"/>
      <c r="AF809" s="94"/>
      <c r="AG809" s="94"/>
      <c r="AH809" s="94"/>
      <c r="AI809" s="94"/>
      <c r="AJ809" s="94"/>
      <c r="AK809" s="94"/>
      <c r="AL809" s="94"/>
    </row>
    <row r="810" hidden="1">
      <c r="A810" s="86" t="s">
        <v>1540</v>
      </c>
      <c r="B810" s="201" t="str">
        <f t="shared" si="494"/>
        <v>Otro</v>
      </c>
      <c r="C810" s="106" t="str">
        <f t="shared" si="9"/>
        <v>16.</v>
      </c>
      <c r="D810" s="106" t="str">
        <f t="shared" si="10"/>
        <v>Audiovisualidad</v>
      </c>
      <c r="E810" s="106" t="str">
        <f t="shared" si="11"/>
        <v>Conjunto de objetos interactivos o no interactivos que contienen información representada por texto, imagen, video, animación, sonido u otro tipo de medios.</v>
      </c>
      <c r="F810" s="141" t="str">
        <f t="shared" si="3"/>
        <v>15.1</v>
      </c>
      <c r="G810" s="92" t="str">
        <f t="shared" si="4"/>
        <v>IMPRESCINDIBLES</v>
      </c>
      <c r="H810" s="96"/>
      <c r="I810" s="96" t="str">
        <f t="shared" si="5"/>
        <v/>
      </c>
      <c r="J810" s="98" t="str">
        <f t="shared" si="6"/>
        <v/>
      </c>
      <c r="K810" s="98" t="str">
        <f t="shared" si="7"/>
        <v/>
      </c>
      <c r="L810" s="141" t="str">
        <f t="shared" ref="L810:N810" si="816">IF(I810="",L809,I810)</f>
        <v>15.1.1</v>
      </c>
      <c r="M810" s="98" t="str">
        <f t="shared" si="816"/>
        <v>Tiempo de respuesta</v>
      </c>
      <c r="N810" s="98" t="str">
        <f t="shared" si="816"/>
        <v>Velocidad con la que un sitio web puede procesar y responder a las solicitudes de las personas usuarias, proporcionando una experiencia de navegación ágil y eficiente.</v>
      </c>
      <c r="O810" s="104"/>
      <c r="P810" s="114"/>
      <c r="Q810" s="114"/>
      <c r="R810" s="284"/>
      <c r="S810" s="284"/>
      <c r="T810" s="241"/>
      <c r="U810" s="94"/>
      <c r="V810" s="94"/>
      <c r="W810" s="94"/>
      <c r="X810" s="94"/>
      <c r="Y810" s="94"/>
      <c r="Z810" s="94"/>
      <c r="AA810" s="94"/>
      <c r="AB810" s="94"/>
      <c r="AC810" s="94"/>
      <c r="AD810" s="94"/>
      <c r="AE810" s="94"/>
      <c r="AF810" s="94"/>
      <c r="AG810" s="94"/>
      <c r="AH810" s="94"/>
      <c r="AI810" s="94"/>
      <c r="AJ810" s="94"/>
      <c r="AK810" s="94"/>
      <c r="AL810" s="94"/>
    </row>
    <row r="811" hidden="1">
      <c r="A811" s="86" t="s">
        <v>1540</v>
      </c>
      <c r="B811" s="95" t="str">
        <f t="shared" si="494"/>
        <v>Otro</v>
      </c>
      <c r="C811" s="106" t="str">
        <f t="shared" si="9"/>
        <v>16.</v>
      </c>
      <c r="D811" s="106" t="str">
        <f t="shared" si="10"/>
        <v>Audiovisualidad</v>
      </c>
      <c r="E811" s="106" t="str">
        <f t="shared" si="11"/>
        <v>Conjunto de objetos interactivos o no interactivos que contienen información representada por texto, imagen, video, animación, sonido u otro tipo de medios.</v>
      </c>
      <c r="F811" s="141" t="str">
        <f t="shared" si="3"/>
        <v>15.1</v>
      </c>
      <c r="G811" s="92" t="str">
        <f t="shared" si="4"/>
        <v>IMPRESCINDIBLES</v>
      </c>
      <c r="H811" s="128"/>
      <c r="I811" s="128" t="str">
        <f t="shared" si="5"/>
        <v/>
      </c>
      <c r="J811" s="98" t="str">
        <f t="shared" si="6"/>
        <v/>
      </c>
      <c r="K811" s="98" t="str">
        <f t="shared" si="7"/>
        <v/>
      </c>
      <c r="L811" s="141" t="str">
        <f t="shared" ref="L811:N811" si="817">IF(I811="",L810,I811)</f>
        <v>15.1.1</v>
      </c>
      <c r="M811" s="98" t="str">
        <f t="shared" si="817"/>
        <v>Tiempo de respuesta</v>
      </c>
      <c r="N811" s="98" t="str">
        <f t="shared" si="817"/>
        <v>Velocidad con la que un sitio web puede procesar y responder a las solicitudes de las personas usuarias, proporcionando una experiencia de navegación ágil y eficiente.</v>
      </c>
      <c r="O811" s="223" t="s">
        <v>1822</v>
      </c>
      <c r="P811" s="133" t="s">
        <v>1823</v>
      </c>
      <c r="Q811" s="133" t="s">
        <v>2031</v>
      </c>
      <c r="R811" s="134"/>
      <c r="S811" s="133" t="s">
        <v>1824</v>
      </c>
      <c r="T811" s="133" t="s">
        <v>1825</v>
      </c>
      <c r="U811" s="94"/>
      <c r="V811" s="94"/>
      <c r="W811" s="94"/>
      <c r="X811" s="94"/>
      <c r="Y811" s="94"/>
      <c r="Z811" s="94"/>
      <c r="AA811" s="94"/>
      <c r="AB811" s="94"/>
      <c r="AC811" s="94"/>
      <c r="AD811" s="94"/>
      <c r="AE811" s="94"/>
      <c r="AF811" s="94"/>
      <c r="AG811" s="94"/>
      <c r="AH811" s="94"/>
      <c r="AI811" s="94"/>
      <c r="AJ811" s="94"/>
      <c r="AK811" s="94"/>
      <c r="AL811" s="94"/>
    </row>
    <row r="812" hidden="1">
      <c r="A812" s="86" t="s">
        <v>1540</v>
      </c>
      <c r="B812" s="95" t="str">
        <f t="shared" si="494"/>
        <v>Otro</v>
      </c>
      <c r="C812" s="106" t="str">
        <f t="shared" si="9"/>
        <v>16.</v>
      </c>
      <c r="D812" s="106" t="str">
        <f t="shared" si="10"/>
        <v>Audiovisualidad</v>
      </c>
      <c r="E812" s="106" t="str">
        <f t="shared" si="11"/>
        <v>Conjunto de objetos interactivos o no interactivos que contienen información representada por texto, imagen, video, animación, sonido u otro tipo de medios.</v>
      </c>
      <c r="F812" s="141" t="str">
        <f t="shared" si="3"/>
        <v>16.1</v>
      </c>
      <c r="G812" s="92" t="str">
        <f t="shared" si="4"/>
        <v>IMPRESCINDIBLES</v>
      </c>
      <c r="H812" s="141"/>
      <c r="I812" s="141" t="str">
        <f t="shared" si="5"/>
        <v/>
      </c>
      <c r="J812" s="98" t="str">
        <f t="shared" si="6"/>
        <v/>
      </c>
      <c r="K812" s="98" t="str">
        <f t="shared" si="7"/>
        <v/>
      </c>
      <c r="L812" s="141" t="str">
        <f t="shared" ref="L812:N812" si="818">IF(I812="",L811,I812)</f>
        <v>15.1.1</v>
      </c>
      <c r="M812" s="98" t="str">
        <f t="shared" si="818"/>
        <v>Tiempo de respuesta</v>
      </c>
      <c r="N812" s="98" t="str">
        <f t="shared" si="818"/>
        <v>Velocidad con la que un sitio web puede procesar y responder a las solicitudes de las personas usuarias, proporcionando una experiencia de navegación ágil y eficiente.</v>
      </c>
      <c r="O812" s="259" t="s">
        <v>1384</v>
      </c>
      <c r="P812" s="206" t="s">
        <v>664</v>
      </c>
      <c r="Q812" s="200"/>
      <c r="R812" s="138"/>
      <c r="S812" s="139">
        <f>COUNTA(P813:P814)</f>
        <v>1</v>
      </c>
      <c r="T812" s="140">
        <f>COUNTIF(U813:U814,"n/a")</f>
        <v>0</v>
      </c>
      <c r="U812" s="94"/>
      <c r="V812" s="94"/>
      <c r="W812" s="94"/>
      <c r="X812" s="94"/>
      <c r="Y812" s="94"/>
      <c r="Z812" s="94"/>
      <c r="AA812" s="94"/>
      <c r="AB812" s="94"/>
      <c r="AC812" s="94"/>
      <c r="AD812" s="94"/>
      <c r="AE812" s="94"/>
      <c r="AF812" s="94"/>
      <c r="AG812" s="94"/>
      <c r="AH812" s="94"/>
      <c r="AI812" s="94"/>
      <c r="AJ812" s="94"/>
      <c r="AK812" s="94"/>
      <c r="AL812" s="94"/>
    </row>
    <row r="813" hidden="1">
      <c r="A813" s="105" t="s">
        <v>1540</v>
      </c>
      <c r="B813" s="92" t="str">
        <f t="shared" si="494"/>
        <v>Pregunta</v>
      </c>
      <c r="C813" s="106" t="str">
        <f t="shared" si="9"/>
        <v>16.</v>
      </c>
      <c r="D813" s="106" t="str">
        <f t="shared" si="10"/>
        <v>Audiovisualidad</v>
      </c>
      <c r="E813" s="106" t="str">
        <f t="shared" si="11"/>
        <v>Conjunto de objetos interactivos o no interactivos que contienen información representada por texto, imagen, video, animación, sonido u otro tipo de medios.</v>
      </c>
      <c r="F813" s="141" t="str">
        <f t="shared" si="3"/>
        <v>16.1</v>
      </c>
      <c r="G813" s="92" t="str">
        <f t="shared" si="4"/>
        <v>IMPRESCINDIBLES</v>
      </c>
      <c r="H813" s="141"/>
      <c r="I813" s="141" t="str">
        <f t="shared" si="5"/>
        <v>16.1.1</v>
      </c>
      <c r="J813" s="98" t="str">
        <f t="shared" si="6"/>
        <v>Derechos de uso de imágenes, videos y archivos de audio</v>
      </c>
      <c r="K813" s="98" t="str">
        <f t="shared" si="7"/>
        <v>Posesión de los derechos de uso de imágenes, videos o audios publicados en un sitio web.</v>
      </c>
      <c r="L813" s="141" t="str">
        <f t="shared" ref="L813:N813" si="819">IF(I813="",L812,I813)</f>
        <v>16.1.1</v>
      </c>
      <c r="M813" s="98" t="str">
        <f t="shared" si="819"/>
        <v>Derechos de uso de imágenes, videos y archivos de audio</v>
      </c>
      <c r="N813" s="98" t="str">
        <f t="shared" si="819"/>
        <v>Posesión de los derechos de uso de imágenes, videos o audios publicados en un sitio web.</v>
      </c>
      <c r="O813" s="278" t="s">
        <v>1385</v>
      </c>
      <c r="P813" s="180" t="s">
        <v>1220</v>
      </c>
      <c r="Q813" s="180" t="s">
        <v>1221</v>
      </c>
      <c r="R813" s="171"/>
      <c r="S813" s="162" t="s">
        <v>2249</v>
      </c>
      <c r="T813" s="160" t="s">
        <v>2033</v>
      </c>
      <c r="U813" s="94"/>
      <c r="V813" s="94"/>
      <c r="W813" s="94"/>
      <c r="X813" s="94"/>
      <c r="Y813" s="94"/>
      <c r="Z813" s="94"/>
      <c r="AA813" s="94"/>
      <c r="AB813" s="94"/>
      <c r="AC813" s="94"/>
      <c r="AD813" s="94"/>
      <c r="AE813" s="94"/>
      <c r="AF813" s="94"/>
      <c r="AG813" s="94"/>
      <c r="AH813" s="94"/>
      <c r="AI813" s="94"/>
      <c r="AJ813" s="94"/>
      <c r="AK813" s="94"/>
      <c r="AL813" s="94"/>
    </row>
    <row r="814" hidden="1">
      <c r="A814" s="86" t="s">
        <v>1540</v>
      </c>
      <c r="B814" s="95" t="str">
        <f t="shared" si="494"/>
        <v>Pregunta</v>
      </c>
      <c r="C814" s="106" t="str">
        <f t="shared" si="9"/>
        <v>16.</v>
      </c>
      <c r="D814" s="106" t="str">
        <f t="shared" si="10"/>
        <v>Audiovisualidad</v>
      </c>
      <c r="E814" s="106" t="str">
        <f t="shared" si="11"/>
        <v>Conjunto de objetos interactivos o no interactivos que contienen información representada por texto, imagen, video, animación, sonido u otro tipo de medios.</v>
      </c>
      <c r="F814" s="141" t="str">
        <f t="shared" si="3"/>
        <v>16.1</v>
      </c>
      <c r="G814" s="92" t="str">
        <f t="shared" si="4"/>
        <v>IMPRESCINDIBLES</v>
      </c>
      <c r="H814" s="141"/>
      <c r="I814" s="141" t="str">
        <f t="shared" si="5"/>
        <v/>
      </c>
      <c r="J814" s="98" t="str">
        <f t="shared" si="6"/>
        <v/>
      </c>
      <c r="K814" s="98" t="str">
        <f t="shared" si="7"/>
        <v/>
      </c>
      <c r="L814" s="141" t="str">
        <f t="shared" ref="L814:N814" si="820">IF(I814="",L813,I814)</f>
        <v>16.1.1</v>
      </c>
      <c r="M814" s="98" t="str">
        <f t="shared" si="820"/>
        <v>Derechos de uso de imágenes, videos y archivos de audio</v>
      </c>
      <c r="N814" s="98" t="str">
        <f t="shared" si="820"/>
        <v>Posesión de los derechos de uso de imágenes, videos o audios publicados en un sitio web.</v>
      </c>
      <c r="O814" s="142"/>
      <c r="P814" s="143"/>
      <c r="Q814" s="143"/>
      <c r="R814" s="168"/>
      <c r="S814" s="169" t="s">
        <v>2250</v>
      </c>
      <c r="T814" s="164" t="s">
        <v>2033</v>
      </c>
      <c r="U814" s="94"/>
      <c r="V814" s="94"/>
      <c r="W814" s="94"/>
      <c r="X814" s="94"/>
      <c r="Y814" s="94"/>
      <c r="Z814" s="94"/>
      <c r="AA814" s="94"/>
      <c r="AB814" s="94"/>
      <c r="AC814" s="94"/>
      <c r="AD814" s="94"/>
      <c r="AE814" s="94"/>
      <c r="AF814" s="94"/>
      <c r="AG814" s="94"/>
      <c r="AH814" s="94"/>
      <c r="AI814" s="94"/>
      <c r="AJ814" s="94"/>
      <c r="AK814" s="94"/>
      <c r="AL814" s="94"/>
    </row>
    <row r="815" hidden="1">
      <c r="A815" s="86" t="s">
        <v>1540</v>
      </c>
      <c r="B815" s="95" t="str">
        <f t="shared" si="494"/>
        <v>Otro</v>
      </c>
      <c r="C815" s="106" t="str">
        <f t="shared" si="9"/>
        <v>16.</v>
      </c>
      <c r="D815" s="106" t="str">
        <f t="shared" si="10"/>
        <v>Audiovisualidad</v>
      </c>
      <c r="E815" s="106" t="str">
        <f t="shared" si="11"/>
        <v>Conjunto de objetos interactivos o no interactivos que contienen información representada por texto, imagen, video, animación, sonido u otro tipo de medios.</v>
      </c>
      <c r="F815" s="141" t="str">
        <f t="shared" si="3"/>
        <v>16.2</v>
      </c>
      <c r="G815" s="92" t="str">
        <f t="shared" si="4"/>
        <v>ESPERABLES</v>
      </c>
      <c r="H815" s="141"/>
      <c r="I815" s="141" t="str">
        <f t="shared" si="5"/>
        <v/>
      </c>
      <c r="J815" s="98" t="str">
        <f t="shared" si="6"/>
        <v/>
      </c>
      <c r="K815" s="98" t="str">
        <f t="shared" si="7"/>
        <v/>
      </c>
      <c r="L815" s="141" t="str">
        <f t="shared" ref="L815:N815" si="821">IF(I815="",L814,I815)</f>
        <v>16.1.1</v>
      </c>
      <c r="M815" s="98" t="str">
        <f t="shared" si="821"/>
        <v>Derechos de uso de imágenes, videos y archivos de audio</v>
      </c>
      <c r="N815" s="98" t="str">
        <f t="shared" si="821"/>
        <v>Posesión de los derechos de uso de imágenes, videos o audios publicados en un sitio web.</v>
      </c>
      <c r="O815" s="175" t="s">
        <v>1422</v>
      </c>
      <c r="P815" s="196" t="s">
        <v>714</v>
      </c>
      <c r="Q815" s="177"/>
      <c r="R815" s="177"/>
      <c r="S815" s="197">
        <f>COUNTA(P816:P821)</f>
        <v>3</v>
      </c>
      <c r="T815" s="197">
        <f>COUNTIF(U816:U821,"n/a")</f>
        <v>0</v>
      </c>
      <c r="U815" s="94"/>
      <c r="V815" s="94"/>
      <c r="W815" s="94"/>
      <c r="X815" s="94"/>
      <c r="Y815" s="94"/>
      <c r="Z815" s="94"/>
      <c r="AA815" s="94"/>
      <c r="AB815" s="94"/>
      <c r="AC815" s="94"/>
      <c r="AD815" s="94"/>
      <c r="AE815" s="94"/>
      <c r="AF815" s="94"/>
      <c r="AG815" s="94"/>
      <c r="AH815" s="94"/>
      <c r="AI815" s="94"/>
      <c r="AJ815" s="94"/>
      <c r="AK815" s="94"/>
      <c r="AL815" s="94"/>
    </row>
    <row r="816" hidden="1">
      <c r="A816" s="105" t="s">
        <v>1540</v>
      </c>
      <c r="B816" s="92" t="str">
        <f t="shared" si="494"/>
        <v>Pregunta</v>
      </c>
      <c r="C816" s="106" t="str">
        <f t="shared" si="9"/>
        <v>16.</v>
      </c>
      <c r="D816" s="106" t="str">
        <f t="shared" si="10"/>
        <v>Audiovisualidad</v>
      </c>
      <c r="E816" s="106" t="str">
        <f t="shared" si="11"/>
        <v>Conjunto de objetos interactivos o no interactivos que contienen información representada por texto, imagen, video, animación, sonido u otro tipo de medios.</v>
      </c>
      <c r="F816" s="141" t="str">
        <f t="shared" si="3"/>
        <v>16.2</v>
      </c>
      <c r="G816" s="92" t="str">
        <f t="shared" si="4"/>
        <v>ESPERABLES</v>
      </c>
      <c r="H816" s="141"/>
      <c r="I816" s="141" t="str">
        <f t="shared" si="5"/>
        <v>16.2.1</v>
      </c>
      <c r="J816" s="98" t="str">
        <f t="shared" si="6"/>
        <v>Complementariedad</v>
      </c>
      <c r="K816" s="98" t="str">
        <f t="shared" si="7"/>
        <v>Uso de imágenes, videos y audios para complementar la información publicada en los contenidos.
</v>
      </c>
      <c r="L816" s="141" t="str">
        <f t="shared" ref="L816:N816" si="822">IF(I816="",L815,I816)</f>
        <v>16.2.1</v>
      </c>
      <c r="M816" s="98" t="str">
        <f t="shared" si="822"/>
        <v>Complementariedad</v>
      </c>
      <c r="N816" s="98" t="str">
        <f t="shared" si="822"/>
        <v>Uso de imágenes, videos y audios para complementar la información publicada en los contenidos.
</v>
      </c>
      <c r="O816" s="275" t="s">
        <v>1423</v>
      </c>
      <c r="P816" s="169" t="s">
        <v>1226</v>
      </c>
      <c r="Q816" s="169" t="s">
        <v>1227</v>
      </c>
      <c r="R816" s="168"/>
      <c r="S816" s="169" t="s">
        <v>2251</v>
      </c>
      <c r="T816" s="164" t="s">
        <v>2033</v>
      </c>
      <c r="U816" s="94"/>
      <c r="V816" s="94"/>
      <c r="W816" s="94"/>
      <c r="X816" s="94"/>
      <c r="Y816" s="94"/>
      <c r="Z816" s="94"/>
      <c r="AA816" s="94"/>
      <c r="AB816" s="94"/>
      <c r="AC816" s="94"/>
      <c r="AD816" s="94"/>
      <c r="AE816" s="94"/>
      <c r="AF816" s="94"/>
      <c r="AG816" s="94"/>
      <c r="AH816" s="94"/>
      <c r="AI816" s="94"/>
      <c r="AJ816" s="94"/>
      <c r="AK816" s="94"/>
      <c r="AL816" s="94"/>
    </row>
    <row r="817" hidden="1">
      <c r="A817" s="105" t="s">
        <v>1540</v>
      </c>
      <c r="B817" s="92" t="str">
        <f t="shared" si="494"/>
        <v>Pregunta</v>
      </c>
      <c r="C817" s="106" t="str">
        <f t="shared" si="9"/>
        <v>16.</v>
      </c>
      <c r="D817" s="106" t="str">
        <f t="shared" si="10"/>
        <v>Audiovisualidad</v>
      </c>
      <c r="E817" s="106" t="str">
        <f t="shared" si="11"/>
        <v>Conjunto de objetos interactivos o no interactivos que contienen información representada por texto, imagen, video, animación, sonido u otro tipo de medios.</v>
      </c>
      <c r="F817" s="141" t="str">
        <f t="shared" si="3"/>
        <v>16.2</v>
      </c>
      <c r="G817" s="92" t="str">
        <f t="shared" si="4"/>
        <v>ESPERABLES</v>
      </c>
      <c r="H817" s="141"/>
      <c r="I817" s="141" t="str">
        <f t="shared" si="5"/>
        <v>16.2.2</v>
      </c>
      <c r="J817" s="98" t="str">
        <f t="shared" si="6"/>
        <v>Formato de imágenes</v>
      </c>
      <c r="K817" s="98" t="str">
        <f t="shared" si="7"/>
        <v>Especificaciones técnicas de las imágenes publicadas en un sitio web.</v>
      </c>
      <c r="L817" s="141" t="str">
        <f t="shared" ref="L817:N817" si="823">IF(I817="",L816,I817)</f>
        <v>16.2.2</v>
      </c>
      <c r="M817" s="98" t="str">
        <f t="shared" si="823"/>
        <v>Formato de imágenes</v>
      </c>
      <c r="N817" s="98" t="str">
        <f t="shared" si="823"/>
        <v>Especificaciones técnicas de las imágenes publicadas en un sitio web.</v>
      </c>
      <c r="O817" s="315" t="s">
        <v>1433</v>
      </c>
      <c r="P817" s="188" t="s">
        <v>1230</v>
      </c>
      <c r="Q817" s="148" t="s">
        <v>1231</v>
      </c>
      <c r="R817" s="158"/>
      <c r="S817" s="159" t="s">
        <v>2252</v>
      </c>
      <c r="T817" s="160" t="s">
        <v>2033</v>
      </c>
      <c r="U817" s="94"/>
      <c r="V817" s="94"/>
      <c r="W817" s="94"/>
      <c r="X817" s="94"/>
      <c r="Y817" s="94"/>
      <c r="Z817" s="94"/>
      <c r="AA817" s="94"/>
      <c r="AB817" s="94"/>
      <c r="AC817" s="94"/>
      <c r="AD817" s="94"/>
      <c r="AE817" s="94"/>
      <c r="AF817" s="94"/>
      <c r="AG817" s="94"/>
      <c r="AH817" s="94"/>
      <c r="AI817" s="94"/>
      <c r="AJ817" s="94"/>
      <c r="AK817" s="94"/>
      <c r="AL817" s="94"/>
    </row>
    <row r="818" hidden="1">
      <c r="A818" s="86" t="s">
        <v>1540</v>
      </c>
      <c r="B818" s="95" t="str">
        <f t="shared" si="494"/>
        <v>Pregunta</v>
      </c>
      <c r="C818" s="106" t="str">
        <f t="shared" si="9"/>
        <v>16.</v>
      </c>
      <c r="D818" s="106" t="str">
        <f t="shared" si="10"/>
        <v>Audiovisualidad</v>
      </c>
      <c r="E818" s="106" t="str">
        <f t="shared" si="11"/>
        <v>Conjunto de objetos interactivos o no interactivos que contienen información representada por texto, imagen, video, animación, sonido u otro tipo de medios.</v>
      </c>
      <c r="F818" s="141" t="str">
        <f t="shared" si="3"/>
        <v>16.2</v>
      </c>
      <c r="G818" s="92" t="str">
        <f t="shared" si="4"/>
        <v>ESPERABLES</v>
      </c>
      <c r="H818" s="141"/>
      <c r="I818" s="141" t="str">
        <f t="shared" si="5"/>
        <v/>
      </c>
      <c r="J818" s="98" t="str">
        <f t="shared" si="6"/>
        <v/>
      </c>
      <c r="K818" s="98" t="str">
        <f t="shared" si="7"/>
        <v/>
      </c>
      <c r="L818" s="141" t="str">
        <f t="shared" ref="L818:N818" si="824">IF(I818="",L817,I818)</f>
        <v>16.2.2</v>
      </c>
      <c r="M818" s="98" t="str">
        <f t="shared" si="824"/>
        <v>Formato de imágenes</v>
      </c>
      <c r="N818" s="98" t="str">
        <f t="shared" si="824"/>
        <v>Especificaciones técnicas de las imágenes publicadas en un sitio web.</v>
      </c>
      <c r="O818" s="142"/>
      <c r="P818" s="228"/>
      <c r="Q818" s="143"/>
      <c r="R818" s="168"/>
      <c r="S818" s="256" t="s">
        <v>2253</v>
      </c>
      <c r="T818" s="164" t="s">
        <v>2033</v>
      </c>
      <c r="U818" s="94"/>
      <c r="V818" s="94"/>
      <c r="W818" s="94"/>
      <c r="X818" s="94"/>
      <c r="Y818" s="94"/>
      <c r="Z818" s="94"/>
      <c r="AA818" s="94"/>
      <c r="AB818" s="94"/>
      <c r="AC818" s="94"/>
      <c r="AD818" s="94"/>
      <c r="AE818" s="94"/>
      <c r="AF818" s="94"/>
      <c r="AG818" s="94"/>
      <c r="AH818" s="94"/>
      <c r="AI818" s="94"/>
      <c r="AJ818" s="94"/>
      <c r="AK818" s="94"/>
      <c r="AL818" s="94"/>
    </row>
    <row r="819" hidden="1">
      <c r="A819" s="105" t="s">
        <v>1540</v>
      </c>
      <c r="B819" s="92" t="str">
        <f t="shared" si="494"/>
        <v>Pregunta</v>
      </c>
      <c r="C819" s="106" t="str">
        <f t="shared" si="9"/>
        <v>16.</v>
      </c>
      <c r="D819" s="106" t="str">
        <f t="shared" si="10"/>
        <v>Audiovisualidad</v>
      </c>
      <c r="E819" s="106" t="str">
        <f t="shared" si="11"/>
        <v>Conjunto de objetos interactivos o no interactivos que contienen información representada por texto, imagen, video, animación, sonido u otro tipo de medios.</v>
      </c>
      <c r="F819" s="141" t="str">
        <f t="shared" si="3"/>
        <v>16.2</v>
      </c>
      <c r="G819" s="92" t="str">
        <f t="shared" si="4"/>
        <v>ESPERABLES</v>
      </c>
      <c r="H819" s="141"/>
      <c r="I819" s="141" t="str">
        <f t="shared" si="5"/>
        <v>16.2.3</v>
      </c>
      <c r="J819" s="98" t="str">
        <f t="shared" si="6"/>
        <v>Formato de videos</v>
      </c>
      <c r="K819" s="98" t="str">
        <f t="shared" si="7"/>
        <v>Especificaciones técnicas de los videos publicados en un sitio web.</v>
      </c>
      <c r="L819" s="141" t="str">
        <f t="shared" ref="L819:N819" si="825">IF(I819="",L818,I819)</f>
        <v>16.2.3</v>
      </c>
      <c r="M819" s="98" t="str">
        <f t="shared" si="825"/>
        <v>Formato de videos</v>
      </c>
      <c r="N819" s="98" t="str">
        <f t="shared" si="825"/>
        <v>Especificaciones técnicas de los videos publicados en un sitio web.</v>
      </c>
      <c r="O819" s="315" t="s">
        <v>1763</v>
      </c>
      <c r="P819" s="148" t="s">
        <v>1235</v>
      </c>
      <c r="Q819" s="148" t="s">
        <v>1236</v>
      </c>
      <c r="R819" s="158"/>
      <c r="S819" s="170" t="s">
        <v>2254</v>
      </c>
      <c r="T819" s="160" t="s">
        <v>2033</v>
      </c>
      <c r="U819" s="94"/>
      <c r="V819" s="94"/>
      <c r="W819" s="94"/>
      <c r="X819" s="94"/>
      <c r="Y819" s="94"/>
      <c r="Z819" s="94"/>
      <c r="AA819" s="94"/>
      <c r="AB819" s="94"/>
      <c r="AC819" s="94"/>
      <c r="AD819" s="94"/>
      <c r="AE819" s="94"/>
      <c r="AF819" s="94"/>
      <c r="AG819" s="94"/>
      <c r="AH819" s="94"/>
      <c r="AI819" s="94"/>
      <c r="AJ819" s="94"/>
      <c r="AK819" s="94"/>
      <c r="AL819" s="94"/>
    </row>
    <row r="820" hidden="1">
      <c r="A820" s="86" t="s">
        <v>1540</v>
      </c>
      <c r="B820" s="95" t="str">
        <f t="shared" si="494"/>
        <v>Pregunta</v>
      </c>
      <c r="C820" s="106" t="str">
        <f t="shared" si="9"/>
        <v>16.</v>
      </c>
      <c r="D820" s="106" t="str">
        <f t="shared" si="10"/>
        <v>Audiovisualidad</v>
      </c>
      <c r="E820" s="106" t="str">
        <f t="shared" si="11"/>
        <v>Conjunto de objetos interactivos o no interactivos que contienen información representada por texto, imagen, video, animación, sonido u otro tipo de medios.</v>
      </c>
      <c r="F820" s="141" t="str">
        <f t="shared" si="3"/>
        <v>16.2</v>
      </c>
      <c r="G820" s="92" t="str">
        <f t="shared" si="4"/>
        <v>ESPERABLES</v>
      </c>
      <c r="H820" s="141"/>
      <c r="I820" s="141" t="str">
        <f t="shared" si="5"/>
        <v/>
      </c>
      <c r="J820" s="98" t="str">
        <f t="shared" si="6"/>
        <v/>
      </c>
      <c r="K820" s="98" t="str">
        <f t="shared" si="7"/>
        <v/>
      </c>
      <c r="L820" s="141" t="str">
        <f t="shared" ref="L820:N820" si="826">IF(I820="",L819,I820)</f>
        <v>16.2.3</v>
      </c>
      <c r="M820" s="98" t="str">
        <f t="shared" si="826"/>
        <v>Formato de videos</v>
      </c>
      <c r="N820" s="98" t="str">
        <f t="shared" si="826"/>
        <v>Especificaciones técnicas de los videos publicados en un sitio web.</v>
      </c>
      <c r="O820" s="152"/>
      <c r="P820" s="153"/>
      <c r="Q820" s="153"/>
      <c r="R820" s="161"/>
      <c r="S820" s="162" t="s">
        <v>2255</v>
      </c>
      <c r="T820" s="160" t="s">
        <v>2033</v>
      </c>
      <c r="U820" s="94"/>
      <c r="V820" s="94"/>
      <c r="W820" s="94"/>
      <c r="X820" s="94"/>
      <c r="Y820" s="94"/>
      <c r="Z820" s="94"/>
      <c r="AA820" s="94"/>
      <c r="AB820" s="94"/>
      <c r="AC820" s="94"/>
      <c r="AD820" s="94"/>
      <c r="AE820" s="94"/>
      <c r="AF820" s="94"/>
      <c r="AG820" s="94"/>
      <c r="AH820" s="94"/>
      <c r="AI820" s="94"/>
      <c r="AJ820" s="94"/>
      <c r="AK820" s="94"/>
      <c r="AL820" s="94"/>
    </row>
    <row r="821" hidden="1">
      <c r="A821" s="86" t="s">
        <v>1540</v>
      </c>
      <c r="B821" s="95" t="str">
        <f t="shared" si="494"/>
        <v>Pregunta</v>
      </c>
      <c r="C821" s="106" t="str">
        <f t="shared" si="9"/>
        <v>16.</v>
      </c>
      <c r="D821" s="106" t="str">
        <f t="shared" si="10"/>
        <v>Audiovisualidad</v>
      </c>
      <c r="E821" s="106" t="str">
        <f t="shared" si="11"/>
        <v>Conjunto de objetos interactivos o no interactivos que contienen información representada por texto, imagen, video, animación, sonido u otro tipo de medios.</v>
      </c>
      <c r="F821" s="141" t="str">
        <f t="shared" si="3"/>
        <v>16.2</v>
      </c>
      <c r="G821" s="92" t="str">
        <f t="shared" si="4"/>
        <v>ESPERABLES</v>
      </c>
      <c r="H821" s="141"/>
      <c r="I821" s="141" t="str">
        <f t="shared" si="5"/>
        <v/>
      </c>
      <c r="J821" s="98" t="str">
        <f t="shared" si="6"/>
        <v/>
      </c>
      <c r="K821" s="98" t="str">
        <f t="shared" si="7"/>
        <v/>
      </c>
      <c r="L821" s="141" t="str">
        <f t="shared" ref="L821:N821" si="827">IF(I821="",L820,I821)</f>
        <v>16.2.3</v>
      </c>
      <c r="M821" s="98" t="str">
        <f t="shared" si="827"/>
        <v>Formato de videos</v>
      </c>
      <c r="N821" s="98" t="str">
        <f t="shared" si="827"/>
        <v>Especificaciones técnicas de los videos publicados en un sitio web.</v>
      </c>
      <c r="O821" s="142"/>
      <c r="P821" s="143"/>
      <c r="Q821" s="143"/>
      <c r="R821" s="168"/>
      <c r="S821" s="169" t="s">
        <v>2256</v>
      </c>
      <c r="T821" s="164" t="s">
        <v>2033</v>
      </c>
      <c r="U821" s="94"/>
      <c r="V821" s="94"/>
      <c r="W821" s="94"/>
      <c r="X821" s="94"/>
      <c r="Y821" s="94"/>
      <c r="Z821" s="94"/>
      <c r="AA821" s="94"/>
      <c r="AB821" s="94"/>
      <c r="AC821" s="94"/>
      <c r="AD821" s="94"/>
      <c r="AE821" s="94"/>
      <c r="AF821" s="94"/>
      <c r="AG821" s="94"/>
      <c r="AH821" s="94"/>
      <c r="AI821" s="94"/>
      <c r="AJ821" s="94"/>
      <c r="AK821" s="94"/>
      <c r="AL821" s="94"/>
    </row>
    <row r="822" hidden="1">
      <c r="A822" s="86" t="s">
        <v>1540</v>
      </c>
      <c r="B822" s="201" t="str">
        <f t="shared" si="494"/>
        <v>Otro</v>
      </c>
      <c r="C822" s="106" t="str">
        <f t="shared" si="9"/>
        <v>17.</v>
      </c>
      <c r="D822" s="106" t="str">
        <f t="shared" si="10"/>
        <v>Enfoque de género</v>
      </c>
      <c r="E822"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822" s="141" t="str">
        <f t="shared" si="3"/>
        <v>16.2</v>
      </c>
      <c r="G822" s="92" t="str">
        <f t="shared" si="4"/>
        <v>ESPERABLES</v>
      </c>
      <c r="H822" s="107"/>
      <c r="I822" s="107" t="str">
        <f t="shared" si="5"/>
        <v/>
      </c>
      <c r="J822" s="98" t="str">
        <f t="shared" si="6"/>
        <v/>
      </c>
      <c r="K822" s="98" t="str">
        <f t="shared" si="7"/>
        <v/>
      </c>
      <c r="L822" s="141" t="str">
        <f t="shared" ref="L822:N822" si="828">IF(I822="",L821,I822)</f>
        <v>16.2.3</v>
      </c>
      <c r="M822" s="98" t="str">
        <f t="shared" si="828"/>
        <v>Formato de videos</v>
      </c>
      <c r="N822" s="98" t="str">
        <f t="shared" si="828"/>
        <v>Especificaciones técnicas de los videos publicados en un sitio web.</v>
      </c>
      <c r="O822" s="221" t="s">
        <v>51</v>
      </c>
      <c r="P822" s="118" t="s">
        <v>42</v>
      </c>
      <c r="Q822" s="119"/>
      <c r="R822" s="114"/>
      <c r="S822" s="115" t="s">
        <v>1245</v>
      </c>
      <c r="T822" s="116" t="s">
        <v>2161</v>
      </c>
      <c r="U822" s="94"/>
      <c r="V822" s="94"/>
      <c r="W822" s="94"/>
      <c r="X822" s="94"/>
      <c r="Y822" s="94"/>
      <c r="Z822" s="94"/>
      <c r="AA822" s="94"/>
      <c r="AB822" s="94"/>
      <c r="AC822" s="94"/>
      <c r="AD822" s="94"/>
      <c r="AE822" s="94"/>
      <c r="AF822" s="94"/>
      <c r="AG822" s="94"/>
      <c r="AH822" s="94"/>
      <c r="AI822" s="94"/>
      <c r="AJ822" s="94"/>
      <c r="AK822" s="94"/>
      <c r="AL822" s="94"/>
    </row>
    <row r="823" hidden="1">
      <c r="A823" s="86" t="s">
        <v>1540</v>
      </c>
      <c r="B823" s="201" t="str">
        <f t="shared" si="494"/>
        <v>Otro</v>
      </c>
      <c r="C823" s="106" t="str">
        <f t="shared" si="9"/>
        <v>17.</v>
      </c>
      <c r="D823" s="106" t="str">
        <f t="shared" si="10"/>
        <v>Enfoque de género</v>
      </c>
      <c r="E823"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823" s="141" t="str">
        <f t="shared" si="3"/>
        <v>16.2</v>
      </c>
      <c r="G823" s="92" t="str">
        <f t="shared" si="4"/>
        <v>ESPERABLES</v>
      </c>
      <c r="H823" s="107"/>
      <c r="I823" s="107" t="str">
        <f t="shared" si="5"/>
        <v/>
      </c>
      <c r="J823" s="98" t="str">
        <f t="shared" si="6"/>
        <v/>
      </c>
      <c r="K823" s="98" t="str">
        <f t="shared" si="7"/>
        <v/>
      </c>
      <c r="L823" s="141" t="str">
        <f t="shared" ref="L823:N823" si="829">IF(I823="",L822,I823)</f>
        <v>16.2.3</v>
      </c>
      <c r="M823" s="98" t="str">
        <f t="shared" si="829"/>
        <v>Formato de videos</v>
      </c>
      <c r="N823" s="98" t="str">
        <f t="shared" si="829"/>
        <v>Especificaciones técnicas de los videos publicados en un sitio web.</v>
      </c>
      <c r="O823" s="221"/>
      <c r="P823" s="118"/>
      <c r="Q823" s="119"/>
      <c r="R823" s="114"/>
      <c r="S823" s="239"/>
      <c r="T823" s="116" t="s">
        <v>19</v>
      </c>
      <c r="U823" s="94"/>
      <c r="V823" s="94"/>
      <c r="W823" s="94"/>
      <c r="X823" s="94"/>
      <c r="Y823" s="94"/>
      <c r="Z823" s="94"/>
      <c r="AA823" s="94"/>
      <c r="AB823" s="94"/>
      <c r="AC823" s="94"/>
      <c r="AD823" s="94"/>
      <c r="AE823" s="94"/>
      <c r="AF823" s="94"/>
      <c r="AG823" s="94"/>
      <c r="AH823" s="94"/>
      <c r="AI823" s="94"/>
      <c r="AJ823" s="94"/>
      <c r="AK823" s="94"/>
      <c r="AL823" s="94"/>
    </row>
    <row r="824" hidden="1">
      <c r="A824" s="86" t="s">
        <v>1540</v>
      </c>
      <c r="B824" s="201" t="str">
        <f t="shared" si="494"/>
        <v>Otro</v>
      </c>
      <c r="C824" s="106" t="str">
        <f t="shared" si="9"/>
        <v>17.</v>
      </c>
      <c r="D824" s="106" t="str">
        <f t="shared" si="10"/>
        <v>Enfoque de género</v>
      </c>
      <c r="E824"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824" s="141" t="str">
        <f t="shared" si="3"/>
        <v>16.2</v>
      </c>
      <c r="G824" s="92" t="str">
        <f t="shared" si="4"/>
        <v>ESPERABLES</v>
      </c>
      <c r="H824" s="107"/>
      <c r="I824" s="107" t="str">
        <f t="shared" si="5"/>
        <v/>
      </c>
      <c r="J824" s="98" t="str">
        <f t="shared" si="6"/>
        <v/>
      </c>
      <c r="K824" s="98" t="str">
        <f t="shared" si="7"/>
        <v/>
      </c>
      <c r="L824" s="141" t="str">
        <f t="shared" ref="L824:N824" si="830">IF(I824="",L823,I824)</f>
        <v>16.2.3</v>
      </c>
      <c r="M824" s="98" t="str">
        <f t="shared" si="830"/>
        <v>Formato de videos</v>
      </c>
      <c r="N824" s="98" t="str">
        <f t="shared" si="830"/>
        <v>Especificaciones técnicas de los videos publicados en un sitio web.</v>
      </c>
      <c r="O824" s="222"/>
      <c r="P824" s="122"/>
      <c r="Q824" s="123"/>
      <c r="R824" s="114"/>
      <c r="S824" s="240"/>
      <c r="T824" s="116" t="s">
        <v>22</v>
      </c>
      <c r="U824" s="94"/>
      <c r="V824" s="94"/>
      <c r="W824" s="94"/>
      <c r="X824" s="94"/>
      <c r="Y824" s="94"/>
      <c r="Z824" s="94"/>
      <c r="AA824" s="94"/>
      <c r="AB824" s="94"/>
      <c r="AC824" s="94"/>
      <c r="AD824" s="94"/>
      <c r="AE824" s="94"/>
      <c r="AF824" s="94"/>
      <c r="AG824" s="94"/>
      <c r="AH824" s="94"/>
      <c r="AI824" s="94"/>
      <c r="AJ824" s="94"/>
      <c r="AK824" s="94"/>
      <c r="AL824" s="94"/>
    </row>
    <row r="825" hidden="1">
      <c r="A825" s="86" t="s">
        <v>1540</v>
      </c>
      <c r="B825" s="201" t="str">
        <f t="shared" si="494"/>
        <v>Otro</v>
      </c>
      <c r="C825" s="106" t="str">
        <f t="shared" si="9"/>
        <v>17.</v>
      </c>
      <c r="D825" s="106" t="str">
        <f t="shared" si="10"/>
        <v>Enfoque de género</v>
      </c>
      <c r="E825"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825" s="141" t="str">
        <f t="shared" si="3"/>
        <v>16.2</v>
      </c>
      <c r="G825" s="92" t="str">
        <f t="shared" si="4"/>
        <v>ESPERABLES</v>
      </c>
      <c r="H825" s="96"/>
      <c r="I825" s="96" t="str">
        <f t="shared" si="5"/>
        <v/>
      </c>
      <c r="J825" s="98" t="str">
        <f t="shared" si="6"/>
        <v/>
      </c>
      <c r="K825" s="98" t="str">
        <f t="shared" si="7"/>
        <v/>
      </c>
      <c r="L825" s="141" t="str">
        <f t="shared" ref="L825:N825" si="831">IF(I825="",L824,I825)</f>
        <v>16.2.3</v>
      </c>
      <c r="M825" s="98" t="str">
        <f t="shared" si="831"/>
        <v>Formato de videos</v>
      </c>
      <c r="N825" s="98" t="str">
        <f t="shared" si="831"/>
        <v>Especificaciones técnicas de los videos publicados en un sitio web.</v>
      </c>
      <c r="O825" s="104"/>
      <c r="P825" s="114"/>
      <c r="Q825" s="114"/>
      <c r="R825" s="127"/>
      <c r="S825" s="127"/>
      <c r="T825" s="241"/>
      <c r="U825" s="94"/>
      <c r="V825" s="94"/>
      <c r="W825" s="94"/>
      <c r="X825" s="94"/>
      <c r="Y825" s="94"/>
      <c r="Z825" s="94"/>
      <c r="AA825" s="94"/>
      <c r="AB825" s="94"/>
      <c r="AC825" s="94"/>
      <c r="AD825" s="94"/>
      <c r="AE825" s="94"/>
      <c r="AF825" s="94"/>
      <c r="AG825" s="94"/>
      <c r="AH825" s="94"/>
      <c r="AI825" s="94"/>
      <c r="AJ825" s="94"/>
      <c r="AK825" s="94"/>
      <c r="AL825" s="94"/>
    </row>
    <row r="826" hidden="1">
      <c r="A826" s="86" t="s">
        <v>1540</v>
      </c>
      <c r="B826" s="95" t="str">
        <f t="shared" si="494"/>
        <v>Otro</v>
      </c>
      <c r="C826" s="106" t="str">
        <f t="shared" si="9"/>
        <v>17.</v>
      </c>
      <c r="D826" s="106" t="str">
        <f t="shared" si="10"/>
        <v>Enfoque de género</v>
      </c>
      <c r="E826"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826" s="141" t="str">
        <f t="shared" si="3"/>
        <v>16.2</v>
      </c>
      <c r="G826" s="92" t="str">
        <f t="shared" si="4"/>
        <v>ESPERABLES</v>
      </c>
      <c r="H826" s="128"/>
      <c r="I826" s="128" t="str">
        <f t="shared" si="5"/>
        <v/>
      </c>
      <c r="J826" s="98" t="str">
        <f t="shared" si="6"/>
        <v/>
      </c>
      <c r="K826" s="98" t="str">
        <f t="shared" si="7"/>
        <v/>
      </c>
      <c r="L826" s="141" t="str">
        <f t="shared" ref="L826:N826" si="832">IF(I826="",L825,I826)</f>
        <v>16.2.3</v>
      </c>
      <c r="M826" s="98" t="str">
        <f t="shared" si="832"/>
        <v>Formato de videos</v>
      </c>
      <c r="N826" s="98" t="str">
        <f t="shared" si="832"/>
        <v>Especificaciones técnicas de los videos publicados en un sitio web.</v>
      </c>
      <c r="O826" s="223" t="s">
        <v>1822</v>
      </c>
      <c r="P826" s="133" t="s">
        <v>1823</v>
      </c>
      <c r="Q826" s="133" t="s">
        <v>2031</v>
      </c>
      <c r="R826" s="134"/>
      <c r="S826" s="133" t="s">
        <v>1824</v>
      </c>
      <c r="T826" s="133" t="s">
        <v>1825</v>
      </c>
      <c r="U826" s="94"/>
      <c r="V826" s="94"/>
      <c r="W826" s="94"/>
      <c r="X826" s="94"/>
      <c r="Y826" s="94"/>
      <c r="Z826" s="94"/>
      <c r="AA826" s="94"/>
      <c r="AB826" s="94"/>
      <c r="AC826" s="94"/>
      <c r="AD826" s="94"/>
      <c r="AE826" s="94"/>
      <c r="AF826" s="94"/>
      <c r="AG826" s="94"/>
      <c r="AH826" s="94"/>
      <c r="AI826" s="94"/>
      <c r="AJ826" s="94"/>
      <c r="AK826" s="94"/>
      <c r="AL826" s="94"/>
    </row>
    <row r="827" hidden="1">
      <c r="A827" s="86" t="s">
        <v>1540</v>
      </c>
      <c r="B827" s="95" t="str">
        <f t="shared" si="494"/>
        <v>Otro</v>
      </c>
      <c r="C827" s="106" t="str">
        <f t="shared" si="9"/>
        <v>17.</v>
      </c>
      <c r="D827" s="106" t="str">
        <f t="shared" si="10"/>
        <v>Enfoque de género</v>
      </c>
      <c r="E827"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827" s="141" t="str">
        <f t="shared" si="3"/>
        <v>17.1</v>
      </c>
      <c r="G827" s="92" t="str">
        <f t="shared" si="4"/>
        <v>IMPRESCINDIBLES</v>
      </c>
      <c r="H827" s="141"/>
      <c r="I827" s="141" t="str">
        <f t="shared" si="5"/>
        <v/>
      </c>
      <c r="J827" s="98" t="str">
        <f t="shared" si="6"/>
        <v/>
      </c>
      <c r="K827" s="98" t="str">
        <f t="shared" si="7"/>
        <v/>
      </c>
      <c r="L827" s="141" t="str">
        <f t="shared" ref="L827:N827" si="833">IF(I827="",L826,I827)</f>
        <v>16.2.3</v>
      </c>
      <c r="M827" s="98" t="str">
        <f t="shared" si="833"/>
        <v>Formato de videos</v>
      </c>
      <c r="N827" s="98" t="str">
        <f t="shared" si="833"/>
        <v>Especificaciones técnicas de los videos publicados en un sitio web.</v>
      </c>
      <c r="O827" s="288" t="s">
        <v>1456</v>
      </c>
      <c r="P827" s="137" t="s">
        <v>664</v>
      </c>
      <c r="Q827" s="138"/>
      <c r="R827" s="138"/>
      <c r="S827" s="139">
        <f>COUNTA(P828:P829)</f>
        <v>1</v>
      </c>
      <c r="T827" s="140">
        <f>COUNTIF(U828:U829,"n/a")</f>
        <v>0</v>
      </c>
      <c r="U827" s="94"/>
      <c r="V827" s="94"/>
      <c r="W827" s="94"/>
      <c r="X827" s="94"/>
      <c r="Y827" s="94"/>
      <c r="Z827" s="94"/>
      <c r="AA827" s="94"/>
      <c r="AB827" s="94"/>
      <c r="AC827" s="94"/>
      <c r="AD827" s="94"/>
      <c r="AE827" s="94"/>
      <c r="AF827" s="94"/>
      <c r="AG827" s="94"/>
      <c r="AH827" s="94"/>
      <c r="AI827" s="94"/>
      <c r="AJ827" s="94"/>
      <c r="AK827" s="94"/>
      <c r="AL827" s="94"/>
    </row>
    <row r="828" hidden="1">
      <c r="A828" s="105" t="s">
        <v>1540</v>
      </c>
      <c r="B828" s="92" t="str">
        <f t="shared" si="494"/>
        <v>Pregunta</v>
      </c>
      <c r="C828" s="106" t="str">
        <f t="shared" si="9"/>
        <v>17.</v>
      </c>
      <c r="D828" s="106" t="str">
        <f t="shared" si="10"/>
        <v>Enfoque de género</v>
      </c>
      <c r="E828"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828" s="141" t="str">
        <f t="shared" si="3"/>
        <v>17.1</v>
      </c>
      <c r="G828" s="92" t="str">
        <f t="shared" si="4"/>
        <v>IMPRESCINDIBLES</v>
      </c>
      <c r="H828" s="141"/>
      <c r="I828" s="141" t="str">
        <f t="shared" si="5"/>
        <v>17.1.1</v>
      </c>
      <c r="J828" s="98" t="str">
        <f t="shared" si="6"/>
        <v>Lenguaje inclusivo</v>
      </c>
      <c r="K828" s="98" t="str">
        <f t="shared" si="7"/>
        <v>Expresión verbal, escrita o visual que visibiliza lo femenino y masculino, elimina estereotipos, el sexismo, el androcentrismo y el masculino como genérico universal. Se fundamenta en una comunicación institucional basada en los principios de igualdad, respeto y no discriminación.</v>
      </c>
      <c r="L828" s="141" t="str">
        <f t="shared" ref="L828:N828" si="834">IF(I828="",L827,I828)</f>
        <v>17.1.1</v>
      </c>
      <c r="M828" s="98" t="str">
        <f t="shared" si="834"/>
        <v>Lenguaje inclusivo</v>
      </c>
      <c r="N828" s="98" t="str">
        <f t="shared" si="834"/>
        <v>Expresión verbal, escrita o visual que visibiliza lo femenino y masculino, elimina estereotipos, el sexismo, el androcentrismo y el masculino como genérico universal. Se fundamenta en una comunicación institucional basada en los principios de igualdad, respeto y no discriminación.</v>
      </c>
      <c r="O828" s="152" t="s">
        <v>1457</v>
      </c>
      <c r="P828" s="153" t="s">
        <v>1248</v>
      </c>
      <c r="Q828" s="153" t="s">
        <v>1249</v>
      </c>
      <c r="R828" s="149"/>
      <c r="S828" s="150" t="s">
        <v>1764</v>
      </c>
      <c r="T828" s="160" t="s">
        <v>2033</v>
      </c>
      <c r="U828" s="94"/>
      <c r="V828" s="94"/>
      <c r="W828" s="94"/>
      <c r="X828" s="94"/>
      <c r="Y828" s="94"/>
      <c r="Z828" s="94"/>
      <c r="AA828" s="94"/>
      <c r="AB828" s="94"/>
      <c r="AC828" s="94"/>
      <c r="AD828" s="94"/>
      <c r="AE828" s="94"/>
      <c r="AF828" s="94"/>
      <c r="AG828" s="94"/>
      <c r="AH828" s="94"/>
      <c r="AI828" s="94"/>
      <c r="AJ828" s="94"/>
      <c r="AK828" s="94"/>
      <c r="AL828" s="94"/>
    </row>
    <row r="829" hidden="1">
      <c r="A829" s="86" t="s">
        <v>1540</v>
      </c>
      <c r="B829" s="95" t="str">
        <f t="shared" si="494"/>
        <v>Pregunta</v>
      </c>
      <c r="C829" s="106" t="str">
        <f t="shared" si="9"/>
        <v>17.</v>
      </c>
      <c r="D829" s="106" t="str">
        <f t="shared" si="10"/>
        <v>Enfoque de género</v>
      </c>
      <c r="E829"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829" s="141" t="str">
        <f t="shared" si="3"/>
        <v>17.1</v>
      </c>
      <c r="G829" s="92" t="str">
        <f t="shared" si="4"/>
        <v>IMPRESCINDIBLES</v>
      </c>
      <c r="H829" s="141"/>
      <c r="I829" s="141" t="str">
        <f t="shared" si="5"/>
        <v/>
      </c>
      <c r="J829" s="98" t="str">
        <f t="shared" si="6"/>
        <v/>
      </c>
      <c r="K829" s="98" t="str">
        <f t="shared" si="7"/>
        <v/>
      </c>
      <c r="L829" s="141" t="str">
        <f t="shared" ref="L829:N829" si="835">IF(I829="",L828,I829)</f>
        <v>17.1.1</v>
      </c>
      <c r="M829" s="98" t="str">
        <f t="shared" si="835"/>
        <v>Lenguaje inclusivo</v>
      </c>
      <c r="N829" s="98" t="str">
        <f t="shared" si="835"/>
        <v>Expresión verbal, escrita o visual que visibiliza lo femenino y masculino, elimina estereotipos, el sexismo, el androcentrismo y el masculino como genérico universal. Se fundamenta en una comunicación institucional basada en los principios de igualdad, respeto y no discriminación.</v>
      </c>
      <c r="O829" s="142"/>
      <c r="P829" s="143"/>
      <c r="Q829" s="143"/>
      <c r="R829" s="168"/>
      <c r="S829" s="169" t="s">
        <v>1251</v>
      </c>
      <c r="T829" s="164" t="s">
        <v>2033</v>
      </c>
      <c r="U829" s="94"/>
      <c r="V829" s="94"/>
      <c r="W829" s="94"/>
      <c r="X829" s="94"/>
      <c r="Y829" s="94"/>
      <c r="Z829" s="94"/>
      <c r="AA829" s="94"/>
      <c r="AB829" s="94"/>
      <c r="AC829" s="94"/>
      <c r="AD829" s="94"/>
      <c r="AE829" s="94"/>
      <c r="AF829" s="94"/>
      <c r="AG829" s="94"/>
      <c r="AH829" s="94"/>
      <c r="AI829" s="94"/>
      <c r="AJ829" s="94"/>
      <c r="AK829" s="94"/>
      <c r="AL829" s="94"/>
    </row>
    <row r="830" hidden="1">
      <c r="A830" s="86" t="s">
        <v>1540</v>
      </c>
      <c r="B830" s="95" t="str">
        <f t="shared" si="494"/>
        <v>Otro</v>
      </c>
      <c r="C830" s="106" t="str">
        <f t="shared" si="9"/>
        <v>17.</v>
      </c>
      <c r="D830" s="106" t="str">
        <f t="shared" si="10"/>
        <v>Enfoque de género</v>
      </c>
      <c r="E830"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830" s="141" t="str">
        <f t="shared" si="3"/>
        <v>17.2</v>
      </c>
      <c r="G830" s="92" t="str">
        <f t="shared" si="4"/>
        <v>ESPERABLES</v>
      </c>
      <c r="H830" s="141"/>
      <c r="I830" s="141" t="str">
        <f t="shared" si="5"/>
        <v/>
      </c>
      <c r="J830" s="98" t="str">
        <f t="shared" si="6"/>
        <v/>
      </c>
      <c r="K830" s="98" t="str">
        <f t="shared" si="7"/>
        <v/>
      </c>
      <c r="L830" s="141" t="str">
        <f t="shared" ref="L830:N830" si="836">IF(I830="",L829,I830)</f>
        <v>17.1.1</v>
      </c>
      <c r="M830" s="98" t="str">
        <f t="shared" si="836"/>
        <v>Lenguaje inclusivo</v>
      </c>
      <c r="N830" s="98" t="str">
        <f t="shared" si="836"/>
        <v>Expresión verbal, escrita o visual que visibiliza lo femenino y masculino, elimina estereotipos, el sexismo, el androcentrismo y el masculino como genérico universal. Se fundamenta en una comunicación institucional basada en los principios de igualdad, respeto y no discriminación.</v>
      </c>
      <c r="O830" s="152" t="s">
        <v>1473</v>
      </c>
      <c r="P830" s="206" t="s">
        <v>714</v>
      </c>
      <c r="Q830" s="200"/>
      <c r="R830" s="177"/>
      <c r="S830" s="197">
        <f>COUNTA(P831:P833)</f>
        <v>2</v>
      </c>
      <c r="T830" s="197">
        <f>COUNTIF(U831:U833,"n/a")</f>
        <v>0</v>
      </c>
      <c r="U830" s="94"/>
      <c r="V830" s="94"/>
      <c r="W830" s="94"/>
      <c r="X830" s="94"/>
      <c r="Y830" s="94"/>
      <c r="Z830" s="94"/>
      <c r="AA830" s="94"/>
      <c r="AB830" s="94"/>
      <c r="AC830" s="94"/>
      <c r="AD830" s="94"/>
      <c r="AE830" s="94"/>
      <c r="AF830" s="94"/>
      <c r="AG830" s="94"/>
      <c r="AH830" s="94"/>
      <c r="AI830" s="94"/>
      <c r="AJ830" s="94"/>
      <c r="AK830" s="94"/>
      <c r="AL830" s="94"/>
    </row>
    <row r="831" hidden="1">
      <c r="A831" s="105" t="s">
        <v>1540</v>
      </c>
      <c r="B831" s="92" t="str">
        <f t="shared" si="494"/>
        <v>Pregunta</v>
      </c>
      <c r="C831" s="106" t="str">
        <f t="shared" si="9"/>
        <v>17.</v>
      </c>
      <c r="D831" s="106" t="str">
        <f t="shared" si="10"/>
        <v>Enfoque de género</v>
      </c>
      <c r="E831"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831" s="141" t="str">
        <f t="shared" si="3"/>
        <v>17.2</v>
      </c>
      <c r="G831" s="92" t="str">
        <f t="shared" si="4"/>
        <v>ESPERABLES</v>
      </c>
      <c r="H831" s="141"/>
      <c r="I831" s="141" t="str">
        <f t="shared" si="5"/>
        <v>17.2.1</v>
      </c>
      <c r="J831" s="98" t="str">
        <f t="shared" si="6"/>
        <v>Fotografías y videos con enfoque de género</v>
      </c>
      <c r="K831" s="98" t="str">
        <f t="shared" si="7"/>
        <v>Uso de imágenes y videos con perspectiva de género, respetando principios de igualdad, respeto y no discriminación.</v>
      </c>
      <c r="L831" s="141" t="str">
        <f t="shared" ref="L831:N831" si="837">IF(I831="",L830,I831)</f>
        <v>17.2.1</v>
      </c>
      <c r="M831" s="98" t="str">
        <f t="shared" si="837"/>
        <v>Fotografías y videos con enfoque de género</v>
      </c>
      <c r="N831" s="98" t="str">
        <f t="shared" si="837"/>
        <v>Uso de imágenes y videos con perspectiva de género, respetando principios de igualdad, respeto y no discriminación.</v>
      </c>
      <c r="O831" s="147" t="s">
        <v>1474</v>
      </c>
      <c r="P831" s="148" t="s">
        <v>1254</v>
      </c>
      <c r="Q831" s="148" t="s">
        <v>1255</v>
      </c>
      <c r="R831" s="158"/>
      <c r="S831" s="170" t="s">
        <v>2257</v>
      </c>
      <c r="T831" s="160" t="s">
        <v>2033</v>
      </c>
      <c r="U831" s="94"/>
      <c r="V831" s="94"/>
      <c r="W831" s="94"/>
      <c r="X831" s="94"/>
      <c r="Y831" s="94"/>
      <c r="Z831" s="94"/>
      <c r="AA831" s="94"/>
      <c r="AB831" s="94"/>
      <c r="AC831" s="94"/>
      <c r="AD831" s="94"/>
      <c r="AE831" s="94"/>
      <c r="AF831" s="94"/>
      <c r="AG831" s="94"/>
      <c r="AH831" s="94"/>
      <c r="AI831" s="94"/>
      <c r="AJ831" s="94"/>
      <c r="AK831" s="94"/>
      <c r="AL831" s="94"/>
    </row>
    <row r="832" hidden="1">
      <c r="A832" s="86" t="s">
        <v>1540</v>
      </c>
      <c r="B832" s="95" t="str">
        <f t="shared" si="494"/>
        <v>Pregunta</v>
      </c>
      <c r="C832" s="106" t="str">
        <f t="shared" si="9"/>
        <v>17.</v>
      </c>
      <c r="D832" s="106" t="str">
        <f t="shared" si="10"/>
        <v>Enfoque de género</v>
      </c>
      <c r="E832"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832" s="141" t="str">
        <f t="shared" si="3"/>
        <v>17.2</v>
      </c>
      <c r="G832" s="92" t="str">
        <f t="shared" si="4"/>
        <v>ESPERABLES</v>
      </c>
      <c r="H832" s="141"/>
      <c r="I832" s="141" t="str">
        <f t="shared" si="5"/>
        <v/>
      </c>
      <c r="J832" s="98" t="str">
        <f t="shared" si="6"/>
        <v/>
      </c>
      <c r="K832" s="98" t="str">
        <f t="shared" si="7"/>
        <v/>
      </c>
      <c r="L832" s="141" t="str">
        <f t="shared" ref="L832:N832" si="838">IF(I832="",L831,I832)</f>
        <v>17.2.1</v>
      </c>
      <c r="M832" s="98" t="str">
        <f t="shared" si="838"/>
        <v>Fotografías y videos con enfoque de género</v>
      </c>
      <c r="N832" s="98" t="str">
        <f t="shared" si="838"/>
        <v>Uso de imágenes y videos con perspectiva de género, respetando principios de igualdad, respeto y no discriminación.</v>
      </c>
      <c r="O832" s="142"/>
      <c r="P832" s="143"/>
      <c r="Q832" s="143"/>
      <c r="R832" s="168"/>
      <c r="S832" s="169" t="s">
        <v>2258</v>
      </c>
      <c r="T832" s="164" t="s">
        <v>2033</v>
      </c>
      <c r="U832" s="94"/>
      <c r="V832" s="94"/>
      <c r="W832" s="94"/>
      <c r="X832" s="94"/>
      <c r="Y832" s="94"/>
      <c r="Z832" s="94"/>
      <c r="AA832" s="94"/>
      <c r="AB832" s="94"/>
      <c r="AC832" s="94"/>
      <c r="AD832" s="94"/>
      <c r="AE832" s="94"/>
      <c r="AF832" s="94"/>
      <c r="AG832" s="94"/>
      <c r="AH832" s="94"/>
      <c r="AI832" s="94"/>
      <c r="AJ832" s="94"/>
      <c r="AK832" s="94"/>
      <c r="AL832" s="94"/>
    </row>
    <row r="833" hidden="1">
      <c r="A833" s="105" t="s">
        <v>1540</v>
      </c>
      <c r="B833" s="92" t="str">
        <f t="shared" si="494"/>
        <v>Pregunta</v>
      </c>
      <c r="C833" s="106" t="str">
        <f t="shared" si="9"/>
        <v>17.</v>
      </c>
      <c r="D833" s="106" t="str">
        <f t="shared" si="10"/>
        <v>Enfoque de género</v>
      </c>
      <c r="E833"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833" s="141" t="str">
        <f t="shared" si="3"/>
        <v>17.2</v>
      </c>
      <c r="G833" s="92" t="str">
        <f t="shared" si="4"/>
        <v>ESPERABLES</v>
      </c>
      <c r="H833" s="141"/>
      <c r="I833" s="141" t="str">
        <f t="shared" si="5"/>
        <v>17.2.2</v>
      </c>
      <c r="J833" s="98" t="str">
        <f t="shared" si="6"/>
        <v>Representatividad</v>
      </c>
      <c r="K833" s="98" t="str">
        <f t="shared" si="7"/>
        <v>Proporcionalidad de género en los contenidos, imágenes, vídeos y audios publicados en un sitio web.</v>
      </c>
      <c r="L833" s="141" t="str">
        <f t="shared" ref="L833:N833" si="839">IF(I833="",L832,I833)</f>
        <v>17.2.2</v>
      </c>
      <c r="M833" s="98" t="str">
        <f t="shared" si="839"/>
        <v>Representatividad</v>
      </c>
      <c r="N833" s="98" t="str">
        <f t="shared" si="839"/>
        <v>Proporcionalidad de género en los contenidos, imágenes, vídeos y audios publicados en un sitio web.</v>
      </c>
      <c r="O833" s="165" t="s">
        <v>1768</v>
      </c>
      <c r="P833" s="166" t="s">
        <v>1259</v>
      </c>
      <c r="Q833" s="166" t="s">
        <v>1769</v>
      </c>
      <c r="R833" s="211"/>
      <c r="S833" s="166" t="s">
        <v>2259</v>
      </c>
      <c r="T833" s="164" t="s">
        <v>2033</v>
      </c>
      <c r="U833" s="94"/>
      <c r="V833" s="94"/>
      <c r="W833" s="94"/>
      <c r="X833" s="94"/>
      <c r="Y833" s="94"/>
      <c r="Z833" s="94"/>
      <c r="AA833" s="94"/>
      <c r="AB833" s="94"/>
      <c r="AC833" s="94"/>
      <c r="AD833" s="94"/>
      <c r="AE833" s="94"/>
      <c r="AF833" s="94"/>
      <c r="AG833" s="94"/>
      <c r="AH833" s="94"/>
      <c r="AI833" s="94"/>
      <c r="AJ833" s="94"/>
      <c r="AK833" s="94"/>
      <c r="AL833" s="94"/>
    </row>
    <row r="834" hidden="1">
      <c r="A834" s="86" t="s">
        <v>1540</v>
      </c>
      <c r="B834" s="95" t="str">
        <f t="shared" si="494"/>
        <v>Otro</v>
      </c>
      <c r="C834" s="106" t="str">
        <f t="shared" si="9"/>
        <v>17.</v>
      </c>
      <c r="D834" s="106" t="str">
        <f t="shared" si="10"/>
        <v>Enfoque de género</v>
      </c>
      <c r="E834"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834" s="141" t="str">
        <f t="shared" si="3"/>
        <v>17.3</v>
      </c>
      <c r="G834" s="92" t="str">
        <f t="shared" si="4"/>
        <v>DESEABLES</v>
      </c>
      <c r="H834" s="141"/>
      <c r="I834" s="141" t="str">
        <f t="shared" si="5"/>
        <v/>
      </c>
      <c r="J834" s="98" t="str">
        <f t="shared" si="6"/>
        <v/>
      </c>
      <c r="K834" s="98" t="str">
        <f t="shared" si="7"/>
        <v/>
      </c>
      <c r="L834" s="141" t="str">
        <f t="shared" ref="L834:N834" si="840">IF(I834="",L833,I834)</f>
        <v>17.2.2</v>
      </c>
      <c r="M834" s="98" t="str">
        <f t="shared" si="840"/>
        <v>Representatividad</v>
      </c>
      <c r="N834" s="98" t="str">
        <f t="shared" si="840"/>
        <v>Proporcionalidad de género en los contenidos, imágenes, vídeos y audios publicados en un sitio web.</v>
      </c>
      <c r="O834" s="289" t="s">
        <v>1767</v>
      </c>
      <c r="P834" s="182" t="s">
        <v>749</v>
      </c>
      <c r="Q834" s="183"/>
      <c r="R834" s="183"/>
      <c r="S834" s="199">
        <f>COUNTA(P835)</f>
        <v>1</v>
      </c>
      <c r="T834" s="199">
        <f>COUNTIF(U835,"n/a")</f>
        <v>0</v>
      </c>
      <c r="U834" s="94"/>
      <c r="V834" s="94"/>
      <c r="W834" s="94"/>
      <c r="X834" s="94"/>
      <c r="Y834" s="94"/>
      <c r="Z834" s="94"/>
      <c r="AA834" s="94"/>
      <c r="AB834" s="94"/>
      <c r="AC834" s="94"/>
      <c r="AD834" s="94"/>
      <c r="AE834" s="94"/>
      <c r="AF834" s="94"/>
      <c r="AG834" s="94"/>
      <c r="AH834" s="94"/>
      <c r="AI834" s="94"/>
      <c r="AJ834" s="94"/>
      <c r="AK834" s="94"/>
      <c r="AL834" s="94"/>
    </row>
    <row r="835" hidden="1">
      <c r="A835" s="105" t="s">
        <v>1540</v>
      </c>
      <c r="B835" s="92" t="str">
        <f t="shared" si="494"/>
        <v>Pregunta</v>
      </c>
      <c r="C835" s="106" t="str">
        <f t="shared" si="9"/>
        <v>17.</v>
      </c>
      <c r="D835" s="106" t="str">
        <f t="shared" si="10"/>
        <v>Enfoque de género</v>
      </c>
      <c r="E835" s="106" t="str">
        <f t="shared" si="11"/>
        <v>Incorporación de la perspectiva de género en un sitio web, a través de acciones como el uso de lenguaje inclusivo y la proporcionalidad de representación en contenidos o materiales audiovisuales, para evitar reproducir desigualdades e inequidades.</v>
      </c>
      <c r="F835" s="141" t="str">
        <f t="shared" si="3"/>
        <v>17.3</v>
      </c>
      <c r="G835" s="92" t="str">
        <f t="shared" si="4"/>
        <v>DESEABLES</v>
      </c>
      <c r="H835" s="141"/>
      <c r="I835" s="141" t="str">
        <f t="shared" si="5"/>
        <v>17.3.1</v>
      </c>
      <c r="J835" s="98" t="str">
        <f t="shared" si="6"/>
        <v>Formularios representativos</v>
      </c>
      <c r="K835" s="98" t="str">
        <f t="shared" si="7"/>
        <v>Diseño de formularios con perspectiva de género, respetando principios de igualdad, respeto, diversidad y no discriminación.
</v>
      </c>
      <c r="L835" s="141" t="str">
        <f t="shared" ref="L835:N835" si="841">IF(I835="",L834,I835)</f>
        <v>17.3.1</v>
      </c>
      <c r="M835" s="98" t="str">
        <f t="shared" si="841"/>
        <v>Formularios representativos</v>
      </c>
      <c r="N835" s="98" t="str">
        <f t="shared" si="841"/>
        <v>Diseño de formularios con perspectiva de género, respetando principios de igualdad, respeto, diversidad y no discriminación.
</v>
      </c>
      <c r="O835" s="207" t="s">
        <v>1771</v>
      </c>
      <c r="P835" s="180" t="s">
        <v>1264</v>
      </c>
      <c r="Q835" s="180" t="s">
        <v>1265</v>
      </c>
      <c r="R835" s="168"/>
      <c r="S835" s="169" t="s">
        <v>2260</v>
      </c>
      <c r="T835" s="164" t="s">
        <v>2033</v>
      </c>
      <c r="U835" s="94"/>
      <c r="V835" s="94"/>
      <c r="W835" s="94"/>
      <c r="X835" s="94"/>
      <c r="Y835" s="94"/>
      <c r="Z835" s="94"/>
      <c r="AA835" s="94"/>
      <c r="AB835" s="94"/>
      <c r="AC835" s="94"/>
      <c r="AD835" s="94"/>
      <c r="AE835" s="94"/>
      <c r="AF835" s="94"/>
      <c r="AG835" s="94"/>
      <c r="AH835" s="94"/>
      <c r="AI835" s="94"/>
      <c r="AJ835" s="94"/>
      <c r="AK835" s="94"/>
      <c r="AL835" s="94"/>
    </row>
    <row r="836" hidden="1">
      <c r="A836" s="105" t="s">
        <v>1540</v>
      </c>
      <c r="B836" s="106" t="str">
        <f t="shared" si="494"/>
        <v>Otro</v>
      </c>
      <c r="C836" s="106" t="str">
        <f t="shared" si="9"/>
        <v>18. </v>
      </c>
      <c r="D836" s="106" t="str">
        <f t="shared" si="10"/>
        <v>Imparcialidad e igualdad de trato</v>
      </c>
      <c r="E836" s="106" t="str">
        <f t="shared" si="11"/>
        <v>Disposición a entregar la mejor experiencia de usuario a todas las personas, independiente de sus habilidades, identidad, antecedentes o situación en la que se encuentren.</v>
      </c>
      <c r="F836" s="141" t="str">
        <f t="shared" si="3"/>
        <v>17.3</v>
      </c>
      <c r="G836" s="92" t="str">
        <f t="shared" si="4"/>
        <v>DESEABLES</v>
      </c>
      <c r="H836" s="107"/>
      <c r="I836" s="107" t="str">
        <f t="shared" si="5"/>
        <v/>
      </c>
      <c r="J836" s="98" t="str">
        <f t="shared" si="6"/>
        <v/>
      </c>
      <c r="K836" s="98" t="str">
        <f t="shared" si="7"/>
        <v/>
      </c>
      <c r="L836" s="141" t="str">
        <f t="shared" ref="L836:N836" si="842">IF(I836="",L835,I836)</f>
        <v>17.3.1</v>
      </c>
      <c r="M836" s="98" t="str">
        <f t="shared" si="842"/>
        <v>Formularios representativos</v>
      </c>
      <c r="N836" s="98" t="str">
        <f t="shared" si="842"/>
        <v>Diseño de formularios con perspectiva de género, respetando principios de igualdad, respeto, diversidad y no discriminación.
</v>
      </c>
      <c r="O836" s="220" t="s">
        <v>1478</v>
      </c>
      <c r="P836" s="112" t="s">
        <v>44</v>
      </c>
      <c r="Q836" s="113"/>
      <c r="R836" s="114"/>
      <c r="S836" s="115" t="s">
        <v>1772</v>
      </c>
      <c r="T836" s="116" t="s">
        <v>2161</v>
      </c>
      <c r="U836" s="94"/>
      <c r="V836" s="94"/>
      <c r="W836" s="94"/>
      <c r="X836" s="94"/>
      <c r="Y836" s="94"/>
      <c r="Z836" s="94"/>
      <c r="AA836" s="94"/>
      <c r="AB836" s="94"/>
      <c r="AC836" s="94"/>
      <c r="AD836" s="94"/>
      <c r="AE836" s="94"/>
      <c r="AF836" s="94"/>
      <c r="AG836" s="94"/>
      <c r="AH836" s="94"/>
      <c r="AI836" s="94"/>
      <c r="AJ836" s="94"/>
      <c r="AK836" s="94"/>
      <c r="AL836" s="94"/>
    </row>
    <row r="837" hidden="1">
      <c r="A837" s="105" t="s">
        <v>1540</v>
      </c>
      <c r="B837" s="106" t="str">
        <f t="shared" si="494"/>
        <v>Otro</v>
      </c>
      <c r="C837" s="106" t="str">
        <f t="shared" si="9"/>
        <v>18. </v>
      </c>
      <c r="D837" s="106" t="str">
        <f t="shared" si="10"/>
        <v>Imparcialidad e igualdad de trato</v>
      </c>
      <c r="E837" s="106" t="str">
        <f t="shared" si="11"/>
        <v>Disposición a entregar la mejor experiencia de usuario a todas las personas, independiente de sus habilidades, identidad, antecedentes o situación en la que se encuentren.</v>
      </c>
      <c r="F837" s="141" t="str">
        <f t="shared" si="3"/>
        <v>17.3</v>
      </c>
      <c r="G837" s="92" t="str">
        <f t="shared" si="4"/>
        <v>DESEABLES</v>
      </c>
      <c r="H837" s="107"/>
      <c r="I837" s="107" t="str">
        <f t="shared" si="5"/>
        <v/>
      </c>
      <c r="J837" s="98" t="str">
        <f t="shared" si="6"/>
        <v/>
      </c>
      <c r="K837" s="98" t="str">
        <f t="shared" si="7"/>
        <v/>
      </c>
      <c r="L837" s="141" t="str">
        <f t="shared" ref="L837:N837" si="843">IF(I837="",L836,I837)</f>
        <v>17.3.1</v>
      </c>
      <c r="M837" s="98" t="str">
        <f t="shared" si="843"/>
        <v>Formularios representativos</v>
      </c>
      <c r="N837" s="98" t="str">
        <f t="shared" si="843"/>
        <v>Diseño de formularios con perspectiva de género, respetando principios de igualdad, respeto, diversidad y no discriminación.
</v>
      </c>
      <c r="O837" s="221"/>
      <c r="P837" s="118"/>
      <c r="Q837" s="119"/>
      <c r="R837" s="114"/>
      <c r="S837" s="239"/>
      <c r="T837" s="116" t="s">
        <v>19</v>
      </c>
      <c r="U837" s="94"/>
      <c r="V837" s="94"/>
      <c r="W837" s="94"/>
      <c r="X837" s="94"/>
      <c r="Y837" s="94"/>
      <c r="Z837" s="94"/>
      <c r="AA837" s="94"/>
      <c r="AB837" s="94"/>
      <c r="AC837" s="94"/>
      <c r="AD837" s="94"/>
      <c r="AE837" s="94"/>
      <c r="AF837" s="94"/>
      <c r="AG837" s="94"/>
      <c r="AH837" s="94"/>
      <c r="AI837" s="94"/>
      <c r="AJ837" s="94"/>
      <c r="AK837" s="94"/>
      <c r="AL837" s="94"/>
    </row>
    <row r="838" hidden="1">
      <c r="A838" s="105" t="s">
        <v>1540</v>
      </c>
      <c r="B838" s="106" t="str">
        <f t="shared" si="494"/>
        <v>Otro</v>
      </c>
      <c r="C838" s="106" t="str">
        <f t="shared" si="9"/>
        <v>18. </v>
      </c>
      <c r="D838" s="106" t="str">
        <f t="shared" si="10"/>
        <v>Imparcialidad e igualdad de trato</v>
      </c>
      <c r="E838" s="106" t="str">
        <f t="shared" si="11"/>
        <v>Disposición a entregar la mejor experiencia de usuario a todas las personas, independiente de sus habilidades, identidad, antecedentes o situación en la que se encuentren.</v>
      </c>
      <c r="F838" s="141" t="str">
        <f t="shared" si="3"/>
        <v>17.3</v>
      </c>
      <c r="G838" s="92" t="str">
        <f t="shared" si="4"/>
        <v>DESEABLES</v>
      </c>
      <c r="H838" s="107"/>
      <c r="I838" s="107" t="str">
        <f t="shared" si="5"/>
        <v/>
      </c>
      <c r="J838" s="98" t="str">
        <f t="shared" si="6"/>
        <v/>
      </c>
      <c r="K838" s="98" t="str">
        <f t="shared" si="7"/>
        <v/>
      </c>
      <c r="L838" s="141" t="str">
        <f t="shared" ref="L838:N838" si="844">IF(I838="",L837,I838)</f>
        <v>17.3.1</v>
      </c>
      <c r="M838" s="98" t="str">
        <f t="shared" si="844"/>
        <v>Formularios representativos</v>
      </c>
      <c r="N838" s="98" t="str">
        <f t="shared" si="844"/>
        <v>Diseño de formularios con perspectiva de género, respetando principios de igualdad, respeto, diversidad y no discriminación.
</v>
      </c>
      <c r="O838" s="222"/>
      <c r="P838" s="122"/>
      <c r="Q838" s="123"/>
      <c r="R838" s="114"/>
      <c r="S838" s="240"/>
      <c r="T838" s="116" t="s">
        <v>22</v>
      </c>
      <c r="U838" s="94"/>
      <c r="V838" s="94"/>
      <c r="W838" s="94"/>
      <c r="X838" s="94"/>
      <c r="Y838" s="94"/>
      <c r="Z838" s="94"/>
      <c r="AA838" s="94"/>
      <c r="AB838" s="94"/>
      <c r="AC838" s="94"/>
      <c r="AD838" s="94"/>
      <c r="AE838" s="94"/>
      <c r="AF838" s="94"/>
      <c r="AG838" s="94"/>
      <c r="AH838" s="94"/>
      <c r="AI838" s="94"/>
      <c r="AJ838" s="94"/>
      <c r="AK838" s="94"/>
      <c r="AL838" s="94"/>
    </row>
    <row r="839" hidden="1">
      <c r="A839" s="105" t="s">
        <v>1540</v>
      </c>
      <c r="B839" s="106" t="str">
        <f t="shared" si="494"/>
        <v>Otro</v>
      </c>
      <c r="C839" s="106" t="str">
        <f t="shared" si="9"/>
        <v>18. </v>
      </c>
      <c r="D839" s="106" t="str">
        <f t="shared" si="10"/>
        <v>Imparcialidad e igualdad de trato</v>
      </c>
      <c r="E839" s="106" t="str">
        <f t="shared" si="11"/>
        <v>Disposición a entregar la mejor experiencia de usuario a todas las personas, independiente de sus habilidades, identidad, antecedentes o situación en la que se encuentren.</v>
      </c>
      <c r="F839" s="141" t="str">
        <f t="shared" si="3"/>
        <v>17.3</v>
      </c>
      <c r="G839" s="92" t="str">
        <f t="shared" si="4"/>
        <v>DESEABLES</v>
      </c>
      <c r="H839" s="96"/>
      <c r="I839" s="96" t="str">
        <f t="shared" si="5"/>
        <v/>
      </c>
      <c r="J839" s="98" t="str">
        <f t="shared" si="6"/>
        <v/>
      </c>
      <c r="K839" s="98" t="str">
        <f t="shared" si="7"/>
        <v/>
      </c>
      <c r="L839" s="141" t="str">
        <f t="shared" ref="L839:N839" si="845">IF(I839="",L838,I839)</f>
        <v>17.3.1</v>
      </c>
      <c r="M839" s="98" t="str">
        <f t="shared" si="845"/>
        <v>Formularios representativos</v>
      </c>
      <c r="N839" s="98" t="str">
        <f t="shared" si="845"/>
        <v>Diseño de formularios con perspectiva de género, respetando principios de igualdad, respeto, diversidad y no discriminación.
</v>
      </c>
      <c r="O839" s="104"/>
      <c r="P839" s="114"/>
      <c r="Q839" s="114"/>
      <c r="R839" s="114"/>
      <c r="S839" s="114"/>
      <c r="T839" s="241"/>
      <c r="U839" s="94"/>
      <c r="V839" s="94"/>
      <c r="W839" s="94"/>
      <c r="X839" s="94"/>
      <c r="Y839" s="94"/>
      <c r="Z839" s="94"/>
      <c r="AA839" s="94"/>
      <c r="AB839" s="94"/>
      <c r="AC839" s="94"/>
      <c r="AD839" s="94"/>
      <c r="AE839" s="94"/>
      <c r="AF839" s="94"/>
      <c r="AG839" s="94"/>
      <c r="AH839" s="94"/>
      <c r="AI839" s="94"/>
      <c r="AJ839" s="94"/>
      <c r="AK839" s="94"/>
      <c r="AL839" s="94"/>
    </row>
    <row r="840" hidden="1">
      <c r="A840" s="86" t="s">
        <v>1540</v>
      </c>
      <c r="B840" s="95" t="str">
        <f t="shared" si="494"/>
        <v>Otro</v>
      </c>
      <c r="C840" s="106" t="str">
        <f t="shared" si="9"/>
        <v>18. </v>
      </c>
      <c r="D840" s="106" t="str">
        <f t="shared" si="10"/>
        <v>Imparcialidad e igualdad de trato</v>
      </c>
      <c r="E840" s="106" t="str">
        <f t="shared" si="11"/>
        <v>Disposición a entregar la mejor experiencia de usuario a todas las personas, independiente de sus habilidades, identidad, antecedentes o situación en la que se encuentren.</v>
      </c>
      <c r="F840" s="141" t="str">
        <f t="shared" si="3"/>
        <v>17.3</v>
      </c>
      <c r="G840" s="92" t="str">
        <f t="shared" si="4"/>
        <v>DESEABLES</v>
      </c>
      <c r="H840" s="128"/>
      <c r="I840" s="128" t="str">
        <f t="shared" si="5"/>
        <v/>
      </c>
      <c r="J840" s="98" t="str">
        <f t="shared" si="6"/>
        <v/>
      </c>
      <c r="K840" s="98" t="str">
        <f t="shared" si="7"/>
        <v/>
      </c>
      <c r="L840" s="141" t="str">
        <f t="shared" ref="L840:N840" si="846">IF(I840="",L839,I840)</f>
        <v>17.3.1</v>
      </c>
      <c r="M840" s="98" t="str">
        <f t="shared" si="846"/>
        <v>Formularios representativos</v>
      </c>
      <c r="N840" s="98" t="str">
        <f t="shared" si="846"/>
        <v>Diseño de formularios con perspectiva de género, respetando principios de igualdad, respeto, diversidad y no discriminación.
</v>
      </c>
      <c r="O840" s="223" t="s">
        <v>1822</v>
      </c>
      <c r="P840" s="133" t="s">
        <v>1823</v>
      </c>
      <c r="Q840" s="133" t="s">
        <v>2031</v>
      </c>
      <c r="R840" s="134"/>
      <c r="S840" s="133" t="s">
        <v>1824</v>
      </c>
      <c r="T840" s="133" t="s">
        <v>1825</v>
      </c>
      <c r="U840" s="94"/>
      <c r="V840" s="94"/>
      <c r="W840" s="94"/>
      <c r="X840" s="94"/>
      <c r="Y840" s="94"/>
      <c r="Z840" s="94"/>
      <c r="AA840" s="94"/>
      <c r="AB840" s="94"/>
      <c r="AC840" s="94"/>
      <c r="AD840" s="94"/>
      <c r="AE840" s="94"/>
      <c r="AF840" s="94"/>
      <c r="AG840" s="94"/>
      <c r="AH840" s="94"/>
      <c r="AI840" s="94"/>
      <c r="AJ840" s="94"/>
      <c r="AK840" s="94"/>
      <c r="AL840" s="94"/>
    </row>
    <row r="841" hidden="1">
      <c r="A841" s="86" t="s">
        <v>1540</v>
      </c>
      <c r="B841" s="95" t="str">
        <f t="shared" si="494"/>
        <v>Otro</v>
      </c>
      <c r="C841" s="106" t="str">
        <f t="shared" si="9"/>
        <v>18. </v>
      </c>
      <c r="D841" s="106" t="str">
        <f t="shared" si="10"/>
        <v>Imparcialidad e igualdad de trato</v>
      </c>
      <c r="E841" s="106" t="str">
        <f t="shared" si="11"/>
        <v>Disposición a entregar la mejor experiencia de usuario a todas las personas, independiente de sus habilidades, identidad, antecedentes o situación en la que se encuentren.</v>
      </c>
      <c r="F841" s="141" t="str">
        <f t="shared" si="3"/>
        <v>18.1</v>
      </c>
      <c r="G841" s="92" t="str">
        <f t="shared" si="4"/>
        <v>IMPRESCINDIBLES</v>
      </c>
      <c r="H841" s="141"/>
      <c r="I841" s="141" t="str">
        <f t="shared" si="5"/>
        <v/>
      </c>
      <c r="J841" s="98" t="str">
        <f t="shared" si="6"/>
        <v/>
      </c>
      <c r="K841" s="98" t="str">
        <f t="shared" si="7"/>
        <v/>
      </c>
      <c r="L841" s="141" t="str">
        <f t="shared" ref="L841:N841" si="847">IF(I841="",L840,I841)</f>
        <v>17.3.1</v>
      </c>
      <c r="M841" s="98" t="str">
        <f t="shared" si="847"/>
        <v>Formularios representativos</v>
      </c>
      <c r="N841" s="98" t="str">
        <f t="shared" si="847"/>
        <v>Diseño de formularios con perspectiva de género, respetando principios de igualdad, respeto, diversidad y no discriminación.
</v>
      </c>
      <c r="O841" s="288" t="s">
        <v>1480</v>
      </c>
      <c r="P841" s="137" t="s">
        <v>664</v>
      </c>
      <c r="Q841" s="138"/>
      <c r="R841" s="138"/>
      <c r="S841" s="139">
        <f>COUNTA(P842)</f>
        <v>1</v>
      </c>
      <c r="T841" s="140">
        <f>COUNTIF(U842,"n/a")</f>
        <v>0</v>
      </c>
      <c r="U841" s="94"/>
      <c r="V841" s="94"/>
      <c r="W841" s="94"/>
      <c r="X841" s="94"/>
      <c r="Y841" s="94"/>
      <c r="Z841" s="94"/>
      <c r="AA841" s="94"/>
      <c r="AB841" s="94"/>
      <c r="AC841" s="94"/>
      <c r="AD841" s="94"/>
      <c r="AE841" s="94"/>
      <c r="AF841" s="94"/>
      <c r="AG841" s="94"/>
      <c r="AH841" s="94"/>
      <c r="AI841" s="94"/>
      <c r="AJ841" s="94"/>
      <c r="AK841" s="94"/>
      <c r="AL841" s="94"/>
    </row>
    <row r="842" hidden="1">
      <c r="A842" s="105" t="s">
        <v>1540</v>
      </c>
      <c r="B842" s="92" t="str">
        <f t="shared" si="494"/>
        <v>Pregunta</v>
      </c>
      <c r="C842" s="106" t="str">
        <f t="shared" si="9"/>
        <v>18. </v>
      </c>
      <c r="D842" s="106" t="str">
        <f t="shared" si="10"/>
        <v>Imparcialidad e igualdad de trato</v>
      </c>
      <c r="E842" s="106" t="str">
        <f t="shared" si="11"/>
        <v>Disposición a entregar la mejor experiencia de usuario a todas las personas, independiente de sus habilidades, identidad, antecedentes o situación en la que se encuentren.</v>
      </c>
      <c r="F842" s="141" t="str">
        <f t="shared" si="3"/>
        <v>18.1</v>
      </c>
      <c r="G842" s="92" t="str">
        <f t="shared" si="4"/>
        <v>IMPRESCINDIBLES</v>
      </c>
      <c r="H842" s="141"/>
      <c r="I842" s="141" t="str">
        <f t="shared" si="5"/>
        <v>18.1.1</v>
      </c>
      <c r="J842" s="98" t="str">
        <f t="shared" si="6"/>
        <v>Prescindencia de RUN</v>
      </c>
      <c r="K842" s="98" t="str">
        <f t="shared" si="7"/>
        <v>Entrega de alternativas de identificación —además del RUN— para que todas las personas usuarias puedan acceder a los servicios personalizados. 
</v>
      </c>
      <c r="L842" s="141" t="str">
        <f t="shared" ref="L842:N842" si="848">IF(I842="",L841,I842)</f>
        <v>18.1.1</v>
      </c>
      <c r="M842" s="98" t="str">
        <f t="shared" si="848"/>
        <v>Prescindencia de RUN</v>
      </c>
      <c r="N842" s="98" t="str">
        <f t="shared" si="848"/>
        <v>Entrega de alternativas de identificación —además del RUN— para que todas las personas usuarias puedan acceder a los servicios personalizados. 
</v>
      </c>
      <c r="O842" s="142" t="s">
        <v>1481</v>
      </c>
      <c r="P842" s="143" t="s">
        <v>1774</v>
      </c>
      <c r="Q842" s="143" t="s">
        <v>1775</v>
      </c>
      <c r="R842" s="174"/>
      <c r="S842" s="274" t="s">
        <v>2261</v>
      </c>
      <c r="T842" s="164" t="s">
        <v>2033</v>
      </c>
      <c r="U842" s="94"/>
      <c r="V842" s="94"/>
      <c r="W842" s="94"/>
      <c r="X842" s="94"/>
      <c r="Y842" s="94"/>
      <c r="Z842" s="94"/>
      <c r="AA842" s="94"/>
      <c r="AB842" s="94"/>
      <c r="AC842" s="94"/>
      <c r="AD842" s="94"/>
      <c r="AE842" s="94"/>
      <c r="AF842" s="94"/>
      <c r="AG842" s="94"/>
      <c r="AH842" s="94"/>
      <c r="AI842" s="94"/>
      <c r="AJ842" s="94"/>
      <c r="AK842" s="94"/>
      <c r="AL842" s="94"/>
    </row>
    <row r="843" hidden="1">
      <c r="A843" s="86" t="s">
        <v>1540</v>
      </c>
      <c r="B843" s="95" t="str">
        <f t="shared" si="494"/>
        <v>Otro</v>
      </c>
      <c r="C843" s="106" t="str">
        <f t="shared" si="9"/>
        <v>18. </v>
      </c>
      <c r="D843" s="106" t="str">
        <f t="shared" si="10"/>
        <v>Imparcialidad e igualdad de trato</v>
      </c>
      <c r="E843" s="106" t="str">
        <f t="shared" si="11"/>
        <v>Disposición a entregar la mejor experiencia de usuario a todas las personas, independiente de sus habilidades, identidad, antecedentes o situación en la que se encuentren.</v>
      </c>
      <c r="F843" s="141" t="str">
        <f t="shared" si="3"/>
        <v>18.2</v>
      </c>
      <c r="G843" s="92" t="str">
        <f t="shared" si="4"/>
        <v>ESPERABLES</v>
      </c>
      <c r="H843" s="141"/>
      <c r="I843" s="141" t="str">
        <f t="shared" si="5"/>
        <v/>
      </c>
      <c r="J843" s="98" t="str">
        <f t="shared" si="6"/>
        <v/>
      </c>
      <c r="K843" s="98" t="str">
        <f t="shared" si="7"/>
        <v/>
      </c>
      <c r="L843" s="141" t="str">
        <f t="shared" ref="L843:N843" si="849">IF(I843="",L842,I843)</f>
        <v>18.1.1</v>
      </c>
      <c r="M843" s="98" t="str">
        <f t="shared" si="849"/>
        <v>Prescindencia de RUN</v>
      </c>
      <c r="N843" s="98" t="str">
        <f t="shared" si="849"/>
        <v>Entrega de alternativas de identificación —además del RUN— para que todas las personas usuarias puedan acceder a los servicios personalizados. 
</v>
      </c>
      <c r="O843" s="291" t="s">
        <v>1773</v>
      </c>
      <c r="P843" s="196" t="s">
        <v>714</v>
      </c>
      <c r="Q843" s="177"/>
      <c r="R843" s="177"/>
      <c r="S843" s="197">
        <f>COUNTA(P844)</f>
        <v>1</v>
      </c>
      <c r="T843" s="197">
        <f>COUNTIF(U844,"n/a")</f>
        <v>0</v>
      </c>
      <c r="U843" s="94"/>
      <c r="V843" s="94"/>
      <c r="W843" s="94"/>
      <c r="X843" s="94"/>
      <c r="Y843" s="94"/>
      <c r="Z843" s="94"/>
      <c r="AA843" s="94"/>
      <c r="AB843" s="94"/>
      <c r="AC843" s="94"/>
      <c r="AD843" s="94"/>
      <c r="AE843" s="94"/>
      <c r="AF843" s="94"/>
      <c r="AG843" s="94"/>
      <c r="AH843" s="94"/>
      <c r="AI843" s="94"/>
      <c r="AJ843" s="94"/>
      <c r="AK843" s="94"/>
      <c r="AL843" s="94"/>
    </row>
    <row r="844" hidden="1">
      <c r="A844" s="105" t="s">
        <v>1540</v>
      </c>
      <c r="B844" s="92" t="str">
        <f t="shared" si="494"/>
        <v>Pregunta</v>
      </c>
      <c r="C844" s="106" t="str">
        <f t="shared" si="9"/>
        <v>18. </v>
      </c>
      <c r="D844" s="106" t="str">
        <f t="shared" si="10"/>
        <v>Imparcialidad e igualdad de trato</v>
      </c>
      <c r="E844" s="106" t="str">
        <f t="shared" si="11"/>
        <v>Disposición a entregar la mejor experiencia de usuario a todas las personas, independiente de sus habilidades, identidad, antecedentes o situación en la que se encuentren.</v>
      </c>
      <c r="F844" s="141" t="str">
        <f t="shared" si="3"/>
        <v>18.2</v>
      </c>
      <c r="G844" s="92" t="str">
        <f t="shared" si="4"/>
        <v>ESPERABLES</v>
      </c>
      <c r="H844" s="141"/>
      <c r="I844" s="141" t="str">
        <f t="shared" si="5"/>
        <v>18.2.1</v>
      </c>
      <c r="J844" s="98" t="str">
        <f t="shared" si="6"/>
        <v>Diversidad en formularios</v>
      </c>
      <c r="K844" s="98" t="str">
        <f t="shared" si="7"/>
        <v>Especial cuidado en la redacción de preguntas en formularios para considerar la diversidad de personas usuarias y evitar discriminaciones.</v>
      </c>
      <c r="L844" s="141" t="str">
        <f t="shared" ref="L844:N844" si="850">IF(I844="",L843,I844)</f>
        <v>18.2.1</v>
      </c>
      <c r="M844" s="98" t="str">
        <f t="shared" si="850"/>
        <v>Diversidad en formularios</v>
      </c>
      <c r="N844" s="98" t="str">
        <f t="shared" si="850"/>
        <v>Especial cuidado en la redacción de preguntas en formularios para considerar la diversidad de personas usuarias y evitar discriminaciones.</v>
      </c>
      <c r="O844" s="142" t="s">
        <v>1778</v>
      </c>
      <c r="P844" s="143" t="s">
        <v>1273</v>
      </c>
      <c r="Q844" s="143" t="s">
        <v>1274</v>
      </c>
      <c r="R844" s="174"/>
      <c r="S844" s="143" t="s">
        <v>2262</v>
      </c>
      <c r="T844" s="164" t="s">
        <v>2033</v>
      </c>
      <c r="U844" s="94"/>
      <c r="V844" s="94"/>
      <c r="W844" s="94"/>
      <c r="X844" s="94"/>
      <c r="Y844" s="94"/>
      <c r="Z844" s="94"/>
      <c r="AA844" s="94"/>
      <c r="AB844" s="94"/>
      <c r="AC844" s="94"/>
      <c r="AD844" s="94"/>
      <c r="AE844" s="94"/>
      <c r="AF844" s="94"/>
      <c r="AG844" s="94"/>
      <c r="AH844" s="94"/>
      <c r="AI844" s="94"/>
      <c r="AJ844" s="94"/>
      <c r="AK844" s="94"/>
      <c r="AL844" s="94"/>
    </row>
    <row r="845" hidden="1">
      <c r="A845" s="86" t="s">
        <v>1540</v>
      </c>
      <c r="B845" s="95" t="str">
        <f t="shared" si="494"/>
        <v>Otro</v>
      </c>
      <c r="C845" s="106" t="str">
        <f t="shared" si="9"/>
        <v>18. </v>
      </c>
      <c r="D845" s="106" t="str">
        <f t="shared" si="10"/>
        <v>Imparcialidad e igualdad de trato</v>
      </c>
      <c r="E845" s="106" t="str">
        <f t="shared" si="11"/>
        <v>Disposición a entregar la mejor experiencia de usuario a todas las personas, independiente de sus habilidades, identidad, antecedentes o situación en la que se encuentren.</v>
      </c>
      <c r="F845" s="141" t="str">
        <f t="shared" si="3"/>
        <v>18.3</v>
      </c>
      <c r="G845" s="92" t="str">
        <f t="shared" si="4"/>
        <v>DESEABLES</v>
      </c>
      <c r="H845" s="141"/>
      <c r="I845" s="141" t="str">
        <f t="shared" si="5"/>
        <v/>
      </c>
      <c r="J845" s="98" t="str">
        <f t="shared" si="6"/>
        <v/>
      </c>
      <c r="K845" s="98" t="str">
        <f t="shared" si="7"/>
        <v/>
      </c>
      <c r="L845" s="141" t="str">
        <f t="shared" ref="L845:N845" si="851">IF(I845="",L844,I845)</f>
        <v>18.2.1</v>
      </c>
      <c r="M845" s="98" t="str">
        <f t="shared" si="851"/>
        <v>Diversidad en formularios</v>
      </c>
      <c r="N845" s="98" t="str">
        <f t="shared" si="851"/>
        <v>Especial cuidado en la redacción de preguntas en formularios para considerar la diversidad de personas usuarias y evitar discriminaciones.</v>
      </c>
      <c r="O845" s="289" t="s">
        <v>1777</v>
      </c>
      <c r="P845" s="182" t="s">
        <v>749</v>
      </c>
      <c r="Q845" s="183"/>
      <c r="R845" s="183"/>
      <c r="S845" s="199">
        <f>COUNTA(P846:P848)</f>
        <v>2</v>
      </c>
      <c r="T845" s="199">
        <f>COUNTIF(U846:U848,"n/a")</f>
        <v>0</v>
      </c>
      <c r="U845" s="94"/>
      <c r="V845" s="94"/>
      <c r="W845" s="94"/>
      <c r="X845" s="94"/>
      <c r="Y845" s="94"/>
      <c r="Z845" s="94"/>
      <c r="AA845" s="94"/>
      <c r="AB845" s="94"/>
      <c r="AC845" s="94"/>
      <c r="AD845" s="94"/>
      <c r="AE845" s="94"/>
      <c r="AF845" s="94"/>
      <c r="AG845" s="94"/>
      <c r="AH845" s="94"/>
      <c r="AI845" s="94"/>
      <c r="AJ845" s="94"/>
      <c r="AK845" s="94"/>
      <c r="AL845" s="94"/>
    </row>
    <row r="846" hidden="1">
      <c r="A846" s="105" t="s">
        <v>1540</v>
      </c>
      <c r="B846" s="92" t="str">
        <f t="shared" si="494"/>
        <v>Pregunta</v>
      </c>
      <c r="C846" s="106" t="str">
        <f t="shared" si="9"/>
        <v>18. </v>
      </c>
      <c r="D846" s="106" t="str">
        <f t="shared" si="10"/>
        <v>Imparcialidad e igualdad de trato</v>
      </c>
      <c r="E846" s="106" t="str">
        <f t="shared" si="11"/>
        <v>Disposición a entregar la mejor experiencia de usuario a todas las personas, independiente de sus habilidades, identidad, antecedentes o situación en la que se encuentren.</v>
      </c>
      <c r="F846" s="141" t="str">
        <f t="shared" si="3"/>
        <v>18.3</v>
      </c>
      <c r="G846" s="92" t="str">
        <f t="shared" si="4"/>
        <v>DESEABLES</v>
      </c>
      <c r="H846" s="141"/>
      <c r="I846" s="141" t="str">
        <f t="shared" si="5"/>
        <v>18.3.1</v>
      </c>
      <c r="J846" s="98" t="str">
        <f t="shared" si="6"/>
        <v>Versiones en otros idiomas</v>
      </c>
      <c r="K846" s="98" t="str">
        <f t="shared" si="7"/>
        <v>Presencia de información en otros idiomas, especialmente para personas de pueblos originarios y migrantes que no hablen español.
</v>
      </c>
      <c r="L846" s="141" t="str">
        <f t="shared" ref="L846:N846" si="852">IF(I846="",L845,I846)</f>
        <v>18.3.1</v>
      </c>
      <c r="M846" s="98" t="str">
        <f t="shared" si="852"/>
        <v>Versiones en otros idiomas</v>
      </c>
      <c r="N846" s="98" t="str">
        <f t="shared" si="852"/>
        <v>Presencia de información en otros idiomas, especialmente para personas de pueblos originarios y migrantes que no hablen español.
</v>
      </c>
      <c r="O846" s="152" t="s">
        <v>1780</v>
      </c>
      <c r="P846" s="153" t="s">
        <v>1278</v>
      </c>
      <c r="Q846" s="153" t="s">
        <v>1279</v>
      </c>
      <c r="R846" s="200"/>
      <c r="S846" s="150" t="s">
        <v>1280</v>
      </c>
      <c r="T846" s="160" t="s">
        <v>2033</v>
      </c>
      <c r="U846" s="94"/>
      <c r="V846" s="94"/>
      <c r="W846" s="94"/>
      <c r="X846" s="94"/>
      <c r="Y846" s="94"/>
      <c r="Z846" s="94"/>
      <c r="AA846" s="94"/>
      <c r="AB846" s="94"/>
      <c r="AC846" s="94"/>
      <c r="AD846" s="94"/>
      <c r="AE846" s="94"/>
      <c r="AF846" s="94"/>
      <c r="AG846" s="94"/>
      <c r="AH846" s="94"/>
      <c r="AI846" s="94"/>
      <c r="AJ846" s="94"/>
      <c r="AK846" s="94"/>
      <c r="AL846" s="94"/>
    </row>
    <row r="847" hidden="1">
      <c r="A847" s="86" t="s">
        <v>1540</v>
      </c>
      <c r="B847" s="95" t="str">
        <f t="shared" si="494"/>
        <v>Pregunta</v>
      </c>
      <c r="C847" s="106" t="str">
        <f t="shared" si="9"/>
        <v>18. </v>
      </c>
      <c r="D847" s="106" t="str">
        <f t="shared" si="10"/>
        <v>Imparcialidad e igualdad de trato</v>
      </c>
      <c r="E847" s="106" t="str">
        <f t="shared" si="11"/>
        <v>Disposición a entregar la mejor experiencia de usuario a todas las personas, independiente de sus habilidades, identidad, antecedentes o situación en la que se encuentren.</v>
      </c>
      <c r="F847" s="141" t="str">
        <f t="shared" si="3"/>
        <v>18.3</v>
      </c>
      <c r="G847" s="92" t="str">
        <f t="shared" si="4"/>
        <v>DESEABLES</v>
      </c>
      <c r="H847" s="141"/>
      <c r="I847" s="141" t="str">
        <f t="shared" si="5"/>
        <v/>
      </c>
      <c r="J847" s="98" t="str">
        <f t="shared" si="6"/>
        <v/>
      </c>
      <c r="K847" s="98" t="str">
        <f t="shared" si="7"/>
        <v/>
      </c>
      <c r="L847" s="141" t="str">
        <f t="shared" ref="L847:N847" si="853">IF(I847="",L846,I847)</f>
        <v>18.3.1</v>
      </c>
      <c r="M847" s="98" t="str">
        <f t="shared" si="853"/>
        <v>Versiones en otros idiomas</v>
      </c>
      <c r="N847" s="98" t="str">
        <f t="shared" si="853"/>
        <v>Presencia de información en otros idiomas, especialmente para personas de pueblos originarios y migrantes que no hablen español.
</v>
      </c>
      <c r="O847" s="142"/>
      <c r="P847" s="143"/>
      <c r="Q847" s="143"/>
      <c r="R847" s="168"/>
      <c r="S847" s="169" t="s">
        <v>1781</v>
      </c>
      <c r="T847" s="164" t="s">
        <v>2033</v>
      </c>
      <c r="U847" s="94"/>
      <c r="V847" s="94"/>
      <c r="W847" s="94"/>
      <c r="X847" s="94"/>
      <c r="Y847" s="94"/>
      <c r="Z847" s="94"/>
      <c r="AA847" s="94"/>
      <c r="AB847" s="94"/>
      <c r="AC847" s="94"/>
      <c r="AD847" s="94"/>
      <c r="AE847" s="94"/>
      <c r="AF847" s="94"/>
      <c r="AG847" s="94"/>
      <c r="AH847" s="94"/>
      <c r="AI847" s="94"/>
      <c r="AJ847" s="94"/>
      <c r="AK847" s="94"/>
      <c r="AL847" s="94"/>
    </row>
    <row r="848" hidden="1">
      <c r="A848" s="105" t="s">
        <v>1540</v>
      </c>
      <c r="B848" s="92" t="str">
        <f t="shared" si="494"/>
        <v>Pregunta</v>
      </c>
      <c r="C848" s="106" t="str">
        <f t="shared" si="9"/>
        <v>18. </v>
      </c>
      <c r="D848" s="106" t="str">
        <f t="shared" si="10"/>
        <v>Imparcialidad e igualdad de trato</v>
      </c>
      <c r="E848" s="106" t="str">
        <f t="shared" si="11"/>
        <v>Disposición a entregar la mejor experiencia de usuario a todas las personas, independiente de sus habilidades, identidad, antecedentes o situación en la que se encuentren.</v>
      </c>
      <c r="F848" s="141" t="str">
        <f t="shared" si="3"/>
        <v>18.3</v>
      </c>
      <c r="G848" s="92" t="str">
        <f t="shared" si="4"/>
        <v>DESEABLES</v>
      </c>
      <c r="H848" s="141"/>
      <c r="I848" s="141" t="str">
        <f t="shared" si="5"/>
        <v>18.3.2</v>
      </c>
      <c r="J848" s="98" t="str">
        <f t="shared" si="6"/>
        <v>Descentralización</v>
      </c>
      <c r="K848" s="98" t="str">
        <f t="shared" si="7"/>
        <v>Especial cuidado en la redacción de los contenidos y acceso a los servicios para evitar un sesgo desde la centralización.</v>
      </c>
      <c r="L848" s="141" t="str">
        <f t="shared" ref="L848:N848" si="854">IF(I848="",L847,I848)</f>
        <v>18.3.2</v>
      </c>
      <c r="M848" s="98" t="str">
        <f t="shared" si="854"/>
        <v>Descentralización</v>
      </c>
      <c r="N848" s="98" t="str">
        <f t="shared" si="854"/>
        <v>Especial cuidado en la redacción de los contenidos y acceso a los servicios para evitar un sesgo desde la centralización.</v>
      </c>
      <c r="O848" s="147" t="s">
        <v>1782</v>
      </c>
      <c r="P848" s="148" t="s">
        <v>1283</v>
      </c>
      <c r="Q848" s="148" t="s">
        <v>1284</v>
      </c>
      <c r="R848" s="211"/>
      <c r="S848" s="166" t="s">
        <v>2263</v>
      </c>
      <c r="T848" s="164" t="s">
        <v>2033</v>
      </c>
      <c r="U848" s="94"/>
      <c r="V848" s="94"/>
      <c r="W848" s="94"/>
      <c r="X848" s="94"/>
      <c r="Y848" s="94"/>
      <c r="Z848" s="94"/>
      <c r="AA848" s="94"/>
      <c r="AB848" s="94"/>
      <c r="AC848" s="94"/>
      <c r="AD848" s="94"/>
      <c r="AE848" s="94"/>
      <c r="AF848" s="94"/>
      <c r="AG848" s="94"/>
      <c r="AH848" s="94"/>
      <c r="AI848" s="94"/>
      <c r="AJ848" s="94"/>
      <c r="AK848" s="94"/>
      <c r="AL848" s="94"/>
    </row>
    <row r="849" hidden="1">
      <c r="A849" s="105" t="s">
        <v>1540</v>
      </c>
      <c r="B849" s="106" t="str">
        <f t="shared" si="494"/>
        <v>Otro</v>
      </c>
      <c r="C849" s="106" t="str">
        <f t="shared" si="9"/>
        <v>19.</v>
      </c>
      <c r="D849" s="106" t="str">
        <f t="shared" si="10"/>
        <v>Inclusión</v>
      </c>
      <c r="E849" s="106" t="str">
        <f t="shared" si="11"/>
        <v>Incorporación de un enfoque inclusivo que responda a la diversidad y diferencias individuales, garantizando igualdad de acceso a políticas y servicios públicos para todas y todos, sin importar características, habilidades u origen.</v>
      </c>
      <c r="F849" s="141" t="str">
        <f t="shared" si="3"/>
        <v>18.3</v>
      </c>
      <c r="G849" s="92" t="str">
        <f t="shared" si="4"/>
        <v>DESEABLES</v>
      </c>
      <c r="H849" s="107"/>
      <c r="I849" s="107" t="str">
        <f t="shared" si="5"/>
        <v/>
      </c>
      <c r="J849" s="98" t="str">
        <f t="shared" si="6"/>
        <v/>
      </c>
      <c r="K849" s="98" t="str">
        <f t="shared" si="7"/>
        <v/>
      </c>
      <c r="L849" s="141" t="str">
        <f t="shared" ref="L849:N849" si="855">IF(I849="",L848,I849)</f>
        <v>18.3.2</v>
      </c>
      <c r="M849" s="98" t="str">
        <f t="shared" si="855"/>
        <v>Descentralización</v>
      </c>
      <c r="N849" s="98" t="str">
        <f t="shared" si="855"/>
        <v>Especial cuidado en la redacción de los contenidos y acceso a los servicios para evitar un sesgo desde la centralización.</v>
      </c>
      <c r="O849" s="220" t="s">
        <v>55</v>
      </c>
      <c r="P849" s="112" t="s">
        <v>46</v>
      </c>
      <c r="Q849" s="113"/>
      <c r="R849" s="114"/>
      <c r="S849" s="115" t="s">
        <v>1286</v>
      </c>
      <c r="T849" s="116" t="s">
        <v>2161</v>
      </c>
      <c r="U849" s="94"/>
      <c r="V849" s="94"/>
      <c r="W849" s="94"/>
      <c r="X849" s="94"/>
      <c r="Y849" s="94"/>
      <c r="Z849" s="94"/>
      <c r="AA849" s="94"/>
      <c r="AB849" s="94"/>
      <c r="AC849" s="94"/>
      <c r="AD849" s="94"/>
      <c r="AE849" s="94"/>
      <c r="AF849" s="94"/>
      <c r="AG849" s="94"/>
      <c r="AH849" s="94"/>
      <c r="AI849" s="94"/>
      <c r="AJ849" s="94"/>
      <c r="AK849" s="94"/>
      <c r="AL849" s="94"/>
    </row>
    <row r="850" hidden="1">
      <c r="A850" s="105" t="s">
        <v>1540</v>
      </c>
      <c r="B850" s="106" t="str">
        <f t="shared" si="494"/>
        <v>Otro</v>
      </c>
      <c r="C850" s="106" t="str">
        <f t="shared" si="9"/>
        <v>19.</v>
      </c>
      <c r="D850" s="106" t="str">
        <f t="shared" si="10"/>
        <v>Inclusión</v>
      </c>
      <c r="E850" s="106" t="str">
        <f t="shared" si="11"/>
        <v>Incorporación de un enfoque inclusivo que responda a la diversidad y diferencias individuales, garantizando igualdad de acceso a políticas y servicios públicos para todas y todos, sin importar características, habilidades u origen.</v>
      </c>
      <c r="F850" s="141" t="str">
        <f t="shared" si="3"/>
        <v>18.3</v>
      </c>
      <c r="G850" s="92" t="str">
        <f t="shared" si="4"/>
        <v>DESEABLES</v>
      </c>
      <c r="H850" s="107"/>
      <c r="I850" s="107" t="str">
        <f t="shared" si="5"/>
        <v/>
      </c>
      <c r="J850" s="98" t="str">
        <f t="shared" si="6"/>
        <v/>
      </c>
      <c r="K850" s="98" t="str">
        <f t="shared" si="7"/>
        <v/>
      </c>
      <c r="L850" s="141" t="str">
        <f t="shared" ref="L850:N850" si="856">IF(I850="",L849,I850)</f>
        <v>18.3.2</v>
      </c>
      <c r="M850" s="98" t="str">
        <f t="shared" si="856"/>
        <v>Descentralización</v>
      </c>
      <c r="N850" s="98" t="str">
        <f t="shared" si="856"/>
        <v>Especial cuidado en la redacción de los contenidos y acceso a los servicios para evitar un sesgo desde la centralización.</v>
      </c>
      <c r="O850" s="221"/>
      <c r="P850" s="118"/>
      <c r="Q850" s="119"/>
      <c r="R850" s="114"/>
      <c r="S850" s="239"/>
      <c r="T850" s="116" t="s">
        <v>19</v>
      </c>
      <c r="U850" s="94"/>
      <c r="V850" s="94"/>
      <c r="W850" s="94"/>
      <c r="X850" s="94"/>
      <c r="Y850" s="94"/>
      <c r="Z850" s="94"/>
      <c r="AA850" s="94"/>
      <c r="AB850" s="94"/>
      <c r="AC850" s="94"/>
      <c r="AD850" s="94"/>
      <c r="AE850" s="94"/>
      <c r="AF850" s="94"/>
      <c r="AG850" s="94"/>
      <c r="AH850" s="94"/>
      <c r="AI850" s="94"/>
      <c r="AJ850" s="94"/>
      <c r="AK850" s="94"/>
      <c r="AL850" s="94"/>
    </row>
    <row r="851" hidden="1">
      <c r="A851" s="105" t="s">
        <v>1540</v>
      </c>
      <c r="B851" s="106" t="str">
        <f t="shared" si="494"/>
        <v>Otro</v>
      </c>
      <c r="C851" s="106" t="str">
        <f t="shared" si="9"/>
        <v>19.</v>
      </c>
      <c r="D851" s="106" t="str">
        <f t="shared" si="10"/>
        <v>Inclusión</v>
      </c>
      <c r="E851" s="106" t="str">
        <f t="shared" si="11"/>
        <v>Incorporación de un enfoque inclusivo que responda a la diversidad y diferencias individuales, garantizando igualdad de acceso a políticas y servicios públicos para todas y todos, sin importar características, habilidades u origen.</v>
      </c>
      <c r="F851" s="141" t="str">
        <f t="shared" si="3"/>
        <v>18.3</v>
      </c>
      <c r="G851" s="92" t="str">
        <f t="shared" si="4"/>
        <v>DESEABLES</v>
      </c>
      <c r="H851" s="107"/>
      <c r="I851" s="107" t="str">
        <f t="shared" si="5"/>
        <v/>
      </c>
      <c r="J851" s="98" t="str">
        <f t="shared" si="6"/>
        <v/>
      </c>
      <c r="K851" s="98" t="str">
        <f t="shared" si="7"/>
        <v/>
      </c>
      <c r="L851" s="141" t="str">
        <f t="shared" ref="L851:N851" si="857">IF(I851="",L850,I851)</f>
        <v>18.3.2</v>
      </c>
      <c r="M851" s="98" t="str">
        <f t="shared" si="857"/>
        <v>Descentralización</v>
      </c>
      <c r="N851" s="98" t="str">
        <f t="shared" si="857"/>
        <v>Especial cuidado en la redacción de los contenidos y acceso a los servicios para evitar un sesgo desde la centralización.</v>
      </c>
      <c r="O851" s="222"/>
      <c r="P851" s="122"/>
      <c r="Q851" s="123"/>
      <c r="R851" s="114"/>
      <c r="S851" s="240"/>
      <c r="T851" s="116" t="s">
        <v>22</v>
      </c>
      <c r="U851" s="94"/>
      <c r="V851" s="94"/>
      <c r="W851" s="94"/>
      <c r="X851" s="94"/>
      <c r="Y851" s="94"/>
      <c r="Z851" s="94"/>
      <c r="AA851" s="94"/>
      <c r="AB851" s="94"/>
      <c r="AC851" s="94"/>
      <c r="AD851" s="94"/>
      <c r="AE851" s="94"/>
      <c r="AF851" s="94"/>
      <c r="AG851" s="94"/>
      <c r="AH851" s="94"/>
      <c r="AI851" s="94"/>
      <c r="AJ851" s="94"/>
      <c r="AK851" s="94"/>
      <c r="AL851" s="94"/>
    </row>
    <row r="852" hidden="1">
      <c r="A852" s="105" t="s">
        <v>1540</v>
      </c>
      <c r="B852" s="106" t="str">
        <f t="shared" si="494"/>
        <v>Otro</v>
      </c>
      <c r="C852" s="106" t="str">
        <f t="shared" si="9"/>
        <v>19.</v>
      </c>
      <c r="D852" s="106" t="str">
        <f t="shared" si="10"/>
        <v>Inclusión</v>
      </c>
      <c r="E852" s="106" t="str">
        <f t="shared" si="11"/>
        <v>Incorporación de un enfoque inclusivo que responda a la diversidad y diferencias individuales, garantizando igualdad de acceso a políticas y servicios públicos para todas y todos, sin importar características, habilidades u origen.</v>
      </c>
      <c r="F852" s="141" t="str">
        <f t="shared" si="3"/>
        <v>18.3</v>
      </c>
      <c r="G852" s="92" t="str">
        <f t="shared" si="4"/>
        <v>DESEABLES</v>
      </c>
      <c r="H852" s="96"/>
      <c r="I852" s="96" t="str">
        <f t="shared" si="5"/>
        <v/>
      </c>
      <c r="J852" s="98" t="str">
        <f t="shared" si="6"/>
        <v/>
      </c>
      <c r="K852" s="98" t="str">
        <f t="shared" si="7"/>
        <v/>
      </c>
      <c r="L852" s="141" t="str">
        <f t="shared" ref="L852:N852" si="858">IF(I852="",L851,I852)</f>
        <v>18.3.2</v>
      </c>
      <c r="M852" s="98" t="str">
        <f t="shared" si="858"/>
        <v>Descentralización</v>
      </c>
      <c r="N852" s="98" t="str">
        <f t="shared" si="858"/>
        <v>Especial cuidado en la redacción de los contenidos y acceso a los servicios para evitar un sesgo desde la centralización.</v>
      </c>
      <c r="O852" s="104"/>
      <c r="P852" s="114"/>
      <c r="Q852" s="114"/>
      <c r="R852" s="127"/>
      <c r="S852" s="127"/>
      <c r="T852" s="241"/>
      <c r="U852" s="94"/>
      <c r="V852" s="94"/>
      <c r="W852" s="94"/>
      <c r="X852" s="94"/>
      <c r="Y852" s="94"/>
      <c r="Z852" s="94"/>
      <c r="AA852" s="94"/>
      <c r="AB852" s="94"/>
      <c r="AC852" s="94"/>
      <c r="AD852" s="94"/>
      <c r="AE852" s="94"/>
      <c r="AF852" s="94"/>
      <c r="AG852" s="94"/>
      <c r="AH852" s="94"/>
      <c r="AI852" s="94"/>
      <c r="AJ852" s="94"/>
      <c r="AK852" s="94"/>
      <c r="AL852" s="94"/>
    </row>
    <row r="853" hidden="1">
      <c r="A853" s="86" t="s">
        <v>1540</v>
      </c>
      <c r="B853" s="95" t="str">
        <f t="shared" si="494"/>
        <v>Otro</v>
      </c>
      <c r="C853" s="106" t="str">
        <f t="shared" si="9"/>
        <v>19.</v>
      </c>
      <c r="D853" s="106" t="str">
        <f t="shared" si="10"/>
        <v>Inclusión</v>
      </c>
      <c r="E853" s="106" t="str">
        <f t="shared" si="11"/>
        <v>Incorporación de un enfoque inclusivo que responda a la diversidad y diferencias individuales, garantizando igualdad de acceso a políticas y servicios públicos para todas y todos, sin importar características, habilidades u origen.</v>
      </c>
      <c r="F853" s="141" t="str">
        <f t="shared" si="3"/>
        <v>18.3</v>
      </c>
      <c r="G853" s="92" t="str">
        <f t="shared" si="4"/>
        <v>DESEABLES</v>
      </c>
      <c r="H853" s="128"/>
      <c r="I853" s="128" t="str">
        <f t="shared" si="5"/>
        <v/>
      </c>
      <c r="J853" s="98" t="str">
        <f t="shared" si="6"/>
        <v/>
      </c>
      <c r="K853" s="98" t="str">
        <f t="shared" si="7"/>
        <v/>
      </c>
      <c r="L853" s="141" t="str">
        <f t="shared" ref="L853:N853" si="859">IF(I853="",L852,I853)</f>
        <v>18.3.2</v>
      </c>
      <c r="M853" s="98" t="str">
        <f t="shared" si="859"/>
        <v>Descentralización</v>
      </c>
      <c r="N853" s="98" t="str">
        <f t="shared" si="859"/>
        <v>Especial cuidado en la redacción de los contenidos y acceso a los servicios para evitar un sesgo desde la centralización.</v>
      </c>
      <c r="O853" s="223" t="s">
        <v>1822</v>
      </c>
      <c r="P853" s="133" t="s">
        <v>1823</v>
      </c>
      <c r="Q853" s="133" t="s">
        <v>2031</v>
      </c>
      <c r="R853" s="134"/>
      <c r="S853" s="133" t="s">
        <v>1824</v>
      </c>
      <c r="T853" s="133" t="s">
        <v>1825</v>
      </c>
      <c r="U853" s="94"/>
      <c r="V853" s="94"/>
      <c r="W853" s="94"/>
      <c r="X853" s="94"/>
      <c r="Y853" s="94"/>
      <c r="Z853" s="94"/>
      <c r="AA853" s="94"/>
      <c r="AB853" s="94"/>
      <c r="AC853" s="94"/>
      <c r="AD853" s="94"/>
      <c r="AE853" s="94"/>
      <c r="AF853" s="94"/>
      <c r="AG853" s="94"/>
      <c r="AH853" s="94"/>
      <c r="AI853" s="94"/>
      <c r="AJ853" s="94"/>
      <c r="AK853" s="94"/>
      <c r="AL853" s="94"/>
    </row>
    <row r="854" hidden="1">
      <c r="A854" s="86" t="s">
        <v>1540</v>
      </c>
      <c r="B854" s="95" t="str">
        <f t="shared" si="494"/>
        <v>Otro</v>
      </c>
      <c r="C854" s="106" t="str">
        <f t="shared" si="9"/>
        <v>19.</v>
      </c>
      <c r="D854" s="106" t="str">
        <f t="shared" si="10"/>
        <v>Inclusión</v>
      </c>
      <c r="E854" s="106" t="str">
        <f t="shared" si="11"/>
        <v>Incorporación de un enfoque inclusivo que responda a la diversidad y diferencias individuales, garantizando igualdad de acceso a políticas y servicios públicos para todas y todos, sin importar características, habilidades u origen.</v>
      </c>
      <c r="F854" s="141" t="str">
        <f t="shared" si="3"/>
        <v>19.1</v>
      </c>
      <c r="G854" s="92" t="str">
        <f t="shared" si="4"/>
        <v>IMPRESCINDIBLES</v>
      </c>
      <c r="H854" s="141"/>
      <c r="I854" s="141" t="str">
        <f t="shared" si="5"/>
        <v/>
      </c>
      <c r="J854" s="98" t="str">
        <f t="shared" si="6"/>
        <v/>
      </c>
      <c r="K854" s="98" t="str">
        <f t="shared" si="7"/>
        <v/>
      </c>
      <c r="L854" s="141" t="str">
        <f t="shared" ref="L854:N854" si="860">IF(I854="",L853,I854)</f>
        <v>18.3.2</v>
      </c>
      <c r="M854" s="98" t="str">
        <f t="shared" si="860"/>
        <v>Descentralización</v>
      </c>
      <c r="N854" s="98" t="str">
        <f t="shared" si="860"/>
        <v>Especial cuidado en la redacción de los contenidos y acceso a los servicios para evitar un sesgo desde la centralización.</v>
      </c>
      <c r="O854" s="288" t="s">
        <v>1504</v>
      </c>
      <c r="P854" s="137" t="s">
        <v>664</v>
      </c>
      <c r="Q854" s="292"/>
      <c r="R854" s="292"/>
      <c r="S854" s="139">
        <f>COUNTA(P855)</f>
        <v>1</v>
      </c>
      <c r="T854" s="140">
        <f>COUNTIF(U855,"n/a")</f>
        <v>0</v>
      </c>
      <c r="U854" s="94"/>
      <c r="V854" s="94"/>
      <c r="W854" s="94"/>
      <c r="X854" s="94"/>
      <c r="Y854" s="94"/>
      <c r="Z854" s="94"/>
      <c r="AA854" s="94"/>
      <c r="AB854" s="94"/>
      <c r="AC854" s="94"/>
      <c r="AD854" s="94"/>
      <c r="AE854" s="94"/>
      <c r="AF854" s="94"/>
      <c r="AG854" s="94"/>
      <c r="AH854" s="94"/>
      <c r="AI854" s="94"/>
      <c r="AJ854" s="94"/>
      <c r="AK854" s="94"/>
      <c r="AL854" s="94"/>
    </row>
    <row r="855" hidden="1">
      <c r="A855" s="105" t="s">
        <v>1540</v>
      </c>
      <c r="B855" s="92" t="str">
        <f t="shared" si="494"/>
        <v>Pregunta</v>
      </c>
      <c r="C855" s="106" t="str">
        <f t="shared" si="9"/>
        <v>19.</v>
      </c>
      <c r="D855" s="106" t="str">
        <f t="shared" si="10"/>
        <v>Inclusión</v>
      </c>
      <c r="E855" s="106" t="str">
        <f t="shared" si="11"/>
        <v>Incorporación de un enfoque inclusivo que responda a la diversidad y diferencias individuales, garantizando igualdad de acceso a políticas y servicios públicos para todas y todos, sin importar características, habilidades u origen.</v>
      </c>
      <c r="F855" s="141" t="str">
        <f t="shared" si="3"/>
        <v>19.1</v>
      </c>
      <c r="G855" s="92" t="str">
        <f t="shared" si="4"/>
        <v>IMPRESCINDIBLES</v>
      </c>
      <c r="H855" s="141"/>
      <c r="I855" s="141" t="str">
        <f t="shared" si="5"/>
        <v>19.1.1</v>
      </c>
      <c r="J855" s="98" t="str">
        <f t="shared" si="6"/>
        <v>Menús desplegables</v>
      </c>
      <c r="K855" s="98" t="str">
        <f t="shared" si="7"/>
        <v>Cautela en el uso de menús desplegables, porque para algunas personas usuarias pueden significar una barrera de acceso, por ejemplo, personas con motricidad reducida.
</v>
      </c>
      <c r="L855" s="141" t="str">
        <f t="shared" ref="L855:N855" si="861">IF(I855="",L854,I855)</f>
        <v>19.1.1</v>
      </c>
      <c r="M855" s="98" t="str">
        <f t="shared" si="861"/>
        <v>Menús desplegables</v>
      </c>
      <c r="N855" s="98" t="str">
        <f t="shared" si="861"/>
        <v>Cautela en el uso de menús desplegables, porque para algunas personas usuarias pueden significar una barrera de acceso, por ejemplo, personas con motricidad reducida.
</v>
      </c>
      <c r="O855" s="214" t="s">
        <v>1505</v>
      </c>
      <c r="P855" s="169" t="s">
        <v>1289</v>
      </c>
      <c r="Q855" s="143" t="s">
        <v>1290</v>
      </c>
      <c r="R855" s="174"/>
      <c r="S855" s="143" t="s">
        <v>2264</v>
      </c>
      <c r="T855" s="164" t="s">
        <v>2033</v>
      </c>
      <c r="U855" s="94"/>
      <c r="V855" s="94"/>
      <c r="W855" s="94"/>
      <c r="X855" s="94"/>
      <c r="Y855" s="94"/>
      <c r="Z855" s="94"/>
      <c r="AA855" s="94"/>
      <c r="AB855" s="94"/>
      <c r="AC855" s="94"/>
      <c r="AD855" s="94"/>
      <c r="AE855" s="94"/>
      <c r="AF855" s="94"/>
      <c r="AG855" s="94"/>
      <c r="AH855" s="94"/>
      <c r="AI855" s="94"/>
      <c r="AJ855" s="94"/>
      <c r="AK855" s="94"/>
      <c r="AL855" s="94"/>
    </row>
    <row r="856" hidden="1">
      <c r="A856" s="86" t="s">
        <v>1540</v>
      </c>
      <c r="B856" s="95" t="str">
        <f t="shared" si="494"/>
        <v>Otro</v>
      </c>
      <c r="C856" s="106" t="str">
        <f t="shared" si="9"/>
        <v>19.</v>
      </c>
      <c r="D856" s="106" t="str">
        <f t="shared" si="10"/>
        <v>Inclusión</v>
      </c>
      <c r="E856" s="106" t="str">
        <f t="shared" si="11"/>
        <v>Incorporación de un enfoque inclusivo que responda a la diversidad y diferencias individuales, garantizando igualdad de acceso a políticas y servicios públicos para todas y todos, sin importar características, habilidades u origen.</v>
      </c>
      <c r="F856" s="141" t="str">
        <f t="shared" si="3"/>
        <v>19.2</v>
      </c>
      <c r="G856" s="92" t="str">
        <f t="shared" si="4"/>
        <v>ESPERABLES</v>
      </c>
      <c r="H856" s="141"/>
      <c r="I856" s="141" t="str">
        <f t="shared" si="5"/>
        <v/>
      </c>
      <c r="J856" s="98" t="str">
        <f t="shared" si="6"/>
        <v/>
      </c>
      <c r="K856" s="98" t="str">
        <f t="shared" si="7"/>
        <v/>
      </c>
      <c r="L856" s="141" t="str">
        <f t="shared" ref="L856:N856" si="862">IF(I856="",L855,I856)</f>
        <v>19.1.1</v>
      </c>
      <c r="M856" s="98" t="str">
        <f t="shared" si="862"/>
        <v>Menús desplegables</v>
      </c>
      <c r="N856" s="98" t="str">
        <f t="shared" si="862"/>
        <v>Cautela en el uso de menús desplegables, porque para algunas personas usuarias pueden significar una barrera de acceso, por ejemplo, personas con motricidad reducida.
</v>
      </c>
      <c r="O856" s="291" t="s">
        <v>1784</v>
      </c>
      <c r="P856" s="196" t="s">
        <v>714</v>
      </c>
      <c r="Q856" s="177"/>
      <c r="R856" s="177"/>
      <c r="S856" s="197">
        <f>COUNTA(P857:P858)</f>
        <v>2</v>
      </c>
      <c r="T856" s="197">
        <f>COUNTIF(U857:U858,"n/a")</f>
        <v>0</v>
      </c>
      <c r="U856" s="94"/>
      <c r="V856" s="94"/>
      <c r="W856" s="94"/>
      <c r="X856" s="94"/>
      <c r="Y856" s="94"/>
      <c r="Z856" s="94"/>
      <c r="AA856" s="94"/>
      <c r="AB856" s="94"/>
      <c r="AC856" s="94"/>
      <c r="AD856" s="94"/>
      <c r="AE856" s="94"/>
      <c r="AF856" s="94"/>
      <c r="AG856" s="94"/>
      <c r="AH856" s="94"/>
      <c r="AI856" s="94"/>
      <c r="AJ856" s="94"/>
      <c r="AK856" s="94"/>
      <c r="AL856" s="94"/>
    </row>
    <row r="857" hidden="1">
      <c r="A857" s="105" t="s">
        <v>1540</v>
      </c>
      <c r="B857" s="92" t="str">
        <f t="shared" si="494"/>
        <v>Pregunta</v>
      </c>
      <c r="C857" s="106" t="str">
        <f t="shared" si="9"/>
        <v>19.</v>
      </c>
      <c r="D857" s="106" t="str">
        <f t="shared" si="10"/>
        <v>Inclusión</v>
      </c>
      <c r="E857" s="106" t="str">
        <f t="shared" si="11"/>
        <v>Incorporación de un enfoque inclusivo que responda a la diversidad y diferencias individuales, garantizando igualdad de acceso a políticas y servicios públicos para todas y todos, sin importar características, habilidades u origen.</v>
      </c>
      <c r="F857" s="141" t="str">
        <f t="shared" si="3"/>
        <v>19.2</v>
      </c>
      <c r="G857" s="92" t="str">
        <f t="shared" si="4"/>
        <v>ESPERABLES</v>
      </c>
      <c r="H857" s="141"/>
      <c r="I857" s="141" t="str">
        <f t="shared" si="5"/>
        <v>19.2.1</v>
      </c>
      <c r="J857" s="98" t="str">
        <f t="shared" si="6"/>
        <v>Interpretación en lengua de señas chilena</v>
      </c>
      <c r="K857" s="98" t="str">
        <f t="shared" si="7"/>
        <v>Presencia de interpretación en lengua de señas chilena para los contenidos audiovisuales.
</v>
      </c>
      <c r="L857" s="141" t="str">
        <f t="shared" ref="L857:N857" si="863">IF(I857="",L856,I857)</f>
        <v>19.2.1</v>
      </c>
      <c r="M857" s="98" t="str">
        <f t="shared" si="863"/>
        <v>Interpretación en lengua de señas chilena</v>
      </c>
      <c r="N857" s="98" t="str">
        <f t="shared" si="863"/>
        <v>Presencia de interpretación en lengua de señas chilena para los contenidos audiovisuales.
</v>
      </c>
      <c r="O857" s="147" t="s">
        <v>1785</v>
      </c>
      <c r="P857" s="166" t="s">
        <v>1294</v>
      </c>
      <c r="Q857" s="166" t="s">
        <v>1295</v>
      </c>
      <c r="R857" s="211"/>
      <c r="S857" s="166" t="s">
        <v>2265</v>
      </c>
      <c r="T857" s="164" t="s">
        <v>2033</v>
      </c>
      <c r="U857" s="94"/>
      <c r="V857" s="94"/>
      <c r="W857" s="94"/>
      <c r="X857" s="94"/>
      <c r="Y857" s="94"/>
      <c r="Z857" s="94"/>
      <c r="AA857" s="94"/>
      <c r="AB857" s="94"/>
      <c r="AC857" s="94"/>
      <c r="AD857" s="94"/>
      <c r="AE857" s="94"/>
      <c r="AF857" s="94"/>
      <c r="AG857" s="94"/>
      <c r="AH857" s="94"/>
      <c r="AI857" s="94"/>
      <c r="AJ857" s="94"/>
      <c r="AK857" s="94"/>
      <c r="AL857" s="94"/>
    </row>
    <row r="858" hidden="1">
      <c r="A858" s="105" t="s">
        <v>1540</v>
      </c>
      <c r="B858" s="92" t="str">
        <f t="shared" si="494"/>
        <v>Pregunta</v>
      </c>
      <c r="C858" s="106" t="str">
        <f t="shared" si="9"/>
        <v>19.</v>
      </c>
      <c r="D858" s="106" t="str">
        <f t="shared" si="10"/>
        <v>Inclusión</v>
      </c>
      <c r="E858" s="106" t="str">
        <f t="shared" si="11"/>
        <v>Incorporación de un enfoque inclusivo que responda a la diversidad y diferencias individuales, garantizando igualdad de acceso a políticas y servicios públicos para todas y todos, sin importar características, habilidades u origen.</v>
      </c>
      <c r="F858" s="141" t="str">
        <f t="shared" si="3"/>
        <v>19.2</v>
      </c>
      <c r="G858" s="92" t="str">
        <f t="shared" si="4"/>
        <v>ESPERABLES</v>
      </c>
      <c r="H858" s="141"/>
      <c r="I858" s="141" t="str">
        <f t="shared" si="5"/>
        <v>19.2.2</v>
      </c>
      <c r="J858" s="98" t="str">
        <f t="shared" si="6"/>
        <v>Lector de texto incorporado</v>
      </c>
      <c r="K858" s="98" t="str">
        <f t="shared" si="7"/>
        <v>Herramienta para la lectura de texto incorporada en el sitio web.
</v>
      </c>
      <c r="L858" s="141" t="str">
        <f t="shared" ref="L858:N858" si="864">IF(I858="",L857,I858)</f>
        <v>19.2.2</v>
      </c>
      <c r="M858" s="98" t="str">
        <f t="shared" si="864"/>
        <v>Lector de texto incorporado</v>
      </c>
      <c r="N858" s="98" t="str">
        <f t="shared" si="864"/>
        <v>Herramienta para la lectura de texto incorporada en el sitio web.
</v>
      </c>
      <c r="O858" s="165" t="s">
        <v>1786</v>
      </c>
      <c r="P858" s="166" t="s">
        <v>1311</v>
      </c>
      <c r="Q858" s="166" t="s">
        <v>1312</v>
      </c>
      <c r="R858" s="211"/>
      <c r="S858" s="166" t="s">
        <v>1313</v>
      </c>
      <c r="T858" s="164" t="s">
        <v>2033</v>
      </c>
      <c r="U858" s="94"/>
      <c r="V858" s="94"/>
      <c r="W858" s="94"/>
      <c r="X858" s="94"/>
      <c r="Y858" s="94"/>
      <c r="Z858" s="94"/>
      <c r="AA858" s="94"/>
      <c r="AB858" s="94"/>
      <c r="AC858" s="94"/>
      <c r="AD858" s="94"/>
      <c r="AE858" s="94"/>
      <c r="AF858" s="94"/>
      <c r="AG858" s="94"/>
      <c r="AH858" s="94"/>
      <c r="AI858" s="94"/>
      <c r="AJ858" s="94"/>
      <c r="AK858" s="94"/>
      <c r="AL858" s="94"/>
    </row>
    <row r="859" hidden="1">
      <c r="A859" s="86" t="s">
        <v>1540</v>
      </c>
      <c r="B859" s="95" t="str">
        <f t="shared" si="494"/>
        <v>Otro</v>
      </c>
      <c r="C859" s="106" t="str">
        <f t="shared" si="9"/>
        <v>19.</v>
      </c>
      <c r="D859" s="106" t="str">
        <f t="shared" si="10"/>
        <v>Inclusión</v>
      </c>
      <c r="E859" s="106" t="str">
        <f t="shared" si="11"/>
        <v>Incorporación de un enfoque inclusivo que responda a la diversidad y diferencias individuales, garantizando igualdad de acceso a políticas y servicios públicos para todas y todos, sin importar características, habilidades u origen.</v>
      </c>
      <c r="F859" s="141" t="str">
        <f t="shared" si="3"/>
        <v>19.3</v>
      </c>
      <c r="G859" s="92" t="str">
        <f t="shared" si="4"/>
        <v>DESEABLES</v>
      </c>
      <c r="H859" s="141"/>
      <c r="I859" s="141" t="str">
        <f t="shared" si="5"/>
        <v/>
      </c>
      <c r="J859" s="98" t="str">
        <f t="shared" si="6"/>
        <v/>
      </c>
      <c r="K859" s="98" t="str">
        <f t="shared" si="7"/>
        <v/>
      </c>
      <c r="L859" s="141" t="str">
        <f t="shared" ref="L859:N859" si="865">IF(I859="",L858,I859)</f>
        <v>19.2.2</v>
      </c>
      <c r="M859" s="98" t="str">
        <f t="shared" si="865"/>
        <v>Lector de texto incorporado</v>
      </c>
      <c r="N859" s="98" t="str">
        <f t="shared" si="865"/>
        <v>Herramienta para la lectura de texto incorporada en el sitio web.
</v>
      </c>
      <c r="O859" s="289" t="s">
        <v>1516</v>
      </c>
      <c r="P859" s="182" t="s">
        <v>749</v>
      </c>
      <c r="Q859" s="183"/>
      <c r="R859" s="183"/>
      <c r="S859" s="199">
        <f>COUNTA(P860:P862)</f>
        <v>3</v>
      </c>
      <c r="T859" s="199">
        <f>COUNTIF(U860:U862,"n/a")</f>
        <v>0</v>
      </c>
      <c r="U859" s="94"/>
      <c r="V859" s="94"/>
      <c r="W859" s="94"/>
      <c r="X859" s="94"/>
      <c r="Y859" s="94"/>
      <c r="Z859" s="94"/>
      <c r="AA859" s="94"/>
      <c r="AB859" s="94"/>
      <c r="AC859" s="94"/>
      <c r="AD859" s="94"/>
      <c r="AE859" s="94"/>
      <c r="AF859" s="94"/>
      <c r="AG859" s="94"/>
      <c r="AH859" s="94"/>
      <c r="AI859" s="94"/>
      <c r="AJ859" s="94"/>
      <c r="AK859" s="94"/>
      <c r="AL859" s="94"/>
    </row>
    <row r="860" hidden="1">
      <c r="A860" s="105" t="s">
        <v>1540</v>
      </c>
      <c r="B860" s="92" t="str">
        <f t="shared" si="494"/>
        <v>Pregunta</v>
      </c>
      <c r="C860" s="106" t="str">
        <f t="shared" si="9"/>
        <v>19.</v>
      </c>
      <c r="D860" s="106" t="str">
        <f t="shared" si="10"/>
        <v>Inclusión</v>
      </c>
      <c r="E860" s="106" t="str">
        <f t="shared" si="11"/>
        <v>Incorporación de un enfoque inclusivo que responda a la diversidad y diferencias individuales, garantizando igualdad de acceso a políticas y servicios públicos para todas y todos, sin importar características, habilidades u origen.</v>
      </c>
      <c r="F860" s="141" t="str">
        <f t="shared" si="3"/>
        <v>19.3</v>
      </c>
      <c r="G860" s="92" t="str">
        <f t="shared" si="4"/>
        <v>DESEABLES</v>
      </c>
      <c r="H860" s="141"/>
      <c r="I860" s="141" t="str">
        <f t="shared" si="5"/>
        <v>19.3.1</v>
      </c>
      <c r="J860" s="98" t="str">
        <f t="shared" si="6"/>
        <v>Apto para daltonismo</v>
      </c>
      <c r="K860" s="98" t="str">
        <f t="shared" si="7"/>
        <v>Preocupación en el diseño por considerar contrastes y combinaciones de color aptos para personas con daltonismo.
</v>
      </c>
      <c r="L860" s="141" t="str">
        <f t="shared" ref="L860:N860" si="866">IF(I860="",L859,I860)</f>
        <v>19.3.1</v>
      </c>
      <c r="M860" s="98" t="str">
        <f t="shared" si="866"/>
        <v>Apto para daltonismo</v>
      </c>
      <c r="N860" s="98" t="str">
        <f t="shared" si="866"/>
        <v>Preocupación en el diseño por considerar contrastes y combinaciones de color aptos para personas con daltonismo.
</v>
      </c>
      <c r="O860" s="165" t="s">
        <v>1517</v>
      </c>
      <c r="P860" s="166" t="s">
        <v>1299</v>
      </c>
      <c r="Q860" s="166" t="s">
        <v>1300</v>
      </c>
      <c r="R860" s="211"/>
      <c r="S860" s="213" t="s">
        <v>2266</v>
      </c>
      <c r="T860" s="164" t="s">
        <v>2033</v>
      </c>
      <c r="U860" s="94"/>
      <c r="V860" s="94"/>
      <c r="W860" s="94"/>
      <c r="X860" s="94"/>
      <c r="Y860" s="94"/>
      <c r="Z860" s="94"/>
      <c r="AA860" s="94"/>
      <c r="AB860" s="94"/>
      <c r="AC860" s="94"/>
      <c r="AD860" s="94"/>
      <c r="AE860" s="94"/>
      <c r="AF860" s="94"/>
      <c r="AG860" s="94"/>
      <c r="AH860" s="94"/>
      <c r="AI860" s="94"/>
      <c r="AJ860" s="94"/>
      <c r="AK860" s="94"/>
      <c r="AL860" s="94"/>
    </row>
    <row r="861" hidden="1">
      <c r="A861" s="105" t="s">
        <v>1540</v>
      </c>
      <c r="B861" s="92" t="str">
        <f t="shared" si="494"/>
        <v>Pregunta</v>
      </c>
      <c r="C861" s="106" t="str">
        <f t="shared" si="9"/>
        <v>19.</v>
      </c>
      <c r="D861" s="106" t="str">
        <f t="shared" si="10"/>
        <v>Inclusión</v>
      </c>
      <c r="E861" s="106" t="str">
        <f t="shared" si="11"/>
        <v>Incorporación de un enfoque inclusivo que responda a la diversidad y diferencias individuales, garantizando igualdad de acceso a políticas y servicios públicos para todas y todos, sin importar características, habilidades u origen.</v>
      </c>
      <c r="F861" s="141" t="str">
        <f t="shared" si="3"/>
        <v>19.3</v>
      </c>
      <c r="G861" s="92" t="str">
        <f t="shared" si="4"/>
        <v>DESEABLES</v>
      </c>
      <c r="H861" s="141"/>
      <c r="I861" s="141" t="str">
        <f t="shared" si="5"/>
        <v>19.3.2</v>
      </c>
      <c r="J861" s="98" t="str">
        <f t="shared" si="6"/>
        <v>Lectura fácil</v>
      </c>
      <c r="K861" s="98" t="str">
        <f t="shared" si="7"/>
        <v>Método de creación y adaptación de textos que los hace más fáciles de comprender a personas con dificultades de comprensión lectora.
</v>
      </c>
      <c r="L861" s="141" t="str">
        <f t="shared" ref="L861:N861" si="867">IF(I861="",L860,I861)</f>
        <v>19.3.2</v>
      </c>
      <c r="M861" s="98" t="str">
        <f t="shared" si="867"/>
        <v>Lectura fácil</v>
      </c>
      <c r="N861" s="98" t="str">
        <f t="shared" si="867"/>
        <v>Método de creación y adaptación de textos que los hace más fáciles de comprender a personas con dificultades de comprensión lectora.
</v>
      </c>
      <c r="O861" s="152" t="s">
        <v>1521</v>
      </c>
      <c r="P861" s="153" t="s">
        <v>1303</v>
      </c>
      <c r="Q861" s="153" t="s">
        <v>1788</v>
      </c>
      <c r="R861" s="200"/>
      <c r="S861" s="190" t="s">
        <v>2267</v>
      </c>
      <c r="T861" s="164" t="s">
        <v>2033</v>
      </c>
      <c r="U861" s="94"/>
      <c r="V861" s="94"/>
      <c r="W861" s="94"/>
      <c r="X861" s="94"/>
      <c r="Y861" s="94"/>
      <c r="Z861" s="94"/>
      <c r="AA861" s="94"/>
      <c r="AB861" s="94"/>
      <c r="AC861" s="94"/>
      <c r="AD861" s="94"/>
      <c r="AE861" s="94"/>
      <c r="AF861" s="94"/>
      <c r="AG861" s="94"/>
      <c r="AH861" s="94"/>
      <c r="AI861" s="94"/>
      <c r="AJ861" s="94"/>
      <c r="AK861" s="94"/>
      <c r="AL861" s="94"/>
    </row>
    <row r="862" hidden="1">
      <c r="A862" s="105" t="s">
        <v>1540</v>
      </c>
      <c r="B862" s="92" t="str">
        <f t="shared" si="494"/>
        <v>Pregunta</v>
      </c>
      <c r="C862" s="106" t="str">
        <f t="shared" si="9"/>
        <v>19.</v>
      </c>
      <c r="D862" s="106" t="str">
        <f t="shared" si="10"/>
        <v>Inclusión</v>
      </c>
      <c r="E862" s="106" t="str">
        <f t="shared" si="11"/>
        <v>Incorporación de un enfoque inclusivo que responda a la diversidad y diferencias individuales, garantizando igualdad de acceso a políticas y servicios públicos para todas y todos, sin importar características, habilidades u origen.</v>
      </c>
      <c r="F862" s="141" t="str">
        <f t="shared" si="3"/>
        <v>19.3</v>
      </c>
      <c r="G862" s="92" t="str">
        <f t="shared" si="4"/>
        <v>DESEABLES</v>
      </c>
      <c r="H862" s="141"/>
      <c r="I862" s="141" t="str">
        <f t="shared" si="5"/>
        <v>19.3.3</v>
      </c>
      <c r="J862" s="98" t="str">
        <f t="shared" si="6"/>
        <v>Escala de grises y alto contraste</v>
      </c>
      <c r="K862" s="98" t="str">
        <f t="shared" si="7"/>
        <v>Opción para que las personas usuarias puedan cambiar los colores del sitio a escala de grises y alto contraste.
</v>
      </c>
      <c r="L862" s="141" t="str">
        <f t="shared" ref="L862:N862" si="868">IF(I862="",L861,I862)</f>
        <v>19.3.3</v>
      </c>
      <c r="M862" s="98" t="str">
        <f t="shared" si="868"/>
        <v>Escala de grises y alto contraste</v>
      </c>
      <c r="N862" s="98" t="str">
        <f t="shared" si="868"/>
        <v>Opción para que las personas usuarias puedan cambiar los colores del sitio a escala de grises y alto contraste.
</v>
      </c>
      <c r="O862" s="147" t="s">
        <v>1525</v>
      </c>
      <c r="P862" s="148" t="s">
        <v>1307</v>
      </c>
      <c r="Q862" s="148" t="s">
        <v>1308</v>
      </c>
      <c r="R862" s="211"/>
      <c r="S862" s="166" t="s">
        <v>1790</v>
      </c>
      <c r="T862" s="164" t="s">
        <v>2033</v>
      </c>
      <c r="U862" s="94"/>
      <c r="V862" s="94"/>
      <c r="W862" s="94"/>
      <c r="X862" s="94"/>
      <c r="Y862" s="94"/>
      <c r="Z862" s="94"/>
      <c r="AA862" s="94"/>
      <c r="AB862" s="94"/>
      <c r="AC862" s="94"/>
      <c r="AD862" s="94"/>
      <c r="AE862" s="94"/>
      <c r="AF862" s="94"/>
      <c r="AG862" s="94"/>
      <c r="AH862" s="94"/>
      <c r="AI862" s="94"/>
      <c r="AJ862" s="94"/>
      <c r="AK862" s="94"/>
      <c r="AL862" s="94"/>
    </row>
    <row r="863" hidden="1">
      <c r="A863" s="105" t="s">
        <v>1540</v>
      </c>
      <c r="B863" s="106" t="str">
        <f t="shared" si="494"/>
        <v>Otro</v>
      </c>
      <c r="C863" s="106" t="str">
        <f t="shared" si="9"/>
        <v>20.</v>
      </c>
      <c r="D863" s="106" t="str">
        <f t="shared" si="10"/>
        <v>Promoción</v>
      </c>
      <c r="E863" s="106" t="str">
        <f t="shared" si="11"/>
        <v>Conjunto de acciones orientadas a extender los contenidos del sitio web a la ciudadanía, como la optimización para el posicionamiento en buscadores y difusión en redes sociales.</v>
      </c>
      <c r="F863" s="141" t="str">
        <f t="shared" si="3"/>
        <v>19.3</v>
      </c>
      <c r="G863" s="92" t="str">
        <f t="shared" si="4"/>
        <v>DESEABLES</v>
      </c>
      <c r="H863" s="107"/>
      <c r="I863" s="107" t="str">
        <f t="shared" si="5"/>
        <v/>
      </c>
      <c r="J863" s="98" t="str">
        <f t="shared" si="6"/>
        <v/>
      </c>
      <c r="K863" s="98" t="str">
        <f t="shared" si="7"/>
        <v/>
      </c>
      <c r="L863" s="141" t="str">
        <f t="shared" ref="L863:N863" si="869">IF(I863="",L862,I863)</f>
        <v>19.3.3</v>
      </c>
      <c r="M863" s="98" t="str">
        <f t="shared" si="869"/>
        <v>Escala de grises y alto contraste</v>
      </c>
      <c r="N863" s="98" t="str">
        <f t="shared" si="869"/>
        <v>Opción para que las personas usuarias puedan cambiar los colores del sitio a escala de grises y alto contraste.
</v>
      </c>
      <c r="O863" s="220" t="s">
        <v>57</v>
      </c>
      <c r="P863" s="112" t="s">
        <v>48</v>
      </c>
      <c r="Q863" s="113"/>
      <c r="R863" s="114"/>
      <c r="S863" s="115" t="s">
        <v>1314</v>
      </c>
      <c r="T863" s="116" t="s">
        <v>2161</v>
      </c>
      <c r="U863" s="94"/>
      <c r="V863" s="94"/>
      <c r="W863" s="94"/>
      <c r="X863" s="94"/>
      <c r="Y863" s="94"/>
      <c r="Z863" s="94"/>
      <c r="AA863" s="94"/>
      <c r="AB863" s="94"/>
      <c r="AC863" s="94"/>
      <c r="AD863" s="94"/>
      <c r="AE863" s="94"/>
      <c r="AF863" s="94"/>
      <c r="AG863" s="94"/>
      <c r="AH863" s="94"/>
      <c r="AI863" s="94"/>
      <c r="AJ863" s="94"/>
      <c r="AK863" s="94"/>
      <c r="AL863" s="94"/>
    </row>
    <row r="864" hidden="1">
      <c r="A864" s="105" t="s">
        <v>1540</v>
      </c>
      <c r="B864" s="106" t="str">
        <f t="shared" si="494"/>
        <v>Otro</v>
      </c>
      <c r="C864" s="106" t="str">
        <f t="shared" si="9"/>
        <v>20.</v>
      </c>
      <c r="D864" s="106" t="str">
        <f t="shared" si="10"/>
        <v>Promoción</v>
      </c>
      <c r="E864" s="106" t="str">
        <f t="shared" si="11"/>
        <v>Conjunto de acciones orientadas a extender los contenidos del sitio web a la ciudadanía, como la optimización para el posicionamiento en buscadores y difusión en redes sociales.</v>
      </c>
      <c r="F864" s="141" t="str">
        <f t="shared" si="3"/>
        <v>19.3</v>
      </c>
      <c r="G864" s="92" t="str">
        <f t="shared" si="4"/>
        <v>DESEABLES</v>
      </c>
      <c r="H864" s="107"/>
      <c r="I864" s="107" t="str">
        <f t="shared" si="5"/>
        <v/>
      </c>
      <c r="J864" s="98" t="str">
        <f t="shared" si="6"/>
        <v/>
      </c>
      <c r="K864" s="98" t="str">
        <f t="shared" si="7"/>
        <v/>
      </c>
      <c r="L864" s="141" t="str">
        <f t="shared" ref="L864:N864" si="870">IF(I864="",L863,I864)</f>
        <v>19.3.3</v>
      </c>
      <c r="M864" s="98" t="str">
        <f t="shared" si="870"/>
        <v>Escala de grises y alto contraste</v>
      </c>
      <c r="N864" s="98" t="str">
        <f t="shared" si="870"/>
        <v>Opción para que las personas usuarias puedan cambiar los colores del sitio a escala de grises y alto contraste.
</v>
      </c>
      <c r="O864" s="221"/>
      <c r="P864" s="118"/>
      <c r="Q864" s="119"/>
      <c r="R864" s="114"/>
      <c r="S864" s="239"/>
      <c r="T864" s="116" t="s">
        <v>19</v>
      </c>
      <c r="U864" s="94"/>
      <c r="V864" s="94"/>
      <c r="W864" s="94"/>
      <c r="X864" s="94"/>
      <c r="Y864" s="94"/>
      <c r="Z864" s="94"/>
      <c r="AA864" s="94"/>
      <c r="AB864" s="94"/>
      <c r="AC864" s="94"/>
      <c r="AD864" s="94"/>
      <c r="AE864" s="94"/>
      <c r="AF864" s="94"/>
      <c r="AG864" s="94"/>
      <c r="AH864" s="94"/>
      <c r="AI864" s="94"/>
      <c r="AJ864" s="94"/>
      <c r="AK864" s="94"/>
      <c r="AL864" s="94"/>
    </row>
    <row r="865" hidden="1">
      <c r="A865" s="105" t="s">
        <v>1540</v>
      </c>
      <c r="B865" s="106" t="str">
        <f t="shared" si="494"/>
        <v>Otro</v>
      </c>
      <c r="C865" s="106" t="str">
        <f t="shared" si="9"/>
        <v>20.</v>
      </c>
      <c r="D865" s="106" t="str">
        <f t="shared" si="10"/>
        <v>Promoción</v>
      </c>
      <c r="E865" s="106" t="str">
        <f t="shared" si="11"/>
        <v>Conjunto de acciones orientadas a extender los contenidos del sitio web a la ciudadanía, como la optimización para el posicionamiento en buscadores y difusión en redes sociales.</v>
      </c>
      <c r="F865" s="141" t="str">
        <f t="shared" si="3"/>
        <v>19.3</v>
      </c>
      <c r="G865" s="92" t="str">
        <f t="shared" si="4"/>
        <v>DESEABLES</v>
      </c>
      <c r="H865" s="107"/>
      <c r="I865" s="107" t="str">
        <f t="shared" si="5"/>
        <v/>
      </c>
      <c r="J865" s="98" t="str">
        <f t="shared" si="6"/>
        <v/>
      </c>
      <c r="K865" s="98" t="str">
        <f t="shared" si="7"/>
        <v/>
      </c>
      <c r="L865" s="141" t="str">
        <f t="shared" ref="L865:N865" si="871">IF(I865="",L864,I865)</f>
        <v>19.3.3</v>
      </c>
      <c r="M865" s="98" t="str">
        <f t="shared" si="871"/>
        <v>Escala de grises y alto contraste</v>
      </c>
      <c r="N865" s="98" t="str">
        <f t="shared" si="871"/>
        <v>Opción para que las personas usuarias puedan cambiar los colores del sitio a escala de grises y alto contraste.
</v>
      </c>
      <c r="O865" s="222"/>
      <c r="P865" s="122"/>
      <c r="Q865" s="123"/>
      <c r="R865" s="114"/>
      <c r="S865" s="240"/>
      <c r="T865" s="116" t="s">
        <v>22</v>
      </c>
      <c r="U865" s="94"/>
      <c r="V865" s="94"/>
      <c r="W865" s="94"/>
      <c r="X865" s="94"/>
      <c r="Y865" s="94"/>
      <c r="Z865" s="94"/>
      <c r="AA865" s="94"/>
      <c r="AB865" s="94"/>
      <c r="AC865" s="94"/>
      <c r="AD865" s="94"/>
      <c r="AE865" s="94"/>
      <c r="AF865" s="94"/>
      <c r="AG865" s="94"/>
      <c r="AH865" s="94"/>
      <c r="AI865" s="94"/>
      <c r="AJ865" s="94"/>
      <c r="AK865" s="94"/>
      <c r="AL865" s="94"/>
    </row>
    <row r="866" hidden="1">
      <c r="A866" s="105" t="s">
        <v>1540</v>
      </c>
      <c r="B866" s="106" t="str">
        <f t="shared" si="494"/>
        <v>Otro</v>
      </c>
      <c r="C866" s="106" t="str">
        <f t="shared" si="9"/>
        <v>20.</v>
      </c>
      <c r="D866" s="106" t="str">
        <f t="shared" si="10"/>
        <v>Promoción</v>
      </c>
      <c r="E866" s="106" t="str">
        <f t="shared" si="11"/>
        <v>Conjunto de acciones orientadas a extender los contenidos del sitio web a la ciudadanía, como la optimización para el posicionamiento en buscadores y difusión en redes sociales.</v>
      </c>
      <c r="F866" s="141" t="str">
        <f t="shared" si="3"/>
        <v>19.3</v>
      </c>
      <c r="G866" s="92" t="str">
        <f t="shared" si="4"/>
        <v>DESEABLES</v>
      </c>
      <c r="H866" s="96"/>
      <c r="I866" s="96" t="str">
        <f t="shared" si="5"/>
        <v/>
      </c>
      <c r="J866" s="98" t="str">
        <f t="shared" si="6"/>
        <v/>
      </c>
      <c r="K866" s="98" t="str">
        <f t="shared" si="7"/>
        <v/>
      </c>
      <c r="L866" s="141" t="str">
        <f t="shared" ref="L866:N866" si="872">IF(I866="",L865,I866)</f>
        <v>19.3.3</v>
      </c>
      <c r="M866" s="98" t="str">
        <f t="shared" si="872"/>
        <v>Escala de grises y alto contraste</v>
      </c>
      <c r="N866" s="98" t="str">
        <f t="shared" si="872"/>
        <v>Opción para que las personas usuarias puedan cambiar los colores del sitio a escala de grises y alto contraste.
</v>
      </c>
      <c r="O866" s="104"/>
      <c r="P866" s="114"/>
      <c r="Q866" s="114"/>
      <c r="R866" s="114"/>
      <c r="S866" s="114"/>
      <c r="T866" s="241"/>
      <c r="U866" s="94"/>
      <c r="V866" s="94"/>
      <c r="W866" s="94"/>
      <c r="X866" s="94"/>
      <c r="Y866" s="94"/>
      <c r="Z866" s="94"/>
      <c r="AA866" s="94"/>
      <c r="AB866" s="94"/>
      <c r="AC866" s="94"/>
      <c r="AD866" s="94"/>
      <c r="AE866" s="94"/>
      <c r="AF866" s="94"/>
      <c r="AG866" s="94"/>
      <c r="AH866" s="94"/>
      <c r="AI866" s="94"/>
      <c r="AJ866" s="94"/>
      <c r="AK866" s="94"/>
      <c r="AL866" s="94"/>
    </row>
    <row r="867" hidden="1">
      <c r="A867" s="86" t="s">
        <v>1540</v>
      </c>
      <c r="B867" s="95" t="str">
        <f t="shared" si="494"/>
        <v>Otro</v>
      </c>
      <c r="C867" s="106" t="str">
        <f t="shared" si="9"/>
        <v>20.</v>
      </c>
      <c r="D867" s="106" t="str">
        <f t="shared" si="10"/>
        <v>Promoción</v>
      </c>
      <c r="E867" s="106" t="str">
        <f t="shared" si="11"/>
        <v>Conjunto de acciones orientadas a extender los contenidos del sitio web a la ciudadanía, como la optimización para el posicionamiento en buscadores y difusión en redes sociales.</v>
      </c>
      <c r="F867" s="141" t="str">
        <f t="shared" si="3"/>
        <v>19.3</v>
      </c>
      <c r="G867" s="92" t="str">
        <f t="shared" si="4"/>
        <v>DESEABLES</v>
      </c>
      <c r="H867" s="128"/>
      <c r="I867" s="128" t="str">
        <f t="shared" si="5"/>
        <v/>
      </c>
      <c r="J867" s="98" t="str">
        <f t="shared" si="6"/>
        <v/>
      </c>
      <c r="K867" s="98" t="str">
        <f t="shared" si="7"/>
        <v/>
      </c>
      <c r="L867" s="141" t="str">
        <f t="shared" ref="L867:N867" si="873">IF(I867="",L866,I867)</f>
        <v>19.3.3</v>
      </c>
      <c r="M867" s="98" t="str">
        <f t="shared" si="873"/>
        <v>Escala de grises y alto contraste</v>
      </c>
      <c r="N867" s="98" t="str">
        <f t="shared" si="873"/>
        <v>Opción para que las personas usuarias puedan cambiar los colores del sitio a escala de grises y alto contraste.
</v>
      </c>
      <c r="O867" s="223" t="s">
        <v>1822</v>
      </c>
      <c r="P867" s="133" t="s">
        <v>1823</v>
      </c>
      <c r="Q867" s="133" t="s">
        <v>2031</v>
      </c>
      <c r="R867" s="134"/>
      <c r="S867" s="133" t="s">
        <v>1824</v>
      </c>
      <c r="T867" s="133" t="s">
        <v>1825</v>
      </c>
      <c r="U867" s="94"/>
      <c r="V867" s="94"/>
      <c r="W867" s="94"/>
      <c r="X867" s="94"/>
      <c r="Y867" s="94"/>
      <c r="Z867" s="94"/>
      <c r="AA867" s="94"/>
      <c r="AB867" s="94"/>
      <c r="AC867" s="94"/>
      <c r="AD867" s="94"/>
      <c r="AE867" s="94"/>
      <c r="AF867" s="94"/>
      <c r="AG867" s="94"/>
      <c r="AH867" s="94"/>
      <c r="AI867" s="94"/>
      <c r="AJ867" s="94"/>
      <c r="AK867" s="94"/>
      <c r="AL867" s="94"/>
    </row>
    <row r="868" hidden="1">
      <c r="A868" s="86" t="s">
        <v>1540</v>
      </c>
      <c r="B868" s="95" t="str">
        <f t="shared" si="494"/>
        <v>Otro</v>
      </c>
      <c r="C868" s="106" t="str">
        <f t="shared" si="9"/>
        <v>20.</v>
      </c>
      <c r="D868" s="106" t="str">
        <f t="shared" si="10"/>
        <v>Promoción</v>
      </c>
      <c r="E868" s="106" t="str">
        <f t="shared" si="11"/>
        <v>Conjunto de acciones orientadas a extender los contenidos del sitio web a la ciudadanía, como la optimización para el posicionamiento en buscadores y difusión en redes sociales.</v>
      </c>
      <c r="F868" s="141" t="str">
        <f t="shared" si="3"/>
        <v>20.1</v>
      </c>
      <c r="G868" s="92" t="str">
        <f t="shared" si="4"/>
        <v>IMPRESCINDIBLES</v>
      </c>
      <c r="H868" s="141"/>
      <c r="I868" s="141" t="str">
        <f t="shared" si="5"/>
        <v/>
      </c>
      <c r="J868" s="98" t="str">
        <f t="shared" si="6"/>
        <v/>
      </c>
      <c r="K868" s="98" t="str">
        <f t="shared" si="7"/>
        <v/>
      </c>
      <c r="L868" s="141" t="str">
        <f t="shared" ref="L868:N868" si="874">IF(I868="",L867,I868)</f>
        <v>19.3.3</v>
      </c>
      <c r="M868" s="98" t="str">
        <f t="shared" si="874"/>
        <v>Escala de grises y alto contraste</v>
      </c>
      <c r="N868" s="98" t="str">
        <f t="shared" si="874"/>
        <v>Opción para que las personas usuarias puedan cambiar los colores del sitio a escala de grises y alto contraste.
</v>
      </c>
      <c r="O868" s="152" t="s">
        <v>1532</v>
      </c>
      <c r="P868" s="206" t="s">
        <v>664</v>
      </c>
      <c r="Q868" s="200"/>
      <c r="R868" s="138"/>
      <c r="S868" s="139">
        <f>COUNTA(P869:P877)</f>
        <v>5</v>
      </c>
      <c r="T868" s="140">
        <f>COUNTIF(U869:U877,"n/a")</f>
        <v>0</v>
      </c>
      <c r="U868" s="94"/>
      <c r="V868" s="94"/>
      <c r="W868" s="94"/>
      <c r="X868" s="94"/>
      <c r="Y868" s="94"/>
      <c r="Z868" s="94"/>
      <c r="AA868" s="94"/>
      <c r="AB868" s="94"/>
      <c r="AC868" s="94"/>
      <c r="AD868" s="94"/>
      <c r="AE868" s="94"/>
      <c r="AF868" s="94"/>
      <c r="AG868" s="94"/>
      <c r="AH868" s="94"/>
      <c r="AI868" s="94"/>
      <c r="AJ868" s="94"/>
      <c r="AK868" s="94"/>
      <c r="AL868" s="94"/>
    </row>
    <row r="869" hidden="1">
      <c r="A869" s="105" t="s">
        <v>1540</v>
      </c>
      <c r="B869" s="92" t="str">
        <f t="shared" si="494"/>
        <v>Pregunta</v>
      </c>
      <c r="C869" s="106" t="str">
        <f t="shared" si="9"/>
        <v>20.</v>
      </c>
      <c r="D869" s="106" t="str">
        <f t="shared" si="10"/>
        <v>Promoción</v>
      </c>
      <c r="E869" s="106" t="str">
        <f t="shared" si="11"/>
        <v>Conjunto de acciones orientadas a extender los contenidos del sitio web a la ciudadanía, como la optimización para el posicionamiento en buscadores y difusión en redes sociales.</v>
      </c>
      <c r="F869" s="141" t="str">
        <f t="shared" si="3"/>
        <v>20.1</v>
      </c>
      <c r="G869" s="92" t="str">
        <f t="shared" si="4"/>
        <v>IMPRESCINDIBLES</v>
      </c>
      <c r="H869" s="141"/>
      <c r="I869" s="141" t="str">
        <f t="shared" si="5"/>
        <v>20.1.1</v>
      </c>
      <c r="J869" s="98" t="str">
        <f t="shared" si="6"/>
        <v>Indexación en buscadores</v>
      </c>
      <c r="K869" s="98" t="str">
        <f t="shared" si="7"/>
        <v>Habilitación del acceso de los robots de búsqueda para indexar el sitio mediante el metadato "robots" o el archivo "robots.txt".</v>
      </c>
      <c r="L869" s="141" t="str">
        <f t="shared" ref="L869:N869" si="875">IF(I869="",L868,I869)</f>
        <v>20.1.1</v>
      </c>
      <c r="M869" s="98" t="str">
        <f t="shared" si="875"/>
        <v>Indexación en buscadores</v>
      </c>
      <c r="N869" s="98" t="str">
        <f t="shared" si="875"/>
        <v>Habilitación del acceso de los robots de búsqueda para indexar el sitio mediante el metadato "robots" o el archivo "robots.txt".</v>
      </c>
      <c r="O869" s="207" t="s">
        <v>1533</v>
      </c>
      <c r="P869" s="180" t="s">
        <v>1317</v>
      </c>
      <c r="Q869" s="279" t="s">
        <v>1318</v>
      </c>
      <c r="R869" s="171"/>
      <c r="S869" s="162" t="s">
        <v>2268</v>
      </c>
      <c r="T869" s="160" t="s">
        <v>2033</v>
      </c>
      <c r="U869" s="94"/>
      <c r="V869" s="94"/>
      <c r="W869" s="94"/>
      <c r="X869" s="94"/>
      <c r="Y869" s="94"/>
      <c r="Z869" s="94"/>
      <c r="AA869" s="94"/>
      <c r="AB869" s="94"/>
      <c r="AC869" s="94"/>
      <c r="AD869" s="94"/>
      <c r="AE869" s="94"/>
      <c r="AF869" s="94"/>
      <c r="AG869" s="94"/>
      <c r="AH869" s="94"/>
      <c r="AI869" s="94"/>
      <c r="AJ869" s="94"/>
      <c r="AK869" s="94"/>
      <c r="AL869" s="94"/>
    </row>
    <row r="870" hidden="1">
      <c r="A870" s="86" t="s">
        <v>1540</v>
      </c>
      <c r="B870" s="95" t="str">
        <f t="shared" si="494"/>
        <v>Pregunta</v>
      </c>
      <c r="C870" s="106" t="str">
        <f t="shared" si="9"/>
        <v>20.</v>
      </c>
      <c r="D870" s="106" t="str">
        <f t="shared" si="10"/>
        <v>Promoción</v>
      </c>
      <c r="E870" s="106" t="str">
        <f t="shared" si="11"/>
        <v>Conjunto de acciones orientadas a extender los contenidos del sitio web a la ciudadanía, como la optimización para el posicionamiento en buscadores y difusión en redes sociales.</v>
      </c>
      <c r="F870" s="141" t="str">
        <f t="shared" si="3"/>
        <v>20.1</v>
      </c>
      <c r="G870" s="92" t="str">
        <f t="shared" si="4"/>
        <v>IMPRESCINDIBLES</v>
      </c>
      <c r="H870" s="141"/>
      <c r="I870" s="141" t="str">
        <f t="shared" si="5"/>
        <v/>
      </c>
      <c r="J870" s="98" t="str">
        <f t="shared" si="6"/>
        <v/>
      </c>
      <c r="K870" s="98" t="str">
        <f t="shared" si="7"/>
        <v/>
      </c>
      <c r="L870" s="141" t="str">
        <f t="shared" ref="L870:N870" si="876">IF(I870="",L869,I870)</f>
        <v>20.1.1</v>
      </c>
      <c r="M870" s="98" t="str">
        <f t="shared" si="876"/>
        <v>Indexación en buscadores</v>
      </c>
      <c r="N870" s="98" t="str">
        <f t="shared" si="876"/>
        <v>Habilitación del acceso de los robots de búsqueda para indexar el sitio mediante el metadato "robots" o el archivo "robots.txt".</v>
      </c>
      <c r="O870" s="142"/>
      <c r="P870" s="143"/>
      <c r="Q870" s="295"/>
      <c r="R870" s="168"/>
      <c r="S870" s="169" t="s">
        <v>2269</v>
      </c>
      <c r="T870" s="164" t="s">
        <v>2033</v>
      </c>
      <c r="U870" s="94"/>
      <c r="V870" s="94"/>
      <c r="W870" s="94"/>
      <c r="X870" s="94"/>
      <c r="Y870" s="94"/>
      <c r="Z870" s="94"/>
      <c r="AA870" s="94"/>
      <c r="AB870" s="94"/>
      <c r="AC870" s="94"/>
      <c r="AD870" s="94"/>
      <c r="AE870" s="94"/>
      <c r="AF870" s="94"/>
      <c r="AG870" s="94"/>
      <c r="AH870" s="94"/>
      <c r="AI870" s="94"/>
      <c r="AJ870" s="94"/>
      <c r="AK870" s="94"/>
      <c r="AL870" s="94"/>
    </row>
    <row r="871" hidden="1">
      <c r="A871" s="105" t="s">
        <v>1540</v>
      </c>
      <c r="B871" s="92" t="str">
        <f t="shared" si="494"/>
        <v>Pregunta</v>
      </c>
      <c r="C871" s="106" t="str">
        <f t="shared" si="9"/>
        <v>20.</v>
      </c>
      <c r="D871" s="106" t="str">
        <f t="shared" si="10"/>
        <v>Promoción</v>
      </c>
      <c r="E871" s="106" t="str">
        <f t="shared" si="11"/>
        <v>Conjunto de acciones orientadas a extender los contenidos del sitio web a la ciudadanía, como la optimización para el posicionamiento en buscadores y difusión en redes sociales.</v>
      </c>
      <c r="F871" s="141" t="str">
        <f t="shared" si="3"/>
        <v>20.1</v>
      </c>
      <c r="G871" s="92" t="str">
        <f t="shared" si="4"/>
        <v>IMPRESCINDIBLES</v>
      </c>
      <c r="H871" s="141"/>
      <c r="I871" s="141" t="str">
        <f t="shared" si="5"/>
        <v>20.1.2</v>
      </c>
      <c r="J871" s="98" t="str">
        <f t="shared" si="6"/>
        <v>Títulos indexables</v>
      </c>
      <c r="K871" s="98" t="str">
        <f t="shared" si="7"/>
        <v>Presencia del tema principal de cada página del sitio en su título (etiqueta "title") para garantizar que el propósito de cada una sea claro para los motores de búsqueda.
</v>
      </c>
      <c r="L871" s="141" t="str">
        <f t="shared" ref="L871:N871" si="877">IF(I871="",L870,I871)</f>
        <v>20.1.2</v>
      </c>
      <c r="M871" s="98" t="str">
        <f t="shared" si="877"/>
        <v>Títulos indexables</v>
      </c>
      <c r="N871" s="98" t="str">
        <f t="shared" si="877"/>
        <v>Presencia del tema principal de cada página del sitio en su título (etiqueta "title") para garantizar que el propósito de cada una sea claro para los motores de búsqueda.
</v>
      </c>
      <c r="O871" s="147" t="s">
        <v>1791</v>
      </c>
      <c r="P871" s="148" t="s">
        <v>1333</v>
      </c>
      <c r="Q871" s="148" t="s">
        <v>1334</v>
      </c>
      <c r="R871" s="158"/>
      <c r="S871" s="170" t="s">
        <v>1335</v>
      </c>
      <c r="T871" s="164" t="s">
        <v>2033</v>
      </c>
      <c r="U871" s="94"/>
      <c r="V871" s="94"/>
      <c r="W871" s="94"/>
      <c r="X871" s="94"/>
      <c r="Y871" s="94"/>
      <c r="Z871" s="94"/>
      <c r="AA871" s="94"/>
      <c r="AB871" s="94"/>
      <c r="AC871" s="94"/>
      <c r="AD871" s="94"/>
      <c r="AE871" s="94"/>
      <c r="AF871" s="94"/>
      <c r="AG871" s="94"/>
      <c r="AH871" s="94"/>
      <c r="AI871" s="94"/>
      <c r="AJ871" s="94"/>
      <c r="AK871" s="94"/>
      <c r="AL871" s="94"/>
    </row>
    <row r="872" hidden="1">
      <c r="A872" s="105" t="s">
        <v>1540</v>
      </c>
      <c r="B872" s="92" t="str">
        <f t="shared" si="494"/>
        <v>Pregunta</v>
      </c>
      <c r="C872" s="106" t="str">
        <f t="shared" si="9"/>
        <v>20.</v>
      </c>
      <c r="D872" s="106" t="str">
        <f t="shared" si="10"/>
        <v>Promoción</v>
      </c>
      <c r="E872" s="106" t="str">
        <f t="shared" si="11"/>
        <v>Conjunto de acciones orientadas a extender los contenidos del sitio web a la ciudadanía, como la optimización para el posicionamiento en buscadores y difusión en redes sociales.</v>
      </c>
      <c r="F872" s="141" t="str">
        <f t="shared" si="3"/>
        <v>20.1</v>
      </c>
      <c r="G872" s="92" t="str">
        <f t="shared" si="4"/>
        <v>IMPRESCINDIBLES</v>
      </c>
      <c r="H872" s="141"/>
      <c r="I872" s="141" t="str">
        <f t="shared" si="5"/>
        <v>20.1.3</v>
      </c>
      <c r="J872" s="98" t="str">
        <f t="shared" si="6"/>
        <v>Título principal en "h1"</v>
      </c>
      <c r="K872" s="98" t="str">
        <f t="shared" si="7"/>
        <v>Uso de la etiqueta "h1" para describir el contenido principal de la página; ésta debe estar presente solo una vez en cada una.</v>
      </c>
      <c r="L872" s="141" t="str">
        <f t="shared" ref="L872:N872" si="878">IF(I872="",L871,I872)</f>
        <v>20.1.3</v>
      </c>
      <c r="M872" s="98" t="str">
        <f t="shared" si="878"/>
        <v>Título principal en "h1"</v>
      </c>
      <c r="N872" s="98" t="str">
        <f t="shared" si="878"/>
        <v>Uso de la etiqueta "h1" para describir el contenido principal de la página; ésta debe estar presente solo una vez en cada una.</v>
      </c>
      <c r="O872" s="147" t="s">
        <v>1792</v>
      </c>
      <c r="P872" s="148" t="s">
        <v>1338</v>
      </c>
      <c r="Q872" s="148" t="s">
        <v>1793</v>
      </c>
      <c r="R872" s="158"/>
      <c r="S872" s="170" t="s">
        <v>1340</v>
      </c>
      <c r="T872" s="160" t="s">
        <v>2033</v>
      </c>
      <c r="U872" s="94"/>
      <c r="V872" s="94"/>
      <c r="W872" s="94"/>
      <c r="X872" s="94"/>
      <c r="Y872" s="94"/>
      <c r="Z872" s="94"/>
      <c r="AA872" s="94"/>
      <c r="AB872" s="94"/>
      <c r="AC872" s="94"/>
      <c r="AD872" s="94"/>
      <c r="AE872" s="94"/>
      <c r="AF872" s="94"/>
      <c r="AG872" s="94"/>
      <c r="AH872" s="94"/>
      <c r="AI872" s="94"/>
      <c r="AJ872" s="94"/>
      <c r="AK872" s="94"/>
      <c r="AL872" s="94"/>
    </row>
    <row r="873" hidden="1">
      <c r="A873" s="86" t="s">
        <v>1540</v>
      </c>
      <c r="B873" s="95" t="str">
        <f t="shared" si="494"/>
        <v>Pregunta</v>
      </c>
      <c r="C873" s="106" t="str">
        <f t="shared" si="9"/>
        <v>20.</v>
      </c>
      <c r="D873" s="106" t="str">
        <f t="shared" si="10"/>
        <v>Promoción</v>
      </c>
      <c r="E873" s="106" t="str">
        <f t="shared" si="11"/>
        <v>Conjunto de acciones orientadas a extender los contenidos del sitio web a la ciudadanía, como la optimización para el posicionamiento en buscadores y difusión en redes sociales.</v>
      </c>
      <c r="F873" s="141" t="str">
        <f t="shared" si="3"/>
        <v>20.1</v>
      </c>
      <c r="G873" s="92" t="str">
        <f t="shared" si="4"/>
        <v>IMPRESCINDIBLES</v>
      </c>
      <c r="H873" s="141"/>
      <c r="I873" s="141" t="str">
        <f t="shared" si="5"/>
        <v/>
      </c>
      <c r="J873" s="98" t="str">
        <f t="shared" si="6"/>
        <v/>
      </c>
      <c r="K873" s="98" t="str">
        <f t="shared" si="7"/>
        <v/>
      </c>
      <c r="L873" s="141" t="str">
        <f t="shared" ref="L873:N873" si="879">IF(I873="",L872,I873)</f>
        <v>20.1.3</v>
      </c>
      <c r="M873" s="98" t="str">
        <f t="shared" si="879"/>
        <v>Título principal en "h1"</v>
      </c>
      <c r="N873" s="98" t="str">
        <f t="shared" si="879"/>
        <v>Uso de la etiqueta "h1" para describir el contenido principal de la página; ésta debe estar presente solo una vez en cada una.</v>
      </c>
      <c r="O873" s="152"/>
      <c r="P873" s="153"/>
      <c r="Q873" s="153"/>
      <c r="R873" s="149"/>
      <c r="S873" s="162" t="s">
        <v>1341</v>
      </c>
      <c r="T873" s="160" t="s">
        <v>2033</v>
      </c>
      <c r="U873" s="94"/>
      <c r="V873" s="94"/>
      <c r="W873" s="94"/>
      <c r="X873" s="94"/>
      <c r="Y873" s="94"/>
      <c r="Z873" s="94"/>
      <c r="AA873" s="94"/>
      <c r="AB873" s="94"/>
      <c r="AC873" s="94"/>
      <c r="AD873" s="94"/>
      <c r="AE873" s="94"/>
      <c r="AF873" s="94"/>
      <c r="AG873" s="94"/>
      <c r="AH873" s="94"/>
      <c r="AI873" s="94"/>
      <c r="AJ873" s="94"/>
      <c r="AK873" s="94"/>
      <c r="AL873" s="94"/>
    </row>
    <row r="874" hidden="1">
      <c r="A874" s="86" t="s">
        <v>1540</v>
      </c>
      <c r="B874" s="95" t="str">
        <f t="shared" si="494"/>
        <v>Pregunta</v>
      </c>
      <c r="C874" s="106" t="str">
        <f t="shared" si="9"/>
        <v>20.</v>
      </c>
      <c r="D874" s="106" t="str">
        <f t="shared" si="10"/>
        <v>Promoción</v>
      </c>
      <c r="E874" s="106" t="str">
        <f t="shared" si="11"/>
        <v>Conjunto de acciones orientadas a extender los contenidos del sitio web a la ciudadanía, como la optimización para el posicionamiento en buscadores y difusión en redes sociales.</v>
      </c>
      <c r="F874" s="141" t="str">
        <f t="shared" si="3"/>
        <v>20.1</v>
      </c>
      <c r="G874" s="92" t="str">
        <f t="shared" si="4"/>
        <v>IMPRESCINDIBLES</v>
      </c>
      <c r="H874" s="141"/>
      <c r="I874" s="141" t="str">
        <f t="shared" si="5"/>
        <v/>
      </c>
      <c r="J874" s="98" t="str">
        <f t="shared" si="6"/>
        <v/>
      </c>
      <c r="K874" s="98" t="str">
        <f t="shared" si="7"/>
        <v/>
      </c>
      <c r="L874" s="141" t="str">
        <f t="shared" ref="L874:N874" si="880">IF(I874="",L873,I874)</f>
        <v>20.1.3</v>
      </c>
      <c r="M874" s="98" t="str">
        <f t="shared" si="880"/>
        <v>Título principal en "h1"</v>
      </c>
      <c r="N874" s="98" t="str">
        <f t="shared" si="880"/>
        <v>Uso de la etiqueta "h1" para describir el contenido principal de la página; ésta debe estar presente solo una vez en cada una.</v>
      </c>
      <c r="O874" s="172"/>
      <c r="P874" s="150"/>
      <c r="Q874" s="150"/>
      <c r="R874" s="149"/>
      <c r="S874" s="162" t="s">
        <v>1342</v>
      </c>
      <c r="T874" s="164" t="s">
        <v>2033</v>
      </c>
      <c r="U874" s="94"/>
      <c r="V874" s="94"/>
      <c r="W874" s="94"/>
      <c r="X874" s="94"/>
      <c r="Y874" s="94"/>
      <c r="Z874" s="94"/>
      <c r="AA874" s="94"/>
      <c r="AB874" s="94"/>
      <c r="AC874" s="94"/>
      <c r="AD874" s="94"/>
      <c r="AE874" s="94"/>
      <c r="AF874" s="94"/>
      <c r="AG874" s="94"/>
      <c r="AH874" s="94"/>
      <c r="AI874" s="94"/>
      <c r="AJ874" s="94"/>
      <c r="AK874" s="94"/>
      <c r="AL874" s="94"/>
    </row>
    <row r="875" hidden="1">
      <c r="A875" s="105" t="s">
        <v>1540</v>
      </c>
      <c r="B875" s="92" t="str">
        <f t="shared" si="494"/>
        <v>Pregunta</v>
      </c>
      <c r="C875" s="106" t="str">
        <f t="shared" si="9"/>
        <v>20.</v>
      </c>
      <c r="D875" s="106" t="str">
        <f t="shared" si="10"/>
        <v>Promoción</v>
      </c>
      <c r="E875" s="106" t="str">
        <f t="shared" si="11"/>
        <v>Conjunto de acciones orientadas a extender los contenidos del sitio web a la ciudadanía, como la optimización para el posicionamiento en buscadores y difusión en redes sociales.</v>
      </c>
      <c r="F875" s="141" t="str">
        <f t="shared" si="3"/>
        <v>20.1</v>
      </c>
      <c r="G875" s="92" t="str">
        <f t="shared" si="4"/>
        <v>IMPRESCINDIBLES</v>
      </c>
      <c r="H875" s="141"/>
      <c r="I875" s="141" t="str">
        <f t="shared" si="5"/>
        <v>20.1.4</v>
      </c>
      <c r="J875" s="98" t="str">
        <f t="shared" si="6"/>
        <v>Facilitar compartir en redes sociales</v>
      </c>
      <c r="K875" s="98" t="str">
        <f t="shared" si="7"/>
        <v>Facilidad de compartir a través de redes sociales con el uso de metadatos apropiados para que las páginas de contenidos del sitio web se comparten con una previsualización.</v>
      </c>
      <c r="L875" s="141" t="str">
        <f t="shared" ref="L875:N875" si="881">IF(I875="",L874,I875)</f>
        <v>20.1.4</v>
      </c>
      <c r="M875" s="98" t="str">
        <f t="shared" si="881"/>
        <v>Facilitar compartir en redes sociales</v>
      </c>
      <c r="N875" s="98" t="str">
        <f t="shared" si="881"/>
        <v>Facilidad de compartir a través de redes sociales con el uso de metadatos apropiados para que las páginas de contenidos del sitio web se comparten con una previsualización.</v>
      </c>
      <c r="O875" s="152" t="s">
        <v>1794</v>
      </c>
      <c r="P875" s="153" t="s">
        <v>1344</v>
      </c>
      <c r="Q875" s="153" t="s">
        <v>1795</v>
      </c>
      <c r="R875" s="167"/>
      <c r="S875" s="148" t="s">
        <v>1796</v>
      </c>
      <c r="T875" s="164" t="s">
        <v>2033</v>
      </c>
      <c r="U875" s="94"/>
      <c r="V875" s="94"/>
      <c r="W875" s="94"/>
      <c r="X875" s="94"/>
      <c r="Y875" s="94"/>
      <c r="Z875" s="94"/>
      <c r="AA875" s="94"/>
      <c r="AB875" s="94"/>
      <c r="AC875" s="94"/>
      <c r="AD875" s="94"/>
      <c r="AE875" s="94"/>
      <c r="AF875" s="94"/>
      <c r="AG875" s="94"/>
      <c r="AH875" s="94"/>
      <c r="AI875" s="94"/>
      <c r="AJ875" s="94"/>
      <c r="AK875" s="94"/>
      <c r="AL875" s="94"/>
    </row>
    <row r="876" hidden="1">
      <c r="A876" s="105" t="s">
        <v>1540</v>
      </c>
      <c r="B876" s="92" t="str">
        <f t="shared" si="494"/>
        <v>Pregunta</v>
      </c>
      <c r="C876" s="106" t="str">
        <f t="shared" si="9"/>
        <v>20.</v>
      </c>
      <c r="D876" s="106" t="str">
        <f t="shared" si="10"/>
        <v>Promoción</v>
      </c>
      <c r="E876" s="106" t="str">
        <f t="shared" si="11"/>
        <v>Conjunto de acciones orientadas a extender los contenidos del sitio web a la ciudadanía, como la optimización para el posicionamiento en buscadores y difusión en redes sociales.</v>
      </c>
      <c r="F876" s="141" t="str">
        <f t="shared" si="3"/>
        <v>20.1</v>
      </c>
      <c r="G876" s="92" t="str">
        <f t="shared" si="4"/>
        <v>IMPRESCINDIBLES</v>
      </c>
      <c r="H876" s="141"/>
      <c r="I876" s="141" t="str">
        <f t="shared" si="5"/>
        <v>20.1.5</v>
      </c>
      <c r="J876" s="98" t="str">
        <f t="shared" si="6"/>
        <v>Publicidad en sitio y videos</v>
      </c>
      <c r="K876" s="98" t="str">
        <f t="shared" si="7"/>
        <v>Precaución de no mostrar publicidad que anuncie o promocione productos, servicios o marcas externas a la organización en el sitio web o videos incrustados.</v>
      </c>
      <c r="L876" s="141" t="str">
        <f t="shared" ref="L876:N876" si="882">IF(I876="",L875,I876)</f>
        <v>20.1.5</v>
      </c>
      <c r="M876" s="98" t="str">
        <f t="shared" si="882"/>
        <v>Publicidad en sitio y videos</v>
      </c>
      <c r="N876" s="98" t="str">
        <f t="shared" si="882"/>
        <v>Precaución de no mostrar publicidad que anuncie o promocione productos, servicios o marcas externas a la organización en el sitio web o videos incrustados.</v>
      </c>
      <c r="O876" s="147" t="s">
        <v>1797</v>
      </c>
      <c r="P876" s="148" t="s">
        <v>1348</v>
      </c>
      <c r="Q876" s="148" t="s">
        <v>1798</v>
      </c>
      <c r="R876" s="158"/>
      <c r="S876" s="170" t="s">
        <v>1350</v>
      </c>
      <c r="T876" s="160" t="s">
        <v>2033</v>
      </c>
      <c r="U876" s="94"/>
      <c r="V876" s="94"/>
      <c r="W876" s="94"/>
      <c r="X876" s="94"/>
      <c r="Y876" s="94"/>
      <c r="Z876" s="94"/>
      <c r="AA876" s="94"/>
      <c r="AB876" s="94"/>
      <c r="AC876" s="94"/>
      <c r="AD876" s="94"/>
      <c r="AE876" s="94"/>
      <c r="AF876" s="94"/>
      <c r="AG876" s="94"/>
      <c r="AH876" s="94"/>
      <c r="AI876" s="94"/>
      <c r="AJ876" s="94"/>
      <c r="AK876" s="94"/>
      <c r="AL876" s="94"/>
    </row>
    <row r="877" hidden="1">
      <c r="A877" s="86" t="s">
        <v>1540</v>
      </c>
      <c r="B877" s="95" t="str">
        <f t="shared" si="494"/>
        <v>Pregunta</v>
      </c>
      <c r="C877" s="106" t="str">
        <f t="shared" si="9"/>
        <v>20.</v>
      </c>
      <c r="D877" s="106" t="str">
        <f t="shared" si="10"/>
        <v>Promoción</v>
      </c>
      <c r="E877" s="106" t="str">
        <f t="shared" si="11"/>
        <v>Conjunto de acciones orientadas a extender los contenidos del sitio web a la ciudadanía, como la optimización para el posicionamiento en buscadores y difusión en redes sociales.</v>
      </c>
      <c r="F877" s="141" t="str">
        <f t="shared" si="3"/>
        <v>20.1</v>
      </c>
      <c r="G877" s="92" t="str">
        <f t="shared" si="4"/>
        <v>IMPRESCINDIBLES</v>
      </c>
      <c r="H877" s="141"/>
      <c r="I877" s="141" t="str">
        <f t="shared" si="5"/>
        <v/>
      </c>
      <c r="J877" s="98" t="str">
        <f t="shared" si="6"/>
        <v/>
      </c>
      <c r="K877" s="98" t="str">
        <f t="shared" si="7"/>
        <v/>
      </c>
      <c r="L877" s="141" t="str">
        <f t="shared" ref="L877:N877" si="883">IF(I877="",L876,I877)</f>
        <v>20.1.5</v>
      </c>
      <c r="M877" s="98" t="str">
        <f t="shared" si="883"/>
        <v>Publicidad en sitio y videos</v>
      </c>
      <c r="N877" s="98" t="str">
        <f t="shared" si="883"/>
        <v>Precaución de no mostrar publicidad que anuncie o promocione productos, servicios o marcas externas a la organización en el sitio web o videos incrustados.</v>
      </c>
      <c r="O877" s="142"/>
      <c r="P877" s="143"/>
      <c r="Q877" s="143"/>
      <c r="R877" s="168"/>
      <c r="S877" s="169" t="s">
        <v>2270</v>
      </c>
      <c r="T877" s="164" t="s">
        <v>2033</v>
      </c>
      <c r="U877" s="94"/>
      <c r="V877" s="94"/>
      <c r="W877" s="94"/>
      <c r="X877" s="94"/>
      <c r="Y877" s="94"/>
      <c r="Z877" s="94"/>
      <c r="AA877" s="94"/>
      <c r="AB877" s="94"/>
      <c r="AC877" s="94"/>
      <c r="AD877" s="94"/>
      <c r="AE877" s="94"/>
      <c r="AF877" s="94"/>
      <c r="AG877" s="94"/>
      <c r="AH877" s="94"/>
      <c r="AI877" s="94"/>
      <c r="AJ877" s="94"/>
      <c r="AK877" s="94"/>
      <c r="AL877" s="94"/>
    </row>
    <row r="878" hidden="1">
      <c r="A878" s="86" t="s">
        <v>1540</v>
      </c>
      <c r="B878" s="95" t="str">
        <f t="shared" si="494"/>
        <v>Otro</v>
      </c>
      <c r="C878" s="106" t="str">
        <f t="shared" si="9"/>
        <v>20.</v>
      </c>
      <c r="D878" s="106" t="str">
        <f t="shared" si="10"/>
        <v>Promoción</v>
      </c>
      <c r="E878" s="106" t="str">
        <f t="shared" si="11"/>
        <v>Conjunto de acciones orientadas a extender los contenidos del sitio web a la ciudadanía, como la optimización para el posicionamiento en buscadores y difusión en redes sociales.</v>
      </c>
      <c r="F878" s="141" t="str">
        <f t="shared" si="3"/>
        <v>20.2</v>
      </c>
      <c r="G878" s="92" t="str">
        <f t="shared" si="4"/>
        <v>ESPERABLES</v>
      </c>
      <c r="H878" s="141"/>
      <c r="I878" s="141" t="str">
        <f t="shared" si="5"/>
        <v/>
      </c>
      <c r="J878" s="98" t="str">
        <f t="shared" si="6"/>
        <v/>
      </c>
      <c r="K878" s="98" t="str">
        <f t="shared" si="7"/>
        <v/>
      </c>
      <c r="L878" s="141" t="str">
        <f t="shared" ref="L878:N878" si="884">IF(I878="",L877,I878)</f>
        <v>20.1.5</v>
      </c>
      <c r="M878" s="98" t="str">
        <f t="shared" si="884"/>
        <v>Publicidad en sitio y videos</v>
      </c>
      <c r="N878" s="98" t="str">
        <f t="shared" si="884"/>
        <v>Precaución de no mostrar publicidad que anuncie o promocione productos, servicios o marcas externas a la organización en el sitio web o videos incrustados.</v>
      </c>
      <c r="O878" s="291" t="s">
        <v>1799</v>
      </c>
      <c r="P878" s="196" t="s">
        <v>714</v>
      </c>
      <c r="Q878" s="177"/>
      <c r="R878" s="177"/>
      <c r="S878" s="197">
        <f>COUNTA(P879:P882)</f>
        <v>2</v>
      </c>
      <c r="T878" s="197">
        <f>COUNTIF(U879:U882,"n/a")</f>
        <v>0</v>
      </c>
      <c r="U878" s="94"/>
      <c r="V878" s="94"/>
      <c r="W878" s="94"/>
      <c r="X878" s="94"/>
      <c r="Y878" s="94"/>
      <c r="Z878" s="94"/>
      <c r="AA878" s="94"/>
      <c r="AB878" s="94"/>
      <c r="AC878" s="94"/>
      <c r="AD878" s="94"/>
      <c r="AE878" s="94"/>
      <c r="AF878" s="94"/>
      <c r="AG878" s="94"/>
      <c r="AH878" s="94"/>
      <c r="AI878" s="94"/>
      <c r="AJ878" s="94"/>
      <c r="AK878" s="94"/>
      <c r="AL878" s="94"/>
    </row>
    <row r="879" hidden="1">
      <c r="A879" s="105" t="s">
        <v>1540</v>
      </c>
      <c r="B879" s="92" t="str">
        <f t="shared" si="494"/>
        <v>Pregunta</v>
      </c>
      <c r="C879" s="106" t="str">
        <f t="shared" si="9"/>
        <v>20.</v>
      </c>
      <c r="D879" s="106" t="str">
        <f t="shared" si="10"/>
        <v>Promoción</v>
      </c>
      <c r="E879" s="106" t="str">
        <f t="shared" si="11"/>
        <v>Conjunto de acciones orientadas a extender los contenidos del sitio web a la ciudadanía, como la optimización para el posicionamiento en buscadores y difusión en redes sociales.</v>
      </c>
      <c r="F879" s="141" t="str">
        <f t="shared" si="3"/>
        <v>20.2</v>
      </c>
      <c r="G879" s="92" t="str">
        <f t="shared" si="4"/>
        <v>ESPERABLES</v>
      </c>
      <c r="H879" s="141"/>
      <c r="I879" s="141" t="str">
        <f t="shared" si="5"/>
        <v>20.2.1</v>
      </c>
      <c r="J879" s="98" t="str">
        <f t="shared" si="6"/>
        <v>Metadescripción de páginas</v>
      </c>
      <c r="K879" s="98" t="str">
        <f t="shared" si="7"/>
        <v>Correcta descripción de cada página al entregar información sobre su contenido en la meta etiqueta "description".</v>
      </c>
      <c r="L879" s="141" t="str">
        <f t="shared" ref="L879:N879" si="885">IF(I879="",L878,I879)</f>
        <v>20.2.1</v>
      </c>
      <c r="M879" s="98" t="str">
        <f t="shared" si="885"/>
        <v>Metadescripción de páginas</v>
      </c>
      <c r="N879" s="98" t="str">
        <f t="shared" si="885"/>
        <v>Correcta descripción de cada página al entregar información sobre su contenido en la meta etiqueta "description".</v>
      </c>
      <c r="O879" s="147" t="s">
        <v>1800</v>
      </c>
      <c r="P879" s="148" t="s">
        <v>1359</v>
      </c>
      <c r="Q879" s="148" t="s">
        <v>1360</v>
      </c>
      <c r="R879" s="158"/>
      <c r="S879" s="349" t="s">
        <v>2271</v>
      </c>
      <c r="T879" s="164" t="s">
        <v>2033</v>
      </c>
      <c r="U879" s="94"/>
      <c r="V879" s="94"/>
      <c r="W879" s="94"/>
      <c r="X879" s="94"/>
      <c r="Y879" s="94"/>
      <c r="Z879" s="94"/>
      <c r="AA879" s="94"/>
      <c r="AB879" s="94"/>
      <c r="AC879" s="94"/>
      <c r="AD879" s="94"/>
      <c r="AE879" s="94"/>
      <c r="AF879" s="94"/>
      <c r="AG879" s="94"/>
      <c r="AH879" s="94"/>
      <c r="AI879" s="94"/>
      <c r="AJ879" s="94"/>
      <c r="AK879" s="94"/>
      <c r="AL879" s="94"/>
    </row>
    <row r="880" hidden="1">
      <c r="A880" s="105" t="s">
        <v>1540</v>
      </c>
      <c r="B880" s="98" t="str">
        <f t="shared" si="494"/>
        <v>Pregunta</v>
      </c>
      <c r="C880" s="106" t="str">
        <f t="shared" si="9"/>
        <v>20.</v>
      </c>
      <c r="D880" s="106" t="str">
        <f t="shared" si="10"/>
        <v>Promoción</v>
      </c>
      <c r="E880" s="106" t="str">
        <f t="shared" si="11"/>
        <v>Conjunto de acciones orientadas a extender los contenidos del sitio web a la ciudadanía, como la optimización para el posicionamiento en buscadores y difusión en redes sociales.</v>
      </c>
      <c r="F880" s="141" t="str">
        <f t="shared" si="3"/>
        <v>20.2</v>
      </c>
      <c r="G880" s="92" t="str">
        <f t="shared" si="4"/>
        <v>ESPERABLES</v>
      </c>
      <c r="H880" s="141"/>
      <c r="I880" s="141" t="str">
        <f t="shared" si="5"/>
        <v>20.2.2</v>
      </c>
      <c r="J880" s="98" t="str">
        <f t="shared" si="6"/>
        <v>Patrones engañosos</v>
      </c>
      <c r="K880" s="98" t="str">
        <f t="shared" si="7"/>
        <v>Estrategias y técnicas poco éticas que se utilizan en los sitios web, que obligan a las personas usuarias a realizar una acción que no desean, cómo comprar un producto o registrarse en algún servicio.
</v>
      </c>
      <c r="L880" s="141" t="str">
        <f t="shared" ref="L880:N880" si="886">IF(I880="",L879,I880)</f>
        <v>20.2.2</v>
      </c>
      <c r="M880" s="98" t="str">
        <f t="shared" si="886"/>
        <v>Patrones engañosos</v>
      </c>
      <c r="N880" s="98" t="str">
        <f t="shared" si="886"/>
        <v>Estrategias y técnicas poco éticas que se utilizan en los sitios web, que obligan a las personas usuarias a realizar una acción que no desean, cómo comprar un producto o registrarse en algún servicio.
</v>
      </c>
      <c r="O880" s="147" t="s">
        <v>1802</v>
      </c>
      <c r="P880" s="350" t="s">
        <v>1365</v>
      </c>
      <c r="Q880" s="350" t="s">
        <v>1803</v>
      </c>
      <c r="R880" s="298"/>
      <c r="S880" s="351" t="s">
        <v>1367</v>
      </c>
      <c r="T880" s="160" t="s">
        <v>2033</v>
      </c>
      <c r="U880" s="94"/>
      <c r="V880" s="94"/>
      <c r="W880" s="94"/>
      <c r="X880" s="94"/>
      <c r="Y880" s="94"/>
      <c r="Z880" s="94"/>
      <c r="AA880" s="94"/>
      <c r="AB880" s="94"/>
      <c r="AC880" s="94"/>
      <c r="AD880" s="94"/>
      <c r="AE880" s="94"/>
      <c r="AF880" s="94"/>
      <c r="AG880" s="94"/>
      <c r="AH880" s="94"/>
      <c r="AI880" s="94"/>
      <c r="AJ880" s="94"/>
      <c r="AK880" s="94"/>
      <c r="AL880" s="94"/>
    </row>
    <row r="881" hidden="1">
      <c r="A881" s="86" t="s">
        <v>1540</v>
      </c>
      <c r="B881" s="95" t="str">
        <f t="shared" si="494"/>
        <v>Pregunta</v>
      </c>
      <c r="C881" s="106" t="str">
        <f t="shared" si="9"/>
        <v>20.</v>
      </c>
      <c r="D881" s="106" t="str">
        <f t="shared" si="10"/>
        <v>Promoción</v>
      </c>
      <c r="E881" s="106" t="str">
        <f t="shared" si="11"/>
        <v>Conjunto de acciones orientadas a extender los contenidos del sitio web a la ciudadanía, como la optimización para el posicionamiento en buscadores y difusión en redes sociales.</v>
      </c>
      <c r="F881" s="141" t="str">
        <f t="shared" si="3"/>
        <v>20.2</v>
      </c>
      <c r="G881" s="92" t="str">
        <f t="shared" si="4"/>
        <v>ESPERABLES</v>
      </c>
      <c r="H881" s="141"/>
      <c r="I881" s="141" t="str">
        <f t="shared" si="5"/>
        <v/>
      </c>
      <c r="J881" s="98" t="str">
        <f t="shared" si="6"/>
        <v/>
      </c>
      <c r="K881" s="98" t="str">
        <f t="shared" si="7"/>
        <v/>
      </c>
      <c r="L881" s="141" t="str">
        <f t="shared" ref="L881:N881" si="887">IF(I881="",L880,I881)</f>
        <v>20.2.2</v>
      </c>
      <c r="M881" s="98" t="str">
        <f t="shared" si="887"/>
        <v>Patrones engañosos</v>
      </c>
      <c r="N881" s="98" t="str">
        <f t="shared" si="887"/>
        <v>Estrategias y técnicas poco éticas que se utilizan en los sitios web, que obligan a las personas usuarias a realizar una acción que no desean, cómo comprar un producto o registrarse en algún servicio.
</v>
      </c>
      <c r="O881" s="152"/>
      <c r="P881" s="297"/>
      <c r="Q881" s="297"/>
      <c r="R881" s="161"/>
      <c r="S881" s="352" t="s">
        <v>1368</v>
      </c>
      <c r="T881" s="160" t="s">
        <v>2033</v>
      </c>
      <c r="U881" s="94"/>
      <c r="V881" s="94"/>
      <c r="W881" s="94"/>
      <c r="X881" s="94"/>
      <c r="Y881" s="94"/>
      <c r="Z881" s="94"/>
      <c r="AA881" s="94"/>
      <c r="AB881" s="94"/>
      <c r="AC881" s="94"/>
      <c r="AD881" s="94"/>
      <c r="AE881" s="94"/>
      <c r="AF881" s="94"/>
      <c r="AG881" s="94"/>
      <c r="AH881" s="94"/>
      <c r="AI881" s="94"/>
      <c r="AJ881" s="94"/>
      <c r="AK881" s="94"/>
      <c r="AL881" s="94"/>
    </row>
    <row r="882" hidden="1">
      <c r="A882" s="86" t="s">
        <v>1540</v>
      </c>
      <c r="B882" s="95" t="str">
        <f t="shared" si="494"/>
        <v>Pregunta</v>
      </c>
      <c r="C882" s="106" t="str">
        <f t="shared" si="9"/>
        <v>20.</v>
      </c>
      <c r="D882" s="106" t="str">
        <f t="shared" si="10"/>
        <v>Promoción</v>
      </c>
      <c r="E882" s="106" t="str">
        <f t="shared" si="11"/>
        <v>Conjunto de acciones orientadas a extender los contenidos del sitio web a la ciudadanía, como la optimización para el posicionamiento en buscadores y difusión en redes sociales.</v>
      </c>
      <c r="F882" s="141" t="str">
        <f t="shared" si="3"/>
        <v>20.2</v>
      </c>
      <c r="G882" s="92" t="str">
        <f t="shared" si="4"/>
        <v>ESPERABLES</v>
      </c>
      <c r="H882" s="141"/>
      <c r="I882" s="141" t="str">
        <f t="shared" si="5"/>
        <v/>
      </c>
      <c r="J882" s="98" t="str">
        <f t="shared" si="6"/>
        <v/>
      </c>
      <c r="K882" s="98" t="str">
        <f t="shared" si="7"/>
        <v/>
      </c>
      <c r="L882" s="141" t="str">
        <f t="shared" ref="L882:N882" si="888">IF(I882="",L881,I882)</f>
        <v>20.2.2</v>
      </c>
      <c r="M882" s="98" t="str">
        <f t="shared" si="888"/>
        <v>Patrones engañosos</v>
      </c>
      <c r="N882" s="98" t="str">
        <f t="shared" si="888"/>
        <v>Estrategias y técnicas poco éticas que se utilizan en los sitios web, que obligan a las personas usuarias a realizar una acción que no desean, cómo comprar un producto o registrarse en algún servicio.
</v>
      </c>
      <c r="O882" s="142"/>
      <c r="P882" s="353"/>
      <c r="Q882" s="353"/>
      <c r="R882" s="168"/>
      <c r="S882" s="169" t="s">
        <v>1805</v>
      </c>
      <c r="T882" s="164" t="s">
        <v>2033</v>
      </c>
      <c r="U882" s="94"/>
      <c r="V882" s="94"/>
      <c r="W882" s="94"/>
      <c r="X882" s="94"/>
      <c r="Y882" s="94"/>
      <c r="Z882" s="94"/>
      <c r="AA882" s="94"/>
      <c r="AB882" s="94"/>
      <c r="AC882" s="94"/>
      <c r="AD882" s="94"/>
      <c r="AE882" s="94"/>
      <c r="AF882" s="94"/>
      <c r="AG882" s="94"/>
      <c r="AH882" s="94"/>
      <c r="AI882" s="94"/>
      <c r="AJ882" s="94"/>
      <c r="AK882" s="94"/>
      <c r="AL882" s="94"/>
    </row>
    <row r="883" hidden="1">
      <c r="A883" s="86" t="s">
        <v>1540</v>
      </c>
      <c r="B883" s="95" t="str">
        <f t="shared" si="494"/>
        <v>Otro</v>
      </c>
      <c r="C883" s="106" t="str">
        <f t="shared" si="9"/>
        <v>20.</v>
      </c>
      <c r="D883" s="106" t="str">
        <f t="shared" si="10"/>
        <v>Promoción</v>
      </c>
      <c r="E883" s="106" t="str">
        <f t="shared" si="11"/>
        <v>Conjunto de acciones orientadas a extender los contenidos del sitio web a la ciudadanía, como la optimización para el posicionamiento en buscadores y difusión en redes sociales.</v>
      </c>
      <c r="F883" s="141" t="str">
        <f t="shared" si="3"/>
        <v>20.3</v>
      </c>
      <c r="G883" s="98" t="str">
        <f t="shared" si="4"/>
        <v>DESEABLES</v>
      </c>
      <c r="H883" s="141"/>
      <c r="I883" s="141" t="str">
        <f t="shared" si="5"/>
        <v/>
      </c>
      <c r="J883" s="98" t="str">
        <f t="shared" si="6"/>
        <v/>
      </c>
      <c r="K883" s="98" t="str">
        <f t="shared" si="7"/>
        <v/>
      </c>
      <c r="L883" s="141" t="str">
        <f t="shared" ref="L883:N883" si="889">IF(I883="",L882,I883)</f>
        <v>20.2.2</v>
      </c>
      <c r="M883" s="98" t="str">
        <f t="shared" si="889"/>
        <v>Patrones engañosos</v>
      </c>
      <c r="N883" s="98" t="str">
        <f t="shared" si="889"/>
        <v>Estrategias y técnicas poco éticas que se utilizan en los sitios web, que obligan a las personas usuarias a realizar una acción que no desean, cómo comprar un producto o registrarse en algún servicio.
</v>
      </c>
      <c r="O883" s="289" t="s">
        <v>1804</v>
      </c>
      <c r="P883" s="354" t="s">
        <v>749</v>
      </c>
      <c r="Q883" s="355"/>
      <c r="R883" s="183"/>
      <c r="S883" s="356">
        <f>COUNTA(P884)</f>
        <v>1</v>
      </c>
      <c r="T883" s="356">
        <f>COUNTIF(U884,"n/a")</f>
        <v>0</v>
      </c>
      <c r="U883" s="94"/>
      <c r="V883" s="94"/>
      <c r="W883" s="94"/>
      <c r="X883" s="94"/>
      <c r="Y883" s="94"/>
      <c r="Z883" s="94"/>
      <c r="AA883" s="94"/>
      <c r="AB883" s="94"/>
      <c r="AC883" s="94"/>
      <c r="AD883" s="94"/>
      <c r="AE883" s="94"/>
      <c r="AF883" s="94"/>
      <c r="AG883" s="94"/>
      <c r="AH883" s="94"/>
      <c r="AI883" s="94"/>
      <c r="AJ883" s="94"/>
      <c r="AK883" s="94"/>
      <c r="AL883" s="94"/>
    </row>
    <row r="884" hidden="1">
      <c r="A884" s="86" t="s">
        <v>1540</v>
      </c>
      <c r="B884" s="92" t="str">
        <f t="shared" si="494"/>
        <v>Pregunta</v>
      </c>
      <c r="C884" s="106" t="str">
        <f t="shared" si="9"/>
        <v>20.</v>
      </c>
      <c r="D884" s="106" t="str">
        <f t="shared" si="10"/>
        <v>Promoción</v>
      </c>
      <c r="E884" s="106" t="str">
        <f t="shared" si="11"/>
        <v>Conjunto de acciones orientadas a extender los contenidos del sitio web a la ciudadanía, como la optimización para el posicionamiento en buscadores y difusión en redes sociales.</v>
      </c>
      <c r="F884" s="141" t="str">
        <f t="shared" si="3"/>
        <v>20.3</v>
      </c>
      <c r="G884" s="98" t="str">
        <f t="shared" si="4"/>
        <v>DESEABLES</v>
      </c>
      <c r="H884" s="141"/>
      <c r="I884" s="141" t="str">
        <f t="shared" si="5"/>
        <v>20.3.1</v>
      </c>
      <c r="J884" s="98" t="str">
        <f t="shared" si="6"/>
        <v>Dominio representativo</v>
      </c>
      <c r="K884" s="98" t="str">
        <f t="shared" si="7"/>
        <v>Representatividad del tema principal de la institución en el dominio del sitio web.</v>
      </c>
      <c r="L884" s="141" t="str">
        <f t="shared" ref="L884:N884" si="890">IF(I884="",L883,I884)</f>
        <v>20.3.1</v>
      </c>
      <c r="M884" s="98" t="str">
        <f t="shared" si="890"/>
        <v>Dominio representativo</v>
      </c>
      <c r="N884" s="98" t="str">
        <f t="shared" si="890"/>
        <v>Representatividad del tema principal de la institución en el dominio del sitio web.</v>
      </c>
      <c r="O884" s="165" t="s">
        <v>1806</v>
      </c>
      <c r="P884" s="357" t="s">
        <v>1380</v>
      </c>
      <c r="Q884" s="358" t="s">
        <v>1381</v>
      </c>
      <c r="R884" s="211"/>
      <c r="S884" s="166" t="s">
        <v>1382</v>
      </c>
      <c r="T884" s="164" t="s">
        <v>2033</v>
      </c>
      <c r="U884" s="94"/>
      <c r="V884" s="94"/>
      <c r="W884" s="94"/>
      <c r="X884" s="94"/>
      <c r="Y884" s="94"/>
      <c r="Z884" s="94"/>
      <c r="AA884" s="94"/>
      <c r="AB884" s="94"/>
      <c r="AC884" s="94"/>
      <c r="AD884" s="94"/>
      <c r="AE884" s="94"/>
      <c r="AF884" s="94"/>
      <c r="AG884" s="94"/>
      <c r="AH884" s="94"/>
      <c r="AI884" s="94"/>
      <c r="AJ884" s="94"/>
      <c r="AK884" s="94"/>
      <c r="AL884" s="94"/>
    </row>
    <row r="885" hidden="1">
      <c r="A885" s="92"/>
      <c r="B885" s="93"/>
      <c r="C885" s="93"/>
      <c r="D885" s="93"/>
      <c r="E885" s="93"/>
      <c r="F885" s="93"/>
      <c r="G885" s="92"/>
      <c r="H885" s="93"/>
      <c r="I885" s="93"/>
      <c r="J885" s="92"/>
      <c r="K885" s="92"/>
      <c r="L885" s="93"/>
      <c r="M885" s="92"/>
      <c r="N885" s="92"/>
      <c r="O885" s="94"/>
      <c r="P885" s="94"/>
      <c r="Q885" s="94"/>
      <c r="R885" s="94"/>
      <c r="S885" s="94"/>
      <c r="T885" s="94"/>
      <c r="U885" s="94"/>
      <c r="V885" s="94"/>
      <c r="W885" s="94"/>
      <c r="X885" s="94"/>
      <c r="Y885" s="94"/>
      <c r="Z885" s="94"/>
      <c r="AA885" s="94"/>
      <c r="AB885" s="94"/>
      <c r="AC885" s="94"/>
      <c r="AD885" s="94"/>
      <c r="AE885" s="94"/>
      <c r="AF885" s="94"/>
      <c r="AG885" s="94"/>
      <c r="AH885" s="94"/>
      <c r="AI885" s="94"/>
      <c r="AJ885" s="94"/>
      <c r="AK885" s="94"/>
      <c r="AL885" s="94"/>
    </row>
    <row r="886" hidden="1">
      <c r="A886" s="92"/>
      <c r="B886" s="93"/>
      <c r="C886" s="93"/>
      <c r="D886" s="93"/>
      <c r="E886" s="93"/>
      <c r="F886" s="93"/>
      <c r="G886" s="92"/>
      <c r="H886" s="93"/>
      <c r="I886" s="93"/>
      <c r="J886" s="92"/>
      <c r="K886" s="92"/>
      <c r="L886" s="93"/>
      <c r="M886" s="92"/>
      <c r="N886" s="92"/>
      <c r="O886" s="94"/>
      <c r="P886" s="94"/>
      <c r="Q886" s="94"/>
      <c r="R886" s="94"/>
      <c r="S886" s="94"/>
      <c r="T886" s="94"/>
      <c r="U886" s="94"/>
      <c r="V886" s="94"/>
      <c r="W886" s="94"/>
      <c r="X886" s="94"/>
      <c r="Y886" s="94"/>
      <c r="Z886" s="94"/>
      <c r="AA886" s="94"/>
      <c r="AB886" s="94"/>
      <c r="AC886" s="94"/>
      <c r="AD886" s="94"/>
      <c r="AE886" s="94"/>
      <c r="AF886" s="94"/>
      <c r="AG886" s="94"/>
      <c r="AH886" s="94"/>
      <c r="AI886" s="94"/>
      <c r="AJ886" s="94"/>
      <c r="AK886" s="94"/>
      <c r="AL886" s="94"/>
    </row>
    <row r="887" hidden="1">
      <c r="A887" s="92"/>
      <c r="B887" s="93"/>
      <c r="C887" s="93"/>
      <c r="D887" s="93"/>
      <c r="E887" s="93"/>
      <c r="F887" s="93"/>
      <c r="G887" s="92"/>
      <c r="H887" s="93"/>
      <c r="I887" s="93"/>
      <c r="J887" s="92"/>
      <c r="K887" s="92"/>
      <c r="L887" s="93"/>
      <c r="M887" s="92"/>
      <c r="N887" s="92"/>
      <c r="O887" s="94"/>
      <c r="P887" s="94"/>
      <c r="Q887" s="94"/>
      <c r="R887" s="94"/>
      <c r="S887" s="94"/>
      <c r="T887" s="94"/>
      <c r="U887" s="94"/>
      <c r="V887" s="94"/>
      <c r="W887" s="94"/>
      <c r="X887" s="94"/>
      <c r="Y887" s="94"/>
      <c r="Z887" s="94"/>
      <c r="AA887" s="94"/>
      <c r="AB887" s="94"/>
      <c r="AC887" s="94"/>
      <c r="AD887" s="94"/>
      <c r="AE887" s="94"/>
      <c r="AF887" s="94"/>
      <c r="AG887" s="94"/>
      <c r="AH887" s="94"/>
      <c r="AI887" s="94"/>
      <c r="AJ887" s="94"/>
      <c r="AK887" s="94"/>
      <c r="AL887" s="94"/>
    </row>
    <row r="888" hidden="1">
      <c r="A888" s="92"/>
      <c r="B888" s="93"/>
      <c r="C888" s="93"/>
      <c r="D888" s="93"/>
      <c r="E888" s="93"/>
      <c r="F888" s="93"/>
      <c r="G888" s="92"/>
      <c r="H888" s="93"/>
      <c r="I888" s="93"/>
      <c r="J888" s="92"/>
      <c r="K888" s="92"/>
      <c r="L888" s="93"/>
      <c r="M888" s="92"/>
      <c r="N888" s="92"/>
      <c r="O888" s="94"/>
      <c r="P888" s="94"/>
      <c r="Q888" s="94"/>
      <c r="R888" s="94"/>
      <c r="S888" s="94"/>
      <c r="T888" s="94"/>
      <c r="U888" s="94"/>
      <c r="V888" s="94"/>
      <c r="W888" s="94"/>
      <c r="X888" s="94"/>
      <c r="Y888" s="94"/>
      <c r="Z888" s="94"/>
      <c r="AA888" s="94"/>
      <c r="AB888" s="94"/>
      <c r="AC888" s="94"/>
      <c r="AD888" s="94"/>
      <c r="AE888" s="94"/>
      <c r="AF888" s="94"/>
      <c r="AG888" s="94"/>
      <c r="AH888" s="94"/>
      <c r="AI888" s="94"/>
      <c r="AJ888" s="94"/>
      <c r="AK888" s="94"/>
      <c r="AL888" s="94"/>
    </row>
    <row r="889" hidden="1">
      <c r="A889" s="92"/>
      <c r="B889" s="93"/>
      <c r="C889" s="93"/>
      <c r="D889" s="93"/>
      <c r="E889" s="93"/>
      <c r="F889" s="93"/>
      <c r="G889" s="92"/>
      <c r="H889" s="93"/>
      <c r="I889" s="93"/>
      <c r="J889" s="92"/>
      <c r="K889" s="92"/>
      <c r="L889" s="93"/>
      <c r="M889" s="92"/>
      <c r="N889" s="92"/>
      <c r="O889" s="94"/>
      <c r="P889" s="94"/>
      <c r="Q889" s="94"/>
      <c r="R889" s="94"/>
      <c r="S889" s="94"/>
      <c r="T889" s="94"/>
      <c r="U889" s="94"/>
      <c r="V889" s="94"/>
      <c r="W889" s="94"/>
      <c r="X889" s="94"/>
      <c r="Y889" s="94"/>
      <c r="Z889" s="94"/>
      <c r="AA889" s="94"/>
      <c r="AB889" s="94"/>
      <c r="AC889" s="94"/>
      <c r="AD889" s="94"/>
      <c r="AE889" s="94"/>
      <c r="AF889" s="94"/>
      <c r="AG889" s="94"/>
      <c r="AH889" s="94"/>
      <c r="AI889" s="94"/>
      <c r="AJ889" s="94"/>
      <c r="AK889" s="94"/>
      <c r="AL889" s="94"/>
    </row>
    <row r="890" hidden="1">
      <c r="A890" s="92"/>
      <c r="B890" s="93"/>
      <c r="C890" s="93"/>
      <c r="D890" s="93"/>
      <c r="E890" s="93"/>
      <c r="F890" s="93"/>
      <c r="G890" s="92"/>
      <c r="H890" s="93"/>
      <c r="I890" s="93"/>
      <c r="J890" s="92"/>
      <c r="K890" s="92"/>
      <c r="L890" s="93"/>
      <c r="M890" s="92"/>
      <c r="N890" s="92"/>
      <c r="O890" s="94"/>
      <c r="P890" s="94"/>
      <c r="Q890" s="94"/>
      <c r="R890" s="94"/>
      <c r="S890" s="94"/>
      <c r="T890" s="94"/>
      <c r="U890" s="94"/>
      <c r="V890" s="94"/>
      <c r="W890" s="94"/>
      <c r="X890" s="94"/>
      <c r="Y890" s="94"/>
      <c r="Z890" s="94"/>
      <c r="AA890" s="94"/>
      <c r="AB890" s="94"/>
      <c r="AC890" s="94"/>
      <c r="AD890" s="94"/>
      <c r="AE890" s="94"/>
      <c r="AF890" s="94"/>
      <c r="AG890" s="94"/>
      <c r="AH890" s="94"/>
      <c r="AI890" s="94"/>
      <c r="AJ890" s="94"/>
      <c r="AK890" s="94"/>
      <c r="AL890" s="94"/>
    </row>
    <row r="891" hidden="1">
      <c r="A891" s="92"/>
      <c r="B891" s="93"/>
      <c r="C891" s="93"/>
      <c r="D891" s="93"/>
      <c r="E891" s="93"/>
      <c r="F891" s="93"/>
      <c r="G891" s="92"/>
      <c r="H891" s="93"/>
      <c r="I891" s="93"/>
      <c r="J891" s="92"/>
      <c r="K891" s="92"/>
      <c r="L891" s="93"/>
      <c r="M891" s="92"/>
      <c r="N891" s="92"/>
      <c r="O891" s="94"/>
      <c r="P891" s="94"/>
      <c r="Q891" s="94"/>
      <c r="R891" s="94"/>
      <c r="S891" s="94"/>
      <c r="T891" s="94"/>
      <c r="U891" s="94"/>
      <c r="V891" s="94"/>
      <c r="W891" s="94"/>
      <c r="X891" s="94"/>
      <c r="Y891" s="94"/>
      <c r="Z891" s="94"/>
      <c r="AA891" s="94"/>
      <c r="AB891" s="94"/>
      <c r="AC891" s="94"/>
      <c r="AD891" s="94"/>
      <c r="AE891" s="94"/>
      <c r="AF891" s="94"/>
      <c r="AG891" s="94"/>
      <c r="AH891" s="94"/>
      <c r="AI891" s="94"/>
      <c r="AJ891" s="94"/>
      <c r="AK891" s="94"/>
      <c r="AL891" s="94"/>
    </row>
    <row r="892" hidden="1">
      <c r="A892" s="92"/>
      <c r="B892" s="93"/>
      <c r="C892" s="93"/>
      <c r="D892" s="93"/>
      <c r="E892" s="93"/>
      <c r="F892" s="93"/>
      <c r="G892" s="92"/>
      <c r="H892" s="93"/>
      <c r="I892" s="93"/>
      <c r="J892" s="92"/>
      <c r="K892" s="92"/>
      <c r="L892" s="93"/>
      <c r="M892" s="92"/>
      <c r="N892" s="92"/>
      <c r="O892" s="94"/>
      <c r="P892" s="94"/>
      <c r="Q892" s="94"/>
      <c r="R892" s="94"/>
      <c r="S892" s="94"/>
      <c r="T892" s="94"/>
      <c r="U892" s="94"/>
      <c r="V892" s="94"/>
      <c r="W892" s="94"/>
      <c r="X892" s="94"/>
      <c r="Y892" s="94"/>
      <c r="Z892" s="94"/>
      <c r="AA892" s="94"/>
      <c r="AB892" s="94"/>
      <c r="AC892" s="94"/>
      <c r="AD892" s="94"/>
      <c r="AE892" s="94"/>
      <c r="AF892" s="94"/>
      <c r="AG892" s="94"/>
      <c r="AH892" s="94"/>
      <c r="AI892" s="94"/>
      <c r="AJ892" s="94"/>
      <c r="AK892" s="94"/>
      <c r="AL892" s="94"/>
    </row>
    <row r="893" hidden="1">
      <c r="A893" s="92"/>
      <c r="B893" s="93"/>
      <c r="C893" s="93"/>
      <c r="D893" s="93"/>
      <c r="E893" s="93"/>
      <c r="F893" s="93"/>
      <c r="G893" s="92"/>
      <c r="H893" s="93"/>
      <c r="I893" s="93"/>
      <c r="J893" s="92"/>
      <c r="K893" s="92"/>
      <c r="L893" s="93"/>
      <c r="M893" s="92"/>
      <c r="N893" s="92"/>
      <c r="O893" s="94"/>
      <c r="P893" s="94"/>
      <c r="Q893" s="94"/>
      <c r="R893" s="94"/>
      <c r="S893" s="94"/>
      <c r="T893" s="94"/>
      <c r="U893" s="94"/>
      <c r="V893" s="94"/>
      <c r="W893" s="94"/>
      <c r="X893" s="94"/>
      <c r="Y893" s="94"/>
      <c r="Z893" s="94"/>
      <c r="AA893" s="94"/>
      <c r="AB893" s="94"/>
      <c r="AC893" s="94"/>
      <c r="AD893" s="94"/>
      <c r="AE893" s="94"/>
      <c r="AF893" s="94"/>
      <c r="AG893" s="94"/>
      <c r="AH893" s="94"/>
      <c r="AI893" s="94"/>
      <c r="AJ893" s="94"/>
      <c r="AK893" s="94"/>
      <c r="AL893" s="94"/>
    </row>
    <row r="894" hidden="1">
      <c r="A894" s="92"/>
      <c r="B894" s="93"/>
      <c r="C894" s="93"/>
      <c r="D894" s="93"/>
      <c r="E894" s="93"/>
      <c r="F894" s="93"/>
      <c r="G894" s="92"/>
      <c r="H894" s="93"/>
      <c r="I894" s="93"/>
      <c r="J894" s="92"/>
      <c r="K894" s="92"/>
      <c r="L894" s="93"/>
      <c r="M894" s="92"/>
      <c r="N894" s="92"/>
      <c r="O894" s="94"/>
      <c r="P894" s="94"/>
      <c r="Q894" s="94"/>
      <c r="R894" s="94"/>
      <c r="S894" s="94"/>
      <c r="T894" s="94"/>
      <c r="U894" s="94"/>
      <c r="V894" s="94"/>
      <c r="W894" s="94"/>
      <c r="X894" s="94"/>
      <c r="Y894" s="94"/>
      <c r="Z894" s="94"/>
      <c r="AA894" s="94"/>
      <c r="AB894" s="94"/>
      <c r="AC894" s="94"/>
      <c r="AD894" s="94"/>
      <c r="AE894" s="94"/>
      <c r="AF894" s="94"/>
      <c r="AG894" s="94"/>
      <c r="AH894" s="94"/>
      <c r="AI894" s="94"/>
      <c r="AJ894" s="94"/>
      <c r="AK894" s="94"/>
      <c r="AL894" s="94"/>
    </row>
    <row r="895" hidden="1">
      <c r="A895" s="92"/>
      <c r="B895" s="93"/>
      <c r="C895" s="93"/>
      <c r="D895" s="93"/>
      <c r="E895" s="93"/>
      <c r="F895" s="93"/>
      <c r="G895" s="92"/>
      <c r="H895" s="93"/>
      <c r="I895" s="93"/>
      <c r="J895" s="92"/>
      <c r="K895" s="92"/>
      <c r="L895" s="93"/>
      <c r="M895" s="92"/>
      <c r="N895" s="92"/>
      <c r="O895" s="94"/>
      <c r="P895" s="94"/>
      <c r="Q895" s="94"/>
      <c r="R895" s="94"/>
      <c r="S895" s="94"/>
      <c r="T895" s="94"/>
      <c r="U895" s="94"/>
      <c r="V895" s="94"/>
      <c r="W895" s="94"/>
      <c r="X895" s="94"/>
      <c r="Y895" s="94"/>
      <c r="Z895" s="94"/>
      <c r="AA895" s="94"/>
      <c r="AB895" s="94"/>
      <c r="AC895" s="94"/>
      <c r="AD895" s="94"/>
      <c r="AE895" s="94"/>
      <c r="AF895" s="94"/>
      <c r="AG895" s="94"/>
      <c r="AH895" s="94"/>
      <c r="AI895" s="94"/>
      <c r="AJ895" s="94"/>
      <c r="AK895" s="94"/>
      <c r="AL895" s="94"/>
    </row>
    <row r="896" hidden="1">
      <c r="A896" s="92"/>
      <c r="B896" s="93"/>
      <c r="C896" s="93"/>
      <c r="D896" s="93"/>
      <c r="E896" s="93"/>
      <c r="F896" s="93"/>
      <c r="G896" s="92"/>
      <c r="H896" s="93"/>
      <c r="I896" s="93"/>
      <c r="J896" s="92"/>
      <c r="K896" s="92"/>
      <c r="L896" s="93"/>
      <c r="M896" s="92"/>
      <c r="N896" s="92"/>
      <c r="O896" s="94"/>
      <c r="P896" s="94"/>
      <c r="Q896" s="94"/>
      <c r="R896" s="94"/>
      <c r="S896" s="94"/>
      <c r="T896" s="94"/>
      <c r="U896" s="94"/>
      <c r="V896" s="94"/>
      <c r="W896" s="94"/>
      <c r="X896" s="94"/>
      <c r="Y896" s="94"/>
      <c r="Z896" s="94"/>
      <c r="AA896" s="94"/>
      <c r="AB896" s="94"/>
      <c r="AC896" s="94"/>
      <c r="AD896" s="94"/>
      <c r="AE896" s="94"/>
      <c r="AF896" s="94"/>
      <c r="AG896" s="94"/>
      <c r="AH896" s="94"/>
      <c r="AI896" s="94"/>
      <c r="AJ896" s="94"/>
      <c r="AK896" s="94"/>
      <c r="AL896" s="94"/>
    </row>
    <row r="897" hidden="1">
      <c r="A897" s="92"/>
      <c r="B897" s="93"/>
      <c r="C897" s="93"/>
      <c r="D897" s="93"/>
      <c r="E897" s="93"/>
      <c r="F897" s="93"/>
      <c r="G897" s="92"/>
      <c r="H897" s="93"/>
      <c r="I897" s="93"/>
      <c r="J897" s="92"/>
      <c r="K897" s="92"/>
      <c r="L897" s="93"/>
      <c r="M897" s="92"/>
      <c r="N897" s="92"/>
      <c r="O897" s="94"/>
      <c r="P897" s="94"/>
      <c r="Q897" s="94"/>
      <c r="R897" s="94"/>
      <c r="S897" s="94"/>
      <c r="T897" s="94"/>
      <c r="U897" s="94"/>
      <c r="V897" s="94"/>
      <c r="W897" s="94"/>
      <c r="X897" s="94"/>
      <c r="Y897" s="94"/>
      <c r="Z897" s="94"/>
      <c r="AA897" s="94"/>
      <c r="AB897" s="94"/>
      <c r="AC897" s="94"/>
      <c r="AD897" s="94"/>
      <c r="AE897" s="94"/>
      <c r="AF897" s="94"/>
      <c r="AG897" s="94"/>
      <c r="AH897" s="94"/>
      <c r="AI897" s="94"/>
      <c r="AJ897" s="94"/>
      <c r="AK897" s="94"/>
      <c r="AL897" s="94"/>
    </row>
    <row r="898" hidden="1">
      <c r="A898" s="92"/>
      <c r="B898" s="93"/>
      <c r="C898" s="93"/>
      <c r="D898" s="93"/>
      <c r="E898" s="93"/>
      <c r="F898" s="93"/>
      <c r="G898" s="92"/>
      <c r="H898" s="93"/>
      <c r="I898" s="93"/>
      <c r="J898" s="92"/>
      <c r="K898" s="92"/>
      <c r="L898" s="93"/>
      <c r="M898" s="92"/>
      <c r="N898" s="92"/>
      <c r="O898" s="94"/>
      <c r="P898" s="94"/>
      <c r="Q898" s="94"/>
      <c r="R898" s="94"/>
      <c r="S898" s="94"/>
      <c r="T898" s="94"/>
      <c r="U898" s="94"/>
      <c r="V898" s="94"/>
      <c r="W898" s="94"/>
      <c r="X898" s="94"/>
      <c r="Y898" s="94"/>
      <c r="Z898" s="94"/>
      <c r="AA898" s="94"/>
      <c r="AB898" s="94"/>
      <c r="AC898" s="94"/>
      <c r="AD898" s="94"/>
      <c r="AE898" s="94"/>
      <c r="AF898" s="94"/>
      <c r="AG898" s="94"/>
      <c r="AH898" s="94"/>
      <c r="AI898" s="94"/>
      <c r="AJ898" s="94"/>
      <c r="AK898" s="94"/>
      <c r="AL898" s="94"/>
    </row>
    <row r="899" hidden="1">
      <c r="A899" s="92"/>
      <c r="B899" s="93"/>
      <c r="C899" s="93"/>
      <c r="D899" s="93"/>
      <c r="E899" s="93"/>
      <c r="F899" s="93"/>
      <c r="G899" s="92"/>
      <c r="H899" s="93"/>
      <c r="I899" s="93"/>
      <c r="J899" s="92"/>
      <c r="K899" s="92"/>
      <c r="L899" s="93"/>
      <c r="M899" s="92"/>
      <c r="N899" s="92"/>
      <c r="O899" s="94"/>
      <c r="P899" s="94"/>
      <c r="Q899" s="94"/>
      <c r="R899" s="94"/>
      <c r="S899" s="94"/>
      <c r="T899" s="94"/>
      <c r="U899" s="94"/>
      <c r="V899" s="94"/>
      <c r="W899" s="94"/>
      <c r="X899" s="94"/>
      <c r="Y899" s="94"/>
      <c r="Z899" s="94"/>
      <c r="AA899" s="94"/>
      <c r="AB899" s="94"/>
      <c r="AC899" s="94"/>
      <c r="AD899" s="94"/>
      <c r="AE899" s="94"/>
      <c r="AF899" s="94"/>
      <c r="AG899" s="94"/>
      <c r="AH899" s="94"/>
      <c r="AI899" s="94"/>
      <c r="AJ899" s="94"/>
      <c r="AK899" s="94"/>
      <c r="AL899" s="94"/>
    </row>
    <row r="900" hidden="1">
      <c r="A900" s="92"/>
      <c r="B900" s="93"/>
      <c r="C900" s="93"/>
      <c r="D900" s="93"/>
      <c r="E900" s="93"/>
      <c r="F900" s="93"/>
      <c r="G900" s="92"/>
      <c r="H900" s="93"/>
      <c r="I900" s="93"/>
      <c r="J900" s="92"/>
      <c r="K900" s="92"/>
      <c r="L900" s="93"/>
      <c r="M900" s="92"/>
      <c r="N900" s="92"/>
      <c r="O900" s="94"/>
      <c r="P900" s="94"/>
      <c r="Q900" s="94"/>
      <c r="R900" s="94"/>
      <c r="S900" s="94"/>
      <c r="T900" s="94"/>
      <c r="U900" s="94"/>
      <c r="V900" s="94"/>
      <c r="W900" s="94"/>
      <c r="X900" s="94"/>
      <c r="Y900" s="94"/>
      <c r="Z900" s="94"/>
      <c r="AA900" s="94"/>
      <c r="AB900" s="94"/>
      <c r="AC900" s="94"/>
      <c r="AD900" s="94"/>
      <c r="AE900" s="94"/>
      <c r="AF900" s="94"/>
      <c r="AG900" s="94"/>
      <c r="AH900" s="94"/>
      <c r="AI900" s="94"/>
      <c r="AJ900" s="94"/>
      <c r="AK900" s="94"/>
      <c r="AL900" s="94"/>
    </row>
    <row r="901" hidden="1">
      <c r="A901" s="92"/>
      <c r="B901" s="93"/>
      <c r="C901" s="93"/>
      <c r="D901" s="93"/>
      <c r="E901" s="93"/>
      <c r="F901" s="93"/>
      <c r="G901" s="92"/>
      <c r="H901" s="93"/>
      <c r="I901" s="93"/>
      <c r="J901" s="92"/>
      <c r="K901" s="92"/>
      <c r="L901" s="93"/>
      <c r="M901" s="92"/>
      <c r="N901" s="92"/>
      <c r="O901" s="94"/>
      <c r="P901" s="94"/>
      <c r="Q901" s="94"/>
      <c r="R901" s="94"/>
      <c r="S901" s="94"/>
      <c r="T901" s="94"/>
      <c r="U901" s="94"/>
      <c r="V901" s="94"/>
      <c r="W901" s="94"/>
      <c r="X901" s="94"/>
      <c r="Y901" s="94"/>
      <c r="Z901" s="94"/>
      <c r="AA901" s="94"/>
      <c r="AB901" s="94"/>
      <c r="AC901" s="94"/>
      <c r="AD901" s="94"/>
      <c r="AE901" s="94"/>
      <c r="AF901" s="94"/>
      <c r="AG901" s="94"/>
      <c r="AH901" s="94"/>
      <c r="AI901" s="94"/>
      <c r="AJ901" s="94"/>
      <c r="AK901" s="94"/>
      <c r="AL901" s="94"/>
    </row>
    <row r="902" hidden="1">
      <c r="A902" s="92"/>
      <c r="B902" s="93"/>
      <c r="C902" s="93"/>
      <c r="D902" s="93"/>
      <c r="E902" s="93"/>
      <c r="F902" s="93"/>
      <c r="G902" s="92"/>
      <c r="H902" s="93"/>
      <c r="I902" s="93"/>
      <c r="J902" s="92"/>
      <c r="K902" s="92"/>
      <c r="L902" s="93"/>
      <c r="M902" s="92"/>
      <c r="N902" s="92"/>
      <c r="O902" s="94"/>
      <c r="P902" s="94"/>
      <c r="Q902" s="94"/>
      <c r="R902" s="94"/>
      <c r="S902" s="94"/>
      <c r="T902" s="94"/>
      <c r="U902" s="94"/>
      <c r="V902" s="94"/>
      <c r="W902" s="94"/>
      <c r="X902" s="94"/>
      <c r="Y902" s="94"/>
      <c r="Z902" s="94"/>
      <c r="AA902" s="94"/>
      <c r="AB902" s="94"/>
      <c r="AC902" s="94"/>
      <c r="AD902" s="94"/>
      <c r="AE902" s="94"/>
      <c r="AF902" s="94"/>
      <c r="AG902" s="94"/>
      <c r="AH902" s="94"/>
      <c r="AI902" s="94"/>
      <c r="AJ902" s="94"/>
      <c r="AK902" s="94"/>
      <c r="AL902" s="94"/>
    </row>
    <row r="903" hidden="1">
      <c r="A903" s="92"/>
      <c r="B903" s="93"/>
      <c r="C903" s="93"/>
      <c r="D903" s="93"/>
      <c r="E903" s="93"/>
      <c r="F903" s="93"/>
      <c r="G903" s="92"/>
      <c r="H903" s="93"/>
      <c r="I903" s="93"/>
      <c r="J903" s="92"/>
      <c r="K903" s="92"/>
      <c r="L903" s="93"/>
      <c r="M903" s="92"/>
      <c r="N903" s="92"/>
      <c r="O903" s="94"/>
      <c r="P903" s="94"/>
      <c r="Q903" s="94"/>
      <c r="R903" s="94"/>
      <c r="S903" s="94"/>
      <c r="T903" s="94"/>
      <c r="U903" s="94"/>
      <c r="V903" s="94"/>
      <c r="W903" s="94"/>
      <c r="X903" s="94"/>
      <c r="Y903" s="94"/>
      <c r="Z903" s="94"/>
      <c r="AA903" s="94"/>
      <c r="AB903" s="94"/>
      <c r="AC903" s="94"/>
      <c r="AD903" s="94"/>
      <c r="AE903" s="94"/>
      <c r="AF903" s="94"/>
      <c r="AG903" s="94"/>
      <c r="AH903" s="94"/>
      <c r="AI903" s="94"/>
      <c r="AJ903" s="94"/>
      <c r="AK903" s="94"/>
      <c r="AL903" s="94"/>
    </row>
    <row r="904" hidden="1">
      <c r="A904" s="92"/>
      <c r="B904" s="93"/>
      <c r="C904" s="93"/>
      <c r="D904" s="93"/>
      <c r="E904" s="93"/>
      <c r="F904" s="93"/>
      <c r="G904" s="92"/>
      <c r="H904" s="93"/>
      <c r="I904" s="93"/>
      <c r="J904" s="92"/>
      <c r="K904" s="92"/>
      <c r="L904" s="93"/>
      <c r="M904" s="92"/>
      <c r="N904" s="92"/>
      <c r="O904" s="94"/>
      <c r="P904" s="94"/>
      <c r="Q904" s="94"/>
      <c r="R904" s="94"/>
      <c r="S904" s="94"/>
      <c r="T904" s="94"/>
      <c r="U904" s="94"/>
      <c r="V904" s="94"/>
      <c r="W904" s="94"/>
      <c r="X904" s="94"/>
      <c r="Y904" s="94"/>
      <c r="Z904" s="94"/>
      <c r="AA904" s="94"/>
      <c r="AB904" s="94"/>
      <c r="AC904" s="94"/>
      <c r="AD904" s="94"/>
      <c r="AE904" s="94"/>
      <c r="AF904" s="94"/>
      <c r="AG904" s="94"/>
      <c r="AH904" s="94"/>
      <c r="AI904" s="94"/>
      <c r="AJ904" s="94"/>
      <c r="AK904" s="94"/>
      <c r="AL904" s="94"/>
    </row>
    <row r="905" hidden="1">
      <c r="A905" s="92"/>
      <c r="B905" s="93"/>
      <c r="C905" s="93"/>
      <c r="D905" s="93"/>
      <c r="E905" s="93"/>
      <c r="F905" s="93"/>
      <c r="G905" s="92"/>
      <c r="H905" s="93"/>
      <c r="I905" s="93"/>
      <c r="J905" s="92"/>
      <c r="K905" s="92"/>
      <c r="L905" s="93"/>
      <c r="M905" s="92"/>
      <c r="N905" s="92"/>
      <c r="O905" s="94"/>
      <c r="P905" s="94"/>
      <c r="Q905" s="94"/>
      <c r="R905" s="94"/>
      <c r="S905" s="94"/>
      <c r="T905" s="94"/>
      <c r="U905" s="94"/>
      <c r="V905" s="94"/>
      <c r="W905" s="94"/>
      <c r="X905" s="94"/>
      <c r="Y905" s="94"/>
      <c r="Z905" s="94"/>
      <c r="AA905" s="94"/>
      <c r="AB905" s="94"/>
      <c r="AC905" s="94"/>
      <c r="AD905" s="94"/>
      <c r="AE905" s="94"/>
      <c r="AF905" s="94"/>
      <c r="AG905" s="94"/>
      <c r="AH905" s="94"/>
      <c r="AI905" s="94"/>
      <c r="AJ905" s="94"/>
      <c r="AK905" s="94"/>
      <c r="AL905" s="94"/>
    </row>
    <row r="906" hidden="1">
      <c r="A906" s="92"/>
      <c r="B906" s="93"/>
      <c r="C906" s="93"/>
      <c r="D906" s="93"/>
      <c r="E906" s="93"/>
      <c r="F906" s="93"/>
      <c r="G906" s="92"/>
      <c r="H906" s="93"/>
      <c r="I906" s="93"/>
      <c r="J906" s="92"/>
      <c r="K906" s="92"/>
      <c r="L906" s="93"/>
      <c r="M906" s="92"/>
      <c r="N906" s="92"/>
      <c r="O906" s="94"/>
      <c r="P906" s="94"/>
      <c r="Q906" s="94"/>
      <c r="R906" s="94"/>
      <c r="S906" s="94"/>
      <c r="T906" s="94"/>
      <c r="U906" s="94"/>
      <c r="V906" s="94"/>
      <c r="W906" s="94"/>
      <c r="X906" s="94"/>
      <c r="Y906" s="94"/>
      <c r="Z906" s="94"/>
      <c r="AA906" s="94"/>
      <c r="AB906" s="94"/>
      <c r="AC906" s="94"/>
      <c r="AD906" s="94"/>
      <c r="AE906" s="94"/>
      <c r="AF906" s="94"/>
      <c r="AG906" s="94"/>
      <c r="AH906" s="94"/>
      <c r="AI906" s="94"/>
      <c r="AJ906" s="94"/>
      <c r="AK906" s="94"/>
      <c r="AL906" s="94"/>
    </row>
    <row r="907" hidden="1">
      <c r="A907" s="92"/>
      <c r="B907" s="93"/>
      <c r="C907" s="93"/>
      <c r="D907" s="93"/>
      <c r="E907" s="93"/>
      <c r="F907" s="93"/>
      <c r="G907" s="92"/>
      <c r="H907" s="93"/>
      <c r="I907" s="93"/>
      <c r="J907" s="92"/>
      <c r="K907" s="92"/>
      <c r="L907" s="93"/>
      <c r="M907" s="92"/>
      <c r="N907" s="92"/>
      <c r="O907" s="94"/>
      <c r="P907" s="94"/>
      <c r="Q907" s="94"/>
      <c r="R907" s="94"/>
      <c r="S907" s="94"/>
      <c r="T907" s="94"/>
      <c r="U907" s="94"/>
      <c r="V907" s="94"/>
      <c r="W907" s="94"/>
      <c r="X907" s="94"/>
      <c r="Y907" s="94"/>
      <c r="Z907" s="94"/>
      <c r="AA907" s="94"/>
      <c r="AB907" s="94"/>
      <c r="AC907" s="94"/>
      <c r="AD907" s="94"/>
      <c r="AE907" s="94"/>
      <c r="AF907" s="94"/>
      <c r="AG907" s="94"/>
      <c r="AH907" s="94"/>
      <c r="AI907" s="94"/>
      <c r="AJ907" s="94"/>
      <c r="AK907" s="94"/>
      <c r="AL907" s="94"/>
    </row>
    <row r="908" hidden="1">
      <c r="A908" s="92"/>
      <c r="B908" s="93"/>
      <c r="C908" s="93"/>
      <c r="D908" s="93"/>
      <c r="E908" s="93"/>
      <c r="F908" s="93"/>
      <c r="G908" s="92"/>
      <c r="H908" s="93"/>
      <c r="I908" s="93"/>
      <c r="J908" s="92"/>
      <c r="K908" s="92"/>
      <c r="L908" s="93"/>
      <c r="M908" s="92"/>
      <c r="N908" s="92"/>
      <c r="O908" s="94"/>
      <c r="P908" s="94"/>
      <c r="Q908" s="94"/>
      <c r="R908" s="94"/>
      <c r="S908" s="94"/>
      <c r="T908" s="94"/>
      <c r="U908" s="94"/>
      <c r="V908" s="94"/>
      <c r="W908" s="94"/>
      <c r="X908" s="94"/>
      <c r="Y908" s="94"/>
      <c r="Z908" s="94"/>
      <c r="AA908" s="94"/>
      <c r="AB908" s="94"/>
      <c r="AC908" s="94"/>
      <c r="AD908" s="94"/>
      <c r="AE908" s="94"/>
      <c r="AF908" s="94"/>
      <c r="AG908" s="94"/>
      <c r="AH908" s="94"/>
      <c r="AI908" s="94"/>
      <c r="AJ908" s="94"/>
      <c r="AK908" s="94"/>
      <c r="AL908" s="94"/>
    </row>
    <row r="909" hidden="1">
      <c r="A909" s="92"/>
      <c r="B909" s="93"/>
      <c r="C909" s="93"/>
      <c r="D909" s="93"/>
      <c r="E909" s="93"/>
      <c r="F909" s="93"/>
      <c r="G909" s="92"/>
      <c r="H909" s="93"/>
      <c r="I909" s="93"/>
      <c r="J909" s="92"/>
      <c r="K909" s="92"/>
      <c r="L909" s="93"/>
      <c r="M909" s="92"/>
      <c r="N909" s="92"/>
      <c r="O909" s="94"/>
      <c r="P909" s="94"/>
      <c r="Q909" s="94"/>
      <c r="R909" s="94"/>
      <c r="S909" s="94"/>
      <c r="T909" s="94"/>
      <c r="U909" s="94"/>
      <c r="V909" s="94"/>
      <c r="W909" s="94"/>
      <c r="X909" s="94"/>
      <c r="Y909" s="94"/>
      <c r="Z909" s="94"/>
      <c r="AA909" s="94"/>
      <c r="AB909" s="94"/>
      <c r="AC909" s="94"/>
      <c r="AD909" s="94"/>
      <c r="AE909" s="94"/>
      <c r="AF909" s="94"/>
      <c r="AG909" s="94"/>
      <c r="AH909" s="94"/>
      <c r="AI909" s="94"/>
      <c r="AJ909" s="94"/>
      <c r="AK909" s="94"/>
      <c r="AL909" s="94"/>
    </row>
    <row r="910" hidden="1">
      <c r="A910" s="92"/>
      <c r="B910" s="93"/>
      <c r="C910" s="93"/>
      <c r="D910" s="93"/>
      <c r="E910" s="93"/>
      <c r="F910" s="93"/>
      <c r="G910" s="92"/>
      <c r="H910" s="93"/>
      <c r="I910" s="93"/>
      <c r="J910" s="92"/>
      <c r="K910" s="92"/>
      <c r="L910" s="93"/>
      <c r="M910" s="92"/>
      <c r="N910" s="92"/>
      <c r="O910" s="94"/>
      <c r="P910" s="94"/>
      <c r="Q910" s="94"/>
      <c r="R910" s="94"/>
      <c r="S910" s="94"/>
      <c r="T910" s="94"/>
      <c r="U910" s="94"/>
      <c r="V910" s="94"/>
      <c r="W910" s="94"/>
      <c r="X910" s="94"/>
      <c r="Y910" s="94"/>
      <c r="Z910" s="94"/>
      <c r="AA910" s="94"/>
      <c r="AB910" s="94"/>
      <c r="AC910" s="94"/>
      <c r="AD910" s="94"/>
      <c r="AE910" s="94"/>
      <c r="AF910" s="94"/>
      <c r="AG910" s="94"/>
      <c r="AH910" s="94"/>
      <c r="AI910" s="94"/>
      <c r="AJ910" s="94"/>
      <c r="AK910" s="94"/>
      <c r="AL910" s="94"/>
    </row>
    <row r="911" hidden="1">
      <c r="A911" s="92"/>
      <c r="B911" s="93"/>
      <c r="C911" s="93"/>
      <c r="D911" s="93"/>
      <c r="E911" s="93"/>
      <c r="F911" s="93"/>
      <c r="G911" s="92"/>
      <c r="H911" s="93"/>
      <c r="I911" s="93"/>
      <c r="J911" s="92"/>
      <c r="K911" s="92"/>
      <c r="L911" s="93"/>
      <c r="M911" s="92"/>
      <c r="N911" s="92"/>
      <c r="O911" s="94"/>
      <c r="P911" s="94"/>
      <c r="Q911" s="94"/>
      <c r="R911" s="94"/>
      <c r="S911" s="94"/>
      <c r="T911" s="94"/>
      <c r="U911" s="94"/>
      <c r="V911" s="94"/>
      <c r="W911" s="94"/>
      <c r="X911" s="94"/>
      <c r="Y911" s="94"/>
      <c r="Z911" s="94"/>
      <c r="AA911" s="94"/>
      <c r="AB911" s="94"/>
      <c r="AC911" s="94"/>
      <c r="AD911" s="94"/>
      <c r="AE911" s="94"/>
      <c r="AF911" s="94"/>
      <c r="AG911" s="94"/>
      <c r="AH911" s="94"/>
      <c r="AI911" s="94"/>
      <c r="AJ911" s="94"/>
      <c r="AK911" s="94"/>
      <c r="AL911" s="94"/>
    </row>
    <row r="912" hidden="1">
      <c r="A912" s="92"/>
      <c r="B912" s="93"/>
      <c r="C912" s="93"/>
      <c r="D912" s="93"/>
      <c r="E912" s="93"/>
      <c r="F912" s="93"/>
      <c r="G912" s="92"/>
      <c r="H912" s="93"/>
      <c r="I912" s="93"/>
      <c r="J912" s="92"/>
      <c r="K912" s="92"/>
      <c r="L912" s="93"/>
      <c r="M912" s="92"/>
      <c r="N912" s="92"/>
      <c r="O912" s="94"/>
      <c r="P912" s="94"/>
      <c r="Q912" s="94"/>
      <c r="R912" s="94"/>
      <c r="S912" s="94"/>
      <c r="T912" s="94"/>
      <c r="U912" s="94"/>
      <c r="V912" s="94"/>
      <c r="W912" s="94"/>
      <c r="X912" s="94"/>
      <c r="Y912" s="94"/>
      <c r="Z912" s="94"/>
      <c r="AA912" s="94"/>
      <c r="AB912" s="94"/>
      <c r="AC912" s="94"/>
      <c r="AD912" s="94"/>
      <c r="AE912" s="94"/>
      <c r="AF912" s="94"/>
      <c r="AG912" s="94"/>
      <c r="AH912" s="94"/>
      <c r="AI912" s="94"/>
      <c r="AJ912" s="94"/>
      <c r="AK912" s="94"/>
      <c r="AL912" s="94"/>
    </row>
    <row r="913" hidden="1">
      <c r="A913" s="92"/>
      <c r="B913" s="93"/>
      <c r="C913" s="93"/>
      <c r="D913" s="93"/>
      <c r="E913" s="93"/>
      <c r="F913" s="93"/>
      <c r="G913" s="92"/>
      <c r="H913" s="93"/>
      <c r="I913" s="93"/>
      <c r="J913" s="92"/>
      <c r="K913" s="92"/>
      <c r="L913" s="93"/>
      <c r="M913" s="92"/>
      <c r="N913" s="92"/>
      <c r="O913" s="94"/>
      <c r="P913" s="94"/>
      <c r="Q913" s="94"/>
      <c r="R913" s="94"/>
      <c r="S913" s="94"/>
      <c r="T913" s="94"/>
      <c r="U913" s="94"/>
      <c r="V913" s="94"/>
      <c r="W913" s="94"/>
      <c r="X913" s="94"/>
      <c r="Y913" s="94"/>
      <c r="Z913" s="94"/>
      <c r="AA913" s="94"/>
      <c r="AB913" s="94"/>
      <c r="AC913" s="94"/>
      <c r="AD913" s="94"/>
      <c r="AE913" s="94"/>
      <c r="AF913" s="94"/>
      <c r="AG913" s="94"/>
      <c r="AH913" s="94"/>
      <c r="AI913" s="94"/>
      <c r="AJ913" s="94"/>
      <c r="AK913" s="94"/>
      <c r="AL913" s="94"/>
    </row>
    <row r="914" hidden="1">
      <c r="A914" s="92"/>
      <c r="B914" s="93"/>
      <c r="C914" s="93"/>
      <c r="D914" s="93"/>
      <c r="E914" s="93"/>
      <c r="F914" s="93"/>
      <c r="G914" s="92"/>
      <c r="H914" s="93"/>
      <c r="I914" s="93"/>
      <c r="J914" s="92"/>
      <c r="K914" s="92"/>
      <c r="L914" s="93"/>
      <c r="M914" s="92"/>
      <c r="N914" s="92"/>
      <c r="O914" s="94"/>
      <c r="P914" s="94"/>
      <c r="Q914" s="94"/>
      <c r="R914" s="94"/>
      <c r="S914" s="94"/>
      <c r="T914" s="94"/>
      <c r="U914" s="94"/>
      <c r="V914" s="94"/>
      <c r="W914" s="94"/>
      <c r="X914" s="94"/>
      <c r="Y914" s="94"/>
      <c r="Z914" s="94"/>
      <c r="AA914" s="94"/>
      <c r="AB914" s="94"/>
      <c r="AC914" s="94"/>
      <c r="AD914" s="94"/>
      <c r="AE914" s="94"/>
      <c r="AF914" s="94"/>
      <c r="AG914" s="94"/>
      <c r="AH914" s="94"/>
      <c r="AI914" s="94"/>
      <c r="AJ914" s="94"/>
      <c r="AK914" s="94"/>
      <c r="AL914" s="94"/>
    </row>
    <row r="915" hidden="1">
      <c r="A915" s="92"/>
      <c r="B915" s="93"/>
      <c r="C915" s="93"/>
      <c r="D915" s="93"/>
      <c r="E915" s="93"/>
      <c r="F915" s="93"/>
      <c r="G915" s="92"/>
      <c r="H915" s="93"/>
      <c r="I915" s="93"/>
      <c r="J915" s="92"/>
      <c r="K915" s="92"/>
      <c r="L915" s="93"/>
      <c r="M915" s="92"/>
      <c r="N915" s="92"/>
      <c r="O915" s="94"/>
      <c r="P915" s="94"/>
      <c r="Q915" s="94"/>
      <c r="R915" s="94"/>
      <c r="S915" s="94"/>
      <c r="T915" s="94"/>
      <c r="U915" s="94"/>
      <c r="V915" s="94"/>
      <c r="W915" s="94"/>
      <c r="X915" s="94"/>
      <c r="Y915" s="94"/>
      <c r="Z915" s="94"/>
      <c r="AA915" s="94"/>
      <c r="AB915" s="94"/>
      <c r="AC915" s="94"/>
      <c r="AD915" s="94"/>
      <c r="AE915" s="94"/>
      <c r="AF915" s="94"/>
      <c r="AG915" s="94"/>
      <c r="AH915" s="94"/>
      <c r="AI915" s="94"/>
      <c r="AJ915" s="94"/>
      <c r="AK915" s="94"/>
      <c r="AL915" s="94"/>
    </row>
    <row r="916" hidden="1">
      <c r="A916" s="92"/>
      <c r="B916" s="93"/>
      <c r="C916" s="93"/>
      <c r="D916" s="93"/>
      <c r="E916" s="93"/>
      <c r="F916" s="93"/>
      <c r="G916" s="92"/>
      <c r="H916" s="93"/>
      <c r="I916" s="93"/>
      <c r="J916" s="92"/>
      <c r="K916" s="92"/>
      <c r="L916" s="93"/>
      <c r="M916" s="92"/>
      <c r="N916" s="92"/>
      <c r="O916" s="94"/>
      <c r="P916" s="94"/>
      <c r="Q916" s="94"/>
      <c r="R916" s="94"/>
      <c r="S916" s="94"/>
      <c r="T916" s="94"/>
      <c r="U916" s="94"/>
      <c r="V916" s="94"/>
      <c r="W916" s="94"/>
      <c r="X916" s="94"/>
      <c r="Y916" s="94"/>
      <c r="Z916" s="94"/>
      <c r="AA916" s="94"/>
      <c r="AB916" s="94"/>
      <c r="AC916" s="94"/>
      <c r="AD916" s="94"/>
      <c r="AE916" s="94"/>
      <c r="AF916" s="94"/>
      <c r="AG916" s="94"/>
      <c r="AH916" s="94"/>
      <c r="AI916" s="94"/>
      <c r="AJ916" s="94"/>
      <c r="AK916" s="94"/>
      <c r="AL916" s="94"/>
    </row>
    <row r="917" hidden="1">
      <c r="A917" s="92"/>
      <c r="B917" s="93"/>
      <c r="C917" s="93"/>
      <c r="D917" s="93"/>
      <c r="E917" s="93"/>
      <c r="F917" s="93"/>
      <c r="G917" s="92"/>
      <c r="H917" s="93"/>
      <c r="I917" s="93"/>
      <c r="J917" s="92"/>
      <c r="K917" s="92"/>
      <c r="L917" s="93"/>
      <c r="M917" s="92"/>
      <c r="N917" s="92"/>
      <c r="O917" s="94"/>
      <c r="P917" s="94"/>
      <c r="Q917" s="94"/>
      <c r="R917" s="94"/>
      <c r="S917" s="94"/>
      <c r="T917" s="94"/>
      <c r="U917" s="94"/>
      <c r="V917" s="94"/>
      <c r="W917" s="94"/>
      <c r="X917" s="94"/>
      <c r="Y917" s="94"/>
      <c r="Z917" s="94"/>
      <c r="AA917" s="94"/>
      <c r="AB917" s="94"/>
      <c r="AC917" s="94"/>
      <c r="AD917" s="94"/>
      <c r="AE917" s="94"/>
      <c r="AF917" s="94"/>
      <c r="AG917" s="94"/>
      <c r="AH917" s="94"/>
      <c r="AI917" s="94"/>
      <c r="AJ917" s="94"/>
      <c r="AK917" s="94"/>
      <c r="AL917" s="94"/>
    </row>
    <row r="918" hidden="1">
      <c r="A918" s="92"/>
      <c r="B918" s="93"/>
      <c r="C918" s="93"/>
      <c r="D918" s="93"/>
      <c r="E918" s="93"/>
      <c r="F918" s="93"/>
      <c r="G918" s="92"/>
      <c r="H918" s="93"/>
      <c r="I918" s="93"/>
      <c r="J918" s="92"/>
      <c r="K918" s="92"/>
      <c r="L918" s="93"/>
      <c r="M918" s="92"/>
      <c r="N918" s="92"/>
      <c r="O918" s="94"/>
      <c r="P918" s="94"/>
      <c r="Q918" s="94"/>
      <c r="R918" s="94"/>
      <c r="S918" s="94"/>
      <c r="T918" s="94"/>
      <c r="U918" s="94"/>
      <c r="V918" s="94"/>
      <c r="W918" s="94"/>
      <c r="X918" s="94"/>
      <c r="Y918" s="94"/>
      <c r="Z918" s="94"/>
      <c r="AA918" s="94"/>
      <c r="AB918" s="94"/>
      <c r="AC918" s="94"/>
      <c r="AD918" s="94"/>
      <c r="AE918" s="94"/>
      <c r="AF918" s="94"/>
      <c r="AG918" s="94"/>
      <c r="AH918" s="94"/>
      <c r="AI918" s="94"/>
      <c r="AJ918" s="94"/>
      <c r="AK918" s="94"/>
      <c r="AL918" s="94"/>
    </row>
    <row r="919" hidden="1">
      <c r="A919" s="92"/>
      <c r="B919" s="93"/>
      <c r="C919" s="93"/>
      <c r="D919" s="93"/>
      <c r="E919" s="93"/>
      <c r="F919" s="93"/>
      <c r="G919" s="92"/>
      <c r="H919" s="93"/>
      <c r="I919" s="93"/>
      <c r="J919" s="92"/>
      <c r="K919" s="92"/>
      <c r="L919" s="93"/>
      <c r="M919" s="92"/>
      <c r="N919" s="92"/>
      <c r="O919" s="94"/>
      <c r="P919" s="94"/>
      <c r="Q919" s="94"/>
      <c r="R919" s="94"/>
      <c r="S919" s="94"/>
      <c r="T919" s="94"/>
      <c r="U919" s="94"/>
      <c r="V919" s="94"/>
      <c r="W919" s="94"/>
      <c r="X919" s="94"/>
      <c r="Y919" s="94"/>
      <c r="Z919" s="94"/>
      <c r="AA919" s="94"/>
      <c r="AB919" s="94"/>
      <c r="AC919" s="94"/>
      <c r="AD919" s="94"/>
      <c r="AE919" s="94"/>
      <c r="AF919" s="94"/>
      <c r="AG919" s="94"/>
      <c r="AH919" s="94"/>
      <c r="AI919" s="94"/>
      <c r="AJ919" s="94"/>
      <c r="AK919" s="94"/>
      <c r="AL919" s="94"/>
    </row>
    <row r="920" hidden="1">
      <c r="A920" s="92"/>
      <c r="B920" s="93"/>
      <c r="C920" s="93"/>
      <c r="D920" s="93"/>
      <c r="E920" s="93"/>
      <c r="F920" s="93"/>
      <c r="G920" s="92"/>
      <c r="H920" s="93"/>
      <c r="I920" s="93"/>
      <c r="J920" s="92"/>
      <c r="K920" s="92"/>
      <c r="L920" s="93"/>
      <c r="M920" s="92"/>
      <c r="N920" s="92"/>
      <c r="O920" s="94"/>
      <c r="P920" s="94"/>
      <c r="Q920" s="94"/>
      <c r="R920" s="94"/>
      <c r="S920" s="94"/>
      <c r="T920" s="94"/>
      <c r="U920" s="94"/>
      <c r="V920" s="94"/>
      <c r="W920" s="94"/>
      <c r="X920" s="94"/>
      <c r="Y920" s="94"/>
      <c r="Z920" s="94"/>
      <c r="AA920" s="94"/>
      <c r="AB920" s="94"/>
      <c r="AC920" s="94"/>
      <c r="AD920" s="94"/>
      <c r="AE920" s="94"/>
      <c r="AF920" s="94"/>
      <c r="AG920" s="94"/>
      <c r="AH920" s="94"/>
      <c r="AI920" s="94"/>
      <c r="AJ920" s="94"/>
      <c r="AK920" s="94"/>
      <c r="AL920" s="94"/>
    </row>
    <row r="921" hidden="1">
      <c r="A921" s="92"/>
      <c r="B921" s="93"/>
      <c r="C921" s="93"/>
      <c r="D921" s="93"/>
      <c r="E921" s="93"/>
      <c r="F921" s="93"/>
      <c r="G921" s="92"/>
      <c r="H921" s="93"/>
      <c r="I921" s="93"/>
      <c r="J921" s="92"/>
      <c r="K921" s="92"/>
      <c r="L921" s="93"/>
      <c r="M921" s="92"/>
      <c r="N921" s="92"/>
      <c r="O921" s="94"/>
      <c r="P921" s="94"/>
      <c r="Q921" s="94"/>
      <c r="R921" s="94"/>
      <c r="S921" s="94"/>
      <c r="T921" s="94"/>
      <c r="U921" s="94"/>
      <c r="V921" s="94"/>
      <c r="W921" s="94"/>
      <c r="X921" s="94"/>
      <c r="Y921" s="94"/>
      <c r="Z921" s="94"/>
      <c r="AA921" s="94"/>
      <c r="AB921" s="94"/>
      <c r="AC921" s="94"/>
      <c r="AD921" s="94"/>
      <c r="AE921" s="94"/>
      <c r="AF921" s="94"/>
      <c r="AG921" s="94"/>
      <c r="AH921" s="94"/>
      <c r="AI921" s="94"/>
      <c r="AJ921" s="94"/>
      <c r="AK921" s="94"/>
      <c r="AL921" s="94"/>
    </row>
    <row r="922" hidden="1">
      <c r="A922" s="92"/>
      <c r="B922" s="93"/>
      <c r="C922" s="93"/>
      <c r="D922" s="93"/>
      <c r="E922" s="93"/>
      <c r="F922" s="93"/>
      <c r="G922" s="92"/>
      <c r="H922" s="93"/>
      <c r="I922" s="93"/>
      <c r="J922" s="92"/>
      <c r="K922" s="92"/>
      <c r="L922" s="93"/>
      <c r="M922" s="92"/>
      <c r="N922" s="92"/>
      <c r="O922" s="94"/>
      <c r="P922" s="94"/>
      <c r="Q922" s="94"/>
      <c r="R922" s="94"/>
      <c r="S922" s="94"/>
      <c r="T922" s="94"/>
      <c r="U922" s="94"/>
      <c r="V922" s="94"/>
      <c r="W922" s="94"/>
      <c r="X922" s="94"/>
      <c r="Y922" s="94"/>
      <c r="Z922" s="94"/>
      <c r="AA922" s="94"/>
      <c r="AB922" s="94"/>
      <c r="AC922" s="94"/>
      <c r="AD922" s="94"/>
      <c r="AE922" s="94"/>
      <c r="AF922" s="94"/>
      <c r="AG922" s="94"/>
      <c r="AH922" s="94"/>
      <c r="AI922" s="94"/>
      <c r="AJ922" s="94"/>
      <c r="AK922" s="94"/>
      <c r="AL922" s="94"/>
    </row>
    <row r="923" hidden="1">
      <c r="A923" s="92"/>
      <c r="B923" s="93"/>
      <c r="C923" s="93"/>
      <c r="D923" s="93"/>
      <c r="E923" s="93"/>
      <c r="F923" s="93"/>
      <c r="G923" s="92"/>
      <c r="H923" s="93"/>
      <c r="I923" s="93"/>
      <c r="J923" s="92"/>
      <c r="K923" s="92"/>
      <c r="L923" s="93"/>
      <c r="M923" s="92"/>
      <c r="N923" s="92"/>
      <c r="O923" s="94"/>
      <c r="P923" s="94"/>
      <c r="Q923" s="94"/>
      <c r="R923" s="94"/>
      <c r="S923" s="94"/>
      <c r="T923" s="94"/>
      <c r="U923" s="94"/>
      <c r="V923" s="94"/>
      <c r="W923" s="94"/>
      <c r="X923" s="94"/>
      <c r="Y923" s="94"/>
      <c r="Z923" s="94"/>
      <c r="AA923" s="94"/>
      <c r="AB923" s="94"/>
      <c r="AC923" s="94"/>
      <c r="AD923" s="94"/>
      <c r="AE923" s="94"/>
      <c r="AF923" s="94"/>
      <c r="AG923" s="94"/>
      <c r="AH923" s="94"/>
      <c r="AI923" s="94"/>
      <c r="AJ923" s="94"/>
      <c r="AK923" s="94"/>
      <c r="AL923" s="94"/>
    </row>
    <row r="924" hidden="1">
      <c r="A924" s="92"/>
      <c r="B924" s="93"/>
      <c r="C924" s="93"/>
      <c r="D924" s="93"/>
      <c r="E924" s="93"/>
      <c r="F924" s="93"/>
      <c r="G924" s="92"/>
      <c r="H924" s="93"/>
      <c r="I924" s="93"/>
      <c r="J924" s="92"/>
      <c r="K924" s="92"/>
      <c r="L924" s="93"/>
      <c r="M924" s="92"/>
      <c r="N924" s="92"/>
      <c r="O924" s="94"/>
      <c r="P924" s="94"/>
      <c r="Q924" s="94"/>
      <c r="R924" s="94"/>
      <c r="S924" s="94"/>
      <c r="T924" s="94"/>
      <c r="U924" s="94"/>
      <c r="V924" s="94"/>
      <c r="W924" s="94"/>
      <c r="X924" s="94"/>
      <c r="Y924" s="94"/>
      <c r="Z924" s="94"/>
      <c r="AA924" s="94"/>
      <c r="AB924" s="94"/>
      <c r="AC924" s="94"/>
      <c r="AD924" s="94"/>
      <c r="AE924" s="94"/>
      <c r="AF924" s="94"/>
      <c r="AG924" s="94"/>
      <c r="AH924" s="94"/>
      <c r="AI924" s="94"/>
      <c r="AJ924" s="94"/>
      <c r="AK924" s="94"/>
      <c r="AL924" s="94"/>
    </row>
    <row r="925" hidden="1">
      <c r="A925" s="92"/>
      <c r="B925" s="93"/>
      <c r="C925" s="93"/>
      <c r="D925" s="93"/>
      <c r="E925" s="93"/>
      <c r="F925" s="93"/>
      <c r="G925" s="92"/>
      <c r="H925" s="93"/>
      <c r="I925" s="93"/>
      <c r="J925" s="92"/>
      <c r="K925" s="92"/>
      <c r="L925" s="93"/>
      <c r="M925" s="92"/>
      <c r="N925" s="92"/>
      <c r="O925" s="94"/>
      <c r="P925" s="94"/>
      <c r="Q925" s="94"/>
      <c r="R925" s="94"/>
      <c r="S925" s="94"/>
      <c r="T925" s="94"/>
      <c r="U925" s="94"/>
      <c r="V925" s="94"/>
      <c r="W925" s="94"/>
      <c r="X925" s="94"/>
      <c r="Y925" s="94"/>
      <c r="Z925" s="94"/>
      <c r="AA925" s="94"/>
      <c r="AB925" s="94"/>
      <c r="AC925" s="94"/>
      <c r="AD925" s="94"/>
      <c r="AE925" s="94"/>
      <c r="AF925" s="94"/>
      <c r="AG925" s="94"/>
      <c r="AH925" s="94"/>
      <c r="AI925" s="94"/>
      <c r="AJ925" s="94"/>
      <c r="AK925" s="94"/>
      <c r="AL925" s="94"/>
    </row>
    <row r="926" hidden="1">
      <c r="A926" s="92"/>
      <c r="B926" s="93"/>
      <c r="C926" s="93"/>
      <c r="D926" s="93"/>
      <c r="E926" s="93"/>
      <c r="F926" s="93"/>
      <c r="G926" s="92"/>
      <c r="H926" s="93"/>
      <c r="I926" s="93"/>
      <c r="J926" s="92"/>
      <c r="K926" s="92"/>
      <c r="L926" s="93"/>
      <c r="M926" s="92"/>
      <c r="N926" s="92"/>
      <c r="O926" s="94"/>
      <c r="P926" s="94"/>
      <c r="Q926" s="94"/>
      <c r="R926" s="94"/>
      <c r="S926" s="94"/>
      <c r="T926" s="94"/>
      <c r="U926" s="94"/>
      <c r="V926" s="94"/>
      <c r="W926" s="94"/>
      <c r="X926" s="94"/>
      <c r="Y926" s="94"/>
      <c r="Z926" s="94"/>
      <c r="AA926" s="94"/>
      <c r="AB926" s="94"/>
      <c r="AC926" s="94"/>
      <c r="AD926" s="94"/>
      <c r="AE926" s="94"/>
      <c r="AF926" s="94"/>
      <c r="AG926" s="94"/>
      <c r="AH926" s="94"/>
      <c r="AI926" s="94"/>
      <c r="AJ926" s="94"/>
      <c r="AK926" s="94"/>
      <c r="AL926" s="94"/>
    </row>
    <row r="927" hidden="1">
      <c r="A927" s="92"/>
      <c r="B927" s="93"/>
      <c r="C927" s="93"/>
      <c r="D927" s="93"/>
      <c r="E927" s="93"/>
      <c r="F927" s="93"/>
      <c r="G927" s="92"/>
      <c r="H927" s="93"/>
      <c r="I927" s="93"/>
      <c r="J927" s="92"/>
      <c r="K927" s="92"/>
      <c r="L927" s="93"/>
      <c r="M927" s="92"/>
      <c r="N927" s="92"/>
      <c r="O927" s="94"/>
      <c r="P927" s="94"/>
      <c r="Q927" s="94"/>
      <c r="R927" s="94"/>
      <c r="S927" s="94"/>
      <c r="T927" s="94"/>
      <c r="U927" s="94"/>
      <c r="V927" s="94"/>
      <c r="W927" s="94"/>
      <c r="X927" s="94"/>
      <c r="Y927" s="94"/>
      <c r="Z927" s="94"/>
      <c r="AA927" s="94"/>
      <c r="AB927" s="94"/>
      <c r="AC927" s="94"/>
      <c r="AD927" s="94"/>
      <c r="AE927" s="94"/>
      <c r="AF927" s="94"/>
      <c r="AG927" s="94"/>
      <c r="AH927" s="94"/>
      <c r="AI927" s="94"/>
      <c r="AJ927" s="94"/>
      <c r="AK927" s="94"/>
      <c r="AL927" s="94"/>
    </row>
    <row r="928" hidden="1">
      <c r="A928" s="92"/>
      <c r="B928" s="93"/>
      <c r="C928" s="93"/>
      <c r="D928" s="93"/>
      <c r="E928" s="93"/>
      <c r="F928" s="93"/>
      <c r="G928" s="92"/>
      <c r="H928" s="93"/>
      <c r="I928" s="93"/>
      <c r="J928" s="92"/>
      <c r="K928" s="92"/>
      <c r="L928" s="93"/>
      <c r="M928" s="92"/>
      <c r="N928" s="92"/>
      <c r="O928" s="94"/>
      <c r="P928" s="94"/>
      <c r="Q928" s="94"/>
      <c r="R928" s="94"/>
      <c r="S928" s="94"/>
      <c r="T928" s="94"/>
      <c r="U928" s="94"/>
      <c r="V928" s="94"/>
      <c r="W928" s="94"/>
      <c r="X928" s="94"/>
      <c r="Y928" s="94"/>
      <c r="Z928" s="94"/>
      <c r="AA928" s="94"/>
      <c r="AB928" s="94"/>
      <c r="AC928" s="94"/>
      <c r="AD928" s="94"/>
      <c r="AE928" s="94"/>
      <c r="AF928" s="94"/>
      <c r="AG928" s="94"/>
      <c r="AH928" s="94"/>
      <c r="AI928" s="94"/>
      <c r="AJ928" s="94"/>
      <c r="AK928" s="94"/>
      <c r="AL928" s="94"/>
    </row>
    <row r="929" hidden="1">
      <c r="A929" s="92"/>
      <c r="B929" s="93"/>
      <c r="C929" s="93"/>
      <c r="D929" s="93"/>
      <c r="E929" s="93"/>
      <c r="F929" s="93"/>
      <c r="G929" s="92"/>
      <c r="H929" s="93"/>
      <c r="I929" s="93"/>
      <c r="J929" s="92"/>
      <c r="K929" s="92"/>
      <c r="L929" s="93"/>
      <c r="M929" s="92"/>
      <c r="N929" s="92"/>
      <c r="O929" s="94"/>
      <c r="P929" s="94"/>
      <c r="Q929" s="94"/>
      <c r="R929" s="94"/>
      <c r="S929" s="94"/>
      <c r="T929" s="94"/>
      <c r="U929" s="94"/>
      <c r="V929" s="94"/>
      <c r="W929" s="94"/>
      <c r="X929" s="94"/>
      <c r="Y929" s="94"/>
      <c r="Z929" s="94"/>
      <c r="AA929" s="94"/>
      <c r="AB929" s="94"/>
      <c r="AC929" s="94"/>
      <c r="AD929" s="94"/>
      <c r="AE929" s="94"/>
      <c r="AF929" s="94"/>
      <c r="AG929" s="94"/>
      <c r="AH929" s="94"/>
      <c r="AI929" s="94"/>
      <c r="AJ929" s="94"/>
      <c r="AK929" s="94"/>
      <c r="AL929" s="94"/>
    </row>
    <row r="930" hidden="1">
      <c r="A930" s="92"/>
      <c r="B930" s="93"/>
      <c r="C930" s="93"/>
      <c r="D930" s="93"/>
      <c r="E930" s="93"/>
      <c r="F930" s="93"/>
      <c r="G930" s="92"/>
      <c r="H930" s="93"/>
      <c r="I930" s="93"/>
      <c r="J930" s="92"/>
      <c r="K930" s="92"/>
      <c r="L930" s="93"/>
      <c r="M930" s="92"/>
      <c r="N930" s="92"/>
      <c r="O930" s="94"/>
      <c r="P930" s="94"/>
      <c r="Q930" s="94"/>
      <c r="R930" s="94"/>
      <c r="S930" s="94"/>
      <c r="T930" s="94"/>
      <c r="U930" s="94"/>
      <c r="V930" s="94"/>
      <c r="W930" s="94"/>
      <c r="X930" s="94"/>
      <c r="Y930" s="94"/>
      <c r="Z930" s="94"/>
      <c r="AA930" s="94"/>
      <c r="AB930" s="94"/>
      <c r="AC930" s="94"/>
      <c r="AD930" s="94"/>
      <c r="AE930" s="94"/>
      <c r="AF930" s="94"/>
      <c r="AG930" s="94"/>
      <c r="AH930" s="94"/>
      <c r="AI930" s="94"/>
      <c r="AJ930" s="94"/>
      <c r="AK930" s="94"/>
      <c r="AL930" s="94"/>
    </row>
    <row r="931" hidden="1">
      <c r="A931" s="92"/>
      <c r="B931" s="93"/>
      <c r="C931" s="93"/>
      <c r="D931" s="93"/>
      <c r="E931" s="93"/>
      <c r="F931" s="93"/>
      <c r="G931" s="92"/>
      <c r="H931" s="93"/>
      <c r="I931" s="93"/>
      <c r="J931" s="92"/>
      <c r="K931" s="92"/>
      <c r="L931" s="93"/>
      <c r="M931" s="92"/>
      <c r="N931" s="92"/>
      <c r="O931" s="94"/>
      <c r="P931" s="94"/>
      <c r="Q931" s="94"/>
      <c r="R931" s="94"/>
      <c r="S931" s="94"/>
      <c r="T931" s="94"/>
      <c r="U931" s="94"/>
      <c r="V931" s="94"/>
      <c r="W931" s="94"/>
      <c r="X931" s="94"/>
      <c r="Y931" s="94"/>
      <c r="Z931" s="94"/>
      <c r="AA931" s="94"/>
      <c r="AB931" s="94"/>
      <c r="AC931" s="94"/>
      <c r="AD931" s="94"/>
      <c r="AE931" s="94"/>
      <c r="AF931" s="94"/>
      <c r="AG931" s="94"/>
      <c r="AH931" s="94"/>
      <c r="AI931" s="94"/>
      <c r="AJ931" s="94"/>
      <c r="AK931" s="94"/>
      <c r="AL931" s="94"/>
    </row>
    <row r="932" hidden="1">
      <c r="A932" s="92"/>
      <c r="B932" s="93"/>
      <c r="C932" s="93"/>
      <c r="D932" s="93"/>
      <c r="E932" s="93"/>
      <c r="F932" s="93"/>
      <c r="G932" s="92"/>
      <c r="H932" s="93"/>
      <c r="I932" s="93"/>
      <c r="J932" s="92"/>
      <c r="K932" s="92"/>
      <c r="L932" s="93"/>
      <c r="M932" s="92"/>
      <c r="N932" s="92"/>
      <c r="O932" s="94"/>
      <c r="P932" s="94"/>
      <c r="Q932" s="94"/>
      <c r="R932" s="94"/>
      <c r="S932" s="94"/>
      <c r="T932" s="94"/>
      <c r="U932" s="94"/>
      <c r="V932" s="94"/>
      <c r="W932" s="94"/>
      <c r="X932" s="94"/>
      <c r="Y932" s="94"/>
      <c r="Z932" s="94"/>
      <c r="AA932" s="94"/>
      <c r="AB932" s="94"/>
      <c r="AC932" s="94"/>
      <c r="AD932" s="94"/>
      <c r="AE932" s="94"/>
      <c r="AF932" s="94"/>
      <c r="AG932" s="94"/>
      <c r="AH932" s="94"/>
      <c r="AI932" s="94"/>
      <c r="AJ932" s="94"/>
      <c r="AK932" s="94"/>
      <c r="AL932" s="94"/>
    </row>
    <row r="933" hidden="1">
      <c r="A933" s="92"/>
      <c r="B933" s="93"/>
      <c r="C933" s="93"/>
      <c r="D933" s="93"/>
      <c r="E933" s="93"/>
      <c r="F933" s="93"/>
      <c r="G933" s="92"/>
      <c r="H933" s="93"/>
      <c r="I933" s="93"/>
      <c r="J933" s="92"/>
      <c r="K933" s="92"/>
      <c r="L933" s="93"/>
      <c r="M933" s="92"/>
      <c r="N933" s="92"/>
      <c r="O933" s="94"/>
      <c r="P933" s="94"/>
      <c r="Q933" s="94"/>
      <c r="R933" s="94"/>
      <c r="S933" s="94"/>
      <c r="T933" s="94"/>
      <c r="U933" s="94"/>
      <c r="V933" s="94"/>
      <c r="W933" s="94"/>
      <c r="X933" s="94"/>
      <c r="Y933" s="94"/>
      <c r="Z933" s="94"/>
      <c r="AA933" s="94"/>
      <c r="AB933" s="94"/>
      <c r="AC933" s="94"/>
      <c r="AD933" s="94"/>
      <c r="AE933" s="94"/>
      <c r="AF933" s="94"/>
      <c r="AG933" s="94"/>
      <c r="AH933" s="94"/>
      <c r="AI933" s="94"/>
      <c r="AJ933" s="94"/>
      <c r="AK933" s="94"/>
      <c r="AL933" s="94"/>
    </row>
    <row r="934" hidden="1">
      <c r="A934" s="92"/>
      <c r="B934" s="93"/>
      <c r="C934" s="93"/>
      <c r="D934" s="93"/>
      <c r="E934" s="93"/>
      <c r="F934" s="93"/>
      <c r="G934" s="92"/>
      <c r="H934" s="93"/>
      <c r="I934" s="93"/>
      <c r="J934" s="92"/>
      <c r="K934" s="92"/>
      <c r="L934" s="93"/>
      <c r="M934" s="92"/>
      <c r="N934" s="92"/>
      <c r="O934" s="94"/>
      <c r="P934" s="94"/>
      <c r="Q934" s="94"/>
      <c r="R934" s="94"/>
      <c r="S934" s="94"/>
      <c r="T934" s="94"/>
      <c r="U934" s="94"/>
      <c r="V934" s="94"/>
      <c r="W934" s="94"/>
      <c r="X934" s="94"/>
      <c r="Y934" s="94"/>
      <c r="Z934" s="94"/>
      <c r="AA934" s="94"/>
      <c r="AB934" s="94"/>
      <c r="AC934" s="94"/>
      <c r="AD934" s="94"/>
      <c r="AE934" s="94"/>
      <c r="AF934" s="94"/>
      <c r="AG934" s="94"/>
      <c r="AH934" s="94"/>
      <c r="AI934" s="94"/>
      <c r="AJ934" s="94"/>
      <c r="AK934" s="94"/>
      <c r="AL934" s="94"/>
    </row>
    <row r="935" hidden="1">
      <c r="A935" s="92"/>
      <c r="B935" s="93"/>
      <c r="C935" s="93"/>
      <c r="D935" s="93"/>
      <c r="E935" s="93"/>
      <c r="F935" s="93"/>
      <c r="G935" s="92"/>
      <c r="H935" s="93"/>
      <c r="I935" s="93"/>
      <c r="J935" s="92"/>
      <c r="K935" s="92"/>
      <c r="L935" s="93"/>
      <c r="M935" s="92"/>
      <c r="N935" s="92"/>
      <c r="O935" s="94"/>
      <c r="P935" s="94"/>
      <c r="Q935" s="94"/>
      <c r="R935" s="94"/>
      <c r="S935" s="94"/>
      <c r="T935" s="94"/>
      <c r="U935" s="94"/>
      <c r="V935" s="94"/>
      <c r="W935" s="94"/>
      <c r="X935" s="94"/>
      <c r="Y935" s="94"/>
      <c r="Z935" s="94"/>
      <c r="AA935" s="94"/>
      <c r="AB935" s="94"/>
      <c r="AC935" s="94"/>
      <c r="AD935" s="94"/>
      <c r="AE935" s="94"/>
      <c r="AF935" s="94"/>
      <c r="AG935" s="94"/>
      <c r="AH935" s="94"/>
      <c r="AI935" s="94"/>
      <c r="AJ935" s="94"/>
      <c r="AK935" s="94"/>
      <c r="AL935" s="94"/>
    </row>
    <row r="936" hidden="1">
      <c r="A936" s="92"/>
      <c r="B936" s="93"/>
      <c r="C936" s="93"/>
      <c r="D936" s="93"/>
      <c r="E936" s="93"/>
      <c r="F936" s="93"/>
      <c r="G936" s="92"/>
      <c r="H936" s="93"/>
      <c r="I936" s="93"/>
      <c r="J936" s="92"/>
      <c r="K936" s="92"/>
      <c r="L936" s="93"/>
      <c r="M936" s="92"/>
      <c r="N936" s="92"/>
      <c r="O936" s="94"/>
      <c r="P936" s="94"/>
      <c r="Q936" s="94"/>
      <c r="R936" s="94"/>
      <c r="S936" s="94"/>
      <c r="T936" s="94"/>
      <c r="U936" s="94"/>
      <c r="V936" s="94"/>
      <c r="W936" s="94"/>
      <c r="X936" s="94"/>
      <c r="Y936" s="94"/>
      <c r="Z936" s="94"/>
      <c r="AA936" s="94"/>
      <c r="AB936" s="94"/>
      <c r="AC936" s="94"/>
      <c r="AD936" s="94"/>
      <c r="AE936" s="94"/>
      <c r="AF936" s="94"/>
      <c r="AG936" s="94"/>
      <c r="AH936" s="94"/>
      <c r="AI936" s="94"/>
      <c r="AJ936" s="94"/>
      <c r="AK936" s="94"/>
      <c r="AL936" s="94"/>
    </row>
    <row r="937" hidden="1">
      <c r="A937" s="92"/>
      <c r="B937" s="93"/>
      <c r="C937" s="93"/>
      <c r="D937" s="93"/>
      <c r="E937" s="93"/>
      <c r="F937" s="93"/>
      <c r="G937" s="92"/>
      <c r="H937" s="93"/>
      <c r="I937" s="93"/>
      <c r="J937" s="92"/>
      <c r="K937" s="92"/>
      <c r="L937" s="93"/>
      <c r="M937" s="92"/>
      <c r="N937" s="92"/>
      <c r="O937" s="94"/>
      <c r="P937" s="94"/>
      <c r="Q937" s="94"/>
      <c r="R937" s="94"/>
      <c r="S937" s="94"/>
      <c r="T937" s="94"/>
      <c r="U937" s="94"/>
      <c r="V937" s="94"/>
      <c r="W937" s="94"/>
      <c r="X937" s="94"/>
      <c r="Y937" s="94"/>
      <c r="Z937" s="94"/>
      <c r="AA937" s="94"/>
      <c r="AB937" s="94"/>
      <c r="AC937" s="94"/>
      <c r="AD937" s="94"/>
      <c r="AE937" s="94"/>
      <c r="AF937" s="94"/>
      <c r="AG937" s="94"/>
      <c r="AH937" s="94"/>
      <c r="AI937" s="94"/>
      <c r="AJ937" s="94"/>
      <c r="AK937" s="94"/>
      <c r="AL937" s="94"/>
    </row>
    <row r="938" hidden="1">
      <c r="A938" s="92"/>
      <c r="B938" s="93"/>
      <c r="C938" s="93"/>
      <c r="D938" s="93"/>
      <c r="E938" s="93"/>
      <c r="F938" s="93"/>
      <c r="G938" s="92"/>
      <c r="H938" s="93"/>
      <c r="I938" s="93"/>
      <c r="J938" s="92"/>
      <c r="K938" s="92"/>
      <c r="L938" s="93"/>
      <c r="M938" s="92"/>
      <c r="N938" s="92"/>
      <c r="O938" s="94"/>
      <c r="P938" s="94"/>
      <c r="Q938" s="94"/>
      <c r="R938" s="94"/>
      <c r="S938" s="94"/>
      <c r="T938" s="94"/>
      <c r="U938" s="94"/>
      <c r="V938" s="94"/>
      <c r="W938" s="94"/>
      <c r="X938" s="94"/>
      <c r="Y938" s="94"/>
      <c r="Z938" s="94"/>
      <c r="AA938" s="94"/>
      <c r="AB938" s="94"/>
      <c r="AC938" s="94"/>
      <c r="AD938" s="94"/>
      <c r="AE938" s="94"/>
      <c r="AF938" s="94"/>
      <c r="AG938" s="94"/>
      <c r="AH938" s="94"/>
      <c r="AI938" s="94"/>
      <c r="AJ938" s="94"/>
      <c r="AK938" s="94"/>
      <c r="AL938" s="94"/>
    </row>
    <row r="939" hidden="1">
      <c r="A939" s="92"/>
      <c r="B939" s="93"/>
      <c r="C939" s="93"/>
      <c r="D939" s="93"/>
      <c r="E939" s="93"/>
      <c r="F939" s="93"/>
      <c r="G939" s="92"/>
      <c r="H939" s="93"/>
      <c r="I939" s="93"/>
      <c r="J939" s="92"/>
      <c r="K939" s="92"/>
      <c r="L939" s="93"/>
      <c r="M939" s="92"/>
      <c r="N939" s="92"/>
      <c r="O939" s="94"/>
      <c r="P939" s="94"/>
      <c r="Q939" s="94"/>
      <c r="R939" s="94"/>
      <c r="S939" s="94"/>
      <c r="T939" s="94"/>
      <c r="U939" s="94"/>
      <c r="V939" s="94"/>
      <c r="W939" s="94"/>
      <c r="X939" s="94"/>
      <c r="Y939" s="94"/>
      <c r="Z939" s="94"/>
      <c r="AA939" s="94"/>
      <c r="AB939" s="94"/>
      <c r="AC939" s="94"/>
      <c r="AD939" s="94"/>
      <c r="AE939" s="94"/>
      <c r="AF939" s="94"/>
      <c r="AG939" s="94"/>
      <c r="AH939" s="94"/>
      <c r="AI939" s="94"/>
      <c r="AJ939" s="94"/>
      <c r="AK939" s="94"/>
      <c r="AL939" s="94"/>
    </row>
    <row r="940" hidden="1">
      <c r="A940" s="92"/>
      <c r="B940" s="93"/>
      <c r="C940" s="93"/>
      <c r="D940" s="93"/>
      <c r="E940" s="93"/>
      <c r="F940" s="93"/>
      <c r="G940" s="92"/>
      <c r="H940" s="93"/>
      <c r="I940" s="93"/>
      <c r="J940" s="92"/>
      <c r="K940" s="92"/>
      <c r="L940" s="93"/>
      <c r="M940" s="92"/>
      <c r="N940" s="92"/>
      <c r="O940" s="94"/>
      <c r="P940" s="94"/>
      <c r="Q940" s="94"/>
      <c r="R940" s="94"/>
      <c r="S940" s="94"/>
      <c r="T940" s="94"/>
      <c r="U940" s="94"/>
      <c r="V940" s="94"/>
      <c r="W940" s="94"/>
      <c r="X940" s="94"/>
      <c r="Y940" s="94"/>
      <c r="Z940" s="94"/>
      <c r="AA940" s="94"/>
      <c r="AB940" s="94"/>
      <c r="AC940" s="94"/>
      <c r="AD940" s="94"/>
      <c r="AE940" s="94"/>
      <c r="AF940" s="94"/>
      <c r="AG940" s="94"/>
      <c r="AH940" s="94"/>
      <c r="AI940" s="94"/>
      <c r="AJ940" s="94"/>
      <c r="AK940" s="94"/>
      <c r="AL940" s="94"/>
    </row>
    <row r="941" hidden="1">
      <c r="A941" s="92"/>
      <c r="B941" s="93"/>
      <c r="C941" s="93"/>
      <c r="D941" s="93"/>
      <c r="E941" s="93"/>
      <c r="F941" s="93"/>
      <c r="G941" s="92"/>
      <c r="H941" s="93"/>
      <c r="I941" s="93"/>
      <c r="J941" s="92"/>
      <c r="K941" s="92"/>
      <c r="L941" s="93"/>
      <c r="M941" s="92"/>
      <c r="N941" s="92"/>
      <c r="O941" s="94"/>
      <c r="P941" s="94"/>
      <c r="Q941" s="94"/>
      <c r="R941" s="94"/>
      <c r="S941" s="94"/>
      <c r="T941" s="94"/>
      <c r="U941" s="94"/>
      <c r="V941" s="94"/>
      <c r="W941" s="94"/>
      <c r="X941" s="94"/>
      <c r="Y941" s="94"/>
      <c r="Z941" s="94"/>
      <c r="AA941" s="94"/>
      <c r="AB941" s="94"/>
      <c r="AC941" s="94"/>
      <c r="AD941" s="94"/>
      <c r="AE941" s="94"/>
      <c r="AF941" s="94"/>
      <c r="AG941" s="94"/>
      <c r="AH941" s="94"/>
      <c r="AI941" s="94"/>
      <c r="AJ941" s="94"/>
      <c r="AK941" s="94"/>
      <c r="AL941" s="94"/>
    </row>
    <row r="942" hidden="1">
      <c r="A942" s="92"/>
      <c r="B942" s="93"/>
      <c r="C942" s="93"/>
      <c r="D942" s="93"/>
      <c r="E942" s="93"/>
      <c r="F942" s="93"/>
      <c r="G942" s="92"/>
      <c r="H942" s="93"/>
      <c r="I942" s="93"/>
      <c r="J942" s="92"/>
      <c r="K942" s="92"/>
      <c r="L942" s="93"/>
      <c r="M942" s="92"/>
      <c r="N942" s="92"/>
      <c r="O942" s="94"/>
      <c r="P942" s="94"/>
      <c r="Q942" s="94"/>
      <c r="R942" s="94"/>
      <c r="S942" s="94"/>
      <c r="T942" s="94"/>
      <c r="U942" s="94"/>
      <c r="V942" s="94"/>
      <c r="W942" s="94"/>
      <c r="X942" s="94"/>
      <c r="Y942" s="94"/>
      <c r="Z942" s="94"/>
      <c r="AA942" s="94"/>
      <c r="AB942" s="94"/>
      <c r="AC942" s="94"/>
      <c r="AD942" s="94"/>
      <c r="AE942" s="94"/>
      <c r="AF942" s="94"/>
      <c r="AG942" s="94"/>
      <c r="AH942" s="94"/>
      <c r="AI942" s="94"/>
      <c r="AJ942" s="94"/>
      <c r="AK942" s="94"/>
      <c r="AL942" s="94"/>
    </row>
    <row r="943" hidden="1">
      <c r="A943" s="92"/>
      <c r="B943" s="93"/>
      <c r="C943" s="93"/>
      <c r="D943" s="93"/>
      <c r="E943" s="93"/>
      <c r="F943" s="93"/>
      <c r="G943" s="92"/>
      <c r="H943" s="93"/>
      <c r="I943" s="93"/>
      <c r="J943" s="92"/>
      <c r="K943" s="92"/>
      <c r="L943" s="93"/>
      <c r="M943" s="92"/>
      <c r="N943" s="92"/>
      <c r="O943" s="94"/>
      <c r="P943" s="94"/>
      <c r="Q943" s="94"/>
      <c r="R943" s="94"/>
      <c r="S943" s="94"/>
      <c r="T943" s="94"/>
      <c r="U943" s="94"/>
      <c r="V943" s="94"/>
      <c r="W943" s="94"/>
      <c r="X943" s="94"/>
      <c r="Y943" s="94"/>
      <c r="Z943" s="94"/>
      <c r="AA943" s="94"/>
      <c r="AB943" s="94"/>
      <c r="AC943" s="94"/>
      <c r="AD943" s="94"/>
      <c r="AE943" s="94"/>
      <c r="AF943" s="94"/>
      <c r="AG943" s="94"/>
      <c r="AH943" s="94"/>
      <c r="AI943" s="94"/>
      <c r="AJ943" s="94"/>
      <c r="AK943" s="94"/>
      <c r="AL943" s="94"/>
    </row>
    <row r="944" hidden="1">
      <c r="A944" s="92"/>
      <c r="B944" s="93"/>
      <c r="C944" s="93"/>
      <c r="D944" s="93"/>
      <c r="E944" s="93"/>
      <c r="F944" s="93"/>
      <c r="G944" s="92"/>
      <c r="H944" s="93"/>
      <c r="I944" s="93"/>
      <c r="J944" s="92"/>
      <c r="K944" s="92"/>
      <c r="L944" s="93"/>
      <c r="M944" s="92"/>
      <c r="N944" s="92"/>
      <c r="O944" s="94"/>
      <c r="P944" s="94"/>
      <c r="Q944" s="94"/>
      <c r="R944" s="94"/>
      <c r="S944" s="94"/>
      <c r="T944" s="94"/>
      <c r="U944" s="94"/>
      <c r="V944" s="94"/>
      <c r="W944" s="94"/>
      <c r="X944" s="94"/>
      <c r="Y944" s="94"/>
      <c r="Z944" s="94"/>
      <c r="AA944" s="94"/>
      <c r="AB944" s="94"/>
      <c r="AC944" s="94"/>
      <c r="AD944" s="94"/>
      <c r="AE944" s="94"/>
      <c r="AF944" s="94"/>
      <c r="AG944" s="94"/>
      <c r="AH944" s="94"/>
      <c r="AI944" s="94"/>
      <c r="AJ944" s="94"/>
      <c r="AK944" s="94"/>
      <c r="AL944" s="94"/>
    </row>
    <row r="945" hidden="1">
      <c r="A945" s="92"/>
      <c r="B945" s="93"/>
      <c r="C945" s="93"/>
      <c r="D945" s="93"/>
      <c r="E945" s="93"/>
      <c r="F945" s="93"/>
      <c r="G945" s="92"/>
      <c r="H945" s="93"/>
      <c r="I945" s="93"/>
      <c r="J945" s="92"/>
      <c r="K945" s="92"/>
      <c r="L945" s="93"/>
      <c r="M945" s="92"/>
      <c r="N945" s="92"/>
      <c r="O945" s="94"/>
      <c r="P945" s="94"/>
      <c r="Q945" s="94"/>
      <c r="R945" s="94"/>
      <c r="S945" s="94"/>
      <c r="T945" s="94"/>
      <c r="U945" s="94"/>
      <c r="V945" s="94"/>
      <c r="W945" s="94"/>
      <c r="X945" s="94"/>
      <c r="Y945" s="94"/>
      <c r="Z945" s="94"/>
      <c r="AA945" s="94"/>
      <c r="AB945" s="94"/>
      <c r="AC945" s="94"/>
      <c r="AD945" s="94"/>
      <c r="AE945" s="94"/>
      <c r="AF945" s="94"/>
      <c r="AG945" s="94"/>
      <c r="AH945" s="94"/>
      <c r="AI945" s="94"/>
      <c r="AJ945" s="94"/>
      <c r="AK945" s="94"/>
      <c r="AL945" s="94"/>
    </row>
    <row r="946" hidden="1">
      <c r="A946" s="92"/>
      <c r="B946" s="93"/>
      <c r="C946" s="93"/>
      <c r="D946" s="93"/>
      <c r="E946" s="93"/>
      <c r="F946" s="93"/>
      <c r="G946" s="92"/>
      <c r="H946" s="93"/>
      <c r="I946" s="93"/>
      <c r="J946" s="92"/>
      <c r="K946" s="92"/>
      <c r="L946" s="93"/>
      <c r="M946" s="92"/>
      <c r="N946" s="92"/>
      <c r="O946" s="94"/>
      <c r="P946" s="94"/>
      <c r="Q946" s="94"/>
      <c r="R946" s="94"/>
      <c r="S946" s="94"/>
      <c r="T946" s="94"/>
      <c r="U946" s="94"/>
      <c r="V946" s="94"/>
      <c r="W946" s="94"/>
      <c r="X946" s="94"/>
      <c r="Y946" s="94"/>
      <c r="Z946" s="94"/>
      <c r="AA946" s="94"/>
      <c r="AB946" s="94"/>
      <c r="AC946" s="94"/>
      <c r="AD946" s="94"/>
      <c r="AE946" s="94"/>
      <c r="AF946" s="94"/>
      <c r="AG946" s="94"/>
      <c r="AH946" s="94"/>
      <c r="AI946" s="94"/>
      <c r="AJ946" s="94"/>
      <c r="AK946" s="94"/>
      <c r="AL946" s="94"/>
    </row>
    <row r="947" hidden="1">
      <c r="A947" s="92"/>
      <c r="B947" s="93"/>
      <c r="C947" s="93"/>
      <c r="D947" s="93"/>
      <c r="E947" s="93"/>
      <c r="F947" s="93"/>
      <c r="G947" s="92"/>
      <c r="H947" s="93"/>
      <c r="I947" s="93"/>
      <c r="J947" s="92"/>
      <c r="K947" s="92"/>
      <c r="L947" s="93"/>
      <c r="M947" s="92"/>
      <c r="N947" s="92"/>
      <c r="O947" s="94"/>
      <c r="P947" s="94"/>
      <c r="Q947" s="94"/>
      <c r="R947" s="94"/>
      <c r="S947" s="94"/>
      <c r="T947" s="94"/>
      <c r="U947" s="94"/>
      <c r="V947" s="94"/>
      <c r="W947" s="94"/>
      <c r="X947" s="94"/>
      <c r="Y947" s="94"/>
      <c r="Z947" s="94"/>
      <c r="AA947" s="94"/>
      <c r="AB947" s="94"/>
      <c r="AC947" s="94"/>
      <c r="AD947" s="94"/>
      <c r="AE947" s="94"/>
      <c r="AF947" s="94"/>
      <c r="AG947" s="94"/>
      <c r="AH947" s="94"/>
      <c r="AI947" s="94"/>
      <c r="AJ947" s="94"/>
      <c r="AK947" s="94"/>
      <c r="AL947" s="94"/>
    </row>
    <row r="948" hidden="1">
      <c r="A948" s="92"/>
      <c r="B948" s="93"/>
      <c r="C948" s="93"/>
      <c r="D948" s="93"/>
      <c r="E948" s="93"/>
      <c r="F948" s="93"/>
      <c r="G948" s="92"/>
      <c r="H948" s="93"/>
      <c r="I948" s="93"/>
      <c r="J948" s="92"/>
      <c r="K948" s="92"/>
      <c r="L948" s="93"/>
      <c r="M948" s="92"/>
      <c r="N948" s="92"/>
      <c r="O948" s="94"/>
      <c r="P948" s="94"/>
      <c r="Q948" s="94"/>
      <c r="R948" s="94"/>
      <c r="S948" s="94"/>
      <c r="T948" s="94"/>
      <c r="U948" s="94"/>
      <c r="V948" s="94"/>
      <c r="W948" s="94"/>
      <c r="X948" s="94"/>
      <c r="Y948" s="94"/>
      <c r="Z948" s="94"/>
      <c r="AA948" s="94"/>
      <c r="AB948" s="94"/>
      <c r="AC948" s="94"/>
      <c r="AD948" s="94"/>
      <c r="AE948" s="94"/>
      <c r="AF948" s="94"/>
      <c r="AG948" s="94"/>
      <c r="AH948" s="94"/>
      <c r="AI948" s="94"/>
      <c r="AJ948" s="94"/>
      <c r="AK948" s="94"/>
      <c r="AL948" s="94"/>
    </row>
    <row r="949" hidden="1">
      <c r="A949" s="92"/>
      <c r="B949" s="93"/>
      <c r="C949" s="93"/>
      <c r="D949" s="93"/>
      <c r="E949" s="93"/>
      <c r="F949" s="93"/>
      <c r="G949" s="92"/>
      <c r="H949" s="93"/>
      <c r="I949" s="93"/>
      <c r="J949" s="92"/>
      <c r="K949" s="92"/>
      <c r="L949" s="93"/>
      <c r="M949" s="92"/>
      <c r="N949" s="92"/>
      <c r="O949" s="94"/>
      <c r="P949" s="94"/>
      <c r="Q949" s="94"/>
      <c r="R949" s="94"/>
      <c r="S949" s="94"/>
      <c r="T949" s="94"/>
      <c r="U949" s="94"/>
      <c r="V949" s="94"/>
      <c r="W949" s="94"/>
      <c r="X949" s="94"/>
      <c r="Y949" s="94"/>
      <c r="Z949" s="94"/>
      <c r="AA949" s="94"/>
      <c r="AB949" s="94"/>
      <c r="AC949" s="94"/>
      <c r="AD949" s="94"/>
      <c r="AE949" s="94"/>
      <c r="AF949" s="94"/>
      <c r="AG949" s="94"/>
      <c r="AH949" s="94"/>
      <c r="AI949" s="94"/>
      <c r="AJ949" s="94"/>
      <c r="AK949" s="94"/>
      <c r="AL949" s="94"/>
    </row>
    <row r="950" hidden="1">
      <c r="A950" s="92"/>
      <c r="B950" s="93"/>
      <c r="C950" s="93"/>
      <c r="D950" s="93"/>
      <c r="E950" s="93"/>
      <c r="F950" s="93"/>
      <c r="G950" s="92"/>
      <c r="H950" s="93"/>
      <c r="I950" s="93"/>
      <c r="J950" s="92"/>
      <c r="K950" s="92"/>
      <c r="L950" s="93"/>
      <c r="M950" s="92"/>
      <c r="N950" s="92"/>
      <c r="O950" s="94"/>
      <c r="P950" s="94"/>
      <c r="Q950" s="94"/>
      <c r="R950" s="94"/>
      <c r="S950" s="94"/>
      <c r="T950" s="94"/>
      <c r="U950" s="94"/>
      <c r="V950" s="94"/>
      <c r="W950" s="94"/>
      <c r="X950" s="94"/>
      <c r="Y950" s="94"/>
      <c r="Z950" s="94"/>
      <c r="AA950" s="94"/>
      <c r="AB950" s="94"/>
      <c r="AC950" s="94"/>
      <c r="AD950" s="94"/>
      <c r="AE950" s="94"/>
      <c r="AF950" s="94"/>
      <c r="AG950" s="94"/>
      <c r="AH950" s="94"/>
      <c r="AI950" s="94"/>
      <c r="AJ950" s="94"/>
      <c r="AK950" s="94"/>
      <c r="AL950" s="94"/>
    </row>
    <row r="951" hidden="1">
      <c r="A951" s="92"/>
      <c r="B951" s="93"/>
      <c r="C951" s="93"/>
      <c r="D951" s="93"/>
      <c r="E951" s="93"/>
      <c r="F951" s="93"/>
      <c r="G951" s="92"/>
      <c r="H951" s="93"/>
      <c r="I951" s="93"/>
      <c r="J951" s="92"/>
      <c r="K951" s="92"/>
      <c r="L951" s="93"/>
      <c r="M951" s="92"/>
      <c r="N951" s="92"/>
      <c r="O951" s="94"/>
      <c r="P951" s="94"/>
      <c r="Q951" s="94"/>
      <c r="R951" s="94"/>
      <c r="S951" s="94"/>
      <c r="T951" s="94"/>
      <c r="U951" s="94"/>
      <c r="V951" s="94"/>
      <c r="W951" s="94"/>
      <c r="X951" s="94"/>
      <c r="Y951" s="94"/>
      <c r="Z951" s="94"/>
      <c r="AA951" s="94"/>
      <c r="AB951" s="94"/>
      <c r="AC951" s="94"/>
      <c r="AD951" s="94"/>
      <c r="AE951" s="94"/>
      <c r="AF951" s="94"/>
      <c r="AG951" s="94"/>
      <c r="AH951" s="94"/>
      <c r="AI951" s="94"/>
      <c r="AJ951" s="94"/>
      <c r="AK951" s="94"/>
      <c r="AL951" s="94"/>
    </row>
    <row r="952" hidden="1">
      <c r="A952" s="92"/>
      <c r="B952" s="93"/>
      <c r="C952" s="93"/>
      <c r="D952" s="93"/>
      <c r="E952" s="93"/>
      <c r="F952" s="93"/>
      <c r="G952" s="92"/>
      <c r="H952" s="93"/>
      <c r="I952" s="93"/>
      <c r="J952" s="92"/>
      <c r="K952" s="92"/>
      <c r="L952" s="93"/>
      <c r="M952" s="92"/>
      <c r="N952" s="92"/>
      <c r="O952" s="94"/>
      <c r="P952" s="94"/>
      <c r="Q952" s="94"/>
      <c r="R952" s="94"/>
      <c r="S952" s="94"/>
      <c r="T952" s="94"/>
      <c r="U952" s="94"/>
      <c r="V952" s="94"/>
      <c r="W952" s="94"/>
      <c r="X952" s="94"/>
      <c r="Y952" s="94"/>
      <c r="Z952" s="94"/>
      <c r="AA952" s="94"/>
      <c r="AB952" s="94"/>
      <c r="AC952" s="94"/>
      <c r="AD952" s="94"/>
      <c r="AE952" s="94"/>
      <c r="AF952" s="94"/>
      <c r="AG952" s="94"/>
      <c r="AH952" s="94"/>
      <c r="AI952" s="94"/>
      <c r="AJ952" s="94"/>
      <c r="AK952" s="94"/>
      <c r="AL952" s="94"/>
    </row>
    <row r="953" hidden="1">
      <c r="A953" s="92"/>
      <c r="B953" s="93"/>
      <c r="C953" s="93"/>
      <c r="D953" s="93"/>
      <c r="E953" s="93"/>
      <c r="F953" s="93"/>
      <c r="G953" s="92"/>
      <c r="H953" s="93"/>
      <c r="I953" s="93"/>
      <c r="J953" s="92"/>
      <c r="K953" s="92"/>
      <c r="L953" s="93"/>
      <c r="M953" s="92"/>
      <c r="N953" s="92"/>
      <c r="O953" s="94"/>
      <c r="P953" s="94"/>
      <c r="Q953" s="94"/>
      <c r="R953" s="94"/>
      <c r="S953" s="94"/>
      <c r="T953" s="94"/>
      <c r="U953" s="94"/>
      <c r="V953" s="94"/>
      <c r="W953" s="94"/>
      <c r="X953" s="94"/>
      <c r="Y953" s="94"/>
      <c r="Z953" s="94"/>
      <c r="AA953" s="94"/>
      <c r="AB953" s="94"/>
      <c r="AC953" s="94"/>
      <c r="AD953" s="94"/>
      <c r="AE953" s="94"/>
      <c r="AF953" s="94"/>
      <c r="AG953" s="94"/>
      <c r="AH953" s="94"/>
      <c r="AI953" s="94"/>
      <c r="AJ953" s="94"/>
      <c r="AK953" s="94"/>
      <c r="AL953" s="94"/>
    </row>
    <row r="954" hidden="1">
      <c r="A954" s="92"/>
      <c r="B954" s="93"/>
      <c r="C954" s="93"/>
      <c r="D954" s="93"/>
      <c r="E954" s="93"/>
      <c r="F954" s="93"/>
      <c r="G954" s="92"/>
      <c r="H954" s="93"/>
      <c r="I954" s="93"/>
      <c r="J954" s="92"/>
      <c r="K954" s="92"/>
      <c r="L954" s="93"/>
      <c r="M954" s="92"/>
      <c r="N954" s="92"/>
      <c r="O954" s="94"/>
      <c r="P954" s="94"/>
      <c r="Q954" s="94"/>
      <c r="R954" s="94"/>
      <c r="S954" s="94"/>
      <c r="T954" s="94"/>
      <c r="U954" s="94"/>
      <c r="V954" s="94"/>
      <c r="W954" s="94"/>
      <c r="X954" s="94"/>
      <c r="Y954" s="94"/>
      <c r="Z954" s="94"/>
      <c r="AA954" s="94"/>
      <c r="AB954" s="94"/>
      <c r="AC954" s="94"/>
      <c r="AD954" s="94"/>
      <c r="AE954" s="94"/>
      <c r="AF954" s="94"/>
      <c r="AG954" s="94"/>
      <c r="AH954" s="94"/>
      <c r="AI954" s="94"/>
      <c r="AJ954" s="94"/>
      <c r="AK954" s="94"/>
      <c r="AL954" s="94"/>
    </row>
    <row r="955" hidden="1">
      <c r="A955" s="92"/>
      <c r="B955" s="93"/>
      <c r="C955" s="93"/>
      <c r="D955" s="93"/>
      <c r="E955" s="93"/>
      <c r="F955" s="93"/>
      <c r="G955" s="92"/>
      <c r="H955" s="93"/>
      <c r="I955" s="93"/>
      <c r="J955" s="92"/>
      <c r="K955" s="92"/>
      <c r="L955" s="93"/>
      <c r="M955" s="92"/>
      <c r="N955" s="92"/>
      <c r="O955" s="94"/>
      <c r="P955" s="94"/>
      <c r="Q955" s="94"/>
      <c r="R955" s="94"/>
      <c r="S955" s="94"/>
      <c r="T955" s="94"/>
      <c r="U955" s="94"/>
      <c r="V955" s="94"/>
      <c r="W955" s="94"/>
      <c r="X955" s="94"/>
      <c r="Y955" s="94"/>
      <c r="Z955" s="94"/>
      <c r="AA955" s="94"/>
      <c r="AB955" s="94"/>
      <c r="AC955" s="94"/>
      <c r="AD955" s="94"/>
      <c r="AE955" s="94"/>
      <c r="AF955" s="94"/>
      <c r="AG955" s="94"/>
      <c r="AH955" s="94"/>
      <c r="AI955" s="94"/>
      <c r="AJ955" s="94"/>
      <c r="AK955" s="94"/>
      <c r="AL955" s="94"/>
    </row>
    <row r="956" hidden="1">
      <c r="A956" s="92"/>
      <c r="B956" s="93"/>
      <c r="C956" s="93"/>
      <c r="D956" s="93"/>
      <c r="E956" s="93"/>
      <c r="F956" s="93"/>
      <c r="G956" s="92"/>
      <c r="H956" s="93"/>
      <c r="I956" s="93"/>
      <c r="J956" s="92"/>
      <c r="K956" s="92"/>
      <c r="L956" s="93"/>
      <c r="M956" s="92"/>
      <c r="N956" s="92"/>
      <c r="O956" s="94"/>
      <c r="P956" s="94"/>
      <c r="Q956" s="94"/>
      <c r="R956" s="94"/>
      <c r="S956" s="94"/>
      <c r="T956" s="94"/>
      <c r="U956" s="94"/>
      <c r="V956" s="94"/>
      <c r="W956" s="94"/>
      <c r="X956" s="94"/>
      <c r="Y956" s="94"/>
      <c r="Z956" s="94"/>
      <c r="AA956" s="94"/>
      <c r="AB956" s="94"/>
      <c r="AC956" s="94"/>
      <c r="AD956" s="94"/>
      <c r="AE956" s="94"/>
      <c r="AF956" s="94"/>
      <c r="AG956" s="94"/>
      <c r="AH956" s="94"/>
      <c r="AI956" s="94"/>
      <c r="AJ956" s="94"/>
      <c r="AK956" s="94"/>
      <c r="AL956" s="94"/>
    </row>
    <row r="957" hidden="1">
      <c r="A957" s="92"/>
      <c r="B957" s="93"/>
      <c r="C957" s="93"/>
      <c r="D957" s="93"/>
      <c r="E957" s="93"/>
      <c r="F957" s="93"/>
      <c r="G957" s="92"/>
      <c r="H957" s="93"/>
      <c r="I957" s="93"/>
      <c r="J957" s="92"/>
      <c r="K957" s="92"/>
      <c r="L957" s="93"/>
      <c r="M957" s="92"/>
      <c r="N957" s="92"/>
      <c r="O957" s="94"/>
      <c r="P957" s="94"/>
      <c r="Q957" s="94"/>
      <c r="R957" s="94"/>
      <c r="S957" s="94"/>
      <c r="T957" s="94"/>
      <c r="U957" s="94"/>
      <c r="V957" s="94"/>
      <c r="W957" s="94"/>
      <c r="X957" s="94"/>
      <c r="Y957" s="94"/>
      <c r="Z957" s="94"/>
      <c r="AA957" s="94"/>
      <c r="AB957" s="94"/>
      <c r="AC957" s="94"/>
      <c r="AD957" s="94"/>
      <c r="AE957" s="94"/>
      <c r="AF957" s="94"/>
      <c r="AG957" s="94"/>
      <c r="AH957" s="94"/>
      <c r="AI957" s="94"/>
      <c r="AJ957" s="94"/>
      <c r="AK957" s="94"/>
      <c r="AL957" s="94"/>
    </row>
    <row r="958" hidden="1">
      <c r="A958" s="92"/>
      <c r="B958" s="93"/>
      <c r="C958" s="93"/>
      <c r="D958" s="93"/>
      <c r="E958" s="93"/>
      <c r="F958" s="93"/>
      <c r="G958" s="92"/>
      <c r="H958" s="93"/>
      <c r="I958" s="93"/>
      <c r="J958" s="92"/>
      <c r="K958" s="92"/>
      <c r="L958" s="93"/>
      <c r="M958" s="92"/>
      <c r="N958" s="92"/>
      <c r="O958" s="94"/>
      <c r="P958" s="94"/>
      <c r="Q958" s="94"/>
      <c r="R958" s="94"/>
      <c r="S958" s="94"/>
      <c r="T958" s="94"/>
      <c r="U958" s="94"/>
      <c r="V958" s="94"/>
      <c r="W958" s="94"/>
      <c r="X958" s="94"/>
      <c r="Y958" s="94"/>
      <c r="Z958" s="94"/>
      <c r="AA958" s="94"/>
      <c r="AB958" s="94"/>
      <c r="AC958" s="94"/>
      <c r="AD958" s="94"/>
      <c r="AE958" s="94"/>
      <c r="AF958" s="94"/>
      <c r="AG958" s="94"/>
      <c r="AH958" s="94"/>
      <c r="AI958" s="94"/>
      <c r="AJ958" s="94"/>
      <c r="AK958" s="94"/>
      <c r="AL958" s="94"/>
    </row>
    <row r="959" hidden="1">
      <c r="A959" s="92"/>
      <c r="B959" s="93"/>
      <c r="C959" s="93"/>
      <c r="D959" s="93"/>
      <c r="E959" s="93"/>
      <c r="F959" s="93"/>
      <c r="G959" s="92"/>
      <c r="H959" s="93"/>
      <c r="I959" s="93"/>
      <c r="J959" s="92"/>
      <c r="K959" s="92"/>
      <c r="L959" s="93"/>
      <c r="M959" s="92"/>
      <c r="N959" s="92"/>
      <c r="O959" s="94"/>
      <c r="P959" s="94"/>
      <c r="Q959" s="94"/>
      <c r="R959" s="94"/>
      <c r="S959" s="94"/>
      <c r="T959" s="94"/>
      <c r="U959" s="94"/>
      <c r="V959" s="94"/>
      <c r="W959" s="94"/>
      <c r="X959" s="94"/>
      <c r="Y959" s="94"/>
      <c r="Z959" s="94"/>
      <c r="AA959" s="94"/>
      <c r="AB959" s="94"/>
      <c r="AC959" s="94"/>
      <c r="AD959" s="94"/>
      <c r="AE959" s="94"/>
      <c r="AF959" s="94"/>
      <c r="AG959" s="94"/>
      <c r="AH959" s="94"/>
      <c r="AI959" s="94"/>
      <c r="AJ959" s="94"/>
      <c r="AK959" s="94"/>
      <c r="AL959" s="94"/>
    </row>
    <row r="960" hidden="1">
      <c r="A960" s="92"/>
      <c r="B960" s="93"/>
      <c r="C960" s="93"/>
      <c r="D960" s="93"/>
      <c r="E960" s="93"/>
      <c r="F960" s="93"/>
      <c r="G960" s="92"/>
      <c r="H960" s="93"/>
      <c r="I960" s="93"/>
      <c r="J960" s="92"/>
      <c r="K960" s="92"/>
      <c r="L960" s="93"/>
      <c r="M960" s="92"/>
      <c r="N960" s="92"/>
      <c r="O960" s="94"/>
      <c r="P960" s="94"/>
      <c r="Q960" s="94"/>
      <c r="R960" s="94"/>
      <c r="S960" s="94"/>
      <c r="T960" s="94"/>
      <c r="U960" s="94"/>
      <c r="V960" s="94"/>
      <c r="W960" s="94"/>
      <c r="X960" s="94"/>
      <c r="Y960" s="94"/>
      <c r="Z960" s="94"/>
      <c r="AA960" s="94"/>
      <c r="AB960" s="94"/>
      <c r="AC960" s="94"/>
      <c r="AD960" s="94"/>
      <c r="AE960" s="94"/>
      <c r="AF960" s="94"/>
      <c r="AG960" s="94"/>
      <c r="AH960" s="94"/>
      <c r="AI960" s="94"/>
      <c r="AJ960" s="94"/>
      <c r="AK960" s="94"/>
      <c r="AL960" s="94"/>
    </row>
    <row r="961" hidden="1">
      <c r="A961" s="92"/>
      <c r="B961" s="93"/>
      <c r="C961" s="93"/>
      <c r="D961" s="93"/>
      <c r="E961" s="93"/>
      <c r="F961" s="93"/>
      <c r="G961" s="92"/>
      <c r="H961" s="93"/>
      <c r="I961" s="93"/>
      <c r="J961" s="92"/>
      <c r="K961" s="92"/>
      <c r="L961" s="93"/>
      <c r="M961" s="92"/>
      <c r="N961" s="92"/>
      <c r="O961" s="94"/>
      <c r="P961" s="94"/>
      <c r="Q961" s="94"/>
      <c r="R961" s="94"/>
      <c r="S961" s="94"/>
      <c r="T961" s="94"/>
      <c r="U961" s="94"/>
      <c r="V961" s="94"/>
      <c r="W961" s="94"/>
      <c r="X961" s="94"/>
      <c r="Y961" s="94"/>
      <c r="Z961" s="94"/>
      <c r="AA961" s="94"/>
      <c r="AB961" s="94"/>
      <c r="AC961" s="94"/>
      <c r="AD961" s="94"/>
      <c r="AE961" s="94"/>
      <c r="AF961" s="94"/>
      <c r="AG961" s="94"/>
      <c r="AH961" s="94"/>
      <c r="AI961" s="94"/>
      <c r="AJ961" s="94"/>
      <c r="AK961" s="94"/>
      <c r="AL961" s="94"/>
    </row>
    <row r="962" hidden="1">
      <c r="A962" s="92"/>
      <c r="B962" s="93"/>
      <c r="C962" s="93"/>
      <c r="D962" s="93"/>
      <c r="E962" s="93"/>
      <c r="F962" s="93"/>
      <c r="G962" s="92"/>
      <c r="H962" s="93"/>
      <c r="I962" s="93"/>
      <c r="J962" s="92"/>
      <c r="K962" s="92"/>
      <c r="L962" s="93"/>
      <c r="M962" s="92"/>
      <c r="N962" s="92"/>
      <c r="O962" s="94"/>
      <c r="P962" s="94"/>
      <c r="Q962" s="94"/>
      <c r="R962" s="94"/>
      <c r="S962" s="94"/>
      <c r="T962" s="94"/>
      <c r="U962" s="94"/>
      <c r="V962" s="94"/>
      <c r="W962" s="94"/>
      <c r="X962" s="94"/>
      <c r="Y962" s="94"/>
      <c r="Z962" s="94"/>
      <c r="AA962" s="94"/>
      <c r="AB962" s="94"/>
      <c r="AC962" s="94"/>
      <c r="AD962" s="94"/>
      <c r="AE962" s="94"/>
      <c r="AF962" s="94"/>
      <c r="AG962" s="94"/>
      <c r="AH962" s="94"/>
      <c r="AI962" s="94"/>
      <c r="AJ962" s="94"/>
      <c r="AK962" s="94"/>
      <c r="AL962" s="94"/>
    </row>
    <row r="963" hidden="1">
      <c r="A963" s="92"/>
      <c r="B963" s="93"/>
      <c r="C963" s="93"/>
      <c r="D963" s="93"/>
      <c r="E963" s="93"/>
      <c r="F963" s="93"/>
      <c r="G963" s="92"/>
      <c r="H963" s="93"/>
      <c r="I963" s="93"/>
      <c r="J963" s="92"/>
      <c r="K963" s="92"/>
      <c r="L963" s="93"/>
      <c r="M963" s="92"/>
      <c r="N963" s="92"/>
      <c r="O963" s="94"/>
      <c r="P963" s="94"/>
      <c r="Q963" s="94"/>
      <c r="R963" s="94"/>
      <c r="S963" s="94"/>
      <c r="T963" s="94"/>
      <c r="U963" s="94"/>
      <c r="V963" s="94"/>
      <c r="W963" s="94"/>
      <c r="X963" s="94"/>
      <c r="Y963" s="94"/>
      <c r="Z963" s="94"/>
      <c r="AA963" s="94"/>
      <c r="AB963" s="94"/>
      <c r="AC963" s="94"/>
      <c r="AD963" s="94"/>
      <c r="AE963" s="94"/>
      <c r="AF963" s="94"/>
      <c r="AG963" s="94"/>
      <c r="AH963" s="94"/>
      <c r="AI963" s="94"/>
      <c r="AJ963" s="94"/>
      <c r="AK963" s="94"/>
      <c r="AL963" s="94"/>
    </row>
    <row r="964" hidden="1">
      <c r="A964" s="92"/>
      <c r="B964" s="93"/>
      <c r="C964" s="93"/>
      <c r="D964" s="93"/>
      <c r="E964" s="93"/>
      <c r="F964" s="93"/>
      <c r="G964" s="92"/>
      <c r="H964" s="93"/>
      <c r="I964" s="93"/>
      <c r="J964" s="92"/>
      <c r="K964" s="92"/>
      <c r="L964" s="93"/>
      <c r="M964" s="92"/>
      <c r="N964" s="92"/>
      <c r="O964" s="94"/>
      <c r="P964" s="94"/>
      <c r="Q964" s="94"/>
      <c r="R964" s="94"/>
      <c r="S964" s="94"/>
      <c r="T964" s="94"/>
      <c r="U964" s="94"/>
      <c r="V964" s="94"/>
      <c r="W964" s="94"/>
      <c r="X964" s="94"/>
      <c r="Y964" s="94"/>
      <c r="Z964" s="94"/>
      <c r="AA964" s="94"/>
      <c r="AB964" s="94"/>
      <c r="AC964" s="94"/>
      <c r="AD964" s="94"/>
      <c r="AE964" s="94"/>
      <c r="AF964" s="94"/>
      <c r="AG964" s="94"/>
      <c r="AH964" s="94"/>
      <c r="AI964" s="94"/>
      <c r="AJ964" s="94"/>
      <c r="AK964" s="94"/>
      <c r="AL964" s="94"/>
    </row>
    <row r="965" hidden="1">
      <c r="A965" s="92"/>
      <c r="B965" s="93"/>
      <c r="C965" s="93"/>
      <c r="D965" s="93"/>
      <c r="E965" s="93"/>
      <c r="F965" s="93"/>
      <c r="G965" s="92"/>
      <c r="H965" s="93"/>
      <c r="I965" s="93"/>
      <c r="J965" s="92"/>
      <c r="K965" s="92"/>
      <c r="L965" s="93"/>
      <c r="M965" s="92"/>
      <c r="N965" s="92"/>
      <c r="O965" s="94"/>
      <c r="P965" s="94"/>
      <c r="Q965" s="94"/>
      <c r="R965" s="94"/>
      <c r="S965" s="94"/>
      <c r="T965" s="94"/>
      <c r="U965" s="94"/>
      <c r="V965" s="94"/>
      <c r="W965" s="94"/>
      <c r="X965" s="94"/>
      <c r="Y965" s="94"/>
      <c r="Z965" s="94"/>
      <c r="AA965" s="94"/>
      <c r="AB965" s="94"/>
      <c r="AC965" s="94"/>
      <c r="AD965" s="94"/>
      <c r="AE965" s="94"/>
      <c r="AF965" s="94"/>
      <c r="AG965" s="94"/>
      <c r="AH965" s="94"/>
      <c r="AI965" s="94"/>
      <c r="AJ965" s="94"/>
      <c r="AK965" s="94"/>
      <c r="AL965" s="94"/>
    </row>
    <row r="966" hidden="1">
      <c r="A966" s="92"/>
      <c r="B966" s="93"/>
      <c r="C966" s="93"/>
      <c r="D966" s="93"/>
      <c r="E966" s="93"/>
      <c r="F966" s="93"/>
      <c r="G966" s="92"/>
      <c r="H966" s="93"/>
      <c r="I966" s="93"/>
      <c r="J966" s="92"/>
      <c r="K966" s="92"/>
      <c r="L966" s="93"/>
      <c r="M966" s="92"/>
      <c r="N966" s="92"/>
      <c r="O966" s="94"/>
      <c r="P966" s="94"/>
      <c r="Q966" s="94"/>
      <c r="R966" s="94"/>
      <c r="S966" s="94"/>
      <c r="T966" s="94"/>
      <c r="U966" s="94"/>
      <c r="V966" s="94"/>
      <c r="W966" s="94"/>
      <c r="X966" s="94"/>
      <c r="Y966" s="94"/>
      <c r="Z966" s="94"/>
      <c r="AA966" s="94"/>
      <c r="AB966" s="94"/>
      <c r="AC966" s="94"/>
      <c r="AD966" s="94"/>
      <c r="AE966" s="94"/>
      <c r="AF966" s="94"/>
      <c r="AG966" s="94"/>
      <c r="AH966" s="94"/>
      <c r="AI966" s="94"/>
      <c r="AJ966" s="94"/>
      <c r="AK966" s="94"/>
      <c r="AL966" s="94"/>
    </row>
    <row r="967" hidden="1">
      <c r="A967" s="92"/>
      <c r="B967" s="93"/>
      <c r="C967" s="93"/>
      <c r="D967" s="93"/>
      <c r="E967" s="93"/>
      <c r="F967" s="93"/>
      <c r="G967" s="92"/>
      <c r="H967" s="93"/>
      <c r="I967" s="93"/>
      <c r="J967" s="92"/>
      <c r="K967" s="92"/>
      <c r="L967" s="93"/>
      <c r="M967" s="92"/>
      <c r="N967" s="92"/>
      <c r="O967" s="94"/>
      <c r="P967" s="94"/>
      <c r="Q967" s="94"/>
      <c r="R967" s="94"/>
      <c r="S967" s="94"/>
      <c r="T967" s="94"/>
      <c r="U967" s="94"/>
      <c r="V967" s="94"/>
      <c r="W967" s="94"/>
      <c r="X967" s="94"/>
      <c r="Y967" s="94"/>
      <c r="Z967" s="94"/>
      <c r="AA967" s="94"/>
      <c r="AB967" s="94"/>
      <c r="AC967" s="94"/>
      <c r="AD967" s="94"/>
      <c r="AE967" s="94"/>
      <c r="AF967" s="94"/>
      <c r="AG967" s="94"/>
      <c r="AH967" s="94"/>
      <c r="AI967" s="94"/>
      <c r="AJ967" s="94"/>
      <c r="AK967" s="94"/>
      <c r="AL967" s="94"/>
    </row>
    <row r="968" hidden="1">
      <c r="A968" s="92"/>
      <c r="B968" s="93"/>
      <c r="C968" s="93"/>
      <c r="D968" s="93"/>
      <c r="E968" s="93"/>
      <c r="F968" s="93"/>
      <c r="G968" s="92"/>
      <c r="H968" s="93"/>
      <c r="I968" s="93"/>
      <c r="J968" s="92"/>
      <c r="K968" s="92"/>
      <c r="L968" s="93"/>
      <c r="M968" s="92"/>
      <c r="N968" s="92"/>
      <c r="O968" s="94"/>
      <c r="P968" s="94"/>
      <c r="Q968" s="94"/>
      <c r="R968" s="94"/>
      <c r="S968" s="94"/>
      <c r="T968" s="94"/>
      <c r="U968" s="94"/>
      <c r="V968" s="94"/>
      <c r="W968" s="94"/>
      <c r="X968" s="94"/>
      <c r="Y968" s="94"/>
      <c r="Z968" s="94"/>
      <c r="AA968" s="94"/>
      <c r="AB968" s="94"/>
      <c r="AC968" s="94"/>
      <c r="AD968" s="94"/>
      <c r="AE968" s="94"/>
      <c r="AF968" s="94"/>
      <c r="AG968" s="94"/>
      <c r="AH968" s="94"/>
      <c r="AI968" s="94"/>
      <c r="AJ968" s="94"/>
      <c r="AK968" s="94"/>
      <c r="AL968" s="94"/>
    </row>
    <row r="969" hidden="1">
      <c r="A969" s="92"/>
      <c r="B969" s="93"/>
      <c r="C969" s="93"/>
      <c r="D969" s="93"/>
      <c r="E969" s="93"/>
      <c r="F969" s="93"/>
      <c r="G969" s="92"/>
      <c r="H969" s="93"/>
      <c r="I969" s="93"/>
      <c r="J969" s="92"/>
      <c r="K969" s="92"/>
      <c r="L969" s="93"/>
      <c r="M969" s="92"/>
      <c r="N969" s="92"/>
      <c r="O969" s="94"/>
      <c r="P969" s="94"/>
      <c r="Q969" s="94"/>
      <c r="R969" s="94"/>
      <c r="S969" s="94"/>
      <c r="T969" s="94"/>
      <c r="U969" s="94"/>
      <c r="V969" s="94"/>
      <c r="W969" s="94"/>
      <c r="X969" s="94"/>
      <c r="Y969" s="94"/>
      <c r="Z969" s="94"/>
      <c r="AA969" s="94"/>
      <c r="AB969" s="94"/>
      <c r="AC969" s="94"/>
      <c r="AD969" s="94"/>
      <c r="AE969" s="94"/>
      <c r="AF969" s="94"/>
      <c r="AG969" s="94"/>
      <c r="AH969" s="94"/>
      <c r="AI969" s="94"/>
      <c r="AJ969" s="94"/>
      <c r="AK969" s="94"/>
      <c r="AL969" s="94"/>
    </row>
    <row r="970" hidden="1">
      <c r="A970" s="92"/>
      <c r="B970" s="93"/>
      <c r="C970" s="93"/>
      <c r="D970" s="93"/>
      <c r="E970" s="93"/>
      <c r="F970" s="93"/>
      <c r="G970" s="92"/>
      <c r="H970" s="93"/>
      <c r="I970" s="93"/>
      <c r="J970" s="92"/>
      <c r="K970" s="92"/>
      <c r="L970" s="93"/>
      <c r="M970" s="92"/>
      <c r="N970" s="92"/>
      <c r="O970" s="94"/>
      <c r="P970" s="94"/>
      <c r="Q970" s="94"/>
      <c r="R970" s="94"/>
      <c r="S970" s="94"/>
      <c r="T970" s="94"/>
      <c r="U970" s="94"/>
      <c r="V970" s="94"/>
      <c r="W970" s="94"/>
      <c r="X970" s="94"/>
      <c r="Y970" s="94"/>
      <c r="Z970" s="94"/>
      <c r="AA970" s="94"/>
      <c r="AB970" s="94"/>
      <c r="AC970" s="94"/>
      <c r="AD970" s="94"/>
      <c r="AE970" s="94"/>
      <c r="AF970" s="94"/>
      <c r="AG970" s="94"/>
      <c r="AH970" s="94"/>
      <c r="AI970" s="94"/>
      <c r="AJ970" s="94"/>
      <c r="AK970" s="94"/>
      <c r="AL970" s="94"/>
    </row>
    <row r="971" hidden="1">
      <c r="A971" s="92"/>
      <c r="B971" s="93"/>
      <c r="C971" s="93"/>
      <c r="D971" s="93"/>
      <c r="E971" s="93"/>
      <c r="F971" s="93"/>
      <c r="G971" s="92"/>
      <c r="H971" s="93"/>
      <c r="I971" s="93"/>
      <c r="J971" s="92"/>
      <c r="K971" s="92"/>
      <c r="L971" s="93"/>
      <c r="M971" s="92"/>
      <c r="N971" s="92"/>
      <c r="O971" s="94"/>
      <c r="P971" s="94"/>
      <c r="Q971" s="94"/>
      <c r="R971" s="94"/>
      <c r="S971" s="94"/>
      <c r="T971" s="94"/>
      <c r="U971" s="94"/>
      <c r="V971" s="94"/>
      <c r="W971" s="94"/>
      <c r="X971" s="94"/>
      <c r="Y971" s="94"/>
      <c r="Z971" s="94"/>
      <c r="AA971" s="94"/>
      <c r="AB971" s="94"/>
      <c r="AC971" s="94"/>
      <c r="AD971" s="94"/>
      <c r="AE971" s="94"/>
      <c r="AF971" s="94"/>
      <c r="AG971" s="94"/>
      <c r="AH971" s="94"/>
      <c r="AI971" s="94"/>
      <c r="AJ971" s="94"/>
      <c r="AK971" s="94"/>
      <c r="AL971" s="94"/>
    </row>
    <row r="972" hidden="1">
      <c r="A972" s="92"/>
      <c r="B972" s="93"/>
      <c r="C972" s="93"/>
      <c r="D972" s="93"/>
      <c r="E972" s="93"/>
      <c r="F972" s="93"/>
      <c r="G972" s="92"/>
      <c r="H972" s="93"/>
      <c r="I972" s="93"/>
      <c r="J972" s="92"/>
      <c r="K972" s="92"/>
      <c r="L972" s="93"/>
      <c r="M972" s="92"/>
      <c r="N972" s="92"/>
      <c r="O972" s="94"/>
      <c r="P972" s="94"/>
      <c r="Q972" s="94"/>
      <c r="R972" s="94"/>
      <c r="S972" s="94"/>
      <c r="T972" s="94"/>
      <c r="U972" s="94"/>
      <c r="V972" s="94"/>
      <c r="W972" s="94"/>
      <c r="X972" s="94"/>
      <c r="Y972" s="94"/>
      <c r="Z972" s="94"/>
      <c r="AA972" s="94"/>
      <c r="AB972" s="94"/>
      <c r="AC972" s="94"/>
      <c r="AD972" s="94"/>
      <c r="AE972" s="94"/>
      <c r="AF972" s="94"/>
      <c r="AG972" s="94"/>
      <c r="AH972" s="94"/>
      <c r="AI972" s="94"/>
      <c r="AJ972" s="94"/>
      <c r="AK972" s="94"/>
      <c r="AL972" s="94"/>
    </row>
    <row r="973" hidden="1">
      <c r="A973" s="92"/>
      <c r="B973" s="93"/>
      <c r="C973" s="93"/>
      <c r="D973" s="93"/>
      <c r="E973" s="93"/>
      <c r="F973" s="93"/>
      <c r="G973" s="92"/>
      <c r="H973" s="93"/>
      <c r="I973" s="93"/>
      <c r="J973" s="92"/>
      <c r="K973" s="92"/>
      <c r="L973" s="93"/>
      <c r="M973" s="92"/>
      <c r="N973" s="92"/>
      <c r="O973" s="94"/>
      <c r="P973" s="94"/>
      <c r="Q973" s="94"/>
      <c r="R973" s="94"/>
      <c r="S973" s="94"/>
      <c r="T973" s="94"/>
      <c r="U973" s="94"/>
      <c r="V973" s="94"/>
      <c r="W973" s="94"/>
      <c r="X973" s="94"/>
      <c r="Y973" s="94"/>
      <c r="Z973" s="94"/>
      <c r="AA973" s="94"/>
      <c r="AB973" s="94"/>
      <c r="AC973" s="94"/>
      <c r="AD973" s="94"/>
      <c r="AE973" s="94"/>
      <c r="AF973" s="94"/>
      <c r="AG973" s="94"/>
      <c r="AH973" s="94"/>
      <c r="AI973" s="94"/>
      <c r="AJ973" s="94"/>
      <c r="AK973" s="94"/>
      <c r="AL973" s="94"/>
    </row>
    <row r="974" hidden="1">
      <c r="A974" s="92"/>
      <c r="B974" s="93"/>
      <c r="C974" s="93"/>
      <c r="D974" s="93"/>
      <c r="E974" s="93"/>
      <c r="F974" s="93"/>
      <c r="G974" s="92"/>
      <c r="H974" s="93"/>
      <c r="I974" s="93"/>
      <c r="J974" s="92"/>
      <c r="K974" s="92"/>
      <c r="L974" s="93"/>
      <c r="M974" s="92"/>
      <c r="N974" s="92"/>
      <c r="O974" s="94"/>
      <c r="P974" s="94"/>
      <c r="Q974" s="94"/>
      <c r="R974" s="94"/>
      <c r="S974" s="94"/>
      <c r="T974" s="94"/>
      <c r="U974" s="94"/>
      <c r="V974" s="94"/>
      <c r="W974" s="94"/>
      <c r="X974" s="94"/>
      <c r="Y974" s="94"/>
      <c r="Z974" s="94"/>
      <c r="AA974" s="94"/>
      <c r="AB974" s="94"/>
      <c r="AC974" s="94"/>
      <c r="AD974" s="94"/>
      <c r="AE974" s="94"/>
      <c r="AF974" s="94"/>
      <c r="AG974" s="94"/>
      <c r="AH974" s="94"/>
      <c r="AI974" s="94"/>
      <c r="AJ974" s="94"/>
      <c r="AK974" s="94"/>
      <c r="AL974" s="94"/>
    </row>
    <row r="975" hidden="1">
      <c r="A975" s="92"/>
      <c r="B975" s="93"/>
      <c r="C975" s="93"/>
      <c r="D975" s="93"/>
      <c r="E975" s="93"/>
      <c r="F975" s="93"/>
      <c r="G975" s="92"/>
      <c r="H975" s="93"/>
      <c r="I975" s="93"/>
      <c r="J975" s="92"/>
      <c r="K975" s="92"/>
      <c r="L975" s="93"/>
      <c r="M975" s="92"/>
      <c r="N975" s="92"/>
      <c r="O975" s="94"/>
      <c r="P975" s="94"/>
      <c r="Q975" s="94"/>
      <c r="R975" s="94"/>
      <c r="S975" s="94"/>
      <c r="T975" s="94"/>
      <c r="U975" s="94"/>
      <c r="V975" s="94"/>
      <c r="W975" s="94"/>
      <c r="X975" s="94"/>
      <c r="Y975" s="94"/>
      <c r="Z975" s="94"/>
      <c r="AA975" s="94"/>
      <c r="AB975" s="94"/>
      <c r="AC975" s="94"/>
      <c r="AD975" s="94"/>
      <c r="AE975" s="94"/>
      <c r="AF975" s="94"/>
      <c r="AG975" s="94"/>
      <c r="AH975" s="94"/>
      <c r="AI975" s="94"/>
      <c r="AJ975" s="94"/>
      <c r="AK975" s="94"/>
      <c r="AL975" s="94"/>
    </row>
    <row r="976" hidden="1">
      <c r="A976" s="92"/>
      <c r="B976" s="93"/>
      <c r="C976" s="93"/>
      <c r="D976" s="93"/>
      <c r="E976" s="93"/>
      <c r="F976" s="93"/>
      <c r="G976" s="92"/>
      <c r="H976" s="93"/>
      <c r="I976" s="93"/>
      <c r="J976" s="92"/>
      <c r="K976" s="92"/>
      <c r="L976" s="93"/>
      <c r="M976" s="92"/>
      <c r="N976" s="92"/>
      <c r="O976" s="94"/>
      <c r="P976" s="94"/>
      <c r="Q976" s="94"/>
      <c r="R976" s="94"/>
      <c r="S976" s="94"/>
      <c r="T976" s="94"/>
      <c r="U976" s="94"/>
      <c r="V976" s="94"/>
      <c r="W976" s="94"/>
      <c r="X976" s="94"/>
      <c r="Y976" s="94"/>
      <c r="Z976" s="94"/>
      <c r="AA976" s="94"/>
      <c r="AB976" s="94"/>
      <c r="AC976" s="94"/>
      <c r="AD976" s="94"/>
      <c r="AE976" s="94"/>
      <c r="AF976" s="94"/>
      <c r="AG976" s="94"/>
      <c r="AH976" s="94"/>
      <c r="AI976" s="94"/>
      <c r="AJ976" s="94"/>
      <c r="AK976" s="94"/>
      <c r="AL976" s="94"/>
    </row>
    <row r="977" hidden="1">
      <c r="A977" s="92"/>
      <c r="B977" s="93"/>
      <c r="C977" s="93"/>
      <c r="D977" s="93"/>
      <c r="E977" s="93"/>
      <c r="F977" s="93"/>
      <c r="G977" s="92"/>
      <c r="H977" s="93"/>
      <c r="I977" s="93"/>
      <c r="J977" s="92"/>
      <c r="K977" s="92"/>
      <c r="L977" s="93"/>
      <c r="M977" s="92"/>
      <c r="N977" s="92"/>
      <c r="O977" s="94"/>
      <c r="P977" s="94"/>
      <c r="Q977" s="94"/>
      <c r="R977" s="94"/>
      <c r="S977" s="94"/>
      <c r="T977" s="94"/>
      <c r="U977" s="94"/>
      <c r="V977" s="94"/>
      <c r="W977" s="94"/>
      <c r="X977" s="94"/>
      <c r="Y977" s="94"/>
      <c r="Z977" s="94"/>
      <c r="AA977" s="94"/>
      <c r="AB977" s="94"/>
      <c r="AC977" s="94"/>
      <c r="AD977" s="94"/>
      <c r="AE977" s="94"/>
      <c r="AF977" s="94"/>
      <c r="AG977" s="94"/>
      <c r="AH977" s="94"/>
      <c r="AI977" s="94"/>
      <c r="AJ977" s="94"/>
      <c r="AK977" s="94"/>
      <c r="AL977" s="94"/>
    </row>
    <row r="978" hidden="1">
      <c r="A978" s="92"/>
      <c r="B978" s="93"/>
      <c r="C978" s="93"/>
      <c r="D978" s="93"/>
      <c r="E978" s="93"/>
      <c r="F978" s="93"/>
      <c r="G978" s="92"/>
      <c r="H978" s="93"/>
      <c r="I978" s="93"/>
      <c r="J978" s="92"/>
      <c r="K978" s="92"/>
      <c r="L978" s="93"/>
      <c r="M978" s="92"/>
      <c r="N978" s="92"/>
      <c r="O978" s="94"/>
      <c r="P978" s="94"/>
      <c r="Q978" s="94"/>
      <c r="R978" s="94"/>
      <c r="S978" s="94"/>
      <c r="T978" s="94"/>
      <c r="U978" s="94"/>
      <c r="V978" s="94"/>
      <c r="W978" s="94"/>
      <c r="X978" s="94"/>
      <c r="Y978" s="94"/>
      <c r="Z978" s="94"/>
      <c r="AA978" s="94"/>
      <c r="AB978" s="94"/>
      <c r="AC978" s="94"/>
      <c r="AD978" s="94"/>
      <c r="AE978" s="94"/>
      <c r="AF978" s="94"/>
      <c r="AG978" s="94"/>
      <c r="AH978" s="94"/>
      <c r="AI978" s="94"/>
      <c r="AJ978" s="94"/>
      <c r="AK978" s="94"/>
      <c r="AL978" s="94"/>
    </row>
    <row r="979" hidden="1">
      <c r="A979" s="92"/>
      <c r="B979" s="93"/>
      <c r="C979" s="93"/>
      <c r="D979" s="93"/>
      <c r="E979" s="93"/>
      <c r="F979" s="93"/>
      <c r="G979" s="92"/>
      <c r="H979" s="93"/>
      <c r="I979" s="93"/>
      <c r="J979" s="92"/>
      <c r="K979" s="92"/>
      <c r="L979" s="93"/>
      <c r="M979" s="92"/>
      <c r="N979" s="92"/>
      <c r="O979" s="94"/>
      <c r="P979" s="94"/>
      <c r="Q979" s="94"/>
      <c r="R979" s="94"/>
      <c r="S979" s="94"/>
      <c r="T979" s="94"/>
      <c r="U979" s="94"/>
      <c r="V979" s="94"/>
      <c r="W979" s="94"/>
      <c r="X979" s="94"/>
      <c r="Y979" s="94"/>
      <c r="Z979" s="94"/>
      <c r="AA979" s="94"/>
      <c r="AB979" s="94"/>
      <c r="AC979" s="94"/>
      <c r="AD979" s="94"/>
      <c r="AE979" s="94"/>
      <c r="AF979" s="94"/>
      <c r="AG979" s="94"/>
      <c r="AH979" s="94"/>
      <c r="AI979" s="94"/>
      <c r="AJ979" s="94"/>
      <c r="AK979" s="94"/>
      <c r="AL979" s="94"/>
    </row>
    <row r="980" hidden="1">
      <c r="A980" s="92"/>
      <c r="B980" s="93"/>
      <c r="C980" s="93"/>
      <c r="D980" s="93"/>
      <c r="E980" s="93"/>
      <c r="F980" s="93"/>
      <c r="G980" s="92"/>
      <c r="H980" s="93"/>
      <c r="I980" s="93"/>
      <c r="J980" s="92"/>
      <c r="K980" s="92"/>
      <c r="L980" s="93"/>
      <c r="M980" s="92"/>
      <c r="N980" s="92"/>
      <c r="O980" s="94"/>
      <c r="P980" s="94"/>
      <c r="Q980" s="94"/>
      <c r="R980" s="94"/>
      <c r="S980" s="94"/>
      <c r="T980" s="94"/>
      <c r="U980" s="94"/>
      <c r="V980" s="94"/>
      <c r="W980" s="94"/>
      <c r="X980" s="94"/>
      <c r="Y980" s="94"/>
      <c r="Z980" s="94"/>
      <c r="AA980" s="94"/>
      <c r="AB980" s="94"/>
      <c r="AC980" s="94"/>
      <c r="AD980" s="94"/>
      <c r="AE980" s="94"/>
      <c r="AF980" s="94"/>
      <c r="AG980" s="94"/>
      <c r="AH980" s="94"/>
      <c r="AI980" s="94"/>
      <c r="AJ980" s="94"/>
      <c r="AK980" s="94"/>
      <c r="AL980" s="94"/>
    </row>
    <row r="981" hidden="1">
      <c r="A981" s="92"/>
      <c r="B981" s="93"/>
      <c r="C981" s="93"/>
      <c r="D981" s="93"/>
      <c r="E981" s="93"/>
      <c r="F981" s="93"/>
      <c r="G981" s="92"/>
      <c r="H981" s="93"/>
      <c r="I981" s="93"/>
      <c r="J981" s="92"/>
      <c r="K981" s="92"/>
      <c r="L981" s="93"/>
      <c r="M981" s="92"/>
      <c r="N981" s="92"/>
      <c r="O981" s="94"/>
      <c r="P981" s="94"/>
      <c r="Q981" s="94"/>
      <c r="R981" s="94"/>
      <c r="S981" s="94"/>
      <c r="T981" s="94"/>
      <c r="U981" s="94"/>
      <c r="V981" s="94"/>
      <c r="W981" s="94"/>
      <c r="X981" s="94"/>
      <c r="Y981" s="94"/>
      <c r="Z981" s="94"/>
      <c r="AA981" s="94"/>
      <c r="AB981" s="94"/>
      <c r="AC981" s="94"/>
      <c r="AD981" s="94"/>
      <c r="AE981" s="94"/>
      <c r="AF981" s="94"/>
      <c r="AG981" s="94"/>
      <c r="AH981" s="94"/>
      <c r="AI981" s="94"/>
      <c r="AJ981" s="94"/>
      <c r="AK981" s="94"/>
      <c r="AL981" s="94"/>
    </row>
    <row r="982" hidden="1">
      <c r="A982" s="92"/>
      <c r="B982" s="93"/>
      <c r="C982" s="93"/>
      <c r="D982" s="93"/>
      <c r="E982" s="93"/>
      <c r="F982" s="93"/>
      <c r="G982" s="92"/>
      <c r="H982" s="93"/>
      <c r="I982" s="93"/>
      <c r="J982" s="92"/>
      <c r="K982" s="92"/>
      <c r="L982" s="93"/>
      <c r="M982" s="92"/>
      <c r="N982" s="92"/>
      <c r="O982" s="94"/>
      <c r="P982" s="94"/>
      <c r="Q982" s="94"/>
      <c r="R982" s="94"/>
      <c r="S982" s="94"/>
      <c r="T982" s="94"/>
      <c r="U982" s="94"/>
      <c r="V982" s="94"/>
      <c r="W982" s="94"/>
      <c r="X982" s="94"/>
      <c r="Y982" s="94"/>
      <c r="Z982" s="94"/>
      <c r="AA982" s="94"/>
      <c r="AB982" s="94"/>
      <c r="AC982" s="94"/>
      <c r="AD982" s="94"/>
      <c r="AE982" s="94"/>
      <c r="AF982" s="94"/>
      <c r="AG982" s="94"/>
      <c r="AH982" s="94"/>
      <c r="AI982" s="94"/>
      <c r="AJ982" s="94"/>
      <c r="AK982" s="94"/>
      <c r="AL982" s="94"/>
    </row>
    <row r="983" hidden="1">
      <c r="A983" s="92"/>
      <c r="B983" s="93"/>
      <c r="C983" s="93"/>
      <c r="D983" s="93"/>
      <c r="E983" s="93"/>
      <c r="F983" s="93"/>
      <c r="G983" s="92"/>
      <c r="H983" s="93"/>
      <c r="I983" s="93"/>
      <c r="J983" s="92"/>
      <c r="K983" s="92"/>
      <c r="L983" s="93"/>
      <c r="M983" s="92"/>
      <c r="N983" s="92"/>
      <c r="O983" s="94"/>
      <c r="P983" s="94"/>
      <c r="Q983" s="94"/>
      <c r="R983" s="94"/>
      <c r="S983" s="94"/>
      <c r="T983" s="94"/>
      <c r="U983" s="94"/>
      <c r="V983" s="94"/>
      <c r="W983" s="94"/>
      <c r="X983" s="94"/>
      <c r="Y983" s="94"/>
      <c r="Z983" s="94"/>
      <c r="AA983" s="94"/>
      <c r="AB983" s="94"/>
      <c r="AC983" s="94"/>
      <c r="AD983" s="94"/>
      <c r="AE983" s="94"/>
      <c r="AF983" s="94"/>
      <c r="AG983" s="94"/>
      <c r="AH983" s="94"/>
      <c r="AI983" s="94"/>
      <c r="AJ983" s="94"/>
      <c r="AK983" s="94"/>
      <c r="AL983" s="94"/>
    </row>
    <row r="984" hidden="1">
      <c r="A984" s="92"/>
      <c r="B984" s="93"/>
      <c r="C984" s="93"/>
      <c r="D984" s="93"/>
      <c r="E984" s="93"/>
      <c r="F984" s="93"/>
      <c r="G984" s="92"/>
      <c r="H984" s="93"/>
      <c r="I984" s="93"/>
      <c r="J984" s="92"/>
      <c r="K984" s="92"/>
      <c r="L984" s="93"/>
      <c r="M984" s="92"/>
      <c r="N984" s="92"/>
      <c r="O984" s="94"/>
      <c r="P984" s="94"/>
      <c r="Q984" s="94"/>
      <c r="R984" s="94"/>
      <c r="S984" s="94"/>
      <c r="T984" s="94"/>
      <c r="U984" s="94"/>
      <c r="V984" s="94"/>
      <c r="W984" s="94"/>
      <c r="X984" s="94"/>
      <c r="Y984" s="94"/>
      <c r="Z984" s="94"/>
      <c r="AA984" s="94"/>
      <c r="AB984" s="94"/>
      <c r="AC984" s="94"/>
      <c r="AD984" s="94"/>
      <c r="AE984" s="94"/>
      <c r="AF984" s="94"/>
      <c r="AG984" s="94"/>
      <c r="AH984" s="94"/>
      <c r="AI984" s="94"/>
      <c r="AJ984" s="94"/>
      <c r="AK984" s="94"/>
      <c r="AL984" s="94"/>
    </row>
    <row r="985" hidden="1">
      <c r="A985" s="92"/>
      <c r="B985" s="93"/>
      <c r="C985" s="93"/>
      <c r="D985" s="93"/>
      <c r="E985" s="93"/>
      <c r="F985" s="93"/>
      <c r="G985" s="92"/>
      <c r="H985" s="93"/>
      <c r="I985" s="93"/>
      <c r="J985" s="92"/>
      <c r="K985" s="92"/>
      <c r="L985" s="93"/>
      <c r="M985" s="92"/>
      <c r="N985" s="92"/>
      <c r="O985" s="94"/>
      <c r="P985" s="94"/>
      <c r="Q985" s="94"/>
      <c r="R985" s="94"/>
      <c r="S985" s="94"/>
      <c r="T985" s="94"/>
      <c r="U985" s="94"/>
      <c r="V985" s="94"/>
      <c r="W985" s="94"/>
      <c r="X985" s="94"/>
      <c r="Y985" s="94"/>
      <c r="Z985" s="94"/>
      <c r="AA985" s="94"/>
      <c r="AB985" s="94"/>
      <c r="AC985" s="94"/>
      <c r="AD985" s="94"/>
      <c r="AE985" s="94"/>
      <c r="AF985" s="94"/>
      <c r="AG985" s="94"/>
      <c r="AH985" s="94"/>
      <c r="AI985" s="94"/>
      <c r="AJ985" s="94"/>
      <c r="AK985" s="94"/>
      <c r="AL985" s="94"/>
    </row>
    <row r="986" hidden="1">
      <c r="A986" s="92"/>
      <c r="B986" s="93"/>
      <c r="C986" s="93"/>
      <c r="D986" s="93"/>
      <c r="E986" s="93"/>
      <c r="F986" s="93"/>
      <c r="G986" s="92"/>
      <c r="H986" s="93"/>
      <c r="I986" s="93"/>
      <c r="J986" s="92"/>
      <c r="K986" s="92"/>
      <c r="L986" s="93"/>
      <c r="M986" s="92"/>
      <c r="N986" s="92"/>
      <c r="O986" s="94"/>
      <c r="P986" s="94"/>
      <c r="Q986" s="94"/>
      <c r="R986" s="94"/>
      <c r="S986" s="94"/>
      <c r="T986" s="94"/>
      <c r="U986" s="94"/>
      <c r="V986" s="94"/>
      <c r="W986" s="94"/>
      <c r="X986" s="94"/>
      <c r="Y986" s="94"/>
      <c r="Z986" s="94"/>
      <c r="AA986" s="94"/>
      <c r="AB986" s="94"/>
      <c r="AC986" s="94"/>
      <c r="AD986" s="94"/>
      <c r="AE986" s="94"/>
      <c r="AF986" s="94"/>
      <c r="AG986" s="94"/>
      <c r="AH986" s="94"/>
      <c r="AI986" s="94"/>
      <c r="AJ986" s="94"/>
      <c r="AK986" s="94"/>
      <c r="AL986" s="94"/>
    </row>
    <row r="987" hidden="1">
      <c r="A987" s="92"/>
      <c r="B987" s="93"/>
      <c r="C987" s="93"/>
      <c r="D987" s="93"/>
      <c r="E987" s="93"/>
      <c r="F987" s="93"/>
      <c r="G987" s="92"/>
      <c r="H987" s="93"/>
      <c r="I987" s="93"/>
      <c r="J987" s="92"/>
      <c r="K987" s="92"/>
      <c r="L987" s="93"/>
      <c r="M987" s="92"/>
      <c r="N987" s="92"/>
      <c r="O987" s="94"/>
      <c r="P987" s="94"/>
      <c r="Q987" s="94"/>
      <c r="R987" s="94"/>
      <c r="S987" s="94"/>
      <c r="T987" s="94"/>
      <c r="U987" s="94"/>
      <c r="V987" s="94"/>
      <c r="W987" s="94"/>
      <c r="X987" s="94"/>
      <c r="Y987" s="94"/>
      <c r="Z987" s="94"/>
      <c r="AA987" s="94"/>
      <c r="AB987" s="94"/>
      <c r="AC987" s="94"/>
      <c r="AD987" s="94"/>
      <c r="AE987" s="94"/>
      <c r="AF987" s="94"/>
      <c r="AG987" s="94"/>
      <c r="AH987" s="94"/>
      <c r="AI987" s="94"/>
      <c r="AJ987" s="94"/>
      <c r="AK987" s="94"/>
      <c r="AL987" s="94"/>
    </row>
    <row r="988" hidden="1">
      <c r="A988" s="92"/>
      <c r="B988" s="93"/>
      <c r="C988" s="93"/>
      <c r="D988" s="93"/>
      <c r="E988" s="93"/>
      <c r="F988" s="93"/>
      <c r="G988" s="92"/>
      <c r="H988" s="93"/>
      <c r="I988" s="93"/>
      <c r="J988" s="92"/>
      <c r="K988" s="92"/>
      <c r="L988" s="93"/>
      <c r="M988" s="92"/>
      <c r="N988" s="92"/>
      <c r="O988" s="94"/>
      <c r="P988" s="94"/>
      <c r="Q988" s="94"/>
      <c r="R988" s="94"/>
      <c r="S988" s="94"/>
      <c r="T988" s="94"/>
      <c r="U988" s="94"/>
      <c r="V988" s="94"/>
      <c r="W988" s="94"/>
      <c r="X988" s="94"/>
      <c r="Y988" s="94"/>
      <c r="Z988" s="94"/>
      <c r="AA988" s="94"/>
      <c r="AB988" s="94"/>
      <c r="AC988" s="94"/>
      <c r="AD988" s="94"/>
      <c r="AE988" s="94"/>
      <c r="AF988" s="94"/>
      <c r="AG988" s="94"/>
      <c r="AH988" s="94"/>
      <c r="AI988" s="94"/>
      <c r="AJ988" s="94"/>
      <c r="AK988" s="94"/>
      <c r="AL988" s="94"/>
    </row>
    <row r="989" hidden="1">
      <c r="A989" s="92"/>
      <c r="B989" s="93"/>
      <c r="C989" s="93"/>
      <c r="D989" s="93"/>
      <c r="E989" s="93"/>
      <c r="F989" s="93"/>
      <c r="G989" s="92"/>
      <c r="H989" s="93"/>
      <c r="I989" s="93"/>
      <c r="J989" s="92"/>
      <c r="K989" s="92"/>
      <c r="L989" s="93"/>
      <c r="M989" s="92"/>
      <c r="N989" s="92"/>
      <c r="O989" s="94"/>
      <c r="P989" s="94"/>
      <c r="Q989" s="94"/>
      <c r="R989" s="94"/>
      <c r="S989" s="94"/>
      <c r="T989" s="94"/>
      <c r="U989" s="94"/>
      <c r="V989" s="94"/>
      <c r="W989" s="94"/>
      <c r="X989" s="94"/>
      <c r="Y989" s="94"/>
      <c r="Z989" s="94"/>
      <c r="AA989" s="94"/>
      <c r="AB989" s="94"/>
      <c r="AC989" s="94"/>
      <c r="AD989" s="94"/>
      <c r="AE989" s="94"/>
      <c r="AF989" s="94"/>
      <c r="AG989" s="94"/>
      <c r="AH989" s="94"/>
      <c r="AI989" s="94"/>
      <c r="AJ989" s="94"/>
      <c r="AK989" s="94"/>
      <c r="AL989" s="94"/>
    </row>
    <row r="990" hidden="1">
      <c r="A990" s="92"/>
      <c r="B990" s="93"/>
      <c r="C990" s="93"/>
      <c r="D990" s="93"/>
      <c r="E990" s="93"/>
      <c r="F990" s="93"/>
      <c r="G990" s="92"/>
      <c r="H990" s="93"/>
      <c r="I990" s="93"/>
      <c r="J990" s="92"/>
      <c r="K990" s="92"/>
      <c r="L990" s="93"/>
      <c r="M990" s="92"/>
      <c r="N990" s="92"/>
      <c r="O990" s="94"/>
      <c r="P990" s="94"/>
      <c r="Q990" s="94"/>
      <c r="R990" s="94"/>
      <c r="S990" s="94"/>
      <c r="T990" s="94"/>
      <c r="U990" s="94"/>
      <c r="V990" s="94"/>
      <c r="W990" s="94"/>
      <c r="X990" s="94"/>
      <c r="Y990" s="94"/>
      <c r="Z990" s="94"/>
      <c r="AA990" s="94"/>
      <c r="AB990" s="94"/>
      <c r="AC990" s="94"/>
      <c r="AD990" s="94"/>
      <c r="AE990" s="94"/>
      <c r="AF990" s="94"/>
      <c r="AG990" s="94"/>
      <c r="AH990" s="94"/>
      <c r="AI990" s="94"/>
      <c r="AJ990" s="94"/>
      <c r="AK990" s="94"/>
      <c r="AL990" s="94"/>
    </row>
    <row r="991" hidden="1">
      <c r="A991" s="92"/>
      <c r="B991" s="93"/>
      <c r="C991" s="93"/>
      <c r="D991" s="93"/>
      <c r="E991" s="93"/>
      <c r="F991" s="93"/>
      <c r="G991" s="92"/>
      <c r="H991" s="93"/>
      <c r="I991" s="93"/>
      <c r="J991" s="92"/>
      <c r="K991" s="92"/>
      <c r="L991" s="93"/>
      <c r="M991" s="92"/>
      <c r="N991" s="92"/>
      <c r="O991" s="94"/>
      <c r="P991" s="94"/>
      <c r="Q991" s="94"/>
      <c r="R991" s="94"/>
      <c r="S991" s="94"/>
      <c r="T991" s="94"/>
      <c r="U991" s="94"/>
      <c r="V991" s="94"/>
      <c r="W991" s="94"/>
      <c r="X991" s="94"/>
      <c r="Y991" s="94"/>
      <c r="Z991" s="94"/>
      <c r="AA991" s="94"/>
      <c r="AB991" s="94"/>
      <c r="AC991" s="94"/>
      <c r="AD991" s="94"/>
      <c r="AE991" s="94"/>
      <c r="AF991" s="94"/>
      <c r="AG991" s="94"/>
      <c r="AH991" s="94"/>
      <c r="AI991" s="94"/>
      <c r="AJ991" s="94"/>
      <c r="AK991" s="94"/>
      <c r="AL991" s="94"/>
    </row>
    <row r="992" hidden="1">
      <c r="A992" s="92"/>
      <c r="B992" s="93"/>
      <c r="C992" s="93"/>
      <c r="D992" s="93"/>
      <c r="E992" s="93"/>
      <c r="F992" s="93"/>
      <c r="G992" s="92"/>
      <c r="H992" s="93"/>
      <c r="I992" s="93"/>
      <c r="J992" s="92"/>
      <c r="K992" s="92"/>
      <c r="L992" s="93"/>
      <c r="M992" s="92"/>
      <c r="N992" s="92"/>
      <c r="O992" s="94"/>
      <c r="P992" s="94"/>
      <c r="Q992" s="94"/>
      <c r="R992" s="94"/>
      <c r="S992" s="94"/>
      <c r="T992" s="94"/>
      <c r="U992" s="94"/>
      <c r="V992" s="94"/>
      <c r="W992" s="94"/>
      <c r="X992" s="94"/>
      <c r="Y992" s="94"/>
      <c r="Z992" s="94"/>
      <c r="AA992" s="94"/>
      <c r="AB992" s="94"/>
      <c r="AC992" s="94"/>
      <c r="AD992" s="94"/>
      <c r="AE992" s="94"/>
      <c r="AF992" s="94"/>
      <c r="AG992" s="94"/>
      <c r="AH992" s="94"/>
      <c r="AI992" s="94"/>
      <c r="AJ992" s="94"/>
      <c r="AK992" s="94"/>
      <c r="AL992" s="94"/>
    </row>
    <row r="993" hidden="1">
      <c r="A993" s="92"/>
      <c r="B993" s="93"/>
      <c r="C993" s="93"/>
      <c r="D993" s="93"/>
      <c r="E993" s="93"/>
      <c r="F993" s="93"/>
      <c r="G993" s="92"/>
      <c r="H993" s="93"/>
      <c r="I993" s="93"/>
      <c r="J993" s="92"/>
      <c r="K993" s="92"/>
      <c r="L993" s="93"/>
      <c r="M993" s="92"/>
      <c r="N993" s="92"/>
      <c r="O993" s="94"/>
      <c r="P993" s="94"/>
      <c r="Q993" s="94"/>
      <c r="R993" s="94"/>
      <c r="S993" s="94"/>
      <c r="T993" s="94"/>
      <c r="U993" s="94"/>
      <c r="V993" s="94"/>
      <c r="W993" s="94"/>
      <c r="X993" s="94"/>
      <c r="Y993" s="94"/>
      <c r="Z993" s="94"/>
      <c r="AA993" s="94"/>
      <c r="AB993" s="94"/>
      <c r="AC993" s="94"/>
      <c r="AD993" s="94"/>
      <c r="AE993" s="94"/>
      <c r="AF993" s="94"/>
      <c r="AG993" s="94"/>
      <c r="AH993" s="94"/>
      <c r="AI993" s="94"/>
      <c r="AJ993" s="94"/>
      <c r="AK993" s="94"/>
      <c r="AL993" s="94"/>
    </row>
    <row r="994" hidden="1">
      <c r="A994" s="92"/>
      <c r="B994" s="93"/>
      <c r="C994" s="93"/>
      <c r="D994" s="93"/>
      <c r="E994" s="93"/>
      <c r="F994" s="93"/>
      <c r="G994" s="92"/>
      <c r="H994" s="93"/>
      <c r="I994" s="93"/>
      <c r="J994" s="92"/>
      <c r="K994" s="92"/>
      <c r="L994" s="93"/>
      <c r="M994" s="92"/>
      <c r="N994" s="92"/>
      <c r="O994" s="94"/>
      <c r="P994" s="94"/>
      <c r="Q994" s="94"/>
      <c r="R994" s="94"/>
      <c r="S994" s="94"/>
      <c r="T994" s="94"/>
      <c r="U994" s="94"/>
      <c r="V994" s="94"/>
      <c r="W994" s="94"/>
      <c r="X994" s="94"/>
      <c r="Y994" s="94"/>
      <c r="Z994" s="94"/>
      <c r="AA994" s="94"/>
      <c r="AB994" s="94"/>
      <c r="AC994" s="94"/>
      <c r="AD994" s="94"/>
      <c r="AE994" s="94"/>
      <c r="AF994" s="94"/>
      <c r="AG994" s="94"/>
      <c r="AH994" s="94"/>
      <c r="AI994" s="94"/>
      <c r="AJ994" s="94"/>
      <c r="AK994" s="94"/>
      <c r="AL994" s="94"/>
    </row>
    <row r="995" hidden="1">
      <c r="A995" s="92"/>
      <c r="B995" s="93"/>
      <c r="C995" s="93"/>
      <c r="D995" s="93"/>
      <c r="E995" s="93"/>
      <c r="F995" s="93"/>
      <c r="G995" s="92"/>
      <c r="H995" s="93"/>
      <c r="I995" s="93"/>
      <c r="J995" s="92"/>
      <c r="K995" s="92"/>
      <c r="L995" s="93"/>
      <c r="M995" s="92"/>
      <c r="N995" s="92"/>
      <c r="O995" s="94"/>
      <c r="P995" s="94"/>
      <c r="Q995" s="94"/>
      <c r="R995" s="94"/>
      <c r="S995" s="94"/>
      <c r="T995" s="94"/>
      <c r="U995" s="94"/>
      <c r="V995" s="94"/>
      <c r="W995" s="94"/>
      <c r="X995" s="94"/>
      <c r="Y995" s="94"/>
      <c r="Z995" s="94"/>
      <c r="AA995" s="94"/>
      <c r="AB995" s="94"/>
      <c r="AC995" s="94"/>
      <c r="AD995" s="94"/>
      <c r="AE995" s="94"/>
      <c r="AF995" s="94"/>
      <c r="AG995" s="94"/>
      <c r="AH995" s="94"/>
      <c r="AI995" s="94"/>
      <c r="AJ995" s="94"/>
      <c r="AK995" s="94"/>
      <c r="AL995" s="94"/>
    </row>
    <row r="996" hidden="1">
      <c r="A996" s="92"/>
      <c r="B996" s="93"/>
      <c r="C996" s="93"/>
      <c r="D996" s="93"/>
      <c r="E996" s="93"/>
      <c r="F996" s="93"/>
      <c r="G996" s="92"/>
      <c r="H996" s="93"/>
      <c r="I996" s="93"/>
      <c r="J996" s="92"/>
      <c r="K996" s="92"/>
      <c r="L996" s="93"/>
      <c r="M996" s="92"/>
      <c r="N996" s="92"/>
      <c r="O996" s="94"/>
      <c r="P996" s="94"/>
      <c r="Q996" s="94"/>
      <c r="R996" s="94"/>
      <c r="S996" s="94"/>
      <c r="T996" s="94"/>
      <c r="U996" s="94"/>
      <c r="V996" s="94"/>
      <c r="W996" s="94"/>
      <c r="X996" s="94"/>
      <c r="Y996" s="94"/>
      <c r="Z996" s="94"/>
      <c r="AA996" s="94"/>
      <c r="AB996" s="94"/>
      <c r="AC996" s="94"/>
      <c r="AD996" s="94"/>
      <c r="AE996" s="94"/>
      <c r="AF996" s="94"/>
      <c r="AG996" s="94"/>
      <c r="AH996" s="94"/>
      <c r="AI996" s="94"/>
      <c r="AJ996" s="94"/>
      <c r="AK996" s="94"/>
      <c r="AL996" s="94"/>
    </row>
    <row r="997" hidden="1">
      <c r="A997" s="92"/>
      <c r="B997" s="93"/>
      <c r="C997" s="93"/>
      <c r="D997" s="93"/>
      <c r="E997" s="93"/>
      <c r="F997" s="93"/>
      <c r="G997" s="92"/>
      <c r="H997" s="93"/>
      <c r="I997" s="93"/>
      <c r="J997" s="92"/>
      <c r="K997" s="92"/>
      <c r="L997" s="93"/>
      <c r="M997" s="92"/>
      <c r="N997" s="92"/>
      <c r="O997" s="94"/>
      <c r="P997" s="94"/>
      <c r="Q997" s="94"/>
      <c r="R997" s="94"/>
      <c r="S997" s="94"/>
      <c r="T997" s="94"/>
      <c r="U997" s="94"/>
      <c r="V997" s="94"/>
      <c r="W997" s="94"/>
      <c r="X997" s="94"/>
      <c r="Y997" s="94"/>
      <c r="Z997" s="94"/>
      <c r="AA997" s="94"/>
      <c r="AB997" s="94"/>
      <c r="AC997" s="94"/>
      <c r="AD997" s="94"/>
      <c r="AE997" s="94"/>
      <c r="AF997" s="94"/>
      <c r="AG997" s="94"/>
      <c r="AH997" s="94"/>
      <c r="AI997" s="94"/>
      <c r="AJ997" s="94"/>
      <c r="AK997" s="94"/>
      <c r="AL997" s="94"/>
    </row>
    <row r="998" hidden="1">
      <c r="A998" s="92"/>
      <c r="B998" s="93"/>
      <c r="C998" s="93"/>
      <c r="D998" s="93"/>
      <c r="E998" s="93"/>
      <c r="F998" s="93"/>
      <c r="G998" s="92"/>
      <c r="H998" s="93"/>
      <c r="I998" s="93"/>
      <c r="J998" s="92"/>
      <c r="K998" s="92"/>
      <c r="L998" s="93"/>
      <c r="M998" s="92"/>
      <c r="N998" s="92"/>
      <c r="O998" s="94"/>
      <c r="P998" s="94"/>
      <c r="Q998" s="94"/>
      <c r="R998" s="94"/>
      <c r="S998" s="94"/>
      <c r="T998" s="94"/>
      <c r="U998" s="94"/>
      <c r="V998" s="94"/>
      <c r="W998" s="94"/>
      <c r="X998" s="94"/>
      <c r="Y998" s="94"/>
      <c r="Z998" s="94"/>
      <c r="AA998" s="94"/>
      <c r="AB998" s="94"/>
      <c r="AC998" s="94"/>
      <c r="AD998" s="94"/>
      <c r="AE998" s="94"/>
      <c r="AF998" s="94"/>
      <c r="AG998" s="94"/>
      <c r="AH998" s="94"/>
      <c r="AI998" s="94"/>
      <c r="AJ998" s="94"/>
      <c r="AK998" s="94"/>
      <c r="AL998" s="94"/>
    </row>
    <row r="999" hidden="1">
      <c r="A999" s="92"/>
      <c r="B999" s="93"/>
      <c r="C999" s="93"/>
      <c r="D999" s="93"/>
      <c r="E999" s="93"/>
      <c r="F999" s="93"/>
      <c r="G999" s="92"/>
      <c r="H999" s="93"/>
      <c r="I999" s="93"/>
      <c r="J999" s="92"/>
      <c r="K999" s="92"/>
      <c r="L999" s="93"/>
      <c r="M999" s="92"/>
      <c r="N999" s="92"/>
      <c r="O999" s="94"/>
      <c r="P999" s="94"/>
      <c r="Q999" s="94"/>
      <c r="R999" s="94"/>
      <c r="S999" s="94"/>
      <c r="T999" s="94"/>
      <c r="U999" s="94"/>
      <c r="V999" s="94"/>
      <c r="W999" s="94"/>
      <c r="X999" s="94"/>
      <c r="Y999" s="94"/>
      <c r="Z999" s="94"/>
      <c r="AA999" s="94"/>
      <c r="AB999" s="94"/>
      <c r="AC999" s="94"/>
      <c r="AD999" s="94"/>
      <c r="AE999" s="94"/>
      <c r="AF999" s="94"/>
      <c r="AG999" s="94"/>
      <c r="AH999" s="94"/>
      <c r="AI999" s="94"/>
      <c r="AJ999" s="94"/>
      <c r="AK999" s="94"/>
      <c r="AL999" s="94"/>
    </row>
    <row r="1000" hidden="1">
      <c r="A1000" s="92"/>
      <c r="B1000" s="93"/>
      <c r="C1000" s="93"/>
      <c r="D1000" s="93"/>
      <c r="E1000" s="93"/>
      <c r="F1000" s="93"/>
      <c r="G1000" s="92"/>
      <c r="H1000" s="93"/>
      <c r="I1000" s="93"/>
      <c r="J1000" s="92"/>
      <c r="K1000" s="92"/>
      <c r="L1000" s="93"/>
      <c r="M1000" s="92"/>
      <c r="N1000" s="92"/>
      <c r="O1000" s="94"/>
      <c r="P1000" s="94"/>
      <c r="Q1000" s="94"/>
      <c r="R1000" s="94"/>
      <c r="S1000" s="94"/>
      <c r="T1000" s="94"/>
      <c r="U1000" s="94"/>
      <c r="V1000" s="94"/>
      <c r="W1000" s="94"/>
      <c r="X1000" s="94"/>
      <c r="Y1000" s="94"/>
      <c r="Z1000" s="94"/>
      <c r="AA1000" s="94"/>
      <c r="AB1000" s="94"/>
      <c r="AC1000" s="94"/>
      <c r="AD1000" s="94"/>
      <c r="AE1000" s="94"/>
      <c r="AF1000" s="94"/>
      <c r="AG1000" s="94"/>
      <c r="AH1000" s="94"/>
      <c r="AI1000" s="94"/>
      <c r="AJ1000" s="94"/>
      <c r="AK1000" s="94"/>
      <c r="AL1000" s="94"/>
    </row>
  </sheetData>
  <autoFilter ref="$A$1:$T$1000">
    <filterColumn colId="0">
      <filters>
        <filter val="Instrumento de evaluación de calidad para sitios web"/>
      </filters>
    </filterColumn>
    <filterColumn colId="19">
      <filters>
        <filter val="Por responder"/>
      </filters>
    </filterColumn>
  </autoFilter>
  <mergeCells count="112">
    <mergeCell ref="S180:S182"/>
    <mergeCell ref="S195:S197"/>
    <mergeCell ref="S225:S227"/>
    <mergeCell ref="S243:S245"/>
    <mergeCell ref="S269:S271"/>
    <mergeCell ref="S289:S291"/>
    <mergeCell ref="S306:S308"/>
    <mergeCell ref="Q443:Q444"/>
    <mergeCell ref="P445:Q447"/>
    <mergeCell ref="S445:S447"/>
    <mergeCell ref="S457:S459"/>
    <mergeCell ref="S321:S323"/>
    <mergeCell ref="S332:S334"/>
    <mergeCell ref="S346:S348"/>
    <mergeCell ref="S380:S382"/>
    <mergeCell ref="S426:S428"/>
    <mergeCell ref="P433:P441"/>
    <mergeCell ref="Q433:Q441"/>
    <mergeCell ref="O433:O441"/>
    <mergeCell ref="O443:O444"/>
    <mergeCell ref="O445:O447"/>
    <mergeCell ref="O454:O455"/>
    <mergeCell ref="P454:P455"/>
    <mergeCell ref="Q454:Q455"/>
    <mergeCell ref="P457:Q459"/>
    <mergeCell ref="O473:O475"/>
    <mergeCell ref="P473:Q475"/>
    <mergeCell ref="S473:S475"/>
    <mergeCell ref="O479:O482"/>
    <mergeCell ref="P479:P482"/>
    <mergeCell ref="Q479:Q482"/>
    <mergeCell ref="B485:B487"/>
    <mergeCell ref="O457:O459"/>
    <mergeCell ref="O463:O466"/>
    <mergeCell ref="P463:P466"/>
    <mergeCell ref="Q463:Q466"/>
    <mergeCell ref="O471:O472"/>
    <mergeCell ref="P471:P472"/>
    <mergeCell ref="Q471:Q472"/>
    <mergeCell ref="S699:S701"/>
    <mergeCell ref="S716:S718"/>
    <mergeCell ref="S746:S748"/>
    <mergeCell ref="S772:S774"/>
    <mergeCell ref="O778:O781"/>
    <mergeCell ref="P778:P781"/>
    <mergeCell ref="Q778:Q781"/>
    <mergeCell ref="O782:O783"/>
    <mergeCell ref="P782:P783"/>
    <mergeCell ref="Q782:Q783"/>
    <mergeCell ref="O785:O787"/>
    <mergeCell ref="P785:P787"/>
    <mergeCell ref="Q785:Q787"/>
    <mergeCell ref="Q791:Q792"/>
    <mergeCell ref="O797:O799"/>
    <mergeCell ref="P797:Q799"/>
    <mergeCell ref="S797:S799"/>
    <mergeCell ref="S807:S809"/>
    <mergeCell ref="S822:S824"/>
    <mergeCell ref="S836:S838"/>
    <mergeCell ref="S849:S851"/>
    <mergeCell ref="S863:S865"/>
    <mergeCell ref="O791:O792"/>
    <mergeCell ref="O793:O794"/>
    <mergeCell ref="P793:P794"/>
    <mergeCell ref="Q793:Q794"/>
    <mergeCell ref="O795:O796"/>
    <mergeCell ref="P795:P796"/>
    <mergeCell ref="Q795:Q796"/>
    <mergeCell ref="P497:P498"/>
    <mergeCell ref="Q497:Q498"/>
    <mergeCell ref="O491:O493"/>
    <mergeCell ref="P491:P493"/>
    <mergeCell ref="Q491:Q493"/>
    <mergeCell ref="O495:O496"/>
    <mergeCell ref="P495:P496"/>
    <mergeCell ref="Q495:Q496"/>
    <mergeCell ref="O497:O498"/>
    <mergeCell ref="O499:O500"/>
    <mergeCell ref="Q499:Q500"/>
    <mergeCell ref="O503:O504"/>
    <mergeCell ref="P503:P504"/>
    <mergeCell ref="Q503:Q504"/>
    <mergeCell ref="P506:P507"/>
    <mergeCell ref="Q506:Q507"/>
    <mergeCell ref="O506:O507"/>
    <mergeCell ref="O508:O509"/>
    <mergeCell ref="P508:P509"/>
    <mergeCell ref="Q508:Q509"/>
    <mergeCell ref="O510:O512"/>
    <mergeCell ref="P510:Q512"/>
    <mergeCell ref="S510:S512"/>
    <mergeCell ref="S530:S532"/>
    <mergeCell ref="S554:S556"/>
    <mergeCell ref="O562:O563"/>
    <mergeCell ref="Q562:Q563"/>
    <mergeCell ref="S565:S567"/>
    <mergeCell ref="R588:R592"/>
    <mergeCell ref="R593:R597"/>
    <mergeCell ref="R598:R600"/>
    <mergeCell ref="R601:R608"/>
    <mergeCell ref="S612:S614"/>
    <mergeCell ref="S627:S629"/>
    <mergeCell ref="S644:S646"/>
    <mergeCell ref="O653:O655"/>
    <mergeCell ref="Q653:Q654"/>
    <mergeCell ref="O656:O657"/>
    <mergeCell ref="P656:P657"/>
    <mergeCell ref="Q656:Q657"/>
    <mergeCell ref="O662:O664"/>
    <mergeCell ref="P662:Q664"/>
    <mergeCell ref="S662:S664"/>
    <mergeCell ref="S676:S678"/>
  </mergeCells>
  <dataValidations>
    <dataValidation type="list" allowBlank="1" showErrorMessage="1" sqref="T12:T15 T17:T20 T22:T26 T28 T30:T31 T33:T34 T36:T39 T41:T44 T46:T54 T59:T60 T68 T71:T72 T74 T79:T80 T84 T94:T95 T97:T102 T104 T106:T108 T111:T114 T118 T120 T127:T128 T130:T142 T145:T155 T157 T164:T168 T170:T173 T176:T179 T186:T191 T193 T201 T203:T205 T207:T209 T211 T213 T219:T221 T224 T231:T235 T237 T240:T242 T249 T252:T256 T260 T263:T265 T268 T275 T279 T281 T283:T284 T288 T295 T298:T300 T312:T313 T315 T317 T320 T329:T331 T342:T345 T352:T356 T359:T365 T368:T376 T378:T379 T386:T407 T409:T417 T419:T421 T423:T425 T452:T454 T456 T463:T465 T467 T470:T471 T479:T480 T482 T491 T494 T497 T502:T503 T506:T507 T517:T521 T523:T525 T528:T529 T536:T542 T544:T545 T547:T549 T551 T562 T572:T574 T576:T579 T581:T586 T589:T591 T593:T596 T598:T606 T618:T623 T625 T633:T636 T638 T641:T643 T651 T654:T658 T660:T661 T668 T670:T673 T675 T682 T684:T686 T690 T693:T698 T705 T707:T711 T715 T722 T724:T726 T728:T730 T732 T734 T740:T742 T745 T752 T754:T759 T763 T766:T768 T771 T778:T782 T791:T792 T795 T804 T806 T828:T829 T842 T846:T848 T858 T860 T862 T869 T871:T876 T879:T882 T884">
      <formula1>"Sí,No,Por responder"</formula1>
    </dataValidation>
    <dataValidation type="list" allowBlank="1" showErrorMessage="1" sqref="T16 T21 T27 T29 T32 T40 T45 T55:T56 T58 T61 T69:T70 T73 T75:T77 T81:T82 T85:T86 T96 T103 T105 T110 T116:T117 T119 T129 T144 T175 T194 T202 T210 T212 T214:T218 T222 T238 T250:T251 T257:T258 T261:T262 T266 T276:T277 T280 T282 T285:T286 T296 T301:T305 T316 T319 T327 T338 T340 T357:T358 T366 T418 T432:T441 T443:T444 T451 T455 T466 T469 T472 T481 T492:T493 T495:T496 T498:T500 T504 T508:T509 T516 T522 T527 T543 T550 T553 T560 T563:T564 T571 T575 T580 T588 T592 T597 T607:T608 T610:T611 T626 T639 T650 T653 T659 T669 T674 T683 T687:T689 T692 T712:T713 T723 T731 T733 T735:T739 T743 T753 T760:T761 T764:T765 T769 T783 T785:T787 T789:T790 T793:T794 T796 T803 T805 T813:T814 T816:T821 T831:T833 T835 T844 T855 T857 T861 T870 T877">
      <formula1>"Sí,No,Por responder,No aplica"</formula1>
    </dataValidation>
  </dataValidations>
  <hyperlinks>
    <hyperlink r:id="rId1" ref="S17"/>
    <hyperlink r:id="rId2" ref="S24"/>
    <hyperlink r:id="rId3" ref="S69"/>
    <hyperlink r:id="rId4" ref="S72"/>
    <hyperlink r:id="rId5" ref="S88"/>
    <hyperlink display="¿Los elementos visuales presentan una alternativa textual, es decir el uso de atributos HTML como &quot;alt&quot; para las imágenes o &quot;description&quot; y &quot;title&quot; en botones o enlaces? &#10;Esto se puede revisar abriendo al código fuente con los comandos &quot;Ctrl&quot; + &quot;U&quot; o &quot;Cmd&quot; + &quot;U&quot; y buscando las etiquetas &quot;alt&quot;, &quot;description&quot; o &quot;title&quot;, si se encuentran y tienen contenido este punto se cumple.&#10;&#10;En el punto I de la guía, puede consultar cómo ver el código fuente de la página.&#10;" location="null!A1" ref="S94"/>
    <hyperlink display="¿Al navegar el sitio web con el teclado con la tecla &quot;Tab&quot; se respeta el orden de izquierda a derecha, de arriba hacia abajo?&#10;&#10;En el punto VI de la guía, puede consultar cómo navegar el sitio web con el teclado.&#10;" location="null!A1" ref="S97"/>
    <hyperlink display="¿Los textos tienen un contraste de color mayor a 4.5:1? &#10;Por ejemplo: se evita el uso de texto gris sobre fondo blanco u otras combinaciones de color con bajo contraste.&#10;&#10;En el punto III de la guía, puede consultar cómo verificar el contraste de textos con la herramienta &quot;Inspeccionar&quot;. Si desea revisar en mayor detalle puede hacerlo con herramientas como Colour Contrast Analyser o Contrast Checker de WebAIM.&#10;" location="null!A1" ref="S108"/>
    <hyperlink r:id="rId6" ref="S119"/>
    <hyperlink r:id="rId7" ref="S202"/>
    <hyperlink display="¿Se utilizan familias tipográficas optimizadas para la lectura en pantalla, especialmente las de palo seco (sin conectores visuales entre las letras) o sin &quot;serif? &#10;Por ejemplo: Roboto, Verdana, Arial.&#10;&#10;En el punto IV de la guía, puede consultar cómo verificar el tipo de fuente.&#10;" location="null!A1" ref="S207"/>
    <hyperlink display="¿Su tamaño permite una adecuada legibilidad? &#10;Por ejemplo: igual o superior a 16 puntos, con un espaciado de al menos 1,5 veces del tamaño de la fuente y alto contraste, evitando letras grises sobre fondos blancos. &#10;&#10;En el punto IV de la guía, puede consultar cómo verificar el tamaño de los textos.&#10;" location="null!A1" ref="S208"/>
    <hyperlink r:id="rId8" ref="S212"/>
    <hyperlink display="¿El certificado SSL/TLS es válido? &#10;Por ejemplo: al revisar en Google Chrome a través del ícono &quot;Consulta la información del sitio&quot;, que se encuentra inmediatamente a la izquierda de la URL en la barra de direcciones del navegador, luego verificar que existe el texto &quot;La conexión es segura&quot;.&#10;&#10;En el punto VII de la guía, puede verificar la conexión segura y si el certificado es válido.&#10;" location="null!A1" ref="S232"/>
    <hyperlink r:id="rId9" ref="S234"/>
    <hyperlink r:id="rId10" ref="S240"/>
    <hyperlink r:id="rId11" ref="S241"/>
    <hyperlink r:id="rId12" ref="S255"/>
    <hyperlink r:id="rId13" ref="S261"/>
    <hyperlink r:id="rId14" ref="S262"/>
    <hyperlink r:id="rId15" ref="S263"/>
    <hyperlink r:id="rId16" ref="S264"/>
    <hyperlink display="¿Predomina el uso de imágenes en formato de nueva generación como WebP que proporciona una mejor compresión que JPG, PNG o GIF?&#10;&#10;En el punto V de la guía, puede consultar cómo verificar el formato de las imágenes.&#10;" location="null!A1" ref="S299"/>
    <hyperlink display="¿Las imágenes pesan menos de 600 KB para no ralentizar la carga de la página?&#10;&#10;En el punto V de la guía, puede consultar cómo verificar el peso de las imágenes.&#10;" location="null!A1" ref="S300"/>
    <hyperlink r:id="rId17" ref="S342"/>
    <hyperlink r:id="rId18" ref="S343"/>
    <hyperlink r:id="rId19" ref="S370"/>
    <hyperlink r:id="rId20" ref="S401"/>
    <hyperlink r:id="rId21" ref="S406"/>
    <hyperlink r:id="rId22" ref="S425"/>
    <hyperlink r:id="rId23" ref="S451"/>
    <hyperlink r:id="rId24" ref="S455"/>
    <hyperlink r:id="rId25" ref="S481"/>
    <hyperlink r:id="rId26" ref="S482"/>
    <hyperlink r:id="rId27" ref="S492"/>
    <hyperlink display="¿Al navegar con el teclado con la tecla &quot;Tab&quot; se respeta el orden de izquierda a derecha, de arriba hacia abajo?&#10;&#10;En el punto VI de la guía, puede consultar cómo navegar el sitio web con el teclado. &#10;" location="null!A1" ref="S536"/>
    <hyperlink display="¿Los textos tienen un contraste de color mayor a 4.5:1? &#10;Por ejemplo: se evita el uso de texto gris sobre fondo blanco u otras combinaciones de color con bajo contraste.&#10;&#10;En el punto III de la guía, puede consultar cómo verificar el contraste de textos con la herramienta &quot;Inspeccionar&quot;. Si desea revisar en mayor detalle puede hacerlo con herramientas como Colour Contrast Analyser o Contrast Checker de WebAIM.&#10;" location="null!A1" ref="S545"/>
    <hyperlink r:id="rId28" ref="S553"/>
    <hyperlink r:id="rId29" ref="S576"/>
    <hyperlink r:id="rId30" ref="S583"/>
    <hyperlink display="¿El certificado SSL/TLS es válido? &#10;Por ejemplo: al revisar en Google Chrome a través del ícono &quot;Consulta la información del sitio&quot;, que se encuentra inmediatamente a la izquierda de la URL en la barra de direcciones del navegador, verificar que existe el texto &quot;La conexión es segura&quot;.&#10;&#10;En el punto VII de la guía, puede verificar la conexión segura y si el certificado es válido.&#10;" location="null!A1" ref="S634"/>
    <hyperlink r:id="rId31" ref="S636"/>
    <hyperlink r:id="rId32" ref="S641"/>
    <hyperlink r:id="rId33" ref="S642"/>
    <hyperlink r:id="rId34" ref="S669"/>
    <hyperlink r:id="rId35" ref="S674"/>
    <hyperlink r:id="rId36" ref="S723"/>
    <hyperlink display="¿Se utilizan familias tipográficas optimizadas para la lectura en pantalla, especialmente las de palo seco (sin conectores visuales entre las letras) o sin &quot;serif&quot;? &#10;Por ejemplo: Roboto, Verdana, Arial.&#10;En la guía se puede consultar cómo se identifica el tipo de fuente.&#10;" location="null!A1" ref="S728"/>
    <hyperlink display="¿Su tamaño permite una adecuada legibilidad?  &#10;Por ejemplo: igual o superior a 16 puntos, con un espaciado de al menos 1,5 veces del tamaño de la fuente y alto contraste, evitando letras grises sobre fondos blancos.  &#10;En la guía se puede consultar cómo se identifica el tamaño de fuente.&#10;" location="null!A1" ref="S729"/>
    <hyperlink r:id="rId37" ref="S733"/>
    <hyperlink r:id="rId38" ref="S758"/>
    <hyperlink r:id="rId39" ref="S764"/>
    <hyperlink r:id="rId40" ref="S765"/>
    <hyperlink r:id="rId41" ref="S766"/>
    <hyperlink r:id="rId42" ref="S767"/>
    <hyperlink r:id="rId43" ref="S805"/>
    <hyperlink r:id="rId44" ref="S806"/>
    <hyperlink display="¿Predomina el uso de imágenes en formato de nueva generación como WebP que proporciona una mejor compresión que JPG, PNG o GIF?&#10;&#10;En el punto V de la guía, puede consultar cómo verificar el formato de las imágenes. &#10;&#10;La opción &quot;No aplica&quot; es solo para el caso en que no existan imágenes en el sitio web.&#10;" location="null!A1" ref="S817"/>
    <hyperlink display="¿Las imágenes pesan menos de 600 KB para no ralentizar la carga de la página?&#10;&#10;En el punto V de la guía, puede consultar cómo verificar el peso de las imágenes.&#10;&#10;La opción &quot;No aplica&quot; es solo para el caso en que no existan imágenes en el sitio web.&#10;" location="null!A1" ref="S818"/>
    <hyperlink r:id="rId45" ref="S842"/>
    <hyperlink r:id="rId46" ref="S860"/>
    <hyperlink r:id="rId47" ref="S861"/>
    <hyperlink r:id="rId48" ref="S879"/>
  </hyperlinks>
  <drawing r:id="rId49"/>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62.88"/>
    <col customWidth="1" min="2" max="2" width="37.38"/>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sheetData>
  <drawing r:id="rId2"/>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33.63"/>
    <col customWidth="1" min="4" max="4" width="48.88"/>
    <col customWidth="1" min="5" max="5" width="10.0"/>
  </cols>
  <sheetData>
    <row r="2">
      <c r="A2" s="11" t="s">
        <v>2276</v>
      </c>
    </row>
    <row r="5">
      <c r="A5" s="361" t="s">
        <v>2277</v>
      </c>
    </row>
    <row r="6">
      <c r="A6" s="362"/>
    </row>
    <row r="7">
      <c r="A7" s="11" t="s">
        <v>2278</v>
      </c>
    </row>
    <row r="9">
      <c r="A9" s="11" t="s">
        <v>2279</v>
      </c>
    </row>
    <row r="11">
      <c r="A11" s="11" t="s">
        <v>2280</v>
      </c>
    </row>
    <row r="13">
      <c r="A13" s="11" t="s">
        <v>2281</v>
      </c>
    </row>
    <row r="15">
      <c r="A15" s="11" t="s">
        <v>2282</v>
      </c>
    </row>
    <row r="17">
      <c r="A17" s="363" t="s">
        <v>1822</v>
      </c>
      <c r="B17" s="363" t="s">
        <v>2283</v>
      </c>
      <c r="C17" s="363" t="s">
        <v>2284</v>
      </c>
      <c r="D17" s="363" t="s">
        <v>2285</v>
      </c>
      <c r="E17" s="363" t="s">
        <v>2286</v>
      </c>
      <c r="F17" s="363" t="s">
        <v>2287</v>
      </c>
      <c r="G17" s="363" t="s">
        <v>2288</v>
      </c>
      <c r="H17" s="364"/>
      <c r="I17" s="364"/>
      <c r="J17" s="364"/>
      <c r="K17" s="364"/>
      <c r="L17" s="364"/>
      <c r="M17" s="364"/>
      <c r="N17" s="364"/>
      <c r="O17" s="364"/>
      <c r="P17" s="364"/>
      <c r="Q17" s="364"/>
      <c r="R17" s="364"/>
      <c r="S17" s="364"/>
      <c r="T17" s="364"/>
      <c r="U17" s="364"/>
      <c r="V17" s="364"/>
      <c r="W17" s="364"/>
      <c r="X17" s="364"/>
      <c r="Y17" s="364"/>
      <c r="Z17" s="364"/>
    </row>
    <row r="18">
      <c r="A18" s="365">
        <v>1.0</v>
      </c>
      <c r="B18" s="365" t="s">
        <v>2289</v>
      </c>
      <c r="C18" s="365" t="s">
        <v>2290</v>
      </c>
      <c r="D18" s="366" t="s">
        <v>2291</v>
      </c>
      <c r="E18" s="364"/>
      <c r="F18" s="364"/>
      <c r="G18" s="364"/>
      <c r="H18" s="364"/>
      <c r="I18" s="364"/>
      <c r="J18" s="364"/>
      <c r="K18" s="364"/>
      <c r="L18" s="364"/>
      <c r="M18" s="364"/>
      <c r="N18" s="364"/>
      <c r="O18" s="364"/>
      <c r="P18" s="364"/>
      <c r="Q18" s="364"/>
      <c r="R18" s="364"/>
      <c r="S18" s="364"/>
      <c r="T18" s="364"/>
      <c r="U18" s="364"/>
      <c r="V18" s="364"/>
      <c r="W18" s="364"/>
      <c r="X18" s="364"/>
      <c r="Y18" s="364"/>
      <c r="Z18" s="364"/>
    </row>
    <row r="19">
      <c r="A19" s="365">
        <v>2.0</v>
      </c>
      <c r="B19" s="365" t="s">
        <v>2289</v>
      </c>
      <c r="C19" s="365" t="s">
        <v>2292</v>
      </c>
      <c r="D19" s="366" t="s">
        <v>2293</v>
      </c>
      <c r="E19" s="364"/>
      <c r="F19" s="364"/>
      <c r="G19" s="364"/>
      <c r="H19" s="364"/>
      <c r="I19" s="364"/>
      <c r="J19" s="364"/>
      <c r="K19" s="364"/>
      <c r="L19" s="364"/>
      <c r="M19" s="364"/>
      <c r="N19" s="364"/>
      <c r="O19" s="364"/>
      <c r="P19" s="364"/>
      <c r="Q19" s="364"/>
      <c r="R19" s="364"/>
      <c r="S19" s="364"/>
      <c r="T19" s="364"/>
      <c r="U19" s="364"/>
      <c r="V19" s="364"/>
      <c r="W19" s="364"/>
      <c r="X19" s="364"/>
      <c r="Y19" s="364"/>
      <c r="Z19" s="364"/>
    </row>
    <row r="20">
      <c r="A20" s="365">
        <v>3.0</v>
      </c>
      <c r="B20" s="365" t="s">
        <v>2294</v>
      </c>
      <c r="C20" s="365" t="s">
        <v>2295</v>
      </c>
      <c r="D20" s="366" t="s">
        <v>2296</v>
      </c>
      <c r="E20" s="364"/>
      <c r="F20" s="364"/>
      <c r="G20" s="364"/>
      <c r="H20" s="364"/>
      <c r="I20" s="364"/>
      <c r="J20" s="364"/>
      <c r="K20" s="364"/>
      <c r="L20" s="364"/>
      <c r="M20" s="364"/>
      <c r="N20" s="364"/>
      <c r="O20" s="364"/>
      <c r="P20" s="364"/>
      <c r="Q20" s="364"/>
      <c r="R20" s="364"/>
      <c r="S20" s="364"/>
      <c r="T20" s="364"/>
      <c r="U20" s="364"/>
      <c r="V20" s="364"/>
      <c r="W20" s="364"/>
      <c r="X20" s="364"/>
      <c r="Y20" s="364"/>
      <c r="Z20" s="364"/>
    </row>
    <row r="21">
      <c r="A21" s="365">
        <v>4.0</v>
      </c>
      <c r="B21" s="365" t="s">
        <v>2289</v>
      </c>
      <c r="C21" s="365" t="s">
        <v>2297</v>
      </c>
      <c r="D21" s="366" t="s">
        <v>2298</v>
      </c>
      <c r="E21" s="364"/>
      <c r="F21" s="364"/>
      <c r="G21" s="364"/>
      <c r="H21" s="364"/>
      <c r="I21" s="364"/>
      <c r="J21" s="364"/>
      <c r="K21" s="364"/>
      <c r="L21" s="364"/>
      <c r="M21" s="364"/>
      <c r="N21" s="364"/>
      <c r="O21" s="364"/>
      <c r="P21" s="364"/>
      <c r="Q21" s="364"/>
      <c r="R21" s="364"/>
      <c r="S21" s="364"/>
      <c r="T21" s="364"/>
      <c r="U21" s="364"/>
      <c r="V21" s="364"/>
      <c r="W21" s="364"/>
      <c r="X21" s="364"/>
      <c r="Y21" s="364"/>
      <c r="Z21" s="364"/>
    </row>
    <row r="22">
      <c r="A22" s="365">
        <v>5.0</v>
      </c>
      <c r="B22" s="365" t="s">
        <v>2289</v>
      </c>
      <c r="C22" s="365" t="s">
        <v>2299</v>
      </c>
      <c r="D22" s="366" t="s">
        <v>2300</v>
      </c>
      <c r="E22" s="364"/>
      <c r="F22" s="364"/>
      <c r="G22" s="364"/>
      <c r="H22" s="364"/>
      <c r="I22" s="364"/>
      <c r="J22" s="364"/>
      <c r="K22" s="364"/>
      <c r="L22" s="364"/>
      <c r="M22" s="364"/>
      <c r="N22" s="364"/>
      <c r="O22" s="364"/>
      <c r="P22" s="364"/>
      <c r="Q22" s="364"/>
      <c r="R22" s="364"/>
      <c r="S22" s="364"/>
      <c r="T22" s="364"/>
      <c r="U22" s="364"/>
      <c r="V22" s="364"/>
      <c r="W22" s="364"/>
      <c r="X22" s="364"/>
      <c r="Y22" s="364"/>
      <c r="Z22" s="364"/>
    </row>
    <row r="23">
      <c r="A23" s="365">
        <v>6.0</v>
      </c>
      <c r="B23" s="365" t="s">
        <v>2294</v>
      </c>
      <c r="C23" s="365" t="s">
        <v>2301</v>
      </c>
      <c r="D23" s="366" t="s">
        <v>2302</v>
      </c>
      <c r="E23" s="364"/>
      <c r="F23" s="364"/>
      <c r="G23" s="364"/>
      <c r="H23" s="364"/>
      <c r="I23" s="364"/>
      <c r="J23" s="364"/>
      <c r="K23" s="364"/>
      <c r="L23" s="364"/>
      <c r="M23" s="364"/>
      <c r="N23" s="364"/>
      <c r="O23" s="364"/>
      <c r="P23" s="364"/>
      <c r="Q23" s="364"/>
      <c r="R23" s="364"/>
      <c r="S23" s="364"/>
      <c r="T23" s="364"/>
      <c r="U23" s="364"/>
      <c r="V23" s="364"/>
      <c r="W23" s="364"/>
      <c r="X23" s="364"/>
      <c r="Y23" s="364"/>
      <c r="Z23" s="364"/>
    </row>
    <row r="27">
      <c r="A27" s="11" t="s">
        <v>2303</v>
      </c>
    </row>
    <row r="29">
      <c r="A29" s="11" t="s">
        <v>2304</v>
      </c>
    </row>
    <row r="31">
      <c r="A31" s="11" t="s">
        <v>2305</v>
      </c>
    </row>
    <row r="33">
      <c r="A33" s="11" t="s">
        <v>2306</v>
      </c>
    </row>
    <row r="35">
      <c r="A35" s="11" t="s">
        <v>2282</v>
      </c>
    </row>
    <row r="37">
      <c r="A37" s="363" t="s">
        <v>1822</v>
      </c>
      <c r="B37" s="363" t="s">
        <v>2283</v>
      </c>
      <c r="C37" s="363" t="s">
        <v>2284</v>
      </c>
      <c r="D37" s="363" t="s">
        <v>2285</v>
      </c>
      <c r="E37" s="363" t="s">
        <v>2286</v>
      </c>
      <c r="F37" s="363" t="s">
        <v>2287</v>
      </c>
      <c r="G37" s="363" t="s">
        <v>2307</v>
      </c>
      <c r="H37" s="364"/>
      <c r="I37" s="364"/>
      <c r="J37" s="364"/>
      <c r="K37" s="364"/>
      <c r="L37" s="364"/>
      <c r="M37" s="364"/>
      <c r="N37" s="364"/>
      <c r="O37" s="364"/>
      <c r="P37" s="364"/>
      <c r="Q37" s="364"/>
      <c r="R37" s="364"/>
      <c r="S37" s="364"/>
      <c r="T37" s="364"/>
      <c r="U37" s="364"/>
      <c r="V37" s="364"/>
      <c r="W37" s="364"/>
      <c r="X37" s="364"/>
      <c r="Y37" s="364"/>
      <c r="Z37" s="364"/>
    </row>
    <row r="38">
      <c r="A38" s="365">
        <v>1.0</v>
      </c>
      <c r="B38" s="365" t="s">
        <v>2289</v>
      </c>
      <c r="C38" s="365" t="s">
        <v>2308</v>
      </c>
      <c r="D38" s="366" t="s">
        <v>2309</v>
      </c>
      <c r="E38" s="364"/>
      <c r="F38" s="364"/>
      <c r="G38" s="364"/>
      <c r="H38" s="364"/>
      <c r="I38" s="364"/>
      <c r="J38" s="364"/>
      <c r="K38" s="364"/>
      <c r="L38" s="364"/>
      <c r="M38" s="364"/>
      <c r="N38" s="364"/>
      <c r="O38" s="364"/>
      <c r="P38" s="364"/>
      <c r="Q38" s="364"/>
      <c r="R38" s="364"/>
      <c r="S38" s="364"/>
      <c r="T38" s="364"/>
      <c r="U38" s="364"/>
      <c r="V38" s="364"/>
      <c r="W38" s="364"/>
      <c r="X38" s="364"/>
      <c r="Y38" s="364"/>
      <c r="Z38" s="364"/>
    </row>
    <row r="39">
      <c r="A39" s="365">
        <v>2.0</v>
      </c>
      <c r="B39" s="365" t="s">
        <v>2289</v>
      </c>
      <c r="C39" s="365" t="s">
        <v>2310</v>
      </c>
      <c r="D39" s="366" t="s">
        <v>2311</v>
      </c>
      <c r="E39" s="364"/>
      <c r="F39" s="364"/>
      <c r="G39" s="364"/>
      <c r="H39" s="364"/>
      <c r="I39" s="364"/>
      <c r="J39" s="364"/>
      <c r="K39" s="364"/>
      <c r="L39" s="364"/>
      <c r="M39" s="364"/>
      <c r="N39" s="364"/>
      <c r="O39" s="364"/>
      <c r="P39" s="364"/>
      <c r="Q39" s="364"/>
      <c r="R39" s="364"/>
      <c r="S39" s="364"/>
      <c r="T39" s="364"/>
      <c r="U39" s="364"/>
      <c r="V39" s="364"/>
      <c r="W39" s="364"/>
      <c r="X39" s="364"/>
      <c r="Y39" s="364"/>
      <c r="Z39" s="364"/>
    </row>
    <row r="40">
      <c r="A40" s="365">
        <v>3.0</v>
      </c>
      <c r="B40" s="365" t="s">
        <v>2294</v>
      </c>
      <c r="C40" s="365" t="s">
        <v>2312</v>
      </c>
      <c r="D40" s="366" t="s">
        <v>2313</v>
      </c>
      <c r="E40" s="364"/>
      <c r="F40" s="364"/>
      <c r="G40" s="364"/>
      <c r="H40" s="364"/>
      <c r="I40" s="364"/>
      <c r="J40" s="364"/>
      <c r="K40" s="364"/>
      <c r="L40" s="364"/>
      <c r="M40" s="364"/>
      <c r="N40" s="364"/>
      <c r="O40" s="364"/>
      <c r="P40" s="364"/>
      <c r="Q40" s="364"/>
      <c r="R40" s="364"/>
      <c r="S40" s="364"/>
      <c r="T40" s="364"/>
      <c r="U40" s="364"/>
      <c r="V40" s="364"/>
      <c r="W40" s="364"/>
      <c r="X40" s="364"/>
      <c r="Y40" s="364"/>
      <c r="Z40" s="364"/>
    </row>
    <row r="41">
      <c r="A41" s="365">
        <v>4.0</v>
      </c>
      <c r="B41" s="365" t="s">
        <v>2289</v>
      </c>
      <c r="C41" s="365" t="s">
        <v>2314</v>
      </c>
      <c r="D41" s="366" t="s">
        <v>2315</v>
      </c>
      <c r="E41" s="364"/>
      <c r="F41" s="364"/>
      <c r="G41" s="364"/>
      <c r="H41" s="364"/>
      <c r="I41" s="364"/>
      <c r="J41" s="364"/>
      <c r="K41" s="364"/>
      <c r="L41" s="364"/>
      <c r="M41" s="364"/>
      <c r="N41" s="364"/>
      <c r="O41" s="364"/>
      <c r="P41" s="364"/>
      <c r="Q41" s="364"/>
      <c r="R41" s="364"/>
      <c r="S41" s="364"/>
      <c r="T41" s="364"/>
      <c r="U41" s="364"/>
      <c r="V41" s="364"/>
      <c r="W41" s="364"/>
      <c r="X41" s="364"/>
      <c r="Y41" s="364"/>
      <c r="Z41" s="364"/>
    </row>
    <row r="42">
      <c r="A42" s="365">
        <v>5.0</v>
      </c>
      <c r="B42" s="365" t="s">
        <v>2289</v>
      </c>
      <c r="C42" s="365" t="s">
        <v>2316</v>
      </c>
      <c r="D42" s="366" t="s">
        <v>2317</v>
      </c>
      <c r="E42" s="364"/>
      <c r="F42" s="364"/>
      <c r="G42" s="364"/>
      <c r="H42" s="364"/>
      <c r="I42" s="364"/>
      <c r="J42" s="364"/>
      <c r="K42" s="364"/>
      <c r="L42" s="364"/>
      <c r="M42" s="364"/>
      <c r="N42" s="364"/>
      <c r="O42" s="364"/>
      <c r="P42" s="364"/>
      <c r="Q42" s="364"/>
      <c r="R42" s="364"/>
      <c r="S42" s="364"/>
      <c r="T42" s="364"/>
      <c r="U42" s="364"/>
      <c r="V42" s="364"/>
      <c r="W42" s="364"/>
      <c r="X42" s="364"/>
      <c r="Y42" s="364"/>
      <c r="Z42" s="364"/>
    </row>
    <row r="43">
      <c r="A43" s="365">
        <v>6.0</v>
      </c>
      <c r="B43" s="365" t="s">
        <v>2294</v>
      </c>
      <c r="C43" s="365" t="s">
        <v>2318</v>
      </c>
      <c r="D43" s="366" t="s">
        <v>2319</v>
      </c>
      <c r="E43" s="364"/>
      <c r="F43" s="364"/>
      <c r="G43" s="364"/>
      <c r="H43" s="364"/>
      <c r="I43" s="364"/>
      <c r="J43" s="364"/>
      <c r="K43" s="364"/>
      <c r="L43" s="364"/>
      <c r="M43" s="364"/>
      <c r="N43" s="364"/>
      <c r="O43" s="364"/>
      <c r="P43" s="364"/>
      <c r="Q43" s="364"/>
      <c r="R43" s="364"/>
      <c r="S43" s="364"/>
      <c r="T43" s="364"/>
      <c r="U43" s="364"/>
      <c r="V43" s="364"/>
      <c r="W43" s="364"/>
      <c r="X43" s="364"/>
      <c r="Y43" s="364"/>
      <c r="Z43" s="364"/>
    </row>
    <row r="47">
      <c r="A47" s="11" t="s">
        <v>2320</v>
      </c>
    </row>
    <row r="49">
      <c r="A49" s="11" t="s">
        <v>2321</v>
      </c>
    </row>
    <row r="51">
      <c r="A51" s="11" t="s">
        <v>2322</v>
      </c>
    </row>
    <row r="53">
      <c r="A53" s="11" t="s">
        <v>2323</v>
      </c>
    </row>
    <row r="55">
      <c r="A55" s="11" t="s">
        <v>2282</v>
      </c>
    </row>
    <row r="57">
      <c r="A57" s="363" t="s">
        <v>1822</v>
      </c>
      <c r="B57" s="363" t="s">
        <v>2283</v>
      </c>
      <c r="C57" s="363" t="s">
        <v>2284</v>
      </c>
      <c r="D57" s="363" t="s">
        <v>2285</v>
      </c>
      <c r="E57" s="363" t="s">
        <v>2286</v>
      </c>
      <c r="F57" s="363" t="s">
        <v>2287</v>
      </c>
      <c r="G57" s="363" t="s">
        <v>2307</v>
      </c>
      <c r="H57" s="364"/>
      <c r="I57" s="364"/>
      <c r="J57" s="364"/>
      <c r="K57" s="364"/>
      <c r="L57" s="364"/>
      <c r="M57" s="364"/>
      <c r="N57" s="364"/>
      <c r="O57" s="364"/>
      <c r="P57" s="364"/>
      <c r="Q57" s="364"/>
      <c r="R57" s="364"/>
      <c r="S57" s="364"/>
      <c r="T57" s="364"/>
      <c r="U57" s="364"/>
      <c r="V57" s="364"/>
      <c r="W57" s="364"/>
      <c r="X57" s="364"/>
      <c r="Y57" s="364"/>
      <c r="Z57" s="364"/>
    </row>
    <row r="58">
      <c r="A58" s="365">
        <v>1.0</v>
      </c>
      <c r="B58" s="365" t="s">
        <v>2289</v>
      </c>
      <c r="C58" s="365" t="s">
        <v>2324</v>
      </c>
      <c r="D58" s="366" t="s">
        <v>2325</v>
      </c>
      <c r="E58" s="364"/>
      <c r="F58" s="364"/>
      <c r="G58" s="364"/>
      <c r="H58" s="364"/>
      <c r="I58" s="364"/>
      <c r="J58" s="364"/>
      <c r="K58" s="364"/>
      <c r="L58" s="364"/>
      <c r="M58" s="364"/>
      <c r="N58" s="364"/>
      <c r="O58" s="364"/>
      <c r="P58" s="364"/>
      <c r="Q58" s="364"/>
      <c r="R58" s="364"/>
      <c r="S58" s="364"/>
      <c r="T58" s="364"/>
      <c r="U58" s="364"/>
      <c r="V58" s="364"/>
      <c r="W58" s="364"/>
      <c r="X58" s="364"/>
      <c r="Y58" s="364"/>
      <c r="Z58" s="364"/>
    </row>
    <row r="59">
      <c r="A59" s="365">
        <v>2.0</v>
      </c>
      <c r="B59" s="365" t="s">
        <v>2289</v>
      </c>
      <c r="C59" s="365" t="s">
        <v>2326</v>
      </c>
      <c r="D59" s="366" t="s">
        <v>2327</v>
      </c>
      <c r="E59" s="364"/>
      <c r="F59" s="364"/>
      <c r="G59" s="364"/>
      <c r="H59" s="364"/>
      <c r="I59" s="364"/>
      <c r="J59" s="364"/>
      <c r="K59" s="364"/>
      <c r="L59" s="364"/>
      <c r="M59" s="364"/>
      <c r="N59" s="364"/>
      <c r="O59" s="364"/>
      <c r="P59" s="364"/>
      <c r="Q59" s="364"/>
      <c r="R59" s="364"/>
      <c r="S59" s="364"/>
      <c r="T59" s="364"/>
      <c r="U59" s="364"/>
      <c r="V59" s="364"/>
      <c r="W59" s="364"/>
      <c r="X59" s="364"/>
      <c r="Y59" s="364"/>
      <c r="Z59" s="364"/>
    </row>
    <row r="60">
      <c r="A60" s="365">
        <v>3.0</v>
      </c>
      <c r="B60" s="365" t="s">
        <v>2294</v>
      </c>
      <c r="C60" s="365" t="s">
        <v>2328</v>
      </c>
      <c r="D60" s="366" t="s">
        <v>2329</v>
      </c>
      <c r="E60" s="364"/>
      <c r="F60" s="364"/>
      <c r="G60" s="364"/>
      <c r="H60" s="364"/>
      <c r="I60" s="364"/>
      <c r="J60" s="364"/>
      <c r="K60" s="364"/>
      <c r="L60" s="364"/>
      <c r="M60" s="364"/>
      <c r="N60" s="364"/>
      <c r="O60" s="364"/>
      <c r="P60" s="364"/>
      <c r="Q60" s="364"/>
      <c r="R60" s="364"/>
      <c r="S60" s="364"/>
      <c r="T60" s="364"/>
      <c r="U60" s="364"/>
      <c r="V60" s="364"/>
      <c r="W60" s="364"/>
      <c r="X60" s="364"/>
      <c r="Y60" s="364"/>
      <c r="Z60" s="364"/>
    </row>
    <row r="61">
      <c r="A61" s="365">
        <v>4.0</v>
      </c>
      <c r="B61" s="365" t="s">
        <v>2289</v>
      </c>
      <c r="C61" s="365" t="s">
        <v>2330</v>
      </c>
      <c r="D61" s="366" t="s">
        <v>2331</v>
      </c>
      <c r="E61" s="364"/>
      <c r="F61" s="364"/>
      <c r="G61" s="364"/>
      <c r="H61" s="364"/>
      <c r="I61" s="364"/>
      <c r="J61" s="364"/>
      <c r="K61" s="364"/>
      <c r="L61" s="364"/>
      <c r="M61" s="364"/>
      <c r="N61" s="364"/>
      <c r="O61" s="364"/>
      <c r="P61" s="364"/>
      <c r="Q61" s="364"/>
      <c r="R61" s="364"/>
      <c r="S61" s="364"/>
      <c r="T61" s="364"/>
      <c r="U61" s="364"/>
      <c r="V61" s="364"/>
      <c r="W61" s="364"/>
      <c r="X61" s="364"/>
      <c r="Y61" s="364"/>
      <c r="Z61" s="364"/>
    </row>
    <row r="62">
      <c r="A62" s="365">
        <v>5.0</v>
      </c>
      <c r="B62" s="365" t="s">
        <v>2289</v>
      </c>
      <c r="C62" s="365" t="s">
        <v>2332</v>
      </c>
      <c r="D62" s="366" t="s">
        <v>2333</v>
      </c>
      <c r="E62" s="364"/>
      <c r="F62" s="364"/>
      <c r="G62" s="364"/>
      <c r="H62" s="364"/>
      <c r="I62" s="364"/>
      <c r="J62" s="364"/>
      <c r="K62" s="364"/>
      <c r="L62" s="364"/>
      <c r="M62" s="364"/>
      <c r="N62" s="364"/>
      <c r="O62" s="364"/>
      <c r="P62" s="364"/>
      <c r="Q62" s="364"/>
      <c r="R62" s="364"/>
      <c r="S62" s="364"/>
      <c r="T62" s="364"/>
      <c r="U62" s="364"/>
      <c r="V62" s="364"/>
      <c r="W62" s="364"/>
      <c r="X62" s="364"/>
      <c r="Y62" s="364"/>
      <c r="Z62" s="364"/>
    </row>
    <row r="63">
      <c r="A63" s="365">
        <v>6.0</v>
      </c>
      <c r="B63" s="365" t="s">
        <v>2294</v>
      </c>
      <c r="C63" s="365" t="s">
        <v>2334</v>
      </c>
      <c r="D63" s="366" t="s">
        <v>2335</v>
      </c>
      <c r="E63" s="364"/>
      <c r="F63" s="364"/>
      <c r="G63" s="364"/>
      <c r="H63" s="364"/>
      <c r="I63" s="364"/>
      <c r="J63" s="364"/>
      <c r="K63" s="364"/>
      <c r="L63" s="364"/>
      <c r="M63" s="364"/>
      <c r="N63" s="364"/>
      <c r="O63" s="364"/>
      <c r="P63" s="364"/>
      <c r="Q63" s="364"/>
      <c r="R63" s="364"/>
      <c r="S63" s="364"/>
      <c r="T63" s="364"/>
      <c r="U63" s="364"/>
      <c r="V63" s="364"/>
      <c r="W63" s="364"/>
      <c r="X63" s="364"/>
      <c r="Y63" s="364"/>
      <c r="Z63" s="364"/>
    </row>
    <row r="67">
      <c r="A67" s="11" t="s">
        <v>2336</v>
      </c>
    </row>
    <row r="69">
      <c r="A69" s="11" t="s">
        <v>2337</v>
      </c>
    </row>
    <row r="71">
      <c r="A71" s="11" t="s">
        <v>2338</v>
      </c>
    </row>
    <row r="73">
      <c r="A73" s="11" t="s">
        <v>2339</v>
      </c>
    </row>
    <row r="75">
      <c r="A75" s="11" t="s">
        <v>2282</v>
      </c>
    </row>
    <row r="77">
      <c r="A77" s="363" t="s">
        <v>1822</v>
      </c>
      <c r="B77" s="363" t="s">
        <v>2283</v>
      </c>
      <c r="C77" s="363" t="s">
        <v>2284</v>
      </c>
      <c r="D77" s="363" t="s">
        <v>2285</v>
      </c>
      <c r="E77" s="363" t="s">
        <v>2286</v>
      </c>
      <c r="F77" s="363" t="s">
        <v>2287</v>
      </c>
      <c r="G77" s="363" t="s">
        <v>2307</v>
      </c>
      <c r="H77" s="364"/>
      <c r="I77" s="364"/>
      <c r="J77" s="364"/>
      <c r="K77" s="364"/>
      <c r="L77" s="364"/>
      <c r="M77" s="364"/>
      <c r="N77" s="364"/>
      <c r="O77" s="364"/>
      <c r="P77" s="364"/>
      <c r="Q77" s="364"/>
      <c r="R77" s="364"/>
      <c r="S77" s="364"/>
      <c r="T77" s="364"/>
      <c r="U77" s="364"/>
      <c r="V77" s="364"/>
      <c r="W77" s="364"/>
      <c r="X77" s="364"/>
      <c r="Y77" s="364"/>
      <c r="Z77" s="364"/>
    </row>
    <row r="78">
      <c r="A78" s="365">
        <v>1.0</v>
      </c>
      <c r="B78" s="365" t="s">
        <v>2289</v>
      </c>
      <c r="C78" s="365" t="s">
        <v>2340</v>
      </c>
      <c r="D78" s="366" t="s">
        <v>2341</v>
      </c>
      <c r="E78" s="364"/>
      <c r="F78" s="364"/>
      <c r="G78" s="364"/>
      <c r="H78" s="364"/>
      <c r="I78" s="364"/>
      <c r="J78" s="364"/>
      <c r="K78" s="364"/>
      <c r="L78" s="364"/>
      <c r="M78" s="364"/>
      <c r="N78" s="364"/>
      <c r="O78" s="364"/>
      <c r="P78" s="364"/>
      <c r="Q78" s="364"/>
      <c r="R78" s="364"/>
      <c r="S78" s="364"/>
      <c r="T78" s="364"/>
      <c r="U78" s="364"/>
      <c r="V78" s="364"/>
      <c r="W78" s="364"/>
      <c r="X78" s="364"/>
      <c r="Y78" s="364"/>
      <c r="Z78" s="364"/>
    </row>
    <row r="79">
      <c r="A79" s="365">
        <v>2.0</v>
      </c>
      <c r="B79" s="365" t="s">
        <v>2289</v>
      </c>
      <c r="C79" s="365" t="s">
        <v>2342</v>
      </c>
      <c r="D79" s="366" t="s">
        <v>2343</v>
      </c>
      <c r="E79" s="364"/>
      <c r="F79" s="364"/>
      <c r="G79" s="364"/>
      <c r="H79" s="364"/>
      <c r="I79" s="364"/>
      <c r="J79" s="364"/>
      <c r="K79" s="364"/>
      <c r="L79" s="364"/>
      <c r="M79" s="364"/>
      <c r="N79" s="364"/>
      <c r="O79" s="364"/>
      <c r="P79" s="364"/>
      <c r="Q79" s="364"/>
      <c r="R79" s="364"/>
      <c r="S79" s="364"/>
      <c r="T79" s="364"/>
      <c r="U79" s="364"/>
      <c r="V79" s="364"/>
      <c r="W79" s="364"/>
      <c r="X79" s="364"/>
      <c r="Y79" s="364"/>
      <c r="Z79" s="364"/>
    </row>
    <row r="80">
      <c r="A80" s="365">
        <v>3.0</v>
      </c>
      <c r="B80" s="365" t="s">
        <v>2294</v>
      </c>
      <c r="C80" s="365" t="s">
        <v>2344</v>
      </c>
      <c r="D80" s="366" t="s">
        <v>2345</v>
      </c>
      <c r="E80" s="364"/>
      <c r="F80" s="364"/>
      <c r="G80" s="364"/>
      <c r="H80" s="364"/>
      <c r="I80" s="364"/>
      <c r="J80" s="364"/>
      <c r="K80" s="364"/>
      <c r="L80" s="364"/>
      <c r="M80" s="364"/>
      <c r="N80" s="364"/>
      <c r="O80" s="364"/>
      <c r="P80" s="364"/>
      <c r="Q80" s="364"/>
      <c r="R80" s="364"/>
      <c r="S80" s="364"/>
      <c r="T80" s="364"/>
      <c r="U80" s="364"/>
      <c r="V80" s="364"/>
      <c r="W80" s="364"/>
      <c r="X80" s="364"/>
      <c r="Y80" s="364"/>
      <c r="Z80" s="364"/>
    </row>
    <row r="81">
      <c r="A81" s="365">
        <v>4.0</v>
      </c>
      <c r="B81" s="365" t="s">
        <v>2289</v>
      </c>
      <c r="C81" s="365" t="s">
        <v>2346</v>
      </c>
      <c r="D81" s="366" t="s">
        <v>2347</v>
      </c>
      <c r="E81" s="364"/>
      <c r="F81" s="364"/>
      <c r="G81" s="364"/>
      <c r="H81" s="364"/>
      <c r="I81" s="364"/>
      <c r="J81" s="364"/>
      <c r="K81" s="364"/>
      <c r="L81" s="364"/>
      <c r="M81" s="364"/>
      <c r="N81" s="364"/>
      <c r="O81" s="364"/>
      <c r="P81" s="364"/>
      <c r="Q81" s="364"/>
      <c r="R81" s="364"/>
      <c r="S81" s="364"/>
      <c r="T81" s="364"/>
      <c r="U81" s="364"/>
      <c r="V81" s="364"/>
      <c r="W81" s="364"/>
      <c r="X81" s="364"/>
      <c r="Y81" s="364"/>
      <c r="Z81" s="364"/>
    </row>
    <row r="82">
      <c r="A82" s="365">
        <v>5.0</v>
      </c>
      <c r="B82" s="365" t="s">
        <v>2289</v>
      </c>
      <c r="C82" s="365" t="s">
        <v>2348</v>
      </c>
      <c r="D82" s="366" t="s">
        <v>2349</v>
      </c>
      <c r="E82" s="364"/>
      <c r="F82" s="364"/>
      <c r="G82" s="364"/>
      <c r="H82" s="364"/>
      <c r="I82" s="364"/>
      <c r="J82" s="364"/>
      <c r="K82" s="364"/>
      <c r="L82" s="364"/>
      <c r="M82" s="364"/>
      <c r="N82" s="364"/>
      <c r="O82" s="364"/>
      <c r="P82" s="364"/>
      <c r="Q82" s="364"/>
      <c r="R82" s="364"/>
      <c r="S82" s="364"/>
      <c r="T82" s="364"/>
      <c r="U82" s="364"/>
      <c r="V82" s="364"/>
      <c r="W82" s="364"/>
      <c r="X82" s="364"/>
      <c r="Y82" s="364"/>
      <c r="Z82" s="364"/>
    </row>
    <row r="83">
      <c r="A83" s="365">
        <v>6.0</v>
      </c>
      <c r="B83" s="365" t="s">
        <v>2294</v>
      </c>
      <c r="C83" s="365" t="s">
        <v>2350</v>
      </c>
      <c r="D83" s="366" t="s">
        <v>2351</v>
      </c>
      <c r="E83" s="364"/>
      <c r="F83" s="364"/>
      <c r="G83" s="364"/>
      <c r="H83" s="364"/>
      <c r="I83" s="364"/>
      <c r="J83" s="364"/>
      <c r="K83" s="364"/>
      <c r="L83" s="364"/>
      <c r="M83" s="364"/>
      <c r="N83" s="364"/>
      <c r="O83" s="364"/>
      <c r="P83" s="364"/>
      <c r="Q83" s="364"/>
      <c r="R83" s="364"/>
      <c r="S83" s="364"/>
      <c r="T83" s="364"/>
      <c r="U83" s="364"/>
      <c r="V83" s="364"/>
      <c r="W83" s="364"/>
      <c r="X83" s="364"/>
      <c r="Y83" s="364"/>
      <c r="Z83" s="364"/>
    </row>
    <row r="87">
      <c r="A87" s="11" t="s">
        <v>2352</v>
      </c>
    </row>
    <row r="89">
      <c r="A89" s="11" t="s">
        <v>2353</v>
      </c>
    </row>
    <row r="91">
      <c r="A91" s="11" t="s">
        <v>2354</v>
      </c>
    </row>
    <row r="93">
      <c r="A93" s="11" t="s">
        <v>2355</v>
      </c>
    </row>
    <row r="95">
      <c r="A95" s="11" t="s">
        <v>2282</v>
      </c>
    </row>
    <row r="97">
      <c r="A97" s="363" t="s">
        <v>1822</v>
      </c>
      <c r="B97" s="363" t="s">
        <v>2283</v>
      </c>
      <c r="C97" s="363" t="s">
        <v>2284</v>
      </c>
      <c r="D97" s="363" t="s">
        <v>2285</v>
      </c>
      <c r="E97" s="363" t="s">
        <v>2286</v>
      </c>
      <c r="F97" s="363" t="s">
        <v>2287</v>
      </c>
      <c r="G97" s="363" t="s">
        <v>2307</v>
      </c>
      <c r="H97" s="364"/>
      <c r="I97" s="364"/>
      <c r="J97" s="364"/>
      <c r="K97" s="364"/>
      <c r="L97" s="364"/>
      <c r="M97" s="364"/>
      <c r="N97" s="364"/>
      <c r="O97" s="364"/>
      <c r="P97" s="364"/>
      <c r="Q97" s="364"/>
      <c r="R97" s="364"/>
      <c r="S97" s="364"/>
      <c r="T97" s="364"/>
      <c r="U97" s="364"/>
      <c r="V97" s="364"/>
      <c r="W97" s="364"/>
      <c r="X97" s="364"/>
      <c r="Y97" s="364"/>
      <c r="Z97" s="364"/>
    </row>
    <row r="98">
      <c r="A98" s="365">
        <v>1.0</v>
      </c>
      <c r="B98" s="365" t="s">
        <v>2289</v>
      </c>
      <c r="C98" s="365" t="s">
        <v>2356</v>
      </c>
      <c r="D98" s="366" t="s">
        <v>2357</v>
      </c>
      <c r="E98" s="364"/>
      <c r="F98" s="364"/>
      <c r="G98" s="364"/>
      <c r="H98" s="364"/>
      <c r="I98" s="364"/>
      <c r="J98" s="364"/>
      <c r="K98" s="364"/>
      <c r="L98" s="364"/>
      <c r="M98" s="364"/>
      <c r="N98" s="364"/>
      <c r="O98" s="364"/>
      <c r="P98" s="364"/>
      <c r="Q98" s="364"/>
      <c r="R98" s="364"/>
      <c r="S98" s="364"/>
      <c r="T98" s="364"/>
      <c r="U98" s="364"/>
      <c r="V98" s="364"/>
      <c r="W98" s="364"/>
      <c r="X98" s="364"/>
      <c r="Y98" s="364"/>
      <c r="Z98" s="364"/>
    </row>
    <row r="99">
      <c r="A99" s="365">
        <v>2.0</v>
      </c>
      <c r="B99" s="365" t="s">
        <v>2289</v>
      </c>
      <c r="C99" s="365" t="s">
        <v>2358</v>
      </c>
      <c r="D99" s="366" t="s">
        <v>2359</v>
      </c>
      <c r="E99" s="364"/>
      <c r="F99" s="364"/>
      <c r="G99" s="364"/>
      <c r="H99" s="364"/>
      <c r="I99" s="364"/>
      <c r="J99" s="364"/>
      <c r="K99" s="364"/>
      <c r="L99" s="364"/>
      <c r="M99" s="364"/>
      <c r="N99" s="364"/>
      <c r="O99" s="364"/>
      <c r="P99" s="364"/>
      <c r="Q99" s="364"/>
      <c r="R99" s="364"/>
      <c r="S99" s="364"/>
      <c r="T99" s="364"/>
      <c r="U99" s="364"/>
      <c r="V99" s="364"/>
      <c r="W99" s="364"/>
      <c r="X99" s="364"/>
      <c r="Y99" s="364"/>
      <c r="Z99" s="364"/>
    </row>
    <row r="100">
      <c r="A100" s="365">
        <v>3.0</v>
      </c>
      <c r="B100" s="365" t="s">
        <v>2294</v>
      </c>
      <c r="C100" s="365" t="s">
        <v>2360</v>
      </c>
      <c r="D100" s="366" t="s">
        <v>2361</v>
      </c>
      <c r="E100" s="364"/>
      <c r="F100" s="364"/>
      <c r="G100" s="364"/>
      <c r="H100" s="364"/>
      <c r="I100" s="364"/>
      <c r="J100" s="364"/>
      <c r="K100" s="364"/>
      <c r="L100" s="364"/>
      <c r="M100" s="364"/>
      <c r="N100" s="364"/>
      <c r="O100" s="364"/>
      <c r="P100" s="364"/>
      <c r="Q100" s="364"/>
      <c r="R100" s="364"/>
      <c r="S100" s="364"/>
      <c r="T100" s="364"/>
      <c r="U100" s="364"/>
      <c r="V100" s="364"/>
      <c r="W100" s="364"/>
      <c r="X100" s="364"/>
      <c r="Y100" s="364"/>
      <c r="Z100" s="364"/>
    </row>
    <row r="101">
      <c r="A101" s="365">
        <v>4.0</v>
      </c>
      <c r="B101" s="365" t="s">
        <v>2289</v>
      </c>
      <c r="C101" s="365" t="s">
        <v>2362</v>
      </c>
      <c r="D101" s="366" t="s">
        <v>2363</v>
      </c>
      <c r="E101" s="364"/>
      <c r="F101" s="364"/>
      <c r="G101" s="364"/>
      <c r="H101" s="364"/>
      <c r="I101" s="364"/>
      <c r="J101" s="364"/>
      <c r="K101" s="364"/>
      <c r="L101" s="364"/>
      <c r="M101" s="364"/>
      <c r="N101" s="364"/>
      <c r="O101" s="364"/>
      <c r="P101" s="364"/>
      <c r="Q101" s="364"/>
      <c r="R101" s="364"/>
      <c r="S101" s="364"/>
      <c r="T101" s="364"/>
      <c r="U101" s="364"/>
      <c r="V101" s="364"/>
      <c r="W101" s="364"/>
      <c r="X101" s="364"/>
      <c r="Y101" s="364"/>
      <c r="Z101" s="364"/>
    </row>
    <row r="102">
      <c r="A102" s="365">
        <v>5.0</v>
      </c>
      <c r="B102" s="365" t="s">
        <v>2289</v>
      </c>
      <c r="C102" s="365" t="s">
        <v>2364</v>
      </c>
      <c r="D102" s="366" t="s">
        <v>2365</v>
      </c>
      <c r="E102" s="364"/>
      <c r="F102" s="364"/>
      <c r="G102" s="364"/>
      <c r="H102" s="364"/>
      <c r="I102" s="364"/>
      <c r="J102" s="364"/>
      <c r="K102" s="364"/>
      <c r="L102" s="364"/>
      <c r="M102" s="364"/>
      <c r="N102" s="364"/>
      <c r="O102" s="364"/>
      <c r="P102" s="364"/>
      <c r="Q102" s="364"/>
      <c r="R102" s="364"/>
      <c r="S102" s="364"/>
      <c r="T102" s="364"/>
      <c r="U102" s="364"/>
      <c r="V102" s="364"/>
      <c r="W102" s="364"/>
      <c r="X102" s="364"/>
      <c r="Y102" s="364"/>
      <c r="Z102" s="364"/>
    </row>
    <row r="103">
      <c r="A103" s="365">
        <v>6.0</v>
      </c>
      <c r="B103" s="365" t="s">
        <v>2294</v>
      </c>
      <c r="C103" s="365" t="s">
        <v>2366</v>
      </c>
      <c r="D103" s="366" t="s">
        <v>2367</v>
      </c>
      <c r="E103" s="364"/>
      <c r="F103" s="364"/>
      <c r="G103" s="364"/>
      <c r="H103" s="364"/>
      <c r="I103" s="364"/>
      <c r="J103" s="364"/>
      <c r="K103" s="364"/>
      <c r="L103" s="364"/>
      <c r="M103" s="364"/>
      <c r="N103" s="364"/>
      <c r="O103" s="364"/>
      <c r="P103" s="364"/>
      <c r="Q103" s="364"/>
      <c r="R103" s="364"/>
      <c r="S103" s="364"/>
      <c r="T103" s="364"/>
      <c r="U103" s="364"/>
      <c r="V103" s="364"/>
      <c r="W103" s="364"/>
      <c r="X103" s="364"/>
      <c r="Y103" s="364"/>
      <c r="Z103" s="364"/>
    </row>
    <row r="107">
      <c r="A107" s="11" t="s">
        <v>2368</v>
      </c>
    </row>
    <row r="109">
      <c r="A109" s="11" t="s">
        <v>2369</v>
      </c>
    </row>
    <row r="111">
      <c r="A111" s="11" t="s">
        <v>2370</v>
      </c>
    </row>
    <row r="113">
      <c r="A113" s="11" t="s">
        <v>2371</v>
      </c>
    </row>
    <row r="115">
      <c r="A115" s="11" t="s">
        <v>2282</v>
      </c>
    </row>
    <row r="117">
      <c r="A117" s="363" t="s">
        <v>1822</v>
      </c>
      <c r="B117" s="363" t="s">
        <v>2283</v>
      </c>
      <c r="C117" s="363" t="s">
        <v>2284</v>
      </c>
      <c r="D117" s="363" t="s">
        <v>2285</v>
      </c>
      <c r="E117" s="363" t="s">
        <v>2286</v>
      </c>
      <c r="F117" s="363" t="s">
        <v>2287</v>
      </c>
      <c r="G117" s="363" t="s">
        <v>2307</v>
      </c>
      <c r="H117" s="364"/>
      <c r="I117" s="364"/>
      <c r="J117" s="364"/>
      <c r="K117" s="364"/>
      <c r="L117" s="364"/>
      <c r="M117" s="364"/>
      <c r="N117" s="364"/>
      <c r="O117" s="364"/>
      <c r="P117" s="364"/>
      <c r="Q117" s="364"/>
      <c r="R117" s="364"/>
      <c r="S117" s="364"/>
      <c r="T117" s="364"/>
      <c r="U117" s="364"/>
      <c r="V117" s="364"/>
      <c r="W117" s="364"/>
      <c r="X117" s="364"/>
      <c r="Y117" s="364"/>
      <c r="Z117" s="364"/>
    </row>
    <row r="118">
      <c r="A118" s="365">
        <v>1.0</v>
      </c>
      <c r="B118" s="365" t="s">
        <v>2289</v>
      </c>
      <c r="C118" s="365" t="s">
        <v>2372</v>
      </c>
      <c r="D118" s="366" t="s">
        <v>2373</v>
      </c>
      <c r="E118" s="364"/>
      <c r="F118" s="364"/>
      <c r="G118" s="364"/>
      <c r="H118" s="364"/>
      <c r="I118" s="364"/>
      <c r="J118" s="364"/>
      <c r="K118" s="364"/>
      <c r="L118" s="364"/>
      <c r="M118" s="364"/>
      <c r="N118" s="364"/>
      <c r="O118" s="364"/>
      <c r="P118" s="364"/>
      <c r="Q118" s="364"/>
      <c r="R118" s="364"/>
      <c r="S118" s="364"/>
      <c r="T118" s="364"/>
      <c r="U118" s="364"/>
      <c r="V118" s="364"/>
      <c r="W118" s="364"/>
      <c r="X118" s="364"/>
      <c r="Y118" s="364"/>
      <c r="Z118" s="364"/>
    </row>
    <row r="119">
      <c r="A119" s="365">
        <v>2.0</v>
      </c>
      <c r="B119" s="365" t="s">
        <v>2289</v>
      </c>
      <c r="C119" s="365" t="s">
        <v>2374</v>
      </c>
      <c r="D119" s="366" t="s">
        <v>2375</v>
      </c>
      <c r="E119" s="364"/>
      <c r="F119" s="364"/>
      <c r="G119" s="364"/>
      <c r="H119" s="364"/>
      <c r="I119" s="364"/>
      <c r="J119" s="364"/>
      <c r="K119" s="364"/>
      <c r="L119" s="364"/>
      <c r="M119" s="364"/>
      <c r="N119" s="364"/>
      <c r="O119" s="364"/>
      <c r="P119" s="364"/>
      <c r="Q119" s="364"/>
      <c r="R119" s="364"/>
      <c r="S119" s="364"/>
      <c r="T119" s="364"/>
      <c r="U119" s="364"/>
      <c r="V119" s="364"/>
      <c r="W119" s="364"/>
      <c r="X119" s="364"/>
      <c r="Y119" s="364"/>
      <c r="Z119" s="364"/>
    </row>
    <row r="120">
      <c r="A120" s="365">
        <v>3.0</v>
      </c>
      <c r="B120" s="365" t="s">
        <v>2294</v>
      </c>
      <c r="C120" s="365" t="s">
        <v>2376</v>
      </c>
      <c r="D120" s="366" t="s">
        <v>2377</v>
      </c>
      <c r="E120" s="364"/>
      <c r="F120" s="364"/>
      <c r="G120" s="364"/>
      <c r="H120" s="364"/>
      <c r="I120" s="364"/>
      <c r="J120" s="364"/>
      <c r="K120" s="364"/>
      <c r="L120" s="364"/>
      <c r="M120" s="364"/>
      <c r="N120" s="364"/>
      <c r="O120" s="364"/>
      <c r="P120" s="364"/>
      <c r="Q120" s="364"/>
      <c r="R120" s="364"/>
      <c r="S120" s="364"/>
      <c r="T120" s="364"/>
      <c r="U120" s="364"/>
      <c r="V120" s="364"/>
      <c r="W120" s="364"/>
      <c r="X120" s="364"/>
      <c r="Y120" s="364"/>
      <c r="Z120" s="364"/>
    </row>
    <row r="121">
      <c r="A121" s="365">
        <v>4.0</v>
      </c>
      <c r="B121" s="365" t="s">
        <v>2289</v>
      </c>
      <c r="C121" s="365" t="s">
        <v>2378</v>
      </c>
      <c r="D121" s="366" t="s">
        <v>2379</v>
      </c>
      <c r="E121" s="364"/>
      <c r="F121" s="364"/>
      <c r="G121" s="364"/>
      <c r="H121" s="364"/>
      <c r="I121" s="364"/>
      <c r="J121" s="364"/>
      <c r="K121" s="364"/>
      <c r="L121" s="364"/>
      <c r="M121" s="364"/>
      <c r="N121" s="364"/>
      <c r="O121" s="364"/>
      <c r="P121" s="364"/>
      <c r="Q121" s="364"/>
      <c r="R121" s="364"/>
      <c r="S121" s="364"/>
      <c r="T121" s="364"/>
      <c r="U121" s="364"/>
      <c r="V121" s="364"/>
      <c r="W121" s="364"/>
      <c r="X121" s="364"/>
      <c r="Y121" s="364"/>
      <c r="Z121" s="364"/>
    </row>
    <row r="122">
      <c r="A122" s="365">
        <v>5.0</v>
      </c>
      <c r="B122" s="365" t="s">
        <v>2289</v>
      </c>
      <c r="C122" s="365" t="s">
        <v>2380</v>
      </c>
      <c r="D122" s="366" t="s">
        <v>2381</v>
      </c>
      <c r="E122" s="364"/>
      <c r="F122" s="364"/>
      <c r="G122" s="364"/>
      <c r="H122" s="364"/>
      <c r="I122" s="364"/>
      <c r="J122" s="364"/>
      <c r="K122" s="364"/>
      <c r="L122" s="364"/>
      <c r="M122" s="364"/>
      <c r="N122" s="364"/>
      <c r="O122" s="364"/>
      <c r="P122" s="364"/>
      <c r="Q122" s="364"/>
      <c r="R122" s="364"/>
      <c r="S122" s="364"/>
      <c r="T122" s="364"/>
      <c r="U122" s="364"/>
      <c r="V122" s="364"/>
      <c r="W122" s="364"/>
      <c r="X122" s="364"/>
      <c r="Y122" s="364"/>
      <c r="Z122" s="364"/>
    </row>
    <row r="123">
      <c r="A123" s="365">
        <v>6.0</v>
      </c>
      <c r="B123" s="365" t="s">
        <v>2294</v>
      </c>
      <c r="C123" s="365" t="s">
        <v>2382</v>
      </c>
      <c r="D123" s="366" t="s">
        <v>2383</v>
      </c>
      <c r="E123" s="364"/>
      <c r="F123" s="364"/>
      <c r="G123" s="364"/>
      <c r="H123" s="364"/>
      <c r="I123" s="364"/>
      <c r="J123" s="364"/>
      <c r="K123" s="364"/>
      <c r="L123" s="364"/>
      <c r="M123" s="364"/>
      <c r="N123" s="364"/>
      <c r="O123" s="364"/>
      <c r="P123" s="364"/>
      <c r="Q123" s="364"/>
      <c r="R123" s="364"/>
      <c r="S123" s="364"/>
      <c r="T123" s="364"/>
      <c r="U123" s="364"/>
      <c r="V123" s="364"/>
      <c r="W123" s="364"/>
      <c r="X123" s="364"/>
      <c r="Y123" s="364"/>
      <c r="Z123" s="364"/>
    </row>
    <row r="128">
      <c r="A128" s="361" t="s">
        <v>2384</v>
      </c>
    </row>
    <row r="129">
      <c r="A129" s="362"/>
    </row>
    <row r="130">
      <c r="A130" s="11" t="s">
        <v>2385</v>
      </c>
    </row>
    <row r="132">
      <c r="A132" s="11" t="s">
        <v>2386</v>
      </c>
    </row>
    <row r="134">
      <c r="A134" s="11" t="s">
        <v>2387</v>
      </c>
    </row>
    <row r="136">
      <c r="A136" s="11" t="s">
        <v>2388</v>
      </c>
    </row>
    <row r="138">
      <c r="A138" s="11" t="s">
        <v>2282</v>
      </c>
    </row>
    <row r="140">
      <c r="A140" s="363" t="s">
        <v>1822</v>
      </c>
      <c r="B140" s="363" t="s">
        <v>2283</v>
      </c>
      <c r="C140" s="363" t="s">
        <v>2284</v>
      </c>
      <c r="D140" s="363" t="s">
        <v>2285</v>
      </c>
      <c r="E140" s="363" t="s">
        <v>2286</v>
      </c>
      <c r="F140" s="363" t="s">
        <v>2287</v>
      </c>
      <c r="G140" s="363" t="s">
        <v>2288</v>
      </c>
      <c r="H140" s="363" t="s">
        <v>2307</v>
      </c>
      <c r="I140" s="364"/>
      <c r="J140" s="364"/>
      <c r="K140" s="364"/>
      <c r="L140" s="364"/>
      <c r="M140" s="364"/>
      <c r="N140" s="364"/>
      <c r="O140" s="364"/>
      <c r="P140" s="364"/>
      <c r="Q140" s="364"/>
      <c r="R140" s="364"/>
      <c r="S140" s="364"/>
      <c r="T140" s="364"/>
      <c r="U140" s="364"/>
      <c r="V140" s="364"/>
      <c r="W140" s="364"/>
      <c r="X140" s="364"/>
      <c r="Y140" s="364"/>
      <c r="Z140" s="364"/>
    </row>
    <row r="141">
      <c r="A141" s="365">
        <v>1.0</v>
      </c>
      <c r="B141" s="365" t="s">
        <v>2289</v>
      </c>
      <c r="C141" s="365" t="s">
        <v>2389</v>
      </c>
      <c r="D141" s="366" t="s">
        <v>2390</v>
      </c>
      <c r="E141" s="364"/>
      <c r="F141" s="364"/>
      <c r="G141" s="364"/>
      <c r="H141" s="364"/>
      <c r="I141" s="364"/>
      <c r="J141" s="364"/>
      <c r="K141" s="364"/>
      <c r="L141" s="364"/>
      <c r="M141" s="364"/>
      <c r="N141" s="364"/>
      <c r="O141" s="364"/>
      <c r="P141" s="364"/>
      <c r="Q141" s="364"/>
      <c r="R141" s="364"/>
      <c r="S141" s="364"/>
      <c r="T141" s="364"/>
      <c r="U141" s="364"/>
      <c r="V141" s="364"/>
      <c r="W141" s="364"/>
      <c r="X141" s="364"/>
      <c r="Y141" s="364"/>
      <c r="Z141" s="364"/>
    </row>
    <row r="142">
      <c r="A142" s="365">
        <v>2.0</v>
      </c>
      <c r="B142" s="365" t="s">
        <v>2289</v>
      </c>
      <c r="C142" s="365" t="s">
        <v>2391</v>
      </c>
      <c r="D142" s="366" t="s">
        <v>2392</v>
      </c>
      <c r="E142" s="364"/>
      <c r="F142" s="364"/>
      <c r="G142" s="364"/>
      <c r="H142" s="364"/>
      <c r="I142" s="364"/>
      <c r="J142" s="364"/>
      <c r="K142" s="364"/>
      <c r="L142" s="364"/>
      <c r="M142" s="364"/>
      <c r="N142" s="364"/>
      <c r="O142" s="364"/>
      <c r="P142" s="364"/>
      <c r="Q142" s="364"/>
      <c r="R142" s="364"/>
      <c r="S142" s="364"/>
      <c r="T142" s="364"/>
      <c r="U142" s="364"/>
      <c r="V142" s="364"/>
      <c r="W142" s="364"/>
      <c r="X142" s="364"/>
      <c r="Y142" s="364"/>
      <c r="Z142" s="364"/>
    </row>
    <row r="143">
      <c r="A143" s="365">
        <v>3.0</v>
      </c>
      <c r="B143" s="365" t="s">
        <v>2294</v>
      </c>
      <c r="C143" s="365" t="s">
        <v>2393</v>
      </c>
      <c r="D143" s="366" t="s">
        <v>2394</v>
      </c>
      <c r="E143" s="364"/>
      <c r="F143" s="364"/>
      <c r="G143" s="364"/>
      <c r="H143" s="364"/>
      <c r="I143" s="364"/>
      <c r="J143" s="364"/>
      <c r="K143" s="364"/>
      <c r="L143" s="364"/>
      <c r="M143" s="364"/>
      <c r="N143" s="364"/>
      <c r="O143" s="364"/>
      <c r="P143" s="364"/>
      <c r="Q143" s="364"/>
      <c r="R143" s="364"/>
      <c r="S143" s="364"/>
      <c r="T143" s="364"/>
      <c r="U143" s="364"/>
      <c r="V143" s="364"/>
      <c r="W143" s="364"/>
      <c r="X143" s="364"/>
      <c r="Y143" s="364"/>
      <c r="Z143" s="364"/>
    </row>
    <row r="144">
      <c r="A144" s="365">
        <v>4.0</v>
      </c>
      <c r="B144" s="365" t="s">
        <v>2289</v>
      </c>
      <c r="C144" s="365" t="s">
        <v>2395</v>
      </c>
      <c r="D144" s="366" t="s">
        <v>2396</v>
      </c>
      <c r="E144" s="364"/>
      <c r="F144" s="364"/>
      <c r="G144" s="364"/>
      <c r="H144" s="364"/>
      <c r="I144" s="364"/>
      <c r="J144" s="364"/>
      <c r="K144" s="364"/>
      <c r="L144" s="364"/>
      <c r="M144" s="364"/>
      <c r="N144" s="364"/>
      <c r="O144" s="364"/>
      <c r="P144" s="364"/>
      <c r="Q144" s="364"/>
      <c r="R144" s="364"/>
      <c r="S144" s="364"/>
      <c r="T144" s="364"/>
      <c r="U144" s="364"/>
      <c r="V144" s="364"/>
      <c r="W144" s="364"/>
      <c r="X144" s="364"/>
      <c r="Y144" s="364"/>
      <c r="Z144" s="364"/>
    </row>
    <row r="145">
      <c r="A145" s="365">
        <v>5.0</v>
      </c>
      <c r="B145" s="365" t="s">
        <v>2289</v>
      </c>
      <c r="C145" s="365" t="s">
        <v>2397</v>
      </c>
      <c r="D145" s="366" t="s">
        <v>2398</v>
      </c>
      <c r="E145" s="364"/>
      <c r="F145" s="364"/>
      <c r="G145" s="364"/>
      <c r="H145" s="364"/>
      <c r="I145" s="364"/>
      <c r="J145" s="364"/>
      <c r="K145" s="364"/>
      <c r="L145" s="364"/>
      <c r="M145" s="364"/>
      <c r="N145" s="364"/>
      <c r="O145" s="364"/>
      <c r="P145" s="364"/>
      <c r="Q145" s="364"/>
      <c r="R145" s="364"/>
      <c r="S145" s="364"/>
      <c r="T145" s="364"/>
      <c r="U145" s="364"/>
      <c r="V145" s="364"/>
      <c r="W145" s="364"/>
      <c r="X145" s="364"/>
      <c r="Y145" s="364"/>
      <c r="Z145" s="364"/>
    </row>
    <row r="146">
      <c r="A146" s="365">
        <v>6.0</v>
      </c>
      <c r="B146" s="365" t="s">
        <v>2294</v>
      </c>
      <c r="C146" s="365" t="s">
        <v>2399</v>
      </c>
      <c r="D146" s="366" t="s">
        <v>2400</v>
      </c>
      <c r="E146" s="364"/>
      <c r="F146" s="364"/>
      <c r="G146" s="364"/>
      <c r="H146" s="364"/>
      <c r="I146" s="364"/>
      <c r="J146" s="364"/>
      <c r="K146" s="364"/>
      <c r="L146" s="364"/>
      <c r="M146" s="364"/>
      <c r="N146" s="364"/>
      <c r="O146" s="364"/>
      <c r="P146" s="364"/>
      <c r="Q146" s="364"/>
      <c r="R146" s="364"/>
      <c r="S146" s="364"/>
      <c r="T146" s="364"/>
      <c r="U146" s="364"/>
      <c r="V146" s="364"/>
      <c r="W146" s="364"/>
      <c r="X146" s="364"/>
      <c r="Y146" s="364"/>
      <c r="Z146" s="364"/>
    </row>
    <row r="150">
      <c r="A150" s="11" t="s">
        <v>2401</v>
      </c>
    </row>
    <row r="152">
      <c r="A152" s="11" t="s">
        <v>2402</v>
      </c>
    </row>
    <row r="154">
      <c r="A154" s="11" t="s">
        <v>2403</v>
      </c>
    </row>
    <row r="156">
      <c r="A156" s="11" t="s">
        <v>2404</v>
      </c>
    </row>
    <row r="158">
      <c r="A158" s="11" t="s">
        <v>2282</v>
      </c>
    </row>
    <row r="160">
      <c r="A160" s="363" t="s">
        <v>1822</v>
      </c>
      <c r="B160" s="363" t="s">
        <v>2283</v>
      </c>
      <c r="C160" s="363" t="s">
        <v>2284</v>
      </c>
      <c r="D160" s="363" t="s">
        <v>2285</v>
      </c>
      <c r="E160" s="363" t="s">
        <v>2286</v>
      </c>
      <c r="F160" s="363" t="s">
        <v>2287</v>
      </c>
      <c r="G160" s="363" t="s">
        <v>2307</v>
      </c>
      <c r="H160" s="364"/>
      <c r="I160" s="364"/>
      <c r="J160" s="364"/>
      <c r="K160" s="364"/>
      <c r="L160" s="364"/>
      <c r="M160" s="364"/>
      <c r="N160" s="364"/>
      <c r="O160" s="364"/>
      <c r="P160" s="364"/>
      <c r="Q160" s="364"/>
      <c r="R160" s="364"/>
      <c r="S160" s="364"/>
      <c r="T160" s="364"/>
      <c r="U160" s="364"/>
      <c r="V160" s="364"/>
      <c r="W160" s="364"/>
      <c r="X160" s="364"/>
      <c r="Y160" s="364"/>
      <c r="Z160" s="364"/>
    </row>
    <row r="161">
      <c r="A161" s="365">
        <v>1.0</v>
      </c>
      <c r="B161" s="365" t="s">
        <v>2289</v>
      </c>
      <c r="C161" s="365" t="s">
        <v>2405</v>
      </c>
      <c r="D161" s="366" t="s">
        <v>2406</v>
      </c>
      <c r="E161" s="364"/>
      <c r="F161" s="364"/>
      <c r="G161" s="364"/>
      <c r="H161" s="364"/>
      <c r="I161" s="364"/>
      <c r="J161" s="364"/>
      <c r="K161" s="364"/>
      <c r="L161" s="364"/>
      <c r="M161" s="364"/>
      <c r="N161" s="364"/>
      <c r="O161" s="364"/>
      <c r="P161" s="364"/>
      <c r="Q161" s="364"/>
      <c r="R161" s="364"/>
      <c r="S161" s="364"/>
      <c r="T161" s="364"/>
      <c r="U161" s="364"/>
      <c r="V161" s="364"/>
      <c r="W161" s="364"/>
      <c r="X161" s="364"/>
      <c r="Y161" s="364"/>
      <c r="Z161" s="364"/>
    </row>
    <row r="162">
      <c r="A162" s="365">
        <v>2.0</v>
      </c>
      <c r="B162" s="365" t="s">
        <v>2294</v>
      </c>
      <c r="C162" s="365" t="s">
        <v>2407</v>
      </c>
      <c r="D162" s="366" t="s">
        <v>2408</v>
      </c>
      <c r="E162" s="364"/>
      <c r="F162" s="364"/>
      <c r="G162" s="364"/>
      <c r="H162" s="364"/>
      <c r="I162" s="364"/>
      <c r="J162" s="364"/>
      <c r="K162" s="364"/>
      <c r="L162" s="364"/>
      <c r="M162" s="364"/>
      <c r="N162" s="364"/>
      <c r="O162" s="364"/>
      <c r="P162" s="364"/>
      <c r="Q162" s="364"/>
      <c r="R162" s="364"/>
      <c r="S162" s="364"/>
      <c r="T162" s="364"/>
      <c r="U162" s="364"/>
      <c r="V162" s="364"/>
      <c r="W162" s="364"/>
      <c r="X162" s="364"/>
      <c r="Y162" s="364"/>
      <c r="Z162" s="364"/>
    </row>
    <row r="163">
      <c r="A163" s="365">
        <v>3.0</v>
      </c>
      <c r="B163" s="365" t="s">
        <v>2289</v>
      </c>
      <c r="C163" s="365" t="s">
        <v>2409</v>
      </c>
      <c r="D163" s="366" t="s">
        <v>2410</v>
      </c>
      <c r="E163" s="364"/>
      <c r="F163" s="364"/>
      <c r="G163" s="364"/>
      <c r="H163" s="364"/>
      <c r="I163" s="364"/>
      <c r="J163" s="364"/>
      <c r="K163" s="364"/>
      <c r="L163" s="364"/>
      <c r="M163" s="364"/>
      <c r="N163" s="364"/>
      <c r="O163" s="364"/>
      <c r="P163" s="364"/>
      <c r="Q163" s="364"/>
      <c r="R163" s="364"/>
      <c r="S163" s="364"/>
      <c r="T163" s="364"/>
      <c r="U163" s="364"/>
      <c r="V163" s="364"/>
      <c r="W163" s="364"/>
      <c r="X163" s="364"/>
      <c r="Y163" s="364"/>
      <c r="Z163" s="364"/>
    </row>
    <row r="164">
      <c r="A164" s="365">
        <v>4.0</v>
      </c>
      <c r="B164" s="365" t="s">
        <v>2289</v>
      </c>
      <c r="C164" s="365" t="s">
        <v>2411</v>
      </c>
      <c r="D164" s="366" t="s">
        <v>2412</v>
      </c>
      <c r="E164" s="364"/>
      <c r="F164" s="364"/>
      <c r="G164" s="364"/>
      <c r="H164" s="364"/>
      <c r="I164" s="364"/>
      <c r="J164" s="364"/>
      <c r="K164" s="364"/>
      <c r="L164" s="364"/>
      <c r="M164" s="364"/>
      <c r="N164" s="364"/>
      <c r="O164" s="364"/>
      <c r="P164" s="364"/>
      <c r="Q164" s="364"/>
      <c r="R164" s="364"/>
      <c r="S164" s="364"/>
      <c r="T164" s="364"/>
      <c r="U164" s="364"/>
      <c r="V164" s="364"/>
      <c r="W164" s="364"/>
      <c r="X164" s="364"/>
      <c r="Y164" s="364"/>
      <c r="Z164" s="364"/>
    </row>
    <row r="165">
      <c r="A165" s="365">
        <v>5.0</v>
      </c>
      <c r="B165" s="365" t="s">
        <v>2289</v>
      </c>
      <c r="C165" s="365" t="s">
        <v>2413</v>
      </c>
      <c r="D165" s="366" t="s">
        <v>2414</v>
      </c>
      <c r="E165" s="364"/>
      <c r="F165" s="364"/>
      <c r="G165" s="364"/>
      <c r="H165" s="364"/>
      <c r="I165" s="364"/>
      <c r="J165" s="364"/>
      <c r="K165" s="364"/>
      <c r="L165" s="364"/>
      <c r="M165" s="364"/>
      <c r="N165" s="364"/>
      <c r="O165" s="364"/>
      <c r="P165" s="364"/>
      <c r="Q165" s="364"/>
      <c r="R165" s="364"/>
      <c r="S165" s="364"/>
      <c r="T165" s="364"/>
      <c r="U165" s="364"/>
      <c r="V165" s="364"/>
      <c r="W165" s="364"/>
      <c r="X165" s="364"/>
      <c r="Y165" s="364"/>
      <c r="Z165" s="364"/>
    </row>
    <row r="166">
      <c r="A166" s="365">
        <v>6.0</v>
      </c>
      <c r="B166" s="365" t="s">
        <v>2294</v>
      </c>
      <c r="C166" s="365" t="s">
        <v>2415</v>
      </c>
      <c r="D166" s="366" t="s">
        <v>2416</v>
      </c>
      <c r="E166" s="364"/>
      <c r="F166" s="364"/>
      <c r="G166" s="364"/>
      <c r="H166" s="364"/>
      <c r="I166" s="364"/>
      <c r="J166" s="364"/>
      <c r="K166" s="364"/>
      <c r="L166" s="364"/>
      <c r="M166" s="364"/>
      <c r="N166" s="364"/>
      <c r="O166" s="364"/>
      <c r="P166" s="364"/>
      <c r="Q166" s="364"/>
      <c r="R166" s="364"/>
      <c r="S166" s="364"/>
      <c r="T166" s="364"/>
      <c r="U166" s="364"/>
      <c r="V166" s="364"/>
      <c r="W166" s="364"/>
      <c r="X166" s="364"/>
      <c r="Y166" s="364"/>
      <c r="Z166" s="364"/>
    </row>
    <row r="170">
      <c r="A170" s="11" t="s">
        <v>2417</v>
      </c>
    </row>
    <row r="172">
      <c r="A172" s="11" t="s">
        <v>2418</v>
      </c>
    </row>
    <row r="174">
      <c r="A174" s="11" t="s">
        <v>2419</v>
      </c>
    </row>
    <row r="176">
      <c r="A176" s="11" t="s">
        <v>2420</v>
      </c>
    </row>
    <row r="178">
      <c r="A178" s="11" t="s">
        <v>2282</v>
      </c>
    </row>
    <row r="180">
      <c r="A180" s="363" t="s">
        <v>1822</v>
      </c>
      <c r="B180" s="363" t="s">
        <v>2283</v>
      </c>
      <c r="C180" s="363" t="s">
        <v>2284</v>
      </c>
      <c r="D180" s="363" t="s">
        <v>2285</v>
      </c>
      <c r="E180" s="363" t="s">
        <v>2286</v>
      </c>
      <c r="F180" s="363" t="s">
        <v>2287</v>
      </c>
      <c r="G180" s="363" t="s">
        <v>2307</v>
      </c>
      <c r="H180" s="364"/>
      <c r="I180" s="364"/>
      <c r="J180" s="364"/>
      <c r="K180" s="364"/>
      <c r="L180" s="364"/>
      <c r="M180" s="364"/>
      <c r="N180" s="364"/>
      <c r="O180" s="364"/>
      <c r="P180" s="364"/>
      <c r="Q180" s="364"/>
      <c r="R180" s="364"/>
      <c r="S180" s="364"/>
      <c r="T180" s="364"/>
      <c r="U180" s="364"/>
      <c r="V180" s="364"/>
      <c r="W180" s="364"/>
      <c r="X180" s="364"/>
      <c r="Y180" s="364"/>
      <c r="Z180" s="364"/>
    </row>
    <row r="181">
      <c r="A181" s="365">
        <v>1.0</v>
      </c>
      <c r="B181" s="365" t="s">
        <v>2289</v>
      </c>
      <c r="C181" s="365" t="s">
        <v>2421</v>
      </c>
      <c r="D181" s="366" t="s">
        <v>2422</v>
      </c>
      <c r="E181" s="364"/>
      <c r="F181" s="364"/>
      <c r="G181" s="364"/>
      <c r="H181" s="364"/>
      <c r="I181" s="364"/>
      <c r="J181" s="364"/>
      <c r="K181" s="364"/>
      <c r="L181" s="364"/>
      <c r="M181" s="364"/>
      <c r="N181" s="364"/>
      <c r="O181" s="364"/>
      <c r="P181" s="364"/>
      <c r="Q181" s="364"/>
      <c r="R181" s="364"/>
      <c r="S181" s="364"/>
      <c r="T181" s="364"/>
      <c r="U181" s="364"/>
      <c r="V181" s="364"/>
      <c r="W181" s="364"/>
      <c r="X181" s="364"/>
      <c r="Y181" s="364"/>
      <c r="Z181" s="364"/>
    </row>
    <row r="182">
      <c r="A182" s="365">
        <v>2.0</v>
      </c>
      <c r="B182" s="365" t="s">
        <v>2294</v>
      </c>
      <c r="C182" s="365" t="s">
        <v>2423</v>
      </c>
      <c r="D182" s="366" t="s">
        <v>2424</v>
      </c>
      <c r="E182" s="364"/>
      <c r="F182" s="364"/>
      <c r="G182" s="364"/>
      <c r="H182" s="364"/>
      <c r="I182" s="364"/>
      <c r="J182" s="364"/>
      <c r="K182" s="364"/>
      <c r="L182" s="364"/>
      <c r="M182" s="364"/>
      <c r="N182" s="364"/>
      <c r="O182" s="364"/>
      <c r="P182" s="364"/>
      <c r="Q182" s="364"/>
      <c r="R182" s="364"/>
      <c r="S182" s="364"/>
      <c r="T182" s="364"/>
      <c r="U182" s="364"/>
      <c r="V182" s="364"/>
      <c r="W182" s="364"/>
      <c r="X182" s="364"/>
      <c r="Y182" s="364"/>
      <c r="Z182" s="364"/>
    </row>
    <row r="183">
      <c r="A183" s="365">
        <v>3.0</v>
      </c>
      <c r="B183" s="365" t="s">
        <v>2289</v>
      </c>
      <c r="C183" s="365" t="s">
        <v>2425</v>
      </c>
      <c r="D183" s="366" t="s">
        <v>2426</v>
      </c>
      <c r="E183" s="364"/>
      <c r="F183" s="364"/>
      <c r="G183" s="364"/>
      <c r="H183" s="364"/>
      <c r="I183" s="364"/>
      <c r="J183" s="364"/>
      <c r="K183" s="364"/>
      <c r="L183" s="364"/>
      <c r="M183" s="364"/>
      <c r="N183" s="364"/>
      <c r="O183" s="364"/>
      <c r="P183" s="364"/>
      <c r="Q183" s="364"/>
      <c r="R183" s="364"/>
      <c r="S183" s="364"/>
      <c r="T183" s="364"/>
      <c r="U183" s="364"/>
      <c r="V183" s="364"/>
      <c r="W183" s="364"/>
      <c r="X183" s="364"/>
      <c r="Y183" s="364"/>
      <c r="Z183" s="364"/>
    </row>
    <row r="184">
      <c r="A184" s="365">
        <v>4.0</v>
      </c>
      <c r="B184" s="365" t="s">
        <v>2289</v>
      </c>
      <c r="C184" s="365" t="s">
        <v>2427</v>
      </c>
      <c r="D184" s="366" t="s">
        <v>2428</v>
      </c>
      <c r="E184" s="364"/>
      <c r="F184" s="364"/>
      <c r="G184" s="364"/>
      <c r="H184" s="364"/>
      <c r="I184" s="364"/>
      <c r="J184" s="364"/>
      <c r="K184" s="364"/>
      <c r="L184" s="364"/>
      <c r="M184" s="364"/>
      <c r="N184" s="364"/>
      <c r="O184" s="364"/>
      <c r="P184" s="364"/>
      <c r="Q184" s="364"/>
      <c r="R184" s="364"/>
      <c r="S184" s="364"/>
      <c r="T184" s="364"/>
      <c r="U184" s="364"/>
      <c r="V184" s="364"/>
      <c r="W184" s="364"/>
      <c r="X184" s="364"/>
      <c r="Y184" s="364"/>
      <c r="Z184" s="364"/>
    </row>
    <row r="185">
      <c r="A185" s="365">
        <v>5.0</v>
      </c>
      <c r="B185" s="365" t="s">
        <v>2294</v>
      </c>
      <c r="C185" s="365" t="s">
        <v>2429</v>
      </c>
      <c r="D185" s="366" t="s">
        <v>2430</v>
      </c>
      <c r="E185" s="364"/>
      <c r="F185" s="364"/>
      <c r="G185" s="364"/>
      <c r="H185" s="364"/>
      <c r="I185" s="364"/>
      <c r="J185" s="364"/>
      <c r="K185" s="364"/>
      <c r="L185" s="364"/>
      <c r="M185" s="364"/>
      <c r="N185" s="364"/>
      <c r="O185" s="364"/>
      <c r="P185" s="364"/>
      <c r="Q185" s="364"/>
      <c r="R185" s="364"/>
      <c r="S185" s="364"/>
      <c r="T185" s="364"/>
      <c r="U185" s="364"/>
      <c r="V185" s="364"/>
      <c r="W185" s="364"/>
      <c r="X185" s="364"/>
      <c r="Y185" s="364"/>
      <c r="Z185" s="364"/>
    </row>
    <row r="186">
      <c r="A186" s="365">
        <v>6.0</v>
      </c>
      <c r="B186" s="365" t="s">
        <v>2289</v>
      </c>
      <c r="C186" s="365" t="s">
        <v>2431</v>
      </c>
      <c r="D186" s="366" t="s">
        <v>2432</v>
      </c>
      <c r="E186" s="364"/>
      <c r="F186" s="364"/>
      <c r="G186" s="364"/>
      <c r="H186" s="364"/>
      <c r="I186" s="364"/>
      <c r="J186" s="364"/>
      <c r="K186" s="364"/>
      <c r="L186" s="364"/>
      <c r="M186" s="364"/>
      <c r="N186" s="364"/>
      <c r="O186" s="364"/>
      <c r="P186" s="364"/>
      <c r="Q186" s="364"/>
      <c r="R186" s="364"/>
      <c r="S186" s="364"/>
      <c r="T186" s="364"/>
      <c r="U186" s="364"/>
      <c r="V186" s="364"/>
      <c r="W186" s="364"/>
      <c r="X186" s="364"/>
      <c r="Y186" s="364"/>
      <c r="Z186" s="364"/>
    </row>
    <row r="187">
      <c r="A187" s="11" t="s">
        <v>2433</v>
      </c>
    </row>
    <row r="190">
      <c r="A190" s="11" t="s">
        <v>2434</v>
      </c>
    </row>
    <row r="192">
      <c r="A192" s="11" t="s">
        <v>2435</v>
      </c>
    </row>
    <row r="194">
      <c r="A194" s="11" t="s">
        <v>2436</v>
      </c>
    </row>
    <row r="196">
      <c r="A196" s="11" t="s">
        <v>2437</v>
      </c>
    </row>
    <row r="198">
      <c r="A198" s="11" t="s">
        <v>2282</v>
      </c>
    </row>
    <row r="200">
      <c r="A200" s="363" t="s">
        <v>1822</v>
      </c>
      <c r="B200" s="363" t="s">
        <v>2283</v>
      </c>
      <c r="C200" s="363" t="s">
        <v>2284</v>
      </c>
      <c r="D200" s="363" t="s">
        <v>2285</v>
      </c>
      <c r="E200" s="363" t="s">
        <v>2286</v>
      </c>
      <c r="F200" s="363" t="s">
        <v>2287</v>
      </c>
      <c r="G200" s="363" t="s">
        <v>2307</v>
      </c>
      <c r="H200" s="364"/>
      <c r="I200" s="364"/>
      <c r="J200" s="364"/>
      <c r="K200" s="364"/>
      <c r="L200" s="364"/>
      <c r="M200" s="364"/>
      <c r="N200" s="364"/>
      <c r="O200" s="364"/>
      <c r="P200" s="364"/>
      <c r="Q200" s="364"/>
      <c r="R200" s="364"/>
      <c r="S200" s="364"/>
      <c r="T200" s="364"/>
      <c r="U200" s="364"/>
      <c r="V200" s="364"/>
      <c r="W200" s="364"/>
      <c r="X200" s="364"/>
      <c r="Y200" s="364"/>
      <c r="Z200" s="364"/>
    </row>
    <row r="201">
      <c r="A201" s="365">
        <v>1.0</v>
      </c>
      <c r="B201" s="365" t="s">
        <v>2289</v>
      </c>
      <c r="C201" s="365" t="s">
        <v>2438</v>
      </c>
      <c r="D201" s="366" t="s">
        <v>2439</v>
      </c>
      <c r="E201" s="364"/>
      <c r="F201" s="364"/>
      <c r="G201" s="364"/>
      <c r="H201" s="364"/>
      <c r="I201" s="364"/>
      <c r="J201" s="364"/>
      <c r="K201" s="364"/>
      <c r="L201" s="364"/>
      <c r="M201" s="364"/>
      <c r="N201" s="364"/>
      <c r="O201" s="364"/>
      <c r="P201" s="364"/>
      <c r="Q201" s="364"/>
      <c r="R201" s="364"/>
      <c r="S201" s="364"/>
      <c r="T201" s="364"/>
      <c r="U201" s="364"/>
      <c r="V201" s="364"/>
      <c r="W201" s="364"/>
      <c r="X201" s="364"/>
      <c r="Y201" s="364"/>
      <c r="Z201" s="364"/>
    </row>
    <row r="202">
      <c r="A202" s="365">
        <v>2.0</v>
      </c>
      <c r="B202" s="365" t="s">
        <v>2294</v>
      </c>
      <c r="C202" s="365" t="s">
        <v>2440</v>
      </c>
      <c r="D202" s="366" t="s">
        <v>2441</v>
      </c>
      <c r="E202" s="364"/>
      <c r="F202" s="364"/>
      <c r="G202" s="364"/>
      <c r="H202" s="364"/>
      <c r="I202" s="364"/>
      <c r="J202" s="364"/>
      <c r="K202" s="364"/>
      <c r="L202" s="364"/>
      <c r="M202" s="364"/>
      <c r="N202" s="364"/>
      <c r="O202" s="364"/>
      <c r="P202" s="364"/>
      <c r="Q202" s="364"/>
      <c r="R202" s="364"/>
      <c r="S202" s="364"/>
      <c r="T202" s="364"/>
      <c r="U202" s="364"/>
      <c r="V202" s="364"/>
      <c r="W202" s="364"/>
      <c r="X202" s="364"/>
      <c r="Y202" s="364"/>
      <c r="Z202" s="364"/>
    </row>
    <row r="203">
      <c r="A203" s="365">
        <v>3.0</v>
      </c>
      <c r="B203" s="365" t="s">
        <v>2289</v>
      </c>
      <c r="C203" s="365" t="s">
        <v>2442</v>
      </c>
      <c r="D203" s="366" t="s">
        <v>2443</v>
      </c>
      <c r="E203" s="364"/>
      <c r="F203" s="364"/>
      <c r="G203" s="364"/>
      <c r="H203" s="364"/>
      <c r="I203" s="364"/>
      <c r="J203" s="364"/>
      <c r="K203" s="364"/>
      <c r="L203" s="364"/>
      <c r="M203" s="364"/>
      <c r="N203" s="364"/>
      <c r="O203" s="364"/>
      <c r="P203" s="364"/>
      <c r="Q203" s="364"/>
      <c r="R203" s="364"/>
      <c r="S203" s="364"/>
      <c r="T203" s="364"/>
      <c r="U203" s="364"/>
      <c r="V203" s="364"/>
      <c r="W203" s="364"/>
      <c r="X203" s="364"/>
      <c r="Y203" s="364"/>
      <c r="Z203" s="364"/>
    </row>
    <row r="204">
      <c r="A204" s="365">
        <v>4.0</v>
      </c>
      <c r="B204" s="365" t="s">
        <v>2294</v>
      </c>
      <c r="C204" s="365" t="s">
        <v>2444</v>
      </c>
      <c r="D204" s="366" t="s">
        <v>2445</v>
      </c>
      <c r="E204" s="364"/>
      <c r="F204" s="364"/>
      <c r="G204" s="364"/>
      <c r="H204" s="364"/>
      <c r="I204" s="364"/>
      <c r="J204" s="364"/>
      <c r="K204" s="364"/>
      <c r="L204" s="364"/>
      <c r="M204" s="364"/>
      <c r="N204" s="364"/>
      <c r="O204" s="364"/>
      <c r="P204" s="364"/>
      <c r="Q204" s="364"/>
      <c r="R204" s="364"/>
      <c r="S204" s="364"/>
      <c r="T204" s="364"/>
      <c r="U204" s="364"/>
      <c r="V204" s="364"/>
      <c r="W204" s="364"/>
      <c r="X204" s="364"/>
      <c r="Y204" s="364"/>
      <c r="Z204" s="364"/>
    </row>
    <row r="205">
      <c r="A205" s="365">
        <v>5.0</v>
      </c>
      <c r="B205" s="365" t="s">
        <v>2289</v>
      </c>
      <c r="C205" s="365" t="s">
        <v>2446</v>
      </c>
      <c r="D205" s="366" t="s">
        <v>2447</v>
      </c>
      <c r="E205" s="364"/>
      <c r="F205" s="364"/>
      <c r="G205" s="364"/>
      <c r="H205" s="364"/>
      <c r="I205" s="364"/>
      <c r="J205" s="364"/>
      <c r="K205" s="364"/>
      <c r="L205" s="364"/>
      <c r="M205" s="364"/>
      <c r="N205" s="364"/>
      <c r="O205" s="364"/>
      <c r="P205" s="364"/>
      <c r="Q205" s="364"/>
      <c r="R205" s="364"/>
      <c r="S205" s="364"/>
      <c r="T205" s="364"/>
      <c r="U205" s="364"/>
      <c r="V205" s="364"/>
      <c r="W205" s="364"/>
      <c r="X205" s="364"/>
      <c r="Y205" s="364"/>
      <c r="Z205" s="364"/>
    </row>
    <row r="206">
      <c r="A206" s="365">
        <v>6.0</v>
      </c>
      <c r="B206" s="365" t="s">
        <v>2289</v>
      </c>
      <c r="C206" s="365" t="s">
        <v>2448</v>
      </c>
      <c r="D206" s="366" t="s">
        <v>2449</v>
      </c>
      <c r="E206" s="364"/>
      <c r="F206" s="364"/>
      <c r="G206" s="364"/>
      <c r="H206" s="364"/>
      <c r="I206" s="364"/>
      <c r="J206" s="364"/>
      <c r="K206" s="364"/>
      <c r="L206" s="364"/>
      <c r="M206" s="364"/>
      <c r="N206" s="364"/>
      <c r="O206" s="364"/>
      <c r="P206" s="364"/>
      <c r="Q206" s="364"/>
      <c r="R206" s="364"/>
      <c r="S206" s="364"/>
      <c r="T206" s="364"/>
      <c r="U206" s="364"/>
      <c r="V206" s="364"/>
      <c r="W206" s="364"/>
      <c r="X206" s="364"/>
      <c r="Y206" s="364"/>
      <c r="Z206" s="364"/>
    </row>
    <row r="210">
      <c r="A210" s="361" t="s">
        <v>2450</v>
      </c>
    </row>
    <row r="211">
      <c r="A211" s="362"/>
    </row>
    <row r="212">
      <c r="A212" s="11" t="s">
        <v>2451</v>
      </c>
    </row>
    <row r="214">
      <c r="A214" s="11" t="s">
        <v>2452</v>
      </c>
    </row>
    <row r="216">
      <c r="A216" s="11" t="s">
        <v>2453</v>
      </c>
    </row>
    <row r="218">
      <c r="A218" s="11" t="s">
        <v>2454</v>
      </c>
    </row>
    <row r="220">
      <c r="A220" s="11" t="s">
        <v>2282</v>
      </c>
    </row>
    <row r="222">
      <c r="A222" s="363" t="s">
        <v>1822</v>
      </c>
      <c r="B222" s="363" t="s">
        <v>2283</v>
      </c>
      <c r="C222" s="363" t="s">
        <v>2284</v>
      </c>
      <c r="D222" s="363" t="s">
        <v>2285</v>
      </c>
      <c r="E222" s="363" t="s">
        <v>2286</v>
      </c>
      <c r="F222" s="363" t="s">
        <v>2287</v>
      </c>
      <c r="G222" s="363" t="s">
        <v>2307</v>
      </c>
      <c r="H222" s="364"/>
      <c r="I222" s="364"/>
      <c r="J222" s="364"/>
      <c r="K222" s="364"/>
      <c r="L222" s="364"/>
      <c r="M222" s="364"/>
      <c r="N222" s="364"/>
      <c r="O222" s="364"/>
      <c r="P222" s="364"/>
      <c r="Q222" s="364"/>
      <c r="R222" s="364"/>
      <c r="S222" s="364"/>
      <c r="T222" s="364"/>
      <c r="U222" s="364"/>
      <c r="V222" s="364"/>
      <c r="W222" s="364"/>
      <c r="X222" s="364"/>
      <c r="Y222" s="364"/>
      <c r="Z222" s="364"/>
    </row>
    <row r="223">
      <c r="A223" s="365">
        <v>1.0</v>
      </c>
      <c r="B223" s="365" t="s">
        <v>2289</v>
      </c>
      <c r="C223" s="365" t="s">
        <v>2455</v>
      </c>
      <c r="D223" s="366" t="s">
        <v>2456</v>
      </c>
      <c r="E223" s="364"/>
      <c r="F223" s="364"/>
      <c r="G223" s="364"/>
      <c r="H223" s="364"/>
      <c r="I223" s="364"/>
      <c r="J223" s="364"/>
      <c r="K223" s="364"/>
      <c r="L223" s="364"/>
      <c r="M223" s="364"/>
      <c r="N223" s="364"/>
      <c r="O223" s="364"/>
      <c r="P223" s="364"/>
      <c r="Q223" s="364"/>
      <c r="R223" s="364"/>
      <c r="S223" s="364"/>
      <c r="T223" s="364"/>
      <c r="U223" s="364"/>
      <c r="V223" s="364"/>
      <c r="W223" s="364"/>
      <c r="X223" s="364"/>
      <c r="Y223" s="364"/>
      <c r="Z223" s="364"/>
    </row>
    <row r="224">
      <c r="A224" s="365">
        <v>2.0</v>
      </c>
      <c r="B224" s="365" t="s">
        <v>2289</v>
      </c>
      <c r="C224" s="365" t="s">
        <v>2457</v>
      </c>
      <c r="D224" s="366" t="s">
        <v>2458</v>
      </c>
      <c r="E224" s="364"/>
      <c r="F224" s="364"/>
      <c r="G224" s="364"/>
      <c r="H224" s="364"/>
      <c r="I224" s="364"/>
      <c r="J224" s="364"/>
      <c r="K224" s="364"/>
      <c r="L224" s="364"/>
      <c r="M224" s="364"/>
      <c r="N224" s="364"/>
      <c r="O224" s="364"/>
      <c r="P224" s="364"/>
      <c r="Q224" s="364"/>
      <c r="R224" s="364"/>
      <c r="S224" s="364"/>
      <c r="T224" s="364"/>
      <c r="U224" s="364"/>
      <c r="V224" s="364"/>
      <c r="W224" s="364"/>
      <c r="X224" s="364"/>
      <c r="Y224" s="364"/>
      <c r="Z224" s="364"/>
    </row>
    <row r="225">
      <c r="A225" s="365">
        <v>3.0</v>
      </c>
      <c r="B225" s="365" t="s">
        <v>2294</v>
      </c>
      <c r="C225" s="365" t="s">
        <v>2459</v>
      </c>
      <c r="D225" s="366" t="s">
        <v>2460</v>
      </c>
      <c r="E225" s="364"/>
      <c r="G225" s="364"/>
      <c r="H225" s="364"/>
      <c r="I225" s="364"/>
      <c r="J225" s="364"/>
      <c r="K225" s="364"/>
      <c r="L225" s="364"/>
      <c r="M225" s="364"/>
      <c r="N225" s="364"/>
      <c r="O225" s="364"/>
      <c r="P225" s="364"/>
      <c r="Q225" s="364"/>
      <c r="R225" s="364"/>
      <c r="S225" s="364"/>
      <c r="T225" s="364"/>
      <c r="U225" s="364"/>
      <c r="V225" s="364"/>
      <c r="W225" s="364"/>
      <c r="X225" s="364"/>
      <c r="Y225" s="364"/>
      <c r="Z225" s="364"/>
    </row>
    <row r="226">
      <c r="A226" s="365">
        <v>4.0</v>
      </c>
      <c r="B226" s="365" t="s">
        <v>2289</v>
      </c>
      <c r="C226" s="365" t="s">
        <v>2461</v>
      </c>
      <c r="D226" s="365" t="s">
        <v>2462</v>
      </c>
      <c r="F226" s="364"/>
      <c r="G226" s="364"/>
      <c r="H226" s="364"/>
      <c r="I226" s="364"/>
      <c r="J226" s="364"/>
      <c r="K226" s="364"/>
      <c r="L226" s="364"/>
      <c r="M226" s="364"/>
      <c r="N226" s="364"/>
      <c r="O226" s="364"/>
      <c r="P226" s="364"/>
      <c r="Q226" s="364"/>
      <c r="R226" s="364"/>
      <c r="S226" s="364"/>
      <c r="T226" s="364"/>
      <c r="U226" s="364"/>
      <c r="V226" s="364"/>
      <c r="W226" s="364"/>
      <c r="X226" s="364"/>
      <c r="Y226" s="364"/>
      <c r="Z226" s="364"/>
    </row>
    <row r="227">
      <c r="A227" s="365">
        <v>5.0</v>
      </c>
      <c r="B227" s="365" t="s">
        <v>2294</v>
      </c>
      <c r="C227" s="365" t="s">
        <v>2463</v>
      </c>
      <c r="D227" s="366" t="s">
        <v>2464</v>
      </c>
      <c r="E227" s="364"/>
      <c r="F227" s="364"/>
      <c r="G227" s="364"/>
      <c r="H227" s="364"/>
      <c r="I227" s="364"/>
      <c r="J227" s="364"/>
      <c r="K227" s="364"/>
      <c r="L227" s="364"/>
      <c r="M227" s="364"/>
      <c r="N227" s="364"/>
      <c r="O227" s="364"/>
      <c r="P227" s="364"/>
      <c r="Q227" s="364"/>
      <c r="R227" s="364"/>
      <c r="S227" s="364"/>
      <c r="T227" s="364"/>
      <c r="U227" s="364"/>
      <c r="V227" s="364"/>
      <c r="W227" s="364"/>
      <c r="X227" s="364"/>
      <c r="Y227" s="364"/>
      <c r="Z227" s="364"/>
    </row>
    <row r="228">
      <c r="A228" s="11" t="s">
        <v>2433</v>
      </c>
    </row>
    <row r="231">
      <c r="A231" s="11" t="s">
        <v>2465</v>
      </c>
    </row>
    <row r="233">
      <c r="A233" s="11" t="s">
        <v>2466</v>
      </c>
    </row>
    <row r="235">
      <c r="A235" s="11" t="s">
        <v>2467</v>
      </c>
    </row>
    <row r="237">
      <c r="A237" s="11" t="s">
        <v>2468</v>
      </c>
    </row>
    <row r="239">
      <c r="A239" s="11" t="s">
        <v>2282</v>
      </c>
    </row>
    <row r="241">
      <c r="A241" s="363" t="s">
        <v>1822</v>
      </c>
      <c r="B241" s="363" t="s">
        <v>2283</v>
      </c>
      <c r="C241" s="363" t="s">
        <v>2284</v>
      </c>
      <c r="D241" s="363" t="s">
        <v>2285</v>
      </c>
      <c r="E241" s="363" t="s">
        <v>2286</v>
      </c>
      <c r="F241" s="363" t="s">
        <v>2287</v>
      </c>
      <c r="G241" s="363" t="s">
        <v>2307</v>
      </c>
      <c r="H241" s="364"/>
      <c r="I241" s="364"/>
      <c r="J241" s="364"/>
      <c r="K241" s="364"/>
      <c r="L241" s="364"/>
      <c r="M241" s="364"/>
      <c r="N241" s="364"/>
      <c r="O241" s="364"/>
      <c r="P241" s="364"/>
      <c r="Q241" s="364"/>
      <c r="R241" s="364"/>
      <c r="S241" s="364"/>
      <c r="T241" s="364"/>
      <c r="U241" s="364"/>
      <c r="V241" s="364"/>
      <c r="W241" s="364"/>
      <c r="X241" s="364"/>
      <c r="Y241" s="364"/>
      <c r="Z241" s="364"/>
    </row>
    <row r="242">
      <c r="A242" s="365">
        <v>1.0</v>
      </c>
      <c r="B242" s="365" t="s">
        <v>2289</v>
      </c>
      <c r="C242" s="365" t="s">
        <v>2469</v>
      </c>
      <c r="D242" s="366" t="s">
        <v>2470</v>
      </c>
      <c r="E242" s="364"/>
      <c r="F242" s="364"/>
      <c r="G242" s="364"/>
      <c r="H242" s="364"/>
      <c r="I242" s="364"/>
      <c r="J242" s="364"/>
      <c r="K242" s="364"/>
      <c r="L242" s="364"/>
      <c r="M242" s="364"/>
      <c r="N242" s="364"/>
      <c r="O242" s="364"/>
      <c r="P242" s="364"/>
      <c r="Q242" s="364"/>
      <c r="R242" s="364"/>
      <c r="S242" s="364"/>
      <c r="T242" s="364"/>
      <c r="U242" s="364"/>
      <c r="V242" s="364"/>
      <c r="W242" s="364"/>
      <c r="X242" s="364"/>
      <c r="Y242" s="364"/>
      <c r="Z242" s="364"/>
    </row>
    <row r="243">
      <c r="A243" s="365">
        <v>2.0</v>
      </c>
      <c r="B243" s="365" t="s">
        <v>2289</v>
      </c>
      <c r="C243" s="365" t="s">
        <v>2471</v>
      </c>
      <c r="D243" s="366" t="s">
        <v>2472</v>
      </c>
      <c r="E243" s="364"/>
      <c r="F243" s="364"/>
      <c r="G243" s="364"/>
      <c r="H243" s="364"/>
      <c r="I243" s="364"/>
      <c r="J243" s="364"/>
      <c r="K243" s="364"/>
      <c r="L243" s="364"/>
      <c r="M243" s="364"/>
      <c r="N243" s="364"/>
      <c r="O243" s="364"/>
      <c r="P243" s="364"/>
      <c r="Q243" s="364"/>
      <c r="R243" s="364"/>
      <c r="S243" s="364"/>
      <c r="T243" s="364"/>
      <c r="U243" s="364"/>
      <c r="V243" s="364"/>
      <c r="W243" s="364"/>
      <c r="X243" s="364"/>
      <c r="Y243" s="364"/>
      <c r="Z243" s="364"/>
    </row>
    <row r="244">
      <c r="A244" s="365">
        <v>3.0</v>
      </c>
      <c r="B244" s="365" t="s">
        <v>2294</v>
      </c>
      <c r="C244" s="365" t="s">
        <v>2473</v>
      </c>
      <c r="D244" s="366" t="s">
        <v>2474</v>
      </c>
      <c r="E244" s="364"/>
      <c r="G244" s="364"/>
      <c r="H244" s="364"/>
      <c r="I244" s="364"/>
      <c r="J244" s="364"/>
      <c r="K244" s="364"/>
      <c r="L244" s="364"/>
      <c r="M244" s="364"/>
      <c r="N244" s="364"/>
      <c r="O244" s="364"/>
      <c r="P244" s="364"/>
      <c r="Q244" s="364"/>
      <c r="R244" s="364"/>
      <c r="S244" s="364"/>
      <c r="T244" s="364"/>
      <c r="U244" s="364"/>
      <c r="V244" s="364"/>
      <c r="W244" s="364"/>
      <c r="X244" s="364"/>
      <c r="Y244" s="364"/>
      <c r="Z244" s="364"/>
    </row>
    <row r="245">
      <c r="A245" s="365">
        <v>4.0</v>
      </c>
      <c r="B245" s="365" t="s">
        <v>2289</v>
      </c>
      <c r="C245" s="365" t="s">
        <v>2475</v>
      </c>
      <c r="D245" s="366" t="s">
        <v>2476</v>
      </c>
      <c r="E245" s="364"/>
      <c r="F245" s="364"/>
      <c r="G245" s="364"/>
      <c r="H245" s="364"/>
      <c r="I245" s="364"/>
      <c r="J245" s="364"/>
      <c r="K245" s="364"/>
      <c r="L245" s="364"/>
      <c r="M245" s="364"/>
      <c r="N245" s="364"/>
      <c r="O245" s="364"/>
      <c r="P245" s="364"/>
      <c r="Q245" s="364"/>
      <c r="R245" s="364"/>
      <c r="S245" s="364"/>
      <c r="T245" s="364"/>
      <c r="U245" s="364"/>
      <c r="V245" s="364"/>
      <c r="W245" s="364"/>
      <c r="X245" s="364"/>
      <c r="Y245" s="364"/>
      <c r="Z245" s="364"/>
    </row>
    <row r="246">
      <c r="A246" s="365">
        <v>5.0</v>
      </c>
      <c r="B246" s="365" t="s">
        <v>2294</v>
      </c>
      <c r="C246" s="365" t="s">
        <v>2477</v>
      </c>
      <c r="D246" s="366" t="s">
        <v>2478</v>
      </c>
      <c r="E246" s="364"/>
      <c r="F246" s="364"/>
      <c r="G246" s="364"/>
      <c r="H246" s="364"/>
      <c r="I246" s="364"/>
      <c r="J246" s="364"/>
      <c r="K246" s="364"/>
      <c r="L246" s="364"/>
      <c r="M246" s="364"/>
      <c r="N246" s="364"/>
      <c r="O246" s="364"/>
      <c r="P246" s="364"/>
      <c r="Q246" s="364"/>
      <c r="R246" s="364"/>
      <c r="S246" s="364"/>
      <c r="T246" s="364"/>
      <c r="U246" s="364"/>
      <c r="V246" s="364"/>
      <c r="W246" s="364"/>
      <c r="X246" s="364"/>
      <c r="Y246" s="364"/>
      <c r="Z246" s="364"/>
    </row>
    <row r="250">
      <c r="A250" s="11" t="s">
        <v>2479</v>
      </c>
    </row>
    <row r="252">
      <c r="A252" s="11" t="s">
        <v>2480</v>
      </c>
    </row>
    <row r="254">
      <c r="A254" s="11" t="s">
        <v>2481</v>
      </c>
    </row>
    <row r="256">
      <c r="A256" s="11" t="s">
        <v>2482</v>
      </c>
    </row>
    <row r="258">
      <c r="A258" s="11" t="s">
        <v>2282</v>
      </c>
    </row>
    <row r="260">
      <c r="A260" s="363" t="s">
        <v>1822</v>
      </c>
      <c r="B260" s="363" t="s">
        <v>2283</v>
      </c>
      <c r="C260" s="363" t="s">
        <v>2284</v>
      </c>
      <c r="D260" s="363" t="s">
        <v>2285</v>
      </c>
      <c r="E260" s="363" t="s">
        <v>2286</v>
      </c>
      <c r="F260" s="363" t="s">
        <v>2287</v>
      </c>
      <c r="G260" s="363" t="s">
        <v>2307</v>
      </c>
      <c r="H260" s="364"/>
      <c r="I260" s="364"/>
      <c r="J260" s="364"/>
      <c r="K260" s="364"/>
      <c r="L260" s="364"/>
      <c r="M260" s="364"/>
      <c r="N260" s="364"/>
      <c r="O260" s="364"/>
      <c r="P260" s="364"/>
      <c r="Q260" s="364"/>
      <c r="R260" s="364"/>
      <c r="S260" s="364"/>
      <c r="T260" s="364"/>
      <c r="U260" s="364"/>
      <c r="V260" s="364"/>
      <c r="W260" s="364"/>
      <c r="X260" s="364"/>
      <c r="Y260" s="364"/>
      <c r="Z260" s="364"/>
    </row>
    <row r="261">
      <c r="A261" s="365">
        <v>1.0</v>
      </c>
      <c r="B261" s="365" t="s">
        <v>2289</v>
      </c>
      <c r="C261" s="365" t="s">
        <v>2483</v>
      </c>
      <c r="D261" s="366" t="s">
        <v>2484</v>
      </c>
      <c r="E261" s="364"/>
      <c r="F261" s="364"/>
      <c r="G261" s="364"/>
      <c r="H261" s="364"/>
      <c r="I261" s="364"/>
      <c r="J261" s="364"/>
      <c r="K261" s="364"/>
      <c r="L261" s="364"/>
      <c r="M261" s="364"/>
      <c r="N261" s="364"/>
      <c r="O261" s="364"/>
      <c r="P261" s="364"/>
      <c r="Q261" s="364"/>
      <c r="R261" s="364"/>
      <c r="S261" s="364"/>
      <c r="T261" s="364"/>
      <c r="U261" s="364"/>
      <c r="V261" s="364"/>
      <c r="W261" s="364"/>
      <c r="X261" s="364"/>
      <c r="Y261" s="364"/>
      <c r="Z261" s="364"/>
    </row>
    <row r="262">
      <c r="A262" s="365">
        <v>2.0</v>
      </c>
      <c r="B262" s="365" t="s">
        <v>2289</v>
      </c>
      <c r="C262" s="365" t="s">
        <v>2485</v>
      </c>
      <c r="D262" s="366" t="s">
        <v>2486</v>
      </c>
      <c r="E262" s="364"/>
      <c r="F262" s="364"/>
      <c r="G262" s="364"/>
      <c r="H262" s="364"/>
      <c r="I262" s="364"/>
      <c r="J262" s="364"/>
      <c r="K262" s="364"/>
      <c r="L262" s="364"/>
      <c r="M262" s="364"/>
      <c r="N262" s="364"/>
      <c r="O262" s="364"/>
      <c r="P262" s="364"/>
      <c r="Q262" s="364"/>
      <c r="R262" s="364"/>
      <c r="S262" s="364"/>
      <c r="T262" s="364"/>
      <c r="U262" s="364"/>
      <c r="V262" s="364"/>
      <c r="W262" s="364"/>
      <c r="X262" s="364"/>
      <c r="Y262" s="364"/>
      <c r="Z262" s="364"/>
    </row>
    <row r="263">
      <c r="A263" s="365">
        <v>3.0</v>
      </c>
      <c r="B263" s="365" t="s">
        <v>2294</v>
      </c>
      <c r="C263" s="365" t="s">
        <v>2487</v>
      </c>
      <c r="D263" s="366" t="s">
        <v>2488</v>
      </c>
      <c r="E263" s="364"/>
      <c r="G263" s="364"/>
      <c r="H263" s="364"/>
      <c r="I263" s="364"/>
      <c r="J263" s="364"/>
      <c r="K263" s="364"/>
      <c r="L263" s="364"/>
      <c r="M263" s="364"/>
      <c r="N263" s="364"/>
      <c r="O263" s="364"/>
      <c r="P263" s="364"/>
      <c r="Q263" s="364"/>
      <c r="R263" s="364"/>
      <c r="S263" s="364"/>
      <c r="T263" s="364"/>
      <c r="U263" s="364"/>
      <c r="V263" s="364"/>
      <c r="W263" s="364"/>
      <c r="X263" s="364"/>
      <c r="Y263" s="364"/>
      <c r="Z263" s="364"/>
    </row>
    <row r="264">
      <c r="A264" s="365">
        <v>4.0</v>
      </c>
      <c r="B264" s="365" t="s">
        <v>2289</v>
      </c>
      <c r="C264" s="365" t="s">
        <v>2489</v>
      </c>
      <c r="D264" s="366" t="s">
        <v>2490</v>
      </c>
      <c r="E264" s="364"/>
      <c r="F264" s="364"/>
      <c r="G264" s="364"/>
      <c r="H264" s="364"/>
      <c r="I264" s="364"/>
      <c r="J264" s="364"/>
      <c r="K264" s="364"/>
      <c r="L264" s="364"/>
      <c r="M264" s="364"/>
      <c r="N264" s="364"/>
      <c r="O264" s="364"/>
      <c r="P264" s="364"/>
      <c r="Q264" s="364"/>
      <c r="R264" s="364"/>
      <c r="S264" s="364"/>
      <c r="T264" s="364"/>
      <c r="U264" s="364"/>
      <c r="V264" s="364"/>
      <c r="W264" s="364"/>
      <c r="X264" s="364"/>
      <c r="Y264" s="364"/>
      <c r="Z264" s="364"/>
    </row>
    <row r="265">
      <c r="A265" s="365">
        <v>5.0</v>
      </c>
      <c r="B265" s="365" t="s">
        <v>2294</v>
      </c>
      <c r="C265" s="365" t="s">
        <v>2491</v>
      </c>
      <c r="D265" s="366" t="s">
        <v>2492</v>
      </c>
      <c r="E265" s="364"/>
      <c r="F265" s="364"/>
      <c r="G265" s="364"/>
      <c r="H265" s="364"/>
      <c r="I265" s="364"/>
      <c r="J265" s="364"/>
      <c r="K265" s="364"/>
      <c r="L265" s="364"/>
      <c r="M265" s="364"/>
      <c r="N265" s="364"/>
      <c r="O265" s="364"/>
      <c r="P265" s="364"/>
      <c r="Q265" s="364"/>
      <c r="R265" s="364"/>
      <c r="S265" s="364"/>
      <c r="T265" s="364"/>
      <c r="U265" s="364"/>
      <c r="V265" s="364"/>
      <c r="W265" s="364"/>
      <c r="X265" s="364"/>
      <c r="Y265" s="364"/>
      <c r="Z265" s="364"/>
    </row>
    <row r="269">
      <c r="A269" s="11" t="s">
        <v>2493</v>
      </c>
    </row>
    <row r="271">
      <c r="A271" s="11" t="s">
        <v>2494</v>
      </c>
    </row>
    <row r="273">
      <c r="A273" s="11" t="s">
        <v>2495</v>
      </c>
    </row>
    <row r="275">
      <c r="A275" s="11" t="s">
        <v>2496</v>
      </c>
    </row>
    <row r="277">
      <c r="A277" s="11" t="s">
        <v>2282</v>
      </c>
    </row>
    <row r="279">
      <c r="A279" s="363" t="s">
        <v>1822</v>
      </c>
      <c r="B279" s="363" t="s">
        <v>2283</v>
      </c>
      <c r="C279" s="363" t="s">
        <v>2284</v>
      </c>
      <c r="D279" s="363" t="s">
        <v>2285</v>
      </c>
      <c r="E279" s="363" t="s">
        <v>2286</v>
      </c>
      <c r="F279" s="363" t="s">
        <v>2287</v>
      </c>
      <c r="G279" s="363" t="s">
        <v>2307</v>
      </c>
      <c r="H279" s="364"/>
      <c r="I279" s="364"/>
      <c r="J279" s="364"/>
      <c r="K279" s="364"/>
      <c r="L279" s="364"/>
      <c r="M279" s="364"/>
      <c r="N279" s="364"/>
      <c r="O279" s="364"/>
      <c r="P279" s="364"/>
      <c r="Q279" s="364"/>
      <c r="R279" s="364"/>
      <c r="S279" s="364"/>
      <c r="T279" s="364"/>
      <c r="U279" s="364"/>
      <c r="V279" s="364"/>
      <c r="W279" s="364"/>
      <c r="X279" s="364"/>
      <c r="Y279" s="364"/>
      <c r="Z279" s="364"/>
    </row>
    <row r="280">
      <c r="A280" s="367">
        <v>1.0</v>
      </c>
      <c r="B280" s="367" t="s">
        <v>2289</v>
      </c>
      <c r="C280" s="367" t="s">
        <v>2497</v>
      </c>
      <c r="D280" s="368" t="s">
        <v>2498</v>
      </c>
      <c r="E280" s="369"/>
      <c r="F280" s="369"/>
      <c r="G280" s="369"/>
      <c r="H280" s="369"/>
      <c r="I280" s="369"/>
      <c r="J280" s="369"/>
      <c r="K280" s="369"/>
      <c r="L280" s="369"/>
      <c r="M280" s="369"/>
      <c r="N280" s="369"/>
      <c r="O280" s="369"/>
      <c r="P280" s="369"/>
      <c r="Q280" s="369"/>
      <c r="R280" s="369"/>
      <c r="S280" s="369"/>
      <c r="T280" s="369"/>
      <c r="U280" s="369"/>
      <c r="V280" s="369"/>
      <c r="W280" s="369"/>
      <c r="X280" s="369"/>
      <c r="Y280" s="369"/>
      <c r="Z280" s="369"/>
    </row>
    <row r="281">
      <c r="A281" s="367">
        <v>2.0</v>
      </c>
      <c r="B281" s="367" t="s">
        <v>2289</v>
      </c>
      <c r="C281" s="367" t="s">
        <v>2499</v>
      </c>
      <c r="D281" s="368" t="s">
        <v>2500</v>
      </c>
      <c r="E281" s="369"/>
      <c r="F281" s="369"/>
      <c r="G281" s="369"/>
      <c r="H281" s="369"/>
      <c r="I281" s="369"/>
      <c r="J281" s="369"/>
      <c r="K281" s="369"/>
      <c r="L281" s="369"/>
      <c r="M281" s="369"/>
      <c r="N281" s="369"/>
      <c r="O281" s="369"/>
      <c r="P281" s="369"/>
      <c r="Q281" s="369"/>
      <c r="R281" s="369"/>
      <c r="S281" s="369"/>
      <c r="T281" s="369"/>
      <c r="U281" s="369"/>
      <c r="V281" s="369"/>
      <c r="W281" s="369"/>
      <c r="X281" s="369"/>
      <c r="Y281" s="369"/>
      <c r="Z281" s="369"/>
    </row>
    <row r="282">
      <c r="A282" s="367">
        <v>3.0</v>
      </c>
      <c r="B282" s="367" t="s">
        <v>2294</v>
      </c>
      <c r="C282" s="367" t="s">
        <v>2501</v>
      </c>
      <c r="D282" s="368" t="s">
        <v>2502</v>
      </c>
      <c r="E282" s="369"/>
      <c r="F282" s="369"/>
      <c r="G282" s="369"/>
      <c r="H282" s="369"/>
      <c r="I282" s="369"/>
      <c r="J282" s="369"/>
      <c r="K282" s="369"/>
      <c r="L282" s="369"/>
      <c r="M282" s="369"/>
      <c r="N282" s="369"/>
      <c r="O282" s="369"/>
      <c r="P282" s="369"/>
      <c r="Q282" s="369"/>
      <c r="R282" s="369"/>
      <c r="S282" s="369"/>
      <c r="T282" s="369"/>
      <c r="U282" s="369"/>
      <c r="V282" s="369"/>
      <c r="W282" s="369"/>
      <c r="X282" s="369"/>
      <c r="Y282" s="369"/>
      <c r="Z282" s="369"/>
    </row>
    <row r="283">
      <c r="A283" s="367">
        <v>4.0</v>
      </c>
      <c r="B283" s="367" t="s">
        <v>2289</v>
      </c>
      <c r="C283" s="367" t="s">
        <v>2503</v>
      </c>
      <c r="D283" s="368" t="s">
        <v>2504</v>
      </c>
      <c r="E283" s="369"/>
      <c r="F283" s="369"/>
      <c r="G283" s="369"/>
      <c r="H283" s="369"/>
      <c r="I283" s="369"/>
      <c r="J283" s="369"/>
      <c r="K283" s="369"/>
      <c r="L283" s="369"/>
      <c r="M283" s="369"/>
      <c r="N283" s="369"/>
      <c r="O283" s="369"/>
      <c r="P283" s="369"/>
      <c r="Q283" s="369"/>
      <c r="R283" s="369"/>
      <c r="S283" s="369"/>
      <c r="T283" s="369"/>
      <c r="U283" s="369"/>
      <c r="V283" s="369"/>
      <c r="W283" s="369"/>
      <c r="X283" s="369"/>
      <c r="Y283" s="369"/>
      <c r="Z283" s="369"/>
    </row>
    <row r="284">
      <c r="A284" s="367">
        <v>5.0</v>
      </c>
      <c r="B284" s="367" t="s">
        <v>2294</v>
      </c>
      <c r="C284" s="367" t="s">
        <v>2505</v>
      </c>
      <c r="D284" s="368" t="s">
        <v>2506</v>
      </c>
      <c r="E284" s="369"/>
      <c r="F284" s="369"/>
      <c r="G284" s="369"/>
      <c r="H284" s="369"/>
      <c r="I284" s="369"/>
      <c r="J284" s="369"/>
      <c r="K284" s="369"/>
      <c r="L284" s="369"/>
      <c r="M284" s="369"/>
      <c r="N284" s="369"/>
      <c r="O284" s="369"/>
      <c r="P284" s="369"/>
      <c r="Q284" s="369"/>
      <c r="R284" s="369"/>
      <c r="S284" s="369"/>
      <c r="T284" s="369"/>
      <c r="U284" s="369"/>
      <c r="V284" s="369"/>
      <c r="W284" s="369"/>
      <c r="X284" s="369"/>
      <c r="Y284" s="369"/>
      <c r="Z284" s="369"/>
    </row>
    <row r="285">
      <c r="A285" s="367"/>
      <c r="B285" s="369"/>
      <c r="C285" s="369"/>
      <c r="D285" s="369"/>
      <c r="E285" s="369"/>
      <c r="F285" s="369"/>
      <c r="G285" s="369"/>
      <c r="H285" s="369"/>
      <c r="I285" s="369"/>
      <c r="J285" s="369"/>
      <c r="K285" s="369"/>
      <c r="L285" s="369"/>
      <c r="M285" s="369"/>
      <c r="N285" s="369"/>
      <c r="O285" s="369"/>
      <c r="P285" s="369"/>
      <c r="Q285" s="369"/>
      <c r="R285" s="369"/>
      <c r="S285" s="369"/>
      <c r="T285" s="369"/>
      <c r="U285" s="369"/>
      <c r="V285" s="369"/>
      <c r="W285" s="369"/>
      <c r="X285" s="369"/>
      <c r="Y285" s="369"/>
      <c r="Z285" s="369"/>
    </row>
    <row r="288">
      <c r="A288" s="11" t="s">
        <v>2507</v>
      </c>
    </row>
    <row r="290">
      <c r="A290" s="11" t="s">
        <v>2508</v>
      </c>
    </row>
    <row r="292">
      <c r="A292" s="11" t="s">
        <v>2509</v>
      </c>
    </row>
    <row r="294">
      <c r="A294" s="11" t="s">
        <v>2510</v>
      </c>
    </row>
    <row r="296">
      <c r="A296" s="11" t="s">
        <v>2282</v>
      </c>
    </row>
    <row r="298">
      <c r="A298" s="363" t="s">
        <v>1822</v>
      </c>
      <c r="B298" s="363" t="s">
        <v>2283</v>
      </c>
      <c r="C298" s="363" t="s">
        <v>2284</v>
      </c>
      <c r="D298" s="363" t="s">
        <v>2285</v>
      </c>
      <c r="E298" s="363" t="s">
        <v>2286</v>
      </c>
      <c r="F298" s="363" t="s">
        <v>2287</v>
      </c>
      <c r="G298" s="363" t="s">
        <v>2307</v>
      </c>
      <c r="H298" s="364"/>
      <c r="I298" s="364"/>
      <c r="J298" s="364"/>
      <c r="K298" s="364"/>
      <c r="L298" s="364"/>
      <c r="M298" s="364"/>
      <c r="N298" s="364"/>
      <c r="O298" s="364"/>
      <c r="P298" s="364"/>
      <c r="Q298" s="364"/>
      <c r="R298" s="364"/>
      <c r="S298" s="364"/>
      <c r="T298" s="364"/>
      <c r="U298" s="364"/>
      <c r="V298" s="364"/>
      <c r="W298" s="364"/>
      <c r="X298" s="364"/>
      <c r="Y298" s="364"/>
      <c r="Z298" s="364"/>
    </row>
    <row r="299">
      <c r="A299" s="367">
        <v>1.0</v>
      </c>
      <c r="B299" s="367" t="s">
        <v>2289</v>
      </c>
      <c r="C299" s="367" t="s">
        <v>2511</v>
      </c>
      <c r="D299" s="368" t="s">
        <v>2512</v>
      </c>
      <c r="E299" s="369"/>
      <c r="F299" s="369"/>
      <c r="G299" s="369"/>
      <c r="H299" s="369"/>
      <c r="I299" s="369"/>
      <c r="J299" s="369"/>
      <c r="K299" s="369"/>
      <c r="L299" s="369"/>
      <c r="M299" s="369"/>
      <c r="N299" s="369"/>
      <c r="O299" s="369"/>
      <c r="P299" s="369"/>
      <c r="Q299" s="369"/>
      <c r="R299" s="369"/>
      <c r="S299" s="369"/>
      <c r="T299" s="369"/>
      <c r="U299" s="369"/>
      <c r="V299" s="369"/>
      <c r="W299" s="369"/>
      <c r="X299" s="369"/>
      <c r="Y299" s="369"/>
      <c r="Z299" s="369"/>
    </row>
    <row r="300">
      <c r="A300" s="367">
        <v>2.0</v>
      </c>
      <c r="B300" s="367" t="s">
        <v>2289</v>
      </c>
      <c r="C300" s="367" t="s">
        <v>2513</v>
      </c>
      <c r="D300" s="368" t="s">
        <v>2514</v>
      </c>
      <c r="E300" s="369"/>
      <c r="F300" s="369"/>
      <c r="G300" s="369"/>
      <c r="H300" s="369"/>
      <c r="I300" s="369"/>
      <c r="J300" s="369"/>
      <c r="K300" s="369"/>
      <c r="L300" s="369"/>
      <c r="M300" s="369"/>
      <c r="N300" s="369"/>
      <c r="O300" s="369"/>
      <c r="P300" s="369"/>
      <c r="Q300" s="369"/>
      <c r="R300" s="369"/>
      <c r="S300" s="369"/>
      <c r="T300" s="369"/>
      <c r="U300" s="369"/>
      <c r="V300" s="369"/>
      <c r="W300" s="369"/>
      <c r="X300" s="369"/>
      <c r="Y300" s="369"/>
      <c r="Z300" s="369"/>
    </row>
    <row r="301">
      <c r="A301" s="367">
        <v>3.0</v>
      </c>
      <c r="B301" s="367" t="s">
        <v>2289</v>
      </c>
      <c r="C301" s="367" t="s">
        <v>2515</v>
      </c>
      <c r="D301" s="367" t="s">
        <v>2516</v>
      </c>
      <c r="F301" s="369"/>
      <c r="G301" s="369"/>
      <c r="H301" s="369"/>
      <c r="I301" s="369"/>
      <c r="J301" s="369"/>
      <c r="K301" s="369"/>
      <c r="L301" s="369"/>
      <c r="M301" s="369"/>
      <c r="N301" s="369"/>
      <c r="O301" s="369"/>
      <c r="P301" s="369"/>
      <c r="Q301" s="369"/>
      <c r="R301" s="369"/>
      <c r="S301" s="369"/>
      <c r="T301" s="369"/>
      <c r="U301" s="369"/>
      <c r="V301" s="369"/>
      <c r="W301" s="369"/>
      <c r="X301" s="369"/>
      <c r="Y301" s="369"/>
      <c r="Z301" s="369"/>
    </row>
    <row r="302">
      <c r="A302" s="367">
        <v>4.0</v>
      </c>
      <c r="B302" s="367" t="s">
        <v>2294</v>
      </c>
      <c r="C302" s="367" t="s">
        <v>2517</v>
      </c>
      <c r="D302" s="368" t="s">
        <v>2518</v>
      </c>
      <c r="E302" s="369"/>
      <c r="G302" s="369"/>
      <c r="H302" s="369"/>
      <c r="I302" s="369"/>
      <c r="J302" s="369"/>
      <c r="K302" s="369"/>
      <c r="L302" s="369"/>
      <c r="M302" s="369"/>
      <c r="N302" s="369"/>
      <c r="O302" s="369"/>
      <c r="P302" s="369"/>
      <c r="Q302" s="369"/>
      <c r="R302" s="369"/>
      <c r="S302" s="369"/>
      <c r="T302" s="369"/>
      <c r="U302" s="369"/>
      <c r="V302" s="369"/>
      <c r="W302" s="369"/>
      <c r="X302" s="369"/>
      <c r="Y302" s="369"/>
      <c r="Z302" s="369"/>
    </row>
    <row r="303">
      <c r="A303" s="367">
        <v>5.0</v>
      </c>
      <c r="B303" s="367" t="s">
        <v>2294</v>
      </c>
      <c r="C303" s="367" t="s">
        <v>2519</v>
      </c>
      <c r="D303" s="368" t="s">
        <v>2520</v>
      </c>
      <c r="E303" s="369"/>
      <c r="F303" s="369"/>
      <c r="G303" s="369"/>
      <c r="H303" s="369"/>
      <c r="I303" s="369"/>
      <c r="J303" s="369"/>
      <c r="K303" s="369"/>
      <c r="L303" s="369"/>
      <c r="M303" s="369"/>
      <c r="N303" s="369"/>
      <c r="O303" s="369"/>
      <c r="P303" s="369"/>
      <c r="Q303" s="369"/>
      <c r="R303" s="369"/>
      <c r="S303" s="369"/>
      <c r="T303" s="369"/>
      <c r="U303" s="369"/>
      <c r="V303" s="369"/>
      <c r="W303" s="369"/>
      <c r="X303" s="369"/>
      <c r="Y303" s="369"/>
      <c r="Z303" s="369"/>
    </row>
  </sheetData>
  <drawing r:id="rId2"/>
  <legacyDrawing r:id="rId3"/>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3" max="3" width="47.38"/>
    <col customWidth="1" min="4" max="4" width="49.63"/>
  </cols>
  <sheetData>
    <row r="1">
      <c r="A1" s="370" t="s">
        <v>2521</v>
      </c>
      <c r="B1" s="94"/>
      <c r="C1" s="94"/>
      <c r="D1" s="94"/>
      <c r="E1" s="94"/>
      <c r="F1" s="94"/>
      <c r="G1" s="94"/>
      <c r="H1" s="94"/>
      <c r="I1" s="94"/>
      <c r="J1" s="94"/>
      <c r="K1" s="94"/>
      <c r="L1" s="94"/>
      <c r="M1" s="94"/>
      <c r="N1" s="94"/>
      <c r="O1" s="94"/>
      <c r="P1" s="94"/>
      <c r="Q1" s="94"/>
      <c r="R1" s="94"/>
      <c r="S1" s="94"/>
      <c r="T1" s="94"/>
      <c r="U1" s="94"/>
      <c r="V1" s="94"/>
      <c r="W1" s="94"/>
      <c r="X1" s="94"/>
      <c r="Y1" s="94"/>
      <c r="Z1" s="94"/>
    </row>
    <row r="2">
      <c r="A2" s="371"/>
      <c r="B2" s="94"/>
      <c r="C2" s="94"/>
      <c r="D2" s="94"/>
      <c r="E2" s="94"/>
      <c r="F2" s="94"/>
      <c r="G2" s="94"/>
      <c r="H2" s="94"/>
      <c r="I2" s="94"/>
      <c r="J2" s="94"/>
      <c r="K2" s="94"/>
      <c r="L2" s="94"/>
      <c r="M2" s="94"/>
      <c r="N2" s="94"/>
      <c r="O2" s="94"/>
      <c r="P2" s="94"/>
      <c r="Q2" s="94"/>
      <c r="R2" s="94"/>
      <c r="S2" s="94"/>
      <c r="T2" s="94"/>
      <c r="U2" s="94"/>
      <c r="V2" s="94"/>
      <c r="W2" s="94"/>
      <c r="X2" s="94"/>
      <c r="Y2" s="94"/>
      <c r="Z2" s="94"/>
    </row>
    <row r="3">
      <c r="A3" s="371" t="s">
        <v>2522</v>
      </c>
      <c r="B3" s="94"/>
      <c r="C3" s="94"/>
      <c r="D3" s="94"/>
      <c r="E3" s="94"/>
      <c r="F3" s="94"/>
      <c r="G3" s="94"/>
      <c r="H3" s="94"/>
      <c r="I3" s="94"/>
      <c r="J3" s="94"/>
      <c r="K3" s="94"/>
      <c r="L3" s="94"/>
      <c r="M3" s="94"/>
      <c r="N3" s="94"/>
      <c r="O3" s="94"/>
      <c r="P3" s="94"/>
      <c r="Q3" s="94"/>
      <c r="R3" s="94"/>
      <c r="S3" s="94"/>
      <c r="T3" s="94"/>
      <c r="U3" s="94"/>
      <c r="V3" s="94"/>
      <c r="W3" s="94"/>
      <c r="X3" s="94"/>
      <c r="Y3" s="94"/>
      <c r="Z3" s="94"/>
    </row>
    <row r="4">
      <c r="A4" s="372" t="s">
        <v>2523</v>
      </c>
      <c r="B4" s="94"/>
      <c r="C4" s="94"/>
      <c r="D4" s="94"/>
      <c r="E4" s="94"/>
      <c r="F4" s="94"/>
      <c r="G4" s="94"/>
      <c r="H4" s="94"/>
      <c r="I4" s="94"/>
      <c r="J4" s="94"/>
      <c r="K4" s="94"/>
      <c r="L4" s="94"/>
      <c r="M4" s="94"/>
      <c r="N4" s="94"/>
      <c r="O4" s="94"/>
      <c r="P4" s="94"/>
      <c r="Q4" s="94"/>
      <c r="R4" s="94"/>
      <c r="S4" s="94"/>
      <c r="T4" s="94"/>
      <c r="U4" s="94"/>
      <c r="V4" s="94"/>
      <c r="W4" s="94"/>
      <c r="X4" s="94"/>
      <c r="Y4" s="94"/>
      <c r="Z4" s="94"/>
    </row>
    <row r="5">
      <c r="A5" s="373"/>
      <c r="B5" s="94"/>
      <c r="C5" s="94"/>
      <c r="D5" s="94"/>
      <c r="E5" s="94"/>
      <c r="F5" s="94"/>
      <c r="G5" s="94"/>
      <c r="H5" s="94"/>
      <c r="I5" s="94"/>
      <c r="J5" s="94"/>
      <c r="K5" s="94"/>
      <c r="L5" s="94"/>
      <c r="M5" s="94"/>
      <c r="N5" s="94"/>
      <c r="O5" s="94"/>
      <c r="P5" s="94"/>
      <c r="Q5" s="94"/>
      <c r="R5" s="94"/>
      <c r="S5" s="94"/>
      <c r="T5" s="94"/>
      <c r="U5" s="94"/>
      <c r="V5" s="94"/>
      <c r="W5" s="94"/>
      <c r="X5" s="94"/>
      <c r="Y5" s="94"/>
      <c r="Z5" s="94"/>
    </row>
    <row r="6">
      <c r="A6" s="374" t="s">
        <v>2524</v>
      </c>
      <c r="B6" s="94"/>
      <c r="C6" s="94"/>
      <c r="D6" s="94"/>
      <c r="E6" s="94"/>
      <c r="F6" s="94"/>
      <c r="G6" s="94"/>
      <c r="H6" s="94"/>
      <c r="I6" s="94"/>
      <c r="J6" s="94"/>
      <c r="K6" s="94"/>
      <c r="L6" s="94"/>
      <c r="M6" s="94"/>
      <c r="N6" s="94"/>
      <c r="O6" s="94"/>
      <c r="P6" s="94"/>
      <c r="Q6" s="94"/>
      <c r="R6" s="94"/>
      <c r="S6" s="94"/>
      <c r="T6" s="94"/>
      <c r="U6" s="94"/>
      <c r="V6" s="94"/>
      <c r="W6" s="94"/>
      <c r="X6" s="94"/>
      <c r="Y6" s="94"/>
      <c r="Z6" s="94"/>
    </row>
    <row r="7">
      <c r="A7" s="373"/>
      <c r="B7" s="94"/>
      <c r="C7" s="94"/>
      <c r="D7" s="94"/>
      <c r="E7" s="94"/>
      <c r="F7" s="94"/>
      <c r="G7" s="94"/>
      <c r="H7" s="94"/>
      <c r="I7" s="94"/>
      <c r="J7" s="94"/>
      <c r="K7" s="94"/>
      <c r="L7" s="94"/>
      <c r="M7" s="94"/>
      <c r="N7" s="94"/>
      <c r="O7" s="94"/>
      <c r="P7" s="94"/>
      <c r="Q7" s="94"/>
      <c r="R7" s="94"/>
      <c r="S7" s="94"/>
      <c r="T7" s="94"/>
      <c r="U7" s="94"/>
      <c r="V7" s="94"/>
      <c r="W7" s="94"/>
      <c r="X7" s="94"/>
      <c r="Y7" s="94"/>
      <c r="Z7" s="94"/>
    </row>
    <row r="8">
      <c r="A8" s="372" t="s">
        <v>2525</v>
      </c>
      <c r="B8" s="94"/>
      <c r="C8" s="94"/>
      <c r="D8" s="94"/>
      <c r="E8" s="94"/>
      <c r="F8" s="94"/>
      <c r="G8" s="94"/>
      <c r="H8" s="94"/>
      <c r="I8" s="94"/>
      <c r="J8" s="94"/>
      <c r="K8" s="94"/>
      <c r="L8" s="94"/>
      <c r="M8" s="94"/>
      <c r="N8" s="94"/>
      <c r="O8" s="94"/>
      <c r="P8" s="94"/>
      <c r="Q8" s="94"/>
      <c r="R8" s="94"/>
      <c r="S8" s="94"/>
      <c r="T8" s="94"/>
      <c r="U8" s="94"/>
      <c r="V8" s="94"/>
      <c r="W8" s="94"/>
      <c r="X8" s="94"/>
      <c r="Y8" s="94"/>
      <c r="Z8" s="94"/>
    </row>
    <row r="9">
      <c r="A9" s="372" t="s">
        <v>2526</v>
      </c>
      <c r="B9" s="94"/>
      <c r="C9" s="94"/>
      <c r="D9" s="94"/>
      <c r="E9" s="94"/>
      <c r="F9" s="94"/>
      <c r="G9" s="94"/>
      <c r="H9" s="94"/>
      <c r="I9" s="94"/>
      <c r="J9" s="94"/>
      <c r="K9" s="94"/>
      <c r="L9" s="94"/>
      <c r="M9" s="94"/>
      <c r="N9" s="94"/>
      <c r="O9" s="94"/>
      <c r="P9" s="94"/>
      <c r="Q9" s="94"/>
      <c r="R9" s="94"/>
      <c r="S9" s="94"/>
      <c r="T9" s="94"/>
      <c r="U9" s="94"/>
      <c r="V9" s="94"/>
      <c r="W9" s="94"/>
      <c r="X9" s="94"/>
      <c r="Y9" s="94"/>
      <c r="Z9" s="94"/>
    </row>
    <row r="10">
      <c r="A10" s="374" t="s">
        <v>2527</v>
      </c>
      <c r="B10" s="94"/>
      <c r="C10" s="94"/>
      <c r="D10" s="94"/>
      <c r="E10" s="94"/>
      <c r="F10" s="94"/>
      <c r="G10" s="94"/>
      <c r="H10" s="94"/>
      <c r="I10" s="94"/>
      <c r="J10" s="94"/>
      <c r="K10" s="94"/>
      <c r="L10" s="94"/>
      <c r="M10" s="94"/>
      <c r="N10" s="94"/>
      <c r="O10" s="94"/>
      <c r="P10" s="94"/>
      <c r="Q10" s="94"/>
      <c r="R10" s="94"/>
      <c r="S10" s="94"/>
      <c r="T10" s="94"/>
      <c r="U10" s="94"/>
      <c r="V10" s="94"/>
      <c r="W10" s="94"/>
      <c r="X10" s="94"/>
      <c r="Y10" s="94"/>
      <c r="Z10" s="94"/>
    </row>
    <row r="11">
      <c r="A11" s="372" t="s">
        <v>2528</v>
      </c>
      <c r="B11" s="94"/>
      <c r="C11" s="94"/>
      <c r="D11" s="94"/>
      <c r="E11" s="94"/>
      <c r="F11" s="94"/>
      <c r="G11" s="94"/>
      <c r="H11" s="94"/>
      <c r="I11" s="94"/>
      <c r="J11" s="94"/>
      <c r="K11" s="94"/>
      <c r="L11" s="94"/>
      <c r="M11" s="94"/>
      <c r="N11" s="94"/>
      <c r="O11" s="94"/>
      <c r="P11" s="94"/>
      <c r="Q11" s="94"/>
      <c r="R11" s="94"/>
      <c r="S11" s="94"/>
      <c r="T11" s="94"/>
      <c r="U11" s="94"/>
      <c r="V11" s="94"/>
      <c r="W11" s="94"/>
      <c r="X11" s="94"/>
      <c r="Y11" s="94"/>
      <c r="Z11" s="94"/>
    </row>
    <row r="12">
      <c r="A12" s="372" t="s">
        <v>2529</v>
      </c>
      <c r="B12" s="94"/>
      <c r="C12" s="94"/>
      <c r="D12" s="94"/>
      <c r="E12" s="94"/>
      <c r="F12" s="94"/>
      <c r="G12" s="94"/>
      <c r="H12" s="94"/>
      <c r="I12" s="94"/>
      <c r="J12" s="94"/>
      <c r="K12" s="94"/>
      <c r="L12" s="94"/>
      <c r="M12" s="94"/>
      <c r="N12" s="94"/>
      <c r="O12" s="94"/>
      <c r="P12" s="94"/>
      <c r="Q12" s="94"/>
      <c r="R12" s="94"/>
      <c r="S12" s="94"/>
      <c r="T12" s="94"/>
      <c r="U12" s="94"/>
      <c r="V12" s="94"/>
      <c r="W12" s="94"/>
      <c r="X12" s="94"/>
      <c r="Y12" s="94"/>
      <c r="Z12" s="94"/>
    </row>
    <row r="13">
      <c r="A13" s="373"/>
      <c r="B13" s="94"/>
      <c r="C13" s="94"/>
      <c r="D13" s="94"/>
      <c r="E13" s="94"/>
      <c r="F13" s="94"/>
      <c r="G13" s="94"/>
      <c r="H13" s="94"/>
      <c r="I13" s="94"/>
      <c r="J13" s="94"/>
      <c r="K13" s="94"/>
      <c r="L13" s="94"/>
      <c r="M13" s="94"/>
      <c r="N13" s="94"/>
      <c r="O13" s="94"/>
      <c r="P13" s="94"/>
      <c r="Q13" s="94"/>
      <c r="R13" s="94"/>
      <c r="S13" s="94"/>
      <c r="T13" s="94"/>
      <c r="U13" s="94"/>
      <c r="V13" s="94"/>
      <c r="W13" s="94"/>
      <c r="X13" s="94"/>
      <c r="Y13" s="94"/>
      <c r="Z13" s="94"/>
    </row>
    <row r="14">
      <c r="A14" s="374" t="s">
        <v>2530</v>
      </c>
      <c r="B14" s="94"/>
      <c r="C14" s="94"/>
      <c r="D14" s="94"/>
      <c r="E14" s="94"/>
      <c r="F14" s="94"/>
      <c r="G14" s="94"/>
      <c r="H14" s="94"/>
      <c r="I14" s="94"/>
      <c r="J14" s="94"/>
      <c r="K14" s="94"/>
      <c r="L14" s="94"/>
      <c r="M14" s="94"/>
      <c r="N14" s="94"/>
      <c r="O14" s="94"/>
      <c r="P14" s="94"/>
      <c r="Q14" s="94"/>
      <c r="R14" s="94"/>
      <c r="S14" s="94"/>
      <c r="T14" s="94"/>
      <c r="U14" s="94"/>
      <c r="V14" s="94"/>
      <c r="W14" s="94"/>
      <c r="X14" s="94"/>
      <c r="Y14" s="94"/>
      <c r="Z14" s="94"/>
    </row>
    <row r="15">
      <c r="A15" s="375"/>
      <c r="B15" s="94"/>
      <c r="C15" s="94"/>
      <c r="D15" s="94"/>
      <c r="E15" s="94"/>
      <c r="F15" s="94"/>
      <c r="G15" s="94"/>
      <c r="H15" s="94"/>
      <c r="I15" s="94"/>
      <c r="J15" s="94"/>
      <c r="K15" s="94"/>
      <c r="L15" s="94"/>
      <c r="M15" s="94"/>
      <c r="N15" s="94"/>
      <c r="O15" s="94"/>
      <c r="P15" s="94"/>
      <c r="Q15" s="94"/>
      <c r="R15" s="94"/>
      <c r="S15" s="94"/>
      <c r="T15" s="94"/>
      <c r="U15" s="94"/>
      <c r="V15" s="94"/>
      <c r="W15" s="94"/>
      <c r="X15" s="94"/>
      <c r="Y15" s="94"/>
      <c r="Z15" s="94"/>
    </row>
    <row r="16">
      <c r="A16" s="376" t="s">
        <v>1822</v>
      </c>
      <c r="B16" s="376" t="s">
        <v>2283</v>
      </c>
      <c r="C16" s="376" t="s">
        <v>2284</v>
      </c>
      <c r="D16" s="376" t="s">
        <v>2531</v>
      </c>
      <c r="E16" s="376" t="s">
        <v>1812</v>
      </c>
      <c r="F16" s="376" t="s">
        <v>1813</v>
      </c>
      <c r="G16" s="365" t="s">
        <v>2532</v>
      </c>
      <c r="H16" s="365" t="s">
        <v>2533</v>
      </c>
      <c r="I16" s="364"/>
      <c r="J16" s="364"/>
      <c r="K16" s="364"/>
      <c r="L16" s="364"/>
      <c r="M16" s="364"/>
      <c r="N16" s="364"/>
      <c r="O16" s="364"/>
      <c r="P16" s="364"/>
      <c r="Q16" s="364"/>
      <c r="R16" s="364"/>
      <c r="S16" s="364"/>
      <c r="T16" s="364"/>
      <c r="U16" s="364"/>
      <c r="V16" s="364"/>
      <c r="W16" s="364"/>
      <c r="X16" s="364"/>
      <c r="Y16" s="364"/>
      <c r="Z16" s="364"/>
    </row>
    <row r="17">
      <c r="A17" s="376">
        <v>1.0</v>
      </c>
      <c r="B17" s="376" t="s">
        <v>2289</v>
      </c>
      <c r="C17" s="376" t="s">
        <v>2534</v>
      </c>
      <c r="D17" s="377" t="s">
        <v>2535</v>
      </c>
      <c r="E17" s="364"/>
      <c r="F17" s="364"/>
      <c r="G17" s="364"/>
      <c r="H17" s="364"/>
      <c r="I17" s="364"/>
      <c r="J17" s="364"/>
      <c r="K17" s="364"/>
      <c r="L17" s="364"/>
      <c r="M17" s="364"/>
      <c r="N17" s="364"/>
      <c r="O17" s="364"/>
      <c r="P17" s="364"/>
      <c r="Q17" s="364"/>
      <c r="R17" s="364"/>
      <c r="S17" s="364"/>
      <c r="T17" s="364"/>
      <c r="U17" s="364"/>
      <c r="V17" s="364"/>
      <c r="W17" s="364"/>
      <c r="X17" s="364"/>
      <c r="Y17" s="364"/>
      <c r="Z17" s="364"/>
    </row>
    <row r="18">
      <c r="A18" s="376">
        <v>2.0</v>
      </c>
      <c r="B18" s="376" t="s">
        <v>2289</v>
      </c>
      <c r="C18" s="376" t="s">
        <v>2536</v>
      </c>
      <c r="D18" s="377" t="s">
        <v>2537</v>
      </c>
      <c r="E18" s="364"/>
      <c r="F18" s="364"/>
      <c r="G18" s="364"/>
      <c r="H18" s="364"/>
      <c r="I18" s="364"/>
      <c r="J18" s="364"/>
      <c r="K18" s="364"/>
      <c r="L18" s="364"/>
      <c r="M18" s="364"/>
      <c r="N18" s="364"/>
      <c r="O18" s="364"/>
      <c r="P18" s="364"/>
      <c r="Q18" s="364"/>
      <c r="R18" s="364"/>
      <c r="S18" s="364"/>
      <c r="T18" s="364"/>
      <c r="U18" s="364"/>
      <c r="V18" s="364"/>
      <c r="W18" s="364"/>
      <c r="X18" s="364"/>
      <c r="Y18" s="364"/>
      <c r="Z18" s="364"/>
    </row>
    <row r="19">
      <c r="A19" s="376">
        <v>3.0</v>
      </c>
      <c r="B19" s="376" t="s">
        <v>2294</v>
      </c>
      <c r="C19" s="378" t="s">
        <v>2295</v>
      </c>
      <c r="D19" s="377" t="s">
        <v>2296</v>
      </c>
      <c r="E19" s="364"/>
      <c r="F19" s="364"/>
      <c r="G19" s="364"/>
      <c r="H19" s="364"/>
      <c r="I19" s="364"/>
      <c r="J19" s="364"/>
      <c r="K19" s="364"/>
      <c r="L19" s="364"/>
      <c r="M19" s="364"/>
      <c r="N19" s="364"/>
      <c r="O19" s="364"/>
      <c r="P19" s="364"/>
      <c r="Q19" s="364"/>
      <c r="R19" s="364"/>
      <c r="S19" s="364"/>
      <c r="T19" s="364"/>
      <c r="U19" s="364"/>
      <c r="V19" s="364"/>
      <c r="W19" s="364"/>
      <c r="X19" s="364"/>
      <c r="Y19" s="364"/>
      <c r="Z19" s="364"/>
    </row>
    <row r="20">
      <c r="A20" s="376">
        <v>4.0</v>
      </c>
      <c r="B20" s="376" t="s">
        <v>2289</v>
      </c>
      <c r="C20" s="376" t="s">
        <v>2538</v>
      </c>
      <c r="D20" s="377" t="s">
        <v>2539</v>
      </c>
      <c r="E20" s="364"/>
      <c r="F20" s="364"/>
      <c r="G20" s="364"/>
      <c r="H20" s="364"/>
      <c r="I20" s="364"/>
      <c r="J20" s="364"/>
      <c r="K20" s="364"/>
      <c r="L20" s="364"/>
      <c r="M20" s="364"/>
      <c r="N20" s="364"/>
      <c r="O20" s="364"/>
      <c r="P20" s="364"/>
      <c r="Q20" s="364"/>
      <c r="R20" s="364"/>
      <c r="S20" s="364"/>
      <c r="T20" s="364"/>
      <c r="U20" s="364"/>
      <c r="V20" s="364"/>
      <c r="W20" s="364"/>
      <c r="X20" s="364"/>
      <c r="Y20" s="364"/>
      <c r="Z20" s="364"/>
    </row>
    <row r="21">
      <c r="A21" s="376">
        <v>5.0</v>
      </c>
      <c r="B21" s="376" t="s">
        <v>2289</v>
      </c>
      <c r="C21" s="376" t="s">
        <v>2540</v>
      </c>
      <c r="D21" s="377" t="s">
        <v>2541</v>
      </c>
      <c r="E21" s="364"/>
      <c r="F21" s="364"/>
      <c r="G21" s="364"/>
      <c r="H21" s="364"/>
      <c r="I21" s="364"/>
      <c r="J21" s="364"/>
      <c r="K21" s="364"/>
      <c r="L21" s="364"/>
      <c r="M21" s="364"/>
      <c r="N21" s="364"/>
      <c r="O21" s="364"/>
      <c r="P21" s="364"/>
      <c r="Q21" s="364"/>
      <c r="R21" s="364"/>
      <c r="S21" s="364"/>
      <c r="T21" s="364"/>
      <c r="U21" s="364"/>
      <c r="V21" s="364"/>
      <c r="W21" s="364"/>
      <c r="X21" s="364"/>
      <c r="Y21" s="364"/>
      <c r="Z21" s="364"/>
    </row>
    <row r="22">
      <c r="A22" s="376">
        <v>6.0</v>
      </c>
      <c r="B22" s="376" t="s">
        <v>2294</v>
      </c>
      <c r="C22" s="378" t="s">
        <v>2301</v>
      </c>
      <c r="D22" s="377" t="s">
        <v>2302</v>
      </c>
      <c r="E22" s="364"/>
      <c r="F22" s="364"/>
      <c r="G22" s="364"/>
      <c r="H22" s="364"/>
      <c r="I22" s="364"/>
      <c r="J22" s="364"/>
      <c r="K22" s="364"/>
      <c r="L22" s="364"/>
      <c r="M22" s="364"/>
      <c r="N22" s="364"/>
      <c r="O22" s="364"/>
      <c r="P22" s="364"/>
      <c r="Q22" s="364"/>
      <c r="R22" s="364"/>
      <c r="S22" s="364"/>
      <c r="T22" s="364"/>
      <c r="U22" s="364"/>
      <c r="V22" s="364"/>
      <c r="W22" s="364"/>
      <c r="X22" s="364"/>
      <c r="Y22" s="364"/>
      <c r="Z22" s="364"/>
    </row>
    <row r="23">
      <c r="A23" s="379"/>
      <c r="B23" s="94"/>
      <c r="C23" s="94"/>
      <c r="D23" s="94"/>
      <c r="E23" s="94"/>
      <c r="F23" s="94"/>
      <c r="G23" s="94"/>
      <c r="H23" s="94"/>
      <c r="I23" s="94"/>
      <c r="J23" s="94"/>
      <c r="K23" s="94"/>
      <c r="L23" s="94"/>
      <c r="M23" s="94"/>
      <c r="N23" s="94"/>
      <c r="O23" s="94"/>
      <c r="P23" s="94"/>
      <c r="Q23" s="94"/>
      <c r="R23" s="94"/>
      <c r="S23" s="94"/>
      <c r="T23" s="94"/>
      <c r="U23" s="94"/>
      <c r="V23" s="94"/>
      <c r="W23" s="94"/>
      <c r="X23" s="94"/>
      <c r="Y23" s="94"/>
      <c r="Z23" s="94"/>
    </row>
    <row r="24">
      <c r="A24" s="380" t="s">
        <v>2542</v>
      </c>
      <c r="B24" s="94"/>
      <c r="C24" s="94"/>
      <c r="D24" s="94"/>
      <c r="E24" s="94"/>
      <c r="F24" s="94"/>
      <c r="G24" s="94"/>
      <c r="H24" s="94"/>
      <c r="I24" s="94"/>
      <c r="J24" s="94"/>
      <c r="K24" s="94"/>
      <c r="L24" s="94"/>
      <c r="M24" s="94"/>
      <c r="N24" s="94"/>
      <c r="O24" s="94"/>
      <c r="P24" s="94"/>
      <c r="Q24" s="94"/>
      <c r="R24" s="94"/>
      <c r="S24" s="94"/>
      <c r="T24" s="94"/>
      <c r="U24" s="94"/>
      <c r="V24" s="94"/>
      <c r="W24" s="94"/>
      <c r="X24" s="94"/>
      <c r="Y24" s="94"/>
      <c r="Z24" s="94"/>
    </row>
    <row r="25">
      <c r="A25" s="381"/>
      <c r="B25" s="94"/>
      <c r="C25" s="94"/>
      <c r="D25" s="94"/>
      <c r="E25" s="94"/>
      <c r="F25" s="94"/>
      <c r="G25" s="94"/>
      <c r="H25" s="94"/>
      <c r="I25" s="94"/>
      <c r="J25" s="94"/>
      <c r="K25" s="94"/>
      <c r="L25" s="94"/>
      <c r="M25" s="94"/>
      <c r="N25" s="94"/>
      <c r="O25" s="94"/>
      <c r="P25" s="94"/>
      <c r="Q25" s="94"/>
      <c r="R25" s="94"/>
      <c r="S25" s="94"/>
      <c r="T25" s="94"/>
      <c r="U25" s="94"/>
      <c r="V25" s="94"/>
      <c r="W25" s="94"/>
      <c r="X25" s="94"/>
      <c r="Y25" s="94"/>
      <c r="Z25" s="94"/>
    </row>
    <row r="26">
      <c r="A26" s="379" t="s">
        <v>2543</v>
      </c>
      <c r="B26" s="94"/>
      <c r="C26" s="94"/>
      <c r="D26" s="94"/>
      <c r="E26" s="94"/>
      <c r="F26" s="94"/>
      <c r="G26" s="94"/>
      <c r="H26" s="94"/>
      <c r="I26" s="94"/>
      <c r="J26" s="94"/>
      <c r="K26" s="94"/>
      <c r="L26" s="94"/>
      <c r="M26" s="94"/>
      <c r="N26" s="94"/>
      <c r="O26" s="94"/>
      <c r="P26" s="94"/>
      <c r="Q26" s="94"/>
      <c r="R26" s="94"/>
      <c r="S26" s="94"/>
      <c r="T26" s="94"/>
      <c r="U26" s="94"/>
      <c r="V26" s="94"/>
      <c r="W26" s="94"/>
      <c r="X26" s="94"/>
      <c r="Y26" s="94"/>
      <c r="Z26" s="94"/>
    </row>
    <row r="27">
      <c r="A27" s="379" t="s">
        <v>2305</v>
      </c>
      <c r="B27" s="94"/>
      <c r="C27" s="94"/>
      <c r="D27" s="94"/>
      <c r="E27" s="94"/>
      <c r="F27" s="94"/>
      <c r="G27" s="94"/>
      <c r="H27" s="94"/>
      <c r="I27" s="94"/>
      <c r="J27" s="94"/>
      <c r="K27" s="94"/>
      <c r="L27" s="94"/>
      <c r="M27" s="94"/>
      <c r="N27" s="94"/>
      <c r="O27" s="94"/>
      <c r="P27" s="94"/>
      <c r="Q27" s="94"/>
      <c r="R27" s="94"/>
      <c r="S27" s="94"/>
      <c r="T27" s="94"/>
      <c r="U27" s="94"/>
      <c r="V27" s="94"/>
      <c r="W27" s="94"/>
      <c r="X27" s="94"/>
      <c r="Y27" s="94"/>
      <c r="Z27" s="94"/>
    </row>
    <row r="28">
      <c r="A28" s="380" t="s">
        <v>2527</v>
      </c>
      <c r="B28" s="94"/>
      <c r="C28" s="94"/>
      <c r="D28" s="94"/>
      <c r="E28" s="94"/>
      <c r="F28" s="94"/>
      <c r="G28" s="94"/>
      <c r="H28" s="94"/>
      <c r="I28" s="94"/>
      <c r="J28" s="94"/>
      <c r="K28" s="94"/>
      <c r="L28" s="94"/>
      <c r="M28" s="94"/>
      <c r="N28" s="94"/>
      <c r="O28" s="94"/>
      <c r="P28" s="94"/>
      <c r="Q28" s="94"/>
      <c r="R28" s="94"/>
      <c r="S28" s="94"/>
      <c r="T28" s="94"/>
      <c r="U28" s="94"/>
      <c r="V28" s="94"/>
      <c r="W28" s="94"/>
      <c r="X28" s="94"/>
      <c r="Y28" s="94"/>
      <c r="Z28" s="94"/>
    </row>
    <row r="29">
      <c r="A29" s="379" t="s">
        <v>2544</v>
      </c>
      <c r="B29" s="94"/>
      <c r="C29" s="94"/>
      <c r="D29" s="94"/>
      <c r="E29" s="94"/>
      <c r="F29" s="94"/>
      <c r="G29" s="94"/>
      <c r="H29" s="94"/>
      <c r="I29" s="94"/>
      <c r="J29" s="94"/>
      <c r="K29" s="94"/>
      <c r="L29" s="94"/>
      <c r="M29" s="94"/>
      <c r="N29" s="94"/>
      <c r="O29" s="94"/>
      <c r="P29" s="94"/>
      <c r="Q29" s="94"/>
      <c r="R29" s="94"/>
      <c r="S29" s="94"/>
      <c r="T29" s="94"/>
      <c r="U29" s="94"/>
      <c r="V29" s="94"/>
      <c r="W29" s="94"/>
      <c r="X29" s="94"/>
      <c r="Y29" s="94"/>
      <c r="Z29" s="94"/>
    </row>
    <row r="30">
      <c r="A30" s="379" t="s">
        <v>2545</v>
      </c>
      <c r="B30" s="94"/>
      <c r="C30" s="94"/>
      <c r="D30" s="94"/>
      <c r="E30" s="94"/>
      <c r="F30" s="94"/>
      <c r="G30" s="94"/>
      <c r="H30" s="94"/>
      <c r="I30" s="94"/>
      <c r="J30" s="94"/>
      <c r="K30" s="94"/>
      <c r="L30" s="94"/>
      <c r="M30" s="94"/>
      <c r="N30" s="94"/>
      <c r="O30" s="94"/>
      <c r="P30" s="94"/>
      <c r="Q30" s="94"/>
      <c r="R30" s="94"/>
      <c r="S30" s="94"/>
      <c r="T30" s="94"/>
      <c r="U30" s="94"/>
      <c r="V30" s="94"/>
      <c r="W30" s="94"/>
      <c r="X30" s="94"/>
      <c r="Y30" s="94"/>
      <c r="Z30" s="94"/>
    </row>
    <row r="31">
      <c r="A31" s="381"/>
      <c r="B31" s="94"/>
      <c r="C31" s="94"/>
      <c r="D31" s="94"/>
      <c r="E31" s="94"/>
      <c r="F31" s="94"/>
      <c r="G31" s="94"/>
      <c r="H31" s="94"/>
      <c r="I31" s="94"/>
      <c r="J31" s="94"/>
      <c r="K31" s="94"/>
      <c r="L31" s="94"/>
      <c r="M31" s="94"/>
      <c r="N31" s="94"/>
      <c r="O31" s="94"/>
      <c r="P31" s="94"/>
      <c r="Q31" s="94"/>
      <c r="R31" s="94"/>
      <c r="S31" s="94"/>
      <c r="T31" s="94"/>
      <c r="U31" s="94"/>
      <c r="V31" s="94"/>
      <c r="W31" s="94"/>
      <c r="X31" s="94"/>
      <c r="Y31" s="94"/>
      <c r="Z31" s="94"/>
    </row>
    <row r="32">
      <c r="A32" s="380" t="s">
        <v>2530</v>
      </c>
      <c r="B32" s="94"/>
      <c r="C32" s="94"/>
      <c r="D32" s="94"/>
      <c r="E32" s="94"/>
      <c r="F32" s="94"/>
      <c r="G32" s="94"/>
      <c r="H32" s="94"/>
      <c r="I32" s="94"/>
      <c r="J32" s="94"/>
      <c r="K32" s="94"/>
      <c r="L32" s="94"/>
      <c r="M32" s="94"/>
      <c r="N32" s="94"/>
      <c r="O32" s="94"/>
      <c r="P32" s="94"/>
      <c r="Q32" s="94"/>
      <c r="R32" s="94"/>
      <c r="S32" s="94"/>
      <c r="T32" s="94"/>
      <c r="U32" s="94"/>
      <c r="V32" s="94"/>
      <c r="W32" s="94"/>
      <c r="X32" s="94"/>
      <c r="Y32" s="94"/>
      <c r="Z32" s="94"/>
    </row>
    <row r="33">
      <c r="A33" s="375"/>
      <c r="B33" s="94"/>
      <c r="C33" s="94"/>
      <c r="D33" s="94"/>
      <c r="E33" s="94"/>
      <c r="F33" s="94"/>
      <c r="G33" s="94"/>
      <c r="H33" s="94"/>
      <c r="I33" s="94"/>
      <c r="J33" s="94"/>
      <c r="K33" s="94"/>
      <c r="L33" s="94"/>
      <c r="M33" s="94"/>
      <c r="N33" s="94"/>
      <c r="O33" s="94"/>
      <c r="P33" s="94"/>
      <c r="Q33" s="94"/>
      <c r="R33" s="94"/>
      <c r="S33" s="94"/>
      <c r="T33" s="94"/>
      <c r="U33" s="94"/>
      <c r="V33" s="94"/>
      <c r="W33" s="94"/>
      <c r="X33" s="94"/>
      <c r="Y33" s="94"/>
      <c r="Z33" s="94"/>
    </row>
    <row r="34">
      <c r="A34" s="379" t="s">
        <v>1822</v>
      </c>
      <c r="B34" s="379" t="s">
        <v>2283</v>
      </c>
      <c r="C34" s="379" t="s">
        <v>2284</v>
      </c>
      <c r="D34" s="379" t="s">
        <v>2531</v>
      </c>
      <c r="E34" s="94"/>
      <c r="F34" s="94"/>
      <c r="G34" s="94"/>
      <c r="H34" s="94"/>
      <c r="I34" s="94"/>
      <c r="J34" s="94"/>
      <c r="K34" s="94"/>
      <c r="L34" s="94"/>
      <c r="M34" s="94"/>
      <c r="N34" s="94"/>
      <c r="O34" s="94"/>
      <c r="P34" s="94"/>
      <c r="Q34" s="94"/>
      <c r="R34" s="94"/>
      <c r="S34" s="94"/>
      <c r="T34" s="94"/>
      <c r="U34" s="94"/>
      <c r="V34" s="94"/>
      <c r="W34" s="94"/>
      <c r="X34" s="94"/>
      <c r="Y34" s="94"/>
      <c r="Z34" s="94"/>
    </row>
    <row r="35">
      <c r="A35" s="379">
        <v>1.0</v>
      </c>
      <c r="B35" s="379" t="s">
        <v>2289</v>
      </c>
      <c r="C35" s="379" t="s">
        <v>2308</v>
      </c>
      <c r="D35" s="382" t="s">
        <v>2546</v>
      </c>
      <c r="E35" s="94"/>
      <c r="F35" s="94"/>
      <c r="G35" s="94"/>
      <c r="H35" s="94"/>
      <c r="I35" s="94"/>
      <c r="J35" s="94"/>
      <c r="K35" s="94"/>
      <c r="L35" s="94"/>
      <c r="M35" s="94"/>
      <c r="N35" s="94"/>
      <c r="O35" s="94"/>
      <c r="P35" s="94"/>
      <c r="Q35" s="94"/>
      <c r="R35" s="94"/>
      <c r="S35" s="94"/>
      <c r="T35" s="94"/>
      <c r="U35" s="94"/>
      <c r="V35" s="94"/>
      <c r="W35" s="94"/>
      <c r="X35" s="94"/>
      <c r="Y35" s="94"/>
      <c r="Z35" s="94"/>
    </row>
    <row r="36">
      <c r="A36" s="379">
        <v>2.0</v>
      </c>
      <c r="B36" s="379" t="s">
        <v>2289</v>
      </c>
      <c r="C36" s="379" t="s">
        <v>2310</v>
      </c>
      <c r="D36" s="382" t="s">
        <v>2311</v>
      </c>
      <c r="E36" s="94"/>
      <c r="F36" s="94"/>
      <c r="G36" s="94"/>
      <c r="H36" s="94"/>
      <c r="I36" s="94"/>
      <c r="J36" s="94"/>
      <c r="K36" s="94"/>
      <c r="L36" s="94"/>
      <c r="M36" s="94"/>
      <c r="N36" s="94"/>
      <c r="O36" s="94"/>
      <c r="P36" s="94"/>
      <c r="Q36" s="94"/>
      <c r="R36" s="94"/>
      <c r="S36" s="94"/>
      <c r="T36" s="94"/>
      <c r="U36" s="94"/>
      <c r="V36" s="94"/>
      <c r="W36" s="94"/>
      <c r="X36" s="94"/>
      <c r="Y36" s="94"/>
      <c r="Z36" s="94"/>
    </row>
    <row r="37">
      <c r="A37" s="379">
        <v>3.0</v>
      </c>
      <c r="B37" s="379" t="s">
        <v>2294</v>
      </c>
      <c r="C37" s="380" t="s">
        <v>2312</v>
      </c>
      <c r="D37" s="382" t="s">
        <v>2547</v>
      </c>
      <c r="E37" s="94"/>
      <c r="F37" s="94"/>
      <c r="G37" s="94"/>
      <c r="H37" s="94"/>
      <c r="I37" s="94"/>
      <c r="J37" s="94"/>
      <c r="K37" s="94"/>
      <c r="L37" s="94"/>
      <c r="M37" s="94"/>
      <c r="N37" s="94"/>
      <c r="O37" s="94"/>
      <c r="P37" s="94"/>
      <c r="Q37" s="94"/>
      <c r="R37" s="94"/>
      <c r="S37" s="94"/>
      <c r="T37" s="94"/>
      <c r="U37" s="94"/>
      <c r="V37" s="94"/>
      <c r="W37" s="94"/>
      <c r="X37" s="94"/>
      <c r="Y37" s="94"/>
      <c r="Z37" s="94"/>
    </row>
    <row r="38">
      <c r="A38" s="379">
        <v>4.0</v>
      </c>
      <c r="B38" s="379" t="s">
        <v>2289</v>
      </c>
      <c r="C38" s="379" t="s">
        <v>2314</v>
      </c>
      <c r="D38" s="382" t="s">
        <v>2315</v>
      </c>
      <c r="E38" s="94"/>
      <c r="F38" s="94"/>
      <c r="G38" s="94"/>
      <c r="H38" s="94"/>
      <c r="I38" s="94"/>
      <c r="J38" s="94"/>
      <c r="K38" s="94"/>
      <c r="L38" s="94"/>
      <c r="M38" s="94"/>
      <c r="N38" s="94"/>
      <c r="O38" s="94"/>
      <c r="P38" s="94"/>
      <c r="Q38" s="94"/>
      <c r="R38" s="94"/>
      <c r="S38" s="94"/>
      <c r="T38" s="94"/>
      <c r="U38" s="94"/>
      <c r="V38" s="94"/>
      <c r="W38" s="94"/>
      <c r="X38" s="94"/>
      <c r="Y38" s="94"/>
      <c r="Z38" s="94"/>
    </row>
    <row r="39">
      <c r="A39" s="379">
        <v>5.0</v>
      </c>
      <c r="B39" s="379" t="s">
        <v>2289</v>
      </c>
      <c r="C39" s="379" t="s">
        <v>2548</v>
      </c>
      <c r="D39" s="382" t="s">
        <v>2549</v>
      </c>
      <c r="E39" s="94"/>
      <c r="F39" s="94"/>
      <c r="G39" s="94"/>
      <c r="H39" s="94"/>
      <c r="I39" s="94"/>
      <c r="J39" s="94"/>
      <c r="K39" s="94"/>
      <c r="L39" s="94"/>
      <c r="M39" s="94"/>
      <c r="N39" s="94"/>
      <c r="O39" s="94"/>
      <c r="P39" s="94"/>
      <c r="Q39" s="94"/>
      <c r="R39" s="94"/>
      <c r="S39" s="94"/>
      <c r="T39" s="94"/>
      <c r="U39" s="94"/>
      <c r="V39" s="94"/>
      <c r="W39" s="94"/>
      <c r="X39" s="94"/>
      <c r="Y39" s="94"/>
      <c r="Z39" s="94"/>
    </row>
    <row r="40">
      <c r="A40" s="379">
        <v>6.0</v>
      </c>
      <c r="B40" s="379" t="s">
        <v>2294</v>
      </c>
      <c r="C40" s="380" t="s">
        <v>2318</v>
      </c>
      <c r="D40" s="382" t="s">
        <v>2550</v>
      </c>
      <c r="E40" s="94"/>
      <c r="F40" s="94"/>
      <c r="G40" s="94"/>
      <c r="H40" s="94"/>
      <c r="I40" s="94"/>
      <c r="J40" s="94"/>
      <c r="K40" s="94"/>
      <c r="L40" s="94"/>
      <c r="M40" s="94"/>
      <c r="N40" s="94"/>
      <c r="O40" s="94"/>
      <c r="P40" s="94"/>
      <c r="Q40" s="94"/>
      <c r="R40" s="94"/>
      <c r="S40" s="94"/>
      <c r="T40" s="94"/>
      <c r="U40" s="94"/>
      <c r="V40" s="94"/>
      <c r="W40" s="94"/>
      <c r="X40" s="94"/>
      <c r="Y40" s="94"/>
      <c r="Z40" s="94"/>
    </row>
    <row r="41">
      <c r="A41" s="379"/>
      <c r="B41" s="94"/>
      <c r="C41" s="94"/>
      <c r="D41" s="94"/>
      <c r="E41" s="94"/>
      <c r="F41" s="94"/>
      <c r="G41" s="94"/>
      <c r="H41" s="94"/>
      <c r="I41" s="94"/>
      <c r="J41" s="94"/>
      <c r="K41" s="94"/>
      <c r="L41" s="94"/>
      <c r="M41" s="94"/>
      <c r="N41" s="94"/>
      <c r="O41" s="94"/>
      <c r="P41" s="94"/>
      <c r="Q41" s="94"/>
      <c r="R41" s="94"/>
      <c r="S41" s="94"/>
      <c r="T41" s="94"/>
      <c r="U41" s="94"/>
      <c r="V41" s="94"/>
      <c r="W41" s="94"/>
      <c r="X41" s="94"/>
      <c r="Y41" s="94"/>
      <c r="Z41" s="94"/>
    </row>
    <row r="42">
      <c r="A42" s="380" t="s">
        <v>2551</v>
      </c>
      <c r="B42" s="94"/>
      <c r="C42" s="94"/>
      <c r="D42" s="94"/>
      <c r="E42" s="94"/>
      <c r="F42" s="94"/>
      <c r="G42" s="94"/>
      <c r="H42" s="94"/>
      <c r="I42" s="94"/>
      <c r="J42" s="94"/>
      <c r="K42" s="94"/>
      <c r="L42" s="94"/>
      <c r="M42" s="94"/>
      <c r="N42" s="94"/>
      <c r="O42" s="94"/>
      <c r="P42" s="94"/>
      <c r="Q42" s="94"/>
      <c r="R42" s="94"/>
      <c r="S42" s="94"/>
      <c r="T42" s="94"/>
      <c r="U42" s="94"/>
      <c r="V42" s="94"/>
      <c r="W42" s="94"/>
      <c r="X42" s="94"/>
      <c r="Y42" s="94"/>
      <c r="Z42" s="94"/>
    </row>
    <row r="43">
      <c r="A43" s="381"/>
      <c r="B43" s="94"/>
      <c r="C43" s="94"/>
      <c r="D43" s="94"/>
      <c r="E43" s="94"/>
      <c r="F43" s="94"/>
      <c r="G43" s="94"/>
      <c r="H43" s="94"/>
      <c r="I43" s="94"/>
      <c r="J43" s="94"/>
      <c r="K43" s="94"/>
      <c r="L43" s="94"/>
      <c r="M43" s="94"/>
      <c r="N43" s="94"/>
      <c r="O43" s="94"/>
      <c r="P43" s="94"/>
      <c r="Q43" s="94"/>
      <c r="R43" s="94"/>
      <c r="S43" s="94"/>
      <c r="T43" s="94"/>
      <c r="U43" s="94"/>
      <c r="V43" s="94"/>
      <c r="W43" s="94"/>
      <c r="X43" s="94"/>
      <c r="Y43" s="94"/>
      <c r="Z43" s="94"/>
    </row>
    <row r="44">
      <c r="A44" s="379" t="s">
        <v>2552</v>
      </c>
      <c r="B44" s="94"/>
      <c r="C44" s="94"/>
      <c r="D44" s="94"/>
      <c r="E44" s="94"/>
      <c r="F44" s="94"/>
      <c r="G44" s="94"/>
      <c r="H44" s="94"/>
      <c r="I44" s="94"/>
      <c r="J44" s="94"/>
      <c r="K44" s="94"/>
      <c r="L44" s="94"/>
      <c r="M44" s="94"/>
      <c r="N44" s="94"/>
      <c r="O44" s="94"/>
      <c r="P44" s="94"/>
      <c r="Q44" s="94"/>
      <c r="R44" s="94"/>
      <c r="S44" s="94"/>
      <c r="T44" s="94"/>
      <c r="U44" s="94"/>
      <c r="V44" s="94"/>
      <c r="W44" s="94"/>
      <c r="X44" s="94"/>
      <c r="Y44" s="94"/>
      <c r="Z44" s="94"/>
    </row>
    <row r="45">
      <c r="A45" s="379" t="s">
        <v>2553</v>
      </c>
      <c r="B45" s="94"/>
      <c r="C45" s="94"/>
      <c r="D45" s="94"/>
      <c r="E45" s="94"/>
      <c r="F45" s="94"/>
      <c r="G45" s="94"/>
      <c r="H45" s="94"/>
      <c r="I45" s="94"/>
      <c r="J45" s="94"/>
      <c r="K45" s="94"/>
      <c r="L45" s="94"/>
      <c r="M45" s="94"/>
      <c r="N45" s="94"/>
      <c r="O45" s="94"/>
      <c r="P45" s="94"/>
      <c r="Q45" s="94"/>
      <c r="R45" s="94"/>
      <c r="S45" s="94"/>
      <c r="T45" s="94"/>
      <c r="U45" s="94"/>
      <c r="V45" s="94"/>
      <c r="W45" s="94"/>
      <c r="X45" s="94"/>
      <c r="Y45" s="94"/>
      <c r="Z45" s="94"/>
    </row>
    <row r="46">
      <c r="A46" s="380" t="s">
        <v>2527</v>
      </c>
      <c r="B46" s="94"/>
      <c r="C46" s="94"/>
      <c r="D46" s="94"/>
      <c r="E46" s="94"/>
      <c r="F46" s="94"/>
      <c r="G46" s="94"/>
      <c r="H46" s="94"/>
      <c r="I46" s="94"/>
      <c r="J46" s="94"/>
      <c r="K46" s="94"/>
      <c r="L46" s="94"/>
      <c r="M46" s="94"/>
      <c r="N46" s="94"/>
      <c r="O46" s="94"/>
      <c r="P46" s="94"/>
      <c r="Q46" s="94"/>
      <c r="R46" s="94"/>
      <c r="S46" s="94"/>
      <c r="T46" s="94"/>
      <c r="U46" s="94"/>
      <c r="V46" s="94"/>
      <c r="W46" s="94"/>
      <c r="X46" s="94"/>
      <c r="Y46" s="94"/>
      <c r="Z46" s="94"/>
    </row>
    <row r="47">
      <c r="A47" s="379" t="s">
        <v>2554</v>
      </c>
      <c r="B47" s="94"/>
      <c r="C47" s="94"/>
      <c r="D47" s="94"/>
      <c r="E47" s="94"/>
      <c r="F47" s="94"/>
      <c r="G47" s="94"/>
      <c r="H47" s="94"/>
      <c r="I47" s="94"/>
      <c r="J47" s="94"/>
      <c r="K47" s="94"/>
      <c r="L47" s="94"/>
      <c r="M47" s="94"/>
      <c r="N47" s="94"/>
      <c r="O47" s="94"/>
      <c r="P47" s="94"/>
      <c r="Q47" s="94"/>
      <c r="R47" s="94"/>
      <c r="S47" s="94"/>
      <c r="T47" s="94"/>
      <c r="U47" s="94"/>
      <c r="V47" s="94"/>
      <c r="W47" s="94"/>
      <c r="X47" s="94"/>
      <c r="Y47" s="94"/>
      <c r="Z47" s="94"/>
    </row>
    <row r="48">
      <c r="A48" s="379" t="s">
        <v>2555</v>
      </c>
      <c r="B48" s="94"/>
      <c r="C48" s="94"/>
      <c r="D48" s="94"/>
      <c r="E48" s="94"/>
      <c r="F48" s="94"/>
      <c r="G48" s="94"/>
      <c r="H48" s="94"/>
      <c r="I48" s="94"/>
      <c r="J48" s="94"/>
      <c r="K48" s="94"/>
      <c r="L48" s="94"/>
      <c r="M48" s="94"/>
      <c r="N48" s="94"/>
      <c r="O48" s="94"/>
      <c r="P48" s="94"/>
      <c r="Q48" s="94"/>
      <c r="R48" s="94"/>
      <c r="S48" s="94"/>
      <c r="T48" s="94"/>
      <c r="U48" s="94"/>
      <c r="V48" s="94"/>
      <c r="W48" s="94"/>
      <c r="X48" s="94"/>
      <c r="Y48" s="94"/>
      <c r="Z48" s="94"/>
    </row>
    <row r="49">
      <c r="A49" s="381"/>
      <c r="B49" s="94"/>
      <c r="C49" s="94"/>
      <c r="D49" s="94"/>
      <c r="E49" s="94"/>
      <c r="F49" s="94"/>
      <c r="G49" s="94"/>
      <c r="H49" s="94"/>
      <c r="I49" s="94"/>
      <c r="J49" s="94"/>
      <c r="K49" s="94"/>
      <c r="L49" s="94"/>
      <c r="M49" s="94"/>
      <c r="N49" s="94"/>
      <c r="O49" s="94"/>
      <c r="P49" s="94"/>
      <c r="Q49" s="94"/>
      <c r="R49" s="94"/>
      <c r="S49" s="94"/>
      <c r="T49" s="94"/>
      <c r="U49" s="94"/>
      <c r="V49" s="94"/>
      <c r="W49" s="94"/>
      <c r="X49" s="94"/>
      <c r="Y49" s="94"/>
      <c r="Z49" s="94"/>
    </row>
    <row r="50">
      <c r="A50" s="380" t="s">
        <v>2530</v>
      </c>
      <c r="B50" s="94"/>
      <c r="C50" s="94"/>
      <c r="D50" s="94"/>
      <c r="E50" s="94"/>
      <c r="F50" s="94"/>
      <c r="G50" s="94"/>
      <c r="H50" s="94"/>
      <c r="I50" s="94"/>
      <c r="J50" s="94"/>
      <c r="K50" s="94"/>
      <c r="L50" s="94"/>
      <c r="M50" s="94"/>
      <c r="N50" s="94"/>
      <c r="O50" s="94"/>
      <c r="P50" s="94"/>
      <c r="Q50" s="94"/>
      <c r="R50" s="94"/>
      <c r="S50" s="94"/>
      <c r="T50" s="94"/>
      <c r="U50" s="94"/>
      <c r="V50" s="94"/>
      <c r="W50" s="94"/>
      <c r="X50" s="94"/>
      <c r="Y50" s="94"/>
      <c r="Z50" s="94"/>
    </row>
    <row r="51">
      <c r="A51" s="375"/>
      <c r="B51" s="94"/>
      <c r="C51" s="94"/>
      <c r="D51" s="94"/>
      <c r="E51" s="94"/>
      <c r="F51" s="94"/>
      <c r="G51" s="94"/>
      <c r="H51" s="94"/>
      <c r="I51" s="94"/>
      <c r="J51" s="94"/>
      <c r="K51" s="94"/>
      <c r="L51" s="94"/>
      <c r="M51" s="94"/>
      <c r="N51" s="94"/>
      <c r="O51" s="94"/>
      <c r="P51" s="94"/>
      <c r="Q51" s="94"/>
      <c r="R51" s="94"/>
      <c r="S51" s="94"/>
      <c r="T51" s="94"/>
      <c r="U51" s="94"/>
      <c r="V51" s="94"/>
      <c r="W51" s="94"/>
      <c r="X51" s="94"/>
      <c r="Y51" s="94"/>
      <c r="Z51" s="94"/>
    </row>
    <row r="52">
      <c r="A52" s="379" t="s">
        <v>1822</v>
      </c>
      <c r="B52" s="379" t="s">
        <v>2283</v>
      </c>
      <c r="C52" s="379" t="s">
        <v>2284</v>
      </c>
      <c r="D52" s="379" t="s">
        <v>2531</v>
      </c>
      <c r="E52" s="94"/>
      <c r="F52" s="94"/>
      <c r="G52" s="94"/>
      <c r="H52" s="94"/>
      <c r="I52" s="94"/>
      <c r="J52" s="94"/>
      <c r="K52" s="94"/>
      <c r="L52" s="94"/>
      <c r="M52" s="94"/>
      <c r="N52" s="94"/>
      <c r="O52" s="94"/>
      <c r="P52" s="94"/>
      <c r="Q52" s="94"/>
      <c r="R52" s="94"/>
      <c r="S52" s="94"/>
      <c r="T52" s="94"/>
      <c r="U52" s="94"/>
      <c r="V52" s="94"/>
      <c r="W52" s="94"/>
      <c r="X52" s="94"/>
      <c r="Y52" s="94"/>
      <c r="Z52" s="94"/>
    </row>
    <row r="53">
      <c r="A53" s="379">
        <v>1.0</v>
      </c>
      <c r="B53" s="379" t="s">
        <v>2289</v>
      </c>
      <c r="C53" s="379" t="s">
        <v>2556</v>
      </c>
      <c r="D53" s="382" t="s">
        <v>2557</v>
      </c>
      <c r="E53" s="94"/>
      <c r="F53" s="94"/>
      <c r="G53" s="94"/>
      <c r="H53" s="94"/>
      <c r="I53" s="94"/>
      <c r="J53" s="94"/>
      <c r="K53" s="94"/>
      <c r="L53" s="94"/>
      <c r="M53" s="94"/>
      <c r="N53" s="94"/>
      <c r="O53" s="94"/>
      <c r="P53" s="94"/>
      <c r="Q53" s="94"/>
      <c r="R53" s="94"/>
      <c r="S53" s="94"/>
      <c r="T53" s="94"/>
      <c r="U53" s="94"/>
      <c r="V53" s="94"/>
      <c r="W53" s="94"/>
      <c r="X53" s="94"/>
      <c r="Y53" s="94"/>
      <c r="Z53" s="94"/>
    </row>
    <row r="54">
      <c r="A54" s="379">
        <v>2.0</v>
      </c>
      <c r="B54" s="379" t="s">
        <v>2289</v>
      </c>
      <c r="C54" s="379" t="s">
        <v>2326</v>
      </c>
      <c r="D54" s="382" t="s">
        <v>2327</v>
      </c>
      <c r="E54" s="94"/>
      <c r="F54" s="94"/>
      <c r="G54" s="94"/>
      <c r="H54" s="94"/>
      <c r="I54" s="94"/>
      <c r="J54" s="94"/>
      <c r="K54" s="94"/>
      <c r="L54" s="94"/>
      <c r="M54" s="94"/>
      <c r="N54" s="94"/>
      <c r="O54" s="94"/>
      <c r="P54" s="94"/>
      <c r="Q54" s="94"/>
      <c r="R54" s="94"/>
      <c r="S54" s="94"/>
      <c r="T54" s="94"/>
      <c r="U54" s="94"/>
      <c r="V54" s="94"/>
      <c r="W54" s="94"/>
      <c r="X54" s="94"/>
      <c r="Y54" s="94"/>
      <c r="Z54" s="94"/>
    </row>
    <row r="55">
      <c r="A55" s="379">
        <v>3.0</v>
      </c>
      <c r="B55" s="379" t="s">
        <v>2294</v>
      </c>
      <c r="C55" s="380" t="s">
        <v>2328</v>
      </c>
      <c r="D55" s="382" t="s">
        <v>2329</v>
      </c>
      <c r="E55" s="94"/>
      <c r="F55" s="94"/>
      <c r="G55" s="94"/>
      <c r="H55" s="94"/>
      <c r="I55" s="94"/>
      <c r="J55" s="94"/>
      <c r="K55" s="94"/>
      <c r="L55" s="94"/>
      <c r="M55" s="94"/>
      <c r="N55" s="94"/>
      <c r="O55" s="94"/>
      <c r="P55" s="94"/>
      <c r="Q55" s="94"/>
      <c r="R55" s="94"/>
      <c r="S55" s="94"/>
      <c r="T55" s="94"/>
      <c r="U55" s="94"/>
      <c r="V55" s="94"/>
      <c r="W55" s="94"/>
      <c r="X55" s="94"/>
      <c r="Y55" s="94"/>
      <c r="Z55" s="94"/>
    </row>
    <row r="56">
      <c r="A56" s="379">
        <v>4.0</v>
      </c>
      <c r="B56" s="379" t="s">
        <v>2289</v>
      </c>
      <c r="C56" s="379" t="s">
        <v>2330</v>
      </c>
      <c r="D56" s="382" t="s">
        <v>2331</v>
      </c>
      <c r="E56" s="94"/>
      <c r="F56" s="94"/>
      <c r="G56" s="94"/>
      <c r="H56" s="94"/>
      <c r="I56" s="94"/>
      <c r="J56" s="94"/>
      <c r="K56" s="94"/>
      <c r="L56" s="94"/>
      <c r="M56" s="94"/>
      <c r="N56" s="94"/>
      <c r="O56" s="94"/>
      <c r="P56" s="94"/>
      <c r="Q56" s="94"/>
      <c r="R56" s="94"/>
      <c r="S56" s="94"/>
      <c r="T56" s="94"/>
      <c r="U56" s="94"/>
      <c r="V56" s="94"/>
      <c r="W56" s="94"/>
      <c r="X56" s="94"/>
      <c r="Y56" s="94"/>
      <c r="Z56" s="94"/>
    </row>
    <row r="57">
      <c r="A57" s="379">
        <v>5.0</v>
      </c>
      <c r="B57" s="379" t="s">
        <v>2294</v>
      </c>
      <c r="C57" s="380" t="s">
        <v>2334</v>
      </c>
      <c r="D57" s="382" t="s">
        <v>2335</v>
      </c>
      <c r="E57" s="94"/>
      <c r="F57" s="94"/>
      <c r="G57" s="94"/>
      <c r="H57" s="94"/>
      <c r="I57" s="94"/>
      <c r="J57" s="94"/>
      <c r="K57" s="94"/>
      <c r="L57" s="94"/>
      <c r="M57" s="94"/>
      <c r="N57" s="94"/>
      <c r="O57" s="94"/>
      <c r="P57" s="94"/>
      <c r="Q57" s="94"/>
      <c r="R57" s="94"/>
      <c r="S57" s="94"/>
      <c r="T57" s="94"/>
      <c r="U57" s="94"/>
      <c r="V57" s="94"/>
      <c r="W57" s="94"/>
      <c r="X57" s="94"/>
      <c r="Y57" s="94"/>
      <c r="Z57" s="94"/>
    </row>
    <row r="58">
      <c r="A58" s="379" t="s">
        <v>2433</v>
      </c>
      <c r="B58" s="94"/>
      <c r="C58" s="94"/>
      <c r="D58" s="94"/>
      <c r="E58" s="94"/>
      <c r="F58" s="94"/>
      <c r="G58" s="94"/>
      <c r="H58" s="94"/>
      <c r="I58" s="94"/>
      <c r="J58" s="94"/>
      <c r="K58" s="94"/>
      <c r="L58" s="94"/>
      <c r="M58" s="94"/>
      <c r="N58" s="94"/>
      <c r="O58" s="94"/>
      <c r="P58" s="94"/>
      <c r="Q58" s="94"/>
      <c r="R58" s="94"/>
      <c r="S58" s="94"/>
      <c r="T58" s="94"/>
      <c r="U58" s="94"/>
      <c r="V58" s="94"/>
      <c r="W58" s="94"/>
      <c r="X58" s="94"/>
      <c r="Y58" s="94"/>
      <c r="Z58" s="94"/>
    </row>
    <row r="59">
      <c r="A59" s="380" t="s">
        <v>2558</v>
      </c>
      <c r="B59" s="94"/>
      <c r="C59" s="94"/>
      <c r="D59" s="94"/>
      <c r="E59" s="94"/>
      <c r="F59" s="94"/>
      <c r="G59" s="94"/>
      <c r="H59" s="94"/>
      <c r="I59" s="94"/>
      <c r="J59" s="94"/>
      <c r="K59" s="94"/>
      <c r="L59" s="94"/>
      <c r="M59" s="94"/>
      <c r="N59" s="94"/>
      <c r="O59" s="94"/>
      <c r="P59" s="94"/>
      <c r="Q59" s="94"/>
      <c r="R59" s="94"/>
      <c r="S59" s="94"/>
      <c r="T59" s="94"/>
      <c r="U59" s="94"/>
      <c r="V59" s="94"/>
      <c r="W59" s="94"/>
      <c r="X59" s="94"/>
      <c r="Y59" s="94"/>
      <c r="Z59" s="94"/>
    </row>
    <row r="60">
      <c r="A60" s="381"/>
      <c r="B60" s="94"/>
      <c r="C60" s="94"/>
      <c r="D60" s="94"/>
      <c r="E60" s="94"/>
      <c r="F60" s="94"/>
      <c r="G60" s="94"/>
      <c r="H60" s="94"/>
      <c r="I60" s="94"/>
      <c r="J60" s="94"/>
      <c r="K60" s="94"/>
      <c r="L60" s="94"/>
      <c r="M60" s="94"/>
      <c r="N60" s="94"/>
      <c r="O60" s="94"/>
      <c r="P60" s="94"/>
      <c r="Q60" s="94"/>
      <c r="R60" s="94"/>
      <c r="S60" s="94"/>
      <c r="T60" s="94"/>
      <c r="U60" s="94"/>
      <c r="V60" s="94"/>
      <c r="W60" s="94"/>
      <c r="X60" s="94"/>
      <c r="Y60" s="94"/>
      <c r="Z60" s="94"/>
    </row>
    <row r="61">
      <c r="A61" s="379" t="s">
        <v>2559</v>
      </c>
      <c r="B61" s="94"/>
      <c r="C61" s="94"/>
      <c r="D61" s="94"/>
      <c r="E61" s="94"/>
      <c r="F61" s="94"/>
      <c r="G61" s="94"/>
      <c r="H61" s="94"/>
      <c r="I61" s="94"/>
      <c r="J61" s="94"/>
      <c r="K61" s="94"/>
      <c r="L61" s="94"/>
      <c r="M61" s="94"/>
      <c r="N61" s="94"/>
      <c r="O61" s="94"/>
      <c r="P61" s="94"/>
      <c r="Q61" s="94"/>
      <c r="R61" s="94"/>
      <c r="S61" s="94"/>
      <c r="T61" s="94"/>
      <c r="U61" s="94"/>
      <c r="V61" s="94"/>
      <c r="W61" s="94"/>
      <c r="X61" s="94"/>
      <c r="Y61" s="94"/>
      <c r="Z61" s="94"/>
    </row>
    <row r="62">
      <c r="A62" s="379" t="s">
        <v>2338</v>
      </c>
      <c r="B62" s="94"/>
      <c r="C62" s="94"/>
      <c r="D62" s="94"/>
      <c r="E62" s="94"/>
      <c r="F62" s="94"/>
      <c r="G62" s="94"/>
      <c r="H62" s="94"/>
      <c r="I62" s="94"/>
      <c r="J62" s="94"/>
      <c r="K62" s="94"/>
      <c r="L62" s="94"/>
      <c r="M62" s="94"/>
      <c r="N62" s="94"/>
      <c r="O62" s="94"/>
      <c r="P62" s="94"/>
      <c r="Q62" s="94"/>
      <c r="R62" s="94"/>
      <c r="S62" s="94"/>
      <c r="T62" s="94"/>
      <c r="U62" s="94"/>
      <c r="V62" s="94"/>
      <c r="W62" s="94"/>
      <c r="X62" s="94"/>
      <c r="Y62" s="94"/>
      <c r="Z62" s="94"/>
    </row>
    <row r="63">
      <c r="A63" s="380" t="s">
        <v>2527</v>
      </c>
      <c r="B63" s="94"/>
      <c r="C63" s="94"/>
      <c r="D63" s="94"/>
      <c r="E63" s="94"/>
      <c r="F63" s="94"/>
      <c r="G63" s="94"/>
      <c r="H63" s="94"/>
      <c r="I63" s="94"/>
      <c r="J63" s="94"/>
      <c r="K63" s="94"/>
      <c r="L63" s="94"/>
      <c r="M63" s="94"/>
      <c r="N63" s="94"/>
      <c r="O63" s="94"/>
      <c r="P63" s="94"/>
      <c r="Q63" s="94"/>
      <c r="R63" s="94"/>
      <c r="S63" s="94"/>
      <c r="T63" s="94"/>
      <c r="U63" s="94"/>
      <c r="V63" s="94"/>
      <c r="W63" s="94"/>
      <c r="X63" s="94"/>
      <c r="Y63" s="94"/>
      <c r="Z63" s="94"/>
    </row>
    <row r="64">
      <c r="A64" s="379" t="s">
        <v>2560</v>
      </c>
      <c r="B64" s="94"/>
      <c r="C64" s="94"/>
      <c r="D64" s="94"/>
      <c r="E64" s="94"/>
      <c r="F64" s="94"/>
      <c r="G64" s="94"/>
      <c r="H64" s="94"/>
      <c r="I64" s="94"/>
      <c r="J64" s="94"/>
      <c r="K64" s="94"/>
      <c r="L64" s="94"/>
      <c r="M64" s="94"/>
      <c r="N64" s="94"/>
      <c r="O64" s="94"/>
      <c r="P64" s="94"/>
      <c r="Q64" s="94"/>
      <c r="R64" s="94"/>
      <c r="S64" s="94"/>
      <c r="T64" s="94"/>
      <c r="U64" s="94"/>
      <c r="V64" s="94"/>
      <c r="W64" s="94"/>
      <c r="X64" s="94"/>
      <c r="Y64" s="94"/>
      <c r="Z64" s="94"/>
    </row>
    <row r="65">
      <c r="A65" s="379" t="s">
        <v>2561</v>
      </c>
      <c r="B65" s="94"/>
      <c r="C65" s="94"/>
      <c r="D65" s="94"/>
      <c r="E65" s="94"/>
      <c r="F65" s="94"/>
      <c r="G65" s="94"/>
      <c r="H65" s="94"/>
      <c r="I65" s="94"/>
      <c r="J65" s="94"/>
      <c r="K65" s="94"/>
      <c r="L65" s="94"/>
      <c r="M65" s="94"/>
      <c r="N65" s="94"/>
      <c r="O65" s="94"/>
      <c r="P65" s="94"/>
      <c r="Q65" s="94"/>
      <c r="R65" s="94"/>
      <c r="S65" s="94"/>
      <c r="T65" s="94"/>
      <c r="U65" s="94"/>
      <c r="V65" s="94"/>
      <c r="W65" s="94"/>
      <c r="X65" s="94"/>
      <c r="Y65" s="94"/>
      <c r="Z65" s="94"/>
    </row>
    <row r="66">
      <c r="A66" s="381"/>
      <c r="B66" s="94"/>
      <c r="C66" s="94"/>
      <c r="D66" s="94"/>
      <c r="E66" s="94"/>
      <c r="F66" s="94"/>
      <c r="G66" s="94"/>
      <c r="H66" s="94"/>
      <c r="I66" s="94"/>
      <c r="J66" s="94"/>
      <c r="K66" s="94"/>
      <c r="L66" s="94"/>
      <c r="M66" s="94"/>
      <c r="N66" s="94"/>
      <c r="O66" s="94"/>
      <c r="P66" s="94"/>
      <c r="Q66" s="94"/>
      <c r="R66" s="94"/>
      <c r="S66" s="94"/>
      <c r="T66" s="94"/>
      <c r="U66" s="94"/>
      <c r="V66" s="94"/>
      <c r="W66" s="94"/>
      <c r="X66" s="94"/>
      <c r="Y66" s="94"/>
      <c r="Z66" s="94"/>
    </row>
    <row r="67">
      <c r="A67" s="380" t="s">
        <v>2530</v>
      </c>
      <c r="B67" s="94"/>
      <c r="C67" s="94"/>
      <c r="D67" s="94"/>
      <c r="E67" s="94"/>
      <c r="F67" s="94"/>
      <c r="G67" s="94"/>
      <c r="H67" s="94"/>
      <c r="I67" s="94"/>
      <c r="J67" s="94"/>
      <c r="K67" s="94"/>
      <c r="L67" s="94"/>
      <c r="M67" s="94"/>
      <c r="N67" s="94"/>
      <c r="O67" s="94"/>
      <c r="P67" s="94"/>
      <c r="Q67" s="94"/>
      <c r="R67" s="94"/>
      <c r="S67" s="94"/>
      <c r="T67" s="94"/>
      <c r="U67" s="94"/>
      <c r="V67" s="94"/>
      <c r="W67" s="94"/>
      <c r="X67" s="94"/>
      <c r="Y67" s="94"/>
      <c r="Z67" s="94"/>
    </row>
    <row r="68">
      <c r="A68" s="375"/>
      <c r="B68" s="94"/>
      <c r="C68" s="94"/>
      <c r="D68" s="94"/>
      <c r="E68" s="94"/>
      <c r="F68" s="94"/>
      <c r="G68" s="94"/>
      <c r="H68" s="94"/>
      <c r="I68" s="94"/>
      <c r="J68" s="94"/>
      <c r="K68" s="94"/>
      <c r="L68" s="94"/>
      <c r="M68" s="94"/>
      <c r="N68" s="94"/>
      <c r="O68" s="94"/>
      <c r="P68" s="94"/>
      <c r="Q68" s="94"/>
      <c r="R68" s="94"/>
      <c r="S68" s="94"/>
      <c r="T68" s="94"/>
      <c r="U68" s="94"/>
      <c r="V68" s="94"/>
      <c r="W68" s="94"/>
      <c r="X68" s="94"/>
      <c r="Y68" s="94"/>
      <c r="Z68" s="94"/>
    </row>
    <row r="69">
      <c r="A69" s="379" t="s">
        <v>1822</v>
      </c>
      <c r="B69" s="379" t="s">
        <v>2283</v>
      </c>
      <c r="C69" s="379" t="s">
        <v>2284</v>
      </c>
      <c r="D69" s="379" t="s">
        <v>2531</v>
      </c>
      <c r="E69" s="94"/>
      <c r="F69" s="94"/>
      <c r="G69" s="94"/>
      <c r="H69" s="94"/>
      <c r="I69" s="94"/>
      <c r="J69" s="94"/>
      <c r="K69" s="94"/>
      <c r="L69" s="94"/>
      <c r="M69" s="94"/>
      <c r="N69" s="94"/>
      <c r="O69" s="94"/>
      <c r="P69" s="94"/>
      <c r="Q69" s="94"/>
      <c r="R69" s="94"/>
      <c r="S69" s="94"/>
      <c r="T69" s="94"/>
      <c r="U69" s="94"/>
      <c r="V69" s="94"/>
      <c r="W69" s="94"/>
      <c r="X69" s="94"/>
      <c r="Y69" s="94"/>
      <c r="Z69" s="94"/>
    </row>
    <row r="70">
      <c r="A70" s="379">
        <v>1.0</v>
      </c>
      <c r="B70" s="379" t="s">
        <v>2289</v>
      </c>
      <c r="C70" s="379" t="s">
        <v>2562</v>
      </c>
      <c r="D70" s="382" t="s">
        <v>2341</v>
      </c>
      <c r="E70" s="94"/>
      <c r="F70" s="94"/>
      <c r="G70" s="94"/>
      <c r="H70" s="94"/>
      <c r="I70" s="94"/>
      <c r="J70" s="94"/>
      <c r="K70" s="94"/>
      <c r="L70" s="94"/>
      <c r="M70" s="94"/>
      <c r="N70" s="94"/>
      <c r="O70" s="94"/>
      <c r="P70" s="94"/>
      <c r="Q70" s="94"/>
      <c r="R70" s="94"/>
      <c r="S70" s="94"/>
      <c r="T70" s="94"/>
      <c r="U70" s="94"/>
      <c r="V70" s="94"/>
      <c r="W70" s="94"/>
      <c r="X70" s="94"/>
      <c r="Y70" s="94"/>
      <c r="Z70" s="94"/>
    </row>
    <row r="71">
      <c r="A71" s="379">
        <v>2.0</v>
      </c>
      <c r="B71" s="379" t="s">
        <v>2289</v>
      </c>
      <c r="C71" s="379" t="s">
        <v>2563</v>
      </c>
      <c r="D71" s="382" t="s">
        <v>2343</v>
      </c>
      <c r="E71" s="94"/>
      <c r="F71" s="94"/>
      <c r="G71" s="94"/>
      <c r="H71" s="94"/>
      <c r="I71" s="94"/>
      <c r="J71" s="94"/>
      <c r="K71" s="94"/>
      <c r="L71" s="94"/>
      <c r="M71" s="94"/>
      <c r="N71" s="94"/>
      <c r="O71" s="94"/>
      <c r="P71" s="94"/>
      <c r="Q71" s="94"/>
      <c r="R71" s="94"/>
      <c r="S71" s="94"/>
      <c r="T71" s="94"/>
      <c r="U71" s="94"/>
      <c r="V71" s="94"/>
      <c r="W71" s="94"/>
      <c r="X71" s="94"/>
      <c r="Y71" s="94"/>
      <c r="Z71" s="94"/>
    </row>
    <row r="72">
      <c r="A72" s="379">
        <v>3.0</v>
      </c>
      <c r="B72" s="379" t="s">
        <v>2294</v>
      </c>
      <c r="C72" s="380" t="s">
        <v>2344</v>
      </c>
      <c r="D72" s="382" t="s">
        <v>2345</v>
      </c>
      <c r="E72" s="94"/>
      <c r="F72" s="94"/>
      <c r="G72" s="94"/>
      <c r="H72" s="94"/>
      <c r="I72" s="94"/>
      <c r="J72" s="94"/>
      <c r="K72" s="94"/>
      <c r="L72" s="94"/>
      <c r="M72" s="94"/>
      <c r="N72" s="94"/>
      <c r="O72" s="94"/>
      <c r="P72" s="94"/>
      <c r="Q72" s="94"/>
      <c r="R72" s="94"/>
      <c r="S72" s="94"/>
      <c r="T72" s="94"/>
      <c r="U72" s="94"/>
      <c r="V72" s="94"/>
      <c r="W72" s="94"/>
      <c r="X72" s="94"/>
      <c r="Y72" s="94"/>
      <c r="Z72" s="94"/>
    </row>
    <row r="73">
      <c r="A73" s="379">
        <v>4.0</v>
      </c>
      <c r="B73" s="379" t="s">
        <v>2289</v>
      </c>
      <c r="C73" s="379" t="s">
        <v>2346</v>
      </c>
      <c r="D73" s="382" t="s">
        <v>2347</v>
      </c>
      <c r="E73" s="94"/>
      <c r="F73" s="94"/>
      <c r="G73" s="94"/>
      <c r="H73" s="94"/>
      <c r="I73" s="94"/>
      <c r="J73" s="94"/>
      <c r="K73" s="94"/>
      <c r="L73" s="94"/>
      <c r="M73" s="94"/>
      <c r="N73" s="94"/>
      <c r="O73" s="94"/>
      <c r="P73" s="94"/>
      <c r="Q73" s="94"/>
      <c r="R73" s="94"/>
      <c r="S73" s="94"/>
      <c r="T73" s="94"/>
      <c r="U73" s="94"/>
      <c r="V73" s="94"/>
      <c r="W73" s="94"/>
      <c r="X73" s="94"/>
      <c r="Y73" s="94"/>
      <c r="Z73" s="94"/>
    </row>
    <row r="74">
      <c r="A74" s="379">
        <v>5.0</v>
      </c>
      <c r="B74" s="379" t="s">
        <v>2294</v>
      </c>
      <c r="C74" s="380" t="s">
        <v>2564</v>
      </c>
      <c r="D74" s="382" t="s">
        <v>2351</v>
      </c>
      <c r="E74" s="94"/>
      <c r="F74" s="94"/>
      <c r="G74" s="94"/>
      <c r="H74" s="94"/>
      <c r="I74" s="94"/>
      <c r="J74" s="94"/>
      <c r="K74" s="94"/>
      <c r="L74" s="94"/>
      <c r="M74" s="94"/>
      <c r="N74" s="94"/>
      <c r="O74" s="94"/>
      <c r="P74" s="94"/>
      <c r="Q74" s="94"/>
      <c r="R74" s="94"/>
      <c r="S74" s="94"/>
      <c r="T74" s="94"/>
      <c r="U74" s="94"/>
      <c r="V74" s="94"/>
      <c r="W74" s="94"/>
      <c r="X74" s="94"/>
      <c r="Y74" s="94"/>
      <c r="Z74" s="94"/>
    </row>
    <row r="75">
      <c r="A75" s="379" t="s">
        <v>2433</v>
      </c>
      <c r="B75" s="94"/>
      <c r="C75" s="94"/>
      <c r="D75" s="94"/>
      <c r="E75" s="94"/>
      <c r="F75" s="94"/>
      <c r="G75" s="94"/>
      <c r="H75" s="94"/>
      <c r="I75" s="94"/>
      <c r="J75" s="94"/>
      <c r="K75" s="94"/>
      <c r="L75" s="94"/>
      <c r="M75" s="94"/>
      <c r="N75" s="94"/>
      <c r="O75" s="94"/>
      <c r="P75" s="94"/>
      <c r="Q75" s="94"/>
      <c r="R75" s="94"/>
      <c r="S75" s="94"/>
      <c r="T75" s="94"/>
      <c r="U75" s="94"/>
      <c r="V75" s="94"/>
      <c r="W75" s="94"/>
      <c r="X75" s="94"/>
      <c r="Y75" s="94"/>
      <c r="Z75" s="94"/>
    </row>
    <row r="76">
      <c r="A76" s="380" t="s">
        <v>2565</v>
      </c>
      <c r="B76" s="94"/>
      <c r="C76" s="94"/>
      <c r="D76" s="94"/>
      <c r="E76" s="94"/>
      <c r="F76" s="94"/>
      <c r="G76" s="94"/>
      <c r="H76" s="94"/>
      <c r="I76" s="94"/>
      <c r="J76" s="94"/>
      <c r="K76" s="94"/>
      <c r="L76" s="94"/>
      <c r="M76" s="94"/>
      <c r="N76" s="94"/>
      <c r="O76" s="94"/>
      <c r="P76" s="94"/>
      <c r="Q76" s="94"/>
      <c r="R76" s="94"/>
      <c r="S76" s="94"/>
      <c r="T76" s="94"/>
      <c r="U76" s="94"/>
      <c r="V76" s="94"/>
      <c r="W76" s="94"/>
      <c r="X76" s="94"/>
      <c r="Y76" s="94"/>
      <c r="Z76" s="94"/>
    </row>
    <row r="77">
      <c r="A77" s="381"/>
      <c r="B77" s="94"/>
      <c r="C77" s="94"/>
      <c r="D77" s="94"/>
      <c r="E77" s="94"/>
      <c r="F77" s="94"/>
      <c r="G77" s="94"/>
      <c r="H77" s="94"/>
      <c r="I77" s="94"/>
      <c r="J77" s="94"/>
      <c r="K77" s="94"/>
      <c r="L77" s="94"/>
      <c r="M77" s="94"/>
      <c r="N77" s="94"/>
      <c r="O77" s="94"/>
      <c r="P77" s="94"/>
      <c r="Q77" s="94"/>
      <c r="R77" s="94"/>
      <c r="S77" s="94"/>
      <c r="T77" s="94"/>
      <c r="U77" s="94"/>
      <c r="V77" s="94"/>
      <c r="W77" s="94"/>
      <c r="X77" s="94"/>
      <c r="Y77" s="94"/>
      <c r="Z77" s="94"/>
    </row>
    <row r="78">
      <c r="A78" s="379" t="s">
        <v>2566</v>
      </c>
      <c r="B78" s="94"/>
      <c r="C78" s="94"/>
      <c r="D78" s="94"/>
      <c r="E78" s="94"/>
      <c r="F78" s="94"/>
      <c r="G78" s="94"/>
      <c r="H78" s="94"/>
      <c r="I78" s="94"/>
      <c r="J78" s="94"/>
      <c r="K78" s="94"/>
      <c r="L78" s="94"/>
      <c r="M78" s="94"/>
      <c r="N78" s="94"/>
      <c r="O78" s="94"/>
      <c r="P78" s="94"/>
      <c r="Q78" s="94"/>
      <c r="R78" s="94"/>
      <c r="S78" s="94"/>
      <c r="T78" s="94"/>
      <c r="U78" s="94"/>
      <c r="V78" s="94"/>
      <c r="W78" s="94"/>
      <c r="X78" s="94"/>
      <c r="Y78" s="94"/>
      <c r="Z78" s="94"/>
    </row>
    <row r="79">
      <c r="A79" s="379" t="s">
        <v>2567</v>
      </c>
      <c r="B79" s="94"/>
      <c r="C79" s="94"/>
      <c r="D79" s="94"/>
      <c r="E79" s="94"/>
      <c r="F79" s="94"/>
      <c r="G79" s="94"/>
      <c r="H79" s="94"/>
      <c r="I79" s="94"/>
      <c r="J79" s="94"/>
      <c r="K79" s="94"/>
      <c r="L79" s="94"/>
      <c r="M79" s="94"/>
      <c r="N79" s="94"/>
      <c r="O79" s="94"/>
      <c r="P79" s="94"/>
      <c r="Q79" s="94"/>
      <c r="R79" s="94"/>
      <c r="S79" s="94"/>
      <c r="T79" s="94"/>
      <c r="U79" s="94"/>
      <c r="V79" s="94"/>
      <c r="W79" s="94"/>
      <c r="X79" s="94"/>
      <c r="Y79" s="94"/>
      <c r="Z79" s="94"/>
    </row>
    <row r="80">
      <c r="A80" s="380" t="s">
        <v>2527</v>
      </c>
      <c r="B80" s="94"/>
      <c r="C80" s="94"/>
      <c r="D80" s="94"/>
      <c r="E80" s="94"/>
      <c r="F80" s="94"/>
      <c r="G80" s="94"/>
      <c r="H80" s="94"/>
      <c r="I80" s="94"/>
      <c r="J80" s="94"/>
      <c r="K80" s="94"/>
      <c r="L80" s="94"/>
      <c r="M80" s="94"/>
      <c r="N80" s="94"/>
      <c r="O80" s="94"/>
      <c r="P80" s="94"/>
      <c r="Q80" s="94"/>
      <c r="R80" s="94"/>
      <c r="S80" s="94"/>
      <c r="T80" s="94"/>
      <c r="U80" s="94"/>
      <c r="V80" s="94"/>
      <c r="W80" s="94"/>
      <c r="X80" s="94"/>
      <c r="Y80" s="94"/>
      <c r="Z80" s="94"/>
    </row>
    <row r="81">
      <c r="A81" s="379" t="s">
        <v>2568</v>
      </c>
      <c r="B81" s="94"/>
      <c r="C81" s="94"/>
      <c r="D81" s="94"/>
      <c r="E81" s="94"/>
      <c r="F81" s="94"/>
      <c r="G81" s="94"/>
      <c r="H81" s="94"/>
      <c r="I81" s="94"/>
      <c r="J81" s="94"/>
      <c r="K81" s="94"/>
      <c r="L81" s="94"/>
      <c r="M81" s="94"/>
      <c r="N81" s="94"/>
      <c r="O81" s="94"/>
      <c r="P81" s="94"/>
      <c r="Q81" s="94"/>
      <c r="R81" s="94"/>
      <c r="S81" s="94"/>
      <c r="T81" s="94"/>
      <c r="U81" s="94"/>
      <c r="V81" s="94"/>
      <c r="W81" s="94"/>
      <c r="X81" s="94"/>
      <c r="Y81" s="94"/>
      <c r="Z81" s="94"/>
    </row>
    <row r="82">
      <c r="A82" s="379" t="s">
        <v>2569</v>
      </c>
      <c r="B82" s="94"/>
      <c r="C82" s="94"/>
      <c r="D82" s="94"/>
      <c r="E82" s="94"/>
      <c r="F82" s="94"/>
      <c r="G82" s="94"/>
      <c r="H82" s="94"/>
      <c r="I82" s="94"/>
      <c r="J82" s="94"/>
      <c r="K82" s="94"/>
      <c r="L82" s="94"/>
      <c r="M82" s="94"/>
      <c r="N82" s="94"/>
      <c r="O82" s="94"/>
      <c r="P82" s="94"/>
      <c r="Q82" s="94"/>
      <c r="R82" s="94"/>
      <c r="S82" s="94"/>
      <c r="T82" s="94"/>
      <c r="U82" s="94"/>
      <c r="V82" s="94"/>
      <c r="W82" s="94"/>
      <c r="X82" s="94"/>
      <c r="Y82" s="94"/>
      <c r="Z82" s="94"/>
    </row>
    <row r="83">
      <c r="A83" s="381"/>
      <c r="B83" s="94"/>
      <c r="C83" s="94"/>
      <c r="D83" s="94"/>
      <c r="E83" s="94"/>
      <c r="F83" s="94"/>
      <c r="G83" s="94"/>
      <c r="H83" s="94"/>
      <c r="I83" s="94"/>
      <c r="J83" s="94"/>
      <c r="K83" s="94"/>
      <c r="L83" s="94"/>
      <c r="M83" s="94"/>
      <c r="N83" s="94"/>
      <c r="O83" s="94"/>
      <c r="P83" s="94"/>
      <c r="Q83" s="94"/>
      <c r="R83" s="94"/>
      <c r="S83" s="94"/>
      <c r="T83" s="94"/>
      <c r="U83" s="94"/>
      <c r="V83" s="94"/>
      <c r="W83" s="94"/>
      <c r="X83" s="94"/>
      <c r="Y83" s="94"/>
      <c r="Z83" s="94"/>
    </row>
    <row r="84">
      <c r="A84" s="380" t="s">
        <v>2530</v>
      </c>
      <c r="B84" s="94"/>
      <c r="C84" s="94"/>
      <c r="D84" s="94"/>
      <c r="E84" s="94"/>
      <c r="F84" s="94"/>
      <c r="G84" s="94"/>
      <c r="H84" s="94"/>
      <c r="I84" s="94"/>
      <c r="J84" s="94"/>
      <c r="K84" s="94"/>
      <c r="L84" s="94"/>
      <c r="M84" s="94"/>
      <c r="N84" s="94"/>
      <c r="O84" s="94"/>
      <c r="P84" s="94"/>
      <c r="Q84" s="94"/>
      <c r="R84" s="94"/>
      <c r="S84" s="94"/>
      <c r="T84" s="94"/>
      <c r="U84" s="94"/>
      <c r="V84" s="94"/>
      <c r="W84" s="94"/>
      <c r="X84" s="94"/>
      <c r="Y84" s="94"/>
      <c r="Z84" s="94"/>
    </row>
    <row r="85">
      <c r="A85" s="375"/>
      <c r="B85" s="94"/>
      <c r="C85" s="94"/>
      <c r="D85" s="94"/>
      <c r="E85" s="94"/>
      <c r="F85" s="94"/>
      <c r="G85" s="94"/>
      <c r="H85" s="94"/>
      <c r="I85" s="94"/>
      <c r="J85" s="94"/>
      <c r="K85" s="94"/>
      <c r="L85" s="94"/>
      <c r="M85" s="94"/>
      <c r="N85" s="94"/>
      <c r="O85" s="94"/>
      <c r="P85" s="94"/>
      <c r="Q85" s="94"/>
      <c r="R85" s="94"/>
      <c r="S85" s="94"/>
      <c r="T85" s="94"/>
      <c r="U85" s="94"/>
      <c r="V85" s="94"/>
      <c r="W85" s="94"/>
      <c r="X85" s="94"/>
      <c r="Y85" s="94"/>
      <c r="Z85" s="94"/>
    </row>
    <row r="86">
      <c r="A86" s="379" t="s">
        <v>1822</v>
      </c>
      <c r="B86" s="379" t="s">
        <v>2283</v>
      </c>
      <c r="C86" s="379" t="s">
        <v>2284</v>
      </c>
      <c r="D86" s="379" t="s">
        <v>2531</v>
      </c>
      <c r="E86" s="94"/>
      <c r="F86" s="94"/>
      <c r="G86" s="94"/>
      <c r="H86" s="94"/>
      <c r="I86" s="94"/>
      <c r="J86" s="94"/>
      <c r="K86" s="94"/>
      <c r="L86" s="94"/>
      <c r="M86" s="94"/>
      <c r="N86" s="94"/>
      <c r="O86" s="94"/>
      <c r="P86" s="94"/>
      <c r="Q86" s="94"/>
      <c r="R86" s="94"/>
      <c r="S86" s="94"/>
      <c r="T86" s="94"/>
      <c r="U86" s="94"/>
      <c r="V86" s="94"/>
      <c r="W86" s="94"/>
      <c r="X86" s="94"/>
      <c r="Y86" s="94"/>
      <c r="Z86" s="94"/>
    </row>
    <row r="87">
      <c r="A87" s="379">
        <v>1.0</v>
      </c>
      <c r="B87" s="379" t="s">
        <v>2289</v>
      </c>
      <c r="C87" s="379" t="s">
        <v>2356</v>
      </c>
      <c r="D87" s="382" t="s">
        <v>2570</v>
      </c>
      <c r="E87" s="94"/>
      <c r="F87" s="94"/>
      <c r="G87" s="94"/>
      <c r="H87" s="94"/>
      <c r="I87" s="94"/>
      <c r="J87" s="94"/>
      <c r="K87" s="94"/>
      <c r="L87" s="94"/>
      <c r="M87" s="94"/>
      <c r="N87" s="94"/>
      <c r="O87" s="94"/>
      <c r="P87" s="94"/>
      <c r="Q87" s="94"/>
      <c r="R87" s="94"/>
      <c r="S87" s="94"/>
      <c r="T87" s="94"/>
      <c r="U87" s="94"/>
      <c r="V87" s="94"/>
      <c r="W87" s="94"/>
      <c r="X87" s="94"/>
      <c r="Y87" s="94"/>
      <c r="Z87" s="94"/>
    </row>
    <row r="88">
      <c r="A88" s="379">
        <v>2.0</v>
      </c>
      <c r="B88" s="379" t="s">
        <v>2289</v>
      </c>
      <c r="C88" s="379" t="s">
        <v>2358</v>
      </c>
      <c r="D88" s="382" t="s">
        <v>2359</v>
      </c>
      <c r="E88" s="94"/>
      <c r="F88" s="94"/>
      <c r="G88" s="94"/>
      <c r="H88" s="94"/>
      <c r="I88" s="94"/>
      <c r="J88" s="94"/>
      <c r="K88" s="94"/>
      <c r="L88" s="94"/>
      <c r="M88" s="94"/>
      <c r="N88" s="94"/>
      <c r="O88" s="94"/>
      <c r="P88" s="94"/>
      <c r="Q88" s="94"/>
      <c r="R88" s="94"/>
      <c r="S88" s="94"/>
      <c r="T88" s="94"/>
      <c r="U88" s="94"/>
      <c r="V88" s="94"/>
      <c r="W88" s="94"/>
      <c r="X88" s="94"/>
      <c r="Y88" s="94"/>
      <c r="Z88" s="94"/>
    </row>
    <row r="89">
      <c r="A89" s="379">
        <v>3.0</v>
      </c>
      <c r="B89" s="379" t="s">
        <v>2294</v>
      </c>
      <c r="C89" s="380" t="s">
        <v>2360</v>
      </c>
      <c r="D89" s="382" t="s">
        <v>2361</v>
      </c>
      <c r="E89" s="94"/>
      <c r="F89" s="94"/>
      <c r="G89" s="94"/>
      <c r="H89" s="94"/>
      <c r="I89" s="94"/>
      <c r="J89" s="94"/>
      <c r="K89" s="94"/>
      <c r="L89" s="94"/>
      <c r="M89" s="94"/>
      <c r="N89" s="94"/>
      <c r="O89" s="94"/>
      <c r="P89" s="94"/>
      <c r="Q89" s="94"/>
      <c r="R89" s="94"/>
      <c r="S89" s="94"/>
      <c r="T89" s="94"/>
      <c r="U89" s="94"/>
      <c r="V89" s="94"/>
      <c r="W89" s="94"/>
      <c r="X89" s="94"/>
      <c r="Y89" s="94"/>
      <c r="Z89" s="94"/>
    </row>
    <row r="90">
      <c r="A90" s="379">
        <v>4.0</v>
      </c>
      <c r="B90" s="379" t="s">
        <v>2289</v>
      </c>
      <c r="C90" s="379" t="s">
        <v>2571</v>
      </c>
      <c r="D90" s="382" t="s">
        <v>2363</v>
      </c>
      <c r="E90" s="94"/>
      <c r="F90" s="94"/>
      <c r="G90" s="94"/>
      <c r="H90" s="94"/>
      <c r="I90" s="94"/>
      <c r="J90" s="94"/>
      <c r="K90" s="94"/>
      <c r="L90" s="94"/>
      <c r="M90" s="94"/>
      <c r="N90" s="94"/>
      <c r="O90" s="94"/>
      <c r="P90" s="94"/>
      <c r="Q90" s="94"/>
      <c r="R90" s="94"/>
      <c r="S90" s="94"/>
      <c r="T90" s="94"/>
      <c r="U90" s="94"/>
      <c r="V90" s="94"/>
      <c r="W90" s="94"/>
      <c r="X90" s="94"/>
      <c r="Y90" s="94"/>
      <c r="Z90" s="94"/>
    </row>
    <row r="91">
      <c r="A91" s="379">
        <v>5.0</v>
      </c>
      <c r="B91" s="379" t="s">
        <v>2294</v>
      </c>
      <c r="C91" s="380" t="s">
        <v>2366</v>
      </c>
      <c r="D91" s="382" t="s">
        <v>2367</v>
      </c>
      <c r="E91" s="94"/>
      <c r="F91" s="94"/>
      <c r="G91" s="94"/>
      <c r="H91" s="94"/>
      <c r="I91" s="94"/>
      <c r="J91" s="94"/>
      <c r="K91" s="94"/>
      <c r="L91" s="94"/>
      <c r="M91" s="94"/>
      <c r="N91" s="94"/>
      <c r="O91" s="94"/>
      <c r="P91" s="94"/>
      <c r="Q91" s="94"/>
      <c r="R91" s="94"/>
      <c r="S91" s="94"/>
      <c r="T91" s="94"/>
      <c r="U91" s="94"/>
      <c r="V91" s="94"/>
      <c r="W91" s="94"/>
      <c r="X91" s="94"/>
      <c r="Y91" s="94"/>
      <c r="Z91" s="94"/>
    </row>
    <row r="92">
      <c r="A92" s="379"/>
      <c r="B92" s="94"/>
      <c r="C92" s="94"/>
      <c r="D92" s="94"/>
      <c r="E92" s="94"/>
      <c r="F92" s="94"/>
      <c r="G92" s="94"/>
      <c r="H92" s="94"/>
      <c r="I92" s="94"/>
      <c r="J92" s="94"/>
      <c r="K92" s="94"/>
      <c r="L92" s="94"/>
      <c r="M92" s="94"/>
      <c r="N92" s="94"/>
      <c r="O92" s="94"/>
      <c r="P92" s="94"/>
      <c r="Q92" s="94"/>
      <c r="R92" s="94"/>
      <c r="S92" s="94"/>
      <c r="T92" s="94"/>
      <c r="U92" s="94"/>
      <c r="V92" s="94"/>
      <c r="W92" s="94"/>
      <c r="X92" s="94"/>
      <c r="Y92" s="94"/>
      <c r="Z92" s="94"/>
    </row>
    <row r="93">
      <c r="A93" s="380" t="s">
        <v>2572</v>
      </c>
      <c r="B93" s="94"/>
      <c r="C93" s="94"/>
      <c r="D93" s="94"/>
      <c r="E93" s="94"/>
      <c r="F93" s="94"/>
      <c r="G93" s="94"/>
      <c r="H93" s="94"/>
      <c r="I93" s="94"/>
      <c r="J93" s="94"/>
      <c r="K93" s="94"/>
      <c r="L93" s="94"/>
      <c r="M93" s="94"/>
      <c r="N93" s="94"/>
      <c r="O93" s="94"/>
      <c r="P93" s="94"/>
      <c r="Q93" s="94"/>
      <c r="R93" s="94"/>
      <c r="S93" s="94"/>
      <c r="T93" s="94"/>
      <c r="U93" s="94"/>
      <c r="V93" s="94"/>
      <c r="W93" s="94"/>
      <c r="X93" s="94"/>
      <c r="Y93" s="94"/>
      <c r="Z93" s="94"/>
    </row>
    <row r="94">
      <c r="A94" s="381"/>
      <c r="B94" s="94"/>
      <c r="C94" s="94"/>
      <c r="D94" s="94"/>
      <c r="E94" s="94"/>
      <c r="F94" s="94"/>
      <c r="G94" s="94"/>
      <c r="H94" s="94"/>
      <c r="I94" s="94"/>
      <c r="J94" s="94"/>
      <c r="K94" s="94"/>
      <c r="L94" s="94"/>
      <c r="M94" s="94"/>
      <c r="N94" s="94"/>
      <c r="O94" s="94"/>
      <c r="P94" s="94"/>
      <c r="Q94" s="94"/>
      <c r="R94" s="94"/>
      <c r="S94" s="94"/>
      <c r="T94" s="94"/>
      <c r="U94" s="94"/>
      <c r="V94" s="94"/>
      <c r="W94" s="94"/>
      <c r="X94" s="94"/>
      <c r="Y94" s="94"/>
      <c r="Z94" s="94"/>
    </row>
    <row r="95">
      <c r="A95" s="379" t="s">
        <v>2573</v>
      </c>
      <c r="B95" s="94"/>
      <c r="C95" s="94"/>
      <c r="D95" s="94"/>
      <c r="E95" s="94"/>
      <c r="F95" s="94"/>
      <c r="G95" s="94"/>
      <c r="H95" s="94"/>
      <c r="I95" s="94"/>
      <c r="J95" s="94"/>
      <c r="K95" s="94"/>
      <c r="L95" s="94"/>
      <c r="M95" s="94"/>
      <c r="N95" s="94"/>
      <c r="O95" s="94"/>
      <c r="P95" s="94"/>
      <c r="Q95" s="94"/>
      <c r="R95" s="94"/>
      <c r="S95" s="94"/>
      <c r="T95" s="94"/>
      <c r="U95" s="94"/>
      <c r="V95" s="94"/>
      <c r="W95" s="94"/>
      <c r="X95" s="94"/>
      <c r="Y95" s="94"/>
      <c r="Z95" s="94"/>
    </row>
    <row r="96">
      <c r="A96" s="379" t="s">
        <v>2574</v>
      </c>
      <c r="B96" s="94"/>
      <c r="C96" s="94"/>
      <c r="D96" s="94"/>
      <c r="E96" s="94"/>
      <c r="F96" s="94"/>
      <c r="G96" s="94"/>
      <c r="H96" s="94"/>
      <c r="I96" s="94"/>
      <c r="J96" s="94"/>
      <c r="K96" s="94"/>
      <c r="L96" s="94"/>
      <c r="M96" s="94"/>
      <c r="N96" s="94"/>
      <c r="O96" s="94"/>
      <c r="P96" s="94"/>
      <c r="Q96" s="94"/>
      <c r="R96" s="94"/>
      <c r="S96" s="94"/>
      <c r="T96" s="94"/>
      <c r="U96" s="94"/>
      <c r="V96" s="94"/>
      <c r="W96" s="94"/>
      <c r="X96" s="94"/>
      <c r="Y96" s="94"/>
      <c r="Z96" s="94"/>
    </row>
    <row r="97">
      <c r="A97" s="380" t="s">
        <v>2527</v>
      </c>
      <c r="B97" s="94"/>
      <c r="C97" s="94"/>
      <c r="D97" s="94"/>
      <c r="E97" s="94"/>
      <c r="F97" s="94"/>
      <c r="G97" s="94"/>
      <c r="H97" s="94"/>
      <c r="I97" s="94"/>
      <c r="J97" s="94"/>
      <c r="K97" s="94"/>
      <c r="L97" s="94"/>
      <c r="M97" s="94"/>
      <c r="N97" s="94"/>
      <c r="O97" s="94"/>
      <c r="P97" s="94"/>
      <c r="Q97" s="94"/>
      <c r="R97" s="94"/>
      <c r="S97" s="94"/>
      <c r="T97" s="94"/>
      <c r="U97" s="94"/>
      <c r="V97" s="94"/>
      <c r="W97" s="94"/>
      <c r="X97" s="94"/>
      <c r="Y97" s="94"/>
      <c r="Z97" s="94"/>
    </row>
    <row r="98">
      <c r="A98" s="379" t="s">
        <v>2575</v>
      </c>
      <c r="B98" s="94"/>
      <c r="C98" s="94"/>
      <c r="D98" s="94"/>
      <c r="E98" s="94"/>
      <c r="F98" s="94"/>
      <c r="G98" s="94"/>
      <c r="H98" s="94"/>
      <c r="I98" s="94"/>
      <c r="J98" s="94"/>
      <c r="K98" s="94"/>
      <c r="L98" s="94"/>
      <c r="M98" s="94"/>
      <c r="N98" s="94"/>
      <c r="O98" s="94"/>
      <c r="P98" s="94"/>
      <c r="Q98" s="94"/>
      <c r="R98" s="94"/>
      <c r="S98" s="94"/>
      <c r="T98" s="94"/>
      <c r="U98" s="94"/>
      <c r="V98" s="94"/>
      <c r="W98" s="94"/>
      <c r="X98" s="94"/>
      <c r="Y98" s="94"/>
      <c r="Z98" s="94"/>
    </row>
    <row r="99">
      <c r="A99" s="379" t="s">
        <v>2576</v>
      </c>
      <c r="B99" s="94"/>
      <c r="C99" s="94"/>
      <c r="D99" s="94"/>
      <c r="E99" s="94"/>
      <c r="F99" s="94"/>
      <c r="G99" s="94"/>
      <c r="H99" s="94"/>
      <c r="I99" s="94"/>
      <c r="J99" s="94"/>
      <c r="K99" s="94"/>
      <c r="L99" s="94"/>
      <c r="M99" s="94"/>
      <c r="N99" s="94"/>
      <c r="O99" s="94"/>
      <c r="P99" s="94"/>
      <c r="Q99" s="94"/>
      <c r="R99" s="94"/>
      <c r="S99" s="94"/>
      <c r="T99" s="94"/>
      <c r="U99" s="94"/>
      <c r="V99" s="94"/>
      <c r="W99" s="94"/>
      <c r="X99" s="94"/>
      <c r="Y99" s="94"/>
      <c r="Z99" s="94"/>
    </row>
    <row r="100">
      <c r="A100" s="381"/>
      <c r="B100" s="94"/>
      <c r="C100" s="94"/>
      <c r="D100" s="94"/>
      <c r="E100" s="94"/>
      <c r="F100" s="94"/>
      <c r="G100" s="94"/>
      <c r="H100" s="94"/>
      <c r="I100" s="94"/>
      <c r="J100" s="94"/>
      <c r="K100" s="94"/>
      <c r="L100" s="94"/>
      <c r="M100" s="94"/>
      <c r="N100" s="94"/>
      <c r="O100" s="94"/>
      <c r="P100" s="94"/>
      <c r="Q100" s="94"/>
      <c r="R100" s="94"/>
      <c r="S100" s="94"/>
      <c r="T100" s="94"/>
      <c r="U100" s="94"/>
      <c r="V100" s="94"/>
      <c r="W100" s="94"/>
      <c r="X100" s="94"/>
      <c r="Y100" s="94"/>
      <c r="Z100" s="94"/>
    </row>
    <row r="101">
      <c r="A101" s="380" t="s">
        <v>2530</v>
      </c>
      <c r="B101" s="94"/>
      <c r="C101" s="94"/>
      <c r="D101" s="94"/>
      <c r="E101" s="94"/>
      <c r="F101" s="94"/>
      <c r="G101" s="94"/>
      <c r="H101" s="94"/>
      <c r="I101" s="94"/>
      <c r="J101" s="94"/>
      <c r="K101" s="94"/>
      <c r="L101" s="94"/>
      <c r="M101" s="94"/>
      <c r="N101" s="94"/>
      <c r="O101" s="94"/>
      <c r="P101" s="94"/>
      <c r="Q101" s="94"/>
      <c r="R101" s="94"/>
      <c r="S101" s="94"/>
      <c r="T101" s="94"/>
      <c r="U101" s="94"/>
      <c r="V101" s="94"/>
      <c r="W101" s="94"/>
      <c r="X101" s="94"/>
      <c r="Y101" s="94"/>
      <c r="Z101" s="94"/>
    </row>
    <row r="102">
      <c r="A102" s="375"/>
      <c r="B102" s="94"/>
      <c r="C102" s="94"/>
      <c r="D102" s="94"/>
      <c r="E102" s="94"/>
      <c r="F102" s="94"/>
      <c r="G102" s="94"/>
      <c r="H102" s="94"/>
      <c r="I102" s="94"/>
      <c r="J102" s="94"/>
      <c r="K102" s="94"/>
      <c r="L102" s="94"/>
      <c r="M102" s="94"/>
      <c r="N102" s="94"/>
      <c r="O102" s="94"/>
      <c r="P102" s="94"/>
      <c r="Q102" s="94"/>
      <c r="R102" s="94"/>
      <c r="S102" s="94"/>
      <c r="T102" s="94"/>
      <c r="U102" s="94"/>
      <c r="V102" s="94"/>
      <c r="W102" s="94"/>
      <c r="X102" s="94"/>
      <c r="Y102" s="94"/>
      <c r="Z102" s="94"/>
    </row>
    <row r="103">
      <c r="A103" s="379" t="s">
        <v>1822</v>
      </c>
      <c r="B103" s="379" t="s">
        <v>2283</v>
      </c>
      <c r="C103" s="379" t="s">
        <v>2284</v>
      </c>
      <c r="D103" s="379" t="s">
        <v>2531</v>
      </c>
      <c r="E103" s="94"/>
      <c r="F103" s="94"/>
      <c r="G103" s="94"/>
      <c r="H103" s="94"/>
      <c r="I103" s="94"/>
      <c r="J103" s="94"/>
      <c r="K103" s="94"/>
      <c r="L103" s="94"/>
      <c r="M103" s="94"/>
      <c r="N103" s="94"/>
      <c r="O103" s="94"/>
      <c r="P103" s="94"/>
      <c r="Q103" s="94"/>
      <c r="R103" s="94"/>
      <c r="S103" s="94"/>
      <c r="T103" s="94"/>
      <c r="U103" s="94"/>
      <c r="V103" s="94"/>
      <c r="W103" s="94"/>
      <c r="X103" s="94"/>
      <c r="Y103" s="94"/>
      <c r="Z103" s="94"/>
    </row>
    <row r="104">
      <c r="A104" s="379">
        <v>1.0</v>
      </c>
      <c r="B104" s="379" t="s">
        <v>2289</v>
      </c>
      <c r="C104" s="379" t="s">
        <v>2372</v>
      </c>
      <c r="D104" s="382" t="s">
        <v>2373</v>
      </c>
      <c r="E104" s="94"/>
      <c r="F104" s="94"/>
      <c r="G104" s="94"/>
      <c r="H104" s="94"/>
      <c r="I104" s="94"/>
      <c r="J104" s="94"/>
      <c r="K104" s="94"/>
      <c r="L104" s="94"/>
      <c r="M104" s="94"/>
      <c r="N104" s="94"/>
      <c r="O104" s="94"/>
      <c r="P104" s="94"/>
      <c r="Q104" s="94"/>
      <c r="R104" s="94"/>
      <c r="S104" s="94"/>
      <c r="T104" s="94"/>
      <c r="U104" s="94"/>
      <c r="V104" s="94"/>
      <c r="W104" s="94"/>
      <c r="X104" s="94"/>
      <c r="Y104" s="94"/>
      <c r="Z104" s="94"/>
    </row>
    <row r="105">
      <c r="A105" s="379">
        <v>2.0</v>
      </c>
      <c r="B105" s="379" t="s">
        <v>2289</v>
      </c>
      <c r="C105" s="379" t="s">
        <v>2577</v>
      </c>
      <c r="D105" s="382" t="s">
        <v>2375</v>
      </c>
      <c r="E105" s="94"/>
      <c r="F105" s="94"/>
      <c r="G105" s="94"/>
      <c r="H105" s="94"/>
      <c r="I105" s="94"/>
      <c r="J105" s="94"/>
      <c r="K105" s="94"/>
      <c r="L105" s="94"/>
      <c r="M105" s="94"/>
      <c r="N105" s="94"/>
      <c r="O105" s="94"/>
      <c r="P105" s="94"/>
      <c r="Q105" s="94"/>
      <c r="R105" s="94"/>
      <c r="S105" s="94"/>
      <c r="T105" s="94"/>
      <c r="U105" s="94"/>
      <c r="V105" s="94"/>
      <c r="W105" s="94"/>
      <c r="X105" s="94"/>
      <c r="Y105" s="94"/>
      <c r="Z105" s="94"/>
    </row>
    <row r="106">
      <c r="A106" s="379">
        <v>3.0</v>
      </c>
      <c r="B106" s="379" t="s">
        <v>2294</v>
      </c>
      <c r="C106" s="380" t="s">
        <v>2376</v>
      </c>
      <c r="D106" s="382" t="s">
        <v>2377</v>
      </c>
      <c r="E106" s="94"/>
      <c r="F106" s="94"/>
      <c r="G106" s="94"/>
      <c r="H106" s="94"/>
      <c r="I106" s="94"/>
      <c r="J106" s="94"/>
      <c r="K106" s="94"/>
      <c r="L106" s="94"/>
      <c r="M106" s="94"/>
      <c r="N106" s="94"/>
      <c r="O106" s="94"/>
      <c r="P106" s="94"/>
      <c r="Q106" s="94"/>
      <c r="R106" s="94"/>
      <c r="S106" s="94"/>
      <c r="T106" s="94"/>
      <c r="U106" s="94"/>
      <c r="V106" s="94"/>
      <c r="W106" s="94"/>
      <c r="X106" s="94"/>
      <c r="Y106" s="94"/>
      <c r="Z106" s="94"/>
    </row>
    <row r="107">
      <c r="A107" s="379">
        <v>4.0</v>
      </c>
      <c r="B107" s="379" t="s">
        <v>2289</v>
      </c>
      <c r="C107" s="379" t="s">
        <v>2578</v>
      </c>
      <c r="D107" s="382" t="s">
        <v>2379</v>
      </c>
      <c r="E107" s="94"/>
      <c r="F107" s="94"/>
      <c r="G107" s="94"/>
      <c r="H107" s="94"/>
      <c r="I107" s="94"/>
      <c r="J107" s="94"/>
      <c r="K107" s="94"/>
      <c r="L107" s="94"/>
      <c r="M107" s="94"/>
      <c r="N107" s="94"/>
      <c r="O107" s="94"/>
      <c r="P107" s="94"/>
      <c r="Q107" s="94"/>
      <c r="R107" s="94"/>
      <c r="S107" s="94"/>
      <c r="T107" s="94"/>
      <c r="U107" s="94"/>
      <c r="V107" s="94"/>
      <c r="W107" s="94"/>
      <c r="X107" s="94"/>
      <c r="Y107" s="94"/>
      <c r="Z107" s="94"/>
    </row>
    <row r="108">
      <c r="A108" s="379">
        <v>5.0</v>
      </c>
      <c r="B108" s="379" t="s">
        <v>2294</v>
      </c>
      <c r="C108" s="380" t="s">
        <v>2382</v>
      </c>
      <c r="D108" s="382" t="s">
        <v>2579</v>
      </c>
      <c r="E108" s="94"/>
      <c r="F108" s="94"/>
      <c r="G108" s="94"/>
      <c r="H108" s="94"/>
      <c r="I108" s="94"/>
      <c r="J108" s="94"/>
      <c r="K108" s="94"/>
      <c r="L108" s="94"/>
      <c r="M108" s="94"/>
      <c r="N108" s="94"/>
      <c r="O108" s="94"/>
      <c r="P108" s="94"/>
      <c r="Q108" s="94"/>
      <c r="R108" s="94"/>
      <c r="S108" s="94"/>
      <c r="T108" s="94"/>
      <c r="U108" s="94"/>
      <c r="V108" s="94"/>
      <c r="W108" s="94"/>
      <c r="X108" s="94"/>
      <c r="Y108" s="94"/>
      <c r="Z108" s="94"/>
    </row>
    <row r="109">
      <c r="A109" s="379"/>
      <c r="B109" s="94"/>
      <c r="C109" s="94"/>
      <c r="D109" s="94"/>
      <c r="E109" s="94"/>
      <c r="F109" s="94"/>
      <c r="G109" s="94"/>
      <c r="H109" s="94"/>
      <c r="I109" s="94"/>
      <c r="J109" s="94"/>
      <c r="K109" s="94"/>
      <c r="L109" s="94"/>
      <c r="M109" s="94"/>
      <c r="N109" s="94"/>
      <c r="O109" s="94"/>
      <c r="P109" s="94"/>
      <c r="Q109" s="94"/>
      <c r="R109" s="94"/>
      <c r="S109" s="94"/>
      <c r="T109" s="94"/>
      <c r="U109" s="94"/>
      <c r="V109" s="94"/>
      <c r="W109" s="94"/>
      <c r="X109" s="94"/>
      <c r="Y109" s="94"/>
      <c r="Z109" s="94"/>
    </row>
    <row r="110">
      <c r="A110" s="381"/>
      <c r="B110" s="94"/>
      <c r="C110" s="94"/>
      <c r="D110" s="94"/>
      <c r="E110" s="94"/>
      <c r="F110" s="94"/>
      <c r="G110" s="94"/>
      <c r="H110" s="94"/>
      <c r="I110" s="94"/>
      <c r="J110" s="94"/>
      <c r="K110" s="94"/>
      <c r="L110" s="94"/>
      <c r="M110" s="94"/>
      <c r="N110" s="94"/>
      <c r="O110" s="94"/>
      <c r="P110" s="94"/>
      <c r="Q110" s="94"/>
      <c r="R110" s="94"/>
      <c r="S110" s="94"/>
      <c r="T110" s="94"/>
      <c r="U110" s="94"/>
      <c r="V110" s="94"/>
      <c r="W110" s="94"/>
      <c r="X110" s="94"/>
      <c r="Y110" s="94"/>
      <c r="Z110" s="94"/>
    </row>
    <row r="111">
      <c r="A111" s="381"/>
      <c r="B111" s="94"/>
      <c r="C111" s="94"/>
      <c r="D111" s="94"/>
      <c r="E111" s="94"/>
      <c r="F111" s="94"/>
      <c r="G111" s="94"/>
      <c r="H111" s="94"/>
      <c r="I111" s="94"/>
      <c r="J111" s="94"/>
      <c r="K111" s="94"/>
      <c r="L111" s="94"/>
      <c r="M111" s="94"/>
      <c r="N111" s="94"/>
      <c r="O111" s="94"/>
      <c r="P111" s="94"/>
      <c r="Q111" s="94"/>
      <c r="R111" s="94"/>
      <c r="S111" s="94"/>
      <c r="T111" s="94"/>
      <c r="U111" s="94"/>
      <c r="V111" s="94"/>
      <c r="W111" s="94"/>
      <c r="X111" s="94"/>
      <c r="Y111" s="94"/>
      <c r="Z111" s="94"/>
    </row>
    <row r="112">
      <c r="A112" s="383"/>
      <c r="B112" s="94"/>
      <c r="C112" s="94"/>
      <c r="D112" s="94"/>
      <c r="E112" s="94"/>
      <c r="F112" s="94"/>
      <c r="G112" s="94"/>
      <c r="H112" s="94"/>
      <c r="I112" s="94"/>
      <c r="J112" s="94"/>
      <c r="K112" s="94"/>
      <c r="L112" s="94"/>
      <c r="M112" s="94"/>
      <c r="N112" s="94"/>
      <c r="O112" s="94"/>
      <c r="P112" s="94"/>
      <c r="Q112" s="94"/>
      <c r="R112" s="94"/>
      <c r="S112" s="94"/>
      <c r="T112" s="94"/>
      <c r="U112" s="94"/>
      <c r="V112" s="94"/>
      <c r="W112" s="94"/>
      <c r="X112" s="94"/>
      <c r="Y112" s="94"/>
      <c r="Z112" s="94"/>
    </row>
    <row r="113">
      <c r="A113" s="94"/>
      <c r="B113" s="94"/>
      <c r="C113" s="94"/>
      <c r="D113" s="94"/>
      <c r="E113" s="94"/>
      <c r="F113" s="94"/>
      <c r="G113" s="94"/>
      <c r="H113" s="94"/>
      <c r="I113" s="94"/>
      <c r="J113" s="94"/>
      <c r="K113" s="94"/>
      <c r="L113" s="94"/>
      <c r="M113" s="94"/>
      <c r="N113" s="94"/>
      <c r="O113" s="94"/>
      <c r="P113" s="94"/>
      <c r="Q113" s="94"/>
      <c r="R113" s="94"/>
      <c r="S113" s="94"/>
      <c r="T113" s="94"/>
      <c r="U113" s="94"/>
      <c r="V113" s="94"/>
      <c r="W113" s="94"/>
      <c r="X113" s="94"/>
      <c r="Y113" s="94"/>
      <c r="Z113" s="94"/>
    </row>
    <row r="114">
      <c r="A114" s="94"/>
      <c r="B114" s="94"/>
      <c r="C114" s="94"/>
      <c r="D114" s="94"/>
      <c r="E114" s="94"/>
      <c r="F114" s="94"/>
      <c r="G114" s="94"/>
      <c r="H114" s="94"/>
      <c r="I114" s="94"/>
      <c r="J114" s="94"/>
      <c r="K114" s="94"/>
      <c r="L114" s="94"/>
      <c r="M114" s="94"/>
      <c r="N114" s="94"/>
      <c r="O114" s="94"/>
      <c r="P114" s="94"/>
      <c r="Q114" s="94"/>
      <c r="R114" s="94"/>
      <c r="S114" s="94"/>
      <c r="T114" s="94"/>
      <c r="U114" s="94"/>
      <c r="V114" s="94"/>
      <c r="W114" s="94"/>
      <c r="X114" s="94"/>
      <c r="Y114" s="94"/>
      <c r="Z114" s="94"/>
    </row>
    <row r="115">
      <c r="A115" s="94"/>
      <c r="B115" s="94"/>
      <c r="C115" s="94"/>
      <c r="D115" s="94"/>
      <c r="E115" s="94"/>
      <c r="F115" s="94"/>
      <c r="G115" s="94"/>
      <c r="H115" s="94"/>
      <c r="I115" s="94"/>
      <c r="J115" s="94"/>
      <c r="K115" s="94"/>
      <c r="L115" s="94"/>
      <c r="M115" s="94"/>
      <c r="N115" s="94"/>
      <c r="O115" s="94"/>
      <c r="P115" s="94"/>
      <c r="Q115" s="94"/>
      <c r="R115" s="94"/>
      <c r="S115" s="94"/>
      <c r="T115" s="94"/>
      <c r="U115" s="94"/>
      <c r="V115" s="94"/>
      <c r="W115" s="94"/>
      <c r="X115" s="94"/>
      <c r="Y115" s="94"/>
      <c r="Z115" s="94"/>
    </row>
    <row r="116">
      <c r="A116" s="94"/>
      <c r="B116" s="94"/>
      <c r="C116" s="94"/>
      <c r="D116" s="94"/>
      <c r="E116" s="94"/>
      <c r="F116" s="94"/>
      <c r="G116" s="94"/>
      <c r="H116" s="94"/>
      <c r="I116" s="94"/>
      <c r="J116" s="94"/>
      <c r="K116" s="94"/>
      <c r="L116" s="94"/>
      <c r="M116" s="94"/>
      <c r="N116" s="94"/>
      <c r="O116" s="94"/>
      <c r="P116" s="94"/>
      <c r="Q116" s="94"/>
      <c r="R116" s="94"/>
      <c r="S116" s="94"/>
      <c r="T116" s="94"/>
      <c r="U116" s="94"/>
      <c r="V116" s="94"/>
      <c r="W116" s="94"/>
      <c r="X116" s="94"/>
      <c r="Y116" s="94"/>
      <c r="Z116" s="94"/>
    </row>
    <row r="117">
      <c r="A117" s="94"/>
      <c r="B117" s="94"/>
      <c r="C117" s="94"/>
      <c r="D117" s="94"/>
      <c r="E117" s="94"/>
      <c r="F117" s="94"/>
      <c r="G117" s="94"/>
      <c r="H117" s="94"/>
      <c r="I117" s="94"/>
      <c r="J117" s="94"/>
      <c r="K117" s="94"/>
      <c r="L117" s="94"/>
      <c r="M117" s="94"/>
      <c r="N117" s="94"/>
      <c r="O117" s="94"/>
      <c r="P117" s="94"/>
      <c r="Q117" s="94"/>
      <c r="R117" s="94"/>
      <c r="S117" s="94"/>
      <c r="T117" s="94"/>
      <c r="U117" s="94"/>
      <c r="V117" s="94"/>
      <c r="W117" s="94"/>
      <c r="X117" s="94"/>
      <c r="Y117" s="94"/>
      <c r="Z117" s="94"/>
    </row>
    <row r="118">
      <c r="A118" s="94"/>
      <c r="B118" s="94"/>
      <c r="C118" s="94"/>
      <c r="D118" s="94"/>
      <c r="E118" s="94"/>
      <c r="F118" s="94"/>
      <c r="G118" s="94"/>
      <c r="H118" s="94"/>
      <c r="I118" s="94"/>
      <c r="J118" s="94"/>
      <c r="K118" s="94"/>
      <c r="L118" s="94"/>
      <c r="M118" s="94"/>
      <c r="N118" s="94"/>
      <c r="O118" s="94"/>
      <c r="P118" s="94"/>
      <c r="Q118" s="94"/>
      <c r="R118" s="94"/>
      <c r="S118" s="94"/>
      <c r="T118" s="94"/>
      <c r="U118" s="94"/>
      <c r="V118" s="94"/>
      <c r="W118" s="94"/>
      <c r="X118" s="94"/>
      <c r="Y118" s="94"/>
      <c r="Z118" s="94"/>
    </row>
    <row r="119">
      <c r="A119" s="94"/>
      <c r="B119" s="94"/>
      <c r="C119" s="94"/>
      <c r="D119" s="94"/>
      <c r="E119" s="94"/>
      <c r="F119" s="94"/>
      <c r="G119" s="94"/>
      <c r="H119" s="94"/>
      <c r="I119" s="94"/>
      <c r="J119" s="94"/>
      <c r="K119" s="94"/>
      <c r="L119" s="94"/>
      <c r="M119" s="94"/>
      <c r="N119" s="94"/>
      <c r="O119" s="94"/>
      <c r="P119" s="94"/>
      <c r="Q119" s="94"/>
      <c r="R119" s="94"/>
      <c r="S119" s="94"/>
      <c r="T119" s="94"/>
      <c r="U119" s="94"/>
      <c r="V119" s="94"/>
      <c r="W119" s="94"/>
      <c r="X119" s="94"/>
      <c r="Y119" s="94"/>
      <c r="Z119" s="94"/>
    </row>
    <row r="120">
      <c r="A120" s="94"/>
      <c r="B120" s="94"/>
      <c r="C120" s="94"/>
      <c r="D120" s="94"/>
      <c r="E120" s="94"/>
      <c r="F120" s="94"/>
      <c r="G120" s="94"/>
      <c r="H120" s="94"/>
      <c r="I120" s="94"/>
      <c r="J120" s="94"/>
      <c r="K120" s="94"/>
      <c r="L120" s="94"/>
      <c r="M120" s="94"/>
      <c r="N120" s="94"/>
      <c r="O120" s="94"/>
      <c r="P120" s="94"/>
      <c r="Q120" s="94"/>
      <c r="R120" s="94"/>
      <c r="S120" s="94"/>
      <c r="T120" s="94"/>
      <c r="U120" s="94"/>
      <c r="V120" s="94"/>
      <c r="W120" s="94"/>
      <c r="X120" s="94"/>
      <c r="Y120" s="94"/>
      <c r="Z120" s="94"/>
    </row>
    <row r="121">
      <c r="A121" s="94"/>
      <c r="B121" s="94"/>
      <c r="C121" s="94"/>
      <c r="D121" s="94"/>
      <c r="E121" s="94"/>
      <c r="F121" s="94"/>
      <c r="G121" s="94"/>
      <c r="H121" s="94"/>
      <c r="I121" s="94"/>
      <c r="J121" s="94"/>
      <c r="K121" s="94"/>
      <c r="L121" s="94"/>
      <c r="M121" s="94"/>
      <c r="N121" s="94"/>
      <c r="O121" s="94"/>
      <c r="P121" s="94"/>
      <c r="Q121" s="94"/>
      <c r="R121" s="94"/>
      <c r="S121" s="94"/>
      <c r="T121" s="94"/>
      <c r="U121" s="94"/>
      <c r="V121" s="94"/>
      <c r="W121" s="94"/>
      <c r="X121" s="94"/>
      <c r="Y121" s="94"/>
      <c r="Z121" s="94"/>
    </row>
    <row r="122">
      <c r="A122" s="94"/>
      <c r="B122" s="94"/>
      <c r="C122" s="94"/>
      <c r="D122" s="94"/>
      <c r="E122" s="94"/>
      <c r="F122" s="94"/>
      <c r="G122" s="94"/>
      <c r="H122" s="94"/>
      <c r="I122" s="94"/>
      <c r="J122" s="94"/>
      <c r="K122" s="94"/>
      <c r="L122" s="94"/>
      <c r="M122" s="94"/>
      <c r="N122" s="94"/>
      <c r="O122" s="94"/>
      <c r="P122" s="94"/>
      <c r="Q122" s="94"/>
      <c r="R122" s="94"/>
      <c r="S122" s="94"/>
      <c r="T122" s="94"/>
      <c r="U122" s="94"/>
      <c r="V122" s="94"/>
      <c r="W122" s="94"/>
      <c r="X122" s="94"/>
      <c r="Y122" s="94"/>
      <c r="Z122" s="94"/>
    </row>
    <row r="123">
      <c r="A123" s="94"/>
      <c r="B123" s="94"/>
      <c r="C123" s="94"/>
      <c r="D123" s="94"/>
      <c r="E123" s="94"/>
      <c r="F123" s="94"/>
      <c r="G123" s="94"/>
      <c r="H123" s="94"/>
      <c r="I123" s="94"/>
      <c r="J123" s="94"/>
      <c r="K123" s="94"/>
      <c r="L123" s="94"/>
      <c r="M123" s="94"/>
      <c r="N123" s="94"/>
      <c r="O123" s="94"/>
      <c r="P123" s="94"/>
      <c r="Q123" s="94"/>
      <c r="R123" s="94"/>
      <c r="S123" s="94"/>
      <c r="T123" s="94"/>
      <c r="U123" s="94"/>
      <c r="V123" s="94"/>
      <c r="W123" s="94"/>
      <c r="X123" s="94"/>
      <c r="Y123" s="94"/>
      <c r="Z123" s="94"/>
    </row>
    <row r="124">
      <c r="A124" s="94"/>
      <c r="B124" s="94"/>
      <c r="C124" s="94"/>
      <c r="D124" s="94"/>
      <c r="E124" s="94"/>
      <c r="F124" s="94"/>
      <c r="G124" s="94"/>
      <c r="H124" s="94"/>
      <c r="I124" s="94"/>
      <c r="J124" s="94"/>
      <c r="K124" s="94"/>
      <c r="L124" s="94"/>
      <c r="M124" s="94"/>
      <c r="N124" s="94"/>
      <c r="O124" s="94"/>
      <c r="P124" s="94"/>
      <c r="Q124" s="94"/>
      <c r="R124" s="94"/>
      <c r="S124" s="94"/>
      <c r="T124" s="94"/>
      <c r="U124" s="94"/>
      <c r="V124" s="94"/>
      <c r="W124" s="94"/>
      <c r="X124" s="94"/>
      <c r="Y124" s="94"/>
      <c r="Z124" s="94"/>
    </row>
    <row r="125">
      <c r="A125" s="94"/>
      <c r="B125" s="94"/>
      <c r="C125" s="94"/>
      <c r="D125" s="94"/>
      <c r="E125" s="94"/>
      <c r="F125" s="94"/>
      <c r="G125" s="94"/>
      <c r="H125" s="94"/>
      <c r="I125" s="94"/>
      <c r="J125" s="94"/>
      <c r="K125" s="94"/>
      <c r="L125" s="94"/>
      <c r="M125" s="94"/>
      <c r="N125" s="94"/>
      <c r="O125" s="94"/>
      <c r="P125" s="94"/>
      <c r="Q125" s="94"/>
      <c r="R125" s="94"/>
      <c r="S125" s="94"/>
      <c r="T125" s="94"/>
      <c r="U125" s="94"/>
      <c r="V125" s="94"/>
      <c r="W125" s="94"/>
      <c r="X125" s="94"/>
      <c r="Y125" s="94"/>
      <c r="Z125" s="94"/>
    </row>
    <row r="126">
      <c r="A126" s="94"/>
      <c r="B126" s="94"/>
      <c r="C126" s="94"/>
      <c r="D126" s="94"/>
      <c r="E126" s="94"/>
      <c r="F126" s="94"/>
      <c r="G126" s="94"/>
      <c r="H126" s="94"/>
      <c r="I126" s="94"/>
      <c r="J126" s="94"/>
      <c r="K126" s="94"/>
      <c r="L126" s="94"/>
      <c r="M126" s="94"/>
      <c r="N126" s="94"/>
      <c r="O126" s="94"/>
      <c r="P126" s="94"/>
      <c r="Q126" s="94"/>
      <c r="R126" s="94"/>
      <c r="S126" s="94"/>
      <c r="T126" s="94"/>
      <c r="U126" s="94"/>
      <c r="V126" s="94"/>
      <c r="W126" s="94"/>
      <c r="X126" s="94"/>
      <c r="Y126" s="94"/>
      <c r="Z126" s="94"/>
    </row>
    <row r="127">
      <c r="A127" s="94"/>
      <c r="B127" s="94"/>
      <c r="C127" s="94"/>
      <c r="D127" s="94"/>
      <c r="E127" s="94"/>
      <c r="F127" s="94"/>
      <c r="G127" s="94"/>
      <c r="H127" s="94"/>
      <c r="I127" s="94"/>
      <c r="J127" s="94"/>
      <c r="K127" s="94"/>
      <c r="L127" s="94"/>
      <c r="M127" s="94"/>
      <c r="N127" s="94"/>
      <c r="O127" s="94"/>
      <c r="P127" s="94"/>
      <c r="Q127" s="94"/>
      <c r="R127" s="94"/>
      <c r="S127" s="94"/>
      <c r="T127" s="94"/>
      <c r="U127" s="94"/>
      <c r="V127" s="94"/>
      <c r="W127" s="94"/>
      <c r="X127" s="94"/>
      <c r="Y127" s="94"/>
      <c r="Z127" s="94"/>
    </row>
    <row r="128">
      <c r="A128" s="94"/>
      <c r="B128" s="94"/>
      <c r="C128" s="94"/>
      <c r="D128" s="94"/>
      <c r="E128" s="94"/>
      <c r="F128" s="94"/>
      <c r="G128" s="94"/>
      <c r="H128" s="94"/>
      <c r="I128" s="94"/>
      <c r="J128" s="94"/>
      <c r="K128" s="94"/>
      <c r="L128" s="94"/>
      <c r="M128" s="94"/>
      <c r="N128" s="94"/>
      <c r="O128" s="94"/>
      <c r="P128" s="94"/>
      <c r="Q128" s="94"/>
      <c r="R128" s="94"/>
      <c r="S128" s="94"/>
      <c r="T128" s="94"/>
      <c r="U128" s="94"/>
      <c r="V128" s="94"/>
      <c r="W128" s="94"/>
      <c r="X128" s="94"/>
      <c r="Y128" s="94"/>
      <c r="Z128" s="94"/>
    </row>
    <row r="129">
      <c r="A129" s="94"/>
      <c r="B129" s="94"/>
      <c r="C129" s="94"/>
      <c r="D129" s="94"/>
      <c r="E129" s="94"/>
      <c r="F129" s="94"/>
      <c r="G129" s="94"/>
      <c r="H129" s="94"/>
      <c r="I129" s="94"/>
      <c r="J129" s="94"/>
      <c r="K129" s="94"/>
      <c r="L129" s="94"/>
      <c r="M129" s="94"/>
      <c r="N129" s="94"/>
      <c r="O129" s="94"/>
      <c r="P129" s="94"/>
      <c r="Q129" s="94"/>
      <c r="R129" s="94"/>
      <c r="S129" s="94"/>
      <c r="T129" s="94"/>
      <c r="U129" s="94"/>
      <c r="V129" s="94"/>
      <c r="W129" s="94"/>
      <c r="X129" s="94"/>
      <c r="Y129" s="94"/>
      <c r="Z129" s="94"/>
    </row>
    <row r="130">
      <c r="A130" s="94"/>
      <c r="B130" s="94"/>
      <c r="C130" s="94"/>
      <c r="D130" s="94"/>
      <c r="E130" s="94"/>
      <c r="F130" s="94"/>
      <c r="G130" s="94"/>
      <c r="H130" s="94"/>
      <c r="I130" s="94"/>
      <c r="J130" s="94"/>
      <c r="K130" s="94"/>
      <c r="L130" s="94"/>
      <c r="M130" s="94"/>
      <c r="N130" s="94"/>
      <c r="O130" s="94"/>
      <c r="P130" s="94"/>
      <c r="Q130" s="94"/>
      <c r="R130" s="94"/>
      <c r="S130" s="94"/>
      <c r="T130" s="94"/>
      <c r="U130" s="94"/>
      <c r="V130" s="94"/>
      <c r="W130" s="94"/>
      <c r="X130" s="94"/>
      <c r="Y130" s="94"/>
      <c r="Z130" s="94"/>
    </row>
    <row r="131">
      <c r="A131" s="94"/>
      <c r="B131" s="94"/>
      <c r="C131" s="94"/>
      <c r="D131" s="94"/>
      <c r="E131" s="94"/>
      <c r="F131" s="94"/>
      <c r="G131" s="94"/>
      <c r="H131" s="94"/>
      <c r="I131" s="94"/>
      <c r="J131" s="94"/>
      <c r="K131" s="94"/>
      <c r="L131" s="94"/>
      <c r="M131" s="94"/>
      <c r="N131" s="94"/>
      <c r="O131" s="94"/>
      <c r="P131" s="94"/>
      <c r="Q131" s="94"/>
      <c r="R131" s="94"/>
      <c r="S131" s="94"/>
      <c r="T131" s="94"/>
      <c r="U131" s="94"/>
      <c r="V131" s="94"/>
      <c r="W131" s="94"/>
      <c r="X131" s="94"/>
      <c r="Y131" s="94"/>
      <c r="Z131" s="94"/>
    </row>
    <row r="132">
      <c r="A132" s="94"/>
      <c r="B132" s="94"/>
      <c r="C132" s="94"/>
      <c r="D132" s="94"/>
      <c r="E132" s="94"/>
      <c r="F132" s="94"/>
      <c r="G132" s="94"/>
      <c r="H132" s="94"/>
      <c r="I132" s="94"/>
      <c r="J132" s="94"/>
      <c r="K132" s="94"/>
      <c r="L132" s="94"/>
      <c r="M132" s="94"/>
      <c r="N132" s="94"/>
      <c r="O132" s="94"/>
      <c r="P132" s="94"/>
      <c r="Q132" s="94"/>
      <c r="R132" s="94"/>
      <c r="S132" s="94"/>
      <c r="T132" s="94"/>
      <c r="U132" s="94"/>
      <c r="V132" s="94"/>
      <c r="W132" s="94"/>
      <c r="X132" s="94"/>
      <c r="Y132" s="94"/>
      <c r="Z132" s="94"/>
    </row>
    <row r="133">
      <c r="A133" s="94"/>
      <c r="B133" s="94"/>
      <c r="C133" s="94"/>
      <c r="D133" s="94"/>
      <c r="E133" s="94"/>
      <c r="F133" s="94"/>
      <c r="G133" s="94"/>
      <c r="H133" s="94"/>
      <c r="I133" s="94"/>
      <c r="J133" s="94"/>
      <c r="K133" s="94"/>
      <c r="L133" s="94"/>
      <c r="M133" s="94"/>
      <c r="N133" s="94"/>
      <c r="O133" s="94"/>
      <c r="P133" s="94"/>
      <c r="Q133" s="94"/>
      <c r="R133" s="94"/>
      <c r="S133" s="94"/>
      <c r="T133" s="94"/>
      <c r="U133" s="94"/>
      <c r="V133" s="94"/>
      <c r="W133" s="94"/>
      <c r="X133" s="94"/>
      <c r="Y133" s="94"/>
      <c r="Z133" s="94"/>
    </row>
    <row r="134">
      <c r="A134" s="94"/>
      <c r="B134" s="94"/>
      <c r="C134" s="94"/>
      <c r="D134" s="94"/>
      <c r="E134" s="94"/>
      <c r="F134" s="94"/>
      <c r="G134" s="94"/>
      <c r="H134" s="94"/>
      <c r="I134" s="94"/>
      <c r="J134" s="94"/>
      <c r="K134" s="94"/>
      <c r="L134" s="94"/>
      <c r="M134" s="94"/>
      <c r="N134" s="94"/>
      <c r="O134" s="94"/>
      <c r="P134" s="94"/>
      <c r="Q134" s="94"/>
      <c r="R134" s="94"/>
      <c r="S134" s="94"/>
      <c r="T134" s="94"/>
      <c r="U134" s="94"/>
      <c r="V134" s="94"/>
      <c r="W134" s="94"/>
      <c r="X134" s="94"/>
      <c r="Y134" s="94"/>
      <c r="Z134" s="94"/>
    </row>
    <row r="135">
      <c r="A135" s="94"/>
      <c r="B135" s="94"/>
      <c r="C135" s="94"/>
      <c r="D135" s="94"/>
      <c r="E135" s="94"/>
      <c r="F135" s="94"/>
      <c r="G135" s="94"/>
      <c r="H135" s="94"/>
      <c r="I135" s="94"/>
      <c r="J135" s="94"/>
      <c r="K135" s="94"/>
      <c r="L135" s="94"/>
      <c r="M135" s="94"/>
      <c r="N135" s="94"/>
      <c r="O135" s="94"/>
      <c r="P135" s="94"/>
      <c r="Q135" s="94"/>
      <c r="R135" s="94"/>
      <c r="S135" s="94"/>
      <c r="T135" s="94"/>
      <c r="U135" s="94"/>
      <c r="V135" s="94"/>
      <c r="W135" s="94"/>
      <c r="X135" s="94"/>
      <c r="Y135" s="94"/>
      <c r="Z135" s="94"/>
    </row>
    <row r="136">
      <c r="A136" s="94"/>
      <c r="B136" s="94"/>
      <c r="C136" s="94"/>
      <c r="D136" s="94"/>
      <c r="E136" s="94"/>
      <c r="F136" s="94"/>
      <c r="G136" s="94"/>
      <c r="H136" s="94"/>
      <c r="I136" s="94"/>
      <c r="J136" s="94"/>
      <c r="K136" s="94"/>
      <c r="L136" s="94"/>
      <c r="M136" s="94"/>
      <c r="N136" s="94"/>
      <c r="O136" s="94"/>
      <c r="P136" s="94"/>
      <c r="Q136" s="94"/>
      <c r="R136" s="94"/>
      <c r="S136" s="94"/>
      <c r="T136" s="94"/>
      <c r="U136" s="94"/>
      <c r="V136" s="94"/>
      <c r="W136" s="94"/>
      <c r="X136" s="94"/>
      <c r="Y136" s="94"/>
      <c r="Z136" s="94"/>
    </row>
    <row r="137">
      <c r="A137" s="94"/>
      <c r="B137" s="94"/>
      <c r="C137" s="94"/>
      <c r="D137" s="94"/>
      <c r="E137" s="94"/>
      <c r="F137" s="94"/>
      <c r="G137" s="94"/>
      <c r="H137" s="94"/>
      <c r="I137" s="94"/>
      <c r="J137" s="94"/>
      <c r="K137" s="94"/>
      <c r="L137" s="94"/>
      <c r="M137" s="94"/>
      <c r="N137" s="94"/>
      <c r="O137" s="94"/>
      <c r="P137" s="94"/>
      <c r="Q137" s="94"/>
      <c r="R137" s="94"/>
      <c r="S137" s="94"/>
      <c r="T137" s="94"/>
      <c r="U137" s="94"/>
      <c r="V137" s="94"/>
      <c r="W137" s="94"/>
      <c r="X137" s="94"/>
      <c r="Y137" s="94"/>
      <c r="Z137" s="94"/>
    </row>
    <row r="138">
      <c r="A138" s="94"/>
      <c r="B138" s="94"/>
      <c r="C138" s="94"/>
      <c r="D138" s="94"/>
      <c r="E138" s="94"/>
      <c r="F138" s="94"/>
      <c r="G138" s="94"/>
      <c r="H138" s="94"/>
      <c r="I138" s="94"/>
      <c r="J138" s="94"/>
      <c r="K138" s="94"/>
      <c r="L138" s="94"/>
      <c r="M138" s="94"/>
      <c r="N138" s="94"/>
      <c r="O138" s="94"/>
      <c r="P138" s="94"/>
      <c r="Q138" s="94"/>
      <c r="R138" s="94"/>
      <c r="S138" s="94"/>
      <c r="T138" s="94"/>
      <c r="U138" s="94"/>
      <c r="V138" s="94"/>
      <c r="W138" s="94"/>
      <c r="X138" s="94"/>
      <c r="Y138" s="94"/>
      <c r="Z138" s="94"/>
    </row>
    <row r="139">
      <c r="A139" s="94"/>
      <c r="B139" s="94"/>
      <c r="C139" s="94"/>
      <c r="D139" s="94"/>
      <c r="E139" s="94"/>
      <c r="F139" s="94"/>
      <c r="G139" s="94"/>
      <c r="H139" s="94"/>
      <c r="I139" s="94"/>
      <c r="J139" s="94"/>
      <c r="K139" s="94"/>
      <c r="L139" s="94"/>
      <c r="M139" s="94"/>
      <c r="N139" s="94"/>
      <c r="O139" s="94"/>
      <c r="P139" s="94"/>
      <c r="Q139" s="94"/>
      <c r="R139" s="94"/>
      <c r="S139" s="94"/>
      <c r="T139" s="94"/>
      <c r="U139" s="94"/>
      <c r="V139" s="94"/>
      <c r="W139" s="94"/>
      <c r="X139" s="94"/>
      <c r="Y139" s="94"/>
      <c r="Z139" s="94"/>
    </row>
    <row r="140">
      <c r="A140" s="94"/>
      <c r="B140" s="94"/>
      <c r="C140" s="94"/>
      <c r="D140" s="94"/>
      <c r="E140" s="94"/>
      <c r="F140" s="94"/>
      <c r="G140" s="94"/>
      <c r="H140" s="94"/>
      <c r="I140" s="94"/>
      <c r="J140" s="94"/>
      <c r="K140" s="94"/>
      <c r="L140" s="94"/>
      <c r="M140" s="94"/>
      <c r="N140" s="94"/>
      <c r="O140" s="94"/>
      <c r="P140" s="94"/>
      <c r="Q140" s="94"/>
      <c r="R140" s="94"/>
      <c r="S140" s="94"/>
      <c r="T140" s="94"/>
      <c r="U140" s="94"/>
      <c r="V140" s="94"/>
      <c r="W140" s="94"/>
      <c r="X140" s="94"/>
      <c r="Y140" s="94"/>
      <c r="Z140" s="94"/>
    </row>
    <row r="141">
      <c r="A141" s="94"/>
      <c r="B141" s="94"/>
      <c r="C141" s="94"/>
      <c r="D141" s="94"/>
      <c r="E141" s="94"/>
      <c r="F141" s="94"/>
      <c r="G141" s="94"/>
      <c r="H141" s="94"/>
      <c r="I141" s="94"/>
      <c r="J141" s="94"/>
      <c r="K141" s="94"/>
      <c r="L141" s="94"/>
      <c r="M141" s="94"/>
      <c r="N141" s="94"/>
      <c r="O141" s="94"/>
      <c r="P141" s="94"/>
      <c r="Q141" s="94"/>
      <c r="R141" s="94"/>
      <c r="S141" s="94"/>
      <c r="T141" s="94"/>
      <c r="U141" s="94"/>
      <c r="V141" s="94"/>
      <c r="W141" s="94"/>
      <c r="X141" s="94"/>
      <c r="Y141" s="94"/>
      <c r="Z141" s="94"/>
    </row>
    <row r="142">
      <c r="A142" s="94"/>
      <c r="B142" s="94"/>
      <c r="C142" s="94"/>
      <c r="D142" s="94"/>
      <c r="E142" s="94"/>
      <c r="F142" s="94"/>
      <c r="G142" s="94"/>
      <c r="H142" s="94"/>
      <c r="I142" s="94"/>
      <c r="J142" s="94"/>
      <c r="K142" s="94"/>
      <c r="L142" s="94"/>
      <c r="M142" s="94"/>
      <c r="N142" s="94"/>
      <c r="O142" s="94"/>
      <c r="P142" s="94"/>
      <c r="Q142" s="94"/>
      <c r="R142" s="94"/>
      <c r="S142" s="94"/>
      <c r="T142" s="94"/>
      <c r="U142" s="94"/>
      <c r="V142" s="94"/>
      <c r="W142" s="94"/>
      <c r="X142" s="94"/>
      <c r="Y142" s="94"/>
      <c r="Z142" s="94"/>
    </row>
    <row r="143">
      <c r="A143" s="94"/>
      <c r="B143" s="94"/>
      <c r="C143" s="94"/>
      <c r="D143" s="94"/>
      <c r="E143" s="94"/>
      <c r="F143" s="94"/>
      <c r="G143" s="94"/>
      <c r="H143" s="94"/>
      <c r="I143" s="94"/>
      <c r="J143" s="94"/>
      <c r="K143" s="94"/>
      <c r="L143" s="94"/>
      <c r="M143" s="94"/>
      <c r="N143" s="94"/>
      <c r="O143" s="94"/>
      <c r="P143" s="94"/>
      <c r="Q143" s="94"/>
      <c r="R143" s="94"/>
      <c r="S143" s="94"/>
      <c r="T143" s="94"/>
      <c r="U143" s="94"/>
      <c r="V143" s="94"/>
      <c r="W143" s="94"/>
      <c r="X143" s="94"/>
      <c r="Y143" s="94"/>
      <c r="Z143" s="94"/>
    </row>
    <row r="144">
      <c r="A144" s="94"/>
      <c r="B144" s="94"/>
      <c r="C144" s="94"/>
      <c r="D144" s="94"/>
      <c r="E144" s="94"/>
      <c r="F144" s="94"/>
      <c r="G144" s="94"/>
      <c r="H144" s="94"/>
      <c r="I144" s="94"/>
      <c r="J144" s="94"/>
      <c r="K144" s="94"/>
      <c r="L144" s="94"/>
      <c r="M144" s="94"/>
      <c r="N144" s="94"/>
      <c r="O144" s="94"/>
      <c r="P144" s="94"/>
      <c r="Q144" s="94"/>
      <c r="R144" s="94"/>
      <c r="S144" s="94"/>
      <c r="T144" s="94"/>
      <c r="U144" s="94"/>
      <c r="V144" s="94"/>
      <c r="W144" s="94"/>
      <c r="X144" s="94"/>
      <c r="Y144" s="94"/>
      <c r="Z144" s="94"/>
    </row>
    <row r="145">
      <c r="A145" s="94"/>
      <c r="B145" s="94"/>
      <c r="C145" s="94"/>
      <c r="D145" s="94"/>
      <c r="E145" s="94"/>
      <c r="F145" s="94"/>
      <c r="G145" s="94"/>
      <c r="H145" s="94"/>
      <c r="I145" s="94"/>
      <c r="J145" s="94"/>
      <c r="K145" s="94"/>
      <c r="L145" s="94"/>
      <c r="M145" s="94"/>
      <c r="N145" s="94"/>
      <c r="O145" s="94"/>
      <c r="P145" s="94"/>
      <c r="Q145" s="94"/>
      <c r="R145" s="94"/>
      <c r="S145" s="94"/>
      <c r="T145" s="94"/>
      <c r="U145" s="94"/>
      <c r="V145" s="94"/>
      <c r="W145" s="94"/>
      <c r="X145" s="94"/>
      <c r="Y145" s="94"/>
      <c r="Z145" s="94"/>
    </row>
    <row r="146">
      <c r="A146" s="94"/>
      <c r="B146" s="94"/>
      <c r="C146" s="94"/>
      <c r="D146" s="94"/>
      <c r="E146" s="94"/>
      <c r="F146" s="94"/>
      <c r="G146" s="94"/>
      <c r="H146" s="94"/>
      <c r="I146" s="94"/>
      <c r="J146" s="94"/>
      <c r="K146" s="94"/>
      <c r="L146" s="94"/>
      <c r="M146" s="94"/>
      <c r="N146" s="94"/>
      <c r="O146" s="94"/>
      <c r="P146" s="94"/>
      <c r="Q146" s="94"/>
      <c r="R146" s="94"/>
      <c r="S146" s="94"/>
      <c r="T146" s="94"/>
      <c r="U146" s="94"/>
      <c r="V146" s="94"/>
      <c r="W146" s="94"/>
      <c r="X146" s="94"/>
      <c r="Y146" s="94"/>
      <c r="Z146" s="94"/>
    </row>
    <row r="147">
      <c r="A147" s="94"/>
      <c r="B147" s="94"/>
      <c r="C147" s="94"/>
      <c r="D147" s="94"/>
      <c r="E147" s="94"/>
      <c r="F147" s="94"/>
      <c r="G147" s="94"/>
      <c r="H147" s="94"/>
      <c r="I147" s="94"/>
      <c r="J147" s="94"/>
      <c r="K147" s="94"/>
      <c r="L147" s="94"/>
      <c r="M147" s="94"/>
      <c r="N147" s="94"/>
      <c r="O147" s="94"/>
      <c r="P147" s="94"/>
      <c r="Q147" s="94"/>
      <c r="R147" s="94"/>
      <c r="S147" s="94"/>
      <c r="T147" s="94"/>
      <c r="U147" s="94"/>
      <c r="V147" s="94"/>
      <c r="W147" s="94"/>
      <c r="X147" s="94"/>
      <c r="Y147" s="94"/>
      <c r="Z147" s="94"/>
    </row>
    <row r="148">
      <c r="A148" s="94"/>
      <c r="B148" s="94"/>
      <c r="C148" s="94"/>
      <c r="D148" s="94"/>
      <c r="E148" s="94"/>
      <c r="F148" s="94"/>
      <c r="G148" s="94"/>
      <c r="H148" s="94"/>
      <c r="I148" s="94"/>
      <c r="J148" s="94"/>
      <c r="K148" s="94"/>
      <c r="L148" s="94"/>
      <c r="M148" s="94"/>
      <c r="N148" s="94"/>
      <c r="O148" s="94"/>
      <c r="P148" s="94"/>
      <c r="Q148" s="94"/>
      <c r="R148" s="94"/>
      <c r="S148" s="94"/>
      <c r="T148" s="94"/>
      <c r="U148" s="94"/>
      <c r="V148" s="94"/>
      <c r="W148" s="94"/>
      <c r="X148" s="94"/>
      <c r="Y148" s="94"/>
      <c r="Z148" s="94"/>
    </row>
    <row r="149">
      <c r="A149" s="94"/>
      <c r="B149" s="94"/>
      <c r="C149" s="94"/>
      <c r="D149" s="94"/>
      <c r="E149" s="94"/>
      <c r="F149" s="94"/>
      <c r="G149" s="94"/>
      <c r="H149" s="94"/>
      <c r="I149" s="94"/>
      <c r="J149" s="94"/>
      <c r="K149" s="94"/>
      <c r="L149" s="94"/>
      <c r="M149" s="94"/>
      <c r="N149" s="94"/>
      <c r="O149" s="94"/>
      <c r="P149" s="94"/>
      <c r="Q149" s="94"/>
      <c r="R149" s="94"/>
      <c r="S149" s="94"/>
      <c r="T149" s="94"/>
      <c r="U149" s="94"/>
      <c r="V149" s="94"/>
      <c r="W149" s="94"/>
      <c r="X149" s="94"/>
      <c r="Y149" s="94"/>
      <c r="Z149" s="94"/>
    </row>
    <row r="150">
      <c r="A150" s="94"/>
      <c r="B150" s="94"/>
      <c r="C150" s="94"/>
      <c r="D150" s="94"/>
      <c r="E150" s="94"/>
      <c r="F150" s="94"/>
      <c r="G150" s="94"/>
      <c r="H150" s="94"/>
      <c r="I150" s="94"/>
      <c r="J150" s="94"/>
      <c r="K150" s="94"/>
      <c r="L150" s="94"/>
      <c r="M150" s="94"/>
      <c r="N150" s="94"/>
      <c r="O150" s="94"/>
      <c r="P150" s="94"/>
      <c r="Q150" s="94"/>
      <c r="R150" s="94"/>
      <c r="S150" s="94"/>
      <c r="T150" s="94"/>
      <c r="U150" s="94"/>
      <c r="V150" s="94"/>
      <c r="W150" s="94"/>
      <c r="X150" s="94"/>
      <c r="Y150" s="94"/>
      <c r="Z150" s="94"/>
    </row>
    <row r="151">
      <c r="A151" s="94"/>
      <c r="B151" s="94"/>
      <c r="C151" s="94"/>
      <c r="D151" s="94"/>
      <c r="E151" s="94"/>
      <c r="F151" s="94"/>
      <c r="G151" s="94"/>
      <c r="H151" s="94"/>
      <c r="I151" s="94"/>
      <c r="J151" s="94"/>
      <c r="K151" s="94"/>
      <c r="L151" s="94"/>
      <c r="M151" s="94"/>
      <c r="N151" s="94"/>
      <c r="O151" s="94"/>
      <c r="P151" s="94"/>
      <c r="Q151" s="94"/>
      <c r="R151" s="94"/>
      <c r="S151" s="94"/>
      <c r="T151" s="94"/>
      <c r="U151" s="94"/>
      <c r="V151" s="94"/>
      <c r="W151" s="94"/>
      <c r="X151" s="94"/>
      <c r="Y151" s="94"/>
      <c r="Z151" s="94"/>
    </row>
    <row r="152">
      <c r="A152" s="94"/>
      <c r="B152" s="94"/>
      <c r="C152" s="94"/>
      <c r="D152" s="94"/>
      <c r="E152" s="94"/>
      <c r="F152" s="94"/>
      <c r="G152" s="94"/>
      <c r="H152" s="94"/>
      <c r="I152" s="94"/>
      <c r="J152" s="94"/>
      <c r="K152" s="94"/>
      <c r="L152" s="94"/>
      <c r="M152" s="94"/>
      <c r="N152" s="94"/>
      <c r="O152" s="94"/>
      <c r="P152" s="94"/>
      <c r="Q152" s="94"/>
      <c r="R152" s="94"/>
      <c r="S152" s="94"/>
      <c r="T152" s="94"/>
      <c r="U152" s="94"/>
      <c r="V152" s="94"/>
      <c r="W152" s="94"/>
      <c r="X152" s="94"/>
      <c r="Y152" s="94"/>
      <c r="Z152" s="94"/>
    </row>
    <row r="153">
      <c r="A153" s="94"/>
      <c r="B153" s="94"/>
      <c r="C153" s="94"/>
      <c r="D153" s="94"/>
      <c r="E153" s="94"/>
      <c r="F153" s="94"/>
      <c r="G153" s="94"/>
      <c r="H153" s="94"/>
      <c r="I153" s="94"/>
      <c r="J153" s="94"/>
      <c r="K153" s="94"/>
      <c r="L153" s="94"/>
      <c r="M153" s="94"/>
      <c r="N153" s="94"/>
      <c r="O153" s="94"/>
      <c r="P153" s="94"/>
      <c r="Q153" s="94"/>
      <c r="R153" s="94"/>
      <c r="S153" s="94"/>
      <c r="T153" s="94"/>
      <c r="U153" s="94"/>
      <c r="V153" s="94"/>
      <c r="W153" s="94"/>
      <c r="X153" s="94"/>
      <c r="Y153" s="94"/>
      <c r="Z153" s="94"/>
    </row>
    <row r="154">
      <c r="A154" s="94"/>
      <c r="B154" s="94"/>
      <c r="C154" s="94"/>
      <c r="D154" s="94"/>
      <c r="E154" s="94"/>
      <c r="F154" s="94"/>
      <c r="G154" s="94"/>
      <c r="H154" s="94"/>
      <c r="I154" s="94"/>
      <c r="J154" s="94"/>
      <c r="K154" s="94"/>
      <c r="L154" s="94"/>
      <c r="M154" s="94"/>
      <c r="N154" s="94"/>
      <c r="O154" s="94"/>
      <c r="P154" s="94"/>
      <c r="Q154" s="94"/>
      <c r="R154" s="94"/>
      <c r="S154" s="94"/>
      <c r="T154" s="94"/>
      <c r="U154" s="94"/>
      <c r="V154" s="94"/>
      <c r="W154" s="94"/>
      <c r="X154" s="94"/>
      <c r="Y154" s="94"/>
      <c r="Z154" s="94"/>
    </row>
    <row r="155">
      <c r="A155" s="94"/>
      <c r="B155" s="94"/>
      <c r="C155" s="94"/>
      <c r="D155" s="94"/>
      <c r="E155" s="94"/>
      <c r="F155" s="94"/>
      <c r="G155" s="94"/>
      <c r="H155" s="94"/>
      <c r="I155" s="94"/>
      <c r="J155" s="94"/>
      <c r="K155" s="94"/>
      <c r="L155" s="94"/>
      <c r="M155" s="94"/>
      <c r="N155" s="94"/>
      <c r="O155" s="94"/>
      <c r="P155" s="94"/>
      <c r="Q155" s="94"/>
      <c r="R155" s="94"/>
      <c r="S155" s="94"/>
      <c r="T155" s="94"/>
      <c r="U155" s="94"/>
      <c r="V155" s="94"/>
      <c r="W155" s="94"/>
      <c r="X155" s="94"/>
      <c r="Y155" s="94"/>
      <c r="Z155" s="94"/>
    </row>
    <row r="156">
      <c r="A156" s="94"/>
      <c r="B156" s="94"/>
      <c r="C156" s="94"/>
      <c r="D156" s="94"/>
      <c r="E156" s="94"/>
      <c r="F156" s="94"/>
      <c r="G156" s="94"/>
      <c r="H156" s="94"/>
      <c r="I156" s="94"/>
      <c r="J156" s="94"/>
      <c r="K156" s="94"/>
      <c r="L156" s="94"/>
      <c r="M156" s="94"/>
      <c r="N156" s="94"/>
      <c r="O156" s="94"/>
      <c r="P156" s="94"/>
      <c r="Q156" s="94"/>
      <c r="R156" s="94"/>
      <c r="S156" s="94"/>
      <c r="T156" s="94"/>
      <c r="U156" s="94"/>
      <c r="V156" s="94"/>
      <c r="W156" s="94"/>
      <c r="X156" s="94"/>
      <c r="Y156" s="94"/>
      <c r="Z156" s="94"/>
    </row>
    <row r="157">
      <c r="A157" s="94"/>
      <c r="B157" s="94"/>
      <c r="C157" s="94"/>
      <c r="D157" s="94"/>
      <c r="E157" s="94"/>
      <c r="F157" s="94"/>
      <c r="G157" s="94"/>
      <c r="H157" s="94"/>
      <c r="I157" s="94"/>
      <c r="J157" s="94"/>
      <c r="K157" s="94"/>
      <c r="L157" s="94"/>
      <c r="M157" s="94"/>
      <c r="N157" s="94"/>
      <c r="O157" s="94"/>
      <c r="P157" s="94"/>
      <c r="Q157" s="94"/>
      <c r="R157" s="94"/>
      <c r="S157" s="94"/>
      <c r="T157" s="94"/>
      <c r="U157" s="94"/>
      <c r="V157" s="94"/>
      <c r="W157" s="94"/>
      <c r="X157" s="94"/>
      <c r="Y157" s="94"/>
      <c r="Z157" s="94"/>
    </row>
    <row r="158">
      <c r="A158" s="94"/>
      <c r="B158" s="94"/>
      <c r="C158" s="94"/>
      <c r="D158" s="94"/>
      <c r="E158" s="94"/>
      <c r="F158" s="94"/>
      <c r="G158" s="94"/>
      <c r="H158" s="94"/>
      <c r="I158" s="94"/>
      <c r="J158" s="94"/>
      <c r="K158" s="94"/>
      <c r="L158" s="94"/>
      <c r="M158" s="94"/>
      <c r="N158" s="94"/>
      <c r="O158" s="94"/>
      <c r="P158" s="94"/>
      <c r="Q158" s="94"/>
      <c r="R158" s="94"/>
      <c r="S158" s="94"/>
      <c r="T158" s="94"/>
      <c r="U158" s="94"/>
      <c r="V158" s="94"/>
      <c r="W158" s="94"/>
      <c r="X158" s="94"/>
      <c r="Y158" s="94"/>
      <c r="Z158" s="94"/>
    </row>
    <row r="159">
      <c r="A159" s="94"/>
      <c r="B159" s="94"/>
      <c r="C159" s="94"/>
      <c r="D159" s="94"/>
      <c r="E159" s="94"/>
      <c r="F159" s="94"/>
      <c r="G159" s="94"/>
      <c r="H159" s="94"/>
      <c r="I159" s="94"/>
      <c r="J159" s="94"/>
      <c r="K159" s="94"/>
      <c r="L159" s="94"/>
      <c r="M159" s="94"/>
      <c r="N159" s="94"/>
      <c r="O159" s="94"/>
      <c r="P159" s="94"/>
      <c r="Q159" s="94"/>
      <c r="R159" s="94"/>
      <c r="S159" s="94"/>
      <c r="T159" s="94"/>
      <c r="U159" s="94"/>
      <c r="V159" s="94"/>
      <c r="W159" s="94"/>
      <c r="X159" s="94"/>
      <c r="Y159" s="94"/>
      <c r="Z159" s="94"/>
    </row>
    <row r="160">
      <c r="A160" s="94"/>
      <c r="B160" s="94"/>
      <c r="C160" s="94"/>
      <c r="D160" s="94"/>
      <c r="E160" s="94"/>
      <c r="F160" s="94"/>
      <c r="G160" s="94"/>
      <c r="H160" s="94"/>
      <c r="I160" s="94"/>
      <c r="J160" s="94"/>
      <c r="K160" s="94"/>
      <c r="L160" s="94"/>
      <c r="M160" s="94"/>
      <c r="N160" s="94"/>
      <c r="O160" s="94"/>
      <c r="P160" s="94"/>
      <c r="Q160" s="94"/>
      <c r="R160" s="94"/>
      <c r="S160" s="94"/>
      <c r="T160" s="94"/>
      <c r="U160" s="94"/>
      <c r="V160" s="94"/>
      <c r="W160" s="94"/>
      <c r="X160" s="94"/>
      <c r="Y160" s="94"/>
      <c r="Z160" s="94"/>
    </row>
    <row r="161">
      <c r="A161" s="94"/>
      <c r="B161" s="94"/>
      <c r="C161" s="94"/>
      <c r="D161" s="94"/>
      <c r="E161" s="94"/>
      <c r="F161" s="94"/>
      <c r="G161" s="94"/>
      <c r="H161" s="94"/>
      <c r="I161" s="94"/>
      <c r="J161" s="94"/>
      <c r="K161" s="94"/>
      <c r="L161" s="94"/>
      <c r="M161" s="94"/>
      <c r="N161" s="94"/>
      <c r="O161" s="94"/>
      <c r="P161" s="94"/>
      <c r="Q161" s="94"/>
      <c r="R161" s="94"/>
      <c r="S161" s="94"/>
      <c r="T161" s="94"/>
      <c r="U161" s="94"/>
      <c r="V161" s="94"/>
      <c r="W161" s="94"/>
      <c r="X161" s="94"/>
      <c r="Y161" s="94"/>
      <c r="Z161" s="94"/>
    </row>
    <row r="162">
      <c r="A162" s="94"/>
      <c r="B162" s="94"/>
      <c r="C162" s="94"/>
      <c r="D162" s="94"/>
      <c r="E162" s="94"/>
      <c r="F162" s="94"/>
      <c r="G162" s="94"/>
      <c r="H162" s="94"/>
      <c r="I162" s="94"/>
      <c r="J162" s="94"/>
      <c r="K162" s="94"/>
      <c r="L162" s="94"/>
      <c r="M162" s="94"/>
      <c r="N162" s="94"/>
      <c r="O162" s="94"/>
      <c r="P162" s="94"/>
      <c r="Q162" s="94"/>
      <c r="R162" s="94"/>
      <c r="S162" s="94"/>
      <c r="T162" s="94"/>
      <c r="U162" s="94"/>
      <c r="V162" s="94"/>
      <c r="W162" s="94"/>
      <c r="X162" s="94"/>
      <c r="Y162" s="94"/>
      <c r="Z162" s="94"/>
    </row>
    <row r="163">
      <c r="A163" s="94"/>
      <c r="B163" s="94"/>
      <c r="C163" s="94"/>
      <c r="D163" s="94"/>
      <c r="E163" s="94"/>
      <c r="F163" s="94"/>
      <c r="G163" s="94"/>
      <c r="H163" s="94"/>
      <c r="I163" s="94"/>
      <c r="J163" s="94"/>
      <c r="K163" s="94"/>
      <c r="L163" s="94"/>
      <c r="M163" s="94"/>
      <c r="N163" s="94"/>
      <c r="O163" s="94"/>
      <c r="P163" s="94"/>
      <c r="Q163" s="94"/>
      <c r="R163" s="94"/>
      <c r="S163" s="94"/>
      <c r="T163" s="94"/>
      <c r="U163" s="94"/>
      <c r="V163" s="94"/>
      <c r="W163" s="94"/>
      <c r="X163" s="94"/>
      <c r="Y163" s="94"/>
      <c r="Z163" s="94"/>
    </row>
    <row r="164">
      <c r="A164" s="94"/>
      <c r="B164" s="94"/>
      <c r="C164" s="94"/>
      <c r="D164" s="94"/>
      <c r="E164" s="94"/>
      <c r="F164" s="94"/>
      <c r="G164" s="94"/>
      <c r="H164" s="94"/>
      <c r="I164" s="94"/>
      <c r="J164" s="94"/>
      <c r="K164" s="94"/>
      <c r="L164" s="94"/>
      <c r="M164" s="94"/>
      <c r="N164" s="94"/>
      <c r="O164" s="94"/>
      <c r="P164" s="94"/>
      <c r="Q164" s="94"/>
      <c r="R164" s="94"/>
      <c r="S164" s="94"/>
      <c r="T164" s="94"/>
      <c r="U164" s="94"/>
      <c r="V164" s="94"/>
      <c r="W164" s="94"/>
      <c r="X164" s="94"/>
      <c r="Y164" s="94"/>
      <c r="Z164" s="94"/>
    </row>
    <row r="165">
      <c r="A165" s="94"/>
      <c r="B165" s="94"/>
      <c r="C165" s="94"/>
      <c r="D165" s="94"/>
      <c r="E165" s="94"/>
      <c r="F165" s="94"/>
      <c r="G165" s="94"/>
      <c r="H165" s="94"/>
      <c r="I165" s="94"/>
      <c r="J165" s="94"/>
      <c r="K165" s="94"/>
      <c r="L165" s="94"/>
      <c r="M165" s="94"/>
      <c r="N165" s="94"/>
      <c r="O165" s="94"/>
      <c r="P165" s="94"/>
      <c r="Q165" s="94"/>
      <c r="R165" s="94"/>
      <c r="S165" s="94"/>
      <c r="T165" s="94"/>
      <c r="U165" s="94"/>
      <c r="V165" s="94"/>
      <c r="W165" s="94"/>
      <c r="X165" s="94"/>
      <c r="Y165" s="94"/>
      <c r="Z165" s="94"/>
    </row>
    <row r="166">
      <c r="A166" s="94"/>
      <c r="B166" s="94"/>
      <c r="C166" s="94"/>
      <c r="D166" s="94"/>
      <c r="E166" s="94"/>
      <c r="F166" s="94"/>
      <c r="G166" s="94"/>
      <c r="H166" s="94"/>
      <c r="I166" s="94"/>
      <c r="J166" s="94"/>
      <c r="K166" s="94"/>
      <c r="L166" s="94"/>
      <c r="M166" s="94"/>
      <c r="N166" s="94"/>
      <c r="O166" s="94"/>
      <c r="P166" s="94"/>
      <c r="Q166" s="94"/>
      <c r="R166" s="94"/>
      <c r="S166" s="94"/>
      <c r="T166" s="94"/>
      <c r="U166" s="94"/>
      <c r="V166" s="94"/>
      <c r="W166" s="94"/>
      <c r="X166" s="94"/>
      <c r="Y166" s="94"/>
      <c r="Z166" s="94"/>
    </row>
    <row r="167">
      <c r="A167" s="94"/>
      <c r="B167" s="94"/>
      <c r="C167" s="94"/>
      <c r="D167" s="94"/>
      <c r="E167" s="94"/>
      <c r="F167" s="94"/>
      <c r="G167" s="94"/>
      <c r="H167" s="94"/>
      <c r="I167" s="94"/>
      <c r="J167" s="94"/>
      <c r="K167" s="94"/>
      <c r="L167" s="94"/>
      <c r="M167" s="94"/>
      <c r="N167" s="94"/>
      <c r="O167" s="94"/>
      <c r="P167" s="94"/>
      <c r="Q167" s="94"/>
      <c r="R167" s="94"/>
      <c r="S167" s="94"/>
      <c r="T167" s="94"/>
      <c r="U167" s="94"/>
      <c r="V167" s="94"/>
      <c r="W167" s="94"/>
      <c r="X167" s="94"/>
      <c r="Y167" s="94"/>
      <c r="Z167" s="94"/>
    </row>
    <row r="168">
      <c r="A168" s="94"/>
      <c r="B168" s="94"/>
      <c r="C168" s="94"/>
      <c r="D168" s="94"/>
      <c r="E168" s="94"/>
      <c r="F168" s="94"/>
      <c r="G168" s="94"/>
      <c r="H168" s="94"/>
      <c r="I168" s="94"/>
      <c r="J168" s="94"/>
      <c r="K168" s="94"/>
      <c r="L168" s="94"/>
      <c r="M168" s="94"/>
      <c r="N168" s="94"/>
      <c r="O168" s="94"/>
      <c r="P168" s="94"/>
      <c r="Q168" s="94"/>
      <c r="R168" s="94"/>
      <c r="S168" s="94"/>
      <c r="T168" s="94"/>
      <c r="U168" s="94"/>
      <c r="V168" s="94"/>
      <c r="W168" s="94"/>
      <c r="X168" s="94"/>
      <c r="Y168" s="94"/>
      <c r="Z168" s="94"/>
    </row>
    <row r="169">
      <c r="A169" s="94"/>
      <c r="B169" s="94"/>
      <c r="C169" s="94"/>
      <c r="D169" s="94"/>
      <c r="E169" s="94"/>
      <c r="F169" s="94"/>
      <c r="G169" s="94"/>
      <c r="H169" s="94"/>
      <c r="I169" s="94"/>
      <c r="J169" s="94"/>
      <c r="K169" s="94"/>
      <c r="L169" s="94"/>
      <c r="M169" s="94"/>
      <c r="N169" s="94"/>
      <c r="O169" s="94"/>
      <c r="P169" s="94"/>
      <c r="Q169" s="94"/>
      <c r="R169" s="94"/>
      <c r="S169" s="94"/>
      <c r="T169" s="94"/>
      <c r="U169" s="94"/>
      <c r="V169" s="94"/>
      <c r="W169" s="94"/>
      <c r="X169" s="94"/>
      <c r="Y169" s="94"/>
      <c r="Z169" s="94"/>
    </row>
    <row r="170">
      <c r="A170" s="94"/>
      <c r="B170" s="94"/>
      <c r="C170" s="94"/>
      <c r="D170" s="94"/>
      <c r="E170" s="94"/>
      <c r="F170" s="94"/>
      <c r="G170" s="94"/>
      <c r="H170" s="94"/>
      <c r="I170" s="94"/>
      <c r="J170" s="94"/>
      <c r="K170" s="94"/>
      <c r="L170" s="94"/>
      <c r="M170" s="94"/>
      <c r="N170" s="94"/>
      <c r="O170" s="94"/>
      <c r="P170" s="94"/>
      <c r="Q170" s="94"/>
      <c r="R170" s="94"/>
      <c r="S170" s="94"/>
      <c r="T170" s="94"/>
      <c r="U170" s="94"/>
      <c r="V170" s="94"/>
      <c r="W170" s="94"/>
      <c r="X170" s="94"/>
      <c r="Y170" s="94"/>
      <c r="Z170" s="94"/>
    </row>
    <row r="171">
      <c r="A171" s="94"/>
      <c r="B171" s="94"/>
      <c r="C171" s="94"/>
      <c r="D171" s="94"/>
      <c r="E171" s="94"/>
      <c r="F171" s="94"/>
      <c r="G171" s="94"/>
      <c r="H171" s="94"/>
      <c r="I171" s="94"/>
      <c r="J171" s="94"/>
      <c r="K171" s="94"/>
      <c r="L171" s="94"/>
      <c r="M171" s="94"/>
      <c r="N171" s="94"/>
      <c r="O171" s="94"/>
      <c r="P171" s="94"/>
      <c r="Q171" s="94"/>
      <c r="R171" s="94"/>
      <c r="S171" s="94"/>
      <c r="T171" s="94"/>
      <c r="U171" s="94"/>
      <c r="V171" s="94"/>
      <c r="W171" s="94"/>
      <c r="X171" s="94"/>
      <c r="Y171" s="94"/>
      <c r="Z171" s="94"/>
    </row>
    <row r="172">
      <c r="A172" s="94"/>
      <c r="B172" s="94"/>
      <c r="C172" s="94"/>
      <c r="D172" s="94"/>
      <c r="E172" s="94"/>
      <c r="F172" s="94"/>
      <c r="G172" s="94"/>
      <c r="H172" s="94"/>
      <c r="I172" s="94"/>
      <c r="J172" s="94"/>
      <c r="K172" s="94"/>
      <c r="L172" s="94"/>
      <c r="M172" s="94"/>
      <c r="N172" s="94"/>
      <c r="O172" s="94"/>
      <c r="P172" s="94"/>
      <c r="Q172" s="94"/>
      <c r="R172" s="94"/>
      <c r="S172" s="94"/>
      <c r="T172" s="94"/>
      <c r="U172" s="94"/>
      <c r="V172" s="94"/>
      <c r="W172" s="94"/>
      <c r="X172" s="94"/>
      <c r="Y172" s="94"/>
      <c r="Z172" s="94"/>
    </row>
    <row r="173">
      <c r="A173" s="94"/>
      <c r="B173" s="94"/>
      <c r="C173" s="94"/>
      <c r="D173" s="94"/>
      <c r="E173" s="94"/>
      <c r="F173" s="94"/>
      <c r="G173" s="94"/>
      <c r="H173" s="94"/>
      <c r="I173" s="94"/>
      <c r="J173" s="94"/>
      <c r="K173" s="94"/>
      <c r="L173" s="94"/>
      <c r="M173" s="94"/>
      <c r="N173" s="94"/>
      <c r="O173" s="94"/>
      <c r="P173" s="94"/>
      <c r="Q173" s="94"/>
      <c r="R173" s="94"/>
      <c r="S173" s="94"/>
      <c r="T173" s="94"/>
      <c r="U173" s="94"/>
      <c r="V173" s="94"/>
      <c r="W173" s="94"/>
      <c r="X173" s="94"/>
      <c r="Y173" s="94"/>
      <c r="Z173" s="94"/>
    </row>
    <row r="174">
      <c r="A174" s="94"/>
      <c r="B174" s="94"/>
      <c r="C174" s="94"/>
      <c r="D174" s="94"/>
      <c r="E174" s="94"/>
      <c r="F174" s="94"/>
      <c r="G174" s="94"/>
      <c r="H174" s="94"/>
      <c r="I174" s="94"/>
      <c r="J174" s="94"/>
      <c r="K174" s="94"/>
      <c r="L174" s="94"/>
      <c r="M174" s="94"/>
      <c r="N174" s="94"/>
      <c r="O174" s="94"/>
      <c r="P174" s="94"/>
      <c r="Q174" s="94"/>
      <c r="R174" s="94"/>
      <c r="S174" s="94"/>
      <c r="T174" s="94"/>
      <c r="U174" s="94"/>
      <c r="V174" s="94"/>
      <c r="W174" s="94"/>
      <c r="X174" s="94"/>
      <c r="Y174" s="94"/>
      <c r="Z174" s="94"/>
    </row>
    <row r="175">
      <c r="A175" s="94"/>
      <c r="B175" s="94"/>
      <c r="C175" s="94"/>
      <c r="D175" s="94"/>
      <c r="E175" s="94"/>
      <c r="F175" s="94"/>
      <c r="G175" s="94"/>
      <c r="H175" s="94"/>
      <c r="I175" s="94"/>
      <c r="J175" s="94"/>
      <c r="K175" s="94"/>
      <c r="L175" s="94"/>
      <c r="M175" s="94"/>
      <c r="N175" s="94"/>
      <c r="O175" s="94"/>
      <c r="P175" s="94"/>
      <c r="Q175" s="94"/>
      <c r="R175" s="94"/>
      <c r="S175" s="94"/>
      <c r="T175" s="94"/>
      <c r="U175" s="94"/>
      <c r="V175" s="94"/>
      <c r="W175" s="94"/>
      <c r="X175" s="94"/>
      <c r="Y175" s="94"/>
      <c r="Z175" s="94"/>
    </row>
    <row r="176">
      <c r="A176" s="94"/>
      <c r="B176" s="94"/>
      <c r="C176" s="94"/>
      <c r="D176" s="94"/>
      <c r="E176" s="94"/>
      <c r="F176" s="94"/>
      <c r="G176" s="94"/>
      <c r="H176" s="94"/>
      <c r="I176" s="94"/>
      <c r="J176" s="94"/>
      <c r="K176" s="94"/>
      <c r="L176" s="94"/>
      <c r="M176" s="94"/>
      <c r="N176" s="94"/>
      <c r="O176" s="94"/>
      <c r="P176" s="94"/>
      <c r="Q176" s="94"/>
      <c r="R176" s="94"/>
      <c r="S176" s="94"/>
      <c r="T176" s="94"/>
      <c r="U176" s="94"/>
      <c r="V176" s="94"/>
      <c r="W176" s="94"/>
      <c r="X176" s="94"/>
      <c r="Y176" s="94"/>
      <c r="Z176" s="94"/>
    </row>
    <row r="177">
      <c r="A177" s="94"/>
      <c r="B177" s="94"/>
      <c r="C177" s="94"/>
      <c r="D177" s="94"/>
      <c r="E177" s="94"/>
      <c r="F177" s="94"/>
      <c r="G177" s="94"/>
      <c r="H177" s="94"/>
      <c r="I177" s="94"/>
      <c r="J177" s="94"/>
      <c r="K177" s="94"/>
      <c r="L177" s="94"/>
      <c r="M177" s="94"/>
      <c r="N177" s="94"/>
      <c r="O177" s="94"/>
      <c r="P177" s="94"/>
      <c r="Q177" s="94"/>
      <c r="R177" s="94"/>
      <c r="S177" s="94"/>
      <c r="T177" s="94"/>
      <c r="U177" s="94"/>
      <c r="V177" s="94"/>
      <c r="W177" s="94"/>
      <c r="X177" s="94"/>
      <c r="Y177" s="94"/>
      <c r="Z177" s="94"/>
    </row>
    <row r="178">
      <c r="A178" s="94"/>
      <c r="B178" s="94"/>
      <c r="C178" s="94"/>
      <c r="D178" s="94"/>
      <c r="E178" s="94"/>
      <c r="F178" s="94"/>
      <c r="G178" s="94"/>
      <c r="H178" s="94"/>
      <c r="I178" s="94"/>
      <c r="J178" s="94"/>
      <c r="K178" s="94"/>
      <c r="L178" s="94"/>
      <c r="M178" s="94"/>
      <c r="N178" s="94"/>
      <c r="O178" s="94"/>
      <c r="P178" s="94"/>
      <c r="Q178" s="94"/>
      <c r="R178" s="94"/>
      <c r="S178" s="94"/>
      <c r="T178" s="94"/>
      <c r="U178" s="94"/>
      <c r="V178" s="94"/>
      <c r="W178" s="94"/>
      <c r="X178" s="94"/>
      <c r="Y178" s="94"/>
      <c r="Z178" s="94"/>
    </row>
    <row r="179">
      <c r="A179" s="94"/>
      <c r="B179" s="94"/>
      <c r="C179" s="94"/>
      <c r="D179" s="94"/>
      <c r="E179" s="94"/>
      <c r="F179" s="94"/>
      <c r="G179" s="94"/>
      <c r="H179" s="94"/>
      <c r="I179" s="94"/>
      <c r="J179" s="94"/>
      <c r="K179" s="94"/>
      <c r="L179" s="94"/>
      <c r="M179" s="94"/>
      <c r="N179" s="94"/>
      <c r="O179" s="94"/>
      <c r="P179" s="94"/>
      <c r="Q179" s="94"/>
      <c r="R179" s="94"/>
      <c r="S179" s="94"/>
      <c r="T179" s="94"/>
      <c r="U179" s="94"/>
      <c r="V179" s="94"/>
      <c r="W179" s="94"/>
      <c r="X179" s="94"/>
      <c r="Y179" s="94"/>
      <c r="Z179" s="94"/>
    </row>
    <row r="180">
      <c r="A180" s="94"/>
      <c r="B180" s="94"/>
      <c r="C180" s="94"/>
      <c r="D180" s="94"/>
      <c r="E180" s="94"/>
      <c r="F180" s="94"/>
      <c r="G180" s="94"/>
      <c r="H180" s="94"/>
      <c r="I180" s="94"/>
      <c r="J180" s="94"/>
      <c r="K180" s="94"/>
      <c r="L180" s="94"/>
      <c r="M180" s="94"/>
      <c r="N180" s="94"/>
      <c r="O180" s="94"/>
      <c r="P180" s="94"/>
      <c r="Q180" s="94"/>
      <c r="R180" s="94"/>
      <c r="S180" s="94"/>
      <c r="T180" s="94"/>
      <c r="U180" s="94"/>
      <c r="V180" s="94"/>
      <c r="W180" s="94"/>
      <c r="X180" s="94"/>
      <c r="Y180" s="94"/>
      <c r="Z180" s="94"/>
    </row>
    <row r="181">
      <c r="A181" s="94"/>
      <c r="B181" s="94"/>
      <c r="C181" s="94"/>
      <c r="D181" s="94"/>
      <c r="E181" s="94"/>
      <c r="F181" s="94"/>
      <c r="G181" s="94"/>
      <c r="H181" s="94"/>
      <c r="I181" s="94"/>
      <c r="J181" s="94"/>
      <c r="K181" s="94"/>
      <c r="L181" s="94"/>
      <c r="M181" s="94"/>
      <c r="N181" s="94"/>
      <c r="O181" s="94"/>
      <c r="P181" s="94"/>
      <c r="Q181" s="94"/>
      <c r="R181" s="94"/>
      <c r="S181" s="94"/>
      <c r="T181" s="94"/>
      <c r="U181" s="94"/>
      <c r="V181" s="94"/>
      <c r="W181" s="94"/>
      <c r="X181" s="94"/>
      <c r="Y181" s="94"/>
      <c r="Z181" s="94"/>
    </row>
    <row r="182">
      <c r="A182" s="94"/>
      <c r="B182" s="94"/>
      <c r="C182" s="94"/>
      <c r="D182" s="94"/>
      <c r="E182" s="94"/>
      <c r="F182" s="94"/>
      <c r="G182" s="94"/>
      <c r="H182" s="94"/>
      <c r="I182" s="94"/>
      <c r="J182" s="94"/>
      <c r="K182" s="94"/>
      <c r="L182" s="94"/>
      <c r="M182" s="94"/>
      <c r="N182" s="94"/>
      <c r="O182" s="94"/>
      <c r="P182" s="94"/>
      <c r="Q182" s="94"/>
      <c r="R182" s="94"/>
      <c r="S182" s="94"/>
      <c r="T182" s="94"/>
      <c r="U182" s="94"/>
      <c r="V182" s="94"/>
      <c r="W182" s="94"/>
      <c r="X182" s="94"/>
      <c r="Y182" s="94"/>
      <c r="Z182" s="94"/>
    </row>
    <row r="183">
      <c r="A183" s="94"/>
      <c r="B183" s="94"/>
      <c r="C183" s="94"/>
      <c r="D183" s="94"/>
      <c r="E183" s="94"/>
      <c r="F183" s="94"/>
      <c r="G183" s="94"/>
      <c r="H183" s="94"/>
      <c r="I183" s="94"/>
      <c r="J183" s="94"/>
      <c r="K183" s="94"/>
      <c r="L183" s="94"/>
      <c r="M183" s="94"/>
      <c r="N183" s="94"/>
      <c r="O183" s="94"/>
      <c r="P183" s="94"/>
      <c r="Q183" s="94"/>
      <c r="R183" s="94"/>
      <c r="S183" s="94"/>
      <c r="T183" s="94"/>
      <c r="U183" s="94"/>
      <c r="V183" s="94"/>
      <c r="W183" s="94"/>
      <c r="X183" s="94"/>
      <c r="Y183" s="94"/>
      <c r="Z183" s="94"/>
    </row>
    <row r="184">
      <c r="A184" s="94"/>
      <c r="B184" s="94"/>
      <c r="C184" s="94"/>
      <c r="D184" s="94"/>
      <c r="E184" s="94"/>
      <c r="F184" s="94"/>
      <c r="G184" s="94"/>
      <c r="H184" s="94"/>
      <c r="I184" s="94"/>
      <c r="J184" s="94"/>
      <c r="K184" s="94"/>
      <c r="L184" s="94"/>
      <c r="M184" s="94"/>
      <c r="N184" s="94"/>
      <c r="O184" s="94"/>
      <c r="P184" s="94"/>
      <c r="Q184" s="94"/>
      <c r="R184" s="94"/>
      <c r="S184" s="94"/>
      <c r="T184" s="94"/>
      <c r="U184" s="94"/>
      <c r="V184" s="94"/>
      <c r="W184" s="94"/>
      <c r="X184" s="94"/>
      <c r="Y184" s="94"/>
      <c r="Z184" s="94"/>
    </row>
    <row r="185">
      <c r="A185" s="94"/>
      <c r="B185" s="94"/>
      <c r="C185" s="94"/>
      <c r="D185" s="94"/>
      <c r="E185" s="94"/>
      <c r="F185" s="94"/>
      <c r="G185" s="94"/>
      <c r="H185" s="94"/>
      <c r="I185" s="94"/>
      <c r="J185" s="94"/>
      <c r="K185" s="94"/>
      <c r="L185" s="94"/>
      <c r="M185" s="94"/>
      <c r="N185" s="94"/>
      <c r="O185" s="94"/>
      <c r="P185" s="94"/>
      <c r="Q185" s="94"/>
      <c r="R185" s="94"/>
      <c r="S185" s="94"/>
      <c r="T185" s="94"/>
      <c r="U185" s="94"/>
      <c r="V185" s="94"/>
      <c r="W185" s="94"/>
      <c r="X185" s="94"/>
      <c r="Y185" s="94"/>
      <c r="Z185" s="94"/>
    </row>
    <row r="186">
      <c r="A186" s="94"/>
      <c r="B186" s="94"/>
      <c r="C186" s="94"/>
      <c r="D186" s="94"/>
      <c r="E186" s="94"/>
      <c r="F186" s="94"/>
      <c r="G186" s="94"/>
      <c r="H186" s="94"/>
      <c r="I186" s="94"/>
      <c r="J186" s="94"/>
      <c r="K186" s="94"/>
      <c r="L186" s="94"/>
      <c r="M186" s="94"/>
      <c r="N186" s="94"/>
      <c r="O186" s="94"/>
      <c r="P186" s="94"/>
      <c r="Q186" s="94"/>
      <c r="R186" s="94"/>
      <c r="S186" s="94"/>
      <c r="T186" s="94"/>
      <c r="U186" s="94"/>
      <c r="V186" s="94"/>
      <c r="W186" s="94"/>
      <c r="X186" s="94"/>
      <c r="Y186" s="94"/>
      <c r="Z186" s="94"/>
    </row>
    <row r="187">
      <c r="A187" s="94"/>
      <c r="B187" s="94"/>
      <c r="C187" s="94"/>
      <c r="D187" s="94"/>
      <c r="E187" s="94"/>
      <c r="F187" s="94"/>
      <c r="G187" s="94"/>
      <c r="H187" s="94"/>
      <c r="I187" s="94"/>
      <c r="J187" s="94"/>
      <c r="K187" s="94"/>
      <c r="L187" s="94"/>
      <c r="M187" s="94"/>
      <c r="N187" s="94"/>
      <c r="O187" s="94"/>
      <c r="P187" s="94"/>
      <c r="Q187" s="94"/>
      <c r="R187" s="94"/>
      <c r="S187" s="94"/>
      <c r="T187" s="94"/>
      <c r="U187" s="94"/>
      <c r="V187" s="94"/>
      <c r="W187" s="94"/>
      <c r="X187" s="94"/>
      <c r="Y187" s="94"/>
      <c r="Z187" s="94"/>
    </row>
    <row r="188">
      <c r="A188" s="94"/>
      <c r="B188" s="94"/>
      <c r="C188" s="94"/>
      <c r="D188" s="94"/>
      <c r="E188" s="94"/>
      <c r="F188" s="94"/>
      <c r="G188" s="94"/>
      <c r="H188" s="94"/>
      <c r="I188" s="94"/>
      <c r="J188" s="94"/>
      <c r="K188" s="94"/>
      <c r="L188" s="94"/>
      <c r="M188" s="94"/>
      <c r="N188" s="94"/>
      <c r="O188" s="94"/>
      <c r="P188" s="94"/>
      <c r="Q188" s="94"/>
      <c r="R188" s="94"/>
      <c r="S188" s="94"/>
      <c r="T188" s="94"/>
      <c r="U188" s="94"/>
      <c r="V188" s="94"/>
      <c r="W188" s="94"/>
      <c r="X188" s="94"/>
      <c r="Y188" s="94"/>
      <c r="Z188" s="94"/>
    </row>
    <row r="189">
      <c r="A189" s="94"/>
      <c r="B189" s="94"/>
      <c r="C189" s="94"/>
      <c r="D189" s="94"/>
      <c r="E189" s="94"/>
      <c r="F189" s="94"/>
      <c r="G189" s="94"/>
      <c r="H189" s="94"/>
      <c r="I189" s="94"/>
      <c r="J189" s="94"/>
      <c r="K189" s="94"/>
      <c r="L189" s="94"/>
      <c r="M189" s="94"/>
      <c r="N189" s="94"/>
      <c r="O189" s="94"/>
      <c r="P189" s="94"/>
      <c r="Q189" s="94"/>
      <c r="R189" s="94"/>
      <c r="S189" s="94"/>
      <c r="T189" s="94"/>
      <c r="U189" s="94"/>
      <c r="V189" s="94"/>
      <c r="W189" s="94"/>
      <c r="X189" s="94"/>
      <c r="Y189" s="94"/>
      <c r="Z189" s="94"/>
    </row>
    <row r="190">
      <c r="A190" s="94"/>
      <c r="B190" s="94"/>
      <c r="C190" s="94"/>
      <c r="D190" s="94"/>
      <c r="E190" s="94"/>
      <c r="F190" s="94"/>
      <c r="G190" s="94"/>
      <c r="H190" s="94"/>
      <c r="I190" s="94"/>
      <c r="J190" s="94"/>
      <c r="K190" s="94"/>
      <c r="L190" s="94"/>
      <c r="M190" s="94"/>
      <c r="N190" s="94"/>
      <c r="O190" s="94"/>
      <c r="P190" s="94"/>
      <c r="Q190" s="94"/>
      <c r="R190" s="94"/>
      <c r="S190" s="94"/>
      <c r="T190" s="94"/>
      <c r="U190" s="94"/>
      <c r="V190" s="94"/>
      <c r="W190" s="94"/>
      <c r="X190" s="94"/>
      <c r="Y190" s="94"/>
      <c r="Z190" s="94"/>
    </row>
    <row r="191">
      <c r="A191" s="94"/>
      <c r="B191" s="94"/>
      <c r="C191" s="94"/>
      <c r="D191" s="94"/>
      <c r="E191" s="94"/>
      <c r="F191" s="94"/>
      <c r="G191" s="94"/>
      <c r="H191" s="94"/>
      <c r="I191" s="94"/>
      <c r="J191" s="94"/>
      <c r="K191" s="94"/>
      <c r="L191" s="94"/>
      <c r="M191" s="94"/>
      <c r="N191" s="94"/>
      <c r="O191" s="94"/>
      <c r="P191" s="94"/>
      <c r="Q191" s="94"/>
      <c r="R191" s="94"/>
      <c r="S191" s="94"/>
      <c r="T191" s="94"/>
      <c r="U191" s="94"/>
      <c r="V191" s="94"/>
      <c r="W191" s="94"/>
      <c r="X191" s="94"/>
      <c r="Y191" s="94"/>
      <c r="Z191" s="94"/>
    </row>
    <row r="192">
      <c r="A192" s="94"/>
      <c r="B192" s="94"/>
      <c r="C192" s="94"/>
      <c r="D192" s="94"/>
      <c r="E192" s="94"/>
      <c r="F192" s="94"/>
      <c r="G192" s="94"/>
      <c r="H192" s="94"/>
      <c r="I192" s="94"/>
      <c r="J192" s="94"/>
      <c r="K192" s="94"/>
      <c r="L192" s="94"/>
      <c r="M192" s="94"/>
      <c r="N192" s="94"/>
      <c r="O192" s="94"/>
      <c r="P192" s="94"/>
      <c r="Q192" s="94"/>
      <c r="R192" s="94"/>
      <c r="S192" s="94"/>
      <c r="T192" s="94"/>
      <c r="U192" s="94"/>
      <c r="V192" s="94"/>
      <c r="W192" s="94"/>
      <c r="X192" s="94"/>
      <c r="Y192" s="94"/>
      <c r="Z192" s="94"/>
    </row>
    <row r="193">
      <c r="A193" s="94"/>
      <c r="B193" s="94"/>
      <c r="C193" s="94"/>
      <c r="D193" s="94"/>
      <c r="E193" s="94"/>
      <c r="F193" s="94"/>
      <c r="G193" s="94"/>
      <c r="H193" s="94"/>
      <c r="I193" s="94"/>
      <c r="J193" s="94"/>
      <c r="K193" s="94"/>
      <c r="L193" s="94"/>
      <c r="M193" s="94"/>
      <c r="N193" s="94"/>
      <c r="O193" s="94"/>
      <c r="P193" s="94"/>
      <c r="Q193" s="94"/>
      <c r="R193" s="94"/>
      <c r="S193" s="94"/>
      <c r="T193" s="94"/>
      <c r="U193" s="94"/>
      <c r="V193" s="94"/>
      <c r="W193" s="94"/>
      <c r="X193" s="94"/>
      <c r="Y193" s="94"/>
      <c r="Z193" s="94"/>
    </row>
    <row r="194">
      <c r="A194" s="94"/>
      <c r="B194" s="94"/>
      <c r="C194" s="94"/>
      <c r="D194" s="94"/>
      <c r="E194" s="94"/>
      <c r="F194" s="94"/>
      <c r="G194" s="94"/>
      <c r="H194" s="94"/>
      <c r="I194" s="94"/>
      <c r="J194" s="94"/>
      <c r="K194" s="94"/>
      <c r="L194" s="94"/>
      <c r="M194" s="94"/>
      <c r="N194" s="94"/>
      <c r="O194" s="94"/>
      <c r="P194" s="94"/>
      <c r="Q194" s="94"/>
      <c r="R194" s="94"/>
      <c r="S194" s="94"/>
      <c r="T194" s="94"/>
      <c r="U194" s="94"/>
      <c r="V194" s="94"/>
      <c r="W194" s="94"/>
      <c r="X194" s="94"/>
      <c r="Y194" s="94"/>
      <c r="Z194" s="94"/>
    </row>
    <row r="195">
      <c r="A195" s="94"/>
      <c r="B195" s="94"/>
      <c r="C195" s="94"/>
      <c r="D195" s="94"/>
      <c r="E195" s="94"/>
      <c r="F195" s="94"/>
      <c r="G195" s="94"/>
      <c r="H195" s="94"/>
      <c r="I195" s="94"/>
      <c r="J195" s="94"/>
      <c r="K195" s="94"/>
      <c r="L195" s="94"/>
      <c r="M195" s="94"/>
      <c r="N195" s="94"/>
      <c r="O195" s="94"/>
      <c r="P195" s="94"/>
      <c r="Q195" s="94"/>
      <c r="R195" s="94"/>
      <c r="S195" s="94"/>
      <c r="T195" s="94"/>
      <c r="U195" s="94"/>
      <c r="V195" s="94"/>
      <c r="W195" s="94"/>
      <c r="X195" s="94"/>
      <c r="Y195" s="94"/>
      <c r="Z195" s="94"/>
    </row>
    <row r="196">
      <c r="A196" s="94"/>
      <c r="B196" s="94"/>
      <c r="C196" s="94"/>
      <c r="D196" s="94"/>
      <c r="E196" s="94"/>
      <c r="F196" s="94"/>
      <c r="G196" s="94"/>
      <c r="H196" s="94"/>
      <c r="I196" s="94"/>
      <c r="J196" s="94"/>
      <c r="K196" s="94"/>
      <c r="L196" s="94"/>
      <c r="M196" s="94"/>
      <c r="N196" s="94"/>
      <c r="O196" s="94"/>
      <c r="P196" s="94"/>
      <c r="Q196" s="94"/>
      <c r="R196" s="94"/>
      <c r="S196" s="94"/>
      <c r="T196" s="94"/>
      <c r="U196" s="94"/>
      <c r="V196" s="94"/>
      <c r="W196" s="94"/>
      <c r="X196" s="94"/>
      <c r="Y196" s="94"/>
      <c r="Z196" s="94"/>
    </row>
    <row r="197">
      <c r="A197" s="94"/>
      <c r="B197" s="94"/>
      <c r="C197" s="94"/>
      <c r="D197" s="94"/>
      <c r="E197" s="94"/>
      <c r="F197" s="94"/>
      <c r="G197" s="94"/>
      <c r="H197" s="94"/>
      <c r="I197" s="94"/>
      <c r="J197" s="94"/>
      <c r="K197" s="94"/>
      <c r="L197" s="94"/>
      <c r="M197" s="94"/>
      <c r="N197" s="94"/>
      <c r="O197" s="94"/>
      <c r="P197" s="94"/>
      <c r="Q197" s="94"/>
      <c r="R197" s="94"/>
      <c r="S197" s="94"/>
      <c r="T197" s="94"/>
      <c r="U197" s="94"/>
      <c r="V197" s="94"/>
      <c r="W197" s="94"/>
      <c r="X197" s="94"/>
      <c r="Y197" s="94"/>
      <c r="Z197" s="94"/>
    </row>
    <row r="198">
      <c r="A198" s="94"/>
      <c r="B198" s="94"/>
      <c r="C198" s="94"/>
      <c r="D198" s="94"/>
      <c r="E198" s="94"/>
      <c r="F198" s="94"/>
      <c r="G198" s="94"/>
      <c r="H198" s="94"/>
      <c r="I198" s="94"/>
      <c r="J198" s="94"/>
      <c r="K198" s="94"/>
      <c r="L198" s="94"/>
      <c r="M198" s="94"/>
      <c r="N198" s="94"/>
      <c r="O198" s="94"/>
      <c r="P198" s="94"/>
      <c r="Q198" s="94"/>
      <c r="R198" s="94"/>
      <c r="S198" s="94"/>
      <c r="T198" s="94"/>
      <c r="U198" s="94"/>
      <c r="V198" s="94"/>
      <c r="W198" s="94"/>
      <c r="X198" s="94"/>
      <c r="Y198" s="94"/>
      <c r="Z198" s="94"/>
    </row>
    <row r="199">
      <c r="A199" s="94"/>
      <c r="B199" s="94"/>
      <c r="C199" s="94"/>
      <c r="D199" s="94"/>
      <c r="E199" s="94"/>
      <c r="F199" s="94"/>
      <c r="G199" s="94"/>
      <c r="H199" s="94"/>
      <c r="I199" s="94"/>
      <c r="J199" s="94"/>
      <c r="K199" s="94"/>
      <c r="L199" s="94"/>
      <c r="M199" s="94"/>
      <c r="N199" s="94"/>
      <c r="O199" s="94"/>
      <c r="P199" s="94"/>
      <c r="Q199" s="94"/>
      <c r="R199" s="94"/>
      <c r="S199" s="94"/>
      <c r="T199" s="94"/>
      <c r="U199" s="94"/>
      <c r="V199" s="94"/>
      <c r="W199" s="94"/>
      <c r="X199" s="94"/>
      <c r="Y199" s="94"/>
      <c r="Z199" s="94"/>
    </row>
    <row r="200">
      <c r="A200" s="94"/>
      <c r="B200" s="94"/>
      <c r="C200" s="94"/>
      <c r="D200" s="94"/>
      <c r="E200" s="94"/>
      <c r="F200" s="94"/>
      <c r="G200" s="94"/>
      <c r="H200" s="94"/>
      <c r="I200" s="94"/>
      <c r="J200" s="94"/>
      <c r="K200" s="94"/>
      <c r="L200" s="94"/>
      <c r="M200" s="94"/>
      <c r="N200" s="94"/>
      <c r="O200" s="94"/>
      <c r="P200" s="94"/>
      <c r="Q200" s="94"/>
      <c r="R200" s="94"/>
      <c r="S200" s="94"/>
      <c r="T200" s="94"/>
      <c r="U200" s="94"/>
      <c r="V200" s="94"/>
      <c r="W200" s="94"/>
      <c r="X200" s="94"/>
      <c r="Y200" s="94"/>
      <c r="Z200" s="94"/>
    </row>
    <row r="201">
      <c r="A201" s="94"/>
      <c r="B201" s="94"/>
      <c r="C201" s="94"/>
      <c r="D201" s="94"/>
      <c r="E201" s="94"/>
      <c r="F201" s="94"/>
      <c r="G201" s="94"/>
      <c r="H201" s="94"/>
      <c r="I201" s="94"/>
      <c r="J201" s="94"/>
      <c r="K201" s="94"/>
      <c r="L201" s="94"/>
      <c r="M201" s="94"/>
      <c r="N201" s="94"/>
      <c r="O201" s="94"/>
      <c r="P201" s="94"/>
      <c r="Q201" s="94"/>
      <c r="R201" s="94"/>
      <c r="S201" s="94"/>
      <c r="T201" s="94"/>
      <c r="U201" s="94"/>
      <c r="V201" s="94"/>
      <c r="W201" s="94"/>
      <c r="X201" s="94"/>
      <c r="Y201" s="94"/>
      <c r="Z201" s="94"/>
    </row>
    <row r="202">
      <c r="A202" s="94"/>
      <c r="B202" s="94"/>
      <c r="C202" s="94"/>
      <c r="D202" s="94"/>
      <c r="E202" s="94"/>
      <c r="F202" s="94"/>
      <c r="G202" s="94"/>
      <c r="H202" s="94"/>
      <c r="I202" s="94"/>
      <c r="J202" s="94"/>
      <c r="K202" s="94"/>
      <c r="L202" s="94"/>
      <c r="M202" s="94"/>
      <c r="N202" s="94"/>
      <c r="O202" s="94"/>
      <c r="P202" s="94"/>
      <c r="Q202" s="94"/>
      <c r="R202" s="94"/>
      <c r="S202" s="94"/>
      <c r="T202" s="94"/>
      <c r="U202" s="94"/>
      <c r="V202" s="94"/>
      <c r="W202" s="94"/>
      <c r="X202" s="94"/>
      <c r="Y202" s="94"/>
      <c r="Z202" s="94"/>
    </row>
    <row r="203">
      <c r="A203" s="94"/>
      <c r="B203" s="94"/>
      <c r="C203" s="94"/>
      <c r="D203" s="94"/>
      <c r="E203" s="94"/>
      <c r="F203" s="94"/>
      <c r="G203" s="94"/>
      <c r="H203" s="94"/>
      <c r="I203" s="94"/>
      <c r="J203" s="94"/>
      <c r="K203" s="94"/>
      <c r="L203" s="94"/>
      <c r="M203" s="94"/>
      <c r="N203" s="94"/>
      <c r="O203" s="94"/>
      <c r="P203" s="94"/>
      <c r="Q203" s="94"/>
      <c r="R203" s="94"/>
      <c r="S203" s="94"/>
      <c r="T203" s="94"/>
      <c r="U203" s="94"/>
      <c r="V203" s="94"/>
      <c r="W203" s="94"/>
      <c r="X203" s="94"/>
      <c r="Y203" s="94"/>
      <c r="Z203" s="94"/>
    </row>
    <row r="204">
      <c r="A204" s="94"/>
      <c r="B204" s="94"/>
      <c r="C204" s="94"/>
      <c r="D204" s="94"/>
      <c r="E204" s="94"/>
      <c r="F204" s="94"/>
      <c r="G204" s="94"/>
      <c r="H204" s="94"/>
      <c r="I204" s="94"/>
      <c r="J204" s="94"/>
      <c r="K204" s="94"/>
      <c r="L204" s="94"/>
      <c r="M204" s="94"/>
      <c r="N204" s="94"/>
      <c r="O204" s="94"/>
      <c r="P204" s="94"/>
      <c r="Q204" s="94"/>
      <c r="R204" s="94"/>
      <c r="S204" s="94"/>
      <c r="T204" s="94"/>
      <c r="U204" s="94"/>
      <c r="V204" s="94"/>
      <c r="W204" s="94"/>
      <c r="X204" s="94"/>
      <c r="Y204" s="94"/>
      <c r="Z204" s="94"/>
    </row>
    <row r="205">
      <c r="A205" s="94"/>
      <c r="B205" s="94"/>
      <c r="C205" s="94"/>
      <c r="D205" s="94"/>
      <c r="E205" s="94"/>
      <c r="F205" s="94"/>
      <c r="G205" s="94"/>
      <c r="H205" s="94"/>
      <c r="I205" s="94"/>
      <c r="J205" s="94"/>
      <c r="K205" s="94"/>
      <c r="L205" s="94"/>
      <c r="M205" s="94"/>
      <c r="N205" s="94"/>
      <c r="O205" s="94"/>
      <c r="P205" s="94"/>
      <c r="Q205" s="94"/>
      <c r="R205" s="94"/>
      <c r="S205" s="94"/>
      <c r="T205" s="94"/>
      <c r="U205" s="94"/>
      <c r="V205" s="94"/>
      <c r="W205" s="94"/>
      <c r="X205" s="94"/>
      <c r="Y205" s="94"/>
      <c r="Z205" s="94"/>
    </row>
    <row r="206">
      <c r="A206" s="94"/>
      <c r="B206" s="94"/>
      <c r="C206" s="94"/>
      <c r="D206" s="94"/>
      <c r="E206" s="94"/>
      <c r="F206" s="94"/>
      <c r="G206" s="94"/>
      <c r="H206" s="94"/>
      <c r="I206" s="94"/>
      <c r="J206" s="94"/>
      <c r="K206" s="94"/>
      <c r="L206" s="94"/>
      <c r="M206" s="94"/>
      <c r="N206" s="94"/>
      <c r="O206" s="94"/>
      <c r="P206" s="94"/>
      <c r="Q206" s="94"/>
      <c r="R206" s="94"/>
      <c r="S206" s="94"/>
      <c r="T206" s="94"/>
      <c r="U206" s="94"/>
      <c r="V206" s="94"/>
      <c r="W206" s="94"/>
      <c r="X206" s="94"/>
      <c r="Y206" s="94"/>
      <c r="Z206" s="94"/>
    </row>
    <row r="207">
      <c r="A207" s="94"/>
      <c r="B207" s="94"/>
      <c r="C207" s="94"/>
      <c r="D207" s="94"/>
      <c r="E207" s="94"/>
      <c r="F207" s="94"/>
      <c r="G207" s="94"/>
      <c r="H207" s="94"/>
      <c r="I207" s="94"/>
      <c r="J207" s="94"/>
      <c r="K207" s="94"/>
      <c r="L207" s="94"/>
      <c r="M207" s="94"/>
      <c r="N207" s="94"/>
      <c r="O207" s="94"/>
      <c r="P207" s="94"/>
      <c r="Q207" s="94"/>
      <c r="R207" s="94"/>
      <c r="S207" s="94"/>
      <c r="T207" s="94"/>
      <c r="U207" s="94"/>
      <c r="V207" s="94"/>
      <c r="W207" s="94"/>
      <c r="X207" s="94"/>
      <c r="Y207" s="94"/>
      <c r="Z207" s="94"/>
    </row>
    <row r="208">
      <c r="A208" s="94"/>
      <c r="B208" s="94"/>
      <c r="C208" s="94"/>
      <c r="D208" s="94"/>
      <c r="E208" s="94"/>
      <c r="F208" s="94"/>
      <c r="G208" s="94"/>
      <c r="H208" s="94"/>
      <c r="I208" s="94"/>
      <c r="J208" s="94"/>
      <c r="K208" s="94"/>
      <c r="L208" s="94"/>
      <c r="M208" s="94"/>
      <c r="N208" s="94"/>
      <c r="O208" s="94"/>
      <c r="P208" s="94"/>
      <c r="Q208" s="94"/>
      <c r="R208" s="94"/>
      <c r="S208" s="94"/>
      <c r="T208" s="94"/>
      <c r="U208" s="94"/>
      <c r="V208" s="94"/>
      <c r="W208" s="94"/>
      <c r="X208" s="94"/>
      <c r="Y208" s="94"/>
      <c r="Z208" s="94"/>
    </row>
    <row r="209">
      <c r="A209" s="94"/>
      <c r="B209" s="94"/>
      <c r="C209" s="94"/>
      <c r="D209" s="94"/>
      <c r="E209" s="94"/>
      <c r="F209" s="94"/>
      <c r="G209" s="94"/>
      <c r="H209" s="94"/>
      <c r="I209" s="94"/>
      <c r="J209" s="94"/>
      <c r="K209" s="94"/>
      <c r="L209" s="94"/>
      <c r="M209" s="94"/>
      <c r="N209" s="94"/>
      <c r="O209" s="94"/>
      <c r="P209" s="94"/>
      <c r="Q209" s="94"/>
      <c r="R209" s="94"/>
      <c r="S209" s="94"/>
      <c r="T209" s="94"/>
      <c r="U209" s="94"/>
      <c r="V209" s="94"/>
      <c r="W209" s="94"/>
      <c r="X209" s="94"/>
      <c r="Y209" s="94"/>
      <c r="Z209" s="94"/>
    </row>
    <row r="210">
      <c r="A210" s="94"/>
      <c r="B210" s="94"/>
      <c r="C210" s="94"/>
      <c r="D210" s="94"/>
      <c r="E210" s="94"/>
      <c r="F210" s="94"/>
      <c r="G210" s="94"/>
      <c r="H210" s="94"/>
      <c r="I210" s="94"/>
      <c r="J210" s="94"/>
      <c r="K210" s="94"/>
      <c r="L210" s="94"/>
      <c r="M210" s="94"/>
      <c r="N210" s="94"/>
      <c r="O210" s="94"/>
      <c r="P210" s="94"/>
      <c r="Q210" s="94"/>
      <c r="R210" s="94"/>
      <c r="S210" s="94"/>
      <c r="T210" s="94"/>
      <c r="U210" s="94"/>
      <c r="V210" s="94"/>
      <c r="W210" s="94"/>
      <c r="X210" s="94"/>
      <c r="Y210" s="94"/>
      <c r="Z210" s="94"/>
    </row>
    <row r="211">
      <c r="A211" s="94"/>
      <c r="B211" s="94"/>
      <c r="C211" s="94"/>
      <c r="D211" s="94"/>
      <c r="E211" s="94"/>
      <c r="F211" s="94"/>
      <c r="G211" s="94"/>
      <c r="H211" s="94"/>
      <c r="I211" s="94"/>
      <c r="J211" s="94"/>
      <c r="K211" s="94"/>
      <c r="L211" s="94"/>
      <c r="M211" s="94"/>
      <c r="N211" s="94"/>
      <c r="O211" s="94"/>
      <c r="P211" s="94"/>
      <c r="Q211" s="94"/>
      <c r="R211" s="94"/>
      <c r="S211" s="94"/>
      <c r="T211" s="94"/>
      <c r="U211" s="94"/>
      <c r="V211" s="94"/>
      <c r="W211" s="94"/>
      <c r="X211" s="94"/>
      <c r="Y211" s="94"/>
      <c r="Z211" s="94"/>
    </row>
    <row r="212">
      <c r="A212" s="94"/>
      <c r="B212" s="94"/>
      <c r="C212" s="94"/>
      <c r="D212" s="94"/>
      <c r="E212" s="94"/>
      <c r="F212" s="94"/>
      <c r="G212" s="94"/>
      <c r="H212" s="94"/>
      <c r="I212" s="94"/>
      <c r="J212" s="94"/>
      <c r="K212" s="94"/>
      <c r="L212" s="94"/>
      <c r="M212" s="94"/>
      <c r="N212" s="94"/>
      <c r="O212" s="94"/>
      <c r="P212" s="94"/>
      <c r="Q212" s="94"/>
      <c r="R212" s="94"/>
      <c r="S212" s="94"/>
      <c r="T212" s="94"/>
      <c r="U212" s="94"/>
      <c r="V212" s="94"/>
      <c r="W212" s="94"/>
      <c r="X212" s="94"/>
      <c r="Y212" s="94"/>
      <c r="Z212" s="94"/>
    </row>
    <row r="213">
      <c r="A213" s="94"/>
      <c r="B213" s="94"/>
      <c r="C213" s="94"/>
      <c r="D213" s="94"/>
      <c r="E213" s="94"/>
      <c r="F213" s="94"/>
      <c r="G213" s="94"/>
      <c r="H213" s="94"/>
      <c r="I213" s="94"/>
      <c r="J213" s="94"/>
      <c r="K213" s="94"/>
      <c r="L213" s="94"/>
      <c r="M213" s="94"/>
      <c r="N213" s="94"/>
      <c r="O213" s="94"/>
      <c r="P213" s="94"/>
      <c r="Q213" s="94"/>
      <c r="R213" s="94"/>
      <c r="S213" s="94"/>
      <c r="T213" s="94"/>
      <c r="U213" s="94"/>
      <c r="V213" s="94"/>
      <c r="W213" s="94"/>
      <c r="X213" s="94"/>
      <c r="Y213" s="94"/>
      <c r="Z213" s="94"/>
    </row>
    <row r="214">
      <c r="A214" s="94"/>
      <c r="B214" s="94"/>
      <c r="C214" s="94"/>
      <c r="D214" s="94"/>
      <c r="E214" s="94"/>
      <c r="F214" s="94"/>
      <c r="G214" s="94"/>
      <c r="H214" s="94"/>
      <c r="I214" s="94"/>
      <c r="J214" s="94"/>
      <c r="K214" s="94"/>
      <c r="L214" s="94"/>
      <c r="M214" s="94"/>
      <c r="N214" s="94"/>
      <c r="O214" s="94"/>
      <c r="P214" s="94"/>
      <c r="Q214" s="94"/>
      <c r="R214" s="94"/>
      <c r="S214" s="94"/>
      <c r="T214" s="94"/>
      <c r="U214" s="94"/>
      <c r="V214" s="94"/>
      <c r="W214" s="94"/>
      <c r="X214" s="94"/>
      <c r="Y214" s="94"/>
      <c r="Z214" s="94"/>
    </row>
    <row r="215">
      <c r="A215" s="94"/>
      <c r="B215" s="94"/>
      <c r="C215" s="94"/>
      <c r="D215" s="94"/>
      <c r="E215" s="94"/>
      <c r="F215" s="94"/>
      <c r="G215" s="94"/>
      <c r="H215" s="94"/>
      <c r="I215" s="94"/>
      <c r="J215" s="94"/>
      <c r="K215" s="94"/>
      <c r="L215" s="94"/>
      <c r="M215" s="94"/>
      <c r="N215" s="94"/>
      <c r="O215" s="94"/>
      <c r="P215" s="94"/>
      <c r="Q215" s="94"/>
      <c r="R215" s="94"/>
      <c r="S215" s="94"/>
      <c r="T215" s="94"/>
      <c r="U215" s="94"/>
      <c r="V215" s="94"/>
      <c r="W215" s="94"/>
      <c r="X215" s="94"/>
      <c r="Y215" s="94"/>
      <c r="Z215" s="94"/>
    </row>
    <row r="216">
      <c r="A216" s="94"/>
      <c r="B216" s="94"/>
      <c r="C216" s="94"/>
      <c r="D216" s="94"/>
      <c r="E216" s="94"/>
      <c r="F216" s="94"/>
      <c r="G216" s="94"/>
      <c r="H216" s="94"/>
      <c r="I216" s="94"/>
      <c r="J216" s="94"/>
      <c r="K216" s="94"/>
      <c r="L216" s="94"/>
      <c r="M216" s="94"/>
      <c r="N216" s="94"/>
      <c r="O216" s="94"/>
      <c r="P216" s="94"/>
      <c r="Q216" s="94"/>
      <c r="R216" s="94"/>
      <c r="S216" s="94"/>
      <c r="T216" s="94"/>
      <c r="U216" s="94"/>
      <c r="V216" s="94"/>
      <c r="W216" s="94"/>
      <c r="X216" s="94"/>
      <c r="Y216" s="94"/>
      <c r="Z216" s="94"/>
    </row>
    <row r="217">
      <c r="A217" s="94"/>
      <c r="B217" s="94"/>
      <c r="C217" s="94"/>
      <c r="D217" s="94"/>
      <c r="E217" s="94"/>
      <c r="F217" s="94"/>
      <c r="G217" s="94"/>
      <c r="H217" s="94"/>
      <c r="I217" s="94"/>
      <c r="J217" s="94"/>
      <c r="K217" s="94"/>
      <c r="L217" s="94"/>
      <c r="M217" s="94"/>
      <c r="N217" s="94"/>
      <c r="O217" s="94"/>
      <c r="P217" s="94"/>
      <c r="Q217" s="94"/>
      <c r="R217" s="94"/>
      <c r="S217" s="94"/>
      <c r="T217" s="94"/>
      <c r="U217" s="94"/>
      <c r="V217" s="94"/>
      <c r="W217" s="94"/>
      <c r="X217" s="94"/>
      <c r="Y217" s="94"/>
      <c r="Z217" s="94"/>
    </row>
    <row r="218">
      <c r="A218" s="94"/>
      <c r="B218" s="94"/>
      <c r="C218" s="94"/>
      <c r="D218" s="94"/>
      <c r="E218" s="94"/>
      <c r="F218" s="94"/>
      <c r="G218" s="94"/>
      <c r="H218" s="94"/>
      <c r="I218" s="94"/>
      <c r="J218" s="94"/>
      <c r="K218" s="94"/>
      <c r="L218" s="94"/>
      <c r="M218" s="94"/>
      <c r="N218" s="94"/>
      <c r="O218" s="94"/>
      <c r="P218" s="94"/>
      <c r="Q218" s="94"/>
      <c r="R218" s="94"/>
      <c r="S218" s="94"/>
      <c r="T218" s="94"/>
      <c r="U218" s="94"/>
      <c r="V218" s="94"/>
      <c r="W218" s="94"/>
      <c r="X218" s="94"/>
      <c r="Y218" s="94"/>
      <c r="Z218" s="94"/>
    </row>
    <row r="219">
      <c r="A219" s="94"/>
      <c r="B219" s="94"/>
      <c r="C219" s="94"/>
      <c r="D219" s="94"/>
      <c r="E219" s="94"/>
      <c r="F219" s="94"/>
      <c r="G219" s="94"/>
      <c r="H219" s="94"/>
      <c r="I219" s="94"/>
      <c r="J219" s="94"/>
      <c r="K219" s="94"/>
      <c r="L219" s="94"/>
      <c r="M219" s="94"/>
      <c r="N219" s="94"/>
      <c r="O219" s="94"/>
      <c r="P219" s="94"/>
      <c r="Q219" s="94"/>
      <c r="R219" s="94"/>
      <c r="S219" s="94"/>
      <c r="T219" s="94"/>
      <c r="U219" s="94"/>
      <c r="V219" s="94"/>
      <c r="W219" s="94"/>
      <c r="X219" s="94"/>
      <c r="Y219" s="94"/>
      <c r="Z219" s="94"/>
    </row>
    <row r="220">
      <c r="A220" s="94"/>
      <c r="B220" s="94"/>
      <c r="C220" s="94"/>
      <c r="D220" s="94"/>
      <c r="E220" s="94"/>
      <c r="F220" s="94"/>
      <c r="G220" s="94"/>
      <c r="H220" s="94"/>
      <c r="I220" s="94"/>
      <c r="J220" s="94"/>
      <c r="K220" s="94"/>
      <c r="L220" s="94"/>
      <c r="M220" s="94"/>
      <c r="N220" s="94"/>
      <c r="O220" s="94"/>
      <c r="P220" s="94"/>
      <c r="Q220" s="94"/>
      <c r="R220" s="94"/>
      <c r="S220" s="94"/>
      <c r="T220" s="94"/>
      <c r="U220" s="94"/>
      <c r="V220" s="94"/>
      <c r="W220" s="94"/>
      <c r="X220" s="94"/>
      <c r="Y220" s="94"/>
      <c r="Z220" s="94"/>
    </row>
    <row r="221">
      <c r="A221" s="94"/>
      <c r="B221" s="94"/>
      <c r="C221" s="94"/>
      <c r="D221" s="94"/>
      <c r="E221" s="94"/>
      <c r="F221" s="94"/>
      <c r="G221" s="94"/>
      <c r="H221" s="94"/>
      <c r="I221" s="94"/>
      <c r="J221" s="94"/>
      <c r="K221" s="94"/>
      <c r="L221" s="94"/>
      <c r="M221" s="94"/>
      <c r="N221" s="94"/>
      <c r="O221" s="94"/>
      <c r="P221" s="94"/>
      <c r="Q221" s="94"/>
      <c r="R221" s="94"/>
      <c r="S221" s="94"/>
      <c r="T221" s="94"/>
      <c r="U221" s="94"/>
      <c r="V221" s="94"/>
      <c r="W221" s="94"/>
      <c r="X221" s="94"/>
      <c r="Y221" s="94"/>
      <c r="Z221" s="94"/>
    </row>
    <row r="222">
      <c r="A222" s="94"/>
      <c r="B222" s="94"/>
      <c r="C222" s="94"/>
      <c r="D222" s="94"/>
      <c r="E222" s="94"/>
      <c r="F222" s="94"/>
      <c r="G222" s="94"/>
      <c r="H222" s="94"/>
      <c r="I222" s="94"/>
      <c r="J222" s="94"/>
      <c r="K222" s="94"/>
      <c r="L222" s="94"/>
      <c r="M222" s="94"/>
      <c r="N222" s="94"/>
      <c r="O222" s="94"/>
      <c r="P222" s="94"/>
      <c r="Q222" s="94"/>
      <c r="R222" s="94"/>
      <c r="S222" s="94"/>
      <c r="T222" s="94"/>
      <c r="U222" s="94"/>
      <c r="V222" s="94"/>
      <c r="W222" s="94"/>
      <c r="X222" s="94"/>
      <c r="Y222" s="94"/>
      <c r="Z222" s="94"/>
    </row>
    <row r="223">
      <c r="A223" s="94"/>
      <c r="B223" s="94"/>
      <c r="C223" s="94"/>
      <c r="D223" s="94"/>
      <c r="E223" s="94"/>
      <c r="F223" s="94"/>
      <c r="G223" s="94"/>
      <c r="H223" s="94"/>
      <c r="I223" s="94"/>
      <c r="J223" s="94"/>
      <c r="K223" s="94"/>
      <c r="L223" s="94"/>
      <c r="M223" s="94"/>
      <c r="N223" s="94"/>
      <c r="O223" s="94"/>
      <c r="P223" s="94"/>
      <c r="Q223" s="94"/>
      <c r="R223" s="94"/>
      <c r="S223" s="94"/>
      <c r="T223" s="94"/>
      <c r="U223" s="94"/>
      <c r="V223" s="94"/>
      <c r="W223" s="94"/>
      <c r="X223" s="94"/>
      <c r="Y223" s="94"/>
      <c r="Z223" s="94"/>
    </row>
    <row r="224">
      <c r="A224" s="94"/>
      <c r="B224" s="94"/>
      <c r="C224" s="94"/>
      <c r="D224" s="94"/>
      <c r="E224" s="94"/>
      <c r="F224" s="94"/>
      <c r="G224" s="94"/>
      <c r="H224" s="94"/>
      <c r="I224" s="94"/>
      <c r="J224" s="94"/>
      <c r="K224" s="94"/>
      <c r="L224" s="94"/>
      <c r="M224" s="94"/>
      <c r="N224" s="94"/>
      <c r="O224" s="94"/>
      <c r="P224" s="94"/>
      <c r="Q224" s="94"/>
      <c r="R224" s="94"/>
      <c r="S224" s="94"/>
      <c r="T224" s="94"/>
      <c r="U224" s="94"/>
      <c r="V224" s="94"/>
      <c r="W224" s="94"/>
      <c r="X224" s="94"/>
      <c r="Y224" s="94"/>
      <c r="Z224" s="94"/>
    </row>
    <row r="225">
      <c r="A225" s="94"/>
      <c r="B225" s="94"/>
      <c r="C225" s="94"/>
      <c r="D225" s="94"/>
      <c r="E225" s="94"/>
      <c r="F225" s="94"/>
      <c r="G225" s="94"/>
      <c r="H225" s="94"/>
      <c r="I225" s="94"/>
      <c r="J225" s="94"/>
      <c r="K225" s="94"/>
      <c r="L225" s="94"/>
      <c r="M225" s="94"/>
      <c r="N225" s="94"/>
      <c r="O225" s="94"/>
      <c r="P225" s="94"/>
      <c r="Q225" s="94"/>
      <c r="R225" s="94"/>
      <c r="S225" s="94"/>
      <c r="T225" s="94"/>
      <c r="U225" s="94"/>
      <c r="V225" s="94"/>
      <c r="W225" s="94"/>
      <c r="X225" s="94"/>
      <c r="Y225" s="94"/>
      <c r="Z225" s="94"/>
    </row>
    <row r="226">
      <c r="A226" s="94"/>
      <c r="B226" s="94"/>
      <c r="C226" s="94"/>
      <c r="D226" s="94"/>
      <c r="E226" s="94"/>
      <c r="F226" s="94"/>
      <c r="G226" s="94"/>
      <c r="H226" s="94"/>
      <c r="I226" s="94"/>
      <c r="J226" s="94"/>
      <c r="K226" s="94"/>
      <c r="L226" s="94"/>
      <c r="M226" s="94"/>
      <c r="N226" s="94"/>
      <c r="O226" s="94"/>
      <c r="P226" s="94"/>
      <c r="Q226" s="94"/>
      <c r="R226" s="94"/>
      <c r="S226" s="94"/>
      <c r="T226" s="94"/>
      <c r="U226" s="94"/>
      <c r="V226" s="94"/>
      <c r="W226" s="94"/>
      <c r="X226" s="94"/>
      <c r="Y226" s="94"/>
      <c r="Z226" s="94"/>
    </row>
    <row r="227">
      <c r="A227" s="94"/>
      <c r="B227" s="94"/>
      <c r="C227" s="94"/>
      <c r="D227" s="94"/>
      <c r="E227" s="94"/>
      <c r="F227" s="94"/>
      <c r="G227" s="94"/>
      <c r="H227" s="94"/>
      <c r="I227" s="94"/>
      <c r="J227" s="94"/>
      <c r="K227" s="94"/>
      <c r="L227" s="94"/>
      <c r="M227" s="94"/>
      <c r="N227" s="94"/>
      <c r="O227" s="94"/>
      <c r="P227" s="94"/>
      <c r="Q227" s="94"/>
      <c r="R227" s="94"/>
      <c r="S227" s="94"/>
      <c r="T227" s="94"/>
      <c r="U227" s="94"/>
      <c r="V227" s="94"/>
      <c r="W227" s="94"/>
      <c r="X227" s="94"/>
      <c r="Y227" s="94"/>
      <c r="Z227" s="94"/>
    </row>
    <row r="228">
      <c r="A228" s="94"/>
      <c r="B228" s="94"/>
      <c r="C228" s="94"/>
      <c r="D228" s="94"/>
      <c r="E228" s="94"/>
      <c r="F228" s="94"/>
      <c r="G228" s="94"/>
      <c r="H228" s="94"/>
      <c r="I228" s="94"/>
      <c r="J228" s="94"/>
      <c r="K228" s="94"/>
      <c r="L228" s="94"/>
      <c r="M228" s="94"/>
      <c r="N228" s="94"/>
      <c r="O228" s="94"/>
      <c r="P228" s="94"/>
      <c r="Q228" s="94"/>
      <c r="R228" s="94"/>
      <c r="S228" s="94"/>
      <c r="T228" s="94"/>
      <c r="U228" s="94"/>
      <c r="V228" s="94"/>
      <c r="W228" s="94"/>
      <c r="X228" s="94"/>
      <c r="Y228" s="94"/>
      <c r="Z228" s="94"/>
    </row>
    <row r="229">
      <c r="A229" s="94"/>
      <c r="B229" s="94"/>
      <c r="C229" s="94"/>
      <c r="D229" s="94"/>
      <c r="E229" s="94"/>
      <c r="F229" s="94"/>
      <c r="G229" s="94"/>
      <c r="H229" s="94"/>
      <c r="I229" s="94"/>
      <c r="J229" s="94"/>
      <c r="K229" s="94"/>
      <c r="L229" s="94"/>
      <c r="M229" s="94"/>
      <c r="N229" s="94"/>
      <c r="O229" s="94"/>
      <c r="P229" s="94"/>
      <c r="Q229" s="94"/>
      <c r="R229" s="94"/>
      <c r="S229" s="94"/>
      <c r="T229" s="94"/>
      <c r="U229" s="94"/>
      <c r="V229" s="94"/>
      <c r="W229" s="94"/>
      <c r="X229" s="94"/>
      <c r="Y229" s="94"/>
      <c r="Z229" s="94"/>
    </row>
    <row r="230">
      <c r="A230" s="94"/>
      <c r="B230" s="94"/>
      <c r="C230" s="94"/>
      <c r="D230" s="94"/>
      <c r="E230" s="94"/>
      <c r="F230" s="94"/>
      <c r="G230" s="94"/>
      <c r="H230" s="94"/>
      <c r="I230" s="94"/>
      <c r="J230" s="94"/>
      <c r="K230" s="94"/>
      <c r="L230" s="94"/>
      <c r="M230" s="94"/>
      <c r="N230" s="94"/>
      <c r="O230" s="94"/>
      <c r="P230" s="94"/>
      <c r="Q230" s="94"/>
      <c r="R230" s="94"/>
      <c r="S230" s="94"/>
      <c r="T230" s="94"/>
      <c r="U230" s="94"/>
      <c r="V230" s="94"/>
      <c r="W230" s="94"/>
      <c r="X230" s="94"/>
      <c r="Y230" s="94"/>
      <c r="Z230" s="94"/>
    </row>
    <row r="231">
      <c r="A231" s="94"/>
      <c r="B231" s="94"/>
      <c r="C231" s="94"/>
      <c r="D231" s="94"/>
      <c r="E231" s="94"/>
      <c r="F231" s="94"/>
      <c r="G231" s="94"/>
      <c r="H231" s="94"/>
      <c r="I231" s="94"/>
      <c r="J231" s="94"/>
      <c r="K231" s="94"/>
      <c r="L231" s="94"/>
      <c r="M231" s="94"/>
      <c r="N231" s="94"/>
      <c r="O231" s="94"/>
      <c r="P231" s="94"/>
      <c r="Q231" s="94"/>
      <c r="R231" s="94"/>
      <c r="S231" s="94"/>
      <c r="T231" s="94"/>
      <c r="U231" s="94"/>
      <c r="V231" s="94"/>
      <c r="W231" s="94"/>
      <c r="X231" s="94"/>
      <c r="Y231" s="94"/>
      <c r="Z231" s="94"/>
    </row>
    <row r="232">
      <c r="A232" s="94"/>
      <c r="B232" s="94"/>
      <c r="C232" s="94"/>
      <c r="D232" s="94"/>
      <c r="E232" s="94"/>
      <c r="F232" s="94"/>
      <c r="G232" s="94"/>
      <c r="H232" s="94"/>
      <c r="I232" s="94"/>
      <c r="J232" s="94"/>
      <c r="K232" s="94"/>
      <c r="L232" s="94"/>
      <c r="M232" s="94"/>
      <c r="N232" s="94"/>
      <c r="O232" s="94"/>
      <c r="P232" s="94"/>
      <c r="Q232" s="94"/>
      <c r="R232" s="94"/>
      <c r="S232" s="94"/>
      <c r="T232" s="94"/>
      <c r="U232" s="94"/>
      <c r="V232" s="94"/>
      <c r="W232" s="94"/>
      <c r="X232" s="94"/>
      <c r="Y232" s="94"/>
      <c r="Z232" s="94"/>
    </row>
    <row r="233">
      <c r="A233" s="94"/>
      <c r="B233" s="94"/>
      <c r="C233" s="94"/>
      <c r="D233" s="94"/>
      <c r="E233" s="94"/>
      <c r="F233" s="94"/>
      <c r="G233" s="94"/>
      <c r="H233" s="94"/>
      <c r="I233" s="94"/>
      <c r="J233" s="94"/>
      <c r="K233" s="94"/>
      <c r="L233" s="94"/>
      <c r="M233" s="94"/>
      <c r="N233" s="94"/>
      <c r="O233" s="94"/>
      <c r="P233" s="94"/>
      <c r="Q233" s="94"/>
      <c r="R233" s="94"/>
      <c r="S233" s="94"/>
      <c r="T233" s="94"/>
      <c r="U233" s="94"/>
      <c r="V233" s="94"/>
      <c r="W233" s="94"/>
      <c r="X233" s="94"/>
      <c r="Y233" s="94"/>
      <c r="Z233" s="94"/>
    </row>
    <row r="234">
      <c r="A234" s="94"/>
      <c r="B234" s="94"/>
      <c r="C234" s="94"/>
      <c r="D234" s="94"/>
      <c r="E234" s="94"/>
      <c r="F234" s="94"/>
      <c r="G234" s="94"/>
      <c r="H234" s="94"/>
      <c r="I234" s="94"/>
      <c r="J234" s="94"/>
      <c r="K234" s="94"/>
      <c r="L234" s="94"/>
      <c r="M234" s="94"/>
      <c r="N234" s="94"/>
      <c r="O234" s="94"/>
      <c r="P234" s="94"/>
      <c r="Q234" s="94"/>
      <c r="R234" s="94"/>
      <c r="S234" s="94"/>
      <c r="T234" s="94"/>
      <c r="U234" s="94"/>
      <c r="V234" s="94"/>
      <c r="W234" s="94"/>
      <c r="X234" s="94"/>
      <c r="Y234" s="94"/>
      <c r="Z234" s="94"/>
    </row>
    <row r="235">
      <c r="A235" s="94"/>
      <c r="B235" s="94"/>
      <c r="C235" s="94"/>
      <c r="D235" s="94"/>
      <c r="E235" s="94"/>
      <c r="F235" s="94"/>
      <c r="G235" s="94"/>
      <c r="H235" s="94"/>
      <c r="I235" s="94"/>
      <c r="J235" s="94"/>
      <c r="K235" s="94"/>
      <c r="L235" s="94"/>
      <c r="M235" s="94"/>
      <c r="N235" s="94"/>
      <c r="O235" s="94"/>
      <c r="P235" s="94"/>
      <c r="Q235" s="94"/>
      <c r="R235" s="94"/>
      <c r="S235" s="94"/>
      <c r="T235" s="94"/>
      <c r="U235" s="94"/>
      <c r="V235" s="94"/>
      <c r="W235" s="94"/>
      <c r="X235" s="94"/>
      <c r="Y235" s="94"/>
      <c r="Z235" s="94"/>
    </row>
    <row r="236">
      <c r="A236" s="94"/>
      <c r="B236" s="94"/>
      <c r="C236" s="94"/>
      <c r="D236" s="94"/>
      <c r="E236" s="94"/>
      <c r="F236" s="94"/>
      <c r="G236" s="94"/>
      <c r="H236" s="94"/>
      <c r="I236" s="94"/>
      <c r="J236" s="94"/>
      <c r="K236" s="94"/>
      <c r="L236" s="94"/>
      <c r="M236" s="94"/>
      <c r="N236" s="94"/>
      <c r="O236" s="94"/>
      <c r="P236" s="94"/>
      <c r="Q236" s="94"/>
      <c r="R236" s="94"/>
      <c r="S236" s="94"/>
      <c r="T236" s="94"/>
      <c r="U236" s="94"/>
      <c r="V236" s="94"/>
      <c r="W236" s="94"/>
      <c r="X236" s="94"/>
      <c r="Y236" s="94"/>
      <c r="Z236" s="94"/>
    </row>
    <row r="237">
      <c r="A237" s="94"/>
      <c r="B237" s="94"/>
      <c r="C237" s="94"/>
      <c r="D237" s="94"/>
      <c r="E237" s="94"/>
      <c r="F237" s="94"/>
      <c r="G237" s="94"/>
      <c r="H237" s="94"/>
      <c r="I237" s="94"/>
      <c r="J237" s="94"/>
      <c r="K237" s="94"/>
      <c r="L237" s="94"/>
      <c r="M237" s="94"/>
      <c r="N237" s="94"/>
      <c r="O237" s="94"/>
      <c r="P237" s="94"/>
      <c r="Q237" s="94"/>
      <c r="R237" s="94"/>
      <c r="S237" s="94"/>
      <c r="T237" s="94"/>
      <c r="U237" s="94"/>
      <c r="V237" s="94"/>
      <c r="W237" s="94"/>
      <c r="X237" s="94"/>
      <c r="Y237" s="94"/>
      <c r="Z237" s="94"/>
    </row>
    <row r="238">
      <c r="A238" s="94"/>
      <c r="B238" s="94"/>
      <c r="C238" s="94"/>
      <c r="D238" s="94"/>
      <c r="E238" s="94"/>
      <c r="F238" s="94"/>
      <c r="G238" s="94"/>
      <c r="H238" s="94"/>
      <c r="I238" s="94"/>
      <c r="J238" s="94"/>
      <c r="K238" s="94"/>
      <c r="L238" s="94"/>
      <c r="M238" s="94"/>
      <c r="N238" s="94"/>
      <c r="O238" s="94"/>
      <c r="P238" s="94"/>
      <c r="Q238" s="94"/>
      <c r="R238" s="94"/>
      <c r="S238" s="94"/>
      <c r="T238" s="94"/>
      <c r="U238" s="94"/>
      <c r="V238" s="94"/>
      <c r="W238" s="94"/>
      <c r="X238" s="94"/>
      <c r="Y238" s="94"/>
      <c r="Z238" s="94"/>
    </row>
    <row r="239">
      <c r="A239" s="94"/>
      <c r="B239" s="94"/>
      <c r="C239" s="94"/>
      <c r="D239" s="94"/>
      <c r="E239" s="94"/>
      <c r="F239" s="94"/>
      <c r="G239" s="94"/>
      <c r="H239" s="94"/>
      <c r="I239" s="94"/>
      <c r="J239" s="94"/>
      <c r="K239" s="94"/>
      <c r="L239" s="94"/>
      <c r="M239" s="94"/>
      <c r="N239" s="94"/>
      <c r="O239" s="94"/>
      <c r="P239" s="94"/>
      <c r="Q239" s="94"/>
      <c r="R239" s="94"/>
      <c r="S239" s="94"/>
      <c r="T239" s="94"/>
      <c r="U239" s="94"/>
      <c r="V239" s="94"/>
      <c r="W239" s="94"/>
      <c r="X239" s="94"/>
      <c r="Y239" s="94"/>
      <c r="Z239" s="94"/>
    </row>
    <row r="240">
      <c r="A240" s="94"/>
      <c r="B240" s="94"/>
      <c r="C240" s="94"/>
      <c r="D240" s="94"/>
      <c r="E240" s="94"/>
      <c r="F240" s="94"/>
      <c r="G240" s="94"/>
      <c r="H240" s="94"/>
      <c r="I240" s="94"/>
      <c r="J240" s="94"/>
      <c r="K240" s="94"/>
      <c r="L240" s="94"/>
      <c r="M240" s="94"/>
      <c r="N240" s="94"/>
      <c r="O240" s="94"/>
      <c r="P240" s="94"/>
      <c r="Q240" s="94"/>
      <c r="R240" s="94"/>
      <c r="S240" s="94"/>
      <c r="T240" s="94"/>
      <c r="U240" s="94"/>
      <c r="V240" s="94"/>
      <c r="W240" s="94"/>
      <c r="X240" s="94"/>
      <c r="Y240" s="94"/>
      <c r="Z240" s="94"/>
    </row>
    <row r="241">
      <c r="A241" s="94"/>
      <c r="B241" s="94"/>
      <c r="C241" s="94"/>
      <c r="D241" s="94"/>
      <c r="E241" s="94"/>
      <c r="F241" s="94"/>
      <c r="G241" s="94"/>
      <c r="H241" s="94"/>
      <c r="I241" s="94"/>
      <c r="J241" s="94"/>
      <c r="K241" s="94"/>
      <c r="L241" s="94"/>
      <c r="M241" s="94"/>
      <c r="N241" s="94"/>
      <c r="O241" s="94"/>
      <c r="P241" s="94"/>
      <c r="Q241" s="94"/>
      <c r="R241" s="94"/>
      <c r="S241" s="94"/>
      <c r="T241" s="94"/>
      <c r="U241" s="94"/>
      <c r="V241" s="94"/>
      <c r="W241" s="94"/>
      <c r="X241" s="94"/>
      <c r="Y241" s="94"/>
      <c r="Z241" s="94"/>
    </row>
    <row r="242">
      <c r="A242" s="94"/>
      <c r="B242" s="94"/>
      <c r="C242" s="94"/>
      <c r="D242" s="94"/>
      <c r="E242" s="94"/>
      <c r="F242" s="94"/>
      <c r="G242" s="94"/>
      <c r="H242" s="94"/>
      <c r="I242" s="94"/>
      <c r="J242" s="94"/>
      <c r="K242" s="94"/>
      <c r="L242" s="94"/>
      <c r="M242" s="94"/>
      <c r="N242" s="94"/>
      <c r="O242" s="94"/>
      <c r="P242" s="94"/>
      <c r="Q242" s="94"/>
      <c r="R242" s="94"/>
      <c r="S242" s="94"/>
      <c r="T242" s="94"/>
      <c r="U242" s="94"/>
      <c r="V242" s="94"/>
      <c r="W242" s="94"/>
      <c r="X242" s="94"/>
      <c r="Y242" s="94"/>
      <c r="Z242" s="94"/>
    </row>
    <row r="243">
      <c r="A243" s="94"/>
      <c r="B243" s="94"/>
      <c r="C243" s="94"/>
      <c r="D243" s="94"/>
      <c r="E243" s="94"/>
      <c r="F243" s="94"/>
      <c r="G243" s="94"/>
      <c r="H243" s="94"/>
      <c r="I243" s="94"/>
      <c r="J243" s="94"/>
      <c r="K243" s="94"/>
      <c r="L243" s="94"/>
      <c r="M243" s="94"/>
      <c r="N243" s="94"/>
      <c r="O243" s="94"/>
      <c r="P243" s="94"/>
      <c r="Q243" s="94"/>
      <c r="R243" s="94"/>
      <c r="S243" s="94"/>
      <c r="T243" s="94"/>
      <c r="U243" s="94"/>
      <c r="V243" s="94"/>
      <c r="W243" s="94"/>
      <c r="X243" s="94"/>
      <c r="Y243" s="94"/>
      <c r="Z243" s="94"/>
    </row>
    <row r="244">
      <c r="A244" s="94"/>
      <c r="B244" s="94"/>
      <c r="C244" s="94"/>
      <c r="D244" s="94"/>
      <c r="E244" s="94"/>
      <c r="F244" s="94"/>
      <c r="G244" s="94"/>
      <c r="H244" s="94"/>
      <c r="I244" s="94"/>
      <c r="J244" s="94"/>
      <c r="K244" s="94"/>
      <c r="L244" s="94"/>
      <c r="M244" s="94"/>
      <c r="N244" s="94"/>
      <c r="O244" s="94"/>
      <c r="P244" s="94"/>
      <c r="Q244" s="94"/>
      <c r="R244" s="94"/>
      <c r="S244" s="94"/>
      <c r="T244" s="94"/>
      <c r="U244" s="94"/>
      <c r="V244" s="94"/>
      <c r="W244" s="94"/>
      <c r="X244" s="94"/>
      <c r="Y244" s="94"/>
      <c r="Z244" s="94"/>
    </row>
    <row r="245">
      <c r="A245" s="94"/>
      <c r="B245" s="94"/>
      <c r="C245" s="94"/>
      <c r="D245" s="94"/>
      <c r="E245" s="94"/>
      <c r="F245" s="94"/>
      <c r="G245" s="94"/>
      <c r="H245" s="94"/>
      <c r="I245" s="94"/>
      <c r="J245" s="94"/>
      <c r="K245" s="94"/>
      <c r="L245" s="94"/>
      <c r="M245" s="94"/>
      <c r="N245" s="94"/>
      <c r="O245" s="94"/>
      <c r="P245" s="94"/>
      <c r="Q245" s="94"/>
      <c r="R245" s="94"/>
      <c r="S245" s="94"/>
      <c r="T245" s="94"/>
      <c r="U245" s="94"/>
      <c r="V245" s="94"/>
      <c r="W245" s="94"/>
      <c r="X245" s="94"/>
      <c r="Y245" s="94"/>
      <c r="Z245" s="94"/>
    </row>
    <row r="246">
      <c r="A246" s="94"/>
      <c r="B246" s="94"/>
      <c r="C246" s="94"/>
      <c r="D246" s="94"/>
      <c r="E246" s="94"/>
      <c r="F246" s="94"/>
      <c r="G246" s="94"/>
      <c r="H246" s="94"/>
      <c r="I246" s="94"/>
      <c r="J246" s="94"/>
      <c r="K246" s="94"/>
      <c r="L246" s="94"/>
      <c r="M246" s="94"/>
      <c r="N246" s="94"/>
      <c r="O246" s="94"/>
      <c r="P246" s="94"/>
      <c r="Q246" s="94"/>
      <c r="R246" s="94"/>
      <c r="S246" s="94"/>
      <c r="T246" s="94"/>
      <c r="U246" s="94"/>
      <c r="V246" s="94"/>
      <c r="W246" s="94"/>
      <c r="X246" s="94"/>
      <c r="Y246" s="94"/>
      <c r="Z246" s="94"/>
    </row>
    <row r="247">
      <c r="A247" s="94"/>
      <c r="B247" s="94"/>
      <c r="C247" s="94"/>
      <c r="D247" s="94"/>
      <c r="E247" s="94"/>
      <c r="F247" s="94"/>
      <c r="G247" s="94"/>
      <c r="H247" s="94"/>
      <c r="I247" s="94"/>
      <c r="J247" s="94"/>
      <c r="K247" s="94"/>
      <c r="L247" s="94"/>
      <c r="M247" s="94"/>
      <c r="N247" s="94"/>
      <c r="O247" s="94"/>
      <c r="P247" s="94"/>
      <c r="Q247" s="94"/>
      <c r="R247" s="94"/>
      <c r="S247" s="94"/>
      <c r="T247" s="94"/>
      <c r="U247" s="94"/>
      <c r="V247" s="94"/>
      <c r="W247" s="94"/>
      <c r="X247" s="94"/>
      <c r="Y247" s="94"/>
      <c r="Z247" s="94"/>
    </row>
    <row r="248">
      <c r="A248" s="94"/>
      <c r="B248" s="94"/>
      <c r="C248" s="94"/>
      <c r="D248" s="94"/>
      <c r="E248" s="94"/>
      <c r="F248" s="94"/>
      <c r="G248" s="94"/>
      <c r="H248" s="94"/>
      <c r="I248" s="94"/>
      <c r="J248" s="94"/>
      <c r="K248" s="94"/>
      <c r="L248" s="94"/>
      <c r="M248" s="94"/>
      <c r="N248" s="94"/>
      <c r="O248" s="94"/>
      <c r="P248" s="94"/>
      <c r="Q248" s="94"/>
      <c r="R248" s="94"/>
      <c r="S248" s="94"/>
      <c r="T248" s="94"/>
      <c r="U248" s="94"/>
      <c r="V248" s="94"/>
      <c r="W248" s="94"/>
      <c r="X248" s="94"/>
      <c r="Y248" s="94"/>
      <c r="Z248" s="94"/>
    </row>
    <row r="249">
      <c r="A249" s="94"/>
      <c r="B249" s="94"/>
      <c r="C249" s="94"/>
      <c r="D249" s="94"/>
      <c r="E249" s="94"/>
      <c r="F249" s="94"/>
      <c r="G249" s="94"/>
      <c r="H249" s="94"/>
      <c r="I249" s="94"/>
      <c r="J249" s="94"/>
      <c r="K249" s="94"/>
      <c r="L249" s="94"/>
      <c r="M249" s="94"/>
      <c r="N249" s="94"/>
      <c r="O249" s="94"/>
      <c r="P249" s="94"/>
      <c r="Q249" s="94"/>
      <c r="R249" s="94"/>
      <c r="S249" s="94"/>
      <c r="T249" s="94"/>
      <c r="U249" s="94"/>
      <c r="V249" s="94"/>
      <c r="W249" s="94"/>
      <c r="X249" s="94"/>
      <c r="Y249" s="94"/>
      <c r="Z249" s="94"/>
    </row>
    <row r="250">
      <c r="A250" s="94"/>
      <c r="B250" s="94"/>
      <c r="C250" s="94"/>
      <c r="D250" s="94"/>
      <c r="E250" s="94"/>
      <c r="F250" s="94"/>
      <c r="G250" s="94"/>
      <c r="H250" s="94"/>
      <c r="I250" s="94"/>
      <c r="J250" s="94"/>
      <c r="K250" s="94"/>
      <c r="L250" s="94"/>
      <c r="M250" s="94"/>
      <c r="N250" s="94"/>
      <c r="O250" s="94"/>
      <c r="P250" s="94"/>
      <c r="Q250" s="94"/>
      <c r="R250" s="94"/>
      <c r="S250" s="94"/>
      <c r="T250" s="94"/>
      <c r="U250" s="94"/>
      <c r="V250" s="94"/>
      <c r="W250" s="94"/>
      <c r="X250" s="94"/>
      <c r="Y250" s="94"/>
      <c r="Z250" s="94"/>
    </row>
    <row r="251">
      <c r="A251" s="94"/>
      <c r="B251" s="94"/>
      <c r="C251" s="94"/>
      <c r="D251" s="94"/>
      <c r="E251" s="94"/>
      <c r="F251" s="94"/>
      <c r="G251" s="94"/>
      <c r="H251" s="94"/>
      <c r="I251" s="94"/>
      <c r="J251" s="94"/>
      <c r="K251" s="94"/>
      <c r="L251" s="94"/>
      <c r="M251" s="94"/>
      <c r="N251" s="94"/>
      <c r="O251" s="94"/>
      <c r="P251" s="94"/>
      <c r="Q251" s="94"/>
      <c r="R251" s="94"/>
      <c r="S251" s="94"/>
      <c r="T251" s="94"/>
      <c r="U251" s="94"/>
      <c r="V251" s="94"/>
      <c r="W251" s="94"/>
      <c r="X251" s="94"/>
      <c r="Y251" s="94"/>
      <c r="Z251" s="94"/>
    </row>
    <row r="252">
      <c r="A252" s="94"/>
      <c r="B252" s="94"/>
      <c r="C252" s="94"/>
      <c r="D252" s="94"/>
      <c r="E252" s="94"/>
      <c r="F252" s="94"/>
      <c r="G252" s="94"/>
      <c r="H252" s="94"/>
      <c r="I252" s="94"/>
      <c r="J252" s="94"/>
      <c r="K252" s="94"/>
      <c r="L252" s="94"/>
      <c r="M252" s="94"/>
      <c r="N252" s="94"/>
      <c r="O252" s="94"/>
      <c r="P252" s="94"/>
      <c r="Q252" s="94"/>
      <c r="R252" s="94"/>
      <c r="S252" s="94"/>
      <c r="T252" s="94"/>
      <c r="U252" s="94"/>
      <c r="V252" s="94"/>
      <c r="W252" s="94"/>
      <c r="X252" s="94"/>
      <c r="Y252" s="94"/>
      <c r="Z252" s="94"/>
    </row>
    <row r="253">
      <c r="A253" s="94"/>
      <c r="B253" s="94"/>
      <c r="C253" s="94"/>
      <c r="D253" s="94"/>
      <c r="E253" s="94"/>
      <c r="F253" s="94"/>
      <c r="G253" s="94"/>
      <c r="H253" s="94"/>
      <c r="I253" s="94"/>
      <c r="J253" s="94"/>
      <c r="K253" s="94"/>
      <c r="L253" s="94"/>
      <c r="M253" s="94"/>
      <c r="N253" s="94"/>
      <c r="O253" s="94"/>
      <c r="P253" s="94"/>
      <c r="Q253" s="94"/>
      <c r="R253" s="94"/>
      <c r="S253" s="94"/>
      <c r="T253" s="94"/>
      <c r="U253" s="94"/>
      <c r="V253" s="94"/>
      <c r="W253" s="94"/>
      <c r="X253" s="94"/>
      <c r="Y253" s="94"/>
      <c r="Z253" s="94"/>
    </row>
    <row r="254">
      <c r="A254" s="94"/>
      <c r="B254" s="94"/>
      <c r="C254" s="94"/>
      <c r="D254" s="94"/>
      <c r="E254" s="94"/>
      <c r="F254" s="94"/>
      <c r="G254" s="94"/>
      <c r="H254" s="94"/>
      <c r="I254" s="94"/>
      <c r="J254" s="94"/>
      <c r="K254" s="94"/>
      <c r="L254" s="94"/>
      <c r="M254" s="94"/>
      <c r="N254" s="94"/>
      <c r="O254" s="94"/>
      <c r="P254" s="94"/>
      <c r="Q254" s="94"/>
      <c r="R254" s="94"/>
      <c r="S254" s="94"/>
      <c r="T254" s="94"/>
      <c r="U254" s="94"/>
      <c r="V254" s="94"/>
      <c r="W254" s="94"/>
      <c r="X254" s="94"/>
      <c r="Y254" s="94"/>
      <c r="Z254" s="94"/>
    </row>
    <row r="255">
      <c r="A255" s="94"/>
      <c r="B255" s="94"/>
      <c r="C255" s="94"/>
      <c r="D255" s="94"/>
      <c r="E255" s="94"/>
      <c r="F255" s="94"/>
      <c r="G255" s="94"/>
      <c r="H255" s="94"/>
      <c r="I255" s="94"/>
      <c r="J255" s="94"/>
      <c r="K255" s="94"/>
      <c r="L255" s="94"/>
      <c r="M255" s="94"/>
      <c r="N255" s="94"/>
      <c r="O255" s="94"/>
      <c r="P255" s="94"/>
      <c r="Q255" s="94"/>
      <c r="R255" s="94"/>
      <c r="S255" s="94"/>
      <c r="T255" s="94"/>
      <c r="U255" s="94"/>
      <c r="V255" s="94"/>
      <c r="W255" s="94"/>
      <c r="X255" s="94"/>
      <c r="Y255" s="94"/>
      <c r="Z255" s="94"/>
    </row>
    <row r="256">
      <c r="A256" s="94"/>
      <c r="B256" s="94"/>
      <c r="C256" s="94"/>
      <c r="D256" s="94"/>
      <c r="E256" s="94"/>
      <c r="F256" s="94"/>
      <c r="G256" s="94"/>
      <c r="H256" s="94"/>
      <c r="I256" s="94"/>
      <c r="J256" s="94"/>
      <c r="K256" s="94"/>
      <c r="L256" s="94"/>
      <c r="M256" s="94"/>
      <c r="N256" s="94"/>
      <c r="O256" s="94"/>
      <c r="P256" s="94"/>
      <c r="Q256" s="94"/>
      <c r="R256" s="94"/>
      <c r="S256" s="94"/>
      <c r="T256" s="94"/>
      <c r="U256" s="94"/>
      <c r="V256" s="94"/>
      <c r="W256" s="94"/>
      <c r="X256" s="94"/>
      <c r="Y256" s="94"/>
      <c r="Z256" s="94"/>
    </row>
    <row r="257">
      <c r="A257" s="94"/>
      <c r="B257" s="94"/>
      <c r="C257" s="94"/>
      <c r="D257" s="94"/>
      <c r="E257" s="94"/>
      <c r="F257" s="94"/>
      <c r="G257" s="94"/>
      <c r="H257" s="94"/>
      <c r="I257" s="94"/>
      <c r="J257" s="94"/>
      <c r="K257" s="94"/>
      <c r="L257" s="94"/>
      <c r="M257" s="94"/>
      <c r="N257" s="94"/>
      <c r="O257" s="94"/>
      <c r="P257" s="94"/>
      <c r="Q257" s="94"/>
      <c r="R257" s="94"/>
      <c r="S257" s="94"/>
      <c r="T257" s="94"/>
      <c r="U257" s="94"/>
      <c r="V257" s="94"/>
      <c r="W257" s="94"/>
      <c r="X257" s="94"/>
      <c r="Y257" s="94"/>
      <c r="Z257" s="94"/>
    </row>
    <row r="258">
      <c r="A258" s="94"/>
      <c r="B258" s="94"/>
      <c r="C258" s="94"/>
      <c r="D258" s="94"/>
      <c r="E258" s="94"/>
      <c r="F258" s="94"/>
      <c r="G258" s="94"/>
      <c r="H258" s="94"/>
      <c r="I258" s="94"/>
      <c r="J258" s="94"/>
      <c r="K258" s="94"/>
      <c r="L258" s="94"/>
      <c r="M258" s="94"/>
      <c r="N258" s="94"/>
      <c r="O258" s="94"/>
      <c r="P258" s="94"/>
      <c r="Q258" s="94"/>
      <c r="R258" s="94"/>
      <c r="S258" s="94"/>
      <c r="T258" s="94"/>
      <c r="U258" s="94"/>
      <c r="V258" s="94"/>
      <c r="W258" s="94"/>
      <c r="X258" s="94"/>
      <c r="Y258" s="94"/>
      <c r="Z258" s="94"/>
    </row>
    <row r="259">
      <c r="A259" s="94"/>
      <c r="B259" s="94"/>
      <c r="C259" s="94"/>
      <c r="D259" s="94"/>
      <c r="E259" s="94"/>
      <c r="F259" s="94"/>
      <c r="G259" s="94"/>
      <c r="H259" s="94"/>
      <c r="I259" s="94"/>
      <c r="J259" s="94"/>
      <c r="K259" s="94"/>
      <c r="L259" s="94"/>
      <c r="M259" s="94"/>
      <c r="N259" s="94"/>
      <c r="O259" s="94"/>
      <c r="P259" s="94"/>
      <c r="Q259" s="94"/>
      <c r="R259" s="94"/>
      <c r="S259" s="94"/>
      <c r="T259" s="94"/>
      <c r="U259" s="94"/>
      <c r="V259" s="94"/>
      <c r="W259" s="94"/>
      <c r="X259" s="94"/>
      <c r="Y259" s="94"/>
      <c r="Z259" s="94"/>
    </row>
    <row r="260">
      <c r="A260" s="94"/>
      <c r="B260" s="94"/>
      <c r="C260" s="94"/>
      <c r="D260" s="94"/>
      <c r="E260" s="94"/>
      <c r="F260" s="94"/>
      <c r="G260" s="94"/>
      <c r="H260" s="94"/>
      <c r="I260" s="94"/>
      <c r="J260" s="94"/>
      <c r="K260" s="94"/>
      <c r="L260" s="94"/>
      <c r="M260" s="94"/>
      <c r="N260" s="94"/>
      <c r="O260" s="94"/>
      <c r="P260" s="94"/>
      <c r="Q260" s="94"/>
      <c r="R260" s="94"/>
      <c r="S260" s="94"/>
      <c r="T260" s="94"/>
      <c r="U260" s="94"/>
      <c r="V260" s="94"/>
      <c r="W260" s="94"/>
      <c r="X260" s="94"/>
      <c r="Y260" s="94"/>
      <c r="Z260" s="94"/>
    </row>
    <row r="261">
      <c r="A261" s="94"/>
      <c r="B261" s="94"/>
      <c r="C261" s="94"/>
      <c r="D261" s="94"/>
      <c r="E261" s="94"/>
      <c r="F261" s="94"/>
      <c r="G261" s="94"/>
      <c r="H261" s="94"/>
      <c r="I261" s="94"/>
      <c r="J261" s="94"/>
      <c r="K261" s="94"/>
      <c r="L261" s="94"/>
      <c r="M261" s="94"/>
      <c r="N261" s="94"/>
      <c r="O261" s="94"/>
      <c r="P261" s="94"/>
      <c r="Q261" s="94"/>
      <c r="R261" s="94"/>
      <c r="S261" s="94"/>
      <c r="T261" s="94"/>
      <c r="U261" s="94"/>
      <c r="V261" s="94"/>
      <c r="W261" s="94"/>
      <c r="X261" s="94"/>
      <c r="Y261" s="94"/>
      <c r="Z261" s="94"/>
    </row>
    <row r="262">
      <c r="A262" s="94"/>
      <c r="B262" s="94"/>
      <c r="C262" s="94"/>
      <c r="D262" s="94"/>
      <c r="E262" s="94"/>
      <c r="F262" s="94"/>
      <c r="G262" s="94"/>
      <c r="H262" s="94"/>
      <c r="I262" s="94"/>
      <c r="J262" s="94"/>
      <c r="K262" s="94"/>
      <c r="L262" s="94"/>
      <c r="M262" s="94"/>
      <c r="N262" s="94"/>
      <c r="O262" s="94"/>
      <c r="P262" s="94"/>
      <c r="Q262" s="94"/>
      <c r="R262" s="94"/>
      <c r="S262" s="94"/>
      <c r="T262" s="94"/>
      <c r="U262" s="94"/>
      <c r="V262" s="94"/>
      <c r="W262" s="94"/>
      <c r="X262" s="94"/>
      <c r="Y262" s="94"/>
      <c r="Z262" s="94"/>
    </row>
    <row r="263">
      <c r="A263" s="94"/>
      <c r="B263" s="94"/>
      <c r="C263" s="94"/>
      <c r="D263" s="94"/>
      <c r="E263" s="94"/>
      <c r="F263" s="94"/>
      <c r="G263" s="94"/>
      <c r="H263" s="94"/>
      <c r="I263" s="94"/>
      <c r="J263" s="94"/>
      <c r="K263" s="94"/>
      <c r="L263" s="94"/>
      <c r="M263" s="94"/>
      <c r="N263" s="94"/>
      <c r="O263" s="94"/>
      <c r="P263" s="94"/>
      <c r="Q263" s="94"/>
      <c r="R263" s="94"/>
      <c r="S263" s="94"/>
      <c r="T263" s="94"/>
      <c r="U263" s="94"/>
      <c r="V263" s="94"/>
      <c r="W263" s="94"/>
      <c r="X263" s="94"/>
      <c r="Y263" s="94"/>
      <c r="Z263" s="94"/>
    </row>
    <row r="264">
      <c r="A264" s="94"/>
      <c r="B264" s="94"/>
      <c r="C264" s="94"/>
      <c r="D264" s="94"/>
      <c r="E264" s="94"/>
      <c r="F264" s="94"/>
      <c r="G264" s="94"/>
      <c r="H264" s="94"/>
      <c r="I264" s="94"/>
      <c r="J264" s="94"/>
      <c r="K264" s="94"/>
      <c r="L264" s="94"/>
      <c r="M264" s="94"/>
      <c r="N264" s="94"/>
      <c r="O264" s="94"/>
      <c r="P264" s="94"/>
      <c r="Q264" s="94"/>
      <c r="R264" s="94"/>
      <c r="S264" s="94"/>
      <c r="T264" s="94"/>
      <c r="U264" s="94"/>
      <c r="V264" s="94"/>
      <c r="W264" s="94"/>
      <c r="X264" s="94"/>
      <c r="Y264" s="94"/>
      <c r="Z264" s="94"/>
    </row>
    <row r="265">
      <c r="A265" s="94"/>
      <c r="B265" s="94"/>
      <c r="C265" s="94"/>
      <c r="D265" s="94"/>
      <c r="E265" s="94"/>
      <c r="F265" s="94"/>
      <c r="G265" s="94"/>
      <c r="H265" s="94"/>
      <c r="I265" s="94"/>
      <c r="J265" s="94"/>
      <c r="K265" s="94"/>
      <c r="L265" s="94"/>
      <c r="M265" s="94"/>
      <c r="N265" s="94"/>
      <c r="O265" s="94"/>
      <c r="P265" s="94"/>
      <c r="Q265" s="94"/>
      <c r="R265" s="94"/>
      <c r="S265" s="94"/>
      <c r="T265" s="94"/>
      <c r="U265" s="94"/>
      <c r="V265" s="94"/>
      <c r="W265" s="94"/>
      <c r="X265" s="94"/>
      <c r="Y265" s="94"/>
      <c r="Z265" s="94"/>
    </row>
    <row r="266">
      <c r="A266" s="94"/>
      <c r="B266" s="94"/>
      <c r="C266" s="94"/>
      <c r="D266" s="94"/>
      <c r="E266" s="94"/>
      <c r="F266" s="94"/>
      <c r="G266" s="94"/>
      <c r="H266" s="94"/>
      <c r="I266" s="94"/>
      <c r="J266" s="94"/>
      <c r="K266" s="94"/>
      <c r="L266" s="94"/>
      <c r="M266" s="94"/>
      <c r="N266" s="94"/>
      <c r="O266" s="94"/>
      <c r="P266" s="94"/>
      <c r="Q266" s="94"/>
      <c r="R266" s="94"/>
      <c r="S266" s="94"/>
      <c r="T266" s="94"/>
      <c r="U266" s="94"/>
      <c r="V266" s="94"/>
      <c r="W266" s="94"/>
      <c r="X266" s="94"/>
      <c r="Y266" s="94"/>
      <c r="Z266" s="94"/>
    </row>
    <row r="267">
      <c r="A267" s="94"/>
      <c r="B267" s="94"/>
      <c r="C267" s="94"/>
      <c r="D267" s="94"/>
      <c r="E267" s="94"/>
      <c r="F267" s="94"/>
      <c r="G267" s="94"/>
      <c r="H267" s="94"/>
      <c r="I267" s="94"/>
      <c r="J267" s="94"/>
      <c r="K267" s="94"/>
      <c r="L267" s="94"/>
      <c r="M267" s="94"/>
      <c r="N267" s="94"/>
      <c r="O267" s="94"/>
      <c r="P267" s="94"/>
      <c r="Q267" s="94"/>
      <c r="R267" s="94"/>
      <c r="S267" s="94"/>
      <c r="T267" s="94"/>
      <c r="U267" s="94"/>
      <c r="V267" s="94"/>
      <c r="W267" s="94"/>
      <c r="X267" s="94"/>
      <c r="Y267" s="94"/>
      <c r="Z267" s="94"/>
    </row>
    <row r="268">
      <c r="A268" s="94"/>
      <c r="B268" s="94"/>
      <c r="C268" s="94"/>
      <c r="D268" s="94"/>
      <c r="E268" s="94"/>
      <c r="F268" s="94"/>
      <c r="G268" s="94"/>
      <c r="H268" s="94"/>
      <c r="I268" s="94"/>
      <c r="J268" s="94"/>
      <c r="K268" s="94"/>
      <c r="L268" s="94"/>
      <c r="M268" s="94"/>
      <c r="N268" s="94"/>
      <c r="O268" s="94"/>
      <c r="P268" s="94"/>
      <c r="Q268" s="94"/>
      <c r="R268" s="94"/>
      <c r="S268" s="94"/>
      <c r="T268" s="94"/>
      <c r="U268" s="94"/>
      <c r="V268" s="94"/>
      <c r="W268" s="94"/>
      <c r="X268" s="94"/>
      <c r="Y268" s="94"/>
      <c r="Z268" s="94"/>
    </row>
    <row r="269">
      <c r="A269" s="94"/>
      <c r="B269" s="94"/>
      <c r="C269" s="94"/>
      <c r="D269" s="94"/>
      <c r="E269" s="94"/>
      <c r="F269" s="94"/>
      <c r="G269" s="94"/>
      <c r="H269" s="94"/>
      <c r="I269" s="94"/>
      <c r="J269" s="94"/>
      <c r="K269" s="94"/>
      <c r="L269" s="94"/>
      <c r="M269" s="94"/>
      <c r="N269" s="94"/>
      <c r="O269" s="94"/>
      <c r="P269" s="94"/>
      <c r="Q269" s="94"/>
      <c r="R269" s="94"/>
      <c r="S269" s="94"/>
      <c r="T269" s="94"/>
      <c r="U269" s="94"/>
      <c r="V269" s="94"/>
      <c r="W269" s="94"/>
      <c r="X269" s="94"/>
      <c r="Y269" s="94"/>
      <c r="Z269" s="94"/>
    </row>
    <row r="270">
      <c r="A270" s="94"/>
      <c r="B270" s="94"/>
      <c r="C270" s="94"/>
      <c r="D270" s="94"/>
      <c r="E270" s="94"/>
      <c r="F270" s="94"/>
      <c r="G270" s="94"/>
      <c r="H270" s="94"/>
      <c r="I270" s="94"/>
      <c r="J270" s="94"/>
      <c r="K270" s="94"/>
      <c r="L270" s="94"/>
      <c r="M270" s="94"/>
      <c r="N270" s="94"/>
      <c r="O270" s="94"/>
      <c r="P270" s="94"/>
      <c r="Q270" s="94"/>
      <c r="R270" s="94"/>
      <c r="S270" s="94"/>
      <c r="T270" s="94"/>
      <c r="U270" s="94"/>
      <c r="V270" s="94"/>
      <c r="W270" s="94"/>
      <c r="X270" s="94"/>
      <c r="Y270" s="94"/>
      <c r="Z270" s="94"/>
    </row>
    <row r="271">
      <c r="A271" s="94"/>
      <c r="B271" s="94"/>
      <c r="C271" s="94"/>
      <c r="D271" s="94"/>
      <c r="E271" s="94"/>
      <c r="F271" s="94"/>
      <c r="G271" s="94"/>
      <c r="H271" s="94"/>
      <c r="I271" s="94"/>
      <c r="J271" s="94"/>
      <c r="K271" s="94"/>
      <c r="L271" s="94"/>
      <c r="M271" s="94"/>
      <c r="N271" s="94"/>
      <c r="O271" s="94"/>
      <c r="P271" s="94"/>
      <c r="Q271" s="94"/>
      <c r="R271" s="94"/>
      <c r="S271" s="94"/>
      <c r="T271" s="94"/>
      <c r="U271" s="94"/>
      <c r="V271" s="94"/>
      <c r="W271" s="94"/>
      <c r="X271" s="94"/>
      <c r="Y271" s="94"/>
      <c r="Z271" s="94"/>
    </row>
    <row r="272">
      <c r="A272" s="94"/>
      <c r="B272" s="94"/>
      <c r="C272" s="94"/>
      <c r="D272" s="94"/>
      <c r="E272" s="94"/>
      <c r="F272" s="94"/>
      <c r="G272" s="94"/>
      <c r="H272" s="94"/>
      <c r="I272" s="94"/>
      <c r="J272" s="94"/>
      <c r="K272" s="94"/>
      <c r="L272" s="94"/>
      <c r="M272" s="94"/>
      <c r="N272" s="94"/>
      <c r="O272" s="94"/>
      <c r="P272" s="94"/>
      <c r="Q272" s="94"/>
      <c r="R272" s="94"/>
      <c r="S272" s="94"/>
      <c r="T272" s="94"/>
      <c r="U272" s="94"/>
      <c r="V272" s="94"/>
      <c r="W272" s="94"/>
      <c r="X272" s="94"/>
      <c r="Y272" s="94"/>
      <c r="Z272" s="94"/>
    </row>
    <row r="273">
      <c r="A273" s="94"/>
      <c r="B273" s="94"/>
      <c r="C273" s="94"/>
      <c r="D273" s="94"/>
      <c r="E273" s="94"/>
      <c r="F273" s="94"/>
      <c r="G273" s="94"/>
      <c r="H273" s="94"/>
      <c r="I273" s="94"/>
      <c r="J273" s="94"/>
      <c r="K273" s="94"/>
      <c r="L273" s="94"/>
      <c r="M273" s="94"/>
      <c r="N273" s="94"/>
      <c r="O273" s="94"/>
      <c r="P273" s="94"/>
      <c r="Q273" s="94"/>
      <c r="R273" s="94"/>
      <c r="S273" s="94"/>
      <c r="T273" s="94"/>
      <c r="U273" s="94"/>
      <c r="V273" s="94"/>
      <c r="W273" s="94"/>
      <c r="X273" s="94"/>
      <c r="Y273" s="94"/>
      <c r="Z273" s="94"/>
    </row>
    <row r="274">
      <c r="A274" s="94"/>
      <c r="B274" s="94"/>
      <c r="C274" s="94"/>
      <c r="D274" s="94"/>
      <c r="E274" s="94"/>
      <c r="F274" s="94"/>
      <c r="G274" s="94"/>
      <c r="H274" s="94"/>
      <c r="I274" s="94"/>
      <c r="J274" s="94"/>
      <c r="K274" s="94"/>
      <c r="L274" s="94"/>
      <c r="M274" s="94"/>
      <c r="N274" s="94"/>
      <c r="O274" s="94"/>
      <c r="P274" s="94"/>
      <c r="Q274" s="94"/>
      <c r="R274" s="94"/>
      <c r="S274" s="94"/>
      <c r="T274" s="94"/>
      <c r="U274" s="94"/>
      <c r="V274" s="94"/>
      <c r="W274" s="94"/>
      <c r="X274" s="94"/>
      <c r="Y274" s="94"/>
      <c r="Z274" s="94"/>
    </row>
    <row r="275">
      <c r="A275" s="94"/>
      <c r="B275" s="94"/>
      <c r="C275" s="94"/>
      <c r="D275" s="94"/>
      <c r="E275" s="94"/>
      <c r="F275" s="94"/>
      <c r="G275" s="94"/>
      <c r="H275" s="94"/>
      <c r="I275" s="94"/>
      <c r="J275" s="94"/>
      <c r="K275" s="94"/>
      <c r="L275" s="94"/>
      <c r="M275" s="94"/>
      <c r="N275" s="94"/>
      <c r="O275" s="94"/>
      <c r="P275" s="94"/>
      <c r="Q275" s="94"/>
      <c r="R275" s="94"/>
      <c r="S275" s="94"/>
      <c r="T275" s="94"/>
      <c r="U275" s="94"/>
      <c r="V275" s="94"/>
      <c r="W275" s="94"/>
      <c r="X275" s="94"/>
      <c r="Y275" s="94"/>
      <c r="Z275" s="94"/>
    </row>
    <row r="276">
      <c r="A276" s="94"/>
      <c r="B276" s="94"/>
      <c r="C276" s="94"/>
      <c r="D276" s="94"/>
      <c r="E276" s="94"/>
      <c r="F276" s="94"/>
      <c r="G276" s="94"/>
      <c r="H276" s="94"/>
      <c r="I276" s="94"/>
      <c r="J276" s="94"/>
      <c r="K276" s="94"/>
      <c r="L276" s="94"/>
      <c r="M276" s="94"/>
      <c r="N276" s="94"/>
      <c r="O276" s="94"/>
      <c r="P276" s="94"/>
      <c r="Q276" s="94"/>
      <c r="R276" s="94"/>
      <c r="S276" s="94"/>
      <c r="T276" s="94"/>
      <c r="U276" s="94"/>
      <c r="V276" s="94"/>
      <c r="W276" s="94"/>
      <c r="X276" s="94"/>
      <c r="Y276" s="94"/>
      <c r="Z276" s="94"/>
    </row>
    <row r="277">
      <c r="A277" s="94"/>
      <c r="B277" s="94"/>
      <c r="C277" s="94"/>
      <c r="D277" s="94"/>
      <c r="E277" s="94"/>
      <c r="F277" s="94"/>
      <c r="G277" s="94"/>
      <c r="H277" s="94"/>
      <c r="I277" s="94"/>
      <c r="J277" s="94"/>
      <c r="K277" s="94"/>
      <c r="L277" s="94"/>
      <c r="M277" s="94"/>
      <c r="N277" s="94"/>
      <c r="O277" s="94"/>
      <c r="P277" s="94"/>
      <c r="Q277" s="94"/>
      <c r="R277" s="94"/>
      <c r="S277" s="94"/>
      <c r="T277" s="94"/>
      <c r="U277" s="94"/>
      <c r="V277" s="94"/>
      <c r="W277" s="94"/>
      <c r="X277" s="94"/>
      <c r="Y277" s="94"/>
      <c r="Z277" s="94"/>
    </row>
    <row r="278">
      <c r="A278" s="94"/>
      <c r="B278" s="94"/>
      <c r="C278" s="94"/>
      <c r="D278" s="94"/>
      <c r="E278" s="94"/>
      <c r="F278" s="94"/>
      <c r="G278" s="94"/>
      <c r="H278" s="94"/>
      <c r="I278" s="94"/>
      <c r="J278" s="94"/>
      <c r="K278" s="94"/>
      <c r="L278" s="94"/>
      <c r="M278" s="94"/>
      <c r="N278" s="94"/>
      <c r="O278" s="94"/>
      <c r="P278" s="94"/>
      <c r="Q278" s="94"/>
      <c r="R278" s="94"/>
      <c r="S278" s="94"/>
      <c r="T278" s="94"/>
      <c r="U278" s="94"/>
      <c r="V278" s="94"/>
      <c r="W278" s="94"/>
      <c r="X278" s="94"/>
      <c r="Y278" s="94"/>
      <c r="Z278" s="94"/>
    </row>
    <row r="279">
      <c r="A279" s="94"/>
      <c r="B279" s="94"/>
      <c r="C279" s="94"/>
      <c r="D279" s="94"/>
      <c r="E279" s="94"/>
      <c r="F279" s="94"/>
      <c r="G279" s="94"/>
      <c r="H279" s="94"/>
      <c r="I279" s="94"/>
      <c r="J279" s="94"/>
      <c r="K279" s="94"/>
      <c r="L279" s="94"/>
      <c r="M279" s="94"/>
      <c r="N279" s="94"/>
      <c r="O279" s="94"/>
      <c r="P279" s="94"/>
      <c r="Q279" s="94"/>
      <c r="R279" s="94"/>
      <c r="S279" s="94"/>
      <c r="T279" s="94"/>
      <c r="U279" s="94"/>
      <c r="V279" s="94"/>
      <c r="W279" s="94"/>
      <c r="X279" s="94"/>
      <c r="Y279" s="94"/>
      <c r="Z279" s="94"/>
    </row>
    <row r="280">
      <c r="A280" s="94"/>
      <c r="B280" s="94"/>
      <c r="C280" s="94"/>
      <c r="D280" s="94"/>
      <c r="E280" s="94"/>
      <c r="F280" s="94"/>
      <c r="G280" s="94"/>
      <c r="H280" s="94"/>
      <c r="I280" s="94"/>
      <c r="J280" s="94"/>
      <c r="K280" s="94"/>
      <c r="L280" s="94"/>
      <c r="M280" s="94"/>
      <c r="N280" s="94"/>
      <c r="O280" s="94"/>
      <c r="P280" s="94"/>
      <c r="Q280" s="94"/>
      <c r="R280" s="94"/>
      <c r="S280" s="94"/>
      <c r="T280" s="94"/>
      <c r="U280" s="94"/>
      <c r="V280" s="94"/>
      <c r="W280" s="94"/>
      <c r="X280" s="94"/>
      <c r="Y280" s="94"/>
      <c r="Z280" s="94"/>
    </row>
    <row r="281">
      <c r="A281" s="94"/>
      <c r="B281" s="94"/>
      <c r="C281" s="94"/>
      <c r="D281" s="94"/>
      <c r="E281" s="94"/>
      <c r="F281" s="94"/>
      <c r="G281" s="94"/>
      <c r="H281" s="94"/>
      <c r="I281" s="94"/>
      <c r="J281" s="94"/>
      <c r="K281" s="94"/>
      <c r="L281" s="94"/>
      <c r="M281" s="94"/>
      <c r="N281" s="94"/>
      <c r="O281" s="94"/>
      <c r="P281" s="94"/>
      <c r="Q281" s="94"/>
      <c r="R281" s="94"/>
      <c r="S281" s="94"/>
      <c r="T281" s="94"/>
      <c r="U281" s="94"/>
      <c r="V281" s="94"/>
      <c r="W281" s="94"/>
      <c r="X281" s="94"/>
      <c r="Y281" s="94"/>
      <c r="Z281" s="94"/>
    </row>
    <row r="282">
      <c r="A282" s="94"/>
      <c r="B282" s="94"/>
      <c r="C282" s="94"/>
      <c r="D282" s="94"/>
      <c r="E282" s="94"/>
      <c r="F282" s="94"/>
      <c r="G282" s="94"/>
      <c r="H282" s="94"/>
      <c r="I282" s="94"/>
      <c r="J282" s="94"/>
      <c r="K282" s="94"/>
      <c r="L282" s="94"/>
      <c r="M282" s="94"/>
      <c r="N282" s="94"/>
      <c r="O282" s="94"/>
      <c r="P282" s="94"/>
      <c r="Q282" s="94"/>
      <c r="R282" s="94"/>
      <c r="S282" s="94"/>
      <c r="T282" s="94"/>
      <c r="U282" s="94"/>
      <c r="V282" s="94"/>
      <c r="W282" s="94"/>
      <c r="X282" s="94"/>
      <c r="Y282" s="94"/>
      <c r="Z282" s="94"/>
    </row>
    <row r="283">
      <c r="A283" s="94"/>
      <c r="B283" s="94"/>
      <c r="C283" s="94"/>
      <c r="D283" s="94"/>
      <c r="E283" s="94"/>
      <c r="F283" s="94"/>
      <c r="G283" s="94"/>
      <c r="H283" s="94"/>
      <c r="I283" s="94"/>
      <c r="J283" s="94"/>
      <c r="K283" s="94"/>
      <c r="L283" s="94"/>
      <c r="M283" s="94"/>
      <c r="N283" s="94"/>
      <c r="O283" s="94"/>
      <c r="P283" s="94"/>
      <c r="Q283" s="94"/>
      <c r="R283" s="94"/>
      <c r="S283" s="94"/>
      <c r="T283" s="94"/>
      <c r="U283" s="94"/>
      <c r="V283" s="94"/>
      <c r="W283" s="94"/>
      <c r="X283" s="94"/>
      <c r="Y283" s="94"/>
      <c r="Z283" s="94"/>
    </row>
    <row r="284">
      <c r="A284" s="94"/>
      <c r="B284" s="94"/>
      <c r="C284" s="94"/>
      <c r="D284" s="94"/>
      <c r="E284" s="94"/>
      <c r="F284" s="94"/>
      <c r="G284" s="94"/>
      <c r="H284" s="94"/>
      <c r="I284" s="94"/>
      <c r="J284" s="94"/>
      <c r="K284" s="94"/>
      <c r="L284" s="94"/>
      <c r="M284" s="94"/>
      <c r="N284" s="94"/>
      <c r="O284" s="94"/>
      <c r="P284" s="94"/>
      <c r="Q284" s="94"/>
      <c r="R284" s="94"/>
      <c r="S284" s="94"/>
      <c r="T284" s="94"/>
      <c r="U284" s="94"/>
      <c r="V284" s="94"/>
      <c r="W284" s="94"/>
      <c r="X284" s="94"/>
      <c r="Y284" s="94"/>
      <c r="Z284" s="94"/>
    </row>
    <row r="285">
      <c r="A285" s="94"/>
      <c r="B285" s="94"/>
      <c r="C285" s="94"/>
      <c r="D285" s="94"/>
      <c r="E285" s="94"/>
      <c r="F285" s="94"/>
      <c r="G285" s="94"/>
      <c r="H285" s="94"/>
      <c r="I285" s="94"/>
      <c r="J285" s="94"/>
      <c r="K285" s="94"/>
      <c r="L285" s="94"/>
      <c r="M285" s="94"/>
      <c r="N285" s="94"/>
      <c r="O285" s="94"/>
      <c r="P285" s="94"/>
      <c r="Q285" s="94"/>
      <c r="R285" s="94"/>
      <c r="S285" s="94"/>
      <c r="T285" s="94"/>
      <c r="U285" s="94"/>
      <c r="V285" s="94"/>
      <c r="W285" s="94"/>
      <c r="X285" s="94"/>
      <c r="Y285" s="94"/>
      <c r="Z285" s="94"/>
    </row>
    <row r="286">
      <c r="A286" s="94"/>
      <c r="B286" s="94"/>
      <c r="C286" s="94"/>
      <c r="D286" s="94"/>
      <c r="E286" s="94"/>
      <c r="F286" s="94"/>
      <c r="G286" s="94"/>
      <c r="H286" s="94"/>
      <c r="I286" s="94"/>
      <c r="J286" s="94"/>
      <c r="K286" s="94"/>
      <c r="L286" s="94"/>
      <c r="M286" s="94"/>
      <c r="N286" s="94"/>
      <c r="O286" s="94"/>
      <c r="P286" s="94"/>
      <c r="Q286" s="94"/>
      <c r="R286" s="94"/>
      <c r="S286" s="94"/>
      <c r="T286" s="94"/>
      <c r="U286" s="94"/>
      <c r="V286" s="94"/>
      <c r="W286" s="94"/>
      <c r="X286" s="94"/>
      <c r="Y286" s="94"/>
      <c r="Z286" s="94"/>
    </row>
    <row r="287">
      <c r="A287" s="94"/>
      <c r="B287" s="94"/>
      <c r="C287" s="94"/>
      <c r="D287" s="94"/>
      <c r="E287" s="94"/>
      <c r="F287" s="94"/>
      <c r="G287" s="94"/>
      <c r="H287" s="94"/>
      <c r="I287" s="94"/>
      <c r="J287" s="94"/>
      <c r="K287" s="94"/>
      <c r="L287" s="94"/>
      <c r="M287" s="94"/>
      <c r="N287" s="94"/>
      <c r="O287" s="94"/>
      <c r="P287" s="94"/>
      <c r="Q287" s="94"/>
      <c r="R287" s="94"/>
      <c r="S287" s="94"/>
      <c r="T287" s="94"/>
      <c r="U287" s="94"/>
      <c r="V287" s="94"/>
      <c r="W287" s="94"/>
      <c r="X287" s="94"/>
      <c r="Y287" s="94"/>
      <c r="Z287" s="94"/>
    </row>
    <row r="288">
      <c r="A288" s="94"/>
      <c r="B288" s="94"/>
      <c r="C288" s="94"/>
      <c r="D288" s="94"/>
      <c r="E288" s="94"/>
      <c r="F288" s="94"/>
      <c r="G288" s="94"/>
      <c r="H288" s="94"/>
      <c r="I288" s="94"/>
      <c r="J288" s="94"/>
      <c r="K288" s="94"/>
      <c r="L288" s="94"/>
      <c r="M288" s="94"/>
      <c r="N288" s="94"/>
      <c r="O288" s="94"/>
      <c r="P288" s="94"/>
      <c r="Q288" s="94"/>
      <c r="R288" s="94"/>
      <c r="S288" s="94"/>
      <c r="T288" s="94"/>
      <c r="U288" s="94"/>
      <c r="V288" s="94"/>
      <c r="W288" s="94"/>
      <c r="X288" s="94"/>
      <c r="Y288" s="94"/>
      <c r="Z288" s="94"/>
    </row>
    <row r="289">
      <c r="A289" s="94"/>
      <c r="B289" s="94"/>
      <c r="C289" s="94"/>
      <c r="D289" s="94"/>
      <c r="E289" s="94"/>
      <c r="F289" s="94"/>
      <c r="G289" s="94"/>
      <c r="H289" s="94"/>
      <c r="I289" s="94"/>
      <c r="J289" s="94"/>
      <c r="K289" s="94"/>
      <c r="L289" s="94"/>
      <c r="M289" s="94"/>
      <c r="N289" s="94"/>
      <c r="O289" s="94"/>
      <c r="P289" s="94"/>
      <c r="Q289" s="94"/>
      <c r="R289" s="94"/>
      <c r="S289" s="94"/>
      <c r="T289" s="94"/>
      <c r="U289" s="94"/>
      <c r="V289" s="94"/>
      <c r="W289" s="94"/>
      <c r="X289" s="94"/>
      <c r="Y289" s="94"/>
      <c r="Z289" s="94"/>
    </row>
    <row r="290">
      <c r="A290" s="94"/>
      <c r="B290" s="94"/>
      <c r="C290" s="94"/>
      <c r="D290" s="94"/>
      <c r="E290" s="94"/>
      <c r="F290" s="94"/>
      <c r="G290" s="94"/>
      <c r="H290" s="94"/>
      <c r="I290" s="94"/>
      <c r="J290" s="94"/>
      <c r="K290" s="94"/>
      <c r="L290" s="94"/>
      <c r="M290" s="94"/>
      <c r="N290" s="94"/>
      <c r="O290" s="94"/>
      <c r="P290" s="94"/>
      <c r="Q290" s="94"/>
      <c r="R290" s="94"/>
      <c r="S290" s="94"/>
      <c r="T290" s="94"/>
      <c r="U290" s="94"/>
      <c r="V290" s="94"/>
      <c r="W290" s="94"/>
      <c r="X290" s="94"/>
      <c r="Y290" s="94"/>
      <c r="Z290" s="94"/>
    </row>
    <row r="291">
      <c r="A291" s="94"/>
      <c r="B291" s="94"/>
      <c r="C291" s="94"/>
      <c r="D291" s="94"/>
      <c r="E291" s="94"/>
      <c r="F291" s="94"/>
      <c r="G291" s="94"/>
      <c r="H291" s="94"/>
      <c r="I291" s="94"/>
      <c r="J291" s="94"/>
      <c r="K291" s="94"/>
      <c r="L291" s="94"/>
      <c r="M291" s="94"/>
      <c r="N291" s="94"/>
      <c r="O291" s="94"/>
      <c r="P291" s="94"/>
      <c r="Q291" s="94"/>
      <c r="R291" s="94"/>
      <c r="S291" s="94"/>
      <c r="T291" s="94"/>
      <c r="U291" s="94"/>
      <c r="V291" s="94"/>
      <c r="W291" s="94"/>
      <c r="X291" s="94"/>
      <c r="Y291" s="94"/>
      <c r="Z291" s="94"/>
    </row>
    <row r="292">
      <c r="A292" s="94"/>
      <c r="B292" s="94"/>
      <c r="C292" s="94"/>
      <c r="D292" s="94"/>
      <c r="E292" s="94"/>
      <c r="F292" s="94"/>
      <c r="G292" s="94"/>
      <c r="H292" s="94"/>
      <c r="I292" s="94"/>
      <c r="J292" s="94"/>
      <c r="K292" s="94"/>
      <c r="L292" s="94"/>
      <c r="M292" s="94"/>
      <c r="N292" s="94"/>
      <c r="O292" s="94"/>
      <c r="P292" s="94"/>
      <c r="Q292" s="94"/>
      <c r="R292" s="94"/>
      <c r="S292" s="94"/>
      <c r="T292" s="94"/>
      <c r="U292" s="94"/>
      <c r="V292" s="94"/>
      <c r="W292" s="94"/>
      <c r="X292" s="94"/>
      <c r="Y292" s="94"/>
      <c r="Z292" s="94"/>
    </row>
    <row r="293">
      <c r="A293" s="94"/>
      <c r="B293" s="94"/>
      <c r="C293" s="94"/>
      <c r="D293" s="94"/>
      <c r="E293" s="94"/>
      <c r="F293" s="94"/>
      <c r="G293" s="94"/>
      <c r="H293" s="94"/>
      <c r="I293" s="94"/>
      <c r="J293" s="94"/>
      <c r="K293" s="94"/>
      <c r="L293" s="94"/>
      <c r="M293" s="94"/>
      <c r="N293" s="94"/>
      <c r="O293" s="94"/>
      <c r="P293" s="94"/>
      <c r="Q293" s="94"/>
      <c r="R293" s="94"/>
      <c r="S293" s="94"/>
      <c r="T293" s="94"/>
      <c r="U293" s="94"/>
      <c r="V293" s="94"/>
      <c r="W293" s="94"/>
      <c r="X293" s="94"/>
      <c r="Y293" s="94"/>
      <c r="Z293" s="94"/>
    </row>
    <row r="294">
      <c r="A294" s="94"/>
      <c r="B294" s="94"/>
      <c r="C294" s="94"/>
      <c r="D294" s="94"/>
      <c r="E294" s="94"/>
      <c r="F294" s="94"/>
      <c r="G294" s="94"/>
      <c r="H294" s="94"/>
      <c r="I294" s="94"/>
      <c r="J294" s="94"/>
      <c r="K294" s="94"/>
      <c r="L294" s="94"/>
      <c r="M294" s="94"/>
      <c r="N294" s="94"/>
      <c r="O294" s="94"/>
      <c r="P294" s="94"/>
      <c r="Q294" s="94"/>
      <c r="R294" s="94"/>
      <c r="S294" s="94"/>
      <c r="T294" s="94"/>
      <c r="U294" s="94"/>
      <c r="V294" s="94"/>
      <c r="W294" s="94"/>
      <c r="X294" s="94"/>
      <c r="Y294" s="94"/>
      <c r="Z294" s="94"/>
    </row>
    <row r="295">
      <c r="A295" s="94"/>
      <c r="B295" s="94"/>
      <c r="C295" s="94"/>
      <c r="D295" s="94"/>
      <c r="E295" s="94"/>
      <c r="F295" s="94"/>
      <c r="G295" s="94"/>
      <c r="H295" s="94"/>
      <c r="I295" s="94"/>
      <c r="J295" s="94"/>
      <c r="K295" s="94"/>
      <c r="L295" s="94"/>
      <c r="M295" s="94"/>
      <c r="N295" s="94"/>
      <c r="O295" s="94"/>
      <c r="P295" s="94"/>
      <c r="Q295" s="94"/>
      <c r="R295" s="94"/>
      <c r="S295" s="94"/>
      <c r="T295" s="94"/>
      <c r="U295" s="94"/>
      <c r="V295" s="94"/>
      <c r="W295" s="94"/>
      <c r="X295" s="94"/>
      <c r="Y295" s="94"/>
      <c r="Z295" s="94"/>
    </row>
    <row r="296">
      <c r="A296" s="94"/>
      <c r="B296" s="94"/>
      <c r="C296" s="94"/>
      <c r="D296" s="94"/>
      <c r="E296" s="94"/>
      <c r="F296" s="94"/>
      <c r="G296" s="94"/>
      <c r="H296" s="94"/>
      <c r="I296" s="94"/>
      <c r="J296" s="94"/>
      <c r="K296" s="94"/>
      <c r="L296" s="94"/>
      <c r="M296" s="94"/>
      <c r="N296" s="94"/>
      <c r="O296" s="94"/>
      <c r="P296" s="94"/>
      <c r="Q296" s="94"/>
      <c r="R296" s="94"/>
      <c r="S296" s="94"/>
      <c r="T296" s="94"/>
      <c r="U296" s="94"/>
      <c r="V296" s="94"/>
      <c r="W296" s="94"/>
      <c r="X296" s="94"/>
      <c r="Y296" s="94"/>
      <c r="Z296" s="94"/>
    </row>
    <row r="297">
      <c r="A297" s="94"/>
      <c r="B297" s="94"/>
      <c r="C297" s="94"/>
      <c r="D297" s="94"/>
      <c r="E297" s="94"/>
      <c r="F297" s="94"/>
      <c r="G297" s="94"/>
      <c r="H297" s="94"/>
      <c r="I297" s="94"/>
      <c r="J297" s="94"/>
      <c r="K297" s="94"/>
      <c r="L297" s="94"/>
      <c r="M297" s="94"/>
      <c r="N297" s="94"/>
      <c r="O297" s="94"/>
      <c r="P297" s="94"/>
      <c r="Q297" s="94"/>
      <c r="R297" s="94"/>
      <c r="S297" s="94"/>
      <c r="T297" s="94"/>
      <c r="U297" s="94"/>
      <c r="V297" s="94"/>
      <c r="W297" s="94"/>
      <c r="X297" s="94"/>
      <c r="Y297" s="94"/>
      <c r="Z297" s="94"/>
    </row>
    <row r="298">
      <c r="A298" s="94"/>
      <c r="B298" s="94"/>
      <c r="C298" s="94"/>
      <c r="D298" s="94"/>
      <c r="E298" s="94"/>
      <c r="F298" s="94"/>
      <c r="G298" s="94"/>
      <c r="H298" s="94"/>
      <c r="I298" s="94"/>
      <c r="J298" s="94"/>
      <c r="K298" s="94"/>
      <c r="L298" s="94"/>
      <c r="M298" s="94"/>
      <c r="N298" s="94"/>
      <c r="O298" s="94"/>
      <c r="P298" s="94"/>
      <c r="Q298" s="94"/>
      <c r="R298" s="94"/>
      <c r="S298" s="94"/>
      <c r="T298" s="94"/>
      <c r="U298" s="94"/>
      <c r="V298" s="94"/>
      <c r="W298" s="94"/>
      <c r="X298" s="94"/>
      <c r="Y298" s="94"/>
      <c r="Z298" s="94"/>
    </row>
    <row r="299">
      <c r="A299" s="94"/>
      <c r="B299" s="94"/>
      <c r="C299" s="94"/>
      <c r="D299" s="94"/>
      <c r="E299" s="94"/>
      <c r="F299" s="94"/>
      <c r="G299" s="94"/>
      <c r="H299" s="94"/>
      <c r="I299" s="94"/>
      <c r="J299" s="94"/>
      <c r="K299" s="94"/>
      <c r="L299" s="94"/>
      <c r="M299" s="94"/>
      <c r="N299" s="94"/>
      <c r="O299" s="94"/>
      <c r="P299" s="94"/>
      <c r="Q299" s="94"/>
      <c r="R299" s="94"/>
      <c r="S299" s="94"/>
      <c r="T299" s="94"/>
      <c r="U299" s="94"/>
      <c r="V299" s="94"/>
      <c r="W299" s="94"/>
      <c r="X299" s="94"/>
      <c r="Y299" s="94"/>
      <c r="Z299" s="94"/>
    </row>
    <row r="300">
      <c r="A300" s="94"/>
      <c r="B300" s="94"/>
      <c r="C300" s="94"/>
      <c r="D300" s="94"/>
      <c r="E300" s="94"/>
      <c r="F300" s="94"/>
      <c r="G300" s="94"/>
      <c r="H300" s="94"/>
      <c r="I300" s="94"/>
      <c r="J300" s="94"/>
      <c r="K300" s="94"/>
      <c r="L300" s="94"/>
      <c r="M300" s="94"/>
      <c r="N300" s="94"/>
      <c r="O300" s="94"/>
      <c r="P300" s="94"/>
      <c r="Q300" s="94"/>
      <c r="R300" s="94"/>
      <c r="S300" s="94"/>
      <c r="T300" s="94"/>
      <c r="U300" s="94"/>
      <c r="V300" s="94"/>
      <c r="W300" s="94"/>
      <c r="X300" s="94"/>
      <c r="Y300" s="94"/>
      <c r="Z300" s="94"/>
    </row>
    <row r="301">
      <c r="A301" s="94"/>
      <c r="B301" s="94"/>
      <c r="C301" s="94"/>
      <c r="D301" s="94"/>
      <c r="E301" s="94"/>
      <c r="F301" s="94"/>
      <c r="G301" s="94"/>
      <c r="H301" s="94"/>
      <c r="I301" s="94"/>
      <c r="J301" s="94"/>
      <c r="K301" s="94"/>
      <c r="L301" s="94"/>
      <c r="M301" s="94"/>
      <c r="N301" s="94"/>
      <c r="O301" s="94"/>
      <c r="P301" s="94"/>
      <c r="Q301" s="94"/>
      <c r="R301" s="94"/>
      <c r="S301" s="94"/>
      <c r="T301" s="94"/>
      <c r="U301" s="94"/>
      <c r="V301" s="94"/>
      <c r="W301" s="94"/>
      <c r="X301" s="94"/>
      <c r="Y301" s="94"/>
      <c r="Z301" s="94"/>
    </row>
    <row r="302">
      <c r="A302" s="94"/>
      <c r="B302" s="94"/>
      <c r="C302" s="94"/>
      <c r="D302" s="94"/>
      <c r="E302" s="94"/>
      <c r="F302" s="94"/>
      <c r="G302" s="94"/>
      <c r="H302" s="94"/>
      <c r="I302" s="94"/>
      <c r="J302" s="94"/>
      <c r="K302" s="94"/>
      <c r="L302" s="94"/>
      <c r="M302" s="94"/>
      <c r="N302" s="94"/>
      <c r="O302" s="94"/>
      <c r="P302" s="94"/>
      <c r="Q302" s="94"/>
      <c r="R302" s="94"/>
      <c r="S302" s="94"/>
      <c r="T302" s="94"/>
      <c r="U302" s="94"/>
      <c r="V302" s="94"/>
      <c r="W302" s="94"/>
      <c r="X302" s="94"/>
      <c r="Y302" s="94"/>
      <c r="Z302" s="94"/>
    </row>
    <row r="303">
      <c r="A303" s="94"/>
      <c r="B303" s="94"/>
      <c r="C303" s="94"/>
      <c r="D303" s="94"/>
      <c r="E303" s="94"/>
      <c r="F303" s="94"/>
      <c r="G303" s="94"/>
      <c r="H303" s="94"/>
      <c r="I303" s="94"/>
      <c r="J303" s="94"/>
      <c r="K303" s="94"/>
      <c r="L303" s="94"/>
      <c r="M303" s="94"/>
      <c r="N303" s="94"/>
      <c r="O303" s="94"/>
      <c r="P303" s="94"/>
      <c r="Q303" s="94"/>
      <c r="R303" s="94"/>
      <c r="S303" s="94"/>
      <c r="T303" s="94"/>
      <c r="U303" s="94"/>
      <c r="V303" s="94"/>
      <c r="W303" s="94"/>
      <c r="X303" s="94"/>
      <c r="Y303" s="94"/>
      <c r="Z303" s="94"/>
    </row>
    <row r="304">
      <c r="A304" s="94"/>
      <c r="B304" s="94"/>
      <c r="C304" s="94"/>
      <c r="D304" s="94"/>
      <c r="E304" s="94"/>
      <c r="F304" s="94"/>
      <c r="G304" s="94"/>
      <c r="H304" s="94"/>
      <c r="I304" s="94"/>
      <c r="J304" s="94"/>
      <c r="K304" s="94"/>
      <c r="L304" s="94"/>
      <c r="M304" s="94"/>
      <c r="N304" s="94"/>
      <c r="O304" s="94"/>
      <c r="P304" s="94"/>
      <c r="Q304" s="94"/>
      <c r="R304" s="94"/>
      <c r="S304" s="94"/>
      <c r="T304" s="94"/>
      <c r="U304" s="94"/>
      <c r="V304" s="94"/>
      <c r="W304" s="94"/>
      <c r="X304" s="94"/>
      <c r="Y304" s="94"/>
      <c r="Z304" s="94"/>
    </row>
    <row r="305">
      <c r="A305" s="94"/>
      <c r="B305" s="94"/>
      <c r="C305" s="94"/>
      <c r="D305" s="94"/>
      <c r="E305" s="94"/>
      <c r="F305" s="94"/>
      <c r="G305" s="94"/>
      <c r="H305" s="94"/>
      <c r="I305" s="94"/>
      <c r="J305" s="94"/>
      <c r="K305" s="94"/>
      <c r="L305" s="94"/>
      <c r="M305" s="94"/>
      <c r="N305" s="94"/>
      <c r="O305" s="94"/>
      <c r="P305" s="94"/>
      <c r="Q305" s="94"/>
      <c r="R305" s="94"/>
      <c r="S305" s="94"/>
      <c r="T305" s="94"/>
      <c r="U305" s="94"/>
      <c r="V305" s="94"/>
      <c r="W305" s="94"/>
      <c r="X305" s="94"/>
      <c r="Y305" s="94"/>
      <c r="Z305" s="94"/>
    </row>
    <row r="306">
      <c r="A306" s="94"/>
      <c r="B306" s="94"/>
      <c r="C306" s="94"/>
      <c r="D306" s="94"/>
      <c r="E306" s="94"/>
      <c r="F306" s="94"/>
      <c r="G306" s="94"/>
      <c r="H306" s="94"/>
      <c r="I306" s="94"/>
      <c r="J306" s="94"/>
      <c r="K306" s="94"/>
      <c r="L306" s="94"/>
      <c r="M306" s="94"/>
      <c r="N306" s="94"/>
      <c r="O306" s="94"/>
      <c r="P306" s="94"/>
      <c r="Q306" s="94"/>
      <c r="R306" s="94"/>
      <c r="S306" s="94"/>
      <c r="T306" s="94"/>
      <c r="U306" s="94"/>
      <c r="V306" s="94"/>
      <c r="W306" s="94"/>
      <c r="X306" s="94"/>
      <c r="Y306" s="94"/>
      <c r="Z306" s="94"/>
    </row>
    <row r="307">
      <c r="A307" s="94"/>
      <c r="B307" s="94"/>
      <c r="C307" s="94"/>
      <c r="D307" s="94"/>
      <c r="E307" s="94"/>
      <c r="F307" s="94"/>
      <c r="G307" s="94"/>
      <c r="H307" s="94"/>
      <c r="I307" s="94"/>
      <c r="J307" s="94"/>
      <c r="K307" s="94"/>
      <c r="L307" s="94"/>
      <c r="M307" s="94"/>
      <c r="N307" s="94"/>
      <c r="O307" s="94"/>
      <c r="P307" s="94"/>
      <c r="Q307" s="94"/>
      <c r="R307" s="94"/>
      <c r="S307" s="94"/>
      <c r="T307" s="94"/>
      <c r="U307" s="94"/>
      <c r="V307" s="94"/>
      <c r="W307" s="94"/>
      <c r="X307" s="94"/>
      <c r="Y307" s="94"/>
      <c r="Z307" s="94"/>
    </row>
    <row r="308">
      <c r="A308" s="94"/>
      <c r="B308" s="94"/>
      <c r="C308" s="94"/>
      <c r="D308" s="94"/>
      <c r="E308" s="94"/>
      <c r="F308" s="94"/>
      <c r="G308" s="94"/>
      <c r="H308" s="94"/>
      <c r="I308" s="94"/>
      <c r="J308" s="94"/>
      <c r="K308" s="94"/>
      <c r="L308" s="94"/>
      <c r="M308" s="94"/>
      <c r="N308" s="94"/>
      <c r="O308" s="94"/>
      <c r="P308" s="94"/>
      <c r="Q308" s="94"/>
      <c r="R308" s="94"/>
      <c r="S308" s="94"/>
      <c r="T308" s="94"/>
      <c r="U308" s="94"/>
      <c r="V308" s="94"/>
      <c r="W308" s="94"/>
      <c r="X308" s="94"/>
      <c r="Y308" s="94"/>
      <c r="Z308" s="94"/>
    </row>
    <row r="309">
      <c r="A309" s="94"/>
      <c r="B309" s="94"/>
      <c r="C309" s="94"/>
      <c r="D309" s="94"/>
      <c r="E309" s="94"/>
      <c r="F309" s="94"/>
      <c r="G309" s="94"/>
      <c r="H309" s="94"/>
      <c r="I309" s="94"/>
      <c r="J309" s="94"/>
      <c r="K309" s="94"/>
      <c r="L309" s="94"/>
      <c r="M309" s="94"/>
      <c r="N309" s="94"/>
      <c r="O309" s="94"/>
      <c r="P309" s="94"/>
      <c r="Q309" s="94"/>
      <c r="R309" s="94"/>
      <c r="S309" s="94"/>
      <c r="T309" s="94"/>
      <c r="U309" s="94"/>
      <c r="V309" s="94"/>
      <c r="W309" s="94"/>
      <c r="X309" s="94"/>
      <c r="Y309" s="94"/>
      <c r="Z309" s="94"/>
    </row>
    <row r="310">
      <c r="A310" s="94"/>
      <c r="B310" s="94"/>
      <c r="C310" s="94"/>
      <c r="D310" s="94"/>
      <c r="E310" s="94"/>
      <c r="F310" s="94"/>
      <c r="G310" s="94"/>
      <c r="H310" s="94"/>
      <c r="I310" s="94"/>
      <c r="J310" s="94"/>
      <c r="K310" s="94"/>
      <c r="L310" s="94"/>
      <c r="M310" s="94"/>
      <c r="N310" s="94"/>
      <c r="O310" s="94"/>
      <c r="P310" s="94"/>
      <c r="Q310" s="94"/>
      <c r="R310" s="94"/>
      <c r="S310" s="94"/>
      <c r="T310" s="94"/>
      <c r="U310" s="94"/>
      <c r="V310" s="94"/>
      <c r="W310" s="94"/>
      <c r="X310" s="94"/>
      <c r="Y310" s="94"/>
      <c r="Z310" s="94"/>
    </row>
    <row r="311">
      <c r="A311" s="94"/>
      <c r="B311" s="94"/>
      <c r="C311" s="94"/>
      <c r="D311" s="94"/>
      <c r="E311" s="94"/>
      <c r="F311" s="94"/>
      <c r="G311" s="94"/>
      <c r="H311" s="94"/>
      <c r="I311" s="94"/>
      <c r="J311" s="94"/>
      <c r="K311" s="94"/>
      <c r="L311" s="94"/>
      <c r="M311" s="94"/>
      <c r="N311" s="94"/>
      <c r="O311" s="94"/>
      <c r="P311" s="94"/>
      <c r="Q311" s="94"/>
      <c r="R311" s="94"/>
      <c r="S311" s="94"/>
      <c r="T311" s="94"/>
      <c r="U311" s="94"/>
      <c r="V311" s="94"/>
      <c r="W311" s="94"/>
      <c r="X311" s="94"/>
      <c r="Y311" s="94"/>
      <c r="Z311" s="94"/>
    </row>
    <row r="312">
      <c r="A312" s="94"/>
      <c r="B312" s="94"/>
      <c r="C312" s="94"/>
      <c r="D312" s="94"/>
      <c r="E312" s="94"/>
      <c r="F312" s="94"/>
      <c r="G312" s="94"/>
      <c r="H312" s="94"/>
      <c r="I312" s="94"/>
      <c r="J312" s="94"/>
      <c r="K312" s="94"/>
      <c r="L312" s="94"/>
      <c r="M312" s="94"/>
      <c r="N312" s="94"/>
      <c r="O312" s="94"/>
      <c r="P312" s="94"/>
      <c r="Q312" s="94"/>
      <c r="R312" s="94"/>
      <c r="S312" s="94"/>
      <c r="T312" s="94"/>
      <c r="U312" s="94"/>
      <c r="V312" s="94"/>
      <c r="W312" s="94"/>
      <c r="X312" s="94"/>
      <c r="Y312" s="94"/>
      <c r="Z312" s="94"/>
    </row>
    <row r="313">
      <c r="A313" s="94"/>
      <c r="B313" s="94"/>
      <c r="C313" s="94"/>
      <c r="D313" s="94"/>
      <c r="E313" s="94"/>
      <c r="F313" s="94"/>
      <c r="G313" s="94"/>
      <c r="H313" s="94"/>
      <c r="I313" s="94"/>
      <c r="J313" s="94"/>
      <c r="K313" s="94"/>
      <c r="L313" s="94"/>
      <c r="M313" s="94"/>
      <c r="N313" s="94"/>
      <c r="O313" s="94"/>
      <c r="P313" s="94"/>
      <c r="Q313" s="94"/>
      <c r="R313" s="94"/>
      <c r="S313" s="94"/>
      <c r="T313" s="94"/>
      <c r="U313" s="94"/>
      <c r="V313" s="94"/>
      <c r="W313" s="94"/>
      <c r="X313" s="94"/>
      <c r="Y313" s="94"/>
      <c r="Z313" s="94"/>
    </row>
    <row r="314">
      <c r="A314" s="94"/>
      <c r="B314" s="94"/>
      <c r="C314" s="94"/>
      <c r="D314" s="94"/>
      <c r="E314" s="94"/>
      <c r="F314" s="94"/>
      <c r="G314" s="94"/>
      <c r="H314" s="94"/>
      <c r="I314" s="94"/>
      <c r="J314" s="94"/>
      <c r="K314" s="94"/>
      <c r="L314" s="94"/>
      <c r="M314" s="94"/>
      <c r="N314" s="94"/>
      <c r="O314" s="94"/>
      <c r="P314" s="94"/>
      <c r="Q314" s="94"/>
      <c r="R314" s="94"/>
      <c r="S314" s="94"/>
      <c r="T314" s="94"/>
      <c r="U314" s="94"/>
      <c r="V314" s="94"/>
      <c r="W314" s="94"/>
      <c r="X314" s="94"/>
      <c r="Y314" s="94"/>
      <c r="Z314" s="94"/>
    </row>
    <row r="315">
      <c r="A315" s="94"/>
      <c r="B315" s="94"/>
      <c r="C315" s="94"/>
      <c r="D315" s="94"/>
      <c r="E315" s="94"/>
      <c r="F315" s="94"/>
      <c r="G315" s="94"/>
      <c r="H315" s="94"/>
      <c r="I315" s="94"/>
      <c r="J315" s="94"/>
      <c r="K315" s="94"/>
      <c r="L315" s="94"/>
      <c r="M315" s="94"/>
      <c r="N315" s="94"/>
      <c r="O315" s="94"/>
      <c r="P315" s="94"/>
      <c r="Q315" s="94"/>
      <c r="R315" s="94"/>
      <c r="S315" s="94"/>
      <c r="T315" s="94"/>
      <c r="U315" s="94"/>
      <c r="V315" s="94"/>
      <c r="W315" s="94"/>
      <c r="X315" s="94"/>
      <c r="Y315" s="94"/>
      <c r="Z315" s="94"/>
    </row>
    <row r="316">
      <c r="A316" s="94"/>
      <c r="B316" s="94"/>
      <c r="C316" s="94"/>
      <c r="D316" s="94"/>
      <c r="E316" s="94"/>
      <c r="F316" s="94"/>
      <c r="G316" s="94"/>
      <c r="H316" s="94"/>
      <c r="I316" s="94"/>
      <c r="J316" s="94"/>
      <c r="K316" s="94"/>
      <c r="L316" s="94"/>
      <c r="M316" s="94"/>
      <c r="N316" s="94"/>
      <c r="O316" s="94"/>
      <c r="P316" s="94"/>
      <c r="Q316" s="94"/>
      <c r="R316" s="94"/>
      <c r="S316" s="94"/>
      <c r="T316" s="94"/>
      <c r="U316" s="94"/>
      <c r="V316" s="94"/>
      <c r="W316" s="94"/>
      <c r="X316" s="94"/>
      <c r="Y316" s="94"/>
      <c r="Z316" s="94"/>
    </row>
    <row r="317">
      <c r="A317" s="94"/>
      <c r="B317" s="94"/>
      <c r="C317" s="94"/>
      <c r="D317" s="94"/>
      <c r="E317" s="94"/>
      <c r="F317" s="94"/>
      <c r="G317" s="94"/>
      <c r="H317" s="94"/>
      <c r="I317" s="94"/>
      <c r="J317" s="94"/>
      <c r="K317" s="94"/>
      <c r="L317" s="94"/>
      <c r="M317" s="94"/>
      <c r="N317" s="94"/>
      <c r="O317" s="94"/>
      <c r="P317" s="94"/>
      <c r="Q317" s="94"/>
      <c r="R317" s="94"/>
      <c r="S317" s="94"/>
      <c r="T317" s="94"/>
      <c r="U317" s="94"/>
      <c r="V317" s="94"/>
      <c r="W317" s="94"/>
      <c r="X317" s="94"/>
      <c r="Y317" s="94"/>
      <c r="Z317" s="94"/>
    </row>
    <row r="318">
      <c r="A318" s="94"/>
      <c r="B318" s="94"/>
      <c r="C318" s="94"/>
      <c r="D318" s="94"/>
      <c r="E318" s="94"/>
      <c r="F318" s="94"/>
      <c r="G318" s="94"/>
      <c r="H318" s="94"/>
      <c r="I318" s="94"/>
      <c r="J318" s="94"/>
      <c r="K318" s="94"/>
      <c r="L318" s="94"/>
      <c r="M318" s="94"/>
      <c r="N318" s="94"/>
      <c r="O318" s="94"/>
      <c r="P318" s="94"/>
      <c r="Q318" s="94"/>
      <c r="R318" s="94"/>
      <c r="S318" s="94"/>
      <c r="T318" s="94"/>
      <c r="U318" s="94"/>
      <c r="V318" s="94"/>
      <c r="W318" s="94"/>
      <c r="X318" s="94"/>
      <c r="Y318" s="94"/>
      <c r="Z318" s="94"/>
    </row>
    <row r="319">
      <c r="A319" s="94"/>
      <c r="B319" s="94"/>
      <c r="C319" s="94"/>
      <c r="D319" s="94"/>
      <c r="E319" s="94"/>
      <c r="F319" s="94"/>
      <c r="G319" s="94"/>
      <c r="H319" s="94"/>
      <c r="I319" s="94"/>
      <c r="J319" s="94"/>
      <c r="K319" s="94"/>
      <c r="L319" s="94"/>
      <c r="M319" s="94"/>
      <c r="N319" s="94"/>
      <c r="O319" s="94"/>
      <c r="P319" s="94"/>
      <c r="Q319" s="94"/>
      <c r="R319" s="94"/>
      <c r="S319" s="94"/>
      <c r="T319" s="94"/>
      <c r="U319" s="94"/>
      <c r="V319" s="94"/>
      <c r="W319" s="94"/>
      <c r="X319" s="94"/>
      <c r="Y319" s="94"/>
      <c r="Z319" s="94"/>
    </row>
    <row r="320">
      <c r="A320" s="94"/>
      <c r="B320" s="94"/>
      <c r="C320" s="94"/>
      <c r="D320" s="94"/>
      <c r="E320" s="94"/>
      <c r="F320" s="94"/>
      <c r="G320" s="94"/>
      <c r="H320" s="94"/>
      <c r="I320" s="94"/>
      <c r="J320" s="94"/>
      <c r="K320" s="94"/>
      <c r="L320" s="94"/>
      <c r="M320" s="94"/>
      <c r="N320" s="94"/>
      <c r="O320" s="94"/>
      <c r="P320" s="94"/>
      <c r="Q320" s="94"/>
      <c r="R320" s="94"/>
      <c r="S320" s="94"/>
      <c r="T320" s="94"/>
      <c r="U320" s="94"/>
      <c r="V320" s="94"/>
      <c r="W320" s="94"/>
      <c r="X320" s="94"/>
      <c r="Y320" s="94"/>
      <c r="Z320" s="94"/>
    </row>
    <row r="321">
      <c r="A321" s="94"/>
      <c r="B321" s="94"/>
      <c r="C321" s="94"/>
      <c r="D321" s="94"/>
      <c r="E321" s="94"/>
      <c r="F321" s="94"/>
      <c r="G321" s="94"/>
      <c r="H321" s="94"/>
      <c r="I321" s="94"/>
      <c r="J321" s="94"/>
      <c r="K321" s="94"/>
      <c r="L321" s="94"/>
      <c r="M321" s="94"/>
      <c r="N321" s="94"/>
      <c r="O321" s="94"/>
      <c r="P321" s="94"/>
      <c r="Q321" s="94"/>
      <c r="R321" s="94"/>
      <c r="S321" s="94"/>
      <c r="T321" s="94"/>
      <c r="U321" s="94"/>
      <c r="V321" s="94"/>
      <c r="W321" s="94"/>
      <c r="X321" s="94"/>
      <c r="Y321" s="94"/>
      <c r="Z321" s="94"/>
    </row>
    <row r="322">
      <c r="A322" s="94"/>
      <c r="B322" s="94"/>
      <c r="C322" s="94"/>
      <c r="D322" s="94"/>
      <c r="E322" s="94"/>
      <c r="F322" s="94"/>
      <c r="G322" s="94"/>
      <c r="H322" s="94"/>
      <c r="I322" s="94"/>
      <c r="J322" s="94"/>
      <c r="K322" s="94"/>
      <c r="L322" s="94"/>
      <c r="M322" s="94"/>
      <c r="N322" s="94"/>
      <c r="O322" s="94"/>
      <c r="P322" s="94"/>
      <c r="Q322" s="94"/>
      <c r="R322" s="94"/>
      <c r="S322" s="94"/>
      <c r="T322" s="94"/>
      <c r="U322" s="94"/>
      <c r="V322" s="94"/>
      <c r="W322" s="94"/>
      <c r="X322" s="94"/>
      <c r="Y322" s="94"/>
      <c r="Z322" s="94"/>
    </row>
    <row r="323">
      <c r="A323" s="94"/>
      <c r="B323" s="94"/>
      <c r="C323" s="94"/>
      <c r="D323" s="94"/>
      <c r="E323" s="94"/>
      <c r="F323" s="94"/>
      <c r="G323" s="94"/>
      <c r="H323" s="94"/>
      <c r="I323" s="94"/>
      <c r="J323" s="94"/>
      <c r="K323" s="94"/>
      <c r="L323" s="94"/>
      <c r="M323" s="94"/>
      <c r="N323" s="94"/>
      <c r="O323" s="94"/>
      <c r="P323" s="94"/>
      <c r="Q323" s="94"/>
      <c r="R323" s="94"/>
      <c r="S323" s="94"/>
      <c r="T323" s="94"/>
      <c r="U323" s="94"/>
      <c r="V323" s="94"/>
      <c r="W323" s="94"/>
      <c r="X323" s="94"/>
      <c r="Y323" s="94"/>
      <c r="Z323" s="94"/>
    </row>
    <row r="324">
      <c r="A324" s="94"/>
      <c r="B324" s="94"/>
      <c r="C324" s="94"/>
      <c r="D324" s="94"/>
      <c r="E324" s="94"/>
      <c r="F324" s="94"/>
      <c r="G324" s="94"/>
      <c r="H324" s="94"/>
      <c r="I324" s="94"/>
      <c r="J324" s="94"/>
      <c r="K324" s="94"/>
      <c r="L324" s="94"/>
      <c r="M324" s="94"/>
      <c r="N324" s="94"/>
      <c r="O324" s="94"/>
      <c r="P324" s="94"/>
      <c r="Q324" s="94"/>
      <c r="R324" s="94"/>
      <c r="S324" s="94"/>
      <c r="T324" s="94"/>
      <c r="U324" s="94"/>
      <c r="V324" s="94"/>
      <c r="W324" s="94"/>
      <c r="X324" s="94"/>
      <c r="Y324" s="94"/>
      <c r="Z324" s="94"/>
    </row>
    <row r="325">
      <c r="A325" s="94"/>
      <c r="B325" s="94"/>
      <c r="C325" s="94"/>
      <c r="D325" s="94"/>
      <c r="E325" s="94"/>
      <c r="F325" s="94"/>
      <c r="G325" s="94"/>
      <c r="H325" s="94"/>
      <c r="I325" s="94"/>
      <c r="J325" s="94"/>
      <c r="K325" s="94"/>
      <c r="L325" s="94"/>
      <c r="M325" s="94"/>
      <c r="N325" s="94"/>
      <c r="O325" s="94"/>
      <c r="P325" s="94"/>
      <c r="Q325" s="94"/>
      <c r="R325" s="94"/>
      <c r="S325" s="94"/>
      <c r="T325" s="94"/>
      <c r="U325" s="94"/>
      <c r="V325" s="94"/>
      <c r="W325" s="94"/>
      <c r="X325" s="94"/>
      <c r="Y325" s="94"/>
      <c r="Z325" s="94"/>
    </row>
    <row r="326">
      <c r="A326" s="94"/>
      <c r="B326" s="94"/>
      <c r="C326" s="94"/>
      <c r="D326" s="94"/>
      <c r="E326" s="94"/>
      <c r="F326" s="94"/>
      <c r="G326" s="94"/>
      <c r="H326" s="94"/>
      <c r="I326" s="94"/>
      <c r="J326" s="94"/>
      <c r="K326" s="94"/>
      <c r="L326" s="94"/>
      <c r="M326" s="94"/>
      <c r="N326" s="94"/>
      <c r="O326" s="94"/>
      <c r="P326" s="94"/>
      <c r="Q326" s="94"/>
      <c r="R326" s="94"/>
      <c r="S326" s="94"/>
      <c r="T326" s="94"/>
      <c r="U326" s="94"/>
      <c r="V326" s="94"/>
      <c r="W326" s="94"/>
      <c r="X326" s="94"/>
      <c r="Y326" s="94"/>
      <c r="Z326" s="94"/>
    </row>
    <row r="327">
      <c r="A327" s="94"/>
      <c r="B327" s="94"/>
      <c r="C327" s="94"/>
      <c r="D327" s="94"/>
      <c r="E327" s="94"/>
      <c r="F327" s="94"/>
      <c r="G327" s="94"/>
      <c r="H327" s="94"/>
      <c r="I327" s="94"/>
      <c r="J327" s="94"/>
      <c r="K327" s="94"/>
      <c r="L327" s="94"/>
      <c r="M327" s="94"/>
      <c r="N327" s="94"/>
      <c r="O327" s="94"/>
      <c r="P327" s="94"/>
      <c r="Q327" s="94"/>
      <c r="R327" s="94"/>
      <c r="S327" s="94"/>
      <c r="T327" s="94"/>
      <c r="U327" s="94"/>
      <c r="V327" s="94"/>
      <c r="W327" s="94"/>
      <c r="X327" s="94"/>
      <c r="Y327" s="94"/>
      <c r="Z327" s="94"/>
    </row>
    <row r="328">
      <c r="A328" s="94"/>
      <c r="B328" s="94"/>
      <c r="C328" s="94"/>
      <c r="D328" s="94"/>
      <c r="E328" s="94"/>
      <c r="F328" s="94"/>
      <c r="G328" s="94"/>
      <c r="H328" s="94"/>
      <c r="I328" s="94"/>
      <c r="J328" s="94"/>
      <c r="K328" s="94"/>
      <c r="L328" s="94"/>
      <c r="M328" s="94"/>
      <c r="N328" s="94"/>
      <c r="O328" s="94"/>
      <c r="P328" s="94"/>
      <c r="Q328" s="94"/>
      <c r="R328" s="94"/>
      <c r="S328" s="94"/>
      <c r="T328" s="94"/>
      <c r="U328" s="94"/>
      <c r="V328" s="94"/>
      <c r="W328" s="94"/>
      <c r="X328" s="94"/>
      <c r="Y328" s="94"/>
      <c r="Z328" s="94"/>
    </row>
    <row r="329">
      <c r="A329" s="94"/>
      <c r="B329" s="94"/>
      <c r="C329" s="94"/>
      <c r="D329" s="94"/>
      <c r="E329" s="94"/>
      <c r="F329" s="94"/>
      <c r="G329" s="94"/>
      <c r="H329" s="94"/>
      <c r="I329" s="94"/>
      <c r="J329" s="94"/>
      <c r="K329" s="94"/>
      <c r="L329" s="94"/>
      <c r="M329" s="94"/>
      <c r="N329" s="94"/>
      <c r="O329" s="94"/>
      <c r="P329" s="94"/>
      <c r="Q329" s="94"/>
      <c r="R329" s="94"/>
      <c r="S329" s="94"/>
      <c r="T329" s="94"/>
      <c r="U329" s="94"/>
      <c r="V329" s="94"/>
      <c r="W329" s="94"/>
      <c r="X329" s="94"/>
      <c r="Y329" s="94"/>
      <c r="Z329" s="94"/>
    </row>
    <row r="330">
      <c r="A330" s="94"/>
      <c r="B330" s="94"/>
      <c r="C330" s="94"/>
      <c r="D330" s="94"/>
      <c r="E330" s="94"/>
      <c r="F330" s="94"/>
      <c r="G330" s="94"/>
      <c r="H330" s="94"/>
      <c r="I330" s="94"/>
      <c r="J330" s="94"/>
      <c r="K330" s="94"/>
      <c r="L330" s="94"/>
      <c r="M330" s="94"/>
      <c r="N330" s="94"/>
      <c r="O330" s="94"/>
      <c r="P330" s="94"/>
      <c r="Q330" s="94"/>
      <c r="R330" s="94"/>
      <c r="S330" s="94"/>
      <c r="T330" s="94"/>
      <c r="U330" s="94"/>
      <c r="V330" s="94"/>
      <c r="W330" s="94"/>
      <c r="X330" s="94"/>
      <c r="Y330" s="94"/>
      <c r="Z330" s="94"/>
    </row>
    <row r="331">
      <c r="A331" s="94"/>
      <c r="B331" s="94"/>
      <c r="C331" s="94"/>
      <c r="D331" s="94"/>
      <c r="E331" s="94"/>
      <c r="F331" s="94"/>
      <c r="G331" s="94"/>
      <c r="H331" s="94"/>
      <c r="I331" s="94"/>
      <c r="J331" s="94"/>
      <c r="K331" s="94"/>
      <c r="L331" s="94"/>
      <c r="M331" s="94"/>
      <c r="N331" s="94"/>
      <c r="O331" s="94"/>
      <c r="P331" s="94"/>
      <c r="Q331" s="94"/>
      <c r="R331" s="94"/>
      <c r="S331" s="94"/>
      <c r="T331" s="94"/>
      <c r="U331" s="94"/>
      <c r="V331" s="94"/>
      <c r="W331" s="94"/>
      <c r="X331" s="94"/>
      <c r="Y331" s="94"/>
      <c r="Z331" s="94"/>
    </row>
    <row r="332">
      <c r="A332" s="94"/>
      <c r="B332" s="94"/>
      <c r="C332" s="94"/>
      <c r="D332" s="94"/>
      <c r="E332" s="94"/>
      <c r="F332" s="94"/>
      <c r="G332" s="94"/>
      <c r="H332" s="94"/>
      <c r="I332" s="94"/>
      <c r="J332" s="94"/>
      <c r="K332" s="94"/>
      <c r="L332" s="94"/>
      <c r="M332" s="94"/>
      <c r="N332" s="94"/>
      <c r="O332" s="94"/>
      <c r="P332" s="94"/>
      <c r="Q332" s="94"/>
      <c r="R332" s="94"/>
      <c r="S332" s="94"/>
      <c r="T332" s="94"/>
      <c r="U332" s="94"/>
      <c r="V332" s="94"/>
      <c r="W332" s="94"/>
      <c r="X332" s="94"/>
      <c r="Y332" s="94"/>
      <c r="Z332" s="94"/>
    </row>
    <row r="333">
      <c r="A333" s="94"/>
      <c r="B333" s="94"/>
      <c r="C333" s="94"/>
      <c r="D333" s="94"/>
      <c r="E333" s="94"/>
      <c r="F333" s="94"/>
      <c r="G333" s="94"/>
      <c r="H333" s="94"/>
      <c r="I333" s="94"/>
      <c r="J333" s="94"/>
      <c r="K333" s="94"/>
      <c r="L333" s="94"/>
      <c r="M333" s="94"/>
      <c r="N333" s="94"/>
      <c r="O333" s="94"/>
      <c r="P333" s="94"/>
      <c r="Q333" s="94"/>
      <c r="R333" s="94"/>
      <c r="S333" s="94"/>
      <c r="T333" s="94"/>
      <c r="U333" s="94"/>
      <c r="V333" s="94"/>
      <c r="W333" s="94"/>
      <c r="X333" s="94"/>
      <c r="Y333" s="94"/>
      <c r="Z333" s="94"/>
    </row>
    <row r="334">
      <c r="A334" s="94"/>
      <c r="B334" s="94"/>
      <c r="C334" s="94"/>
      <c r="D334" s="94"/>
      <c r="E334" s="94"/>
      <c r="F334" s="94"/>
      <c r="G334" s="94"/>
      <c r="H334" s="94"/>
      <c r="I334" s="94"/>
      <c r="J334" s="94"/>
      <c r="K334" s="94"/>
      <c r="L334" s="94"/>
      <c r="M334" s="94"/>
      <c r="N334" s="94"/>
      <c r="O334" s="94"/>
      <c r="P334" s="94"/>
      <c r="Q334" s="94"/>
      <c r="R334" s="94"/>
      <c r="S334" s="94"/>
      <c r="T334" s="94"/>
      <c r="U334" s="94"/>
      <c r="V334" s="94"/>
      <c r="W334" s="94"/>
      <c r="X334" s="94"/>
      <c r="Y334" s="94"/>
      <c r="Z334" s="94"/>
    </row>
    <row r="335">
      <c r="A335" s="94"/>
      <c r="B335" s="94"/>
      <c r="C335" s="94"/>
      <c r="D335" s="94"/>
      <c r="E335" s="94"/>
      <c r="F335" s="94"/>
      <c r="G335" s="94"/>
      <c r="H335" s="94"/>
      <c r="I335" s="94"/>
      <c r="J335" s="94"/>
      <c r="K335" s="94"/>
      <c r="L335" s="94"/>
      <c r="M335" s="94"/>
      <c r="N335" s="94"/>
      <c r="O335" s="94"/>
      <c r="P335" s="94"/>
      <c r="Q335" s="94"/>
      <c r="R335" s="94"/>
      <c r="S335" s="94"/>
      <c r="T335" s="94"/>
      <c r="U335" s="94"/>
      <c r="V335" s="94"/>
      <c r="W335" s="94"/>
      <c r="X335" s="94"/>
      <c r="Y335" s="94"/>
      <c r="Z335" s="94"/>
    </row>
    <row r="336">
      <c r="A336" s="94"/>
      <c r="B336" s="94"/>
      <c r="C336" s="94"/>
      <c r="D336" s="94"/>
      <c r="E336" s="94"/>
      <c r="F336" s="94"/>
      <c r="G336" s="94"/>
      <c r="H336" s="94"/>
      <c r="I336" s="94"/>
      <c r="J336" s="94"/>
      <c r="K336" s="94"/>
      <c r="L336" s="94"/>
      <c r="M336" s="94"/>
      <c r="N336" s="94"/>
      <c r="O336" s="94"/>
      <c r="P336" s="94"/>
      <c r="Q336" s="94"/>
      <c r="R336" s="94"/>
      <c r="S336" s="94"/>
      <c r="T336" s="94"/>
      <c r="U336" s="94"/>
      <c r="V336" s="94"/>
      <c r="W336" s="94"/>
      <c r="X336" s="94"/>
      <c r="Y336" s="94"/>
      <c r="Z336" s="94"/>
    </row>
    <row r="337">
      <c r="A337" s="94"/>
      <c r="B337" s="94"/>
      <c r="C337" s="94"/>
      <c r="D337" s="94"/>
      <c r="E337" s="94"/>
      <c r="F337" s="94"/>
      <c r="G337" s="94"/>
      <c r="H337" s="94"/>
      <c r="I337" s="94"/>
      <c r="J337" s="94"/>
      <c r="K337" s="94"/>
      <c r="L337" s="94"/>
      <c r="M337" s="94"/>
      <c r="N337" s="94"/>
      <c r="O337" s="94"/>
      <c r="P337" s="94"/>
      <c r="Q337" s="94"/>
      <c r="R337" s="94"/>
      <c r="S337" s="94"/>
      <c r="T337" s="94"/>
      <c r="U337" s="94"/>
      <c r="V337" s="94"/>
      <c r="W337" s="94"/>
      <c r="X337" s="94"/>
      <c r="Y337" s="94"/>
      <c r="Z337" s="94"/>
    </row>
    <row r="338">
      <c r="A338" s="94"/>
      <c r="B338" s="94"/>
      <c r="C338" s="94"/>
      <c r="D338" s="94"/>
      <c r="E338" s="94"/>
      <c r="F338" s="94"/>
      <c r="G338" s="94"/>
      <c r="H338" s="94"/>
      <c r="I338" s="94"/>
      <c r="J338" s="94"/>
      <c r="K338" s="94"/>
      <c r="L338" s="94"/>
      <c r="M338" s="94"/>
      <c r="N338" s="94"/>
      <c r="O338" s="94"/>
      <c r="P338" s="94"/>
      <c r="Q338" s="94"/>
      <c r="R338" s="94"/>
      <c r="S338" s="94"/>
      <c r="T338" s="94"/>
      <c r="U338" s="94"/>
      <c r="V338" s="94"/>
      <c r="W338" s="94"/>
      <c r="X338" s="94"/>
      <c r="Y338" s="94"/>
      <c r="Z338" s="94"/>
    </row>
    <row r="339">
      <c r="A339" s="94"/>
      <c r="B339" s="94"/>
      <c r="C339" s="94"/>
      <c r="D339" s="94"/>
      <c r="E339" s="94"/>
      <c r="F339" s="94"/>
      <c r="G339" s="94"/>
      <c r="H339" s="94"/>
      <c r="I339" s="94"/>
      <c r="J339" s="94"/>
      <c r="K339" s="94"/>
      <c r="L339" s="94"/>
      <c r="M339" s="94"/>
      <c r="N339" s="94"/>
      <c r="O339" s="94"/>
      <c r="P339" s="94"/>
      <c r="Q339" s="94"/>
      <c r="R339" s="94"/>
      <c r="S339" s="94"/>
      <c r="T339" s="94"/>
      <c r="U339" s="94"/>
      <c r="V339" s="94"/>
      <c r="W339" s="94"/>
      <c r="X339" s="94"/>
      <c r="Y339" s="94"/>
      <c r="Z339" s="94"/>
    </row>
    <row r="340">
      <c r="A340" s="94"/>
      <c r="B340" s="94"/>
      <c r="C340" s="94"/>
      <c r="D340" s="94"/>
      <c r="E340" s="94"/>
      <c r="F340" s="94"/>
      <c r="G340" s="94"/>
      <c r="H340" s="94"/>
      <c r="I340" s="94"/>
      <c r="J340" s="94"/>
      <c r="K340" s="94"/>
      <c r="L340" s="94"/>
      <c r="M340" s="94"/>
      <c r="N340" s="94"/>
      <c r="O340" s="94"/>
      <c r="P340" s="94"/>
      <c r="Q340" s="94"/>
      <c r="R340" s="94"/>
      <c r="S340" s="94"/>
      <c r="T340" s="94"/>
      <c r="U340" s="94"/>
      <c r="V340" s="94"/>
      <c r="W340" s="94"/>
      <c r="X340" s="94"/>
      <c r="Y340" s="94"/>
      <c r="Z340" s="94"/>
    </row>
    <row r="341">
      <c r="A341" s="94"/>
      <c r="B341" s="94"/>
      <c r="C341" s="94"/>
      <c r="D341" s="94"/>
      <c r="E341" s="94"/>
      <c r="F341" s="94"/>
      <c r="G341" s="94"/>
      <c r="H341" s="94"/>
      <c r="I341" s="94"/>
      <c r="J341" s="94"/>
      <c r="K341" s="94"/>
      <c r="L341" s="94"/>
      <c r="M341" s="94"/>
      <c r="N341" s="94"/>
      <c r="O341" s="94"/>
      <c r="P341" s="94"/>
      <c r="Q341" s="94"/>
      <c r="R341" s="94"/>
      <c r="S341" s="94"/>
      <c r="T341" s="94"/>
      <c r="U341" s="94"/>
      <c r="V341" s="94"/>
      <c r="W341" s="94"/>
      <c r="X341" s="94"/>
      <c r="Y341" s="94"/>
      <c r="Z341" s="94"/>
    </row>
    <row r="342">
      <c r="A342" s="94"/>
      <c r="B342" s="94"/>
      <c r="C342" s="94"/>
      <c r="D342" s="94"/>
      <c r="E342" s="94"/>
      <c r="F342" s="94"/>
      <c r="G342" s="94"/>
      <c r="H342" s="94"/>
      <c r="I342" s="94"/>
      <c r="J342" s="94"/>
      <c r="K342" s="94"/>
      <c r="L342" s="94"/>
      <c r="M342" s="94"/>
      <c r="N342" s="94"/>
      <c r="O342" s="94"/>
      <c r="P342" s="94"/>
      <c r="Q342" s="94"/>
      <c r="R342" s="94"/>
      <c r="S342" s="94"/>
      <c r="T342" s="94"/>
      <c r="U342" s="94"/>
      <c r="V342" s="94"/>
      <c r="W342" s="94"/>
      <c r="X342" s="94"/>
      <c r="Y342" s="94"/>
      <c r="Z342" s="94"/>
    </row>
    <row r="343">
      <c r="A343" s="94"/>
      <c r="B343" s="94"/>
      <c r="C343" s="94"/>
      <c r="D343" s="94"/>
      <c r="E343" s="94"/>
      <c r="F343" s="94"/>
      <c r="G343" s="94"/>
      <c r="H343" s="94"/>
      <c r="I343" s="94"/>
      <c r="J343" s="94"/>
      <c r="K343" s="94"/>
      <c r="L343" s="94"/>
      <c r="M343" s="94"/>
      <c r="N343" s="94"/>
      <c r="O343" s="94"/>
      <c r="P343" s="94"/>
      <c r="Q343" s="94"/>
      <c r="R343" s="94"/>
      <c r="S343" s="94"/>
      <c r="T343" s="94"/>
      <c r="U343" s="94"/>
      <c r="V343" s="94"/>
      <c r="W343" s="94"/>
      <c r="X343" s="94"/>
      <c r="Y343" s="94"/>
      <c r="Z343" s="94"/>
    </row>
    <row r="344">
      <c r="A344" s="94"/>
      <c r="B344" s="94"/>
      <c r="C344" s="94"/>
      <c r="D344" s="94"/>
      <c r="E344" s="94"/>
      <c r="F344" s="94"/>
      <c r="G344" s="94"/>
      <c r="H344" s="94"/>
      <c r="I344" s="94"/>
      <c r="J344" s="94"/>
      <c r="K344" s="94"/>
      <c r="L344" s="94"/>
      <c r="M344" s="94"/>
      <c r="N344" s="94"/>
      <c r="O344" s="94"/>
      <c r="P344" s="94"/>
      <c r="Q344" s="94"/>
      <c r="R344" s="94"/>
      <c r="S344" s="94"/>
      <c r="T344" s="94"/>
      <c r="U344" s="94"/>
      <c r="V344" s="94"/>
      <c r="W344" s="94"/>
      <c r="X344" s="94"/>
      <c r="Y344" s="94"/>
      <c r="Z344" s="94"/>
    </row>
    <row r="345">
      <c r="A345" s="94"/>
      <c r="B345" s="94"/>
      <c r="C345" s="94"/>
      <c r="D345" s="94"/>
      <c r="E345" s="94"/>
      <c r="F345" s="94"/>
      <c r="G345" s="94"/>
      <c r="H345" s="94"/>
      <c r="I345" s="94"/>
      <c r="J345" s="94"/>
      <c r="K345" s="94"/>
      <c r="L345" s="94"/>
      <c r="M345" s="94"/>
      <c r="N345" s="94"/>
      <c r="O345" s="94"/>
      <c r="P345" s="94"/>
      <c r="Q345" s="94"/>
      <c r="R345" s="94"/>
      <c r="S345" s="94"/>
      <c r="T345" s="94"/>
      <c r="U345" s="94"/>
      <c r="V345" s="94"/>
      <c r="W345" s="94"/>
      <c r="X345" s="94"/>
      <c r="Y345" s="94"/>
      <c r="Z345" s="94"/>
    </row>
    <row r="346">
      <c r="A346" s="94"/>
      <c r="B346" s="94"/>
      <c r="C346" s="94"/>
      <c r="D346" s="94"/>
      <c r="E346" s="94"/>
      <c r="F346" s="94"/>
      <c r="G346" s="94"/>
      <c r="H346" s="94"/>
      <c r="I346" s="94"/>
      <c r="J346" s="94"/>
      <c r="K346" s="94"/>
      <c r="L346" s="94"/>
      <c r="M346" s="94"/>
      <c r="N346" s="94"/>
      <c r="O346" s="94"/>
      <c r="P346" s="94"/>
      <c r="Q346" s="94"/>
      <c r="R346" s="94"/>
      <c r="S346" s="94"/>
      <c r="T346" s="94"/>
      <c r="U346" s="94"/>
      <c r="V346" s="94"/>
      <c r="W346" s="94"/>
      <c r="X346" s="94"/>
      <c r="Y346" s="94"/>
      <c r="Z346" s="94"/>
    </row>
    <row r="347">
      <c r="A347" s="94"/>
      <c r="B347" s="94"/>
      <c r="C347" s="94"/>
      <c r="D347" s="94"/>
      <c r="E347" s="94"/>
      <c r="F347" s="94"/>
      <c r="G347" s="94"/>
      <c r="H347" s="94"/>
      <c r="I347" s="94"/>
      <c r="J347" s="94"/>
      <c r="K347" s="94"/>
      <c r="L347" s="94"/>
      <c r="M347" s="94"/>
      <c r="N347" s="94"/>
      <c r="O347" s="94"/>
      <c r="P347" s="94"/>
      <c r="Q347" s="94"/>
      <c r="R347" s="94"/>
      <c r="S347" s="94"/>
      <c r="T347" s="94"/>
      <c r="U347" s="94"/>
      <c r="V347" s="94"/>
      <c r="W347" s="94"/>
      <c r="X347" s="94"/>
      <c r="Y347" s="94"/>
      <c r="Z347" s="94"/>
    </row>
    <row r="348">
      <c r="A348" s="94"/>
      <c r="B348" s="94"/>
      <c r="C348" s="94"/>
      <c r="D348" s="94"/>
      <c r="E348" s="94"/>
      <c r="F348" s="94"/>
      <c r="G348" s="94"/>
      <c r="H348" s="94"/>
      <c r="I348" s="94"/>
      <c r="J348" s="94"/>
      <c r="K348" s="94"/>
      <c r="L348" s="94"/>
      <c r="M348" s="94"/>
      <c r="N348" s="94"/>
      <c r="O348" s="94"/>
      <c r="P348" s="94"/>
      <c r="Q348" s="94"/>
      <c r="R348" s="94"/>
      <c r="S348" s="94"/>
      <c r="T348" s="94"/>
      <c r="U348" s="94"/>
      <c r="V348" s="94"/>
      <c r="W348" s="94"/>
      <c r="X348" s="94"/>
      <c r="Y348" s="94"/>
      <c r="Z348" s="94"/>
    </row>
    <row r="349">
      <c r="A349" s="94"/>
      <c r="B349" s="94"/>
      <c r="C349" s="94"/>
      <c r="D349" s="94"/>
      <c r="E349" s="94"/>
      <c r="F349" s="94"/>
      <c r="G349" s="94"/>
      <c r="H349" s="94"/>
      <c r="I349" s="94"/>
      <c r="J349" s="94"/>
      <c r="K349" s="94"/>
      <c r="L349" s="94"/>
      <c r="M349" s="94"/>
      <c r="N349" s="94"/>
      <c r="O349" s="94"/>
      <c r="P349" s="94"/>
      <c r="Q349" s="94"/>
      <c r="R349" s="94"/>
      <c r="S349" s="94"/>
      <c r="T349" s="94"/>
      <c r="U349" s="94"/>
      <c r="V349" s="94"/>
      <c r="W349" s="94"/>
      <c r="X349" s="94"/>
      <c r="Y349" s="94"/>
      <c r="Z349" s="94"/>
    </row>
    <row r="350">
      <c r="A350" s="94"/>
      <c r="B350" s="94"/>
      <c r="C350" s="94"/>
      <c r="D350" s="94"/>
      <c r="E350" s="94"/>
      <c r="F350" s="94"/>
      <c r="G350" s="94"/>
      <c r="H350" s="94"/>
      <c r="I350" s="94"/>
      <c r="J350" s="94"/>
      <c r="K350" s="94"/>
      <c r="L350" s="94"/>
      <c r="M350" s="94"/>
      <c r="N350" s="94"/>
      <c r="O350" s="94"/>
      <c r="P350" s="94"/>
      <c r="Q350" s="94"/>
      <c r="R350" s="94"/>
      <c r="S350" s="94"/>
      <c r="T350" s="94"/>
      <c r="U350" s="94"/>
      <c r="V350" s="94"/>
      <c r="W350" s="94"/>
      <c r="X350" s="94"/>
      <c r="Y350" s="94"/>
      <c r="Z350" s="94"/>
    </row>
    <row r="351">
      <c r="A351" s="94"/>
      <c r="B351" s="94"/>
      <c r="C351" s="94"/>
      <c r="D351" s="94"/>
      <c r="E351" s="94"/>
      <c r="F351" s="94"/>
      <c r="G351" s="94"/>
      <c r="H351" s="94"/>
      <c r="I351" s="94"/>
      <c r="J351" s="94"/>
      <c r="K351" s="94"/>
      <c r="L351" s="94"/>
      <c r="M351" s="94"/>
      <c r="N351" s="94"/>
      <c r="O351" s="94"/>
      <c r="P351" s="94"/>
      <c r="Q351" s="94"/>
      <c r="R351" s="94"/>
      <c r="S351" s="94"/>
      <c r="T351" s="94"/>
      <c r="U351" s="94"/>
      <c r="V351" s="94"/>
      <c r="W351" s="94"/>
      <c r="X351" s="94"/>
      <c r="Y351" s="94"/>
      <c r="Z351" s="94"/>
    </row>
    <row r="352">
      <c r="A352" s="94"/>
      <c r="B352" s="94"/>
      <c r="C352" s="94"/>
      <c r="D352" s="94"/>
      <c r="E352" s="94"/>
      <c r="F352" s="94"/>
      <c r="G352" s="94"/>
      <c r="H352" s="94"/>
      <c r="I352" s="94"/>
      <c r="J352" s="94"/>
      <c r="K352" s="94"/>
      <c r="L352" s="94"/>
      <c r="M352" s="94"/>
      <c r="N352" s="94"/>
      <c r="O352" s="94"/>
      <c r="P352" s="94"/>
      <c r="Q352" s="94"/>
      <c r="R352" s="94"/>
      <c r="S352" s="94"/>
      <c r="T352" s="94"/>
      <c r="U352" s="94"/>
      <c r="V352" s="94"/>
      <c r="W352" s="94"/>
      <c r="X352" s="94"/>
      <c r="Y352" s="94"/>
      <c r="Z352" s="94"/>
    </row>
    <row r="353">
      <c r="A353" s="94"/>
      <c r="B353" s="94"/>
      <c r="C353" s="94"/>
      <c r="D353" s="94"/>
      <c r="E353" s="94"/>
      <c r="F353" s="94"/>
      <c r="G353" s="94"/>
      <c r="H353" s="94"/>
      <c r="I353" s="94"/>
      <c r="J353" s="94"/>
      <c r="K353" s="94"/>
      <c r="L353" s="94"/>
      <c r="M353" s="94"/>
      <c r="N353" s="94"/>
      <c r="O353" s="94"/>
      <c r="P353" s="94"/>
      <c r="Q353" s="94"/>
      <c r="R353" s="94"/>
      <c r="S353" s="94"/>
      <c r="T353" s="94"/>
      <c r="U353" s="94"/>
      <c r="V353" s="94"/>
      <c r="W353" s="94"/>
      <c r="X353" s="94"/>
      <c r="Y353" s="94"/>
      <c r="Z353" s="94"/>
    </row>
    <row r="354">
      <c r="A354" s="94"/>
      <c r="B354" s="94"/>
      <c r="C354" s="94"/>
      <c r="D354" s="94"/>
      <c r="E354" s="94"/>
      <c r="F354" s="94"/>
      <c r="G354" s="94"/>
      <c r="H354" s="94"/>
      <c r="I354" s="94"/>
      <c r="J354" s="94"/>
      <c r="K354" s="94"/>
      <c r="L354" s="94"/>
      <c r="M354" s="94"/>
      <c r="N354" s="94"/>
      <c r="O354" s="94"/>
      <c r="P354" s="94"/>
      <c r="Q354" s="94"/>
      <c r="R354" s="94"/>
      <c r="S354" s="94"/>
      <c r="T354" s="94"/>
      <c r="U354" s="94"/>
      <c r="V354" s="94"/>
      <c r="W354" s="94"/>
      <c r="X354" s="94"/>
      <c r="Y354" s="94"/>
      <c r="Z354" s="94"/>
    </row>
    <row r="355">
      <c r="A355" s="94"/>
      <c r="B355" s="94"/>
      <c r="C355" s="94"/>
      <c r="D355" s="94"/>
      <c r="E355" s="94"/>
      <c r="F355" s="94"/>
      <c r="G355" s="94"/>
      <c r="H355" s="94"/>
      <c r="I355" s="94"/>
      <c r="J355" s="94"/>
      <c r="K355" s="94"/>
      <c r="L355" s="94"/>
      <c r="M355" s="94"/>
      <c r="N355" s="94"/>
      <c r="O355" s="94"/>
      <c r="P355" s="94"/>
      <c r="Q355" s="94"/>
      <c r="R355" s="94"/>
      <c r="S355" s="94"/>
      <c r="T355" s="94"/>
      <c r="U355" s="94"/>
      <c r="V355" s="94"/>
      <c r="W355" s="94"/>
      <c r="X355" s="94"/>
      <c r="Y355" s="94"/>
      <c r="Z355" s="94"/>
    </row>
    <row r="356">
      <c r="A356" s="94"/>
      <c r="B356" s="94"/>
      <c r="C356" s="94"/>
      <c r="D356" s="94"/>
      <c r="E356" s="94"/>
      <c r="F356" s="94"/>
      <c r="G356" s="94"/>
      <c r="H356" s="94"/>
      <c r="I356" s="94"/>
      <c r="J356" s="94"/>
      <c r="K356" s="94"/>
      <c r="L356" s="94"/>
      <c r="M356" s="94"/>
      <c r="N356" s="94"/>
      <c r="O356" s="94"/>
      <c r="P356" s="94"/>
      <c r="Q356" s="94"/>
      <c r="R356" s="94"/>
      <c r="S356" s="94"/>
      <c r="T356" s="94"/>
      <c r="U356" s="94"/>
      <c r="V356" s="94"/>
      <c r="W356" s="94"/>
      <c r="X356" s="94"/>
      <c r="Y356" s="94"/>
      <c r="Z356" s="94"/>
    </row>
    <row r="357">
      <c r="A357" s="94"/>
      <c r="B357" s="94"/>
      <c r="C357" s="94"/>
      <c r="D357" s="94"/>
      <c r="E357" s="94"/>
      <c r="F357" s="94"/>
      <c r="G357" s="94"/>
      <c r="H357" s="94"/>
      <c r="I357" s="94"/>
      <c r="J357" s="94"/>
      <c r="K357" s="94"/>
      <c r="L357" s="94"/>
      <c r="M357" s="94"/>
      <c r="N357" s="94"/>
      <c r="O357" s="94"/>
      <c r="P357" s="94"/>
      <c r="Q357" s="94"/>
      <c r="R357" s="94"/>
      <c r="S357" s="94"/>
      <c r="T357" s="94"/>
      <c r="U357" s="94"/>
      <c r="V357" s="94"/>
      <c r="W357" s="94"/>
      <c r="X357" s="94"/>
      <c r="Y357" s="94"/>
      <c r="Z357" s="94"/>
    </row>
    <row r="358">
      <c r="A358" s="94"/>
      <c r="B358" s="94"/>
      <c r="C358" s="94"/>
      <c r="D358" s="94"/>
      <c r="E358" s="94"/>
      <c r="F358" s="94"/>
      <c r="G358" s="94"/>
      <c r="H358" s="94"/>
      <c r="I358" s="94"/>
      <c r="J358" s="94"/>
      <c r="K358" s="94"/>
      <c r="L358" s="94"/>
      <c r="M358" s="94"/>
      <c r="N358" s="94"/>
      <c r="O358" s="94"/>
      <c r="P358" s="94"/>
      <c r="Q358" s="94"/>
      <c r="R358" s="94"/>
      <c r="S358" s="94"/>
      <c r="T358" s="94"/>
      <c r="U358" s="94"/>
      <c r="V358" s="94"/>
      <c r="W358" s="94"/>
      <c r="X358" s="94"/>
      <c r="Y358" s="94"/>
      <c r="Z358" s="94"/>
    </row>
    <row r="359">
      <c r="A359" s="94"/>
      <c r="B359" s="94"/>
      <c r="C359" s="94"/>
      <c r="D359" s="94"/>
      <c r="E359" s="94"/>
      <c r="F359" s="94"/>
      <c r="G359" s="94"/>
      <c r="H359" s="94"/>
      <c r="I359" s="94"/>
      <c r="J359" s="94"/>
      <c r="K359" s="94"/>
      <c r="L359" s="94"/>
      <c r="M359" s="94"/>
      <c r="N359" s="94"/>
      <c r="O359" s="94"/>
      <c r="P359" s="94"/>
      <c r="Q359" s="94"/>
      <c r="R359" s="94"/>
      <c r="S359" s="94"/>
      <c r="T359" s="94"/>
      <c r="U359" s="94"/>
      <c r="V359" s="94"/>
      <c r="W359" s="94"/>
      <c r="X359" s="94"/>
      <c r="Y359" s="94"/>
      <c r="Z359" s="94"/>
    </row>
    <row r="360">
      <c r="A360" s="94"/>
      <c r="B360" s="94"/>
      <c r="C360" s="94"/>
      <c r="D360" s="94"/>
      <c r="E360" s="94"/>
      <c r="F360" s="94"/>
      <c r="G360" s="94"/>
      <c r="H360" s="94"/>
      <c r="I360" s="94"/>
      <c r="J360" s="94"/>
      <c r="K360" s="94"/>
      <c r="L360" s="94"/>
      <c r="M360" s="94"/>
      <c r="N360" s="94"/>
      <c r="O360" s="94"/>
      <c r="P360" s="94"/>
      <c r="Q360" s="94"/>
      <c r="R360" s="94"/>
      <c r="S360" s="94"/>
      <c r="T360" s="94"/>
      <c r="U360" s="94"/>
      <c r="V360" s="94"/>
      <c r="W360" s="94"/>
      <c r="X360" s="94"/>
      <c r="Y360" s="94"/>
      <c r="Z360" s="94"/>
    </row>
    <row r="361">
      <c r="A361" s="94"/>
      <c r="B361" s="94"/>
      <c r="C361" s="94"/>
      <c r="D361" s="94"/>
      <c r="E361" s="94"/>
      <c r="F361" s="94"/>
      <c r="G361" s="94"/>
      <c r="H361" s="94"/>
      <c r="I361" s="94"/>
      <c r="J361" s="94"/>
      <c r="K361" s="94"/>
      <c r="L361" s="94"/>
      <c r="M361" s="94"/>
      <c r="N361" s="94"/>
      <c r="O361" s="94"/>
      <c r="P361" s="94"/>
      <c r="Q361" s="94"/>
      <c r="R361" s="94"/>
      <c r="S361" s="94"/>
      <c r="T361" s="94"/>
      <c r="U361" s="94"/>
      <c r="V361" s="94"/>
      <c r="W361" s="94"/>
      <c r="X361" s="94"/>
      <c r="Y361" s="94"/>
      <c r="Z361" s="94"/>
    </row>
    <row r="362">
      <c r="A362" s="94"/>
      <c r="B362" s="94"/>
      <c r="C362" s="94"/>
      <c r="D362" s="94"/>
      <c r="E362" s="94"/>
      <c r="F362" s="94"/>
      <c r="G362" s="94"/>
      <c r="H362" s="94"/>
      <c r="I362" s="94"/>
      <c r="J362" s="94"/>
      <c r="K362" s="94"/>
      <c r="L362" s="94"/>
      <c r="M362" s="94"/>
      <c r="N362" s="94"/>
      <c r="O362" s="94"/>
      <c r="P362" s="94"/>
      <c r="Q362" s="94"/>
      <c r="R362" s="94"/>
      <c r="S362" s="94"/>
      <c r="T362" s="94"/>
      <c r="U362" s="94"/>
      <c r="V362" s="94"/>
      <c r="W362" s="94"/>
      <c r="X362" s="94"/>
      <c r="Y362" s="94"/>
      <c r="Z362" s="94"/>
    </row>
    <row r="363">
      <c r="A363" s="94"/>
      <c r="B363" s="94"/>
      <c r="C363" s="94"/>
      <c r="D363" s="94"/>
      <c r="E363" s="94"/>
      <c r="F363" s="94"/>
      <c r="G363" s="94"/>
      <c r="H363" s="94"/>
      <c r="I363" s="94"/>
      <c r="J363" s="94"/>
      <c r="K363" s="94"/>
      <c r="L363" s="94"/>
      <c r="M363" s="94"/>
      <c r="N363" s="94"/>
      <c r="O363" s="94"/>
      <c r="P363" s="94"/>
      <c r="Q363" s="94"/>
      <c r="R363" s="94"/>
      <c r="S363" s="94"/>
      <c r="T363" s="94"/>
      <c r="U363" s="94"/>
      <c r="V363" s="94"/>
      <c r="W363" s="94"/>
      <c r="X363" s="94"/>
      <c r="Y363" s="94"/>
      <c r="Z363" s="94"/>
    </row>
    <row r="364">
      <c r="A364" s="94"/>
      <c r="B364" s="94"/>
      <c r="C364" s="94"/>
      <c r="D364" s="94"/>
      <c r="E364" s="94"/>
      <c r="F364" s="94"/>
      <c r="G364" s="94"/>
      <c r="H364" s="94"/>
      <c r="I364" s="94"/>
      <c r="J364" s="94"/>
      <c r="K364" s="94"/>
      <c r="L364" s="94"/>
      <c r="M364" s="94"/>
      <c r="N364" s="94"/>
      <c r="O364" s="94"/>
      <c r="P364" s="94"/>
      <c r="Q364" s="94"/>
      <c r="R364" s="94"/>
      <c r="S364" s="94"/>
      <c r="T364" s="94"/>
      <c r="U364" s="94"/>
      <c r="V364" s="94"/>
      <c r="W364" s="94"/>
      <c r="X364" s="94"/>
      <c r="Y364" s="94"/>
      <c r="Z364" s="94"/>
    </row>
    <row r="365">
      <c r="A365" s="94"/>
      <c r="B365" s="94"/>
      <c r="C365" s="94"/>
      <c r="D365" s="94"/>
      <c r="E365" s="94"/>
      <c r="F365" s="94"/>
      <c r="G365" s="94"/>
      <c r="H365" s="94"/>
      <c r="I365" s="94"/>
      <c r="J365" s="94"/>
      <c r="K365" s="94"/>
      <c r="L365" s="94"/>
      <c r="M365" s="94"/>
      <c r="N365" s="94"/>
      <c r="O365" s="94"/>
      <c r="P365" s="94"/>
      <c r="Q365" s="94"/>
      <c r="R365" s="94"/>
      <c r="S365" s="94"/>
      <c r="T365" s="94"/>
      <c r="U365" s="94"/>
      <c r="V365" s="94"/>
      <c r="W365" s="94"/>
      <c r="X365" s="94"/>
      <c r="Y365" s="94"/>
      <c r="Z365" s="94"/>
    </row>
    <row r="366">
      <c r="A366" s="94"/>
      <c r="B366" s="94"/>
      <c r="C366" s="94"/>
      <c r="D366" s="94"/>
      <c r="E366" s="94"/>
      <c r="F366" s="94"/>
      <c r="G366" s="94"/>
      <c r="H366" s="94"/>
      <c r="I366" s="94"/>
      <c r="J366" s="94"/>
      <c r="K366" s="94"/>
      <c r="L366" s="94"/>
      <c r="M366" s="94"/>
      <c r="N366" s="94"/>
      <c r="O366" s="94"/>
      <c r="P366" s="94"/>
      <c r="Q366" s="94"/>
      <c r="R366" s="94"/>
      <c r="S366" s="94"/>
      <c r="T366" s="94"/>
      <c r="U366" s="94"/>
      <c r="V366" s="94"/>
      <c r="W366" s="94"/>
      <c r="X366" s="94"/>
      <c r="Y366" s="94"/>
      <c r="Z366" s="94"/>
    </row>
    <row r="367">
      <c r="A367" s="94"/>
      <c r="B367" s="94"/>
      <c r="C367" s="94"/>
      <c r="D367" s="94"/>
      <c r="E367" s="94"/>
      <c r="F367" s="94"/>
      <c r="G367" s="94"/>
      <c r="H367" s="94"/>
      <c r="I367" s="94"/>
      <c r="J367" s="94"/>
      <c r="K367" s="94"/>
      <c r="L367" s="94"/>
      <c r="M367" s="94"/>
      <c r="N367" s="94"/>
      <c r="O367" s="94"/>
      <c r="P367" s="94"/>
      <c r="Q367" s="94"/>
      <c r="R367" s="94"/>
      <c r="S367" s="94"/>
      <c r="T367" s="94"/>
      <c r="U367" s="94"/>
      <c r="V367" s="94"/>
      <c r="W367" s="94"/>
      <c r="X367" s="94"/>
      <c r="Y367" s="94"/>
      <c r="Z367" s="94"/>
    </row>
    <row r="368">
      <c r="A368" s="94"/>
      <c r="B368" s="94"/>
      <c r="C368" s="94"/>
      <c r="D368" s="94"/>
      <c r="E368" s="94"/>
      <c r="F368" s="94"/>
      <c r="G368" s="94"/>
      <c r="H368" s="94"/>
      <c r="I368" s="94"/>
      <c r="J368" s="94"/>
      <c r="K368" s="94"/>
      <c r="L368" s="94"/>
      <c r="M368" s="94"/>
      <c r="N368" s="94"/>
      <c r="O368" s="94"/>
      <c r="P368" s="94"/>
      <c r="Q368" s="94"/>
      <c r="R368" s="94"/>
      <c r="S368" s="94"/>
      <c r="T368" s="94"/>
      <c r="U368" s="94"/>
      <c r="V368" s="94"/>
      <c r="W368" s="94"/>
      <c r="X368" s="94"/>
      <c r="Y368" s="94"/>
      <c r="Z368" s="94"/>
    </row>
    <row r="369">
      <c r="A369" s="94"/>
      <c r="B369" s="94"/>
      <c r="C369" s="94"/>
      <c r="D369" s="94"/>
      <c r="E369" s="94"/>
      <c r="F369" s="94"/>
      <c r="G369" s="94"/>
      <c r="H369" s="94"/>
      <c r="I369" s="94"/>
      <c r="J369" s="94"/>
      <c r="K369" s="94"/>
      <c r="L369" s="94"/>
      <c r="M369" s="94"/>
      <c r="N369" s="94"/>
      <c r="O369" s="94"/>
      <c r="P369" s="94"/>
      <c r="Q369" s="94"/>
      <c r="R369" s="94"/>
      <c r="S369" s="94"/>
      <c r="T369" s="94"/>
      <c r="U369" s="94"/>
      <c r="V369" s="94"/>
      <c r="W369" s="94"/>
      <c r="X369" s="94"/>
      <c r="Y369" s="94"/>
      <c r="Z369" s="94"/>
    </row>
    <row r="370">
      <c r="A370" s="94"/>
      <c r="B370" s="94"/>
      <c r="C370" s="94"/>
      <c r="D370" s="94"/>
      <c r="E370" s="94"/>
      <c r="F370" s="94"/>
      <c r="G370" s="94"/>
      <c r="H370" s="94"/>
      <c r="I370" s="94"/>
      <c r="J370" s="94"/>
      <c r="K370" s="94"/>
      <c r="L370" s="94"/>
      <c r="M370" s="94"/>
      <c r="N370" s="94"/>
      <c r="O370" s="94"/>
      <c r="P370" s="94"/>
      <c r="Q370" s="94"/>
      <c r="R370" s="94"/>
      <c r="S370" s="94"/>
      <c r="T370" s="94"/>
      <c r="U370" s="94"/>
      <c r="V370" s="94"/>
      <c r="W370" s="94"/>
      <c r="X370" s="94"/>
      <c r="Y370" s="94"/>
      <c r="Z370" s="94"/>
    </row>
    <row r="371">
      <c r="A371" s="94"/>
      <c r="B371" s="94"/>
      <c r="C371" s="94"/>
      <c r="D371" s="94"/>
      <c r="E371" s="94"/>
      <c r="F371" s="94"/>
      <c r="G371" s="94"/>
      <c r="H371" s="94"/>
      <c r="I371" s="94"/>
      <c r="J371" s="94"/>
      <c r="K371" s="94"/>
      <c r="L371" s="94"/>
      <c r="M371" s="94"/>
      <c r="N371" s="94"/>
      <c r="O371" s="94"/>
      <c r="P371" s="94"/>
      <c r="Q371" s="94"/>
      <c r="R371" s="94"/>
      <c r="S371" s="94"/>
      <c r="T371" s="94"/>
      <c r="U371" s="94"/>
      <c r="V371" s="94"/>
      <c r="W371" s="94"/>
      <c r="X371" s="94"/>
      <c r="Y371" s="94"/>
      <c r="Z371" s="94"/>
    </row>
    <row r="372">
      <c r="A372" s="94"/>
      <c r="B372" s="94"/>
      <c r="C372" s="94"/>
      <c r="D372" s="94"/>
      <c r="E372" s="94"/>
      <c r="F372" s="94"/>
      <c r="G372" s="94"/>
      <c r="H372" s="94"/>
      <c r="I372" s="94"/>
      <c r="J372" s="94"/>
      <c r="K372" s="94"/>
      <c r="L372" s="94"/>
      <c r="M372" s="94"/>
      <c r="N372" s="94"/>
      <c r="O372" s="94"/>
      <c r="P372" s="94"/>
      <c r="Q372" s="94"/>
      <c r="R372" s="94"/>
      <c r="S372" s="94"/>
      <c r="T372" s="94"/>
      <c r="U372" s="94"/>
      <c r="V372" s="94"/>
      <c r="W372" s="94"/>
      <c r="X372" s="94"/>
      <c r="Y372" s="94"/>
      <c r="Z372" s="94"/>
    </row>
    <row r="373">
      <c r="A373" s="94"/>
      <c r="B373" s="94"/>
      <c r="C373" s="94"/>
      <c r="D373" s="94"/>
      <c r="E373" s="94"/>
      <c r="F373" s="94"/>
      <c r="G373" s="94"/>
      <c r="H373" s="94"/>
      <c r="I373" s="94"/>
      <c r="J373" s="94"/>
      <c r="K373" s="94"/>
      <c r="L373" s="94"/>
      <c r="M373" s="94"/>
      <c r="N373" s="94"/>
      <c r="O373" s="94"/>
      <c r="P373" s="94"/>
      <c r="Q373" s="94"/>
      <c r="R373" s="94"/>
      <c r="S373" s="94"/>
      <c r="T373" s="94"/>
      <c r="U373" s="94"/>
      <c r="V373" s="94"/>
      <c r="W373" s="94"/>
      <c r="X373" s="94"/>
      <c r="Y373" s="94"/>
      <c r="Z373" s="94"/>
    </row>
    <row r="374">
      <c r="A374" s="94"/>
      <c r="B374" s="94"/>
      <c r="C374" s="94"/>
      <c r="D374" s="94"/>
      <c r="E374" s="94"/>
      <c r="F374" s="94"/>
      <c r="G374" s="94"/>
      <c r="H374" s="94"/>
      <c r="I374" s="94"/>
      <c r="J374" s="94"/>
      <c r="K374" s="94"/>
      <c r="L374" s="94"/>
      <c r="M374" s="94"/>
      <c r="N374" s="94"/>
      <c r="O374" s="94"/>
      <c r="P374" s="94"/>
      <c r="Q374" s="94"/>
      <c r="R374" s="94"/>
      <c r="S374" s="94"/>
      <c r="T374" s="94"/>
      <c r="U374" s="94"/>
      <c r="V374" s="94"/>
      <c r="W374" s="94"/>
      <c r="X374" s="94"/>
      <c r="Y374" s="94"/>
      <c r="Z374" s="94"/>
    </row>
    <row r="375">
      <c r="A375" s="94"/>
      <c r="B375" s="94"/>
      <c r="C375" s="94"/>
      <c r="D375" s="94"/>
      <c r="E375" s="94"/>
      <c r="F375" s="94"/>
      <c r="G375" s="94"/>
      <c r="H375" s="94"/>
      <c r="I375" s="94"/>
      <c r="J375" s="94"/>
      <c r="K375" s="94"/>
      <c r="L375" s="94"/>
      <c r="M375" s="94"/>
      <c r="N375" s="94"/>
      <c r="O375" s="94"/>
      <c r="P375" s="94"/>
      <c r="Q375" s="94"/>
      <c r="R375" s="94"/>
      <c r="S375" s="94"/>
      <c r="T375" s="94"/>
      <c r="U375" s="94"/>
      <c r="V375" s="94"/>
      <c r="W375" s="94"/>
      <c r="X375" s="94"/>
      <c r="Y375" s="94"/>
      <c r="Z375" s="94"/>
    </row>
    <row r="376">
      <c r="A376" s="94"/>
      <c r="B376" s="94"/>
      <c r="C376" s="94"/>
      <c r="D376" s="94"/>
      <c r="E376" s="94"/>
      <c r="F376" s="94"/>
      <c r="G376" s="94"/>
      <c r="H376" s="94"/>
      <c r="I376" s="94"/>
      <c r="J376" s="94"/>
      <c r="K376" s="94"/>
      <c r="L376" s="94"/>
      <c r="M376" s="94"/>
      <c r="N376" s="94"/>
      <c r="O376" s="94"/>
      <c r="P376" s="94"/>
      <c r="Q376" s="94"/>
      <c r="R376" s="94"/>
      <c r="S376" s="94"/>
      <c r="T376" s="94"/>
      <c r="U376" s="94"/>
      <c r="V376" s="94"/>
      <c r="W376" s="94"/>
      <c r="X376" s="94"/>
      <c r="Y376" s="94"/>
      <c r="Z376" s="94"/>
    </row>
    <row r="377">
      <c r="A377" s="94"/>
      <c r="B377" s="94"/>
      <c r="C377" s="94"/>
      <c r="D377" s="94"/>
      <c r="E377" s="94"/>
      <c r="F377" s="94"/>
      <c r="G377" s="94"/>
      <c r="H377" s="94"/>
      <c r="I377" s="94"/>
      <c r="J377" s="94"/>
      <c r="K377" s="94"/>
      <c r="L377" s="94"/>
      <c r="M377" s="94"/>
      <c r="N377" s="94"/>
      <c r="O377" s="94"/>
      <c r="P377" s="94"/>
      <c r="Q377" s="94"/>
      <c r="R377" s="94"/>
      <c r="S377" s="94"/>
      <c r="T377" s="94"/>
      <c r="U377" s="94"/>
      <c r="V377" s="94"/>
      <c r="W377" s="94"/>
      <c r="X377" s="94"/>
      <c r="Y377" s="94"/>
      <c r="Z377" s="94"/>
    </row>
    <row r="378">
      <c r="A378" s="94"/>
      <c r="B378" s="94"/>
      <c r="C378" s="94"/>
      <c r="D378" s="94"/>
      <c r="E378" s="94"/>
      <c r="F378" s="94"/>
      <c r="G378" s="94"/>
      <c r="H378" s="94"/>
      <c r="I378" s="94"/>
      <c r="J378" s="94"/>
      <c r="K378" s="94"/>
      <c r="L378" s="94"/>
      <c r="M378" s="94"/>
      <c r="N378" s="94"/>
      <c r="O378" s="94"/>
      <c r="P378" s="94"/>
      <c r="Q378" s="94"/>
      <c r="R378" s="94"/>
      <c r="S378" s="94"/>
      <c r="T378" s="94"/>
      <c r="U378" s="94"/>
      <c r="V378" s="94"/>
      <c r="W378" s="94"/>
      <c r="X378" s="94"/>
      <c r="Y378" s="94"/>
      <c r="Z378" s="94"/>
    </row>
    <row r="379">
      <c r="A379" s="94"/>
      <c r="B379" s="94"/>
      <c r="C379" s="94"/>
      <c r="D379" s="94"/>
      <c r="E379" s="94"/>
      <c r="F379" s="94"/>
      <c r="G379" s="94"/>
      <c r="H379" s="94"/>
      <c r="I379" s="94"/>
      <c r="J379" s="94"/>
      <c r="K379" s="94"/>
      <c r="L379" s="94"/>
      <c r="M379" s="94"/>
      <c r="N379" s="94"/>
      <c r="O379" s="94"/>
      <c r="P379" s="94"/>
      <c r="Q379" s="94"/>
      <c r="R379" s="94"/>
      <c r="S379" s="94"/>
      <c r="T379" s="94"/>
      <c r="U379" s="94"/>
      <c r="V379" s="94"/>
      <c r="W379" s="94"/>
      <c r="X379" s="94"/>
      <c r="Y379" s="94"/>
      <c r="Z379" s="94"/>
    </row>
    <row r="380">
      <c r="A380" s="94"/>
      <c r="B380" s="94"/>
      <c r="C380" s="94"/>
      <c r="D380" s="94"/>
      <c r="E380" s="94"/>
      <c r="F380" s="94"/>
      <c r="G380" s="94"/>
      <c r="H380" s="94"/>
      <c r="I380" s="94"/>
      <c r="J380" s="94"/>
      <c r="K380" s="94"/>
      <c r="L380" s="94"/>
      <c r="M380" s="94"/>
      <c r="N380" s="94"/>
      <c r="O380" s="94"/>
      <c r="P380" s="94"/>
      <c r="Q380" s="94"/>
      <c r="R380" s="94"/>
      <c r="S380" s="94"/>
      <c r="T380" s="94"/>
      <c r="U380" s="94"/>
      <c r="V380" s="94"/>
      <c r="W380" s="94"/>
      <c r="X380" s="94"/>
      <c r="Y380" s="94"/>
      <c r="Z380" s="94"/>
    </row>
    <row r="381">
      <c r="A381" s="94"/>
      <c r="B381" s="94"/>
      <c r="C381" s="94"/>
      <c r="D381" s="94"/>
      <c r="E381" s="94"/>
      <c r="F381" s="94"/>
      <c r="G381" s="94"/>
      <c r="H381" s="94"/>
      <c r="I381" s="94"/>
      <c r="J381" s="94"/>
      <c r="K381" s="94"/>
      <c r="L381" s="94"/>
      <c r="M381" s="94"/>
      <c r="N381" s="94"/>
      <c r="O381" s="94"/>
      <c r="P381" s="94"/>
      <c r="Q381" s="94"/>
      <c r="R381" s="94"/>
      <c r="S381" s="94"/>
      <c r="T381" s="94"/>
      <c r="U381" s="94"/>
      <c r="V381" s="94"/>
      <c r="W381" s="94"/>
      <c r="X381" s="94"/>
      <c r="Y381" s="94"/>
      <c r="Z381" s="94"/>
    </row>
    <row r="382">
      <c r="A382" s="94"/>
      <c r="B382" s="94"/>
      <c r="C382" s="94"/>
      <c r="D382" s="94"/>
      <c r="E382" s="94"/>
      <c r="F382" s="94"/>
      <c r="G382" s="94"/>
      <c r="H382" s="94"/>
      <c r="I382" s="94"/>
      <c r="J382" s="94"/>
      <c r="K382" s="94"/>
      <c r="L382" s="94"/>
      <c r="M382" s="94"/>
      <c r="N382" s="94"/>
      <c r="O382" s="94"/>
      <c r="P382" s="94"/>
      <c r="Q382" s="94"/>
      <c r="R382" s="94"/>
      <c r="S382" s="94"/>
      <c r="T382" s="94"/>
      <c r="U382" s="94"/>
      <c r="V382" s="94"/>
      <c r="W382" s="94"/>
      <c r="X382" s="94"/>
      <c r="Y382" s="94"/>
      <c r="Z382" s="94"/>
    </row>
    <row r="383">
      <c r="A383" s="94"/>
      <c r="B383" s="94"/>
      <c r="C383" s="94"/>
      <c r="D383" s="94"/>
      <c r="E383" s="94"/>
      <c r="F383" s="94"/>
      <c r="G383" s="94"/>
      <c r="H383" s="94"/>
      <c r="I383" s="94"/>
      <c r="J383" s="94"/>
      <c r="K383" s="94"/>
      <c r="L383" s="94"/>
      <c r="M383" s="94"/>
      <c r="N383" s="94"/>
      <c r="O383" s="94"/>
      <c r="P383" s="94"/>
      <c r="Q383" s="94"/>
      <c r="R383" s="94"/>
      <c r="S383" s="94"/>
      <c r="T383" s="94"/>
      <c r="U383" s="94"/>
      <c r="V383" s="94"/>
      <c r="W383" s="94"/>
      <c r="X383" s="94"/>
      <c r="Y383" s="94"/>
      <c r="Z383" s="94"/>
    </row>
    <row r="384">
      <c r="A384" s="94"/>
      <c r="B384" s="94"/>
      <c r="C384" s="94"/>
      <c r="D384" s="94"/>
      <c r="E384" s="94"/>
      <c r="F384" s="94"/>
      <c r="G384" s="94"/>
      <c r="H384" s="94"/>
      <c r="I384" s="94"/>
      <c r="J384" s="94"/>
      <c r="K384" s="94"/>
      <c r="L384" s="94"/>
      <c r="M384" s="94"/>
      <c r="N384" s="94"/>
      <c r="O384" s="94"/>
      <c r="P384" s="94"/>
      <c r="Q384" s="94"/>
      <c r="R384" s="94"/>
      <c r="S384" s="94"/>
      <c r="T384" s="94"/>
      <c r="U384" s="94"/>
      <c r="V384" s="94"/>
      <c r="W384" s="94"/>
      <c r="X384" s="94"/>
      <c r="Y384" s="94"/>
      <c r="Z384" s="94"/>
    </row>
    <row r="385">
      <c r="A385" s="94"/>
      <c r="B385" s="94"/>
      <c r="C385" s="94"/>
      <c r="D385" s="94"/>
      <c r="E385" s="94"/>
      <c r="F385" s="94"/>
      <c r="G385" s="94"/>
      <c r="H385" s="94"/>
      <c r="I385" s="94"/>
      <c r="J385" s="94"/>
      <c r="K385" s="94"/>
      <c r="L385" s="94"/>
      <c r="M385" s="94"/>
      <c r="N385" s="94"/>
      <c r="O385" s="94"/>
      <c r="P385" s="94"/>
      <c r="Q385" s="94"/>
      <c r="R385" s="94"/>
      <c r="S385" s="94"/>
      <c r="T385" s="94"/>
      <c r="U385" s="94"/>
      <c r="V385" s="94"/>
      <c r="W385" s="94"/>
      <c r="X385" s="94"/>
      <c r="Y385" s="94"/>
      <c r="Z385" s="94"/>
    </row>
    <row r="386">
      <c r="A386" s="94"/>
      <c r="B386" s="94"/>
      <c r="C386" s="94"/>
      <c r="D386" s="94"/>
      <c r="E386" s="94"/>
      <c r="F386" s="94"/>
      <c r="G386" s="94"/>
      <c r="H386" s="94"/>
      <c r="I386" s="94"/>
      <c r="J386" s="94"/>
      <c r="K386" s="94"/>
      <c r="L386" s="94"/>
      <c r="M386" s="94"/>
      <c r="N386" s="94"/>
      <c r="O386" s="94"/>
      <c r="P386" s="94"/>
      <c r="Q386" s="94"/>
      <c r="R386" s="94"/>
      <c r="S386" s="94"/>
      <c r="T386" s="94"/>
      <c r="U386" s="94"/>
      <c r="V386" s="94"/>
      <c r="W386" s="94"/>
      <c r="X386" s="94"/>
      <c r="Y386" s="94"/>
      <c r="Z386" s="94"/>
    </row>
    <row r="387">
      <c r="A387" s="94"/>
      <c r="B387" s="94"/>
      <c r="C387" s="94"/>
      <c r="D387" s="94"/>
      <c r="E387" s="94"/>
      <c r="F387" s="94"/>
      <c r="G387" s="94"/>
      <c r="H387" s="94"/>
      <c r="I387" s="94"/>
      <c r="J387" s="94"/>
      <c r="K387" s="94"/>
      <c r="L387" s="94"/>
      <c r="M387" s="94"/>
      <c r="N387" s="94"/>
      <c r="O387" s="94"/>
      <c r="P387" s="94"/>
      <c r="Q387" s="94"/>
      <c r="R387" s="94"/>
      <c r="S387" s="94"/>
      <c r="T387" s="94"/>
      <c r="U387" s="94"/>
      <c r="V387" s="94"/>
      <c r="W387" s="94"/>
      <c r="X387" s="94"/>
      <c r="Y387" s="94"/>
      <c r="Z387" s="94"/>
    </row>
    <row r="388">
      <c r="A388" s="94"/>
      <c r="B388" s="94"/>
      <c r="C388" s="94"/>
      <c r="D388" s="94"/>
      <c r="E388" s="94"/>
      <c r="F388" s="94"/>
      <c r="G388" s="94"/>
      <c r="H388" s="94"/>
      <c r="I388" s="94"/>
      <c r="J388" s="94"/>
      <c r="K388" s="94"/>
      <c r="L388" s="94"/>
      <c r="M388" s="94"/>
      <c r="N388" s="94"/>
      <c r="O388" s="94"/>
      <c r="P388" s="94"/>
      <c r="Q388" s="94"/>
      <c r="R388" s="94"/>
      <c r="S388" s="94"/>
      <c r="T388" s="94"/>
      <c r="U388" s="94"/>
      <c r="V388" s="94"/>
      <c r="W388" s="94"/>
      <c r="X388" s="94"/>
      <c r="Y388" s="94"/>
      <c r="Z388" s="94"/>
    </row>
    <row r="389">
      <c r="A389" s="94"/>
      <c r="B389" s="94"/>
      <c r="C389" s="94"/>
      <c r="D389" s="94"/>
      <c r="E389" s="94"/>
      <c r="F389" s="94"/>
      <c r="G389" s="94"/>
      <c r="H389" s="94"/>
      <c r="I389" s="94"/>
      <c r="J389" s="94"/>
      <c r="K389" s="94"/>
      <c r="L389" s="94"/>
      <c r="M389" s="94"/>
      <c r="N389" s="94"/>
      <c r="O389" s="94"/>
      <c r="P389" s="94"/>
      <c r="Q389" s="94"/>
      <c r="R389" s="94"/>
      <c r="S389" s="94"/>
      <c r="T389" s="94"/>
      <c r="U389" s="94"/>
      <c r="V389" s="94"/>
      <c r="W389" s="94"/>
      <c r="X389" s="94"/>
      <c r="Y389" s="94"/>
      <c r="Z389" s="94"/>
    </row>
    <row r="390">
      <c r="A390" s="94"/>
      <c r="B390" s="94"/>
      <c r="C390" s="94"/>
      <c r="D390" s="94"/>
      <c r="E390" s="94"/>
      <c r="F390" s="94"/>
      <c r="G390" s="94"/>
      <c r="H390" s="94"/>
      <c r="I390" s="94"/>
      <c r="J390" s="94"/>
      <c r="K390" s="94"/>
      <c r="L390" s="94"/>
      <c r="M390" s="94"/>
      <c r="N390" s="94"/>
      <c r="O390" s="94"/>
      <c r="P390" s="94"/>
      <c r="Q390" s="94"/>
      <c r="R390" s="94"/>
      <c r="S390" s="94"/>
      <c r="T390" s="94"/>
      <c r="U390" s="94"/>
      <c r="V390" s="94"/>
      <c r="W390" s="94"/>
      <c r="X390" s="94"/>
      <c r="Y390" s="94"/>
      <c r="Z390" s="94"/>
    </row>
    <row r="391">
      <c r="A391" s="94"/>
      <c r="B391" s="94"/>
      <c r="C391" s="94"/>
      <c r="D391" s="94"/>
      <c r="E391" s="94"/>
      <c r="F391" s="94"/>
      <c r="G391" s="94"/>
      <c r="H391" s="94"/>
      <c r="I391" s="94"/>
      <c r="J391" s="94"/>
      <c r="K391" s="94"/>
      <c r="L391" s="94"/>
      <c r="M391" s="94"/>
      <c r="N391" s="94"/>
      <c r="O391" s="94"/>
      <c r="P391" s="94"/>
      <c r="Q391" s="94"/>
      <c r="R391" s="94"/>
      <c r="S391" s="94"/>
      <c r="T391" s="94"/>
      <c r="U391" s="94"/>
      <c r="V391" s="94"/>
      <c r="W391" s="94"/>
      <c r="X391" s="94"/>
      <c r="Y391" s="94"/>
      <c r="Z391" s="94"/>
    </row>
    <row r="392">
      <c r="A392" s="94"/>
      <c r="B392" s="94"/>
      <c r="C392" s="94"/>
      <c r="D392" s="94"/>
      <c r="E392" s="94"/>
      <c r="F392" s="94"/>
      <c r="G392" s="94"/>
      <c r="H392" s="94"/>
      <c r="I392" s="94"/>
      <c r="J392" s="94"/>
      <c r="K392" s="94"/>
      <c r="L392" s="94"/>
      <c r="M392" s="94"/>
      <c r="N392" s="94"/>
      <c r="O392" s="94"/>
      <c r="P392" s="94"/>
      <c r="Q392" s="94"/>
      <c r="R392" s="94"/>
      <c r="S392" s="94"/>
      <c r="T392" s="94"/>
      <c r="U392" s="94"/>
      <c r="V392" s="94"/>
      <c r="W392" s="94"/>
      <c r="X392" s="94"/>
      <c r="Y392" s="94"/>
      <c r="Z392" s="94"/>
    </row>
    <row r="393">
      <c r="A393" s="94"/>
      <c r="B393" s="94"/>
      <c r="C393" s="94"/>
      <c r="D393" s="94"/>
      <c r="E393" s="94"/>
      <c r="F393" s="94"/>
      <c r="G393" s="94"/>
      <c r="H393" s="94"/>
      <c r="I393" s="94"/>
      <c r="J393" s="94"/>
      <c r="K393" s="94"/>
      <c r="L393" s="94"/>
      <c r="M393" s="94"/>
      <c r="N393" s="94"/>
      <c r="O393" s="94"/>
      <c r="P393" s="94"/>
      <c r="Q393" s="94"/>
      <c r="R393" s="94"/>
      <c r="S393" s="94"/>
      <c r="T393" s="94"/>
      <c r="U393" s="94"/>
      <c r="V393" s="94"/>
      <c r="W393" s="94"/>
      <c r="X393" s="94"/>
      <c r="Y393" s="94"/>
      <c r="Z393" s="94"/>
    </row>
    <row r="394">
      <c r="A394" s="94"/>
      <c r="B394" s="94"/>
      <c r="C394" s="94"/>
      <c r="D394" s="94"/>
      <c r="E394" s="94"/>
      <c r="F394" s="94"/>
      <c r="G394" s="94"/>
      <c r="H394" s="94"/>
      <c r="I394" s="94"/>
      <c r="J394" s="94"/>
      <c r="K394" s="94"/>
      <c r="L394" s="94"/>
      <c r="M394" s="94"/>
      <c r="N394" s="94"/>
      <c r="O394" s="94"/>
      <c r="P394" s="94"/>
      <c r="Q394" s="94"/>
      <c r="R394" s="94"/>
      <c r="S394" s="94"/>
      <c r="T394" s="94"/>
      <c r="U394" s="94"/>
      <c r="V394" s="94"/>
      <c r="W394" s="94"/>
      <c r="X394" s="94"/>
      <c r="Y394" s="94"/>
      <c r="Z394" s="94"/>
    </row>
    <row r="395">
      <c r="A395" s="94"/>
      <c r="B395" s="94"/>
      <c r="C395" s="94"/>
      <c r="D395" s="94"/>
      <c r="E395" s="94"/>
      <c r="F395" s="94"/>
      <c r="G395" s="94"/>
      <c r="H395" s="94"/>
      <c r="I395" s="94"/>
      <c r="J395" s="94"/>
      <c r="K395" s="94"/>
      <c r="L395" s="94"/>
      <c r="M395" s="94"/>
      <c r="N395" s="94"/>
      <c r="O395" s="94"/>
      <c r="P395" s="94"/>
      <c r="Q395" s="94"/>
      <c r="R395" s="94"/>
      <c r="S395" s="94"/>
      <c r="T395" s="94"/>
      <c r="U395" s="94"/>
      <c r="V395" s="94"/>
      <c r="W395" s="94"/>
      <c r="X395" s="94"/>
      <c r="Y395" s="94"/>
      <c r="Z395" s="94"/>
    </row>
    <row r="396">
      <c r="A396" s="94"/>
      <c r="B396" s="94"/>
      <c r="C396" s="94"/>
      <c r="D396" s="94"/>
      <c r="E396" s="94"/>
      <c r="F396" s="94"/>
      <c r="G396" s="94"/>
      <c r="H396" s="94"/>
      <c r="I396" s="94"/>
      <c r="J396" s="94"/>
      <c r="K396" s="94"/>
      <c r="L396" s="94"/>
      <c r="M396" s="94"/>
      <c r="N396" s="94"/>
      <c r="O396" s="94"/>
      <c r="P396" s="94"/>
      <c r="Q396" s="94"/>
      <c r="R396" s="94"/>
      <c r="S396" s="94"/>
      <c r="T396" s="94"/>
      <c r="U396" s="94"/>
      <c r="V396" s="94"/>
      <c r="W396" s="94"/>
      <c r="X396" s="94"/>
      <c r="Y396" s="94"/>
      <c r="Z396" s="94"/>
    </row>
    <row r="397">
      <c r="A397" s="94"/>
      <c r="B397" s="94"/>
      <c r="C397" s="94"/>
      <c r="D397" s="94"/>
      <c r="E397" s="94"/>
      <c r="F397" s="94"/>
      <c r="G397" s="94"/>
      <c r="H397" s="94"/>
      <c r="I397" s="94"/>
      <c r="J397" s="94"/>
      <c r="K397" s="94"/>
      <c r="L397" s="94"/>
      <c r="M397" s="94"/>
      <c r="N397" s="94"/>
      <c r="O397" s="94"/>
      <c r="P397" s="94"/>
      <c r="Q397" s="94"/>
      <c r="R397" s="94"/>
      <c r="S397" s="94"/>
      <c r="T397" s="94"/>
      <c r="U397" s="94"/>
      <c r="V397" s="94"/>
      <c r="W397" s="94"/>
      <c r="X397" s="94"/>
      <c r="Y397" s="94"/>
      <c r="Z397" s="94"/>
    </row>
    <row r="398">
      <c r="A398" s="94"/>
      <c r="B398" s="94"/>
      <c r="C398" s="94"/>
      <c r="D398" s="94"/>
      <c r="E398" s="94"/>
      <c r="F398" s="94"/>
      <c r="G398" s="94"/>
      <c r="H398" s="94"/>
      <c r="I398" s="94"/>
      <c r="J398" s="94"/>
      <c r="K398" s="94"/>
      <c r="L398" s="94"/>
      <c r="M398" s="94"/>
      <c r="N398" s="94"/>
      <c r="O398" s="94"/>
      <c r="P398" s="94"/>
      <c r="Q398" s="94"/>
      <c r="R398" s="94"/>
      <c r="S398" s="94"/>
      <c r="T398" s="94"/>
      <c r="U398" s="94"/>
      <c r="V398" s="94"/>
      <c r="W398" s="94"/>
      <c r="X398" s="94"/>
      <c r="Y398" s="94"/>
      <c r="Z398" s="94"/>
    </row>
    <row r="399">
      <c r="A399" s="94"/>
      <c r="B399" s="94"/>
      <c r="C399" s="94"/>
      <c r="D399" s="94"/>
      <c r="E399" s="94"/>
      <c r="F399" s="94"/>
      <c r="G399" s="94"/>
      <c r="H399" s="94"/>
      <c r="I399" s="94"/>
      <c r="J399" s="94"/>
      <c r="K399" s="94"/>
      <c r="L399" s="94"/>
      <c r="M399" s="94"/>
      <c r="N399" s="94"/>
      <c r="O399" s="94"/>
      <c r="P399" s="94"/>
      <c r="Q399" s="94"/>
      <c r="R399" s="94"/>
      <c r="S399" s="94"/>
      <c r="T399" s="94"/>
      <c r="U399" s="94"/>
      <c r="V399" s="94"/>
      <c r="W399" s="94"/>
      <c r="X399" s="94"/>
      <c r="Y399" s="94"/>
      <c r="Z399" s="94"/>
    </row>
    <row r="400">
      <c r="A400" s="94"/>
      <c r="B400" s="94"/>
      <c r="C400" s="94"/>
      <c r="D400" s="94"/>
      <c r="E400" s="94"/>
      <c r="F400" s="94"/>
      <c r="G400" s="94"/>
      <c r="H400" s="94"/>
      <c r="I400" s="94"/>
      <c r="J400" s="94"/>
      <c r="K400" s="94"/>
      <c r="L400" s="94"/>
      <c r="M400" s="94"/>
      <c r="N400" s="94"/>
      <c r="O400" s="94"/>
      <c r="P400" s="94"/>
      <c r="Q400" s="94"/>
      <c r="R400" s="94"/>
      <c r="S400" s="94"/>
      <c r="T400" s="94"/>
      <c r="U400" s="94"/>
      <c r="V400" s="94"/>
      <c r="W400" s="94"/>
      <c r="X400" s="94"/>
      <c r="Y400" s="94"/>
      <c r="Z400" s="94"/>
    </row>
    <row r="401">
      <c r="A401" s="94"/>
      <c r="B401" s="94"/>
      <c r="C401" s="94"/>
      <c r="D401" s="94"/>
      <c r="E401" s="94"/>
      <c r="F401" s="94"/>
      <c r="G401" s="94"/>
      <c r="H401" s="94"/>
      <c r="I401" s="94"/>
      <c r="J401" s="94"/>
      <c r="K401" s="94"/>
      <c r="L401" s="94"/>
      <c r="M401" s="94"/>
      <c r="N401" s="94"/>
      <c r="O401" s="94"/>
      <c r="P401" s="94"/>
      <c r="Q401" s="94"/>
      <c r="R401" s="94"/>
      <c r="S401" s="94"/>
      <c r="T401" s="94"/>
      <c r="U401" s="94"/>
      <c r="V401" s="94"/>
      <c r="W401" s="94"/>
      <c r="X401" s="94"/>
      <c r="Y401" s="94"/>
      <c r="Z401" s="94"/>
    </row>
    <row r="402">
      <c r="A402" s="94"/>
      <c r="B402" s="94"/>
      <c r="C402" s="94"/>
      <c r="D402" s="94"/>
      <c r="E402" s="94"/>
      <c r="F402" s="94"/>
      <c r="G402" s="94"/>
      <c r="H402" s="94"/>
      <c r="I402" s="94"/>
      <c r="J402" s="94"/>
      <c r="K402" s="94"/>
      <c r="L402" s="94"/>
      <c r="M402" s="94"/>
      <c r="N402" s="94"/>
      <c r="O402" s="94"/>
      <c r="P402" s="94"/>
      <c r="Q402" s="94"/>
      <c r="R402" s="94"/>
      <c r="S402" s="94"/>
      <c r="T402" s="94"/>
      <c r="U402" s="94"/>
      <c r="V402" s="94"/>
      <c r="W402" s="94"/>
      <c r="X402" s="94"/>
      <c r="Y402" s="94"/>
      <c r="Z402" s="94"/>
    </row>
    <row r="403">
      <c r="A403" s="94"/>
      <c r="B403" s="94"/>
      <c r="C403" s="94"/>
      <c r="D403" s="94"/>
      <c r="E403" s="94"/>
      <c r="F403" s="94"/>
      <c r="G403" s="94"/>
      <c r="H403" s="94"/>
      <c r="I403" s="94"/>
      <c r="J403" s="94"/>
      <c r="K403" s="94"/>
      <c r="L403" s="94"/>
      <c r="M403" s="94"/>
      <c r="N403" s="94"/>
      <c r="O403" s="94"/>
      <c r="P403" s="94"/>
      <c r="Q403" s="94"/>
      <c r="R403" s="94"/>
      <c r="S403" s="94"/>
      <c r="T403" s="94"/>
      <c r="U403" s="94"/>
      <c r="V403" s="94"/>
      <c r="W403" s="94"/>
      <c r="X403" s="94"/>
      <c r="Y403" s="94"/>
      <c r="Z403" s="94"/>
    </row>
    <row r="404">
      <c r="A404" s="94"/>
      <c r="B404" s="94"/>
      <c r="C404" s="94"/>
      <c r="D404" s="94"/>
      <c r="E404" s="94"/>
      <c r="F404" s="94"/>
      <c r="G404" s="94"/>
      <c r="H404" s="94"/>
      <c r="I404" s="94"/>
      <c r="J404" s="94"/>
      <c r="K404" s="94"/>
      <c r="L404" s="94"/>
      <c r="M404" s="94"/>
      <c r="N404" s="94"/>
      <c r="O404" s="94"/>
      <c r="P404" s="94"/>
      <c r="Q404" s="94"/>
      <c r="R404" s="94"/>
      <c r="S404" s="94"/>
      <c r="T404" s="94"/>
      <c r="U404" s="94"/>
      <c r="V404" s="94"/>
      <c r="W404" s="94"/>
      <c r="X404" s="94"/>
      <c r="Y404" s="94"/>
      <c r="Z404" s="94"/>
    </row>
    <row r="405">
      <c r="A405" s="94"/>
      <c r="B405" s="94"/>
      <c r="C405" s="94"/>
      <c r="D405" s="94"/>
      <c r="E405" s="94"/>
      <c r="F405" s="94"/>
      <c r="G405" s="94"/>
      <c r="H405" s="94"/>
      <c r="I405" s="94"/>
      <c r="J405" s="94"/>
      <c r="K405" s="94"/>
      <c r="L405" s="94"/>
      <c r="M405" s="94"/>
      <c r="N405" s="94"/>
      <c r="O405" s="94"/>
      <c r="P405" s="94"/>
      <c r="Q405" s="94"/>
      <c r="R405" s="94"/>
      <c r="S405" s="94"/>
      <c r="T405" s="94"/>
      <c r="U405" s="94"/>
      <c r="V405" s="94"/>
      <c r="W405" s="94"/>
      <c r="X405" s="94"/>
      <c r="Y405" s="94"/>
      <c r="Z405" s="94"/>
    </row>
    <row r="406">
      <c r="A406" s="94"/>
      <c r="B406" s="94"/>
      <c r="C406" s="94"/>
      <c r="D406" s="94"/>
      <c r="E406" s="94"/>
      <c r="F406" s="94"/>
      <c r="G406" s="94"/>
      <c r="H406" s="94"/>
      <c r="I406" s="94"/>
      <c r="J406" s="94"/>
      <c r="K406" s="94"/>
      <c r="L406" s="94"/>
      <c r="M406" s="94"/>
      <c r="N406" s="94"/>
      <c r="O406" s="94"/>
      <c r="P406" s="94"/>
      <c r="Q406" s="94"/>
      <c r="R406" s="94"/>
      <c r="S406" s="94"/>
      <c r="T406" s="94"/>
      <c r="U406" s="94"/>
      <c r="V406" s="94"/>
      <c r="W406" s="94"/>
      <c r="X406" s="94"/>
      <c r="Y406" s="94"/>
      <c r="Z406" s="94"/>
    </row>
    <row r="407">
      <c r="A407" s="94"/>
      <c r="B407" s="94"/>
      <c r="C407" s="94"/>
      <c r="D407" s="94"/>
      <c r="E407" s="94"/>
      <c r="F407" s="94"/>
      <c r="G407" s="94"/>
      <c r="H407" s="94"/>
      <c r="I407" s="94"/>
      <c r="J407" s="94"/>
      <c r="K407" s="94"/>
      <c r="L407" s="94"/>
      <c r="M407" s="94"/>
      <c r="N407" s="94"/>
      <c r="O407" s="94"/>
      <c r="P407" s="94"/>
      <c r="Q407" s="94"/>
      <c r="R407" s="94"/>
      <c r="S407" s="94"/>
      <c r="T407" s="94"/>
      <c r="U407" s="94"/>
      <c r="V407" s="94"/>
      <c r="W407" s="94"/>
      <c r="X407" s="94"/>
      <c r="Y407" s="94"/>
      <c r="Z407" s="94"/>
    </row>
    <row r="408">
      <c r="A408" s="94"/>
      <c r="B408" s="94"/>
      <c r="C408" s="94"/>
      <c r="D408" s="94"/>
      <c r="E408" s="94"/>
      <c r="F408" s="94"/>
      <c r="G408" s="94"/>
      <c r="H408" s="94"/>
      <c r="I408" s="94"/>
      <c r="J408" s="94"/>
      <c r="K408" s="94"/>
      <c r="L408" s="94"/>
      <c r="M408" s="94"/>
      <c r="N408" s="94"/>
      <c r="O408" s="94"/>
      <c r="P408" s="94"/>
      <c r="Q408" s="94"/>
      <c r="R408" s="94"/>
      <c r="S408" s="94"/>
      <c r="T408" s="94"/>
      <c r="U408" s="94"/>
      <c r="V408" s="94"/>
      <c r="W408" s="94"/>
      <c r="X408" s="94"/>
      <c r="Y408" s="94"/>
      <c r="Z408" s="94"/>
    </row>
    <row r="409">
      <c r="A409" s="94"/>
      <c r="B409" s="94"/>
      <c r="C409" s="94"/>
      <c r="D409" s="94"/>
      <c r="E409" s="94"/>
      <c r="F409" s="94"/>
      <c r="G409" s="94"/>
      <c r="H409" s="94"/>
      <c r="I409" s="94"/>
      <c r="J409" s="94"/>
      <c r="K409" s="94"/>
      <c r="L409" s="94"/>
      <c r="M409" s="94"/>
      <c r="N409" s="94"/>
      <c r="O409" s="94"/>
      <c r="P409" s="94"/>
      <c r="Q409" s="94"/>
      <c r="R409" s="94"/>
      <c r="S409" s="94"/>
      <c r="T409" s="94"/>
      <c r="U409" s="94"/>
      <c r="V409" s="94"/>
      <c r="W409" s="94"/>
      <c r="X409" s="94"/>
      <c r="Y409" s="94"/>
      <c r="Z409" s="94"/>
    </row>
    <row r="410">
      <c r="A410" s="94"/>
      <c r="B410" s="94"/>
      <c r="C410" s="94"/>
      <c r="D410" s="94"/>
      <c r="E410" s="94"/>
      <c r="F410" s="94"/>
      <c r="G410" s="94"/>
      <c r="H410" s="94"/>
      <c r="I410" s="94"/>
      <c r="J410" s="94"/>
      <c r="K410" s="94"/>
      <c r="L410" s="94"/>
      <c r="M410" s="94"/>
      <c r="N410" s="94"/>
      <c r="O410" s="94"/>
      <c r="P410" s="94"/>
      <c r="Q410" s="94"/>
      <c r="R410" s="94"/>
      <c r="S410" s="94"/>
      <c r="T410" s="94"/>
      <c r="U410" s="94"/>
      <c r="V410" s="94"/>
      <c r="W410" s="94"/>
      <c r="X410" s="94"/>
      <c r="Y410" s="94"/>
      <c r="Z410" s="94"/>
    </row>
    <row r="411">
      <c r="A411" s="94"/>
      <c r="B411" s="94"/>
      <c r="C411" s="94"/>
      <c r="D411" s="94"/>
      <c r="E411" s="94"/>
      <c r="F411" s="94"/>
      <c r="G411" s="94"/>
      <c r="H411" s="94"/>
      <c r="I411" s="94"/>
      <c r="J411" s="94"/>
      <c r="K411" s="94"/>
      <c r="L411" s="94"/>
      <c r="M411" s="94"/>
      <c r="N411" s="94"/>
      <c r="O411" s="94"/>
      <c r="P411" s="94"/>
      <c r="Q411" s="94"/>
      <c r="R411" s="94"/>
      <c r="S411" s="94"/>
      <c r="T411" s="94"/>
      <c r="U411" s="94"/>
      <c r="V411" s="94"/>
      <c r="W411" s="94"/>
      <c r="X411" s="94"/>
      <c r="Y411" s="94"/>
      <c r="Z411" s="94"/>
    </row>
    <row r="412">
      <c r="A412" s="94"/>
      <c r="B412" s="94"/>
      <c r="C412" s="94"/>
      <c r="D412" s="94"/>
      <c r="E412" s="94"/>
      <c r="F412" s="94"/>
      <c r="G412" s="94"/>
      <c r="H412" s="94"/>
      <c r="I412" s="94"/>
      <c r="J412" s="94"/>
      <c r="K412" s="94"/>
      <c r="L412" s="94"/>
      <c r="M412" s="94"/>
      <c r="N412" s="94"/>
      <c r="O412" s="94"/>
      <c r="P412" s="94"/>
      <c r="Q412" s="94"/>
      <c r="R412" s="94"/>
      <c r="S412" s="94"/>
      <c r="T412" s="94"/>
      <c r="U412" s="94"/>
      <c r="V412" s="94"/>
      <c r="W412" s="94"/>
      <c r="X412" s="94"/>
      <c r="Y412" s="94"/>
      <c r="Z412" s="94"/>
    </row>
    <row r="413">
      <c r="A413" s="94"/>
      <c r="B413" s="94"/>
      <c r="C413" s="94"/>
      <c r="D413" s="94"/>
      <c r="E413" s="94"/>
      <c r="F413" s="94"/>
      <c r="G413" s="94"/>
      <c r="H413" s="94"/>
      <c r="I413" s="94"/>
      <c r="J413" s="94"/>
      <c r="K413" s="94"/>
      <c r="L413" s="94"/>
      <c r="M413" s="94"/>
      <c r="N413" s="94"/>
      <c r="O413" s="94"/>
      <c r="P413" s="94"/>
      <c r="Q413" s="94"/>
      <c r="R413" s="94"/>
      <c r="S413" s="94"/>
      <c r="T413" s="94"/>
      <c r="U413" s="94"/>
      <c r="V413" s="94"/>
      <c r="W413" s="94"/>
      <c r="X413" s="94"/>
      <c r="Y413" s="94"/>
      <c r="Z413" s="94"/>
    </row>
    <row r="414">
      <c r="A414" s="94"/>
      <c r="B414" s="94"/>
      <c r="C414" s="94"/>
      <c r="D414" s="94"/>
      <c r="E414" s="94"/>
      <c r="F414" s="94"/>
      <c r="G414" s="94"/>
      <c r="H414" s="94"/>
      <c r="I414" s="94"/>
      <c r="J414" s="94"/>
      <c r="K414" s="94"/>
      <c r="L414" s="94"/>
      <c r="M414" s="94"/>
      <c r="N414" s="94"/>
      <c r="O414" s="94"/>
      <c r="P414" s="94"/>
      <c r="Q414" s="94"/>
      <c r="R414" s="94"/>
      <c r="S414" s="94"/>
      <c r="T414" s="94"/>
      <c r="U414" s="94"/>
      <c r="V414" s="94"/>
      <c r="W414" s="94"/>
      <c r="X414" s="94"/>
      <c r="Y414" s="94"/>
      <c r="Z414" s="94"/>
    </row>
    <row r="415">
      <c r="A415" s="94"/>
      <c r="B415" s="94"/>
      <c r="C415" s="94"/>
      <c r="D415" s="94"/>
      <c r="E415" s="94"/>
      <c r="F415" s="94"/>
      <c r="G415" s="94"/>
      <c r="H415" s="94"/>
      <c r="I415" s="94"/>
      <c r="J415" s="94"/>
      <c r="K415" s="94"/>
      <c r="L415" s="94"/>
      <c r="M415" s="94"/>
      <c r="N415" s="94"/>
      <c r="O415" s="94"/>
      <c r="P415" s="94"/>
      <c r="Q415" s="94"/>
      <c r="R415" s="94"/>
      <c r="S415" s="94"/>
      <c r="T415" s="94"/>
      <c r="U415" s="94"/>
      <c r="V415" s="94"/>
      <c r="W415" s="94"/>
      <c r="X415" s="94"/>
      <c r="Y415" s="94"/>
      <c r="Z415" s="94"/>
    </row>
    <row r="416">
      <c r="A416" s="94"/>
      <c r="B416" s="94"/>
      <c r="C416" s="94"/>
      <c r="D416" s="94"/>
      <c r="E416" s="94"/>
      <c r="F416" s="94"/>
      <c r="G416" s="94"/>
      <c r="H416" s="94"/>
      <c r="I416" s="94"/>
      <c r="J416" s="94"/>
      <c r="K416" s="94"/>
      <c r="L416" s="94"/>
      <c r="M416" s="94"/>
      <c r="N416" s="94"/>
      <c r="O416" s="94"/>
      <c r="P416" s="94"/>
      <c r="Q416" s="94"/>
      <c r="R416" s="94"/>
      <c r="S416" s="94"/>
      <c r="T416" s="94"/>
      <c r="U416" s="94"/>
      <c r="V416" s="94"/>
      <c r="W416" s="94"/>
      <c r="X416" s="94"/>
      <c r="Y416" s="94"/>
      <c r="Z416" s="94"/>
    </row>
    <row r="417">
      <c r="A417" s="94"/>
      <c r="B417" s="94"/>
      <c r="C417" s="94"/>
      <c r="D417" s="94"/>
      <c r="E417" s="94"/>
      <c r="F417" s="94"/>
      <c r="G417" s="94"/>
      <c r="H417" s="94"/>
      <c r="I417" s="94"/>
      <c r="J417" s="94"/>
      <c r="K417" s="94"/>
      <c r="L417" s="94"/>
      <c r="M417" s="94"/>
      <c r="N417" s="94"/>
      <c r="O417" s="94"/>
      <c r="P417" s="94"/>
      <c r="Q417" s="94"/>
      <c r="R417" s="94"/>
      <c r="S417" s="94"/>
      <c r="T417" s="94"/>
      <c r="U417" s="94"/>
      <c r="V417" s="94"/>
      <c r="W417" s="94"/>
      <c r="X417" s="94"/>
      <c r="Y417" s="94"/>
      <c r="Z417" s="94"/>
    </row>
    <row r="418">
      <c r="A418" s="94"/>
      <c r="B418" s="94"/>
      <c r="C418" s="94"/>
      <c r="D418" s="94"/>
      <c r="E418" s="94"/>
      <c r="F418" s="94"/>
      <c r="G418" s="94"/>
      <c r="H418" s="94"/>
      <c r="I418" s="94"/>
      <c r="J418" s="94"/>
      <c r="K418" s="94"/>
      <c r="L418" s="94"/>
      <c r="M418" s="94"/>
      <c r="N418" s="94"/>
      <c r="O418" s="94"/>
      <c r="P418" s="94"/>
      <c r="Q418" s="94"/>
      <c r="R418" s="94"/>
      <c r="S418" s="94"/>
      <c r="T418" s="94"/>
      <c r="U418" s="94"/>
      <c r="V418" s="94"/>
      <c r="W418" s="94"/>
      <c r="X418" s="94"/>
      <c r="Y418" s="94"/>
      <c r="Z418" s="94"/>
    </row>
    <row r="419">
      <c r="A419" s="94"/>
      <c r="B419" s="94"/>
      <c r="C419" s="94"/>
      <c r="D419" s="94"/>
      <c r="E419" s="94"/>
      <c r="F419" s="94"/>
      <c r="G419" s="94"/>
      <c r="H419" s="94"/>
      <c r="I419" s="94"/>
      <c r="J419" s="94"/>
      <c r="K419" s="94"/>
      <c r="L419" s="94"/>
      <c r="M419" s="94"/>
      <c r="N419" s="94"/>
      <c r="O419" s="94"/>
      <c r="P419" s="94"/>
      <c r="Q419" s="94"/>
      <c r="R419" s="94"/>
      <c r="S419" s="94"/>
      <c r="T419" s="94"/>
      <c r="U419" s="94"/>
      <c r="V419" s="94"/>
      <c r="W419" s="94"/>
      <c r="X419" s="94"/>
      <c r="Y419" s="94"/>
      <c r="Z419" s="94"/>
    </row>
    <row r="420">
      <c r="A420" s="94"/>
      <c r="B420" s="94"/>
      <c r="C420" s="94"/>
      <c r="D420" s="94"/>
      <c r="E420" s="94"/>
      <c r="F420" s="94"/>
      <c r="G420" s="94"/>
      <c r="H420" s="94"/>
      <c r="I420" s="94"/>
      <c r="J420" s="94"/>
      <c r="K420" s="94"/>
      <c r="L420" s="94"/>
      <c r="M420" s="94"/>
      <c r="N420" s="94"/>
      <c r="O420" s="94"/>
      <c r="P420" s="94"/>
      <c r="Q420" s="94"/>
      <c r="R420" s="94"/>
      <c r="S420" s="94"/>
      <c r="T420" s="94"/>
      <c r="U420" s="94"/>
      <c r="V420" s="94"/>
      <c r="W420" s="94"/>
      <c r="X420" s="94"/>
      <c r="Y420" s="94"/>
      <c r="Z420" s="94"/>
    </row>
    <row r="421">
      <c r="A421" s="94"/>
      <c r="B421" s="94"/>
      <c r="C421" s="94"/>
      <c r="D421" s="94"/>
      <c r="E421" s="94"/>
      <c r="F421" s="94"/>
      <c r="G421" s="94"/>
      <c r="H421" s="94"/>
      <c r="I421" s="94"/>
      <c r="J421" s="94"/>
      <c r="K421" s="94"/>
      <c r="L421" s="94"/>
      <c r="M421" s="94"/>
      <c r="N421" s="94"/>
      <c r="O421" s="94"/>
      <c r="P421" s="94"/>
      <c r="Q421" s="94"/>
      <c r="R421" s="94"/>
      <c r="S421" s="94"/>
      <c r="T421" s="94"/>
      <c r="U421" s="94"/>
      <c r="V421" s="94"/>
      <c r="W421" s="94"/>
      <c r="X421" s="94"/>
      <c r="Y421" s="94"/>
      <c r="Z421" s="94"/>
    </row>
    <row r="422">
      <c r="A422" s="94"/>
      <c r="B422" s="94"/>
      <c r="C422" s="94"/>
      <c r="D422" s="94"/>
      <c r="E422" s="94"/>
      <c r="F422" s="94"/>
      <c r="G422" s="94"/>
      <c r="H422" s="94"/>
      <c r="I422" s="94"/>
      <c r="J422" s="94"/>
      <c r="K422" s="94"/>
      <c r="L422" s="94"/>
      <c r="M422" s="94"/>
      <c r="N422" s="94"/>
      <c r="O422" s="94"/>
      <c r="P422" s="94"/>
      <c r="Q422" s="94"/>
      <c r="R422" s="94"/>
      <c r="S422" s="94"/>
      <c r="T422" s="94"/>
      <c r="U422" s="94"/>
      <c r="V422" s="94"/>
      <c r="W422" s="94"/>
      <c r="X422" s="94"/>
      <c r="Y422" s="94"/>
      <c r="Z422" s="94"/>
    </row>
    <row r="423">
      <c r="A423" s="94"/>
      <c r="B423" s="94"/>
      <c r="C423" s="94"/>
      <c r="D423" s="94"/>
      <c r="E423" s="94"/>
      <c r="F423" s="94"/>
      <c r="G423" s="94"/>
      <c r="H423" s="94"/>
      <c r="I423" s="94"/>
      <c r="J423" s="94"/>
      <c r="K423" s="94"/>
      <c r="L423" s="94"/>
      <c r="M423" s="94"/>
      <c r="N423" s="94"/>
      <c r="O423" s="94"/>
      <c r="P423" s="94"/>
      <c r="Q423" s="94"/>
      <c r="R423" s="94"/>
      <c r="S423" s="94"/>
      <c r="T423" s="94"/>
      <c r="U423" s="94"/>
      <c r="V423" s="94"/>
      <c r="W423" s="94"/>
      <c r="X423" s="94"/>
      <c r="Y423" s="94"/>
      <c r="Z423" s="94"/>
    </row>
    <row r="424">
      <c r="A424" s="94"/>
      <c r="B424" s="94"/>
      <c r="C424" s="94"/>
      <c r="D424" s="94"/>
      <c r="E424" s="94"/>
      <c r="F424" s="94"/>
      <c r="G424" s="94"/>
      <c r="H424" s="94"/>
      <c r="I424" s="94"/>
      <c r="J424" s="94"/>
      <c r="K424" s="94"/>
      <c r="L424" s="94"/>
      <c r="M424" s="94"/>
      <c r="N424" s="94"/>
      <c r="O424" s="94"/>
      <c r="P424" s="94"/>
      <c r="Q424" s="94"/>
      <c r="R424" s="94"/>
      <c r="S424" s="94"/>
      <c r="T424" s="94"/>
      <c r="U424" s="94"/>
      <c r="V424" s="94"/>
      <c r="W424" s="94"/>
      <c r="X424" s="94"/>
      <c r="Y424" s="94"/>
      <c r="Z424" s="94"/>
    </row>
    <row r="425">
      <c r="A425" s="94"/>
      <c r="B425" s="94"/>
      <c r="C425" s="94"/>
      <c r="D425" s="94"/>
      <c r="E425" s="94"/>
      <c r="F425" s="94"/>
      <c r="G425" s="94"/>
      <c r="H425" s="94"/>
      <c r="I425" s="94"/>
      <c r="J425" s="94"/>
      <c r="K425" s="94"/>
      <c r="L425" s="94"/>
      <c r="M425" s="94"/>
      <c r="N425" s="94"/>
      <c r="O425" s="94"/>
      <c r="P425" s="94"/>
      <c r="Q425" s="94"/>
      <c r="R425" s="94"/>
      <c r="S425" s="94"/>
      <c r="T425" s="94"/>
      <c r="U425" s="94"/>
      <c r="V425" s="94"/>
      <c r="W425" s="94"/>
      <c r="X425" s="94"/>
      <c r="Y425" s="94"/>
      <c r="Z425" s="94"/>
    </row>
    <row r="426">
      <c r="A426" s="94"/>
      <c r="B426" s="94"/>
      <c r="C426" s="94"/>
      <c r="D426" s="94"/>
      <c r="E426" s="94"/>
      <c r="F426" s="94"/>
      <c r="G426" s="94"/>
      <c r="H426" s="94"/>
      <c r="I426" s="94"/>
      <c r="J426" s="94"/>
      <c r="K426" s="94"/>
      <c r="L426" s="94"/>
      <c r="M426" s="94"/>
      <c r="N426" s="94"/>
      <c r="O426" s="94"/>
      <c r="P426" s="94"/>
      <c r="Q426" s="94"/>
      <c r="R426" s="94"/>
      <c r="S426" s="94"/>
      <c r="T426" s="94"/>
      <c r="U426" s="94"/>
      <c r="V426" s="94"/>
      <c r="W426" s="94"/>
      <c r="X426" s="94"/>
      <c r="Y426" s="94"/>
      <c r="Z426" s="94"/>
    </row>
    <row r="427">
      <c r="A427" s="94"/>
      <c r="B427" s="94"/>
      <c r="C427" s="94"/>
      <c r="D427" s="94"/>
      <c r="E427" s="94"/>
      <c r="F427" s="94"/>
      <c r="G427" s="94"/>
      <c r="H427" s="94"/>
      <c r="I427" s="94"/>
      <c r="J427" s="94"/>
      <c r="K427" s="94"/>
      <c r="L427" s="94"/>
      <c r="M427" s="94"/>
      <c r="N427" s="94"/>
      <c r="O427" s="94"/>
      <c r="P427" s="94"/>
      <c r="Q427" s="94"/>
      <c r="R427" s="94"/>
      <c r="S427" s="94"/>
      <c r="T427" s="94"/>
      <c r="U427" s="94"/>
      <c r="V427" s="94"/>
      <c r="W427" s="94"/>
      <c r="X427" s="94"/>
      <c r="Y427" s="94"/>
      <c r="Z427" s="94"/>
    </row>
    <row r="428">
      <c r="A428" s="94"/>
      <c r="B428" s="94"/>
      <c r="C428" s="94"/>
      <c r="D428" s="94"/>
      <c r="E428" s="94"/>
      <c r="F428" s="94"/>
      <c r="G428" s="94"/>
      <c r="H428" s="94"/>
      <c r="I428" s="94"/>
      <c r="J428" s="94"/>
      <c r="K428" s="94"/>
      <c r="L428" s="94"/>
      <c r="M428" s="94"/>
      <c r="N428" s="94"/>
      <c r="O428" s="94"/>
      <c r="P428" s="94"/>
      <c r="Q428" s="94"/>
      <c r="R428" s="94"/>
      <c r="S428" s="94"/>
      <c r="T428" s="94"/>
      <c r="U428" s="94"/>
      <c r="V428" s="94"/>
      <c r="W428" s="94"/>
      <c r="X428" s="94"/>
      <c r="Y428" s="94"/>
      <c r="Z428" s="94"/>
    </row>
    <row r="429">
      <c r="A429" s="94"/>
      <c r="B429" s="94"/>
      <c r="C429" s="94"/>
      <c r="D429" s="94"/>
      <c r="E429" s="94"/>
      <c r="F429" s="94"/>
      <c r="G429" s="94"/>
      <c r="H429" s="94"/>
      <c r="I429" s="94"/>
      <c r="J429" s="94"/>
      <c r="K429" s="94"/>
      <c r="L429" s="94"/>
      <c r="M429" s="94"/>
      <c r="N429" s="94"/>
      <c r="O429" s="94"/>
      <c r="P429" s="94"/>
      <c r="Q429" s="94"/>
      <c r="R429" s="94"/>
      <c r="S429" s="94"/>
      <c r="T429" s="94"/>
      <c r="U429" s="94"/>
      <c r="V429" s="94"/>
      <c r="W429" s="94"/>
      <c r="X429" s="94"/>
      <c r="Y429" s="94"/>
      <c r="Z429" s="94"/>
    </row>
    <row r="430">
      <c r="A430" s="94"/>
      <c r="B430" s="94"/>
      <c r="C430" s="94"/>
      <c r="D430" s="94"/>
      <c r="E430" s="94"/>
      <c r="F430" s="94"/>
      <c r="G430" s="94"/>
      <c r="H430" s="94"/>
      <c r="I430" s="94"/>
      <c r="J430" s="94"/>
      <c r="K430" s="94"/>
      <c r="L430" s="94"/>
      <c r="M430" s="94"/>
      <c r="N430" s="94"/>
      <c r="O430" s="94"/>
      <c r="P430" s="94"/>
      <c r="Q430" s="94"/>
      <c r="R430" s="94"/>
      <c r="S430" s="94"/>
      <c r="T430" s="94"/>
      <c r="U430" s="94"/>
      <c r="V430" s="94"/>
      <c r="W430" s="94"/>
      <c r="X430" s="94"/>
      <c r="Y430" s="94"/>
      <c r="Z430" s="94"/>
    </row>
    <row r="431">
      <c r="A431" s="94"/>
      <c r="B431" s="94"/>
      <c r="C431" s="94"/>
      <c r="D431" s="94"/>
      <c r="E431" s="94"/>
      <c r="F431" s="94"/>
      <c r="G431" s="94"/>
      <c r="H431" s="94"/>
      <c r="I431" s="94"/>
      <c r="J431" s="94"/>
      <c r="K431" s="94"/>
      <c r="L431" s="94"/>
      <c r="M431" s="94"/>
      <c r="N431" s="94"/>
      <c r="O431" s="94"/>
      <c r="P431" s="94"/>
      <c r="Q431" s="94"/>
      <c r="R431" s="94"/>
      <c r="S431" s="94"/>
      <c r="T431" s="94"/>
      <c r="U431" s="94"/>
      <c r="V431" s="94"/>
      <c r="W431" s="94"/>
      <c r="X431" s="94"/>
      <c r="Y431" s="94"/>
      <c r="Z431" s="94"/>
    </row>
    <row r="432">
      <c r="A432" s="94"/>
      <c r="B432" s="94"/>
      <c r="C432" s="94"/>
      <c r="D432" s="94"/>
      <c r="E432" s="94"/>
      <c r="F432" s="94"/>
      <c r="G432" s="94"/>
      <c r="H432" s="94"/>
      <c r="I432" s="94"/>
      <c r="J432" s="94"/>
      <c r="K432" s="94"/>
      <c r="L432" s="94"/>
      <c r="M432" s="94"/>
      <c r="N432" s="94"/>
      <c r="O432" s="94"/>
      <c r="P432" s="94"/>
      <c r="Q432" s="94"/>
      <c r="R432" s="94"/>
      <c r="S432" s="94"/>
      <c r="T432" s="94"/>
      <c r="U432" s="94"/>
      <c r="V432" s="94"/>
      <c r="W432" s="94"/>
      <c r="X432" s="94"/>
      <c r="Y432" s="94"/>
      <c r="Z432" s="94"/>
    </row>
    <row r="433">
      <c r="A433" s="94"/>
      <c r="B433" s="94"/>
      <c r="C433" s="94"/>
      <c r="D433" s="94"/>
      <c r="E433" s="94"/>
      <c r="F433" s="94"/>
      <c r="G433" s="94"/>
      <c r="H433" s="94"/>
      <c r="I433" s="94"/>
      <c r="J433" s="94"/>
      <c r="K433" s="94"/>
      <c r="L433" s="94"/>
      <c r="M433" s="94"/>
      <c r="N433" s="94"/>
      <c r="O433" s="94"/>
      <c r="P433" s="94"/>
      <c r="Q433" s="94"/>
      <c r="R433" s="94"/>
      <c r="S433" s="94"/>
      <c r="T433" s="94"/>
      <c r="U433" s="94"/>
      <c r="V433" s="94"/>
      <c r="W433" s="94"/>
      <c r="X433" s="94"/>
      <c r="Y433" s="94"/>
      <c r="Z433" s="94"/>
    </row>
    <row r="434">
      <c r="A434" s="94"/>
      <c r="B434" s="94"/>
      <c r="C434" s="94"/>
      <c r="D434" s="94"/>
      <c r="E434" s="94"/>
      <c r="F434" s="94"/>
      <c r="G434" s="94"/>
      <c r="H434" s="94"/>
      <c r="I434" s="94"/>
      <c r="J434" s="94"/>
      <c r="K434" s="94"/>
      <c r="L434" s="94"/>
      <c r="M434" s="94"/>
      <c r="N434" s="94"/>
      <c r="O434" s="94"/>
      <c r="P434" s="94"/>
      <c r="Q434" s="94"/>
      <c r="R434" s="94"/>
      <c r="S434" s="94"/>
      <c r="T434" s="94"/>
      <c r="U434" s="94"/>
      <c r="V434" s="94"/>
      <c r="W434" s="94"/>
      <c r="X434" s="94"/>
      <c r="Y434" s="94"/>
      <c r="Z434" s="94"/>
    </row>
    <row r="435">
      <c r="A435" s="94"/>
      <c r="B435" s="94"/>
      <c r="C435" s="94"/>
      <c r="D435" s="94"/>
      <c r="E435" s="94"/>
      <c r="F435" s="94"/>
      <c r="G435" s="94"/>
      <c r="H435" s="94"/>
      <c r="I435" s="94"/>
      <c r="J435" s="94"/>
      <c r="K435" s="94"/>
      <c r="L435" s="94"/>
      <c r="M435" s="94"/>
      <c r="N435" s="94"/>
      <c r="O435" s="94"/>
      <c r="P435" s="94"/>
      <c r="Q435" s="94"/>
      <c r="R435" s="94"/>
      <c r="S435" s="94"/>
      <c r="T435" s="94"/>
      <c r="U435" s="94"/>
      <c r="V435" s="94"/>
      <c r="W435" s="94"/>
      <c r="X435" s="94"/>
      <c r="Y435" s="94"/>
      <c r="Z435" s="94"/>
    </row>
    <row r="436">
      <c r="A436" s="94"/>
      <c r="B436" s="94"/>
      <c r="C436" s="94"/>
      <c r="D436" s="94"/>
      <c r="E436" s="94"/>
      <c r="F436" s="94"/>
      <c r="G436" s="94"/>
      <c r="H436" s="94"/>
      <c r="I436" s="94"/>
      <c r="J436" s="94"/>
      <c r="K436" s="94"/>
      <c r="L436" s="94"/>
      <c r="M436" s="94"/>
      <c r="N436" s="94"/>
      <c r="O436" s="94"/>
      <c r="P436" s="94"/>
      <c r="Q436" s="94"/>
      <c r="R436" s="94"/>
      <c r="S436" s="94"/>
      <c r="T436" s="94"/>
      <c r="U436" s="94"/>
      <c r="V436" s="94"/>
      <c r="W436" s="94"/>
      <c r="X436" s="94"/>
      <c r="Y436" s="94"/>
      <c r="Z436" s="94"/>
    </row>
    <row r="437">
      <c r="A437" s="94"/>
      <c r="B437" s="94"/>
      <c r="C437" s="94"/>
      <c r="D437" s="94"/>
      <c r="E437" s="94"/>
      <c r="F437" s="94"/>
      <c r="G437" s="94"/>
      <c r="H437" s="94"/>
      <c r="I437" s="94"/>
      <c r="J437" s="94"/>
      <c r="K437" s="94"/>
      <c r="L437" s="94"/>
      <c r="M437" s="94"/>
      <c r="N437" s="94"/>
      <c r="O437" s="94"/>
      <c r="P437" s="94"/>
      <c r="Q437" s="94"/>
      <c r="R437" s="94"/>
      <c r="S437" s="94"/>
      <c r="T437" s="94"/>
      <c r="U437" s="94"/>
      <c r="V437" s="94"/>
      <c r="W437" s="94"/>
      <c r="X437" s="94"/>
      <c r="Y437" s="94"/>
      <c r="Z437" s="94"/>
    </row>
    <row r="438">
      <c r="A438" s="94"/>
      <c r="B438" s="94"/>
      <c r="C438" s="94"/>
      <c r="D438" s="94"/>
      <c r="E438" s="94"/>
      <c r="F438" s="94"/>
      <c r="G438" s="94"/>
      <c r="H438" s="94"/>
      <c r="I438" s="94"/>
      <c r="J438" s="94"/>
      <c r="K438" s="94"/>
      <c r="L438" s="94"/>
      <c r="M438" s="94"/>
      <c r="N438" s="94"/>
      <c r="O438" s="94"/>
      <c r="P438" s="94"/>
      <c r="Q438" s="94"/>
      <c r="R438" s="94"/>
      <c r="S438" s="94"/>
      <c r="T438" s="94"/>
      <c r="U438" s="94"/>
      <c r="V438" s="94"/>
      <c r="W438" s="94"/>
      <c r="X438" s="94"/>
      <c r="Y438" s="94"/>
      <c r="Z438" s="94"/>
    </row>
    <row r="439">
      <c r="A439" s="94"/>
      <c r="B439" s="94"/>
      <c r="C439" s="94"/>
      <c r="D439" s="94"/>
      <c r="E439" s="94"/>
      <c r="F439" s="94"/>
      <c r="G439" s="94"/>
      <c r="H439" s="94"/>
      <c r="I439" s="94"/>
      <c r="J439" s="94"/>
      <c r="K439" s="94"/>
      <c r="L439" s="94"/>
      <c r="M439" s="94"/>
      <c r="N439" s="94"/>
      <c r="O439" s="94"/>
      <c r="P439" s="94"/>
      <c r="Q439" s="94"/>
      <c r="R439" s="94"/>
      <c r="S439" s="94"/>
      <c r="T439" s="94"/>
      <c r="U439" s="94"/>
      <c r="V439" s="94"/>
      <c r="W439" s="94"/>
      <c r="X439" s="94"/>
      <c r="Y439" s="94"/>
      <c r="Z439" s="94"/>
    </row>
    <row r="440">
      <c r="A440" s="94"/>
      <c r="B440" s="94"/>
      <c r="C440" s="94"/>
      <c r="D440" s="94"/>
      <c r="E440" s="94"/>
      <c r="F440" s="94"/>
      <c r="G440" s="94"/>
      <c r="H440" s="94"/>
      <c r="I440" s="94"/>
      <c r="J440" s="94"/>
      <c r="K440" s="94"/>
      <c r="L440" s="94"/>
      <c r="M440" s="94"/>
      <c r="N440" s="94"/>
      <c r="O440" s="94"/>
      <c r="P440" s="94"/>
      <c r="Q440" s="94"/>
      <c r="R440" s="94"/>
      <c r="S440" s="94"/>
      <c r="T440" s="94"/>
      <c r="U440" s="94"/>
      <c r="V440" s="94"/>
      <c r="W440" s="94"/>
      <c r="X440" s="94"/>
      <c r="Y440" s="94"/>
      <c r="Z440" s="94"/>
    </row>
    <row r="441">
      <c r="A441" s="94"/>
      <c r="B441" s="94"/>
      <c r="C441" s="94"/>
      <c r="D441" s="94"/>
      <c r="E441" s="94"/>
      <c r="F441" s="94"/>
      <c r="G441" s="94"/>
      <c r="H441" s="94"/>
      <c r="I441" s="94"/>
      <c r="J441" s="94"/>
      <c r="K441" s="94"/>
      <c r="L441" s="94"/>
      <c r="M441" s="94"/>
      <c r="N441" s="94"/>
      <c r="O441" s="94"/>
      <c r="P441" s="94"/>
      <c r="Q441" s="94"/>
      <c r="R441" s="94"/>
      <c r="S441" s="94"/>
      <c r="T441" s="94"/>
      <c r="U441" s="94"/>
      <c r="V441" s="94"/>
      <c r="W441" s="94"/>
      <c r="X441" s="94"/>
      <c r="Y441" s="94"/>
      <c r="Z441" s="94"/>
    </row>
    <row r="442">
      <c r="A442" s="94"/>
      <c r="B442" s="94"/>
      <c r="C442" s="94"/>
      <c r="D442" s="94"/>
      <c r="E442" s="94"/>
      <c r="F442" s="94"/>
      <c r="G442" s="94"/>
      <c r="H442" s="94"/>
      <c r="I442" s="94"/>
      <c r="J442" s="94"/>
      <c r="K442" s="94"/>
      <c r="L442" s="94"/>
      <c r="M442" s="94"/>
      <c r="N442" s="94"/>
      <c r="O442" s="94"/>
      <c r="P442" s="94"/>
      <c r="Q442" s="94"/>
      <c r="R442" s="94"/>
      <c r="S442" s="94"/>
      <c r="T442" s="94"/>
      <c r="U442" s="94"/>
      <c r="V442" s="94"/>
      <c r="W442" s="94"/>
      <c r="X442" s="94"/>
      <c r="Y442" s="94"/>
      <c r="Z442" s="94"/>
    </row>
    <row r="443">
      <c r="A443" s="94"/>
      <c r="B443" s="94"/>
      <c r="C443" s="94"/>
      <c r="D443" s="94"/>
      <c r="E443" s="94"/>
      <c r="F443" s="94"/>
      <c r="G443" s="94"/>
      <c r="H443" s="94"/>
      <c r="I443" s="94"/>
      <c r="J443" s="94"/>
      <c r="K443" s="94"/>
      <c r="L443" s="94"/>
      <c r="M443" s="94"/>
      <c r="N443" s="94"/>
      <c r="O443" s="94"/>
      <c r="P443" s="94"/>
      <c r="Q443" s="94"/>
      <c r="R443" s="94"/>
      <c r="S443" s="94"/>
      <c r="T443" s="94"/>
      <c r="U443" s="94"/>
      <c r="V443" s="94"/>
      <c r="W443" s="94"/>
      <c r="X443" s="94"/>
      <c r="Y443" s="94"/>
      <c r="Z443" s="94"/>
    </row>
    <row r="444">
      <c r="A444" s="94"/>
      <c r="B444" s="94"/>
      <c r="C444" s="94"/>
      <c r="D444" s="94"/>
      <c r="E444" s="94"/>
      <c r="F444" s="94"/>
      <c r="G444" s="94"/>
      <c r="H444" s="94"/>
      <c r="I444" s="94"/>
      <c r="J444" s="94"/>
      <c r="K444" s="94"/>
      <c r="L444" s="94"/>
      <c r="M444" s="94"/>
      <c r="N444" s="94"/>
      <c r="O444" s="94"/>
      <c r="P444" s="94"/>
      <c r="Q444" s="94"/>
      <c r="R444" s="94"/>
      <c r="S444" s="94"/>
      <c r="T444" s="94"/>
      <c r="U444" s="94"/>
      <c r="V444" s="94"/>
      <c r="W444" s="94"/>
      <c r="X444" s="94"/>
      <c r="Y444" s="94"/>
      <c r="Z444" s="94"/>
    </row>
    <row r="445">
      <c r="A445" s="94"/>
      <c r="B445" s="94"/>
      <c r="C445" s="94"/>
      <c r="D445" s="94"/>
      <c r="E445" s="94"/>
      <c r="F445" s="94"/>
      <c r="G445" s="94"/>
      <c r="H445" s="94"/>
      <c r="I445" s="94"/>
      <c r="J445" s="94"/>
      <c r="K445" s="94"/>
      <c r="L445" s="94"/>
      <c r="M445" s="94"/>
      <c r="N445" s="94"/>
      <c r="O445" s="94"/>
      <c r="P445" s="94"/>
      <c r="Q445" s="94"/>
      <c r="R445" s="94"/>
      <c r="S445" s="94"/>
      <c r="T445" s="94"/>
      <c r="U445" s="94"/>
      <c r="V445" s="94"/>
      <c r="W445" s="94"/>
      <c r="X445" s="94"/>
      <c r="Y445" s="94"/>
      <c r="Z445" s="94"/>
    </row>
    <row r="446">
      <c r="A446" s="94"/>
      <c r="B446" s="94"/>
      <c r="C446" s="94"/>
      <c r="D446" s="94"/>
      <c r="E446" s="94"/>
      <c r="F446" s="94"/>
      <c r="G446" s="94"/>
      <c r="H446" s="94"/>
      <c r="I446" s="94"/>
      <c r="J446" s="94"/>
      <c r="K446" s="94"/>
      <c r="L446" s="94"/>
      <c r="M446" s="94"/>
      <c r="N446" s="94"/>
      <c r="O446" s="94"/>
      <c r="P446" s="94"/>
      <c r="Q446" s="94"/>
      <c r="R446" s="94"/>
      <c r="S446" s="94"/>
      <c r="T446" s="94"/>
      <c r="U446" s="94"/>
      <c r="V446" s="94"/>
      <c r="W446" s="94"/>
      <c r="X446" s="94"/>
      <c r="Y446" s="94"/>
      <c r="Z446" s="94"/>
    </row>
    <row r="447">
      <c r="A447" s="94"/>
      <c r="B447" s="94"/>
      <c r="C447" s="94"/>
      <c r="D447" s="94"/>
      <c r="E447" s="94"/>
      <c r="F447" s="94"/>
      <c r="G447" s="94"/>
      <c r="H447" s="94"/>
      <c r="I447" s="94"/>
      <c r="J447" s="94"/>
      <c r="K447" s="94"/>
      <c r="L447" s="94"/>
      <c r="M447" s="94"/>
      <c r="N447" s="94"/>
      <c r="O447" s="94"/>
      <c r="P447" s="94"/>
      <c r="Q447" s="94"/>
      <c r="R447" s="94"/>
      <c r="S447" s="94"/>
      <c r="T447" s="94"/>
      <c r="U447" s="94"/>
      <c r="V447" s="94"/>
      <c r="W447" s="94"/>
      <c r="X447" s="94"/>
      <c r="Y447" s="94"/>
      <c r="Z447" s="94"/>
    </row>
    <row r="448">
      <c r="A448" s="94"/>
      <c r="B448" s="94"/>
      <c r="C448" s="94"/>
      <c r="D448" s="94"/>
      <c r="E448" s="94"/>
      <c r="F448" s="94"/>
      <c r="G448" s="94"/>
      <c r="H448" s="94"/>
      <c r="I448" s="94"/>
      <c r="J448" s="94"/>
      <c r="K448" s="94"/>
      <c r="L448" s="94"/>
      <c r="M448" s="94"/>
      <c r="N448" s="94"/>
      <c r="O448" s="94"/>
      <c r="P448" s="94"/>
      <c r="Q448" s="94"/>
      <c r="R448" s="94"/>
      <c r="S448" s="94"/>
      <c r="T448" s="94"/>
      <c r="U448" s="94"/>
      <c r="V448" s="94"/>
      <c r="W448" s="94"/>
      <c r="X448" s="94"/>
      <c r="Y448" s="94"/>
      <c r="Z448" s="94"/>
    </row>
    <row r="449">
      <c r="A449" s="94"/>
      <c r="B449" s="94"/>
      <c r="C449" s="94"/>
      <c r="D449" s="94"/>
      <c r="E449" s="94"/>
      <c r="F449" s="94"/>
      <c r="G449" s="94"/>
      <c r="H449" s="94"/>
      <c r="I449" s="94"/>
      <c r="J449" s="94"/>
      <c r="K449" s="94"/>
      <c r="L449" s="94"/>
      <c r="M449" s="94"/>
      <c r="N449" s="94"/>
      <c r="O449" s="94"/>
      <c r="P449" s="94"/>
      <c r="Q449" s="94"/>
      <c r="R449" s="94"/>
      <c r="S449" s="94"/>
      <c r="T449" s="94"/>
      <c r="U449" s="94"/>
      <c r="V449" s="94"/>
      <c r="W449" s="94"/>
      <c r="X449" s="94"/>
      <c r="Y449" s="94"/>
      <c r="Z449" s="94"/>
    </row>
    <row r="450">
      <c r="A450" s="94"/>
      <c r="B450" s="94"/>
      <c r="C450" s="94"/>
      <c r="D450" s="94"/>
      <c r="E450" s="94"/>
      <c r="F450" s="94"/>
      <c r="G450" s="94"/>
      <c r="H450" s="94"/>
      <c r="I450" s="94"/>
      <c r="J450" s="94"/>
      <c r="K450" s="94"/>
      <c r="L450" s="94"/>
      <c r="M450" s="94"/>
      <c r="N450" s="94"/>
      <c r="O450" s="94"/>
      <c r="P450" s="94"/>
      <c r="Q450" s="94"/>
      <c r="R450" s="94"/>
      <c r="S450" s="94"/>
      <c r="T450" s="94"/>
      <c r="U450" s="94"/>
      <c r="V450" s="94"/>
      <c r="W450" s="94"/>
      <c r="X450" s="94"/>
      <c r="Y450" s="94"/>
      <c r="Z450" s="94"/>
    </row>
    <row r="451">
      <c r="A451" s="94"/>
      <c r="B451" s="94"/>
      <c r="C451" s="94"/>
      <c r="D451" s="94"/>
      <c r="E451" s="94"/>
      <c r="F451" s="94"/>
      <c r="G451" s="94"/>
      <c r="H451" s="94"/>
      <c r="I451" s="94"/>
      <c r="J451" s="94"/>
      <c r="K451" s="94"/>
      <c r="L451" s="94"/>
      <c r="M451" s="94"/>
      <c r="N451" s="94"/>
      <c r="O451" s="94"/>
      <c r="P451" s="94"/>
      <c r="Q451" s="94"/>
      <c r="R451" s="94"/>
      <c r="S451" s="94"/>
      <c r="T451" s="94"/>
      <c r="U451" s="94"/>
      <c r="V451" s="94"/>
      <c r="W451" s="94"/>
      <c r="X451" s="94"/>
      <c r="Y451" s="94"/>
      <c r="Z451" s="94"/>
    </row>
    <row r="452">
      <c r="A452" s="94"/>
      <c r="B452" s="94"/>
      <c r="C452" s="94"/>
      <c r="D452" s="94"/>
      <c r="E452" s="94"/>
      <c r="F452" s="94"/>
      <c r="G452" s="94"/>
      <c r="H452" s="94"/>
      <c r="I452" s="94"/>
      <c r="J452" s="94"/>
      <c r="K452" s="94"/>
      <c r="L452" s="94"/>
      <c r="M452" s="94"/>
      <c r="N452" s="94"/>
      <c r="O452" s="94"/>
      <c r="P452" s="94"/>
      <c r="Q452" s="94"/>
      <c r="R452" s="94"/>
      <c r="S452" s="94"/>
      <c r="T452" s="94"/>
      <c r="U452" s="94"/>
      <c r="V452" s="94"/>
      <c r="W452" s="94"/>
      <c r="X452" s="94"/>
      <c r="Y452" s="94"/>
      <c r="Z452" s="94"/>
    </row>
    <row r="453">
      <c r="A453" s="94"/>
      <c r="B453" s="94"/>
      <c r="C453" s="94"/>
      <c r="D453" s="94"/>
      <c r="E453" s="94"/>
      <c r="F453" s="94"/>
      <c r="G453" s="94"/>
      <c r="H453" s="94"/>
      <c r="I453" s="94"/>
      <c r="J453" s="94"/>
      <c r="K453" s="94"/>
      <c r="L453" s="94"/>
      <c r="M453" s="94"/>
      <c r="N453" s="94"/>
      <c r="O453" s="94"/>
      <c r="P453" s="94"/>
      <c r="Q453" s="94"/>
      <c r="R453" s="94"/>
      <c r="S453" s="94"/>
      <c r="T453" s="94"/>
      <c r="U453" s="94"/>
      <c r="V453" s="94"/>
      <c r="W453" s="94"/>
      <c r="X453" s="94"/>
      <c r="Y453" s="94"/>
      <c r="Z453" s="94"/>
    </row>
    <row r="454">
      <c r="A454" s="94"/>
      <c r="B454" s="94"/>
      <c r="C454" s="94"/>
      <c r="D454" s="94"/>
      <c r="E454" s="94"/>
      <c r="F454" s="94"/>
      <c r="G454" s="94"/>
      <c r="H454" s="94"/>
      <c r="I454" s="94"/>
      <c r="J454" s="94"/>
      <c r="K454" s="94"/>
      <c r="L454" s="94"/>
      <c r="M454" s="94"/>
      <c r="N454" s="94"/>
      <c r="O454" s="94"/>
      <c r="P454" s="94"/>
      <c r="Q454" s="94"/>
      <c r="R454" s="94"/>
      <c r="S454" s="94"/>
      <c r="T454" s="94"/>
      <c r="U454" s="94"/>
      <c r="V454" s="94"/>
      <c r="W454" s="94"/>
      <c r="X454" s="94"/>
      <c r="Y454" s="94"/>
      <c r="Z454" s="94"/>
    </row>
    <row r="455">
      <c r="A455" s="94"/>
      <c r="B455" s="94"/>
      <c r="C455" s="94"/>
      <c r="D455" s="94"/>
      <c r="E455" s="94"/>
      <c r="F455" s="94"/>
      <c r="G455" s="94"/>
      <c r="H455" s="94"/>
      <c r="I455" s="94"/>
      <c r="J455" s="94"/>
      <c r="K455" s="94"/>
      <c r="L455" s="94"/>
      <c r="M455" s="94"/>
      <c r="N455" s="94"/>
      <c r="O455" s="94"/>
      <c r="P455" s="94"/>
      <c r="Q455" s="94"/>
      <c r="R455" s="94"/>
      <c r="S455" s="94"/>
      <c r="T455" s="94"/>
      <c r="U455" s="94"/>
      <c r="V455" s="94"/>
      <c r="W455" s="94"/>
      <c r="X455" s="94"/>
      <c r="Y455" s="94"/>
      <c r="Z455" s="94"/>
    </row>
    <row r="456">
      <c r="A456" s="94"/>
      <c r="B456" s="94"/>
      <c r="C456" s="94"/>
      <c r="D456" s="94"/>
      <c r="E456" s="94"/>
      <c r="F456" s="94"/>
      <c r="G456" s="94"/>
      <c r="H456" s="94"/>
      <c r="I456" s="94"/>
      <c r="J456" s="94"/>
      <c r="K456" s="94"/>
      <c r="L456" s="94"/>
      <c r="M456" s="94"/>
      <c r="N456" s="94"/>
      <c r="O456" s="94"/>
      <c r="P456" s="94"/>
      <c r="Q456" s="94"/>
      <c r="R456" s="94"/>
      <c r="S456" s="94"/>
      <c r="T456" s="94"/>
      <c r="U456" s="94"/>
      <c r="V456" s="94"/>
      <c r="W456" s="94"/>
      <c r="X456" s="94"/>
      <c r="Y456" s="94"/>
      <c r="Z456" s="94"/>
    </row>
    <row r="457">
      <c r="A457" s="94"/>
      <c r="B457" s="94"/>
      <c r="C457" s="94"/>
      <c r="D457" s="94"/>
      <c r="E457" s="94"/>
      <c r="F457" s="94"/>
      <c r="G457" s="94"/>
      <c r="H457" s="94"/>
      <c r="I457" s="94"/>
      <c r="J457" s="94"/>
      <c r="K457" s="94"/>
      <c r="L457" s="94"/>
      <c r="M457" s="94"/>
      <c r="N457" s="94"/>
      <c r="O457" s="94"/>
      <c r="P457" s="94"/>
      <c r="Q457" s="94"/>
      <c r="R457" s="94"/>
      <c r="S457" s="94"/>
      <c r="T457" s="94"/>
      <c r="U457" s="94"/>
      <c r="V457" s="94"/>
      <c r="W457" s="94"/>
      <c r="X457" s="94"/>
      <c r="Y457" s="94"/>
      <c r="Z457" s="94"/>
    </row>
    <row r="458">
      <c r="A458" s="94"/>
      <c r="B458" s="94"/>
      <c r="C458" s="94"/>
      <c r="D458" s="94"/>
      <c r="E458" s="94"/>
      <c r="F458" s="94"/>
      <c r="G458" s="94"/>
      <c r="H458" s="94"/>
      <c r="I458" s="94"/>
      <c r="J458" s="94"/>
      <c r="K458" s="94"/>
      <c r="L458" s="94"/>
      <c r="M458" s="94"/>
      <c r="N458" s="94"/>
      <c r="O458" s="94"/>
      <c r="P458" s="94"/>
      <c r="Q458" s="94"/>
      <c r="R458" s="94"/>
      <c r="S458" s="94"/>
      <c r="T458" s="94"/>
      <c r="U458" s="94"/>
      <c r="V458" s="94"/>
      <c r="W458" s="94"/>
      <c r="X458" s="94"/>
      <c r="Y458" s="94"/>
      <c r="Z458" s="94"/>
    </row>
    <row r="459">
      <c r="A459" s="94"/>
      <c r="B459" s="94"/>
      <c r="C459" s="94"/>
      <c r="D459" s="94"/>
      <c r="E459" s="94"/>
      <c r="F459" s="94"/>
      <c r="G459" s="94"/>
      <c r="H459" s="94"/>
      <c r="I459" s="94"/>
      <c r="J459" s="94"/>
      <c r="K459" s="94"/>
      <c r="L459" s="94"/>
      <c r="M459" s="94"/>
      <c r="N459" s="94"/>
      <c r="O459" s="94"/>
      <c r="P459" s="94"/>
      <c r="Q459" s="94"/>
      <c r="R459" s="94"/>
      <c r="S459" s="94"/>
      <c r="T459" s="94"/>
      <c r="U459" s="94"/>
      <c r="V459" s="94"/>
      <c r="W459" s="94"/>
      <c r="X459" s="94"/>
      <c r="Y459" s="94"/>
      <c r="Z459" s="94"/>
    </row>
    <row r="460">
      <c r="A460" s="94"/>
      <c r="B460" s="94"/>
      <c r="C460" s="94"/>
      <c r="D460" s="94"/>
      <c r="E460" s="94"/>
      <c r="F460" s="94"/>
      <c r="G460" s="94"/>
      <c r="H460" s="94"/>
      <c r="I460" s="94"/>
      <c r="J460" s="94"/>
      <c r="K460" s="94"/>
      <c r="L460" s="94"/>
      <c r="M460" s="94"/>
      <c r="N460" s="94"/>
      <c r="O460" s="94"/>
      <c r="P460" s="94"/>
      <c r="Q460" s="94"/>
      <c r="R460" s="94"/>
      <c r="S460" s="94"/>
      <c r="T460" s="94"/>
      <c r="U460" s="94"/>
      <c r="V460" s="94"/>
      <c r="W460" s="94"/>
      <c r="X460" s="94"/>
      <c r="Y460" s="94"/>
      <c r="Z460" s="94"/>
    </row>
    <row r="461">
      <c r="A461" s="94"/>
      <c r="B461" s="94"/>
      <c r="C461" s="94"/>
      <c r="D461" s="94"/>
      <c r="E461" s="94"/>
      <c r="F461" s="94"/>
      <c r="G461" s="94"/>
      <c r="H461" s="94"/>
      <c r="I461" s="94"/>
      <c r="J461" s="94"/>
      <c r="K461" s="94"/>
      <c r="L461" s="94"/>
      <c r="M461" s="94"/>
      <c r="N461" s="94"/>
      <c r="O461" s="94"/>
      <c r="P461" s="94"/>
      <c r="Q461" s="94"/>
      <c r="R461" s="94"/>
      <c r="S461" s="94"/>
      <c r="T461" s="94"/>
      <c r="U461" s="94"/>
      <c r="V461" s="94"/>
      <c r="W461" s="94"/>
      <c r="X461" s="94"/>
      <c r="Y461" s="94"/>
      <c r="Z461" s="94"/>
    </row>
    <row r="462">
      <c r="A462" s="94"/>
      <c r="B462" s="94"/>
      <c r="C462" s="94"/>
      <c r="D462" s="94"/>
      <c r="E462" s="94"/>
      <c r="F462" s="94"/>
      <c r="G462" s="94"/>
      <c r="H462" s="94"/>
      <c r="I462" s="94"/>
      <c r="J462" s="94"/>
      <c r="K462" s="94"/>
      <c r="L462" s="94"/>
      <c r="M462" s="94"/>
      <c r="N462" s="94"/>
      <c r="O462" s="94"/>
      <c r="P462" s="94"/>
      <c r="Q462" s="94"/>
      <c r="R462" s="94"/>
      <c r="S462" s="94"/>
      <c r="T462" s="94"/>
      <c r="U462" s="94"/>
      <c r="V462" s="94"/>
      <c r="W462" s="94"/>
      <c r="X462" s="94"/>
      <c r="Y462" s="94"/>
      <c r="Z462" s="94"/>
    </row>
    <row r="463">
      <c r="A463" s="94"/>
      <c r="B463" s="94"/>
      <c r="C463" s="94"/>
      <c r="D463" s="94"/>
      <c r="E463" s="94"/>
      <c r="F463" s="94"/>
      <c r="G463" s="94"/>
      <c r="H463" s="94"/>
      <c r="I463" s="94"/>
      <c r="J463" s="94"/>
      <c r="K463" s="94"/>
      <c r="L463" s="94"/>
      <c r="M463" s="94"/>
      <c r="N463" s="94"/>
      <c r="O463" s="94"/>
      <c r="P463" s="94"/>
      <c r="Q463" s="94"/>
      <c r="R463" s="94"/>
      <c r="S463" s="94"/>
      <c r="T463" s="94"/>
      <c r="U463" s="94"/>
      <c r="V463" s="94"/>
      <c r="W463" s="94"/>
      <c r="X463" s="94"/>
      <c r="Y463" s="94"/>
      <c r="Z463" s="94"/>
    </row>
    <row r="464">
      <c r="A464" s="94"/>
      <c r="B464" s="94"/>
      <c r="C464" s="94"/>
      <c r="D464" s="94"/>
      <c r="E464" s="94"/>
      <c r="F464" s="94"/>
      <c r="G464" s="94"/>
      <c r="H464" s="94"/>
      <c r="I464" s="94"/>
      <c r="J464" s="94"/>
      <c r="K464" s="94"/>
      <c r="L464" s="94"/>
      <c r="M464" s="94"/>
      <c r="N464" s="94"/>
      <c r="O464" s="94"/>
      <c r="P464" s="94"/>
      <c r="Q464" s="94"/>
      <c r="R464" s="94"/>
      <c r="S464" s="94"/>
      <c r="T464" s="94"/>
      <c r="U464" s="94"/>
      <c r="V464" s="94"/>
      <c r="W464" s="94"/>
      <c r="X464" s="94"/>
      <c r="Y464" s="94"/>
      <c r="Z464" s="94"/>
    </row>
    <row r="465">
      <c r="A465" s="94"/>
      <c r="B465" s="94"/>
      <c r="C465" s="94"/>
      <c r="D465" s="94"/>
      <c r="E465" s="94"/>
      <c r="F465" s="94"/>
      <c r="G465" s="94"/>
      <c r="H465" s="94"/>
      <c r="I465" s="94"/>
      <c r="J465" s="94"/>
      <c r="K465" s="94"/>
      <c r="L465" s="94"/>
      <c r="M465" s="94"/>
      <c r="N465" s="94"/>
      <c r="O465" s="94"/>
      <c r="P465" s="94"/>
      <c r="Q465" s="94"/>
      <c r="R465" s="94"/>
      <c r="S465" s="94"/>
      <c r="T465" s="94"/>
      <c r="U465" s="94"/>
      <c r="V465" s="94"/>
      <c r="W465" s="94"/>
      <c r="X465" s="94"/>
      <c r="Y465" s="94"/>
      <c r="Z465" s="94"/>
    </row>
    <row r="466">
      <c r="A466" s="94"/>
      <c r="B466" s="94"/>
      <c r="C466" s="94"/>
      <c r="D466" s="94"/>
      <c r="E466" s="94"/>
      <c r="F466" s="94"/>
      <c r="G466" s="94"/>
      <c r="H466" s="94"/>
      <c r="I466" s="94"/>
      <c r="J466" s="94"/>
      <c r="K466" s="94"/>
      <c r="L466" s="94"/>
      <c r="M466" s="94"/>
      <c r="N466" s="94"/>
      <c r="O466" s="94"/>
      <c r="P466" s="94"/>
      <c r="Q466" s="94"/>
      <c r="R466" s="94"/>
      <c r="S466" s="94"/>
      <c r="T466" s="94"/>
      <c r="U466" s="94"/>
      <c r="V466" s="94"/>
      <c r="W466" s="94"/>
      <c r="X466" s="94"/>
      <c r="Y466" s="94"/>
      <c r="Z466" s="94"/>
    </row>
    <row r="467">
      <c r="A467" s="94"/>
      <c r="B467" s="94"/>
      <c r="C467" s="94"/>
      <c r="D467" s="94"/>
      <c r="E467" s="94"/>
      <c r="F467" s="94"/>
      <c r="G467" s="94"/>
      <c r="H467" s="94"/>
      <c r="I467" s="94"/>
      <c r="J467" s="94"/>
      <c r="K467" s="94"/>
      <c r="L467" s="94"/>
      <c r="M467" s="94"/>
      <c r="N467" s="94"/>
      <c r="O467" s="94"/>
      <c r="P467" s="94"/>
      <c r="Q467" s="94"/>
      <c r="R467" s="94"/>
      <c r="S467" s="94"/>
      <c r="T467" s="94"/>
      <c r="U467" s="94"/>
      <c r="V467" s="94"/>
      <c r="W467" s="94"/>
      <c r="X467" s="94"/>
      <c r="Y467" s="94"/>
      <c r="Z467" s="94"/>
    </row>
    <row r="468">
      <c r="A468" s="94"/>
      <c r="B468" s="94"/>
      <c r="C468" s="94"/>
      <c r="D468" s="94"/>
      <c r="E468" s="94"/>
      <c r="F468" s="94"/>
      <c r="G468" s="94"/>
      <c r="H468" s="94"/>
      <c r="I468" s="94"/>
      <c r="J468" s="94"/>
      <c r="K468" s="94"/>
      <c r="L468" s="94"/>
      <c r="M468" s="94"/>
      <c r="N468" s="94"/>
      <c r="O468" s="94"/>
      <c r="P468" s="94"/>
      <c r="Q468" s="94"/>
      <c r="R468" s="94"/>
      <c r="S468" s="94"/>
      <c r="T468" s="94"/>
      <c r="U468" s="94"/>
      <c r="V468" s="94"/>
      <c r="W468" s="94"/>
      <c r="X468" s="94"/>
      <c r="Y468" s="94"/>
      <c r="Z468" s="94"/>
    </row>
    <row r="469">
      <c r="A469" s="94"/>
      <c r="B469" s="94"/>
      <c r="C469" s="94"/>
      <c r="D469" s="94"/>
      <c r="E469" s="94"/>
      <c r="F469" s="94"/>
      <c r="G469" s="94"/>
      <c r="H469" s="94"/>
      <c r="I469" s="94"/>
      <c r="J469" s="94"/>
      <c r="K469" s="94"/>
      <c r="L469" s="94"/>
      <c r="M469" s="94"/>
      <c r="N469" s="94"/>
      <c r="O469" s="94"/>
      <c r="P469" s="94"/>
      <c r="Q469" s="94"/>
      <c r="R469" s="94"/>
      <c r="S469" s="94"/>
      <c r="T469" s="94"/>
      <c r="U469" s="94"/>
      <c r="V469" s="94"/>
      <c r="W469" s="94"/>
      <c r="X469" s="94"/>
      <c r="Y469" s="94"/>
      <c r="Z469" s="94"/>
    </row>
    <row r="470">
      <c r="A470" s="94"/>
      <c r="B470" s="94"/>
      <c r="C470" s="94"/>
      <c r="D470" s="94"/>
      <c r="E470" s="94"/>
      <c r="F470" s="94"/>
      <c r="G470" s="94"/>
      <c r="H470" s="94"/>
      <c r="I470" s="94"/>
      <c r="J470" s="94"/>
      <c r="K470" s="94"/>
      <c r="L470" s="94"/>
      <c r="M470" s="94"/>
      <c r="N470" s="94"/>
      <c r="O470" s="94"/>
      <c r="P470" s="94"/>
      <c r="Q470" s="94"/>
      <c r="R470" s="94"/>
      <c r="S470" s="94"/>
      <c r="T470" s="94"/>
      <c r="U470" s="94"/>
      <c r="V470" s="94"/>
      <c r="W470" s="94"/>
      <c r="X470" s="94"/>
      <c r="Y470" s="94"/>
      <c r="Z470" s="94"/>
    </row>
    <row r="471">
      <c r="A471" s="94"/>
      <c r="B471" s="94"/>
      <c r="C471" s="94"/>
      <c r="D471" s="94"/>
      <c r="E471" s="94"/>
      <c r="F471" s="94"/>
      <c r="G471" s="94"/>
      <c r="H471" s="94"/>
      <c r="I471" s="94"/>
      <c r="J471" s="94"/>
      <c r="K471" s="94"/>
      <c r="L471" s="94"/>
      <c r="M471" s="94"/>
      <c r="N471" s="94"/>
      <c r="O471" s="94"/>
      <c r="P471" s="94"/>
      <c r="Q471" s="94"/>
      <c r="R471" s="94"/>
      <c r="S471" s="94"/>
      <c r="T471" s="94"/>
      <c r="U471" s="94"/>
      <c r="V471" s="94"/>
      <c r="W471" s="94"/>
      <c r="X471" s="94"/>
      <c r="Y471" s="94"/>
      <c r="Z471" s="94"/>
    </row>
    <row r="472">
      <c r="A472" s="94"/>
      <c r="B472" s="94"/>
      <c r="C472" s="94"/>
      <c r="D472" s="94"/>
      <c r="E472" s="94"/>
      <c r="F472" s="94"/>
      <c r="G472" s="94"/>
      <c r="H472" s="94"/>
      <c r="I472" s="94"/>
      <c r="J472" s="94"/>
      <c r="K472" s="94"/>
      <c r="L472" s="94"/>
      <c r="M472" s="94"/>
      <c r="N472" s="94"/>
      <c r="O472" s="94"/>
      <c r="P472" s="94"/>
      <c r="Q472" s="94"/>
      <c r="R472" s="94"/>
      <c r="S472" s="94"/>
      <c r="T472" s="94"/>
      <c r="U472" s="94"/>
      <c r="V472" s="94"/>
      <c r="W472" s="94"/>
      <c r="X472" s="94"/>
      <c r="Y472" s="94"/>
      <c r="Z472" s="94"/>
    </row>
    <row r="473">
      <c r="A473" s="94"/>
      <c r="B473" s="94"/>
      <c r="C473" s="94"/>
      <c r="D473" s="94"/>
      <c r="E473" s="94"/>
      <c r="F473" s="94"/>
      <c r="G473" s="94"/>
      <c r="H473" s="94"/>
      <c r="I473" s="94"/>
      <c r="J473" s="94"/>
      <c r="K473" s="94"/>
      <c r="L473" s="94"/>
      <c r="M473" s="94"/>
      <c r="N473" s="94"/>
      <c r="O473" s="94"/>
      <c r="P473" s="94"/>
      <c r="Q473" s="94"/>
      <c r="R473" s="94"/>
      <c r="S473" s="94"/>
      <c r="T473" s="94"/>
      <c r="U473" s="94"/>
      <c r="V473" s="94"/>
      <c r="W473" s="94"/>
      <c r="X473" s="94"/>
      <c r="Y473" s="94"/>
      <c r="Z473" s="94"/>
    </row>
    <row r="474">
      <c r="A474" s="94"/>
      <c r="B474" s="94"/>
      <c r="C474" s="94"/>
      <c r="D474" s="94"/>
      <c r="E474" s="94"/>
      <c r="F474" s="94"/>
      <c r="G474" s="94"/>
      <c r="H474" s="94"/>
      <c r="I474" s="94"/>
      <c r="J474" s="94"/>
      <c r="K474" s="94"/>
      <c r="L474" s="94"/>
      <c r="M474" s="94"/>
      <c r="N474" s="94"/>
      <c r="O474" s="94"/>
      <c r="P474" s="94"/>
      <c r="Q474" s="94"/>
      <c r="R474" s="94"/>
      <c r="S474" s="94"/>
      <c r="T474" s="94"/>
      <c r="U474" s="94"/>
      <c r="V474" s="94"/>
      <c r="W474" s="94"/>
      <c r="X474" s="94"/>
      <c r="Y474" s="94"/>
      <c r="Z474" s="94"/>
    </row>
    <row r="475">
      <c r="A475" s="94"/>
      <c r="B475" s="94"/>
      <c r="C475" s="94"/>
      <c r="D475" s="94"/>
      <c r="E475" s="94"/>
      <c r="F475" s="94"/>
      <c r="G475" s="94"/>
      <c r="H475" s="94"/>
      <c r="I475" s="94"/>
      <c r="J475" s="94"/>
      <c r="K475" s="94"/>
      <c r="L475" s="94"/>
      <c r="M475" s="94"/>
      <c r="N475" s="94"/>
      <c r="O475" s="94"/>
      <c r="P475" s="94"/>
      <c r="Q475" s="94"/>
      <c r="R475" s="94"/>
      <c r="S475" s="94"/>
      <c r="T475" s="94"/>
      <c r="U475" s="94"/>
      <c r="V475" s="94"/>
      <c r="W475" s="94"/>
      <c r="X475" s="94"/>
      <c r="Y475" s="94"/>
      <c r="Z475" s="94"/>
    </row>
    <row r="476">
      <c r="A476" s="94"/>
      <c r="B476" s="94"/>
      <c r="C476" s="94"/>
      <c r="D476" s="94"/>
      <c r="E476" s="94"/>
      <c r="F476" s="94"/>
      <c r="G476" s="94"/>
      <c r="H476" s="94"/>
      <c r="I476" s="94"/>
      <c r="J476" s="94"/>
      <c r="K476" s="94"/>
      <c r="L476" s="94"/>
      <c r="M476" s="94"/>
      <c r="N476" s="94"/>
      <c r="O476" s="94"/>
      <c r="P476" s="94"/>
      <c r="Q476" s="94"/>
      <c r="R476" s="94"/>
      <c r="S476" s="94"/>
      <c r="T476" s="94"/>
      <c r="U476" s="94"/>
      <c r="V476" s="94"/>
      <c r="W476" s="94"/>
      <c r="X476" s="94"/>
      <c r="Y476" s="94"/>
      <c r="Z476" s="94"/>
    </row>
    <row r="477">
      <c r="A477" s="94"/>
      <c r="B477" s="94"/>
      <c r="C477" s="94"/>
      <c r="D477" s="94"/>
      <c r="E477" s="94"/>
      <c r="F477" s="94"/>
      <c r="G477" s="94"/>
      <c r="H477" s="94"/>
      <c r="I477" s="94"/>
      <c r="J477" s="94"/>
      <c r="K477" s="94"/>
      <c r="L477" s="94"/>
      <c r="M477" s="94"/>
      <c r="N477" s="94"/>
      <c r="O477" s="94"/>
      <c r="P477" s="94"/>
      <c r="Q477" s="94"/>
      <c r="R477" s="94"/>
      <c r="S477" s="94"/>
      <c r="T477" s="94"/>
      <c r="U477" s="94"/>
      <c r="V477" s="94"/>
      <c r="W477" s="94"/>
      <c r="X477" s="94"/>
      <c r="Y477" s="94"/>
      <c r="Z477" s="94"/>
    </row>
    <row r="478">
      <c r="A478" s="94"/>
      <c r="B478" s="94"/>
      <c r="C478" s="94"/>
      <c r="D478" s="94"/>
      <c r="E478" s="94"/>
      <c r="F478" s="94"/>
      <c r="G478" s="94"/>
      <c r="H478" s="94"/>
      <c r="I478" s="94"/>
      <c r="J478" s="94"/>
      <c r="K478" s="94"/>
      <c r="L478" s="94"/>
      <c r="M478" s="94"/>
      <c r="N478" s="94"/>
      <c r="O478" s="94"/>
      <c r="P478" s="94"/>
      <c r="Q478" s="94"/>
      <c r="R478" s="94"/>
      <c r="S478" s="94"/>
      <c r="T478" s="94"/>
      <c r="U478" s="94"/>
      <c r="V478" s="94"/>
      <c r="W478" s="94"/>
      <c r="X478" s="94"/>
      <c r="Y478" s="94"/>
      <c r="Z478" s="94"/>
    </row>
    <row r="479">
      <c r="A479" s="94"/>
      <c r="B479" s="94"/>
      <c r="C479" s="94"/>
      <c r="D479" s="94"/>
      <c r="E479" s="94"/>
      <c r="F479" s="94"/>
      <c r="G479" s="94"/>
      <c r="H479" s="94"/>
      <c r="I479" s="94"/>
      <c r="J479" s="94"/>
      <c r="K479" s="94"/>
      <c r="L479" s="94"/>
      <c r="M479" s="94"/>
      <c r="N479" s="94"/>
      <c r="O479" s="94"/>
      <c r="P479" s="94"/>
      <c r="Q479" s="94"/>
      <c r="R479" s="94"/>
      <c r="S479" s="94"/>
      <c r="T479" s="94"/>
      <c r="U479" s="94"/>
      <c r="V479" s="94"/>
      <c r="W479" s="94"/>
      <c r="X479" s="94"/>
      <c r="Y479" s="94"/>
      <c r="Z479" s="94"/>
    </row>
    <row r="480">
      <c r="A480" s="94"/>
      <c r="B480" s="94"/>
      <c r="C480" s="94"/>
      <c r="D480" s="94"/>
      <c r="E480" s="94"/>
      <c r="F480" s="94"/>
      <c r="G480" s="94"/>
      <c r="H480" s="94"/>
      <c r="I480" s="94"/>
      <c r="J480" s="94"/>
      <c r="K480" s="94"/>
      <c r="L480" s="94"/>
      <c r="M480" s="94"/>
      <c r="N480" s="94"/>
      <c r="O480" s="94"/>
      <c r="P480" s="94"/>
      <c r="Q480" s="94"/>
      <c r="R480" s="94"/>
      <c r="S480" s="94"/>
      <c r="T480" s="94"/>
      <c r="U480" s="94"/>
      <c r="V480" s="94"/>
      <c r="W480" s="94"/>
      <c r="X480" s="94"/>
      <c r="Y480" s="94"/>
      <c r="Z480" s="94"/>
    </row>
    <row r="481">
      <c r="A481" s="94"/>
      <c r="B481" s="94"/>
      <c r="C481" s="94"/>
      <c r="D481" s="94"/>
      <c r="E481" s="94"/>
      <c r="F481" s="94"/>
      <c r="G481" s="94"/>
      <c r="H481" s="94"/>
      <c r="I481" s="94"/>
      <c r="J481" s="94"/>
      <c r="K481" s="94"/>
      <c r="L481" s="94"/>
      <c r="M481" s="94"/>
      <c r="N481" s="94"/>
      <c r="O481" s="94"/>
      <c r="P481" s="94"/>
      <c r="Q481" s="94"/>
      <c r="R481" s="94"/>
      <c r="S481" s="94"/>
      <c r="T481" s="94"/>
      <c r="U481" s="94"/>
      <c r="V481" s="94"/>
      <c r="W481" s="94"/>
      <c r="X481" s="94"/>
      <c r="Y481" s="94"/>
      <c r="Z481" s="94"/>
    </row>
    <row r="482">
      <c r="A482" s="94"/>
      <c r="B482" s="94"/>
      <c r="C482" s="94"/>
      <c r="D482" s="94"/>
      <c r="E482" s="94"/>
      <c r="F482" s="94"/>
      <c r="G482" s="94"/>
      <c r="H482" s="94"/>
      <c r="I482" s="94"/>
      <c r="J482" s="94"/>
      <c r="K482" s="94"/>
      <c r="L482" s="94"/>
      <c r="M482" s="94"/>
      <c r="N482" s="94"/>
      <c r="O482" s="94"/>
      <c r="P482" s="94"/>
      <c r="Q482" s="94"/>
      <c r="R482" s="94"/>
      <c r="S482" s="94"/>
      <c r="T482" s="94"/>
      <c r="U482" s="94"/>
      <c r="V482" s="94"/>
      <c r="W482" s="94"/>
      <c r="X482" s="94"/>
      <c r="Y482" s="94"/>
      <c r="Z482" s="94"/>
    </row>
    <row r="483">
      <c r="A483" s="94"/>
      <c r="B483" s="94"/>
      <c r="C483" s="94"/>
      <c r="D483" s="94"/>
      <c r="E483" s="94"/>
      <c r="F483" s="94"/>
      <c r="G483" s="94"/>
      <c r="H483" s="94"/>
      <c r="I483" s="94"/>
      <c r="J483" s="94"/>
      <c r="K483" s="94"/>
      <c r="L483" s="94"/>
      <c r="M483" s="94"/>
      <c r="N483" s="94"/>
      <c r="O483" s="94"/>
      <c r="P483" s="94"/>
      <c r="Q483" s="94"/>
      <c r="R483" s="94"/>
      <c r="S483" s="94"/>
      <c r="T483" s="94"/>
      <c r="U483" s="94"/>
      <c r="V483" s="94"/>
      <c r="W483" s="94"/>
      <c r="X483" s="94"/>
      <c r="Y483" s="94"/>
      <c r="Z483" s="94"/>
    </row>
    <row r="484">
      <c r="A484" s="94"/>
      <c r="B484" s="94"/>
      <c r="C484" s="94"/>
      <c r="D484" s="94"/>
      <c r="E484" s="94"/>
      <c r="F484" s="94"/>
      <c r="G484" s="94"/>
      <c r="H484" s="94"/>
      <c r="I484" s="94"/>
      <c r="J484" s="94"/>
      <c r="K484" s="94"/>
      <c r="L484" s="94"/>
      <c r="M484" s="94"/>
      <c r="N484" s="94"/>
      <c r="O484" s="94"/>
      <c r="P484" s="94"/>
      <c r="Q484" s="94"/>
      <c r="R484" s="94"/>
      <c r="S484" s="94"/>
      <c r="T484" s="94"/>
      <c r="U484" s="94"/>
      <c r="V484" s="94"/>
      <c r="W484" s="94"/>
      <c r="X484" s="94"/>
      <c r="Y484" s="94"/>
      <c r="Z484" s="94"/>
    </row>
    <row r="485">
      <c r="A485" s="94"/>
      <c r="B485" s="94"/>
      <c r="C485" s="94"/>
      <c r="D485" s="94"/>
      <c r="E485" s="94"/>
      <c r="F485" s="94"/>
      <c r="G485" s="94"/>
      <c r="H485" s="94"/>
      <c r="I485" s="94"/>
      <c r="J485" s="94"/>
      <c r="K485" s="94"/>
      <c r="L485" s="94"/>
      <c r="M485" s="94"/>
      <c r="N485" s="94"/>
      <c r="O485" s="94"/>
      <c r="P485" s="94"/>
      <c r="Q485" s="94"/>
      <c r="R485" s="94"/>
      <c r="S485" s="94"/>
      <c r="T485" s="94"/>
      <c r="U485" s="94"/>
      <c r="V485" s="94"/>
      <c r="W485" s="94"/>
      <c r="X485" s="94"/>
      <c r="Y485" s="94"/>
      <c r="Z485" s="94"/>
    </row>
    <row r="486">
      <c r="A486" s="94"/>
      <c r="B486" s="94"/>
      <c r="C486" s="94"/>
      <c r="D486" s="94"/>
      <c r="E486" s="94"/>
      <c r="F486" s="94"/>
      <c r="G486" s="94"/>
      <c r="H486" s="94"/>
      <c r="I486" s="94"/>
      <c r="J486" s="94"/>
      <c r="K486" s="94"/>
      <c r="L486" s="94"/>
      <c r="M486" s="94"/>
      <c r="N486" s="94"/>
      <c r="O486" s="94"/>
      <c r="P486" s="94"/>
      <c r="Q486" s="94"/>
      <c r="R486" s="94"/>
      <c r="S486" s="94"/>
      <c r="T486" s="94"/>
      <c r="U486" s="94"/>
      <c r="V486" s="94"/>
      <c r="W486" s="94"/>
      <c r="X486" s="94"/>
      <c r="Y486" s="94"/>
      <c r="Z486" s="94"/>
    </row>
    <row r="487">
      <c r="A487" s="94"/>
      <c r="B487" s="94"/>
      <c r="C487" s="94"/>
      <c r="D487" s="94"/>
      <c r="E487" s="94"/>
      <c r="F487" s="94"/>
      <c r="G487" s="94"/>
      <c r="H487" s="94"/>
      <c r="I487" s="94"/>
      <c r="J487" s="94"/>
      <c r="K487" s="94"/>
      <c r="L487" s="94"/>
      <c r="M487" s="94"/>
      <c r="N487" s="94"/>
      <c r="O487" s="94"/>
      <c r="P487" s="94"/>
      <c r="Q487" s="94"/>
      <c r="R487" s="94"/>
      <c r="S487" s="94"/>
      <c r="T487" s="94"/>
      <c r="U487" s="94"/>
      <c r="V487" s="94"/>
      <c r="W487" s="94"/>
      <c r="X487" s="94"/>
      <c r="Y487" s="94"/>
      <c r="Z487" s="94"/>
    </row>
    <row r="488">
      <c r="A488" s="94"/>
      <c r="B488" s="94"/>
      <c r="C488" s="94"/>
      <c r="D488" s="94"/>
      <c r="E488" s="94"/>
      <c r="F488" s="94"/>
      <c r="G488" s="94"/>
      <c r="H488" s="94"/>
      <c r="I488" s="94"/>
      <c r="J488" s="94"/>
      <c r="K488" s="94"/>
      <c r="L488" s="94"/>
      <c r="M488" s="94"/>
      <c r="N488" s="94"/>
      <c r="O488" s="94"/>
      <c r="P488" s="94"/>
      <c r="Q488" s="94"/>
      <c r="R488" s="94"/>
      <c r="S488" s="94"/>
      <c r="T488" s="94"/>
      <c r="U488" s="94"/>
      <c r="V488" s="94"/>
      <c r="W488" s="94"/>
      <c r="X488" s="94"/>
      <c r="Y488" s="94"/>
      <c r="Z488" s="94"/>
    </row>
    <row r="489">
      <c r="A489" s="94"/>
      <c r="B489" s="94"/>
      <c r="C489" s="94"/>
      <c r="D489" s="94"/>
      <c r="E489" s="94"/>
      <c r="F489" s="94"/>
      <c r="G489" s="94"/>
      <c r="H489" s="94"/>
      <c r="I489" s="94"/>
      <c r="J489" s="94"/>
      <c r="K489" s="94"/>
      <c r="L489" s="94"/>
      <c r="M489" s="94"/>
      <c r="N489" s="94"/>
      <c r="O489" s="94"/>
      <c r="P489" s="94"/>
      <c r="Q489" s="94"/>
      <c r="R489" s="94"/>
      <c r="S489" s="94"/>
      <c r="T489" s="94"/>
      <c r="U489" s="94"/>
      <c r="V489" s="94"/>
      <c r="W489" s="94"/>
      <c r="X489" s="94"/>
      <c r="Y489" s="94"/>
      <c r="Z489" s="94"/>
    </row>
    <row r="490">
      <c r="A490" s="94"/>
      <c r="B490" s="94"/>
      <c r="C490" s="94"/>
      <c r="D490" s="94"/>
      <c r="E490" s="94"/>
      <c r="F490" s="94"/>
      <c r="G490" s="94"/>
      <c r="H490" s="94"/>
      <c r="I490" s="94"/>
      <c r="J490" s="94"/>
      <c r="K490" s="94"/>
      <c r="L490" s="94"/>
      <c r="M490" s="94"/>
      <c r="N490" s="94"/>
      <c r="O490" s="94"/>
      <c r="P490" s="94"/>
      <c r="Q490" s="94"/>
      <c r="R490" s="94"/>
      <c r="S490" s="94"/>
      <c r="T490" s="94"/>
      <c r="U490" s="94"/>
      <c r="V490" s="94"/>
      <c r="W490" s="94"/>
      <c r="X490" s="94"/>
      <c r="Y490" s="94"/>
      <c r="Z490" s="94"/>
    </row>
    <row r="491">
      <c r="A491" s="94"/>
      <c r="B491" s="94"/>
      <c r="C491" s="94"/>
      <c r="D491" s="94"/>
      <c r="E491" s="94"/>
      <c r="F491" s="94"/>
      <c r="G491" s="94"/>
      <c r="H491" s="94"/>
      <c r="I491" s="94"/>
      <c r="J491" s="94"/>
      <c r="K491" s="94"/>
      <c r="L491" s="94"/>
      <c r="M491" s="94"/>
      <c r="N491" s="94"/>
      <c r="O491" s="94"/>
      <c r="P491" s="94"/>
      <c r="Q491" s="94"/>
      <c r="R491" s="94"/>
      <c r="S491" s="94"/>
      <c r="T491" s="94"/>
      <c r="U491" s="94"/>
      <c r="V491" s="94"/>
      <c r="W491" s="94"/>
      <c r="X491" s="94"/>
      <c r="Y491" s="94"/>
      <c r="Z491" s="94"/>
    </row>
    <row r="492">
      <c r="A492" s="94"/>
      <c r="B492" s="94"/>
      <c r="C492" s="94"/>
      <c r="D492" s="94"/>
      <c r="E492" s="94"/>
      <c r="F492" s="94"/>
      <c r="G492" s="94"/>
      <c r="H492" s="94"/>
      <c r="I492" s="94"/>
      <c r="J492" s="94"/>
      <c r="K492" s="94"/>
      <c r="L492" s="94"/>
      <c r="M492" s="94"/>
      <c r="N492" s="94"/>
      <c r="O492" s="94"/>
      <c r="P492" s="94"/>
      <c r="Q492" s="94"/>
      <c r="R492" s="94"/>
      <c r="S492" s="94"/>
      <c r="T492" s="94"/>
      <c r="U492" s="94"/>
      <c r="V492" s="94"/>
      <c r="W492" s="94"/>
      <c r="X492" s="94"/>
      <c r="Y492" s="94"/>
      <c r="Z492" s="94"/>
    </row>
    <row r="493">
      <c r="A493" s="94"/>
      <c r="B493" s="94"/>
      <c r="C493" s="94"/>
      <c r="D493" s="94"/>
      <c r="E493" s="94"/>
      <c r="F493" s="94"/>
      <c r="G493" s="94"/>
      <c r="H493" s="94"/>
      <c r="I493" s="94"/>
      <c r="J493" s="94"/>
      <c r="K493" s="94"/>
      <c r="L493" s="94"/>
      <c r="M493" s="94"/>
      <c r="N493" s="94"/>
      <c r="O493" s="94"/>
      <c r="P493" s="94"/>
      <c r="Q493" s="94"/>
      <c r="R493" s="94"/>
      <c r="S493" s="94"/>
      <c r="T493" s="94"/>
      <c r="U493" s="94"/>
      <c r="V493" s="94"/>
      <c r="W493" s="94"/>
      <c r="X493" s="94"/>
      <c r="Y493" s="94"/>
      <c r="Z493" s="94"/>
    </row>
    <row r="494">
      <c r="A494" s="94"/>
      <c r="B494" s="94"/>
      <c r="C494" s="94"/>
      <c r="D494" s="94"/>
      <c r="E494" s="94"/>
      <c r="F494" s="94"/>
      <c r="G494" s="94"/>
      <c r="H494" s="94"/>
      <c r="I494" s="94"/>
      <c r="J494" s="94"/>
      <c r="K494" s="94"/>
      <c r="L494" s="94"/>
      <c r="M494" s="94"/>
      <c r="N494" s="94"/>
      <c r="O494" s="94"/>
      <c r="P494" s="94"/>
      <c r="Q494" s="94"/>
      <c r="R494" s="94"/>
      <c r="S494" s="94"/>
      <c r="T494" s="94"/>
      <c r="U494" s="94"/>
      <c r="V494" s="94"/>
      <c r="W494" s="94"/>
      <c r="X494" s="94"/>
      <c r="Y494" s="94"/>
      <c r="Z494" s="94"/>
    </row>
    <row r="495">
      <c r="A495" s="94"/>
      <c r="B495" s="94"/>
      <c r="C495" s="94"/>
      <c r="D495" s="94"/>
      <c r="E495" s="94"/>
      <c r="F495" s="94"/>
      <c r="G495" s="94"/>
      <c r="H495" s="94"/>
      <c r="I495" s="94"/>
      <c r="J495" s="94"/>
      <c r="K495" s="94"/>
      <c r="L495" s="94"/>
      <c r="M495" s="94"/>
      <c r="N495" s="94"/>
      <c r="O495" s="94"/>
      <c r="P495" s="94"/>
      <c r="Q495" s="94"/>
      <c r="R495" s="94"/>
      <c r="S495" s="94"/>
      <c r="T495" s="94"/>
      <c r="U495" s="94"/>
      <c r="V495" s="94"/>
      <c r="W495" s="94"/>
      <c r="X495" s="94"/>
      <c r="Y495" s="94"/>
      <c r="Z495" s="94"/>
    </row>
    <row r="496">
      <c r="A496" s="94"/>
      <c r="B496" s="94"/>
      <c r="C496" s="94"/>
      <c r="D496" s="94"/>
      <c r="E496" s="94"/>
      <c r="F496" s="94"/>
      <c r="G496" s="94"/>
      <c r="H496" s="94"/>
      <c r="I496" s="94"/>
      <c r="J496" s="94"/>
      <c r="K496" s="94"/>
      <c r="L496" s="94"/>
      <c r="M496" s="94"/>
      <c r="N496" s="94"/>
      <c r="O496" s="94"/>
      <c r="P496" s="94"/>
      <c r="Q496" s="94"/>
      <c r="R496" s="94"/>
      <c r="S496" s="94"/>
      <c r="T496" s="94"/>
      <c r="U496" s="94"/>
      <c r="V496" s="94"/>
      <c r="W496" s="94"/>
      <c r="X496" s="94"/>
      <c r="Y496" s="94"/>
      <c r="Z496" s="94"/>
    </row>
    <row r="497">
      <c r="A497" s="94"/>
      <c r="B497" s="94"/>
      <c r="C497" s="94"/>
      <c r="D497" s="94"/>
      <c r="E497" s="94"/>
      <c r="F497" s="94"/>
      <c r="G497" s="94"/>
      <c r="H497" s="94"/>
      <c r="I497" s="94"/>
      <c r="J497" s="94"/>
      <c r="K497" s="94"/>
      <c r="L497" s="94"/>
      <c r="M497" s="94"/>
      <c r="N497" s="94"/>
      <c r="O497" s="94"/>
      <c r="P497" s="94"/>
      <c r="Q497" s="94"/>
      <c r="R497" s="94"/>
      <c r="S497" s="94"/>
      <c r="T497" s="94"/>
      <c r="U497" s="94"/>
      <c r="V497" s="94"/>
      <c r="W497" s="94"/>
      <c r="X497" s="94"/>
      <c r="Y497" s="94"/>
      <c r="Z497" s="94"/>
    </row>
    <row r="498">
      <c r="A498" s="94"/>
      <c r="B498" s="94"/>
      <c r="C498" s="94"/>
      <c r="D498" s="94"/>
      <c r="E498" s="94"/>
      <c r="F498" s="94"/>
      <c r="G498" s="94"/>
      <c r="H498" s="94"/>
      <c r="I498" s="94"/>
      <c r="J498" s="94"/>
      <c r="K498" s="94"/>
      <c r="L498" s="94"/>
      <c r="M498" s="94"/>
      <c r="N498" s="94"/>
      <c r="O498" s="94"/>
      <c r="P498" s="94"/>
      <c r="Q498" s="94"/>
      <c r="R498" s="94"/>
      <c r="S498" s="94"/>
      <c r="T498" s="94"/>
      <c r="U498" s="94"/>
      <c r="V498" s="94"/>
      <c r="W498" s="94"/>
      <c r="X498" s="94"/>
      <c r="Y498" s="94"/>
      <c r="Z498" s="94"/>
    </row>
    <row r="499">
      <c r="A499" s="94"/>
      <c r="B499" s="94"/>
      <c r="C499" s="94"/>
      <c r="D499" s="94"/>
      <c r="E499" s="94"/>
      <c r="F499" s="94"/>
      <c r="G499" s="94"/>
      <c r="H499" s="94"/>
      <c r="I499" s="94"/>
      <c r="J499" s="94"/>
      <c r="K499" s="94"/>
      <c r="L499" s="94"/>
      <c r="M499" s="94"/>
      <c r="N499" s="94"/>
      <c r="O499" s="94"/>
      <c r="P499" s="94"/>
      <c r="Q499" s="94"/>
      <c r="R499" s="94"/>
      <c r="S499" s="94"/>
      <c r="T499" s="94"/>
      <c r="U499" s="94"/>
      <c r="V499" s="94"/>
      <c r="W499" s="94"/>
      <c r="X499" s="94"/>
      <c r="Y499" s="94"/>
      <c r="Z499" s="94"/>
    </row>
    <row r="500">
      <c r="A500" s="94"/>
      <c r="B500" s="94"/>
      <c r="C500" s="94"/>
      <c r="D500" s="94"/>
      <c r="E500" s="94"/>
      <c r="F500" s="94"/>
      <c r="G500" s="94"/>
      <c r="H500" s="94"/>
      <c r="I500" s="94"/>
      <c r="J500" s="94"/>
      <c r="K500" s="94"/>
      <c r="L500" s="94"/>
      <c r="M500" s="94"/>
      <c r="N500" s="94"/>
      <c r="O500" s="94"/>
      <c r="P500" s="94"/>
      <c r="Q500" s="94"/>
      <c r="R500" s="94"/>
      <c r="S500" s="94"/>
      <c r="T500" s="94"/>
      <c r="U500" s="94"/>
      <c r="V500" s="94"/>
      <c r="W500" s="94"/>
      <c r="X500" s="94"/>
      <c r="Y500" s="94"/>
      <c r="Z500" s="94"/>
    </row>
    <row r="501">
      <c r="A501" s="94"/>
      <c r="B501" s="94"/>
      <c r="C501" s="94"/>
      <c r="D501" s="94"/>
      <c r="E501" s="94"/>
      <c r="F501" s="94"/>
      <c r="G501" s="94"/>
      <c r="H501" s="94"/>
      <c r="I501" s="94"/>
      <c r="J501" s="94"/>
      <c r="K501" s="94"/>
      <c r="L501" s="94"/>
      <c r="M501" s="94"/>
      <c r="N501" s="94"/>
      <c r="O501" s="94"/>
      <c r="P501" s="94"/>
      <c r="Q501" s="94"/>
      <c r="R501" s="94"/>
      <c r="S501" s="94"/>
      <c r="T501" s="94"/>
      <c r="U501" s="94"/>
      <c r="V501" s="94"/>
      <c r="W501" s="94"/>
      <c r="X501" s="94"/>
      <c r="Y501" s="94"/>
      <c r="Z501" s="94"/>
    </row>
    <row r="502">
      <c r="A502" s="94"/>
      <c r="B502" s="94"/>
      <c r="C502" s="94"/>
      <c r="D502" s="94"/>
      <c r="E502" s="94"/>
      <c r="F502" s="94"/>
      <c r="G502" s="94"/>
      <c r="H502" s="94"/>
      <c r="I502" s="94"/>
      <c r="J502" s="94"/>
      <c r="K502" s="94"/>
      <c r="L502" s="94"/>
      <c r="M502" s="94"/>
      <c r="N502" s="94"/>
      <c r="O502" s="94"/>
      <c r="P502" s="94"/>
      <c r="Q502" s="94"/>
      <c r="R502" s="94"/>
      <c r="S502" s="94"/>
      <c r="T502" s="94"/>
      <c r="U502" s="94"/>
      <c r="V502" s="94"/>
      <c r="W502" s="94"/>
      <c r="X502" s="94"/>
      <c r="Y502" s="94"/>
      <c r="Z502" s="94"/>
    </row>
    <row r="503">
      <c r="A503" s="94"/>
      <c r="B503" s="94"/>
      <c r="C503" s="94"/>
      <c r="D503" s="94"/>
      <c r="E503" s="94"/>
      <c r="F503" s="94"/>
      <c r="G503" s="94"/>
      <c r="H503" s="94"/>
      <c r="I503" s="94"/>
      <c r="J503" s="94"/>
      <c r="K503" s="94"/>
      <c r="L503" s="94"/>
      <c r="M503" s="94"/>
      <c r="N503" s="94"/>
      <c r="O503" s="94"/>
      <c r="P503" s="94"/>
      <c r="Q503" s="94"/>
      <c r="R503" s="94"/>
      <c r="S503" s="94"/>
      <c r="T503" s="94"/>
      <c r="U503" s="94"/>
      <c r="V503" s="94"/>
      <c r="W503" s="94"/>
      <c r="X503" s="94"/>
      <c r="Y503" s="94"/>
      <c r="Z503" s="94"/>
    </row>
    <row r="504">
      <c r="A504" s="94"/>
      <c r="B504" s="94"/>
      <c r="C504" s="94"/>
      <c r="D504" s="94"/>
      <c r="E504" s="94"/>
      <c r="F504" s="94"/>
      <c r="G504" s="94"/>
      <c r="H504" s="94"/>
      <c r="I504" s="94"/>
      <c r="J504" s="94"/>
      <c r="K504" s="94"/>
      <c r="L504" s="94"/>
      <c r="M504" s="94"/>
      <c r="N504" s="94"/>
      <c r="O504" s="94"/>
      <c r="P504" s="94"/>
      <c r="Q504" s="94"/>
      <c r="R504" s="94"/>
      <c r="S504" s="94"/>
      <c r="T504" s="94"/>
      <c r="U504" s="94"/>
      <c r="V504" s="94"/>
      <c r="W504" s="94"/>
      <c r="X504" s="94"/>
      <c r="Y504" s="94"/>
      <c r="Z504" s="94"/>
    </row>
    <row r="505">
      <c r="A505" s="94"/>
      <c r="B505" s="94"/>
      <c r="C505" s="94"/>
      <c r="D505" s="94"/>
      <c r="E505" s="94"/>
      <c r="F505" s="94"/>
      <c r="G505" s="94"/>
      <c r="H505" s="94"/>
      <c r="I505" s="94"/>
      <c r="J505" s="94"/>
      <c r="K505" s="94"/>
      <c r="L505" s="94"/>
      <c r="M505" s="94"/>
      <c r="N505" s="94"/>
      <c r="O505" s="94"/>
      <c r="P505" s="94"/>
      <c r="Q505" s="94"/>
      <c r="R505" s="94"/>
      <c r="S505" s="94"/>
      <c r="T505" s="94"/>
      <c r="U505" s="94"/>
      <c r="V505" s="94"/>
      <c r="W505" s="94"/>
      <c r="X505" s="94"/>
      <c r="Y505" s="94"/>
      <c r="Z505" s="94"/>
    </row>
    <row r="506">
      <c r="A506" s="94"/>
      <c r="B506" s="94"/>
      <c r="C506" s="94"/>
      <c r="D506" s="94"/>
      <c r="E506" s="94"/>
      <c r="F506" s="94"/>
      <c r="G506" s="94"/>
      <c r="H506" s="94"/>
      <c r="I506" s="94"/>
      <c r="J506" s="94"/>
      <c r="K506" s="94"/>
      <c r="L506" s="94"/>
      <c r="M506" s="94"/>
      <c r="N506" s="94"/>
      <c r="O506" s="94"/>
      <c r="P506" s="94"/>
      <c r="Q506" s="94"/>
      <c r="R506" s="94"/>
      <c r="S506" s="94"/>
      <c r="T506" s="94"/>
      <c r="U506" s="94"/>
      <c r="V506" s="94"/>
      <c r="W506" s="94"/>
      <c r="X506" s="94"/>
      <c r="Y506" s="94"/>
      <c r="Z506" s="94"/>
    </row>
    <row r="507">
      <c r="A507" s="94"/>
      <c r="B507" s="94"/>
      <c r="C507" s="94"/>
      <c r="D507" s="94"/>
      <c r="E507" s="94"/>
      <c r="F507" s="94"/>
      <c r="G507" s="94"/>
      <c r="H507" s="94"/>
      <c r="I507" s="94"/>
      <c r="J507" s="94"/>
      <c r="K507" s="94"/>
      <c r="L507" s="94"/>
      <c r="M507" s="94"/>
      <c r="N507" s="94"/>
      <c r="O507" s="94"/>
      <c r="P507" s="94"/>
      <c r="Q507" s="94"/>
      <c r="R507" s="94"/>
      <c r="S507" s="94"/>
      <c r="T507" s="94"/>
      <c r="U507" s="94"/>
      <c r="V507" s="94"/>
      <c r="W507" s="94"/>
      <c r="X507" s="94"/>
      <c r="Y507" s="94"/>
      <c r="Z507" s="94"/>
    </row>
    <row r="508">
      <c r="A508" s="94"/>
      <c r="B508" s="94"/>
      <c r="C508" s="94"/>
      <c r="D508" s="94"/>
      <c r="E508" s="94"/>
      <c r="F508" s="94"/>
      <c r="G508" s="94"/>
      <c r="H508" s="94"/>
      <c r="I508" s="94"/>
      <c r="J508" s="94"/>
      <c r="K508" s="94"/>
      <c r="L508" s="94"/>
      <c r="M508" s="94"/>
      <c r="N508" s="94"/>
      <c r="O508" s="94"/>
      <c r="P508" s="94"/>
      <c r="Q508" s="94"/>
      <c r="R508" s="94"/>
      <c r="S508" s="94"/>
      <c r="T508" s="94"/>
      <c r="U508" s="94"/>
      <c r="V508" s="94"/>
      <c r="W508" s="94"/>
      <c r="X508" s="94"/>
      <c r="Y508" s="94"/>
      <c r="Z508" s="94"/>
    </row>
    <row r="509">
      <c r="A509" s="94"/>
      <c r="B509" s="94"/>
      <c r="C509" s="94"/>
      <c r="D509" s="94"/>
      <c r="E509" s="94"/>
      <c r="F509" s="94"/>
      <c r="G509" s="94"/>
      <c r="H509" s="94"/>
      <c r="I509" s="94"/>
      <c r="J509" s="94"/>
      <c r="K509" s="94"/>
      <c r="L509" s="94"/>
      <c r="M509" s="94"/>
      <c r="N509" s="94"/>
      <c r="O509" s="94"/>
      <c r="P509" s="94"/>
      <c r="Q509" s="94"/>
      <c r="R509" s="94"/>
      <c r="S509" s="94"/>
      <c r="T509" s="94"/>
      <c r="U509" s="94"/>
      <c r="V509" s="94"/>
      <c r="W509" s="94"/>
      <c r="X509" s="94"/>
      <c r="Y509" s="94"/>
      <c r="Z509" s="94"/>
    </row>
    <row r="510">
      <c r="A510" s="94"/>
      <c r="B510" s="94"/>
      <c r="C510" s="94"/>
      <c r="D510" s="94"/>
      <c r="E510" s="94"/>
      <c r="F510" s="94"/>
      <c r="G510" s="94"/>
      <c r="H510" s="94"/>
      <c r="I510" s="94"/>
      <c r="J510" s="94"/>
      <c r="K510" s="94"/>
      <c r="L510" s="94"/>
      <c r="M510" s="94"/>
      <c r="N510" s="94"/>
      <c r="O510" s="94"/>
      <c r="P510" s="94"/>
      <c r="Q510" s="94"/>
      <c r="R510" s="94"/>
      <c r="S510" s="94"/>
      <c r="T510" s="94"/>
      <c r="U510" s="94"/>
      <c r="V510" s="94"/>
      <c r="W510" s="94"/>
      <c r="X510" s="94"/>
      <c r="Y510" s="94"/>
      <c r="Z510" s="94"/>
    </row>
    <row r="511">
      <c r="A511" s="94"/>
      <c r="B511" s="94"/>
      <c r="C511" s="94"/>
      <c r="D511" s="94"/>
      <c r="E511" s="94"/>
      <c r="F511" s="94"/>
      <c r="G511" s="94"/>
      <c r="H511" s="94"/>
      <c r="I511" s="94"/>
      <c r="J511" s="94"/>
      <c r="K511" s="94"/>
      <c r="L511" s="94"/>
      <c r="M511" s="94"/>
      <c r="N511" s="94"/>
      <c r="O511" s="94"/>
      <c r="P511" s="94"/>
      <c r="Q511" s="94"/>
      <c r="R511" s="94"/>
      <c r="S511" s="94"/>
      <c r="T511" s="94"/>
      <c r="U511" s="94"/>
      <c r="V511" s="94"/>
      <c r="W511" s="94"/>
      <c r="X511" s="94"/>
      <c r="Y511" s="94"/>
      <c r="Z511" s="94"/>
    </row>
    <row r="512">
      <c r="A512" s="94"/>
      <c r="B512" s="94"/>
      <c r="C512" s="94"/>
      <c r="D512" s="94"/>
      <c r="E512" s="94"/>
      <c r="F512" s="94"/>
      <c r="G512" s="94"/>
      <c r="H512" s="94"/>
      <c r="I512" s="94"/>
      <c r="J512" s="94"/>
      <c r="K512" s="94"/>
      <c r="L512" s="94"/>
      <c r="M512" s="94"/>
      <c r="N512" s="94"/>
      <c r="O512" s="94"/>
      <c r="P512" s="94"/>
      <c r="Q512" s="94"/>
      <c r="R512" s="94"/>
      <c r="S512" s="94"/>
      <c r="T512" s="94"/>
      <c r="U512" s="94"/>
      <c r="V512" s="94"/>
      <c r="W512" s="94"/>
      <c r="X512" s="94"/>
      <c r="Y512" s="94"/>
      <c r="Z512" s="94"/>
    </row>
    <row r="513">
      <c r="A513" s="94"/>
      <c r="B513" s="94"/>
      <c r="C513" s="94"/>
      <c r="D513" s="94"/>
      <c r="E513" s="94"/>
      <c r="F513" s="94"/>
      <c r="G513" s="94"/>
      <c r="H513" s="94"/>
      <c r="I513" s="94"/>
      <c r="J513" s="94"/>
      <c r="K513" s="94"/>
      <c r="L513" s="94"/>
      <c r="M513" s="94"/>
      <c r="N513" s="94"/>
      <c r="O513" s="94"/>
      <c r="P513" s="94"/>
      <c r="Q513" s="94"/>
      <c r="R513" s="94"/>
      <c r="S513" s="94"/>
      <c r="T513" s="94"/>
      <c r="U513" s="94"/>
      <c r="V513" s="94"/>
      <c r="W513" s="94"/>
      <c r="X513" s="94"/>
      <c r="Y513" s="94"/>
      <c r="Z513" s="94"/>
    </row>
    <row r="514">
      <c r="A514" s="94"/>
      <c r="B514" s="94"/>
      <c r="C514" s="94"/>
      <c r="D514" s="94"/>
      <c r="E514" s="94"/>
      <c r="F514" s="94"/>
      <c r="G514" s="94"/>
      <c r="H514" s="94"/>
      <c r="I514" s="94"/>
      <c r="J514" s="94"/>
      <c r="K514" s="94"/>
      <c r="L514" s="94"/>
      <c r="M514" s="94"/>
      <c r="N514" s="94"/>
      <c r="O514" s="94"/>
      <c r="P514" s="94"/>
      <c r="Q514" s="94"/>
      <c r="R514" s="94"/>
      <c r="S514" s="94"/>
      <c r="T514" s="94"/>
      <c r="U514" s="94"/>
      <c r="V514" s="94"/>
      <c r="W514" s="94"/>
      <c r="X514" s="94"/>
      <c r="Y514" s="94"/>
      <c r="Z514" s="94"/>
    </row>
    <row r="515">
      <c r="A515" s="94"/>
      <c r="B515" s="94"/>
      <c r="C515" s="94"/>
      <c r="D515" s="94"/>
      <c r="E515" s="94"/>
      <c r="F515" s="94"/>
      <c r="G515" s="94"/>
      <c r="H515" s="94"/>
      <c r="I515" s="94"/>
      <c r="J515" s="94"/>
      <c r="K515" s="94"/>
      <c r="L515" s="94"/>
      <c r="M515" s="94"/>
      <c r="N515" s="94"/>
      <c r="O515" s="94"/>
      <c r="P515" s="94"/>
      <c r="Q515" s="94"/>
      <c r="R515" s="94"/>
      <c r="S515" s="94"/>
      <c r="T515" s="94"/>
      <c r="U515" s="94"/>
      <c r="V515" s="94"/>
      <c r="W515" s="94"/>
      <c r="X515" s="94"/>
      <c r="Y515" s="94"/>
      <c r="Z515" s="94"/>
    </row>
    <row r="516">
      <c r="A516" s="94"/>
      <c r="B516" s="94"/>
      <c r="C516" s="94"/>
      <c r="D516" s="94"/>
      <c r="E516" s="94"/>
      <c r="F516" s="94"/>
      <c r="G516" s="94"/>
      <c r="H516" s="94"/>
      <c r="I516" s="94"/>
      <c r="J516" s="94"/>
      <c r="K516" s="94"/>
      <c r="L516" s="94"/>
      <c r="M516" s="94"/>
      <c r="N516" s="94"/>
      <c r="O516" s="94"/>
      <c r="P516" s="94"/>
      <c r="Q516" s="94"/>
      <c r="R516" s="94"/>
      <c r="S516" s="94"/>
      <c r="T516" s="94"/>
      <c r="U516" s="94"/>
      <c r="V516" s="94"/>
      <c r="W516" s="94"/>
      <c r="X516" s="94"/>
      <c r="Y516" s="94"/>
      <c r="Z516" s="94"/>
    </row>
    <row r="517">
      <c r="A517" s="94"/>
      <c r="B517" s="94"/>
      <c r="C517" s="94"/>
      <c r="D517" s="94"/>
      <c r="E517" s="94"/>
      <c r="F517" s="94"/>
      <c r="G517" s="94"/>
      <c r="H517" s="94"/>
      <c r="I517" s="94"/>
      <c r="J517" s="94"/>
      <c r="K517" s="94"/>
      <c r="L517" s="94"/>
      <c r="M517" s="94"/>
      <c r="N517" s="94"/>
      <c r="O517" s="94"/>
      <c r="P517" s="94"/>
      <c r="Q517" s="94"/>
      <c r="R517" s="94"/>
      <c r="S517" s="94"/>
      <c r="T517" s="94"/>
      <c r="U517" s="94"/>
      <c r="V517" s="94"/>
      <c r="W517" s="94"/>
      <c r="X517" s="94"/>
      <c r="Y517" s="94"/>
      <c r="Z517" s="94"/>
    </row>
    <row r="518">
      <c r="A518" s="94"/>
      <c r="B518" s="94"/>
      <c r="C518" s="94"/>
      <c r="D518" s="94"/>
      <c r="E518" s="94"/>
      <c r="F518" s="94"/>
      <c r="G518" s="94"/>
      <c r="H518" s="94"/>
      <c r="I518" s="94"/>
      <c r="J518" s="94"/>
      <c r="K518" s="94"/>
      <c r="L518" s="94"/>
      <c r="M518" s="94"/>
      <c r="N518" s="94"/>
      <c r="O518" s="94"/>
      <c r="P518" s="94"/>
      <c r="Q518" s="94"/>
      <c r="R518" s="94"/>
      <c r="S518" s="94"/>
      <c r="T518" s="94"/>
      <c r="U518" s="94"/>
      <c r="V518" s="94"/>
      <c r="W518" s="94"/>
      <c r="X518" s="94"/>
      <c r="Y518" s="94"/>
      <c r="Z518" s="94"/>
    </row>
    <row r="519">
      <c r="A519" s="94"/>
      <c r="B519" s="94"/>
      <c r="C519" s="94"/>
      <c r="D519" s="94"/>
      <c r="E519" s="94"/>
      <c r="F519" s="94"/>
      <c r="G519" s="94"/>
      <c r="H519" s="94"/>
      <c r="I519" s="94"/>
      <c r="J519" s="94"/>
      <c r="K519" s="94"/>
      <c r="L519" s="94"/>
      <c r="M519" s="94"/>
      <c r="N519" s="94"/>
      <c r="O519" s="94"/>
      <c r="P519" s="94"/>
      <c r="Q519" s="94"/>
      <c r="R519" s="94"/>
      <c r="S519" s="94"/>
      <c r="T519" s="94"/>
      <c r="U519" s="94"/>
      <c r="V519" s="94"/>
      <c r="W519" s="94"/>
      <c r="X519" s="94"/>
      <c r="Y519" s="94"/>
      <c r="Z519" s="94"/>
    </row>
    <row r="520">
      <c r="A520" s="94"/>
      <c r="B520" s="94"/>
      <c r="C520" s="94"/>
      <c r="D520" s="94"/>
      <c r="E520" s="94"/>
      <c r="F520" s="94"/>
      <c r="G520" s="94"/>
      <c r="H520" s="94"/>
      <c r="I520" s="94"/>
      <c r="J520" s="94"/>
      <c r="K520" s="94"/>
      <c r="L520" s="94"/>
      <c r="M520" s="94"/>
      <c r="N520" s="94"/>
      <c r="O520" s="94"/>
      <c r="P520" s="94"/>
      <c r="Q520" s="94"/>
      <c r="R520" s="94"/>
      <c r="S520" s="94"/>
      <c r="T520" s="94"/>
      <c r="U520" s="94"/>
      <c r="V520" s="94"/>
      <c r="W520" s="94"/>
      <c r="X520" s="94"/>
      <c r="Y520" s="94"/>
      <c r="Z520" s="94"/>
    </row>
    <row r="521">
      <c r="A521" s="94"/>
      <c r="B521" s="94"/>
      <c r="C521" s="94"/>
      <c r="D521" s="94"/>
      <c r="E521" s="94"/>
      <c r="F521" s="94"/>
      <c r="G521" s="94"/>
      <c r="H521" s="94"/>
      <c r="I521" s="94"/>
      <c r="J521" s="94"/>
      <c r="K521" s="94"/>
      <c r="L521" s="94"/>
      <c r="M521" s="94"/>
      <c r="N521" s="94"/>
      <c r="O521" s="94"/>
      <c r="P521" s="94"/>
      <c r="Q521" s="94"/>
      <c r="R521" s="94"/>
      <c r="S521" s="94"/>
      <c r="T521" s="94"/>
      <c r="U521" s="94"/>
      <c r="V521" s="94"/>
      <c r="W521" s="94"/>
      <c r="X521" s="94"/>
      <c r="Y521" s="94"/>
      <c r="Z521" s="94"/>
    </row>
    <row r="522">
      <c r="A522" s="94"/>
      <c r="B522" s="94"/>
      <c r="C522" s="94"/>
      <c r="D522" s="94"/>
      <c r="E522" s="94"/>
      <c r="F522" s="94"/>
      <c r="G522" s="94"/>
      <c r="H522" s="94"/>
      <c r="I522" s="94"/>
      <c r="J522" s="94"/>
      <c r="K522" s="94"/>
      <c r="L522" s="94"/>
      <c r="M522" s="94"/>
      <c r="N522" s="94"/>
      <c r="O522" s="94"/>
      <c r="P522" s="94"/>
      <c r="Q522" s="94"/>
      <c r="R522" s="94"/>
      <c r="S522" s="94"/>
      <c r="T522" s="94"/>
      <c r="U522" s="94"/>
      <c r="V522" s="94"/>
      <c r="W522" s="94"/>
      <c r="X522" s="94"/>
      <c r="Y522" s="94"/>
      <c r="Z522" s="94"/>
    </row>
    <row r="523">
      <c r="A523" s="94"/>
      <c r="B523" s="94"/>
      <c r="C523" s="94"/>
      <c r="D523" s="94"/>
      <c r="E523" s="94"/>
      <c r="F523" s="94"/>
      <c r="G523" s="94"/>
      <c r="H523" s="94"/>
      <c r="I523" s="94"/>
      <c r="J523" s="94"/>
      <c r="K523" s="94"/>
      <c r="L523" s="94"/>
      <c r="M523" s="94"/>
      <c r="N523" s="94"/>
      <c r="O523" s="94"/>
      <c r="P523" s="94"/>
      <c r="Q523" s="94"/>
      <c r="R523" s="94"/>
      <c r="S523" s="94"/>
      <c r="T523" s="94"/>
      <c r="U523" s="94"/>
      <c r="V523" s="94"/>
      <c r="W523" s="94"/>
      <c r="X523" s="94"/>
      <c r="Y523" s="94"/>
      <c r="Z523" s="94"/>
    </row>
    <row r="524">
      <c r="A524" s="94"/>
      <c r="B524" s="94"/>
      <c r="C524" s="94"/>
      <c r="D524" s="94"/>
      <c r="E524" s="94"/>
      <c r="F524" s="94"/>
      <c r="G524" s="94"/>
      <c r="H524" s="94"/>
      <c r="I524" s="94"/>
      <c r="J524" s="94"/>
      <c r="K524" s="94"/>
      <c r="L524" s="94"/>
      <c r="M524" s="94"/>
      <c r="N524" s="94"/>
      <c r="O524" s="94"/>
      <c r="P524" s="94"/>
      <c r="Q524" s="94"/>
      <c r="R524" s="94"/>
      <c r="S524" s="94"/>
      <c r="T524" s="94"/>
      <c r="U524" s="94"/>
      <c r="V524" s="94"/>
      <c r="W524" s="94"/>
      <c r="X524" s="94"/>
      <c r="Y524" s="94"/>
      <c r="Z524" s="94"/>
    </row>
    <row r="525">
      <c r="A525" s="94"/>
      <c r="B525" s="94"/>
      <c r="C525" s="94"/>
      <c r="D525" s="94"/>
      <c r="E525" s="94"/>
      <c r="F525" s="94"/>
      <c r="G525" s="94"/>
      <c r="H525" s="94"/>
      <c r="I525" s="94"/>
      <c r="J525" s="94"/>
      <c r="K525" s="94"/>
      <c r="L525" s="94"/>
      <c r="M525" s="94"/>
      <c r="N525" s="94"/>
      <c r="O525" s="94"/>
      <c r="P525" s="94"/>
      <c r="Q525" s="94"/>
      <c r="R525" s="94"/>
      <c r="S525" s="94"/>
      <c r="T525" s="94"/>
      <c r="U525" s="94"/>
      <c r="V525" s="94"/>
      <c r="W525" s="94"/>
      <c r="X525" s="94"/>
      <c r="Y525" s="94"/>
      <c r="Z525" s="94"/>
    </row>
    <row r="526">
      <c r="A526" s="94"/>
      <c r="B526" s="94"/>
      <c r="C526" s="94"/>
      <c r="D526" s="94"/>
      <c r="E526" s="94"/>
      <c r="F526" s="94"/>
      <c r="G526" s="94"/>
      <c r="H526" s="94"/>
      <c r="I526" s="94"/>
      <c r="J526" s="94"/>
      <c r="K526" s="94"/>
      <c r="L526" s="94"/>
      <c r="M526" s="94"/>
      <c r="N526" s="94"/>
      <c r="O526" s="94"/>
      <c r="P526" s="94"/>
      <c r="Q526" s="94"/>
      <c r="R526" s="94"/>
      <c r="S526" s="94"/>
      <c r="T526" s="94"/>
      <c r="U526" s="94"/>
      <c r="V526" s="94"/>
      <c r="W526" s="94"/>
      <c r="X526" s="94"/>
      <c r="Y526" s="94"/>
      <c r="Z526" s="94"/>
    </row>
    <row r="527">
      <c r="A527" s="94"/>
      <c r="B527" s="94"/>
      <c r="C527" s="94"/>
      <c r="D527" s="94"/>
      <c r="E527" s="94"/>
      <c r="F527" s="94"/>
      <c r="G527" s="94"/>
      <c r="H527" s="94"/>
      <c r="I527" s="94"/>
      <c r="J527" s="94"/>
      <c r="K527" s="94"/>
      <c r="L527" s="94"/>
      <c r="M527" s="94"/>
      <c r="N527" s="94"/>
      <c r="O527" s="94"/>
      <c r="P527" s="94"/>
      <c r="Q527" s="94"/>
      <c r="R527" s="94"/>
      <c r="S527" s="94"/>
      <c r="T527" s="94"/>
      <c r="U527" s="94"/>
      <c r="V527" s="94"/>
      <c r="W527" s="94"/>
      <c r="X527" s="94"/>
      <c r="Y527" s="94"/>
      <c r="Z527" s="94"/>
    </row>
    <row r="528">
      <c r="A528" s="94"/>
      <c r="B528" s="94"/>
      <c r="C528" s="94"/>
      <c r="D528" s="94"/>
      <c r="E528" s="94"/>
      <c r="F528" s="94"/>
      <c r="G528" s="94"/>
      <c r="H528" s="94"/>
      <c r="I528" s="94"/>
      <c r="J528" s="94"/>
      <c r="K528" s="94"/>
      <c r="L528" s="94"/>
      <c r="M528" s="94"/>
      <c r="N528" s="94"/>
      <c r="O528" s="94"/>
      <c r="P528" s="94"/>
      <c r="Q528" s="94"/>
      <c r="R528" s="94"/>
      <c r="S528" s="94"/>
      <c r="T528" s="94"/>
      <c r="U528" s="94"/>
      <c r="V528" s="94"/>
      <c r="W528" s="94"/>
      <c r="X528" s="94"/>
      <c r="Y528" s="94"/>
      <c r="Z528" s="94"/>
    </row>
    <row r="529">
      <c r="A529" s="94"/>
      <c r="B529" s="94"/>
      <c r="C529" s="94"/>
      <c r="D529" s="94"/>
      <c r="E529" s="94"/>
      <c r="F529" s="94"/>
      <c r="G529" s="94"/>
      <c r="H529" s="94"/>
      <c r="I529" s="94"/>
      <c r="J529" s="94"/>
      <c r="K529" s="94"/>
      <c r="L529" s="94"/>
      <c r="M529" s="94"/>
      <c r="N529" s="94"/>
      <c r="O529" s="94"/>
      <c r="P529" s="94"/>
      <c r="Q529" s="94"/>
      <c r="R529" s="94"/>
      <c r="S529" s="94"/>
      <c r="T529" s="94"/>
      <c r="U529" s="94"/>
      <c r="V529" s="94"/>
      <c r="W529" s="94"/>
      <c r="X529" s="94"/>
      <c r="Y529" s="94"/>
      <c r="Z529" s="94"/>
    </row>
    <row r="530">
      <c r="A530" s="94"/>
      <c r="B530" s="94"/>
      <c r="C530" s="94"/>
      <c r="D530" s="94"/>
      <c r="E530" s="94"/>
      <c r="F530" s="94"/>
      <c r="G530" s="94"/>
      <c r="H530" s="94"/>
      <c r="I530" s="94"/>
      <c r="J530" s="94"/>
      <c r="K530" s="94"/>
      <c r="L530" s="94"/>
      <c r="M530" s="94"/>
      <c r="N530" s="94"/>
      <c r="O530" s="94"/>
      <c r="P530" s="94"/>
      <c r="Q530" s="94"/>
      <c r="R530" s="94"/>
      <c r="S530" s="94"/>
      <c r="T530" s="94"/>
      <c r="U530" s="94"/>
      <c r="V530" s="94"/>
      <c r="W530" s="94"/>
      <c r="X530" s="94"/>
      <c r="Y530" s="94"/>
      <c r="Z530" s="94"/>
    </row>
    <row r="531">
      <c r="A531" s="94"/>
      <c r="B531" s="94"/>
      <c r="C531" s="94"/>
      <c r="D531" s="94"/>
      <c r="E531" s="94"/>
      <c r="F531" s="94"/>
      <c r="G531" s="94"/>
      <c r="H531" s="94"/>
      <c r="I531" s="94"/>
      <c r="J531" s="94"/>
      <c r="K531" s="94"/>
      <c r="L531" s="94"/>
      <c r="M531" s="94"/>
      <c r="N531" s="94"/>
      <c r="O531" s="94"/>
      <c r="P531" s="94"/>
      <c r="Q531" s="94"/>
      <c r="R531" s="94"/>
      <c r="S531" s="94"/>
      <c r="T531" s="94"/>
      <c r="U531" s="94"/>
      <c r="V531" s="94"/>
      <c r="W531" s="94"/>
      <c r="X531" s="94"/>
      <c r="Y531" s="94"/>
      <c r="Z531" s="94"/>
    </row>
    <row r="532">
      <c r="A532" s="94"/>
      <c r="B532" s="94"/>
      <c r="C532" s="94"/>
      <c r="D532" s="94"/>
      <c r="E532" s="94"/>
      <c r="F532" s="94"/>
      <c r="G532" s="94"/>
      <c r="H532" s="94"/>
      <c r="I532" s="94"/>
      <c r="J532" s="94"/>
      <c r="K532" s="94"/>
      <c r="L532" s="94"/>
      <c r="M532" s="94"/>
      <c r="N532" s="94"/>
      <c r="O532" s="94"/>
      <c r="P532" s="94"/>
      <c r="Q532" s="94"/>
      <c r="R532" s="94"/>
      <c r="S532" s="94"/>
      <c r="T532" s="94"/>
      <c r="U532" s="94"/>
      <c r="V532" s="94"/>
      <c r="W532" s="94"/>
      <c r="X532" s="94"/>
      <c r="Y532" s="94"/>
      <c r="Z532" s="94"/>
    </row>
    <row r="533">
      <c r="A533" s="94"/>
      <c r="B533" s="94"/>
      <c r="C533" s="94"/>
      <c r="D533" s="94"/>
      <c r="E533" s="94"/>
      <c r="F533" s="94"/>
      <c r="G533" s="94"/>
      <c r="H533" s="94"/>
      <c r="I533" s="94"/>
      <c r="J533" s="94"/>
      <c r="K533" s="94"/>
      <c r="L533" s="94"/>
      <c r="M533" s="94"/>
      <c r="N533" s="94"/>
      <c r="O533" s="94"/>
      <c r="P533" s="94"/>
      <c r="Q533" s="94"/>
      <c r="R533" s="94"/>
      <c r="S533" s="94"/>
      <c r="T533" s="94"/>
      <c r="U533" s="94"/>
      <c r="V533" s="94"/>
      <c r="W533" s="94"/>
      <c r="X533" s="94"/>
      <c r="Y533" s="94"/>
      <c r="Z533" s="94"/>
    </row>
    <row r="534">
      <c r="A534" s="94"/>
      <c r="B534" s="94"/>
      <c r="C534" s="94"/>
      <c r="D534" s="94"/>
      <c r="E534" s="94"/>
      <c r="F534" s="94"/>
      <c r="G534" s="94"/>
      <c r="H534" s="94"/>
      <c r="I534" s="94"/>
      <c r="J534" s="94"/>
      <c r="K534" s="94"/>
      <c r="L534" s="94"/>
      <c r="M534" s="94"/>
      <c r="N534" s="94"/>
      <c r="O534" s="94"/>
      <c r="P534" s="94"/>
      <c r="Q534" s="94"/>
      <c r="R534" s="94"/>
      <c r="S534" s="94"/>
      <c r="T534" s="94"/>
      <c r="U534" s="94"/>
      <c r="V534" s="94"/>
      <c r="W534" s="94"/>
      <c r="X534" s="94"/>
      <c r="Y534" s="94"/>
      <c r="Z534" s="94"/>
    </row>
    <row r="535">
      <c r="A535" s="94"/>
      <c r="B535" s="94"/>
      <c r="C535" s="94"/>
      <c r="D535" s="94"/>
      <c r="E535" s="94"/>
      <c r="F535" s="94"/>
      <c r="G535" s="94"/>
      <c r="H535" s="94"/>
      <c r="I535" s="94"/>
      <c r="J535" s="94"/>
      <c r="K535" s="94"/>
      <c r="L535" s="94"/>
      <c r="M535" s="94"/>
      <c r="N535" s="94"/>
      <c r="O535" s="94"/>
      <c r="P535" s="94"/>
      <c r="Q535" s="94"/>
      <c r="R535" s="94"/>
      <c r="S535" s="94"/>
      <c r="T535" s="94"/>
      <c r="U535" s="94"/>
      <c r="V535" s="94"/>
      <c r="W535" s="94"/>
      <c r="X535" s="94"/>
      <c r="Y535" s="94"/>
      <c r="Z535" s="94"/>
    </row>
    <row r="536">
      <c r="A536" s="94"/>
      <c r="B536" s="94"/>
      <c r="C536" s="94"/>
      <c r="D536" s="94"/>
      <c r="E536" s="94"/>
      <c r="F536" s="94"/>
      <c r="G536" s="94"/>
      <c r="H536" s="94"/>
      <c r="I536" s="94"/>
      <c r="J536" s="94"/>
      <c r="K536" s="94"/>
      <c r="L536" s="94"/>
      <c r="M536" s="94"/>
      <c r="N536" s="94"/>
      <c r="O536" s="94"/>
      <c r="P536" s="94"/>
      <c r="Q536" s="94"/>
      <c r="R536" s="94"/>
      <c r="S536" s="94"/>
      <c r="T536" s="94"/>
      <c r="U536" s="94"/>
      <c r="V536" s="94"/>
      <c r="W536" s="94"/>
      <c r="X536" s="94"/>
      <c r="Y536" s="94"/>
      <c r="Z536" s="94"/>
    </row>
    <row r="537">
      <c r="A537" s="94"/>
      <c r="B537" s="94"/>
      <c r="C537" s="94"/>
      <c r="D537" s="94"/>
      <c r="E537" s="94"/>
      <c r="F537" s="94"/>
      <c r="G537" s="94"/>
      <c r="H537" s="94"/>
      <c r="I537" s="94"/>
      <c r="J537" s="94"/>
      <c r="K537" s="94"/>
      <c r="L537" s="94"/>
      <c r="M537" s="94"/>
      <c r="N537" s="94"/>
      <c r="O537" s="94"/>
      <c r="P537" s="94"/>
      <c r="Q537" s="94"/>
      <c r="R537" s="94"/>
      <c r="S537" s="94"/>
      <c r="T537" s="94"/>
      <c r="U537" s="94"/>
      <c r="V537" s="94"/>
      <c r="W537" s="94"/>
      <c r="X537" s="94"/>
      <c r="Y537" s="94"/>
      <c r="Z537" s="94"/>
    </row>
    <row r="538">
      <c r="A538" s="94"/>
      <c r="B538" s="94"/>
      <c r="C538" s="94"/>
      <c r="D538" s="94"/>
      <c r="E538" s="94"/>
      <c r="F538" s="94"/>
      <c r="G538" s="94"/>
      <c r="H538" s="94"/>
      <c r="I538" s="94"/>
      <c r="J538" s="94"/>
      <c r="K538" s="94"/>
      <c r="L538" s="94"/>
      <c r="M538" s="94"/>
      <c r="N538" s="94"/>
      <c r="O538" s="94"/>
      <c r="P538" s="94"/>
      <c r="Q538" s="94"/>
      <c r="R538" s="94"/>
      <c r="S538" s="94"/>
      <c r="T538" s="94"/>
      <c r="U538" s="94"/>
      <c r="V538" s="94"/>
      <c r="W538" s="94"/>
      <c r="X538" s="94"/>
      <c r="Y538" s="94"/>
      <c r="Z538" s="94"/>
    </row>
    <row r="539">
      <c r="A539" s="94"/>
      <c r="B539" s="94"/>
      <c r="C539" s="94"/>
      <c r="D539" s="94"/>
      <c r="E539" s="94"/>
      <c r="F539" s="94"/>
      <c r="G539" s="94"/>
      <c r="H539" s="94"/>
      <c r="I539" s="94"/>
      <c r="J539" s="94"/>
      <c r="K539" s="94"/>
      <c r="L539" s="94"/>
      <c r="M539" s="94"/>
      <c r="N539" s="94"/>
      <c r="O539" s="94"/>
      <c r="P539" s="94"/>
      <c r="Q539" s="94"/>
      <c r="R539" s="94"/>
      <c r="S539" s="94"/>
      <c r="T539" s="94"/>
      <c r="U539" s="94"/>
      <c r="V539" s="94"/>
      <c r="W539" s="94"/>
      <c r="X539" s="94"/>
      <c r="Y539" s="94"/>
      <c r="Z539" s="94"/>
    </row>
    <row r="540">
      <c r="A540" s="94"/>
      <c r="B540" s="94"/>
      <c r="C540" s="94"/>
      <c r="D540" s="94"/>
      <c r="E540" s="94"/>
      <c r="F540" s="94"/>
      <c r="G540" s="94"/>
      <c r="H540" s="94"/>
      <c r="I540" s="94"/>
      <c r="J540" s="94"/>
      <c r="K540" s="94"/>
      <c r="L540" s="94"/>
      <c r="M540" s="94"/>
      <c r="N540" s="94"/>
      <c r="O540" s="94"/>
      <c r="P540" s="94"/>
      <c r="Q540" s="94"/>
      <c r="R540" s="94"/>
      <c r="S540" s="94"/>
      <c r="T540" s="94"/>
      <c r="U540" s="94"/>
      <c r="V540" s="94"/>
      <c r="W540" s="94"/>
      <c r="X540" s="94"/>
      <c r="Y540" s="94"/>
      <c r="Z540" s="94"/>
    </row>
    <row r="541">
      <c r="A541" s="94"/>
      <c r="B541" s="94"/>
      <c r="C541" s="94"/>
      <c r="D541" s="94"/>
      <c r="E541" s="94"/>
      <c r="F541" s="94"/>
      <c r="G541" s="94"/>
      <c r="H541" s="94"/>
      <c r="I541" s="94"/>
      <c r="J541" s="94"/>
      <c r="K541" s="94"/>
      <c r="L541" s="94"/>
      <c r="M541" s="94"/>
      <c r="N541" s="94"/>
      <c r="O541" s="94"/>
      <c r="P541" s="94"/>
      <c r="Q541" s="94"/>
      <c r="R541" s="94"/>
      <c r="S541" s="94"/>
      <c r="T541" s="94"/>
      <c r="U541" s="94"/>
      <c r="V541" s="94"/>
      <c r="W541" s="94"/>
      <c r="X541" s="94"/>
      <c r="Y541" s="94"/>
      <c r="Z541" s="94"/>
    </row>
    <row r="542">
      <c r="A542" s="94"/>
      <c r="B542" s="94"/>
      <c r="C542" s="94"/>
      <c r="D542" s="94"/>
      <c r="E542" s="94"/>
      <c r="F542" s="94"/>
      <c r="G542" s="94"/>
      <c r="H542" s="94"/>
      <c r="I542" s="94"/>
      <c r="J542" s="94"/>
      <c r="K542" s="94"/>
      <c r="L542" s="94"/>
      <c r="M542" s="94"/>
      <c r="N542" s="94"/>
      <c r="O542" s="94"/>
      <c r="P542" s="94"/>
      <c r="Q542" s="94"/>
      <c r="R542" s="94"/>
      <c r="S542" s="94"/>
      <c r="T542" s="94"/>
      <c r="U542" s="94"/>
      <c r="V542" s="94"/>
      <c r="W542" s="94"/>
      <c r="X542" s="94"/>
      <c r="Y542" s="94"/>
      <c r="Z542" s="94"/>
    </row>
    <row r="543">
      <c r="A543" s="94"/>
      <c r="B543" s="94"/>
      <c r="C543" s="94"/>
      <c r="D543" s="94"/>
      <c r="E543" s="94"/>
      <c r="F543" s="94"/>
      <c r="G543" s="94"/>
      <c r="H543" s="94"/>
      <c r="I543" s="94"/>
      <c r="J543" s="94"/>
      <c r="K543" s="94"/>
      <c r="L543" s="94"/>
      <c r="M543" s="94"/>
      <c r="N543" s="94"/>
      <c r="O543" s="94"/>
      <c r="P543" s="94"/>
      <c r="Q543" s="94"/>
      <c r="R543" s="94"/>
      <c r="S543" s="94"/>
      <c r="T543" s="94"/>
      <c r="U543" s="94"/>
      <c r="V543" s="94"/>
      <c r="W543" s="94"/>
      <c r="X543" s="94"/>
      <c r="Y543" s="94"/>
      <c r="Z543" s="94"/>
    </row>
    <row r="544">
      <c r="A544" s="94"/>
      <c r="B544" s="94"/>
      <c r="C544" s="94"/>
      <c r="D544" s="94"/>
      <c r="E544" s="94"/>
      <c r="F544" s="94"/>
      <c r="G544" s="94"/>
      <c r="H544" s="94"/>
      <c r="I544" s="94"/>
      <c r="J544" s="94"/>
      <c r="K544" s="94"/>
      <c r="L544" s="94"/>
      <c r="M544" s="94"/>
      <c r="N544" s="94"/>
      <c r="O544" s="94"/>
      <c r="P544" s="94"/>
      <c r="Q544" s="94"/>
      <c r="R544" s="94"/>
      <c r="S544" s="94"/>
      <c r="T544" s="94"/>
      <c r="U544" s="94"/>
      <c r="V544" s="94"/>
      <c r="W544" s="94"/>
      <c r="X544" s="94"/>
      <c r="Y544" s="94"/>
      <c r="Z544" s="94"/>
    </row>
    <row r="545">
      <c r="A545" s="94"/>
      <c r="B545" s="94"/>
      <c r="C545" s="94"/>
      <c r="D545" s="94"/>
      <c r="E545" s="94"/>
      <c r="F545" s="94"/>
      <c r="G545" s="94"/>
      <c r="H545" s="94"/>
      <c r="I545" s="94"/>
      <c r="J545" s="94"/>
      <c r="K545" s="94"/>
      <c r="L545" s="94"/>
      <c r="M545" s="94"/>
      <c r="N545" s="94"/>
      <c r="O545" s="94"/>
      <c r="P545" s="94"/>
      <c r="Q545" s="94"/>
      <c r="R545" s="94"/>
      <c r="S545" s="94"/>
      <c r="T545" s="94"/>
      <c r="U545" s="94"/>
      <c r="V545" s="94"/>
      <c r="W545" s="94"/>
      <c r="X545" s="94"/>
      <c r="Y545" s="94"/>
      <c r="Z545" s="94"/>
    </row>
    <row r="546">
      <c r="A546" s="94"/>
      <c r="B546" s="94"/>
      <c r="C546" s="94"/>
      <c r="D546" s="94"/>
      <c r="E546" s="94"/>
      <c r="F546" s="94"/>
      <c r="G546" s="94"/>
      <c r="H546" s="94"/>
      <c r="I546" s="94"/>
      <c r="J546" s="94"/>
      <c r="K546" s="94"/>
      <c r="L546" s="94"/>
      <c r="M546" s="94"/>
      <c r="N546" s="94"/>
      <c r="O546" s="94"/>
      <c r="P546" s="94"/>
      <c r="Q546" s="94"/>
      <c r="R546" s="94"/>
      <c r="S546" s="94"/>
      <c r="T546" s="94"/>
      <c r="U546" s="94"/>
      <c r="V546" s="94"/>
      <c r="W546" s="94"/>
      <c r="X546" s="94"/>
      <c r="Y546" s="94"/>
      <c r="Z546" s="94"/>
    </row>
    <row r="547">
      <c r="A547" s="94"/>
      <c r="B547" s="94"/>
      <c r="C547" s="94"/>
      <c r="D547" s="94"/>
      <c r="E547" s="94"/>
      <c r="F547" s="94"/>
      <c r="G547" s="94"/>
      <c r="H547" s="94"/>
      <c r="I547" s="94"/>
      <c r="J547" s="94"/>
      <c r="K547" s="94"/>
      <c r="L547" s="94"/>
      <c r="M547" s="94"/>
      <c r="N547" s="94"/>
      <c r="O547" s="94"/>
      <c r="P547" s="94"/>
      <c r="Q547" s="94"/>
      <c r="R547" s="94"/>
      <c r="S547" s="94"/>
      <c r="T547" s="94"/>
      <c r="U547" s="94"/>
      <c r="V547" s="94"/>
      <c r="W547" s="94"/>
      <c r="X547" s="94"/>
      <c r="Y547" s="94"/>
      <c r="Z547" s="94"/>
    </row>
    <row r="548">
      <c r="A548" s="94"/>
      <c r="B548" s="94"/>
      <c r="C548" s="94"/>
      <c r="D548" s="94"/>
      <c r="E548" s="94"/>
      <c r="F548" s="94"/>
      <c r="G548" s="94"/>
      <c r="H548" s="94"/>
      <c r="I548" s="94"/>
      <c r="J548" s="94"/>
      <c r="K548" s="94"/>
      <c r="L548" s="94"/>
      <c r="M548" s="94"/>
      <c r="N548" s="94"/>
      <c r="O548" s="94"/>
      <c r="P548" s="94"/>
      <c r="Q548" s="94"/>
      <c r="R548" s="94"/>
      <c r="S548" s="94"/>
      <c r="T548" s="94"/>
      <c r="U548" s="94"/>
      <c r="V548" s="94"/>
      <c r="W548" s="94"/>
      <c r="X548" s="94"/>
      <c r="Y548" s="94"/>
      <c r="Z548" s="94"/>
    </row>
    <row r="549">
      <c r="A549" s="94"/>
      <c r="B549" s="94"/>
      <c r="C549" s="94"/>
      <c r="D549" s="94"/>
      <c r="E549" s="94"/>
      <c r="F549" s="94"/>
      <c r="G549" s="94"/>
      <c r="H549" s="94"/>
      <c r="I549" s="94"/>
      <c r="J549" s="94"/>
      <c r="K549" s="94"/>
      <c r="L549" s="94"/>
      <c r="M549" s="94"/>
      <c r="N549" s="94"/>
      <c r="O549" s="94"/>
      <c r="P549" s="94"/>
      <c r="Q549" s="94"/>
      <c r="R549" s="94"/>
      <c r="S549" s="94"/>
      <c r="T549" s="94"/>
      <c r="U549" s="94"/>
      <c r="V549" s="94"/>
      <c r="W549" s="94"/>
      <c r="X549" s="94"/>
      <c r="Y549" s="94"/>
      <c r="Z549" s="94"/>
    </row>
    <row r="550">
      <c r="A550" s="94"/>
      <c r="B550" s="94"/>
      <c r="C550" s="94"/>
      <c r="D550" s="94"/>
      <c r="E550" s="94"/>
      <c r="F550" s="94"/>
      <c r="G550" s="94"/>
      <c r="H550" s="94"/>
      <c r="I550" s="94"/>
      <c r="J550" s="94"/>
      <c r="K550" s="94"/>
      <c r="L550" s="94"/>
      <c r="M550" s="94"/>
      <c r="N550" s="94"/>
      <c r="O550" s="94"/>
      <c r="P550" s="94"/>
      <c r="Q550" s="94"/>
      <c r="R550" s="94"/>
      <c r="S550" s="94"/>
      <c r="T550" s="94"/>
      <c r="U550" s="94"/>
      <c r="V550" s="94"/>
      <c r="W550" s="94"/>
      <c r="X550" s="94"/>
      <c r="Y550" s="94"/>
      <c r="Z550" s="94"/>
    </row>
    <row r="551">
      <c r="A551" s="94"/>
      <c r="B551" s="94"/>
      <c r="C551" s="94"/>
      <c r="D551" s="94"/>
      <c r="E551" s="94"/>
      <c r="F551" s="94"/>
      <c r="G551" s="94"/>
      <c r="H551" s="94"/>
      <c r="I551" s="94"/>
      <c r="J551" s="94"/>
      <c r="K551" s="94"/>
      <c r="L551" s="94"/>
      <c r="M551" s="94"/>
      <c r="N551" s="94"/>
      <c r="O551" s="94"/>
      <c r="P551" s="94"/>
      <c r="Q551" s="94"/>
      <c r="R551" s="94"/>
      <c r="S551" s="94"/>
      <c r="T551" s="94"/>
      <c r="U551" s="94"/>
      <c r="V551" s="94"/>
      <c r="W551" s="94"/>
      <c r="X551" s="94"/>
      <c r="Y551" s="94"/>
      <c r="Z551" s="94"/>
    </row>
    <row r="552">
      <c r="A552" s="94"/>
      <c r="B552" s="94"/>
      <c r="C552" s="94"/>
      <c r="D552" s="94"/>
      <c r="E552" s="94"/>
      <c r="F552" s="94"/>
      <c r="G552" s="94"/>
      <c r="H552" s="94"/>
      <c r="I552" s="94"/>
      <c r="J552" s="94"/>
      <c r="K552" s="94"/>
      <c r="L552" s="94"/>
      <c r="M552" s="94"/>
      <c r="N552" s="94"/>
      <c r="O552" s="94"/>
      <c r="P552" s="94"/>
      <c r="Q552" s="94"/>
      <c r="R552" s="94"/>
      <c r="S552" s="94"/>
      <c r="T552" s="94"/>
      <c r="U552" s="94"/>
      <c r="V552" s="94"/>
      <c r="W552" s="94"/>
      <c r="X552" s="94"/>
      <c r="Y552" s="94"/>
      <c r="Z552" s="94"/>
    </row>
    <row r="553">
      <c r="A553" s="94"/>
      <c r="B553" s="94"/>
      <c r="C553" s="94"/>
      <c r="D553" s="94"/>
      <c r="E553" s="94"/>
      <c r="F553" s="94"/>
      <c r="G553" s="94"/>
      <c r="H553" s="94"/>
      <c r="I553" s="94"/>
      <c r="J553" s="94"/>
      <c r="K553" s="94"/>
      <c r="L553" s="94"/>
      <c r="M553" s="94"/>
      <c r="N553" s="94"/>
      <c r="O553" s="94"/>
      <c r="P553" s="94"/>
      <c r="Q553" s="94"/>
      <c r="R553" s="94"/>
      <c r="S553" s="94"/>
      <c r="T553" s="94"/>
      <c r="U553" s="94"/>
      <c r="V553" s="94"/>
      <c r="W553" s="94"/>
      <c r="X553" s="94"/>
      <c r="Y553" s="94"/>
      <c r="Z553" s="94"/>
    </row>
    <row r="554">
      <c r="A554" s="94"/>
      <c r="B554" s="94"/>
      <c r="C554" s="94"/>
      <c r="D554" s="94"/>
      <c r="E554" s="94"/>
      <c r="F554" s="94"/>
      <c r="G554" s="94"/>
      <c r="H554" s="94"/>
      <c r="I554" s="94"/>
      <c r="J554" s="94"/>
      <c r="K554" s="94"/>
      <c r="L554" s="94"/>
      <c r="M554" s="94"/>
      <c r="N554" s="94"/>
      <c r="O554" s="94"/>
      <c r="P554" s="94"/>
      <c r="Q554" s="94"/>
      <c r="R554" s="94"/>
      <c r="S554" s="94"/>
      <c r="T554" s="94"/>
      <c r="U554" s="94"/>
      <c r="V554" s="94"/>
      <c r="W554" s="94"/>
      <c r="X554" s="94"/>
      <c r="Y554" s="94"/>
      <c r="Z554" s="94"/>
    </row>
    <row r="555">
      <c r="A555" s="94"/>
      <c r="B555" s="94"/>
      <c r="C555" s="94"/>
      <c r="D555" s="94"/>
      <c r="E555" s="94"/>
      <c r="F555" s="94"/>
      <c r="G555" s="94"/>
      <c r="H555" s="94"/>
      <c r="I555" s="94"/>
      <c r="J555" s="94"/>
      <c r="K555" s="94"/>
      <c r="L555" s="94"/>
      <c r="M555" s="94"/>
      <c r="N555" s="94"/>
      <c r="O555" s="94"/>
      <c r="P555" s="94"/>
      <c r="Q555" s="94"/>
      <c r="R555" s="94"/>
      <c r="S555" s="94"/>
      <c r="T555" s="94"/>
      <c r="U555" s="94"/>
      <c r="V555" s="94"/>
      <c r="W555" s="94"/>
      <c r="X555" s="94"/>
      <c r="Y555" s="94"/>
      <c r="Z555" s="94"/>
    </row>
    <row r="556">
      <c r="A556" s="94"/>
      <c r="B556" s="94"/>
      <c r="C556" s="94"/>
      <c r="D556" s="94"/>
      <c r="E556" s="94"/>
      <c r="F556" s="94"/>
      <c r="G556" s="94"/>
      <c r="H556" s="94"/>
      <c r="I556" s="94"/>
      <c r="J556" s="94"/>
      <c r="K556" s="94"/>
      <c r="L556" s="94"/>
      <c r="M556" s="94"/>
      <c r="N556" s="94"/>
      <c r="O556" s="94"/>
      <c r="P556" s="94"/>
      <c r="Q556" s="94"/>
      <c r="R556" s="94"/>
      <c r="S556" s="94"/>
      <c r="T556" s="94"/>
      <c r="U556" s="94"/>
      <c r="V556" s="94"/>
      <c r="W556" s="94"/>
      <c r="X556" s="94"/>
      <c r="Y556" s="94"/>
      <c r="Z556" s="94"/>
    </row>
    <row r="557">
      <c r="A557" s="94"/>
      <c r="B557" s="94"/>
      <c r="C557" s="94"/>
      <c r="D557" s="94"/>
      <c r="E557" s="94"/>
      <c r="F557" s="94"/>
      <c r="G557" s="94"/>
      <c r="H557" s="94"/>
      <c r="I557" s="94"/>
      <c r="J557" s="94"/>
      <c r="K557" s="94"/>
      <c r="L557" s="94"/>
      <c r="M557" s="94"/>
      <c r="N557" s="94"/>
      <c r="O557" s="94"/>
      <c r="P557" s="94"/>
      <c r="Q557" s="94"/>
      <c r="R557" s="94"/>
      <c r="S557" s="94"/>
      <c r="T557" s="94"/>
      <c r="U557" s="94"/>
      <c r="V557" s="94"/>
      <c r="W557" s="94"/>
      <c r="X557" s="94"/>
      <c r="Y557" s="94"/>
      <c r="Z557" s="94"/>
    </row>
    <row r="558">
      <c r="A558" s="94"/>
      <c r="B558" s="94"/>
      <c r="C558" s="94"/>
      <c r="D558" s="94"/>
      <c r="E558" s="94"/>
      <c r="F558" s="94"/>
      <c r="G558" s="94"/>
      <c r="H558" s="94"/>
      <c r="I558" s="94"/>
      <c r="J558" s="94"/>
      <c r="K558" s="94"/>
      <c r="L558" s="94"/>
      <c r="M558" s="94"/>
      <c r="N558" s="94"/>
      <c r="O558" s="94"/>
      <c r="P558" s="94"/>
      <c r="Q558" s="94"/>
      <c r="R558" s="94"/>
      <c r="S558" s="94"/>
      <c r="T558" s="94"/>
      <c r="U558" s="94"/>
      <c r="V558" s="94"/>
      <c r="W558" s="94"/>
      <c r="X558" s="94"/>
      <c r="Y558" s="94"/>
      <c r="Z558" s="94"/>
    </row>
    <row r="559">
      <c r="A559" s="94"/>
      <c r="B559" s="94"/>
      <c r="C559" s="94"/>
      <c r="D559" s="94"/>
      <c r="E559" s="94"/>
      <c r="F559" s="94"/>
      <c r="G559" s="94"/>
      <c r="H559" s="94"/>
      <c r="I559" s="94"/>
      <c r="J559" s="94"/>
      <c r="K559" s="94"/>
      <c r="L559" s="94"/>
      <c r="M559" s="94"/>
      <c r="N559" s="94"/>
      <c r="O559" s="94"/>
      <c r="P559" s="94"/>
      <c r="Q559" s="94"/>
      <c r="R559" s="94"/>
      <c r="S559" s="94"/>
      <c r="T559" s="94"/>
      <c r="U559" s="94"/>
      <c r="V559" s="94"/>
      <c r="W559" s="94"/>
      <c r="X559" s="94"/>
      <c r="Y559" s="94"/>
      <c r="Z559" s="94"/>
    </row>
    <row r="560">
      <c r="A560" s="94"/>
      <c r="B560" s="94"/>
      <c r="C560" s="94"/>
      <c r="D560" s="94"/>
      <c r="E560" s="94"/>
      <c r="F560" s="94"/>
      <c r="G560" s="94"/>
      <c r="H560" s="94"/>
      <c r="I560" s="94"/>
      <c r="J560" s="94"/>
      <c r="K560" s="94"/>
      <c r="L560" s="94"/>
      <c r="M560" s="94"/>
      <c r="N560" s="94"/>
      <c r="O560" s="94"/>
      <c r="P560" s="94"/>
      <c r="Q560" s="94"/>
      <c r="R560" s="94"/>
      <c r="S560" s="94"/>
      <c r="T560" s="94"/>
      <c r="U560" s="94"/>
      <c r="V560" s="94"/>
      <c r="W560" s="94"/>
      <c r="X560" s="94"/>
      <c r="Y560" s="94"/>
      <c r="Z560" s="94"/>
    </row>
    <row r="561">
      <c r="A561" s="94"/>
      <c r="B561" s="94"/>
      <c r="C561" s="94"/>
      <c r="D561" s="94"/>
      <c r="E561" s="94"/>
      <c r="F561" s="94"/>
      <c r="G561" s="94"/>
      <c r="H561" s="94"/>
      <c r="I561" s="94"/>
      <c r="J561" s="94"/>
      <c r="K561" s="94"/>
      <c r="L561" s="94"/>
      <c r="M561" s="94"/>
      <c r="N561" s="94"/>
      <c r="O561" s="94"/>
      <c r="P561" s="94"/>
      <c r="Q561" s="94"/>
      <c r="R561" s="94"/>
      <c r="S561" s="94"/>
      <c r="T561" s="94"/>
      <c r="U561" s="94"/>
      <c r="V561" s="94"/>
      <c r="W561" s="94"/>
      <c r="X561" s="94"/>
      <c r="Y561" s="94"/>
      <c r="Z561" s="94"/>
    </row>
    <row r="562">
      <c r="A562" s="94"/>
      <c r="B562" s="94"/>
      <c r="C562" s="94"/>
      <c r="D562" s="94"/>
      <c r="E562" s="94"/>
      <c r="F562" s="94"/>
      <c r="G562" s="94"/>
      <c r="H562" s="94"/>
      <c r="I562" s="94"/>
      <c r="J562" s="94"/>
      <c r="K562" s="94"/>
      <c r="L562" s="94"/>
      <c r="M562" s="94"/>
      <c r="N562" s="94"/>
      <c r="O562" s="94"/>
      <c r="P562" s="94"/>
      <c r="Q562" s="94"/>
      <c r="R562" s="94"/>
      <c r="S562" s="94"/>
      <c r="T562" s="94"/>
      <c r="U562" s="94"/>
      <c r="V562" s="94"/>
      <c r="W562" s="94"/>
      <c r="X562" s="94"/>
      <c r="Y562" s="94"/>
      <c r="Z562" s="94"/>
    </row>
    <row r="563">
      <c r="A563" s="94"/>
      <c r="B563" s="94"/>
      <c r="C563" s="94"/>
      <c r="D563" s="94"/>
      <c r="E563" s="94"/>
      <c r="F563" s="94"/>
      <c r="G563" s="94"/>
      <c r="H563" s="94"/>
      <c r="I563" s="94"/>
      <c r="J563" s="94"/>
      <c r="K563" s="94"/>
      <c r="L563" s="94"/>
      <c r="M563" s="94"/>
      <c r="N563" s="94"/>
      <c r="O563" s="94"/>
      <c r="P563" s="94"/>
      <c r="Q563" s="94"/>
      <c r="R563" s="94"/>
      <c r="S563" s="94"/>
      <c r="T563" s="94"/>
      <c r="U563" s="94"/>
      <c r="V563" s="94"/>
      <c r="W563" s="94"/>
      <c r="X563" s="94"/>
      <c r="Y563" s="94"/>
      <c r="Z563" s="94"/>
    </row>
    <row r="564">
      <c r="A564" s="94"/>
      <c r="B564" s="94"/>
      <c r="C564" s="94"/>
      <c r="D564" s="94"/>
      <c r="E564" s="94"/>
      <c r="F564" s="94"/>
      <c r="G564" s="94"/>
      <c r="H564" s="94"/>
      <c r="I564" s="94"/>
      <c r="J564" s="94"/>
      <c r="K564" s="94"/>
      <c r="L564" s="94"/>
      <c r="M564" s="94"/>
      <c r="N564" s="94"/>
      <c r="O564" s="94"/>
      <c r="P564" s="94"/>
      <c r="Q564" s="94"/>
      <c r="R564" s="94"/>
      <c r="S564" s="94"/>
      <c r="T564" s="94"/>
      <c r="U564" s="94"/>
      <c r="V564" s="94"/>
      <c r="W564" s="94"/>
      <c r="X564" s="94"/>
      <c r="Y564" s="94"/>
      <c r="Z564" s="94"/>
    </row>
    <row r="565">
      <c r="A565" s="94"/>
      <c r="B565" s="94"/>
      <c r="C565" s="94"/>
      <c r="D565" s="94"/>
      <c r="E565" s="94"/>
      <c r="F565" s="94"/>
      <c r="G565" s="94"/>
      <c r="H565" s="94"/>
      <c r="I565" s="94"/>
      <c r="J565" s="94"/>
      <c r="K565" s="94"/>
      <c r="L565" s="94"/>
      <c r="M565" s="94"/>
      <c r="N565" s="94"/>
      <c r="O565" s="94"/>
      <c r="P565" s="94"/>
      <c r="Q565" s="94"/>
      <c r="R565" s="94"/>
      <c r="S565" s="94"/>
      <c r="T565" s="94"/>
      <c r="U565" s="94"/>
      <c r="V565" s="94"/>
      <c r="W565" s="94"/>
      <c r="X565" s="94"/>
      <c r="Y565" s="94"/>
      <c r="Z565" s="94"/>
    </row>
    <row r="566">
      <c r="A566" s="94"/>
      <c r="B566" s="94"/>
      <c r="C566" s="94"/>
      <c r="D566" s="94"/>
      <c r="E566" s="94"/>
      <c r="F566" s="94"/>
      <c r="G566" s="94"/>
      <c r="H566" s="94"/>
      <c r="I566" s="94"/>
      <c r="J566" s="94"/>
      <c r="K566" s="94"/>
      <c r="L566" s="94"/>
      <c r="M566" s="94"/>
      <c r="N566" s="94"/>
      <c r="O566" s="94"/>
      <c r="P566" s="94"/>
      <c r="Q566" s="94"/>
      <c r="R566" s="94"/>
      <c r="S566" s="94"/>
      <c r="T566" s="94"/>
      <c r="U566" s="94"/>
      <c r="V566" s="94"/>
      <c r="W566" s="94"/>
      <c r="X566" s="94"/>
      <c r="Y566" s="94"/>
      <c r="Z566" s="94"/>
    </row>
    <row r="567">
      <c r="A567" s="94"/>
      <c r="B567" s="94"/>
      <c r="C567" s="94"/>
      <c r="D567" s="94"/>
      <c r="E567" s="94"/>
      <c r="F567" s="94"/>
      <c r="G567" s="94"/>
      <c r="H567" s="94"/>
      <c r="I567" s="94"/>
      <c r="J567" s="94"/>
      <c r="K567" s="94"/>
      <c r="L567" s="94"/>
      <c r="M567" s="94"/>
      <c r="N567" s="94"/>
      <c r="O567" s="94"/>
      <c r="P567" s="94"/>
      <c r="Q567" s="94"/>
      <c r="R567" s="94"/>
      <c r="S567" s="94"/>
      <c r="T567" s="94"/>
      <c r="U567" s="94"/>
      <c r="V567" s="94"/>
      <c r="W567" s="94"/>
      <c r="X567" s="94"/>
      <c r="Y567" s="94"/>
      <c r="Z567" s="94"/>
    </row>
    <row r="568">
      <c r="A568" s="94"/>
      <c r="B568" s="94"/>
      <c r="C568" s="94"/>
      <c r="D568" s="94"/>
      <c r="E568" s="94"/>
      <c r="F568" s="94"/>
      <c r="G568" s="94"/>
      <c r="H568" s="94"/>
      <c r="I568" s="94"/>
      <c r="J568" s="94"/>
      <c r="K568" s="94"/>
      <c r="L568" s="94"/>
      <c r="M568" s="94"/>
      <c r="N568" s="94"/>
      <c r="O568" s="94"/>
      <c r="P568" s="94"/>
      <c r="Q568" s="94"/>
      <c r="R568" s="94"/>
      <c r="S568" s="94"/>
      <c r="T568" s="94"/>
      <c r="U568" s="94"/>
      <c r="V568" s="94"/>
      <c r="W568" s="94"/>
      <c r="X568" s="94"/>
      <c r="Y568" s="94"/>
      <c r="Z568" s="94"/>
    </row>
    <row r="569">
      <c r="A569" s="94"/>
      <c r="B569" s="94"/>
      <c r="C569" s="94"/>
      <c r="D569" s="94"/>
      <c r="E569" s="94"/>
      <c r="F569" s="94"/>
      <c r="G569" s="94"/>
      <c r="H569" s="94"/>
      <c r="I569" s="94"/>
      <c r="J569" s="94"/>
      <c r="K569" s="94"/>
      <c r="L569" s="94"/>
      <c r="M569" s="94"/>
      <c r="N569" s="94"/>
      <c r="O569" s="94"/>
      <c r="P569" s="94"/>
      <c r="Q569" s="94"/>
      <c r="R569" s="94"/>
      <c r="S569" s="94"/>
      <c r="T569" s="94"/>
      <c r="U569" s="94"/>
      <c r="V569" s="94"/>
      <c r="W569" s="94"/>
      <c r="X569" s="94"/>
      <c r="Y569" s="94"/>
      <c r="Z569" s="94"/>
    </row>
    <row r="570">
      <c r="A570" s="94"/>
      <c r="B570" s="94"/>
      <c r="C570" s="94"/>
      <c r="D570" s="94"/>
      <c r="E570" s="94"/>
      <c r="F570" s="94"/>
      <c r="G570" s="94"/>
      <c r="H570" s="94"/>
      <c r="I570" s="94"/>
      <c r="J570" s="94"/>
      <c r="K570" s="94"/>
      <c r="L570" s="94"/>
      <c r="M570" s="94"/>
      <c r="N570" s="94"/>
      <c r="O570" s="94"/>
      <c r="P570" s="94"/>
      <c r="Q570" s="94"/>
      <c r="R570" s="94"/>
      <c r="S570" s="94"/>
      <c r="T570" s="94"/>
      <c r="U570" s="94"/>
      <c r="V570" s="94"/>
      <c r="W570" s="94"/>
      <c r="X570" s="94"/>
      <c r="Y570" s="94"/>
      <c r="Z570" s="94"/>
    </row>
    <row r="571">
      <c r="A571" s="94"/>
      <c r="B571" s="94"/>
      <c r="C571" s="94"/>
      <c r="D571" s="94"/>
      <c r="E571" s="94"/>
      <c r="F571" s="94"/>
      <c r="G571" s="94"/>
      <c r="H571" s="94"/>
      <c r="I571" s="94"/>
      <c r="J571" s="94"/>
      <c r="K571" s="94"/>
      <c r="L571" s="94"/>
      <c r="M571" s="94"/>
      <c r="N571" s="94"/>
      <c r="O571" s="94"/>
      <c r="P571" s="94"/>
      <c r="Q571" s="94"/>
      <c r="R571" s="94"/>
      <c r="S571" s="94"/>
      <c r="T571" s="94"/>
      <c r="U571" s="94"/>
      <c r="V571" s="94"/>
      <c r="W571" s="94"/>
      <c r="X571" s="94"/>
      <c r="Y571" s="94"/>
      <c r="Z571" s="94"/>
    </row>
    <row r="572">
      <c r="A572" s="94"/>
      <c r="B572" s="94"/>
      <c r="C572" s="94"/>
      <c r="D572" s="94"/>
      <c r="E572" s="94"/>
      <c r="F572" s="94"/>
      <c r="G572" s="94"/>
      <c r="H572" s="94"/>
      <c r="I572" s="94"/>
      <c r="J572" s="94"/>
      <c r="K572" s="94"/>
      <c r="L572" s="94"/>
      <c r="M572" s="94"/>
      <c r="N572" s="94"/>
      <c r="O572" s="94"/>
      <c r="P572" s="94"/>
      <c r="Q572" s="94"/>
      <c r="R572" s="94"/>
      <c r="S572" s="94"/>
      <c r="T572" s="94"/>
      <c r="U572" s="94"/>
      <c r="V572" s="94"/>
      <c r="W572" s="94"/>
      <c r="X572" s="94"/>
      <c r="Y572" s="94"/>
      <c r="Z572" s="94"/>
    </row>
    <row r="573">
      <c r="A573" s="94"/>
      <c r="B573" s="94"/>
      <c r="C573" s="94"/>
      <c r="D573" s="94"/>
      <c r="E573" s="94"/>
      <c r="F573" s="94"/>
      <c r="G573" s="94"/>
      <c r="H573" s="94"/>
      <c r="I573" s="94"/>
      <c r="J573" s="94"/>
      <c r="K573" s="94"/>
      <c r="L573" s="94"/>
      <c r="M573" s="94"/>
      <c r="N573" s="94"/>
      <c r="O573" s="94"/>
      <c r="P573" s="94"/>
      <c r="Q573" s="94"/>
      <c r="R573" s="94"/>
      <c r="S573" s="94"/>
      <c r="T573" s="94"/>
      <c r="U573" s="94"/>
      <c r="V573" s="94"/>
      <c r="W573" s="94"/>
      <c r="X573" s="94"/>
      <c r="Y573" s="94"/>
      <c r="Z573" s="94"/>
    </row>
    <row r="574">
      <c r="A574" s="94"/>
      <c r="B574" s="94"/>
      <c r="C574" s="94"/>
      <c r="D574" s="94"/>
      <c r="E574" s="94"/>
      <c r="F574" s="94"/>
      <c r="G574" s="94"/>
      <c r="H574" s="94"/>
      <c r="I574" s="94"/>
      <c r="J574" s="94"/>
      <c r="K574" s="94"/>
      <c r="L574" s="94"/>
      <c r="M574" s="94"/>
      <c r="N574" s="94"/>
      <c r="O574" s="94"/>
      <c r="P574" s="94"/>
      <c r="Q574" s="94"/>
      <c r="R574" s="94"/>
      <c r="S574" s="94"/>
      <c r="T574" s="94"/>
      <c r="U574" s="94"/>
      <c r="V574" s="94"/>
      <c r="W574" s="94"/>
      <c r="X574" s="94"/>
      <c r="Y574" s="94"/>
      <c r="Z574" s="94"/>
    </row>
    <row r="575">
      <c r="A575" s="94"/>
      <c r="B575" s="94"/>
      <c r="C575" s="94"/>
      <c r="D575" s="94"/>
      <c r="E575" s="94"/>
      <c r="F575" s="94"/>
      <c r="G575" s="94"/>
      <c r="H575" s="94"/>
      <c r="I575" s="94"/>
      <c r="J575" s="94"/>
      <c r="K575" s="94"/>
      <c r="L575" s="94"/>
      <c r="M575" s="94"/>
      <c r="N575" s="94"/>
      <c r="O575" s="94"/>
      <c r="P575" s="94"/>
      <c r="Q575" s="94"/>
      <c r="R575" s="94"/>
      <c r="S575" s="94"/>
      <c r="T575" s="94"/>
      <c r="U575" s="94"/>
      <c r="V575" s="94"/>
      <c r="W575" s="94"/>
      <c r="X575" s="94"/>
      <c r="Y575" s="94"/>
      <c r="Z575" s="94"/>
    </row>
    <row r="576">
      <c r="A576" s="94"/>
      <c r="B576" s="94"/>
      <c r="C576" s="94"/>
      <c r="D576" s="94"/>
      <c r="E576" s="94"/>
      <c r="F576" s="94"/>
      <c r="G576" s="94"/>
      <c r="H576" s="94"/>
      <c r="I576" s="94"/>
      <c r="J576" s="94"/>
      <c r="K576" s="94"/>
      <c r="L576" s="94"/>
      <c r="M576" s="94"/>
      <c r="N576" s="94"/>
      <c r="O576" s="94"/>
      <c r="P576" s="94"/>
      <c r="Q576" s="94"/>
      <c r="R576" s="94"/>
      <c r="S576" s="94"/>
      <c r="T576" s="94"/>
      <c r="U576" s="94"/>
      <c r="V576" s="94"/>
      <c r="W576" s="94"/>
      <c r="X576" s="94"/>
      <c r="Y576" s="94"/>
      <c r="Z576" s="94"/>
    </row>
    <row r="577">
      <c r="A577" s="94"/>
      <c r="B577" s="94"/>
      <c r="C577" s="94"/>
      <c r="D577" s="94"/>
      <c r="E577" s="94"/>
      <c r="F577" s="94"/>
      <c r="G577" s="94"/>
      <c r="H577" s="94"/>
      <c r="I577" s="94"/>
      <c r="J577" s="94"/>
      <c r="K577" s="94"/>
      <c r="L577" s="94"/>
      <c r="M577" s="94"/>
      <c r="N577" s="94"/>
      <c r="O577" s="94"/>
      <c r="P577" s="94"/>
      <c r="Q577" s="94"/>
      <c r="R577" s="94"/>
      <c r="S577" s="94"/>
      <c r="T577" s="94"/>
      <c r="U577" s="94"/>
      <c r="V577" s="94"/>
      <c r="W577" s="94"/>
      <c r="X577" s="94"/>
      <c r="Y577" s="94"/>
      <c r="Z577" s="94"/>
    </row>
    <row r="578">
      <c r="A578" s="94"/>
      <c r="B578" s="94"/>
      <c r="C578" s="94"/>
      <c r="D578" s="94"/>
      <c r="E578" s="94"/>
      <c r="F578" s="94"/>
      <c r="G578" s="94"/>
      <c r="H578" s="94"/>
      <c r="I578" s="94"/>
      <c r="J578" s="94"/>
      <c r="K578" s="94"/>
      <c r="L578" s="94"/>
      <c r="M578" s="94"/>
      <c r="N578" s="94"/>
      <c r="O578" s="94"/>
      <c r="P578" s="94"/>
      <c r="Q578" s="94"/>
      <c r="R578" s="94"/>
      <c r="S578" s="94"/>
      <c r="T578" s="94"/>
      <c r="U578" s="94"/>
      <c r="V578" s="94"/>
      <c r="W578" s="94"/>
      <c r="X578" s="94"/>
      <c r="Y578" s="94"/>
      <c r="Z578" s="94"/>
    </row>
    <row r="579">
      <c r="A579" s="94"/>
      <c r="B579" s="94"/>
      <c r="C579" s="94"/>
      <c r="D579" s="94"/>
      <c r="E579" s="94"/>
      <c r="F579" s="94"/>
      <c r="G579" s="94"/>
      <c r="H579" s="94"/>
      <c r="I579" s="94"/>
      <c r="J579" s="94"/>
      <c r="K579" s="94"/>
      <c r="L579" s="94"/>
      <c r="M579" s="94"/>
      <c r="N579" s="94"/>
      <c r="O579" s="94"/>
      <c r="P579" s="94"/>
      <c r="Q579" s="94"/>
      <c r="R579" s="94"/>
      <c r="S579" s="94"/>
      <c r="T579" s="94"/>
      <c r="U579" s="94"/>
      <c r="V579" s="94"/>
      <c r="W579" s="94"/>
      <c r="X579" s="94"/>
      <c r="Y579" s="94"/>
      <c r="Z579" s="94"/>
    </row>
    <row r="580">
      <c r="A580" s="94"/>
      <c r="B580" s="94"/>
      <c r="C580" s="94"/>
      <c r="D580" s="94"/>
      <c r="E580" s="94"/>
      <c r="F580" s="94"/>
      <c r="G580" s="94"/>
      <c r="H580" s="94"/>
      <c r="I580" s="94"/>
      <c r="J580" s="94"/>
      <c r="K580" s="94"/>
      <c r="L580" s="94"/>
      <c r="M580" s="94"/>
      <c r="N580" s="94"/>
      <c r="O580" s="94"/>
      <c r="P580" s="94"/>
      <c r="Q580" s="94"/>
      <c r="R580" s="94"/>
      <c r="S580" s="94"/>
      <c r="T580" s="94"/>
      <c r="U580" s="94"/>
      <c r="V580" s="94"/>
      <c r="W580" s="94"/>
      <c r="X580" s="94"/>
      <c r="Y580" s="94"/>
      <c r="Z580" s="94"/>
    </row>
    <row r="581">
      <c r="A581" s="94"/>
      <c r="B581" s="94"/>
      <c r="C581" s="94"/>
      <c r="D581" s="94"/>
      <c r="E581" s="94"/>
      <c r="F581" s="94"/>
      <c r="G581" s="94"/>
      <c r="H581" s="94"/>
      <c r="I581" s="94"/>
      <c r="J581" s="94"/>
      <c r="K581" s="94"/>
      <c r="L581" s="94"/>
      <c r="M581" s="94"/>
      <c r="N581" s="94"/>
      <c r="O581" s="94"/>
      <c r="P581" s="94"/>
      <c r="Q581" s="94"/>
      <c r="R581" s="94"/>
      <c r="S581" s="94"/>
      <c r="T581" s="94"/>
      <c r="U581" s="94"/>
      <c r="V581" s="94"/>
      <c r="W581" s="94"/>
      <c r="X581" s="94"/>
      <c r="Y581" s="94"/>
      <c r="Z581" s="94"/>
    </row>
    <row r="582">
      <c r="A582" s="94"/>
      <c r="B582" s="94"/>
      <c r="C582" s="94"/>
      <c r="D582" s="94"/>
      <c r="E582" s="94"/>
      <c r="F582" s="94"/>
      <c r="G582" s="94"/>
      <c r="H582" s="94"/>
      <c r="I582" s="94"/>
      <c r="J582" s="94"/>
      <c r="K582" s="94"/>
      <c r="L582" s="94"/>
      <c r="M582" s="94"/>
      <c r="N582" s="94"/>
      <c r="O582" s="94"/>
      <c r="P582" s="94"/>
      <c r="Q582" s="94"/>
      <c r="R582" s="94"/>
      <c r="S582" s="94"/>
      <c r="T582" s="94"/>
      <c r="U582" s="94"/>
      <c r="V582" s="94"/>
      <c r="W582" s="94"/>
      <c r="X582" s="94"/>
      <c r="Y582" s="94"/>
      <c r="Z582" s="94"/>
    </row>
    <row r="583">
      <c r="A583" s="94"/>
      <c r="B583" s="94"/>
      <c r="C583" s="94"/>
      <c r="D583" s="94"/>
      <c r="E583" s="94"/>
      <c r="F583" s="94"/>
      <c r="G583" s="94"/>
      <c r="H583" s="94"/>
      <c r="I583" s="94"/>
      <c r="J583" s="94"/>
      <c r="K583" s="94"/>
      <c r="L583" s="94"/>
      <c r="M583" s="94"/>
      <c r="N583" s="94"/>
      <c r="O583" s="94"/>
      <c r="P583" s="94"/>
      <c r="Q583" s="94"/>
      <c r="R583" s="94"/>
      <c r="S583" s="94"/>
      <c r="T583" s="94"/>
      <c r="U583" s="94"/>
      <c r="V583" s="94"/>
      <c r="W583" s="94"/>
      <c r="X583" s="94"/>
      <c r="Y583" s="94"/>
      <c r="Z583" s="94"/>
    </row>
    <row r="584">
      <c r="A584" s="94"/>
      <c r="B584" s="94"/>
      <c r="C584" s="94"/>
      <c r="D584" s="94"/>
      <c r="E584" s="94"/>
      <c r="F584" s="94"/>
      <c r="G584" s="94"/>
      <c r="H584" s="94"/>
      <c r="I584" s="94"/>
      <c r="J584" s="94"/>
      <c r="K584" s="94"/>
      <c r="L584" s="94"/>
      <c r="M584" s="94"/>
      <c r="N584" s="94"/>
      <c r="O584" s="94"/>
      <c r="P584" s="94"/>
      <c r="Q584" s="94"/>
      <c r="R584" s="94"/>
      <c r="S584" s="94"/>
      <c r="T584" s="94"/>
      <c r="U584" s="94"/>
      <c r="V584" s="94"/>
      <c r="W584" s="94"/>
      <c r="X584" s="94"/>
      <c r="Y584" s="94"/>
      <c r="Z584" s="94"/>
    </row>
    <row r="585">
      <c r="A585" s="94"/>
      <c r="B585" s="94"/>
      <c r="C585" s="94"/>
      <c r="D585" s="94"/>
      <c r="E585" s="94"/>
      <c r="F585" s="94"/>
      <c r="G585" s="94"/>
      <c r="H585" s="94"/>
      <c r="I585" s="94"/>
      <c r="J585" s="94"/>
      <c r="K585" s="94"/>
      <c r="L585" s="94"/>
      <c r="M585" s="94"/>
      <c r="N585" s="94"/>
      <c r="O585" s="94"/>
      <c r="P585" s="94"/>
      <c r="Q585" s="94"/>
      <c r="R585" s="94"/>
      <c r="S585" s="94"/>
      <c r="T585" s="94"/>
      <c r="U585" s="94"/>
      <c r="V585" s="94"/>
      <c r="W585" s="94"/>
      <c r="X585" s="94"/>
      <c r="Y585" s="94"/>
      <c r="Z585" s="94"/>
    </row>
    <row r="586">
      <c r="A586" s="94"/>
      <c r="B586" s="94"/>
      <c r="C586" s="94"/>
      <c r="D586" s="94"/>
      <c r="E586" s="94"/>
      <c r="F586" s="94"/>
      <c r="G586" s="94"/>
      <c r="H586" s="94"/>
      <c r="I586" s="94"/>
      <c r="J586" s="94"/>
      <c r="K586" s="94"/>
      <c r="L586" s="94"/>
      <c r="M586" s="94"/>
      <c r="N586" s="94"/>
      <c r="O586" s="94"/>
      <c r="P586" s="94"/>
      <c r="Q586" s="94"/>
      <c r="R586" s="94"/>
      <c r="S586" s="94"/>
      <c r="T586" s="94"/>
      <c r="U586" s="94"/>
      <c r="V586" s="94"/>
      <c r="W586" s="94"/>
      <c r="X586" s="94"/>
      <c r="Y586" s="94"/>
      <c r="Z586" s="94"/>
    </row>
    <row r="587">
      <c r="A587" s="94"/>
      <c r="B587" s="94"/>
      <c r="C587" s="94"/>
      <c r="D587" s="94"/>
      <c r="E587" s="94"/>
      <c r="F587" s="94"/>
      <c r="G587" s="94"/>
      <c r="H587" s="94"/>
      <c r="I587" s="94"/>
      <c r="J587" s="94"/>
      <c r="K587" s="94"/>
      <c r="L587" s="94"/>
      <c r="M587" s="94"/>
      <c r="N587" s="94"/>
      <c r="O587" s="94"/>
      <c r="P587" s="94"/>
      <c r="Q587" s="94"/>
      <c r="R587" s="94"/>
      <c r="S587" s="94"/>
      <c r="T587" s="94"/>
      <c r="U587" s="94"/>
      <c r="V587" s="94"/>
      <c r="W587" s="94"/>
      <c r="X587" s="94"/>
      <c r="Y587" s="94"/>
      <c r="Z587" s="94"/>
    </row>
    <row r="588">
      <c r="A588" s="94"/>
      <c r="B588" s="94"/>
      <c r="C588" s="94"/>
      <c r="D588" s="94"/>
      <c r="E588" s="94"/>
      <c r="F588" s="94"/>
      <c r="G588" s="94"/>
      <c r="H588" s="94"/>
      <c r="I588" s="94"/>
      <c r="J588" s="94"/>
      <c r="K588" s="94"/>
      <c r="L588" s="94"/>
      <c r="M588" s="94"/>
      <c r="N588" s="94"/>
      <c r="O588" s="94"/>
      <c r="P588" s="94"/>
      <c r="Q588" s="94"/>
      <c r="R588" s="94"/>
      <c r="S588" s="94"/>
      <c r="T588" s="94"/>
      <c r="U588" s="94"/>
      <c r="V588" s="94"/>
      <c r="W588" s="94"/>
      <c r="X588" s="94"/>
      <c r="Y588" s="94"/>
      <c r="Z588" s="94"/>
    </row>
    <row r="589">
      <c r="A589" s="94"/>
      <c r="B589" s="94"/>
      <c r="C589" s="94"/>
      <c r="D589" s="94"/>
      <c r="E589" s="94"/>
      <c r="F589" s="94"/>
      <c r="G589" s="94"/>
      <c r="H589" s="94"/>
      <c r="I589" s="94"/>
      <c r="J589" s="94"/>
      <c r="K589" s="94"/>
      <c r="L589" s="94"/>
      <c r="M589" s="94"/>
      <c r="N589" s="94"/>
      <c r="O589" s="94"/>
      <c r="P589" s="94"/>
      <c r="Q589" s="94"/>
      <c r="R589" s="94"/>
      <c r="S589" s="94"/>
      <c r="T589" s="94"/>
      <c r="U589" s="94"/>
      <c r="V589" s="94"/>
      <c r="W589" s="94"/>
      <c r="X589" s="94"/>
      <c r="Y589" s="94"/>
      <c r="Z589" s="94"/>
    </row>
    <row r="590">
      <c r="A590" s="94"/>
      <c r="B590" s="94"/>
      <c r="C590" s="94"/>
      <c r="D590" s="94"/>
      <c r="E590" s="94"/>
      <c r="F590" s="94"/>
      <c r="G590" s="94"/>
      <c r="H590" s="94"/>
      <c r="I590" s="94"/>
      <c r="J590" s="94"/>
      <c r="K590" s="94"/>
      <c r="L590" s="94"/>
      <c r="M590" s="94"/>
      <c r="N590" s="94"/>
      <c r="O590" s="94"/>
      <c r="P590" s="94"/>
      <c r="Q590" s="94"/>
      <c r="R590" s="94"/>
      <c r="S590" s="94"/>
      <c r="T590" s="94"/>
      <c r="U590" s="94"/>
      <c r="V590" s="94"/>
      <c r="W590" s="94"/>
      <c r="X590" s="94"/>
      <c r="Y590" s="94"/>
      <c r="Z590" s="94"/>
    </row>
    <row r="591">
      <c r="A591" s="94"/>
      <c r="B591" s="94"/>
      <c r="C591" s="94"/>
      <c r="D591" s="94"/>
      <c r="E591" s="94"/>
      <c r="F591" s="94"/>
      <c r="G591" s="94"/>
      <c r="H591" s="94"/>
      <c r="I591" s="94"/>
      <c r="J591" s="94"/>
      <c r="K591" s="94"/>
      <c r="L591" s="94"/>
      <c r="M591" s="94"/>
      <c r="N591" s="94"/>
      <c r="O591" s="94"/>
      <c r="P591" s="94"/>
      <c r="Q591" s="94"/>
      <c r="R591" s="94"/>
      <c r="S591" s="94"/>
      <c r="T591" s="94"/>
      <c r="U591" s="94"/>
      <c r="V591" s="94"/>
      <c r="W591" s="94"/>
      <c r="X591" s="94"/>
      <c r="Y591" s="94"/>
      <c r="Z591" s="94"/>
    </row>
    <row r="592">
      <c r="A592" s="94"/>
      <c r="B592" s="94"/>
      <c r="C592" s="94"/>
      <c r="D592" s="94"/>
      <c r="E592" s="94"/>
      <c r="F592" s="94"/>
      <c r="G592" s="94"/>
      <c r="H592" s="94"/>
      <c r="I592" s="94"/>
      <c r="J592" s="94"/>
      <c r="K592" s="94"/>
      <c r="L592" s="94"/>
      <c r="M592" s="94"/>
      <c r="N592" s="94"/>
      <c r="O592" s="94"/>
      <c r="P592" s="94"/>
      <c r="Q592" s="94"/>
      <c r="R592" s="94"/>
      <c r="S592" s="94"/>
      <c r="T592" s="94"/>
      <c r="U592" s="94"/>
      <c r="V592" s="94"/>
      <c r="W592" s="94"/>
      <c r="X592" s="94"/>
      <c r="Y592" s="94"/>
      <c r="Z592" s="94"/>
    </row>
    <row r="593">
      <c r="A593" s="94"/>
      <c r="B593" s="94"/>
      <c r="C593" s="94"/>
      <c r="D593" s="94"/>
      <c r="E593" s="94"/>
      <c r="F593" s="94"/>
      <c r="G593" s="94"/>
      <c r="H593" s="94"/>
      <c r="I593" s="94"/>
      <c r="J593" s="94"/>
      <c r="K593" s="94"/>
      <c r="L593" s="94"/>
      <c r="M593" s="94"/>
      <c r="N593" s="94"/>
      <c r="O593" s="94"/>
      <c r="P593" s="94"/>
      <c r="Q593" s="94"/>
      <c r="R593" s="94"/>
      <c r="S593" s="94"/>
      <c r="T593" s="94"/>
      <c r="U593" s="94"/>
      <c r="V593" s="94"/>
      <c r="W593" s="94"/>
      <c r="X593" s="94"/>
      <c r="Y593" s="94"/>
      <c r="Z593" s="94"/>
    </row>
    <row r="594">
      <c r="A594" s="94"/>
      <c r="B594" s="94"/>
      <c r="C594" s="94"/>
      <c r="D594" s="94"/>
      <c r="E594" s="94"/>
      <c r="F594" s="94"/>
      <c r="G594" s="94"/>
      <c r="H594" s="94"/>
      <c r="I594" s="94"/>
      <c r="J594" s="94"/>
      <c r="K594" s="94"/>
      <c r="L594" s="94"/>
      <c r="M594" s="94"/>
      <c r="N594" s="94"/>
      <c r="O594" s="94"/>
      <c r="P594" s="94"/>
      <c r="Q594" s="94"/>
      <c r="R594" s="94"/>
      <c r="S594" s="94"/>
      <c r="T594" s="94"/>
      <c r="U594" s="94"/>
      <c r="V594" s="94"/>
      <c r="W594" s="94"/>
      <c r="X594" s="94"/>
      <c r="Y594" s="94"/>
      <c r="Z594" s="94"/>
    </row>
    <row r="595">
      <c r="A595" s="94"/>
      <c r="B595" s="94"/>
      <c r="C595" s="94"/>
      <c r="D595" s="94"/>
      <c r="E595" s="94"/>
      <c r="F595" s="94"/>
      <c r="G595" s="94"/>
      <c r="H595" s="94"/>
      <c r="I595" s="94"/>
      <c r="J595" s="94"/>
      <c r="K595" s="94"/>
      <c r="L595" s="94"/>
      <c r="M595" s="94"/>
      <c r="N595" s="94"/>
      <c r="O595" s="94"/>
      <c r="P595" s="94"/>
      <c r="Q595" s="94"/>
      <c r="R595" s="94"/>
      <c r="S595" s="94"/>
      <c r="T595" s="94"/>
      <c r="U595" s="94"/>
      <c r="V595" s="94"/>
      <c r="W595" s="94"/>
      <c r="X595" s="94"/>
      <c r="Y595" s="94"/>
      <c r="Z595" s="94"/>
    </row>
    <row r="596">
      <c r="A596" s="94"/>
      <c r="B596" s="94"/>
      <c r="C596" s="94"/>
      <c r="D596" s="94"/>
      <c r="E596" s="94"/>
      <c r="F596" s="94"/>
      <c r="G596" s="94"/>
      <c r="H596" s="94"/>
      <c r="I596" s="94"/>
      <c r="J596" s="94"/>
      <c r="K596" s="94"/>
      <c r="L596" s="94"/>
      <c r="M596" s="94"/>
      <c r="N596" s="94"/>
      <c r="O596" s="94"/>
      <c r="P596" s="94"/>
      <c r="Q596" s="94"/>
      <c r="R596" s="94"/>
      <c r="S596" s="94"/>
      <c r="T596" s="94"/>
      <c r="U596" s="94"/>
      <c r="V596" s="94"/>
      <c r="W596" s="94"/>
      <c r="X596" s="94"/>
      <c r="Y596" s="94"/>
      <c r="Z596" s="94"/>
    </row>
    <row r="597">
      <c r="A597" s="94"/>
      <c r="B597" s="94"/>
      <c r="C597" s="94"/>
      <c r="D597" s="94"/>
      <c r="E597" s="94"/>
      <c r="F597" s="94"/>
      <c r="G597" s="94"/>
      <c r="H597" s="94"/>
      <c r="I597" s="94"/>
      <c r="J597" s="94"/>
      <c r="K597" s="94"/>
      <c r="L597" s="94"/>
      <c r="M597" s="94"/>
      <c r="N597" s="94"/>
      <c r="O597" s="94"/>
      <c r="P597" s="94"/>
      <c r="Q597" s="94"/>
      <c r="R597" s="94"/>
      <c r="S597" s="94"/>
      <c r="T597" s="94"/>
      <c r="U597" s="94"/>
      <c r="V597" s="94"/>
      <c r="W597" s="94"/>
      <c r="X597" s="94"/>
      <c r="Y597" s="94"/>
      <c r="Z597" s="94"/>
    </row>
    <row r="598">
      <c r="A598" s="94"/>
      <c r="B598" s="94"/>
      <c r="C598" s="94"/>
      <c r="D598" s="94"/>
      <c r="E598" s="94"/>
      <c r="F598" s="94"/>
      <c r="G598" s="94"/>
      <c r="H598" s="94"/>
      <c r="I598" s="94"/>
      <c r="J598" s="94"/>
      <c r="K598" s="94"/>
      <c r="L598" s="94"/>
      <c r="M598" s="94"/>
      <c r="N598" s="94"/>
      <c r="O598" s="94"/>
      <c r="P598" s="94"/>
      <c r="Q598" s="94"/>
      <c r="R598" s="94"/>
      <c r="S598" s="94"/>
      <c r="T598" s="94"/>
      <c r="U598" s="94"/>
      <c r="V598" s="94"/>
      <c r="W598" s="94"/>
      <c r="X598" s="94"/>
      <c r="Y598" s="94"/>
      <c r="Z598" s="94"/>
    </row>
    <row r="599">
      <c r="A599" s="94"/>
      <c r="B599" s="94"/>
      <c r="C599" s="94"/>
      <c r="D599" s="94"/>
      <c r="E599" s="94"/>
      <c r="F599" s="94"/>
      <c r="G599" s="94"/>
      <c r="H599" s="94"/>
      <c r="I599" s="94"/>
      <c r="J599" s="94"/>
      <c r="K599" s="94"/>
      <c r="L599" s="94"/>
      <c r="M599" s="94"/>
      <c r="N599" s="94"/>
      <c r="O599" s="94"/>
      <c r="P599" s="94"/>
      <c r="Q599" s="94"/>
      <c r="R599" s="94"/>
      <c r="S599" s="94"/>
      <c r="T599" s="94"/>
      <c r="U599" s="94"/>
      <c r="V599" s="94"/>
      <c r="W599" s="94"/>
      <c r="X599" s="94"/>
      <c r="Y599" s="94"/>
      <c r="Z599" s="94"/>
    </row>
    <row r="600">
      <c r="A600" s="94"/>
      <c r="B600" s="94"/>
      <c r="C600" s="94"/>
      <c r="D600" s="94"/>
      <c r="E600" s="94"/>
      <c r="F600" s="94"/>
      <c r="G600" s="94"/>
      <c r="H600" s="94"/>
      <c r="I600" s="94"/>
      <c r="J600" s="94"/>
      <c r="K600" s="94"/>
      <c r="L600" s="94"/>
      <c r="M600" s="94"/>
      <c r="N600" s="94"/>
      <c r="O600" s="94"/>
      <c r="P600" s="94"/>
      <c r="Q600" s="94"/>
      <c r="R600" s="94"/>
      <c r="S600" s="94"/>
      <c r="T600" s="94"/>
      <c r="U600" s="94"/>
      <c r="V600" s="94"/>
      <c r="W600" s="94"/>
      <c r="X600" s="94"/>
      <c r="Y600" s="94"/>
      <c r="Z600" s="94"/>
    </row>
    <row r="601">
      <c r="A601" s="94"/>
      <c r="B601" s="94"/>
      <c r="C601" s="94"/>
      <c r="D601" s="94"/>
      <c r="E601" s="94"/>
      <c r="F601" s="94"/>
      <c r="G601" s="94"/>
      <c r="H601" s="94"/>
      <c r="I601" s="94"/>
      <c r="J601" s="94"/>
      <c r="K601" s="94"/>
      <c r="L601" s="94"/>
      <c r="M601" s="94"/>
      <c r="N601" s="94"/>
      <c r="O601" s="94"/>
      <c r="P601" s="94"/>
      <c r="Q601" s="94"/>
      <c r="R601" s="94"/>
      <c r="S601" s="94"/>
      <c r="T601" s="94"/>
      <c r="U601" s="94"/>
      <c r="V601" s="94"/>
      <c r="W601" s="94"/>
      <c r="X601" s="94"/>
      <c r="Y601" s="94"/>
      <c r="Z601" s="94"/>
    </row>
    <row r="602">
      <c r="A602" s="94"/>
      <c r="B602" s="94"/>
      <c r="C602" s="94"/>
      <c r="D602" s="94"/>
      <c r="E602" s="94"/>
      <c r="F602" s="94"/>
      <c r="G602" s="94"/>
      <c r="H602" s="94"/>
      <c r="I602" s="94"/>
      <c r="J602" s="94"/>
      <c r="K602" s="94"/>
      <c r="L602" s="94"/>
      <c r="M602" s="94"/>
      <c r="N602" s="94"/>
      <c r="O602" s="94"/>
      <c r="P602" s="94"/>
      <c r="Q602" s="94"/>
      <c r="R602" s="94"/>
      <c r="S602" s="94"/>
      <c r="T602" s="94"/>
      <c r="U602" s="94"/>
      <c r="V602" s="94"/>
      <c r="W602" s="94"/>
      <c r="X602" s="94"/>
      <c r="Y602" s="94"/>
      <c r="Z602" s="94"/>
    </row>
    <row r="603">
      <c r="A603" s="94"/>
      <c r="B603" s="94"/>
      <c r="C603" s="94"/>
      <c r="D603" s="94"/>
      <c r="E603" s="94"/>
      <c r="F603" s="94"/>
      <c r="G603" s="94"/>
      <c r="H603" s="94"/>
      <c r="I603" s="94"/>
      <c r="J603" s="94"/>
      <c r="K603" s="94"/>
      <c r="L603" s="94"/>
      <c r="M603" s="94"/>
      <c r="N603" s="94"/>
      <c r="O603" s="94"/>
      <c r="P603" s="94"/>
      <c r="Q603" s="94"/>
      <c r="R603" s="94"/>
      <c r="S603" s="94"/>
      <c r="T603" s="94"/>
      <c r="U603" s="94"/>
      <c r="V603" s="94"/>
      <c r="W603" s="94"/>
      <c r="X603" s="94"/>
      <c r="Y603" s="94"/>
      <c r="Z603" s="94"/>
    </row>
    <row r="604">
      <c r="A604" s="94"/>
      <c r="B604" s="94"/>
      <c r="C604" s="94"/>
      <c r="D604" s="94"/>
      <c r="E604" s="94"/>
      <c r="F604" s="94"/>
      <c r="G604" s="94"/>
      <c r="H604" s="94"/>
      <c r="I604" s="94"/>
      <c r="J604" s="94"/>
      <c r="K604" s="94"/>
      <c r="L604" s="94"/>
      <c r="M604" s="94"/>
      <c r="N604" s="94"/>
      <c r="O604" s="94"/>
      <c r="P604" s="94"/>
      <c r="Q604" s="94"/>
      <c r="R604" s="94"/>
      <c r="S604" s="94"/>
      <c r="T604" s="94"/>
      <c r="U604" s="94"/>
      <c r="V604" s="94"/>
      <c r="W604" s="94"/>
      <c r="X604" s="94"/>
      <c r="Y604" s="94"/>
      <c r="Z604" s="94"/>
    </row>
    <row r="605">
      <c r="A605" s="94"/>
      <c r="B605" s="94"/>
      <c r="C605" s="94"/>
      <c r="D605" s="94"/>
      <c r="E605" s="94"/>
      <c r="F605" s="94"/>
      <c r="G605" s="94"/>
      <c r="H605" s="94"/>
      <c r="I605" s="94"/>
      <c r="J605" s="94"/>
      <c r="K605" s="94"/>
      <c r="L605" s="94"/>
      <c r="M605" s="94"/>
      <c r="N605" s="94"/>
      <c r="O605" s="94"/>
      <c r="P605" s="94"/>
      <c r="Q605" s="94"/>
      <c r="R605" s="94"/>
      <c r="S605" s="94"/>
      <c r="T605" s="94"/>
      <c r="U605" s="94"/>
      <c r="V605" s="94"/>
      <c r="W605" s="94"/>
      <c r="X605" s="94"/>
      <c r="Y605" s="94"/>
      <c r="Z605" s="94"/>
    </row>
    <row r="606">
      <c r="A606" s="94"/>
      <c r="B606" s="94"/>
      <c r="C606" s="94"/>
      <c r="D606" s="94"/>
      <c r="E606" s="94"/>
      <c r="F606" s="94"/>
      <c r="G606" s="94"/>
      <c r="H606" s="94"/>
      <c r="I606" s="94"/>
      <c r="J606" s="94"/>
      <c r="K606" s="94"/>
      <c r="L606" s="94"/>
      <c r="M606" s="94"/>
      <c r="N606" s="94"/>
      <c r="O606" s="94"/>
      <c r="P606" s="94"/>
      <c r="Q606" s="94"/>
      <c r="R606" s="94"/>
      <c r="S606" s="94"/>
      <c r="T606" s="94"/>
      <c r="U606" s="94"/>
      <c r="V606" s="94"/>
      <c r="W606" s="94"/>
      <c r="X606" s="94"/>
      <c r="Y606" s="94"/>
      <c r="Z606" s="94"/>
    </row>
    <row r="607">
      <c r="A607" s="94"/>
      <c r="B607" s="94"/>
      <c r="C607" s="94"/>
      <c r="D607" s="94"/>
      <c r="E607" s="94"/>
      <c r="F607" s="94"/>
      <c r="G607" s="94"/>
      <c r="H607" s="94"/>
      <c r="I607" s="94"/>
      <c r="J607" s="94"/>
      <c r="K607" s="94"/>
      <c r="L607" s="94"/>
      <c r="M607" s="94"/>
      <c r="N607" s="94"/>
      <c r="O607" s="94"/>
      <c r="P607" s="94"/>
      <c r="Q607" s="94"/>
      <c r="R607" s="94"/>
      <c r="S607" s="94"/>
      <c r="T607" s="94"/>
      <c r="U607" s="94"/>
      <c r="V607" s="94"/>
      <c r="W607" s="94"/>
      <c r="X607" s="94"/>
      <c r="Y607" s="94"/>
      <c r="Z607" s="94"/>
    </row>
    <row r="608">
      <c r="A608" s="94"/>
      <c r="B608" s="94"/>
      <c r="C608" s="94"/>
      <c r="D608" s="94"/>
      <c r="E608" s="94"/>
      <c r="F608" s="94"/>
      <c r="G608" s="94"/>
      <c r="H608" s="94"/>
      <c r="I608" s="94"/>
      <c r="J608" s="94"/>
      <c r="K608" s="94"/>
      <c r="L608" s="94"/>
      <c r="M608" s="94"/>
      <c r="N608" s="94"/>
      <c r="O608" s="94"/>
      <c r="P608" s="94"/>
      <c r="Q608" s="94"/>
      <c r="R608" s="94"/>
      <c r="S608" s="94"/>
      <c r="T608" s="94"/>
      <c r="U608" s="94"/>
      <c r="V608" s="94"/>
      <c r="W608" s="94"/>
      <c r="X608" s="94"/>
      <c r="Y608" s="94"/>
      <c r="Z608" s="94"/>
    </row>
    <row r="609">
      <c r="A609" s="94"/>
      <c r="B609" s="94"/>
      <c r="C609" s="94"/>
      <c r="D609" s="94"/>
      <c r="E609" s="94"/>
      <c r="F609" s="94"/>
      <c r="G609" s="94"/>
      <c r="H609" s="94"/>
      <c r="I609" s="94"/>
      <c r="J609" s="94"/>
      <c r="K609" s="94"/>
      <c r="L609" s="94"/>
      <c r="M609" s="94"/>
      <c r="N609" s="94"/>
      <c r="O609" s="94"/>
      <c r="P609" s="94"/>
      <c r="Q609" s="94"/>
      <c r="R609" s="94"/>
      <c r="S609" s="94"/>
      <c r="T609" s="94"/>
      <c r="U609" s="94"/>
      <c r="V609" s="94"/>
      <c r="W609" s="94"/>
      <c r="X609" s="94"/>
      <c r="Y609" s="94"/>
      <c r="Z609" s="94"/>
    </row>
    <row r="610">
      <c r="A610" s="94"/>
      <c r="B610" s="94"/>
      <c r="C610" s="94"/>
      <c r="D610" s="94"/>
      <c r="E610" s="94"/>
      <c r="F610" s="94"/>
      <c r="G610" s="94"/>
      <c r="H610" s="94"/>
      <c r="I610" s="94"/>
      <c r="J610" s="94"/>
      <c r="K610" s="94"/>
      <c r="L610" s="94"/>
      <c r="M610" s="94"/>
      <c r="N610" s="94"/>
      <c r="O610" s="94"/>
      <c r="P610" s="94"/>
      <c r="Q610" s="94"/>
      <c r="R610" s="94"/>
      <c r="S610" s="94"/>
      <c r="T610" s="94"/>
      <c r="U610" s="94"/>
      <c r="V610" s="94"/>
      <c r="W610" s="94"/>
      <c r="X610" s="94"/>
      <c r="Y610" s="94"/>
      <c r="Z610" s="94"/>
    </row>
    <row r="611">
      <c r="A611" s="94"/>
      <c r="B611" s="94"/>
      <c r="C611" s="94"/>
      <c r="D611" s="94"/>
      <c r="E611" s="94"/>
      <c r="F611" s="94"/>
      <c r="G611" s="94"/>
      <c r="H611" s="94"/>
      <c r="I611" s="94"/>
      <c r="J611" s="94"/>
      <c r="K611" s="94"/>
      <c r="L611" s="94"/>
      <c r="M611" s="94"/>
      <c r="N611" s="94"/>
      <c r="O611" s="94"/>
      <c r="P611" s="94"/>
      <c r="Q611" s="94"/>
      <c r="R611" s="94"/>
      <c r="S611" s="94"/>
      <c r="T611" s="94"/>
      <c r="U611" s="94"/>
      <c r="V611" s="94"/>
      <c r="W611" s="94"/>
      <c r="X611" s="94"/>
      <c r="Y611" s="94"/>
      <c r="Z611" s="94"/>
    </row>
    <row r="612">
      <c r="A612" s="94"/>
      <c r="B612" s="94"/>
      <c r="C612" s="94"/>
      <c r="D612" s="94"/>
      <c r="E612" s="94"/>
      <c r="F612" s="94"/>
      <c r="G612" s="94"/>
      <c r="H612" s="94"/>
      <c r="I612" s="94"/>
      <c r="J612" s="94"/>
      <c r="K612" s="94"/>
      <c r="L612" s="94"/>
      <c r="M612" s="94"/>
      <c r="N612" s="94"/>
      <c r="O612" s="94"/>
      <c r="P612" s="94"/>
      <c r="Q612" s="94"/>
      <c r="R612" s="94"/>
      <c r="S612" s="94"/>
      <c r="T612" s="94"/>
      <c r="U612" s="94"/>
      <c r="V612" s="94"/>
      <c r="W612" s="94"/>
      <c r="X612" s="94"/>
      <c r="Y612" s="94"/>
      <c r="Z612" s="94"/>
    </row>
    <row r="613">
      <c r="A613" s="94"/>
      <c r="B613" s="94"/>
      <c r="C613" s="94"/>
      <c r="D613" s="94"/>
      <c r="E613" s="94"/>
      <c r="F613" s="94"/>
      <c r="G613" s="94"/>
      <c r="H613" s="94"/>
      <c r="I613" s="94"/>
      <c r="J613" s="94"/>
      <c r="K613" s="94"/>
      <c r="L613" s="94"/>
      <c r="M613" s="94"/>
      <c r="N613" s="94"/>
      <c r="O613" s="94"/>
      <c r="P613" s="94"/>
      <c r="Q613" s="94"/>
      <c r="R613" s="94"/>
      <c r="S613" s="94"/>
      <c r="T613" s="94"/>
      <c r="U613" s="94"/>
      <c r="V613" s="94"/>
      <c r="W613" s="94"/>
      <c r="X613" s="94"/>
      <c r="Y613" s="94"/>
      <c r="Z613" s="94"/>
    </row>
    <row r="614">
      <c r="A614" s="94"/>
      <c r="B614" s="94"/>
      <c r="C614" s="94"/>
      <c r="D614" s="94"/>
      <c r="E614" s="94"/>
      <c r="F614" s="94"/>
      <c r="G614" s="94"/>
      <c r="H614" s="94"/>
      <c r="I614" s="94"/>
      <c r="J614" s="94"/>
      <c r="K614" s="94"/>
      <c r="L614" s="94"/>
      <c r="M614" s="94"/>
      <c r="N614" s="94"/>
      <c r="O614" s="94"/>
      <c r="P614" s="94"/>
      <c r="Q614" s="94"/>
      <c r="R614" s="94"/>
      <c r="S614" s="94"/>
      <c r="T614" s="94"/>
      <c r="U614" s="94"/>
      <c r="V614" s="94"/>
      <c r="W614" s="94"/>
      <c r="X614" s="94"/>
      <c r="Y614" s="94"/>
      <c r="Z614" s="94"/>
    </row>
    <row r="615">
      <c r="A615" s="94"/>
      <c r="B615" s="94"/>
      <c r="C615" s="94"/>
      <c r="D615" s="94"/>
      <c r="E615" s="94"/>
      <c r="F615" s="94"/>
      <c r="G615" s="94"/>
      <c r="H615" s="94"/>
      <c r="I615" s="94"/>
      <c r="J615" s="94"/>
      <c r="K615" s="94"/>
      <c r="L615" s="94"/>
      <c r="M615" s="94"/>
      <c r="N615" s="94"/>
      <c r="O615" s="94"/>
      <c r="P615" s="94"/>
      <c r="Q615" s="94"/>
      <c r="R615" s="94"/>
      <c r="S615" s="94"/>
      <c r="T615" s="94"/>
      <c r="U615" s="94"/>
      <c r="V615" s="94"/>
      <c r="W615" s="94"/>
      <c r="X615" s="94"/>
      <c r="Y615" s="94"/>
      <c r="Z615" s="94"/>
    </row>
    <row r="616">
      <c r="A616" s="94"/>
      <c r="B616" s="94"/>
      <c r="C616" s="94"/>
      <c r="D616" s="94"/>
      <c r="E616" s="94"/>
      <c r="F616" s="94"/>
      <c r="G616" s="94"/>
      <c r="H616" s="94"/>
      <c r="I616" s="94"/>
      <c r="J616" s="94"/>
      <c r="K616" s="94"/>
      <c r="L616" s="94"/>
      <c r="M616" s="94"/>
      <c r="N616" s="94"/>
      <c r="O616" s="94"/>
      <c r="P616" s="94"/>
      <c r="Q616" s="94"/>
      <c r="R616" s="94"/>
      <c r="S616" s="94"/>
      <c r="T616" s="94"/>
      <c r="U616" s="94"/>
      <c r="V616" s="94"/>
      <c r="W616" s="94"/>
      <c r="X616" s="94"/>
      <c r="Y616" s="94"/>
      <c r="Z616" s="94"/>
    </row>
    <row r="617">
      <c r="A617" s="94"/>
      <c r="B617" s="94"/>
      <c r="C617" s="94"/>
      <c r="D617" s="94"/>
      <c r="E617" s="94"/>
      <c r="F617" s="94"/>
      <c r="G617" s="94"/>
      <c r="H617" s="94"/>
      <c r="I617" s="94"/>
      <c r="J617" s="94"/>
      <c r="K617" s="94"/>
      <c r="L617" s="94"/>
      <c r="M617" s="94"/>
      <c r="N617" s="94"/>
      <c r="O617" s="94"/>
      <c r="P617" s="94"/>
      <c r="Q617" s="94"/>
      <c r="R617" s="94"/>
      <c r="S617" s="94"/>
      <c r="T617" s="94"/>
      <c r="U617" s="94"/>
      <c r="V617" s="94"/>
      <c r="W617" s="94"/>
      <c r="X617" s="94"/>
      <c r="Y617" s="94"/>
      <c r="Z617" s="94"/>
    </row>
    <row r="618">
      <c r="A618" s="94"/>
      <c r="B618" s="94"/>
      <c r="C618" s="94"/>
      <c r="D618" s="94"/>
      <c r="E618" s="94"/>
      <c r="F618" s="94"/>
      <c r="G618" s="94"/>
      <c r="H618" s="94"/>
      <c r="I618" s="94"/>
      <c r="J618" s="94"/>
      <c r="K618" s="94"/>
      <c r="L618" s="94"/>
      <c r="M618" s="94"/>
      <c r="N618" s="94"/>
      <c r="O618" s="94"/>
      <c r="P618" s="94"/>
      <c r="Q618" s="94"/>
      <c r="R618" s="94"/>
      <c r="S618" s="94"/>
      <c r="T618" s="94"/>
      <c r="U618" s="94"/>
      <c r="V618" s="94"/>
      <c r="W618" s="94"/>
      <c r="X618" s="94"/>
      <c r="Y618" s="94"/>
      <c r="Z618" s="94"/>
    </row>
    <row r="619">
      <c r="A619" s="94"/>
      <c r="B619" s="94"/>
      <c r="C619" s="94"/>
      <c r="D619" s="94"/>
      <c r="E619" s="94"/>
      <c r="F619" s="94"/>
      <c r="G619" s="94"/>
      <c r="H619" s="94"/>
      <c r="I619" s="94"/>
      <c r="J619" s="94"/>
      <c r="K619" s="94"/>
      <c r="L619" s="94"/>
      <c r="M619" s="94"/>
      <c r="N619" s="94"/>
      <c r="O619" s="94"/>
      <c r="P619" s="94"/>
      <c r="Q619" s="94"/>
      <c r="R619" s="94"/>
      <c r="S619" s="94"/>
      <c r="T619" s="94"/>
      <c r="U619" s="94"/>
      <c r="V619" s="94"/>
      <c r="W619" s="94"/>
      <c r="X619" s="94"/>
      <c r="Y619" s="94"/>
      <c r="Z619" s="94"/>
    </row>
    <row r="620">
      <c r="A620" s="94"/>
      <c r="B620" s="94"/>
      <c r="C620" s="94"/>
      <c r="D620" s="94"/>
      <c r="E620" s="94"/>
      <c r="F620" s="94"/>
      <c r="G620" s="94"/>
      <c r="H620" s="94"/>
      <c r="I620" s="94"/>
      <c r="J620" s="94"/>
      <c r="K620" s="94"/>
      <c r="L620" s="94"/>
      <c r="M620" s="94"/>
      <c r="N620" s="94"/>
      <c r="O620" s="94"/>
      <c r="P620" s="94"/>
      <c r="Q620" s="94"/>
      <c r="R620" s="94"/>
      <c r="S620" s="94"/>
      <c r="T620" s="94"/>
      <c r="U620" s="94"/>
      <c r="V620" s="94"/>
      <c r="W620" s="94"/>
      <c r="X620" s="94"/>
      <c r="Y620" s="94"/>
      <c r="Z620" s="94"/>
    </row>
    <row r="621">
      <c r="A621" s="94"/>
      <c r="B621" s="94"/>
      <c r="C621" s="94"/>
      <c r="D621" s="94"/>
      <c r="E621" s="94"/>
      <c r="F621" s="94"/>
      <c r="G621" s="94"/>
      <c r="H621" s="94"/>
      <c r="I621" s="94"/>
      <c r="J621" s="94"/>
      <c r="K621" s="94"/>
      <c r="L621" s="94"/>
      <c r="M621" s="94"/>
      <c r="N621" s="94"/>
      <c r="O621" s="94"/>
      <c r="P621" s="94"/>
      <c r="Q621" s="94"/>
      <c r="R621" s="94"/>
      <c r="S621" s="94"/>
      <c r="T621" s="94"/>
      <c r="U621" s="94"/>
      <c r="V621" s="94"/>
      <c r="W621" s="94"/>
      <c r="X621" s="94"/>
      <c r="Y621" s="94"/>
      <c r="Z621" s="94"/>
    </row>
    <row r="622">
      <c r="A622" s="94"/>
      <c r="B622" s="94"/>
      <c r="C622" s="94"/>
      <c r="D622" s="94"/>
      <c r="E622" s="94"/>
      <c r="F622" s="94"/>
      <c r="G622" s="94"/>
      <c r="H622" s="94"/>
      <c r="I622" s="94"/>
      <c r="J622" s="94"/>
      <c r="K622" s="94"/>
      <c r="L622" s="94"/>
      <c r="M622" s="94"/>
      <c r="N622" s="94"/>
      <c r="O622" s="94"/>
      <c r="P622" s="94"/>
      <c r="Q622" s="94"/>
      <c r="R622" s="94"/>
      <c r="S622" s="94"/>
      <c r="T622" s="94"/>
      <c r="U622" s="94"/>
      <c r="V622" s="94"/>
      <c r="W622" s="94"/>
      <c r="X622" s="94"/>
      <c r="Y622" s="94"/>
      <c r="Z622" s="94"/>
    </row>
    <row r="623">
      <c r="A623" s="94"/>
      <c r="B623" s="94"/>
      <c r="C623" s="94"/>
      <c r="D623" s="94"/>
      <c r="E623" s="94"/>
      <c r="F623" s="94"/>
      <c r="G623" s="94"/>
      <c r="H623" s="94"/>
      <c r="I623" s="94"/>
      <c r="J623" s="94"/>
      <c r="K623" s="94"/>
      <c r="L623" s="94"/>
      <c r="M623" s="94"/>
      <c r="N623" s="94"/>
      <c r="O623" s="94"/>
      <c r="P623" s="94"/>
      <c r="Q623" s="94"/>
      <c r="R623" s="94"/>
      <c r="S623" s="94"/>
      <c r="T623" s="94"/>
      <c r="U623" s="94"/>
      <c r="V623" s="94"/>
      <c r="W623" s="94"/>
      <c r="X623" s="94"/>
      <c r="Y623" s="94"/>
      <c r="Z623" s="94"/>
    </row>
    <row r="624">
      <c r="A624" s="94"/>
      <c r="B624" s="94"/>
      <c r="C624" s="94"/>
      <c r="D624" s="94"/>
      <c r="E624" s="94"/>
      <c r="F624" s="94"/>
      <c r="G624" s="94"/>
      <c r="H624" s="94"/>
      <c r="I624" s="94"/>
      <c r="J624" s="94"/>
      <c r="K624" s="94"/>
      <c r="L624" s="94"/>
      <c r="M624" s="94"/>
      <c r="N624" s="94"/>
      <c r="O624" s="94"/>
      <c r="P624" s="94"/>
      <c r="Q624" s="94"/>
      <c r="R624" s="94"/>
      <c r="S624" s="94"/>
      <c r="T624" s="94"/>
      <c r="U624" s="94"/>
      <c r="V624" s="94"/>
      <c r="W624" s="94"/>
      <c r="X624" s="94"/>
      <c r="Y624" s="94"/>
      <c r="Z624" s="94"/>
    </row>
    <row r="625">
      <c r="A625" s="94"/>
      <c r="B625" s="94"/>
      <c r="C625" s="94"/>
      <c r="D625" s="94"/>
      <c r="E625" s="94"/>
      <c r="F625" s="94"/>
      <c r="G625" s="94"/>
      <c r="H625" s="94"/>
      <c r="I625" s="94"/>
      <c r="J625" s="94"/>
      <c r="K625" s="94"/>
      <c r="L625" s="94"/>
      <c r="M625" s="94"/>
      <c r="N625" s="94"/>
      <c r="O625" s="94"/>
      <c r="P625" s="94"/>
      <c r="Q625" s="94"/>
      <c r="R625" s="94"/>
      <c r="S625" s="94"/>
      <c r="T625" s="94"/>
      <c r="U625" s="94"/>
      <c r="V625" s="94"/>
      <c r="W625" s="94"/>
      <c r="X625" s="94"/>
      <c r="Y625" s="94"/>
      <c r="Z625" s="94"/>
    </row>
    <row r="626">
      <c r="A626" s="94"/>
      <c r="B626" s="94"/>
      <c r="C626" s="94"/>
      <c r="D626" s="94"/>
      <c r="E626" s="94"/>
      <c r="F626" s="94"/>
      <c r="G626" s="94"/>
      <c r="H626" s="94"/>
      <c r="I626" s="94"/>
      <c r="J626" s="94"/>
      <c r="K626" s="94"/>
      <c r="L626" s="94"/>
      <c r="M626" s="94"/>
      <c r="N626" s="94"/>
      <c r="O626" s="94"/>
      <c r="P626" s="94"/>
      <c r="Q626" s="94"/>
      <c r="R626" s="94"/>
      <c r="S626" s="94"/>
      <c r="T626" s="94"/>
      <c r="U626" s="94"/>
      <c r="V626" s="94"/>
      <c r="W626" s="94"/>
      <c r="X626" s="94"/>
      <c r="Y626" s="94"/>
      <c r="Z626" s="94"/>
    </row>
    <row r="627">
      <c r="A627" s="94"/>
      <c r="B627" s="94"/>
      <c r="C627" s="94"/>
      <c r="D627" s="94"/>
      <c r="E627" s="94"/>
      <c r="F627" s="94"/>
      <c r="G627" s="94"/>
      <c r="H627" s="94"/>
      <c r="I627" s="94"/>
      <c r="J627" s="94"/>
      <c r="K627" s="94"/>
      <c r="L627" s="94"/>
      <c r="M627" s="94"/>
      <c r="N627" s="94"/>
      <c r="O627" s="94"/>
      <c r="P627" s="94"/>
      <c r="Q627" s="94"/>
      <c r="R627" s="94"/>
      <c r="S627" s="94"/>
      <c r="T627" s="94"/>
      <c r="U627" s="94"/>
      <c r="V627" s="94"/>
      <c r="W627" s="94"/>
      <c r="X627" s="94"/>
      <c r="Y627" s="94"/>
      <c r="Z627" s="94"/>
    </row>
    <row r="628">
      <c r="A628" s="94"/>
      <c r="B628" s="94"/>
      <c r="C628" s="94"/>
      <c r="D628" s="94"/>
      <c r="E628" s="94"/>
      <c r="F628" s="94"/>
      <c r="G628" s="94"/>
      <c r="H628" s="94"/>
      <c r="I628" s="94"/>
      <c r="J628" s="94"/>
      <c r="K628" s="94"/>
      <c r="L628" s="94"/>
      <c r="M628" s="94"/>
      <c r="N628" s="94"/>
      <c r="O628" s="94"/>
      <c r="P628" s="94"/>
      <c r="Q628" s="94"/>
      <c r="R628" s="94"/>
      <c r="S628" s="94"/>
      <c r="T628" s="94"/>
      <c r="U628" s="94"/>
      <c r="V628" s="94"/>
      <c r="W628" s="94"/>
      <c r="X628" s="94"/>
      <c r="Y628" s="94"/>
      <c r="Z628" s="94"/>
    </row>
    <row r="629">
      <c r="A629" s="94"/>
      <c r="B629" s="94"/>
      <c r="C629" s="94"/>
      <c r="D629" s="94"/>
      <c r="E629" s="94"/>
      <c r="F629" s="94"/>
      <c r="G629" s="94"/>
      <c r="H629" s="94"/>
      <c r="I629" s="94"/>
      <c r="J629" s="94"/>
      <c r="K629" s="94"/>
      <c r="L629" s="94"/>
      <c r="M629" s="94"/>
      <c r="N629" s="94"/>
      <c r="O629" s="94"/>
      <c r="P629" s="94"/>
      <c r="Q629" s="94"/>
      <c r="R629" s="94"/>
      <c r="S629" s="94"/>
      <c r="T629" s="94"/>
      <c r="U629" s="94"/>
      <c r="V629" s="94"/>
      <c r="W629" s="94"/>
      <c r="X629" s="94"/>
      <c r="Y629" s="94"/>
      <c r="Z629" s="94"/>
    </row>
    <row r="630">
      <c r="A630" s="94"/>
      <c r="B630" s="94"/>
      <c r="C630" s="94"/>
      <c r="D630" s="94"/>
      <c r="E630" s="94"/>
      <c r="F630" s="94"/>
      <c r="G630" s="94"/>
      <c r="H630" s="94"/>
      <c r="I630" s="94"/>
      <c r="J630" s="94"/>
      <c r="K630" s="94"/>
      <c r="L630" s="94"/>
      <c r="M630" s="94"/>
      <c r="N630" s="94"/>
      <c r="O630" s="94"/>
      <c r="P630" s="94"/>
      <c r="Q630" s="94"/>
      <c r="R630" s="94"/>
      <c r="S630" s="94"/>
      <c r="T630" s="94"/>
      <c r="U630" s="94"/>
      <c r="V630" s="94"/>
      <c r="W630" s="94"/>
      <c r="X630" s="94"/>
      <c r="Y630" s="94"/>
      <c r="Z630" s="94"/>
    </row>
    <row r="631">
      <c r="A631" s="94"/>
      <c r="B631" s="94"/>
      <c r="C631" s="94"/>
      <c r="D631" s="94"/>
      <c r="E631" s="94"/>
      <c r="F631" s="94"/>
      <c r="G631" s="94"/>
      <c r="H631" s="94"/>
      <c r="I631" s="94"/>
      <c r="J631" s="94"/>
      <c r="K631" s="94"/>
      <c r="L631" s="94"/>
      <c r="M631" s="94"/>
      <c r="N631" s="94"/>
      <c r="O631" s="94"/>
      <c r="P631" s="94"/>
      <c r="Q631" s="94"/>
      <c r="R631" s="94"/>
      <c r="S631" s="94"/>
      <c r="T631" s="94"/>
      <c r="U631" s="94"/>
      <c r="V631" s="94"/>
      <c r="W631" s="94"/>
      <c r="X631" s="94"/>
      <c r="Y631" s="94"/>
      <c r="Z631" s="94"/>
    </row>
    <row r="632">
      <c r="A632" s="94"/>
      <c r="B632" s="94"/>
      <c r="C632" s="94"/>
      <c r="D632" s="94"/>
      <c r="E632" s="94"/>
      <c r="F632" s="94"/>
      <c r="G632" s="94"/>
      <c r="H632" s="94"/>
      <c r="I632" s="94"/>
      <c r="J632" s="94"/>
      <c r="K632" s="94"/>
      <c r="L632" s="94"/>
      <c r="M632" s="94"/>
      <c r="N632" s="94"/>
      <c r="O632" s="94"/>
      <c r="P632" s="94"/>
      <c r="Q632" s="94"/>
      <c r="R632" s="94"/>
      <c r="S632" s="94"/>
      <c r="T632" s="94"/>
      <c r="U632" s="94"/>
      <c r="V632" s="94"/>
      <c r="W632" s="94"/>
      <c r="X632" s="94"/>
      <c r="Y632" s="94"/>
      <c r="Z632" s="94"/>
    </row>
    <row r="633">
      <c r="A633" s="94"/>
      <c r="B633" s="94"/>
      <c r="C633" s="94"/>
      <c r="D633" s="94"/>
      <c r="E633" s="94"/>
      <c r="F633" s="94"/>
      <c r="G633" s="94"/>
      <c r="H633" s="94"/>
      <c r="I633" s="94"/>
      <c r="J633" s="94"/>
      <c r="K633" s="94"/>
      <c r="L633" s="94"/>
      <c r="M633" s="94"/>
      <c r="N633" s="94"/>
      <c r="O633" s="94"/>
      <c r="P633" s="94"/>
      <c r="Q633" s="94"/>
      <c r="R633" s="94"/>
      <c r="S633" s="94"/>
      <c r="T633" s="94"/>
      <c r="U633" s="94"/>
      <c r="V633" s="94"/>
      <c r="W633" s="94"/>
      <c r="X633" s="94"/>
      <c r="Y633" s="94"/>
      <c r="Z633" s="94"/>
    </row>
    <row r="634">
      <c r="A634" s="94"/>
      <c r="B634" s="94"/>
      <c r="C634" s="94"/>
      <c r="D634" s="94"/>
      <c r="E634" s="94"/>
      <c r="F634" s="94"/>
      <c r="G634" s="94"/>
      <c r="H634" s="94"/>
      <c r="I634" s="94"/>
      <c r="J634" s="94"/>
      <c r="K634" s="94"/>
      <c r="L634" s="94"/>
      <c r="M634" s="94"/>
      <c r="N634" s="94"/>
      <c r="O634" s="94"/>
      <c r="P634" s="94"/>
      <c r="Q634" s="94"/>
      <c r="R634" s="94"/>
      <c r="S634" s="94"/>
      <c r="T634" s="94"/>
      <c r="U634" s="94"/>
      <c r="V634" s="94"/>
      <c r="W634" s="94"/>
      <c r="X634" s="94"/>
      <c r="Y634" s="94"/>
      <c r="Z634" s="94"/>
    </row>
    <row r="635">
      <c r="A635" s="94"/>
      <c r="B635" s="94"/>
      <c r="C635" s="94"/>
      <c r="D635" s="94"/>
      <c r="E635" s="94"/>
      <c r="F635" s="94"/>
      <c r="G635" s="94"/>
      <c r="H635" s="94"/>
      <c r="I635" s="94"/>
      <c r="J635" s="94"/>
      <c r="K635" s="94"/>
      <c r="L635" s="94"/>
      <c r="M635" s="94"/>
      <c r="N635" s="94"/>
      <c r="O635" s="94"/>
      <c r="P635" s="94"/>
      <c r="Q635" s="94"/>
      <c r="R635" s="94"/>
      <c r="S635" s="94"/>
      <c r="T635" s="94"/>
      <c r="U635" s="94"/>
      <c r="V635" s="94"/>
      <c r="W635" s="94"/>
      <c r="X635" s="94"/>
      <c r="Y635" s="94"/>
      <c r="Z635" s="94"/>
    </row>
    <row r="636">
      <c r="A636" s="94"/>
      <c r="B636" s="94"/>
      <c r="C636" s="94"/>
      <c r="D636" s="94"/>
      <c r="E636" s="94"/>
      <c r="F636" s="94"/>
      <c r="G636" s="94"/>
      <c r="H636" s="94"/>
      <c r="I636" s="94"/>
      <c r="J636" s="94"/>
      <c r="K636" s="94"/>
      <c r="L636" s="94"/>
      <c r="M636" s="94"/>
      <c r="N636" s="94"/>
      <c r="O636" s="94"/>
      <c r="P636" s="94"/>
      <c r="Q636" s="94"/>
      <c r="R636" s="94"/>
      <c r="S636" s="94"/>
      <c r="T636" s="94"/>
      <c r="U636" s="94"/>
      <c r="V636" s="94"/>
      <c r="W636" s="94"/>
      <c r="X636" s="94"/>
      <c r="Y636" s="94"/>
      <c r="Z636" s="94"/>
    </row>
    <row r="637">
      <c r="A637" s="94"/>
      <c r="B637" s="94"/>
      <c r="C637" s="94"/>
      <c r="D637" s="94"/>
      <c r="E637" s="94"/>
      <c r="F637" s="94"/>
      <c r="G637" s="94"/>
      <c r="H637" s="94"/>
      <c r="I637" s="94"/>
      <c r="J637" s="94"/>
      <c r="K637" s="94"/>
      <c r="L637" s="94"/>
      <c r="M637" s="94"/>
      <c r="N637" s="94"/>
      <c r="O637" s="94"/>
      <c r="P637" s="94"/>
      <c r="Q637" s="94"/>
      <c r="R637" s="94"/>
      <c r="S637" s="94"/>
      <c r="T637" s="94"/>
      <c r="U637" s="94"/>
      <c r="V637" s="94"/>
      <c r="W637" s="94"/>
      <c r="X637" s="94"/>
      <c r="Y637" s="94"/>
      <c r="Z637" s="94"/>
    </row>
    <row r="638">
      <c r="A638" s="94"/>
      <c r="B638" s="94"/>
      <c r="C638" s="94"/>
      <c r="D638" s="94"/>
      <c r="E638" s="94"/>
      <c r="F638" s="94"/>
      <c r="G638" s="94"/>
      <c r="H638" s="94"/>
      <c r="I638" s="94"/>
      <c r="J638" s="94"/>
      <c r="K638" s="94"/>
      <c r="L638" s="94"/>
      <c r="M638" s="94"/>
      <c r="N638" s="94"/>
      <c r="O638" s="94"/>
      <c r="P638" s="94"/>
      <c r="Q638" s="94"/>
      <c r="R638" s="94"/>
      <c r="S638" s="94"/>
      <c r="T638" s="94"/>
      <c r="U638" s="94"/>
      <c r="V638" s="94"/>
      <c r="W638" s="94"/>
      <c r="X638" s="94"/>
      <c r="Y638" s="94"/>
      <c r="Z638" s="94"/>
    </row>
    <row r="639">
      <c r="A639" s="94"/>
      <c r="B639" s="94"/>
      <c r="C639" s="94"/>
      <c r="D639" s="94"/>
      <c r="E639" s="94"/>
      <c r="F639" s="94"/>
      <c r="G639" s="94"/>
      <c r="H639" s="94"/>
      <c r="I639" s="94"/>
      <c r="J639" s="94"/>
      <c r="K639" s="94"/>
      <c r="L639" s="94"/>
      <c r="M639" s="94"/>
      <c r="N639" s="94"/>
      <c r="O639" s="94"/>
      <c r="P639" s="94"/>
      <c r="Q639" s="94"/>
      <c r="R639" s="94"/>
      <c r="S639" s="94"/>
      <c r="T639" s="94"/>
      <c r="U639" s="94"/>
      <c r="V639" s="94"/>
      <c r="W639" s="94"/>
      <c r="X639" s="94"/>
      <c r="Y639" s="94"/>
      <c r="Z639" s="94"/>
    </row>
    <row r="640">
      <c r="A640" s="94"/>
      <c r="B640" s="94"/>
      <c r="C640" s="94"/>
      <c r="D640" s="94"/>
      <c r="E640" s="94"/>
      <c r="F640" s="94"/>
      <c r="G640" s="94"/>
      <c r="H640" s="94"/>
      <c r="I640" s="94"/>
      <c r="J640" s="94"/>
      <c r="K640" s="94"/>
      <c r="L640" s="94"/>
      <c r="M640" s="94"/>
      <c r="N640" s="94"/>
      <c r="O640" s="94"/>
      <c r="P640" s="94"/>
      <c r="Q640" s="94"/>
      <c r="R640" s="94"/>
      <c r="S640" s="94"/>
      <c r="T640" s="94"/>
      <c r="U640" s="94"/>
      <c r="V640" s="94"/>
      <c r="W640" s="94"/>
      <c r="X640" s="94"/>
      <c r="Y640" s="94"/>
      <c r="Z640" s="94"/>
    </row>
    <row r="641">
      <c r="A641" s="94"/>
      <c r="B641" s="94"/>
      <c r="C641" s="94"/>
      <c r="D641" s="94"/>
      <c r="E641" s="94"/>
      <c r="F641" s="94"/>
      <c r="G641" s="94"/>
      <c r="H641" s="94"/>
      <c r="I641" s="94"/>
      <c r="J641" s="94"/>
      <c r="K641" s="94"/>
      <c r="L641" s="94"/>
      <c r="M641" s="94"/>
      <c r="N641" s="94"/>
      <c r="O641" s="94"/>
      <c r="P641" s="94"/>
      <c r="Q641" s="94"/>
      <c r="R641" s="94"/>
      <c r="S641" s="94"/>
      <c r="T641" s="94"/>
      <c r="U641" s="94"/>
      <c r="V641" s="94"/>
      <c r="W641" s="94"/>
      <c r="X641" s="94"/>
      <c r="Y641" s="94"/>
      <c r="Z641" s="94"/>
    </row>
    <row r="642">
      <c r="A642" s="94"/>
      <c r="B642" s="94"/>
      <c r="C642" s="94"/>
      <c r="D642" s="94"/>
      <c r="E642" s="94"/>
      <c r="F642" s="94"/>
      <c r="G642" s="94"/>
      <c r="H642" s="94"/>
      <c r="I642" s="94"/>
      <c r="J642" s="94"/>
      <c r="K642" s="94"/>
      <c r="L642" s="94"/>
      <c r="M642" s="94"/>
      <c r="N642" s="94"/>
      <c r="O642" s="94"/>
      <c r="P642" s="94"/>
      <c r="Q642" s="94"/>
      <c r="R642" s="94"/>
      <c r="S642" s="94"/>
      <c r="T642" s="94"/>
      <c r="U642" s="94"/>
      <c r="V642" s="94"/>
      <c r="W642" s="94"/>
      <c r="X642" s="94"/>
      <c r="Y642" s="94"/>
      <c r="Z642" s="94"/>
    </row>
    <row r="643">
      <c r="A643" s="94"/>
      <c r="B643" s="94"/>
      <c r="C643" s="94"/>
      <c r="D643" s="94"/>
      <c r="E643" s="94"/>
      <c r="F643" s="94"/>
      <c r="G643" s="94"/>
      <c r="H643" s="94"/>
      <c r="I643" s="94"/>
      <c r="J643" s="94"/>
      <c r="K643" s="94"/>
      <c r="L643" s="94"/>
      <c r="M643" s="94"/>
      <c r="N643" s="94"/>
      <c r="O643" s="94"/>
      <c r="P643" s="94"/>
      <c r="Q643" s="94"/>
      <c r="R643" s="94"/>
      <c r="S643" s="94"/>
      <c r="T643" s="94"/>
      <c r="U643" s="94"/>
      <c r="V643" s="94"/>
      <c r="W643" s="94"/>
      <c r="X643" s="94"/>
      <c r="Y643" s="94"/>
      <c r="Z643" s="94"/>
    </row>
    <row r="644">
      <c r="A644" s="94"/>
      <c r="B644" s="94"/>
      <c r="C644" s="94"/>
      <c r="D644" s="94"/>
      <c r="E644" s="94"/>
      <c r="F644" s="94"/>
      <c r="G644" s="94"/>
      <c r="H644" s="94"/>
      <c r="I644" s="94"/>
      <c r="J644" s="94"/>
      <c r="K644" s="94"/>
      <c r="L644" s="94"/>
      <c r="M644" s="94"/>
      <c r="N644" s="94"/>
      <c r="O644" s="94"/>
      <c r="P644" s="94"/>
      <c r="Q644" s="94"/>
      <c r="R644" s="94"/>
      <c r="S644" s="94"/>
      <c r="T644" s="94"/>
      <c r="U644" s="94"/>
      <c r="V644" s="94"/>
      <c r="W644" s="94"/>
      <c r="X644" s="94"/>
      <c r="Y644" s="94"/>
      <c r="Z644" s="94"/>
    </row>
    <row r="645">
      <c r="A645" s="94"/>
      <c r="B645" s="94"/>
      <c r="C645" s="94"/>
      <c r="D645" s="94"/>
      <c r="E645" s="94"/>
      <c r="F645" s="94"/>
      <c r="G645" s="94"/>
      <c r="H645" s="94"/>
      <c r="I645" s="94"/>
      <c r="J645" s="94"/>
      <c r="K645" s="94"/>
      <c r="L645" s="94"/>
      <c r="M645" s="94"/>
      <c r="N645" s="94"/>
      <c r="O645" s="94"/>
      <c r="P645" s="94"/>
      <c r="Q645" s="94"/>
      <c r="R645" s="94"/>
      <c r="S645" s="94"/>
      <c r="T645" s="94"/>
      <c r="U645" s="94"/>
      <c r="V645" s="94"/>
      <c r="W645" s="94"/>
      <c r="X645" s="94"/>
      <c r="Y645" s="94"/>
      <c r="Z645" s="94"/>
    </row>
    <row r="646">
      <c r="A646" s="94"/>
      <c r="B646" s="94"/>
      <c r="C646" s="94"/>
      <c r="D646" s="94"/>
      <c r="E646" s="94"/>
      <c r="F646" s="94"/>
      <c r="G646" s="94"/>
      <c r="H646" s="94"/>
      <c r="I646" s="94"/>
      <c r="J646" s="94"/>
      <c r="K646" s="94"/>
      <c r="L646" s="94"/>
      <c r="M646" s="94"/>
      <c r="N646" s="94"/>
      <c r="O646" s="94"/>
      <c r="P646" s="94"/>
      <c r="Q646" s="94"/>
      <c r="R646" s="94"/>
      <c r="S646" s="94"/>
      <c r="T646" s="94"/>
      <c r="U646" s="94"/>
      <c r="V646" s="94"/>
      <c r="W646" s="94"/>
      <c r="X646" s="94"/>
      <c r="Y646" s="94"/>
      <c r="Z646" s="94"/>
    </row>
    <row r="647">
      <c r="A647" s="94"/>
      <c r="B647" s="94"/>
      <c r="C647" s="94"/>
      <c r="D647" s="94"/>
      <c r="E647" s="94"/>
      <c r="F647" s="94"/>
      <c r="G647" s="94"/>
      <c r="H647" s="94"/>
      <c r="I647" s="94"/>
      <c r="J647" s="94"/>
      <c r="K647" s="94"/>
      <c r="L647" s="94"/>
      <c r="M647" s="94"/>
      <c r="N647" s="94"/>
      <c r="O647" s="94"/>
      <c r="P647" s="94"/>
      <c r="Q647" s="94"/>
      <c r="R647" s="94"/>
      <c r="S647" s="94"/>
      <c r="T647" s="94"/>
      <c r="U647" s="94"/>
      <c r="V647" s="94"/>
      <c r="W647" s="94"/>
      <c r="X647" s="94"/>
      <c r="Y647" s="94"/>
      <c r="Z647" s="94"/>
    </row>
    <row r="648">
      <c r="A648" s="94"/>
      <c r="B648" s="94"/>
      <c r="C648" s="94"/>
      <c r="D648" s="94"/>
      <c r="E648" s="94"/>
      <c r="F648" s="94"/>
      <c r="G648" s="94"/>
      <c r="H648" s="94"/>
      <c r="I648" s="94"/>
      <c r="J648" s="94"/>
      <c r="K648" s="94"/>
      <c r="L648" s="94"/>
      <c r="M648" s="94"/>
      <c r="N648" s="94"/>
      <c r="O648" s="94"/>
      <c r="P648" s="94"/>
      <c r="Q648" s="94"/>
      <c r="R648" s="94"/>
      <c r="S648" s="94"/>
      <c r="T648" s="94"/>
      <c r="U648" s="94"/>
      <c r="V648" s="94"/>
      <c r="W648" s="94"/>
      <c r="X648" s="94"/>
      <c r="Y648" s="94"/>
      <c r="Z648" s="94"/>
    </row>
    <row r="649">
      <c r="A649" s="94"/>
      <c r="B649" s="94"/>
      <c r="C649" s="94"/>
      <c r="D649" s="94"/>
      <c r="E649" s="94"/>
      <c r="F649" s="94"/>
      <c r="G649" s="94"/>
      <c r="H649" s="94"/>
      <c r="I649" s="94"/>
      <c r="J649" s="94"/>
      <c r="K649" s="94"/>
      <c r="L649" s="94"/>
      <c r="M649" s="94"/>
      <c r="N649" s="94"/>
      <c r="O649" s="94"/>
      <c r="P649" s="94"/>
      <c r="Q649" s="94"/>
      <c r="R649" s="94"/>
      <c r="S649" s="94"/>
      <c r="T649" s="94"/>
      <c r="U649" s="94"/>
      <c r="V649" s="94"/>
      <c r="W649" s="94"/>
      <c r="X649" s="94"/>
      <c r="Y649" s="94"/>
      <c r="Z649" s="94"/>
    </row>
    <row r="650">
      <c r="A650" s="94"/>
      <c r="B650" s="94"/>
      <c r="C650" s="94"/>
      <c r="D650" s="94"/>
      <c r="E650" s="94"/>
      <c r="F650" s="94"/>
      <c r="G650" s="94"/>
      <c r="H650" s="94"/>
      <c r="I650" s="94"/>
      <c r="J650" s="94"/>
      <c r="K650" s="94"/>
      <c r="L650" s="94"/>
      <c r="M650" s="94"/>
      <c r="N650" s="94"/>
      <c r="O650" s="94"/>
      <c r="P650" s="94"/>
      <c r="Q650" s="94"/>
      <c r="R650" s="94"/>
      <c r="S650" s="94"/>
      <c r="T650" s="94"/>
      <c r="U650" s="94"/>
      <c r="V650" s="94"/>
      <c r="W650" s="94"/>
      <c r="X650" s="94"/>
      <c r="Y650" s="94"/>
      <c r="Z650" s="94"/>
    </row>
    <row r="651">
      <c r="A651" s="94"/>
      <c r="B651" s="94"/>
      <c r="C651" s="94"/>
      <c r="D651" s="94"/>
      <c r="E651" s="94"/>
      <c r="F651" s="94"/>
      <c r="G651" s="94"/>
      <c r="H651" s="94"/>
      <c r="I651" s="94"/>
      <c r="J651" s="94"/>
      <c r="K651" s="94"/>
      <c r="L651" s="94"/>
      <c r="M651" s="94"/>
      <c r="N651" s="94"/>
      <c r="O651" s="94"/>
      <c r="P651" s="94"/>
      <c r="Q651" s="94"/>
      <c r="R651" s="94"/>
      <c r="S651" s="94"/>
      <c r="T651" s="94"/>
      <c r="U651" s="94"/>
      <c r="V651" s="94"/>
      <c r="W651" s="94"/>
      <c r="X651" s="94"/>
      <c r="Y651" s="94"/>
      <c r="Z651" s="94"/>
    </row>
    <row r="652">
      <c r="A652" s="94"/>
      <c r="B652" s="94"/>
      <c r="C652" s="94"/>
      <c r="D652" s="94"/>
      <c r="E652" s="94"/>
      <c r="F652" s="94"/>
      <c r="G652" s="94"/>
      <c r="H652" s="94"/>
      <c r="I652" s="94"/>
      <c r="J652" s="94"/>
      <c r="K652" s="94"/>
      <c r="L652" s="94"/>
      <c r="M652" s="94"/>
      <c r="N652" s="94"/>
      <c r="O652" s="94"/>
      <c r="P652" s="94"/>
      <c r="Q652" s="94"/>
      <c r="R652" s="94"/>
      <c r="S652" s="94"/>
      <c r="T652" s="94"/>
      <c r="U652" s="94"/>
      <c r="V652" s="94"/>
      <c r="W652" s="94"/>
      <c r="X652" s="94"/>
      <c r="Y652" s="94"/>
      <c r="Z652" s="94"/>
    </row>
    <row r="653">
      <c r="A653" s="94"/>
      <c r="B653" s="94"/>
      <c r="C653" s="94"/>
      <c r="D653" s="94"/>
      <c r="E653" s="94"/>
      <c r="F653" s="94"/>
      <c r="G653" s="94"/>
      <c r="H653" s="94"/>
      <c r="I653" s="94"/>
      <c r="J653" s="94"/>
      <c r="K653" s="94"/>
      <c r="L653" s="94"/>
      <c r="M653" s="94"/>
      <c r="N653" s="94"/>
      <c r="O653" s="94"/>
      <c r="P653" s="94"/>
      <c r="Q653" s="94"/>
      <c r="R653" s="94"/>
      <c r="S653" s="94"/>
      <c r="T653" s="94"/>
      <c r="U653" s="94"/>
      <c r="V653" s="94"/>
      <c r="W653" s="94"/>
      <c r="X653" s="94"/>
      <c r="Y653" s="94"/>
      <c r="Z653" s="94"/>
    </row>
    <row r="654">
      <c r="A654" s="94"/>
      <c r="B654" s="94"/>
      <c r="C654" s="94"/>
      <c r="D654" s="94"/>
      <c r="E654" s="94"/>
      <c r="F654" s="94"/>
      <c r="G654" s="94"/>
      <c r="H654" s="94"/>
      <c r="I654" s="94"/>
      <c r="J654" s="94"/>
      <c r="K654" s="94"/>
      <c r="L654" s="94"/>
      <c r="M654" s="94"/>
      <c r="N654" s="94"/>
      <c r="O654" s="94"/>
      <c r="P654" s="94"/>
      <c r="Q654" s="94"/>
      <c r="R654" s="94"/>
      <c r="S654" s="94"/>
      <c r="T654" s="94"/>
      <c r="U654" s="94"/>
      <c r="V654" s="94"/>
      <c r="W654" s="94"/>
      <c r="X654" s="94"/>
      <c r="Y654" s="94"/>
      <c r="Z654" s="94"/>
    </row>
    <row r="655">
      <c r="A655" s="94"/>
      <c r="B655" s="94"/>
      <c r="C655" s="94"/>
      <c r="D655" s="94"/>
      <c r="E655" s="94"/>
      <c r="F655" s="94"/>
      <c r="G655" s="94"/>
      <c r="H655" s="94"/>
      <c r="I655" s="94"/>
      <c r="J655" s="94"/>
      <c r="K655" s="94"/>
      <c r="L655" s="94"/>
      <c r="M655" s="94"/>
      <c r="N655" s="94"/>
      <c r="O655" s="94"/>
      <c r="P655" s="94"/>
      <c r="Q655" s="94"/>
      <c r="R655" s="94"/>
      <c r="S655" s="94"/>
      <c r="T655" s="94"/>
      <c r="U655" s="94"/>
      <c r="V655" s="94"/>
      <c r="W655" s="94"/>
      <c r="X655" s="94"/>
      <c r="Y655" s="94"/>
      <c r="Z655" s="94"/>
    </row>
    <row r="656">
      <c r="A656" s="94"/>
      <c r="B656" s="94"/>
      <c r="C656" s="94"/>
      <c r="D656" s="94"/>
      <c r="E656" s="94"/>
      <c r="F656" s="94"/>
      <c r="G656" s="94"/>
      <c r="H656" s="94"/>
      <c r="I656" s="94"/>
      <c r="J656" s="94"/>
      <c r="K656" s="94"/>
      <c r="L656" s="94"/>
      <c r="M656" s="94"/>
      <c r="N656" s="94"/>
      <c r="O656" s="94"/>
      <c r="P656" s="94"/>
      <c r="Q656" s="94"/>
      <c r="R656" s="94"/>
      <c r="S656" s="94"/>
      <c r="T656" s="94"/>
      <c r="U656" s="94"/>
      <c r="V656" s="94"/>
      <c r="W656" s="94"/>
      <c r="X656" s="94"/>
      <c r="Y656" s="94"/>
      <c r="Z656" s="94"/>
    </row>
    <row r="657">
      <c r="A657" s="94"/>
      <c r="B657" s="94"/>
      <c r="C657" s="94"/>
      <c r="D657" s="94"/>
      <c r="E657" s="94"/>
      <c r="F657" s="94"/>
      <c r="G657" s="94"/>
      <c r="H657" s="94"/>
      <c r="I657" s="94"/>
      <c r="J657" s="94"/>
      <c r="K657" s="94"/>
      <c r="L657" s="94"/>
      <c r="M657" s="94"/>
      <c r="N657" s="94"/>
      <c r="O657" s="94"/>
      <c r="P657" s="94"/>
      <c r="Q657" s="94"/>
      <c r="R657" s="94"/>
      <c r="S657" s="94"/>
      <c r="T657" s="94"/>
      <c r="U657" s="94"/>
      <c r="V657" s="94"/>
      <c r="W657" s="94"/>
      <c r="X657" s="94"/>
      <c r="Y657" s="94"/>
      <c r="Z657" s="94"/>
    </row>
    <row r="658">
      <c r="A658" s="94"/>
      <c r="B658" s="94"/>
      <c r="C658" s="94"/>
      <c r="D658" s="94"/>
      <c r="E658" s="94"/>
      <c r="F658" s="94"/>
      <c r="G658" s="94"/>
      <c r="H658" s="94"/>
      <c r="I658" s="94"/>
      <c r="J658" s="94"/>
      <c r="K658" s="94"/>
      <c r="L658" s="94"/>
      <c r="M658" s="94"/>
      <c r="N658" s="94"/>
      <c r="O658" s="94"/>
      <c r="P658" s="94"/>
      <c r="Q658" s="94"/>
      <c r="R658" s="94"/>
      <c r="S658" s="94"/>
      <c r="T658" s="94"/>
      <c r="U658" s="94"/>
      <c r="V658" s="94"/>
      <c r="W658" s="94"/>
      <c r="X658" s="94"/>
      <c r="Y658" s="94"/>
      <c r="Z658" s="94"/>
    </row>
    <row r="659">
      <c r="A659" s="94"/>
      <c r="B659" s="94"/>
      <c r="C659" s="94"/>
      <c r="D659" s="94"/>
      <c r="E659" s="94"/>
      <c r="F659" s="94"/>
      <c r="G659" s="94"/>
      <c r="H659" s="94"/>
      <c r="I659" s="94"/>
      <c r="J659" s="94"/>
      <c r="K659" s="94"/>
      <c r="L659" s="94"/>
      <c r="M659" s="94"/>
      <c r="N659" s="94"/>
      <c r="O659" s="94"/>
      <c r="P659" s="94"/>
      <c r="Q659" s="94"/>
      <c r="R659" s="94"/>
      <c r="S659" s="94"/>
      <c r="T659" s="94"/>
      <c r="U659" s="94"/>
      <c r="V659" s="94"/>
      <c r="W659" s="94"/>
      <c r="X659" s="94"/>
      <c r="Y659" s="94"/>
      <c r="Z659" s="94"/>
    </row>
    <row r="660">
      <c r="A660" s="94"/>
      <c r="B660" s="94"/>
      <c r="C660" s="94"/>
      <c r="D660" s="94"/>
      <c r="E660" s="94"/>
      <c r="F660" s="94"/>
      <c r="G660" s="94"/>
      <c r="H660" s="94"/>
      <c r="I660" s="94"/>
      <c r="J660" s="94"/>
      <c r="K660" s="94"/>
      <c r="L660" s="94"/>
      <c r="M660" s="94"/>
      <c r="N660" s="94"/>
      <c r="O660" s="94"/>
      <c r="P660" s="94"/>
      <c r="Q660" s="94"/>
      <c r="R660" s="94"/>
      <c r="S660" s="94"/>
      <c r="T660" s="94"/>
      <c r="U660" s="94"/>
      <c r="V660" s="94"/>
      <c r="W660" s="94"/>
      <c r="X660" s="94"/>
      <c r="Y660" s="94"/>
      <c r="Z660" s="94"/>
    </row>
    <row r="661">
      <c r="A661" s="94"/>
      <c r="B661" s="94"/>
      <c r="C661" s="94"/>
      <c r="D661" s="94"/>
      <c r="E661" s="94"/>
      <c r="F661" s="94"/>
      <c r="G661" s="94"/>
      <c r="H661" s="94"/>
      <c r="I661" s="94"/>
      <c r="J661" s="94"/>
      <c r="K661" s="94"/>
      <c r="L661" s="94"/>
      <c r="M661" s="94"/>
      <c r="N661" s="94"/>
      <c r="O661" s="94"/>
      <c r="P661" s="94"/>
      <c r="Q661" s="94"/>
      <c r="R661" s="94"/>
      <c r="S661" s="94"/>
      <c r="T661" s="94"/>
      <c r="U661" s="94"/>
      <c r="V661" s="94"/>
      <c r="W661" s="94"/>
      <c r="X661" s="94"/>
      <c r="Y661" s="94"/>
      <c r="Z661" s="94"/>
    </row>
    <row r="662">
      <c r="A662" s="94"/>
      <c r="B662" s="94"/>
      <c r="C662" s="94"/>
      <c r="D662" s="94"/>
      <c r="E662" s="94"/>
      <c r="F662" s="94"/>
      <c r="G662" s="94"/>
      <c r="H662" s="94"/>
      <c r="I662" s="94"/>
      <c r="J662" s="94"/>
      <c r="K662" s="94"/>
      <c r="L662" s="94"/>
      <c r="M662" s="94"/>
      <c r="N662" s="94"/>
      <c r="O662" s="94"/>
      <c r="P662" s="94"/>
      <c r="Q662" s="94"/>
      <c r="R662" s="94"/>
      <c r="S662" s="94"/>
      <c r="T662" s="94"/>
      <c r="U662" s="94"/>
      <c r="V662" s="94"/>
      <c r="W662" s="94"/>
      <c r="X662" s="94"/>
      <c r="Y662" s="94"/>
      <c r="Z662" s="94"/>
    </row>
    <row r="663">
      <c r="A663" s="94"/>
      <c r="B663" s="94"/>
      <c r="C663" s="94"/>
      <c r="D663" s="94"/>
      <c r="E663" s="94"/>
      <c r="F663" s="94"/>
      <c r="G663" s="94"/>
      <c r="H663" s="94"/>
      <c r="I663" s="94"/>
      <c r="J663" s="94"/>
      <c r="K663" s="94"/>
      <c r="L663" s="94"/>
      <c r="M663" s="94"/>
      <c r="N663" s="94"/>
      <c r="O663" s="94"/>
      <c r="P663" s="94"/>
      <c r="Q663" s="94"/>
      <c r="R663" s="94"/>
      <c r="S663" s="94"/>
      <c r="T663" s="94"/>
      <c r="U663" s="94"/>
      <c r="V663" s="94"/>
      <c r="W663" s="94"/>
      <c r="X663" s="94"/>
      <c r="Y663" s="94"/>
      <c r="Z663" s="94"/>
    </row>
    <row r="664">
      <c r="A664" s="94"/>
      <c r="B664" s="94"/>
      <c r="C664" s="94"/>
      <c r="D664" s="94"/>
      <c r="E664" s="94"/>
      <c r="F664" s="94"/>
      <c r="G664" s="94"/>
      <c r="H664" s="94"/>
      <c r="I664" s="94"/>
      <c r="J664" s="94"/>
      <c r="K664" s="94"/>
      <c r="L664" s="94"/>
      <c r="M664" s="94"/>
      <c r="N664" s="94"/>
      <c r="O664" s="94"/>
      <c r="P664" s="94"/>
      <c r="Q664" s="94"/>
      <c r="R664" s="94"/>
      <c r="S664" s="94"/>
      <c r="T664" s="94"/>
      <c r="U664" s="94"/>
      <c r="V664" s="94"/>
      <c r="W664" s="94"/>
      <c r="X664" s="94"/>
      <c r="Y664" s="94"/>
      <c r="Z664" s="94"/>
    </row>
    <row r="665">
      <c r="A665" s="94"/>
      <c r="B665" s="94"/>
      <c r="C665" s="94"/>
      <c r="D665" s="94"/>
      <c r="E665" s="94"/>
      <c r="F665" s="94"/>
      <c r="G665" s="94"/>
      <c r="H665" s="94"/>
      <c r="I665" s="94"/>
      <c r="J665" s="94"/>
      <c r="K665" s="94"/>
      <c r="L665" s="94"/>
      <c r="M665" s="94"/>
      <c r="N665" s="94"/>
      <c r="O665" s="94"/>
      <c r="P665" s="94"/>
      <c r="Q665" s="94"/>
      <c r="R665" s="94"/>
      <c r="S665" s="94"/>
      <c r="T665" s="94"/>
      <c r="U665" s="94"/>
      <c r="V665" s="94"/>
      <c r="W665" s="94"/>
      <c r="X665" s="94"/>
      <c r="Y665" s="94"/>
      <c r="Z665" s="94"/>
    </row>
    <row r="666">
      <c r="A666" s="94"/>
      <c r="B666" s="94"/>
      <c r="C666" s="94"/>
      <c r="D666" s="94"/>
      <c r="E666" s="94"/>
      <c r="F666" s="94"/>
      <c r="G666" s="94"/>
      <c r="H666" s="94"/>
      <c r="I666" s="94"/>
      <c r="J666" s="94"/>
      <c r="K666" s="94"/>
      <c r="L666" s="94"/>
      <c r="M666" s="94"/>
      <c r="N666" s="94"/>
      <c r="O666" s="94"/>
      <c r="P666" s="94"/>
      <c r="Q666" s="94"/>
      <c r="R666" s="94"/>
      <c r="S666" s="94"/>
      <c r="T666" s="94"/>
      <c r="U666" s="94"/>
      <c r="V666" s="94"/>
      <c r="W666" s="94"/>
      <c r="X666" s="94"/>
      <c r="Y666" s="94"/>
      <c r="Z666" s="94"/>
    </row>
    <row r="667">
      <c r="A667" s="94"/>
      <c r="B667" s="94"/>
      <c r="C667" s="94"/>
      <c r="D667" s="94"/>
      <c r="E667" s="94"/>
      <c r="F667" s="94"/>
      <c r="G667" s="94"/>
      <c r="H667" s="94"/>
      <c r="I667" s="94"/>
      <c r="J667" s="94"/>
      <c r="K667" s="94"/>
      <c r="L667" s="94"/>
      <c r="M667" s="94"/>
      <c r="N667" s="94"/>
      <c r="O667" s="94"/>
      <c r="P667" s="94"/>
      <c r="Q667" s="94"/>
      <c r="R667" s="94"/>
      <c r="S667" s="94"/>
      <c r="T667" s="94"/>
      <c r="U667" s="94"/>
      <c r="V667" s="94"/>
      <c r="W667" s="94"/>
      <c r="X667" s="94"/>
      <c r="Y667" s="94"/>
      <c r="Z667" s="94"/>
    </row>
    <row r="668">
      <c r="A668" s="94"/>
      <c r="B668" s="94"/>
      <c r="C668" s="94"/>
      <c r="D668" s="94"/>
      <c r="E668" s="94"/>
      <c r="F668" s="94"/>
      <c r="G668" s="94"/>
      <c r="H668" s="94"/>
      <c r="I668" s="94"/>
      <c r="J668" s="94"/>
      <c r="K668" s="94"/>
      <c r="L668" s="94"/>
      <c r="M668" s="94"/>
      <c r="N668" s="94"/>
      <c r="O668" s="94"/>
      <c r="P668" s="94"/>
      <c r="Q668" s="94"/>
      <c r="R668" s="94"/>
      <c r="S668" s="94"/>
      <c r="T668" s="94"/>
      <c r="U668" s="94"/>
      <c r="V668" s="94"/>
      <c r="W668" s="94"/>
      <c r="X668" s="94"/>
      <c r="Y668" s="94"/>
      <c r="Z668" s="94"/>
    </row>
    <row r="669">
      <c r="A669" s="94"/>
      <c r="B669" s="94"/>
      <c r="C669" s="94"/>
      <c r="D669" s="94"/>
      <c r="E669" s="94"/>
      <c r="F669" s="94"/>
      <c r="G669" s="94"/>
      <c r="H669" s="94"/>
      <c r="I669" s="94"/>
      <c r="J669" s="94"/>
      <c r="K669" s="94"/>
      <c r="L669" s="94"/>
      <c r="M669" s="94"/>
      <c r="N669" s="94"/>
      <c r="O669" s="94"/>
      <c r="P669" s="94"/>
      <c r="Q669" s="94"/>
      <c r="R669" s="94"/>
      <c r="S669" s="94"/>
      <c r="T669" s="94"/>
      <c r="U669" s="94"/>
      <c r="V669" s="94"/>
      <c r="W669" s="94"/>
      <c r="X669" s="94"/>
      <c r="Y669" s="94"/>
      <c r="Z669" s="94"/>
    </row>
    <row r="670">
      <c r="A670" s="94"/>
      <c r="B670" s="94"/>
      <c r="C670" s="94"/>
      <c r="D670" s="94"/>
      <c r="E670" s="94"/>
      <c r="F670" s="94"/>
      <c r="G670" s="94"/>
      <c r="H670" s="94"/>
      <c r="I670" s="94"/>
      <c r="J670" s="94"/>
      <c r="K670" s="94"/>
      <c r="L670" s="94"/>
      <c r="M670" s="94"/>
      <c r="N670" s="94"/>
      <c r="O670" s="94"/>
      <c r="P670" s="94"/>
      <c r="Q670" s="94"/>
      <c r="R670" s="94"/>
      <c r="S670" s="94"/>
      <c r="T670" s="94"/>
      <c r="U670" s="94"/>
      <c r="V670" s="94"/>
      <c r="W670" s="94"/>
      <c r="X670" s="94"/>
      <c r="Y670" s="94"/>
      <c r="Z670" s="94"/>
    </row>
    <row r="671">
      <c r="A671" s="94"/>
      <c r="B671" s="94"/>
      <c r="C671" s="94"/>
      <c r="D671" s="94"/>
      <c r="E671" s="94"/>
      <c r="F671" s="94"/>
      <c r="G671" s="94"/>
      <c r="H671" s="94"/>
      <c r="I671" s="94"/>
      <c r="J671" s="94"/>
      <c r="K671" s="94"/>
      <c r="L671" s="94"/>
      <c r="M671" s="94"/>
      <c r="N671" s="94"/>
      <c r="O671" s="94"/>
      <c r="P671" s="94"/>
      <c r="Q671" s="94"/>
      <c r="R671" s="94"/>
      <c r="S671" s="94"/>
      <c r="T671" s="94"/>
      <c r="U671" s="94"/>
      <c r="V671" s="94"/>
      <c r="W671" s="94"/>
      <c r="X671" s="94"/>
      <c r="Y671" s="94"/>
      <c r="Z671" s="94"/>
    </row>
    <row r="672">
      <c r="A672" s="94"/>
      <c r="B672" s="94"/>
      <c r="C672" s="94"/>
      <c r="D672" s="94"/>
      <c r="E672" s="94"/>
      <c r="F672" s="94"/>
      <c r="G672" s="94"/>
      <c r="H672" s="94"/>
      <c r="I672" s="94"/>
      <c r="J672" s="94"/>
      <c r="K672" s="94"/>
      <c r="L672" s="94"/>
      <c r="M672" s="94"/>
      <c r="N672" s="94"/>
      <c r="O672" s="94"/>
      <c r="P672" s="94"/>
      <c r="Q672" s="94"/>
      <c r="R672" s="94"/>
      <c r="S672" s="94"/>
      <c r="T672" s="94"/>
      <c r="U672" s="94"/>
      <c r="V672" s="94"/>
      <c r="W672" s="94"/>
      <c r="X672" s="94"/>
      <c r="Y672" s="94"/>
      <c r="Z672" s="94"/>
    </row>
    <row r="673">
      <c r="A673" s="94"/>
      <c r="B673" s="94"/>
      <c r="C673" s="94"/>
      <c r="D673" s="94"/>
      <c r="E673" s="94"/>
      <c r="F673" s="94"/>
      <c r="G673" s="94"/>
      <c r="H673" s="94"/>
      <c r="I673" s="94"/>
      <c r="J673" s="94"/>
      <c r="K673" s="94"/>
      <c r="L673" s="94"/>
      <c r="M673" s="94"/>
      <c r="N673" s="94"/>
      <c r="O673" s="94"/>
      <c r="P673" s="94"/>
      <c r="Q673" s="94"/>
      <c r="R673" s="94"/>
      <c r="S673" s="94"/>
      <c r="T673" s="94"/>
      <c r="U673" s="94"/>
      <c r="V673" s="94"/>
      <c r="W673" s="94"/>
      <c r="X673" s="94"/>
      <c r="Y673" s="94"/>
      <c r="Z673" s="94"/>
    </row>
    <row r="674">
      <c r="A674" s="94"/>
      <c r="B674" s="94"/>
      <c r="C674" s="94"/>
      <c r="D674" s="94"/>
      <c r="E674" s="94"/>
      <c r="F674" s="94"/>
      <c r="G674" s="94"/>
      <c r="H674" s="94"/>
      <c r="I674" s="94"/>
      <c r="J674" s="94"/>
      <c r="K674" s="94"/>
      <c r="L674" s="94"/>
      <c r="M674" s="94"/>
      <c r="N674" s="94"/>
      <c r="O674" s="94"/>
      <c r="P674" s="94"/>
      <c r="Q674" s="94"/>
      <c r="R674" s="94"/>
      <c r="S674" s="94"/>
      <c r="T674" s="94"/>
      <c r="U674" s="94"/>
      <c r="V674" s="94"/>
      <c r="W674" s="94"/>
      <c r="X674" s="94"/>
      <c r="Y674" s="94"/>
      <c r="Z674" s="94"/>
    </row>
    <row r="675">
      <c r="A675" s="94"/>
      <c r="B675" s="94"/>
      <c r="C675" s="94"/>
      <c r="D675" s="94"/>
      <c r="E675" s="94"/>
      <c r="F675" s="94"/>
      <c r="G675" s="94"/>
      <c r="H675" s="94"/>
      <c r="I675" s="94"/>
      <c r="J675" s="94"/>
      <c r="K675" s="94"/>
      <c r="L675" s="94"/>
      <c r="M675" s="94"/>
      <c r="N675" s="94"/>
      <c r="O675" s="94"/>
      <c r="P675" s="94"/>
      <c r="Q675" s="94"/>
      <c r="R675" s="94"/>
      <c r="S675" s="94"/>
      <c r="T675" s="94"/>
      <c r="U675" s="94"/>
      <c r="V675" s="94"/>
      <c r="W675" s="94"/>
      <c r="X675" s="94"/>
      <c r="Y675" s="94"/>
      <c r="Z675" s="94"/>
    </row>
    <row r="676">
      <c r="A676" s="94"/>
      <c r="B676" s="94"/>
      <c r="C676" s="94"/>
      <c r="D676" s="94"/>
      <c r="E676" s="94"/>
      <c r="F676" s="94"/>
      <c r="G676" s="94"/>
      <c r="H676" s="94"/>
      <c r="I676" s="94"/>
      <c r="J676" s="94"/>
      <c r="K676" s="94"/>
      <c r="L676" s="94"/>
      <c r="M676" s="94"/>
      <c r="N676" s="94"/>
      <c r="O676" s="94"/>
      <c r="P676" s="94"/>
      <c r="Q676" s="94"/>
      <c r="R676" s="94"/>
      <c r="S676" s="94"/>
      <c r="T676" s="94"/>
      <c r="U676" s="94"/>
      <c r="V676" s="94"/>
      <c r="W676" s="94"/>
      <c r="X676" s="94"/>
      <c r="Y676" s="94"/>
      <c r="Z676" s="94"/>
    </row>
    <row r="677">
      <c r="A677" s="94"/>
      <c r="B677" s="94"/>
      <c r="C677" s="94"/>
      <c r="D677" s="94"/>
      <c r="E677" s="94"/>
      <c r="F677" s="94"/>
      <c r="G677" s="94"/>
      <c r="H677" s="94"/>
      <c r="I677" s="94"/>
      <c r="J677" s="94"/>
      <c r="K677" s="94"/>
      <c r="L677" s="94"/>
      <c r="M677" s="94"/>
      <c r="N677" s="94"/>
      <c r="O677" s="94"/>
      <c r="P677" s="94"/>
      <c r="Q677" s="94"/>
      <c r="R677" s="94"/>
      <c r="S677" s="94"/>
      <c r="T677" s="94"/>
      <c r="U677" s="94"/>
      <c r="V677" s="94"/>
      <c r="W677" s="94"/>
      <c r="X677" s="94"/>
      <c r="Y677" s="94"/>
      <c r="Z677" s="94"/>
    </row>
    <row r="678">
      <c r="A678" s="94"/>
      <c r="B678" s="94"/>
      <c r="C678" s="94"/>
      <c r="D678" s="94"/>
      <c r="E678" s="94"/>
      <c r="F678" s="94"/>
      <c r="G678" s="94"/>
      <c r="H678" s="94"/>
      <c r="I678" s="94"/>
      <c r="J678" s="94"/>
      <c r="K678" s="94"/>
      <c r="L678" s="94"/>
      <c r="M678" s="94"/>
      <c r="N678" s="94"/>
      <c r="O678" s="94"/>
      <c r="P678" s="94"/>
      <c r="Q678" s="94"/>
      <c r="R678" s="94"/>
      <c r="S678" s="94"/>
      <c r="T678" s="94"/>
      <c r="U678" s="94"/>
      <c r="V678" s="94"/>
      <c r="W678" s="94"/>
      <c r="X678" s="94"/>
      <c r="Y678" s="94"/>
      <c r="Z678" s="94"/>
    </row>
    <row r="679">
      <c r="A679" s="94"/>
      <c r="B679" s="94"/>
      <c r="C679" s="94"/>
      <c r="D679" s="94"/>
      <c r="E679" s="94"/>
      <c r="F679" s="94"/>
      <c r="G679" s="94"/>
      <c r="H679" s="94"/>
      <c r="I679" s="94"/>
      <c r="J679" s="94"/>
      <c r="K679" s="94"/>
      <c r="L679" s="94"/>
      <c r="M679" s="94"/>
      <c r="N679" s="94"/>
      <c r="O679" s="94"/>
      <c r="P679" s="94"/>
      <c r="Q679" s="94"/>
      <c r="R679" s="94"/>
      <c r="S679" s="94"/>
      <c r="T679" s="94"/>
      <c r="U679" s="94"/>
      <c r="V679" s="94"/>
      <c r="W679" s="94"/>
      <c r="X679" s="94"/>
      <c r="Y679" s="94"/>
      <c r="Z679" s="94"/>
    </row>
    <row r="680">
      <c r="A680" s="94"/>
      <c r="B680" s="94"/>
      <c r="C680" s="94"/>
      <c r="D680" s="94"/>
      <c r="E680" s="94"/>
      <c r="F680" s="94"/>
      <c r="G680" s="94"/>
      <c r="H680" s="94"/>
      <c r="I680" s="94"/>
      <c r="J680" s="94"/>
      <c r="K680" s="94"/>
      <c r="L680" s="94"/>
      <c r="M680" s="94"/>
      <c r="N680" s="94"/>
      <c r="O680" s="94"/>
      <c r="P680" s="94"/>
      <c r="Q680" s="94"/>
      <c r="R680" s="94"/>
      <c r="S680" s="94"/>
      <c r="T680" s="94"/>
      <c r="U680" s="94"/>
      <c r="V680" s="94"/>
      <c r="W680" s="94"/>
      <c r="X680" s="94"/>
      <c r="Y680" s="94"/>
      <c r="Z680" s="94"/>
    </row>
    <row r="681">
      <c r="A681" s="94"/>
      <c r="B681" s="94"/>
      <c r="C681" s="94"/>
      <c r="D681" s="94"/>
      <c r="E681" s="94"/>
      <c r="F681" s="94"/>
      <c r="G681" s="94"/>
      <c r="H681" s="94"/>
      <c r="I681" s="94"/>
      <c r="J681" s="94"/>
      <c r="K681" s="94"/>
      <c r="L681" s="94"/>
      <c r="M681" s="94"/>
      <c r="N681" s="94"/>
      <c r="O681" s="94"/>
      <c r="P681" s="94"/>
      <c r="Q681" s="94"/>
      <c r="R681" s="94"/>
      <c r="S681" s="94"/>
      <c r="T681" s="94"/>
      <c r="U681" s="94"/>
      <c r="V681" s="94"/>
      <c r="W681" s="94"/>
      <c r="X681" s="94"/>
      <c r="Y681" s="94"/>
      <c r="Z681" s="94"/>
    </row>
    <row r="682">
      <c r="A682" s="94"/>
      <c r="B682" s="94"/>
      <c r="C682" s="94"/>
      <c r="D682" s="94"/>
      <c r="E682" s="94"/>
      <c r="F682" s="94"/>
      <c r="G682" s="94"/>
      <c r="H682" s="94"/>
      <c r="I682" s="94"/>
      <c r="J682" s="94"/>
      <c r="K682" s="94"/>
      <c r="L682" s="94"/>
      <c r="M682" s="94"/>
      <c r="N682" s="94"/>
      <c r="O682" s="94"/>
      <c r="P682" s="94"/>
      <c r="Q682" s="94"/>
      <c r="R682" s="94"/>
      <c r="S682" s="94"/>
      <c r="T682" s="94"/>
      <c r="U682" s="94"/>
      <c r="V682" s="94"/>
      <c r="W682" s="94"/>
      <c r="X682" s="94"/>
      <c r="Y682" s="94"/>
      <c r="Z682" s="94"/>
    </row>
    <row r="683">
      <c r="A683" s="94"/>
      <c r="B683" s="94"/>
      <c r="C683" s="94"/>
      <c r="D683" s="94"/>
      <c r="E683" s="94"/>
      <c r="F683" s="94"/>
      <c r="G683" s="94"/>
      <c r="H683" s="94"/>
      <c r="I683" s="94"/>
      <c r="J683" s="94"/>
      <c r="K683" s="94"/>
      <c r="L683" s="94"/>
      <c r="M683" s="94"/>
      <c r="N683" s="94"/>
      <c r="O683" s="94"/>
      <c r="P683" s="94"/>
      <c r="Q683" s="94"/>
      <c r="R683" s="94"/>
      <c r="S683" s="94"/>
      <c r="T683" s="94"/>
      <c r="U683" s="94"/>
      <c r="V683" s="94"/>
      <c r="W683" s="94"/>
      <c r="X683" s="94"/>
      <c r="Y683" s="94"/>
      <c r="Z683" s="94"/>
    </row>
    <row r="684">
      <c r="A684" s="94"/>
      <c r="B684" s="94"/>
      <c r="C684" s="94"/>
      <c r="D684" s="94"/>
      <c r="E684" s="94"/>
      <c r="F684" s="94"/>
      <c r="G684" s="94"/>
      <c r="H684" s="94"/>
      <c r="I684" s="94"/>
      <c r="J684" s="94"/>
      <c r="K684" s="94"/>
      <c r="L684" s="94"/>
      <c r="M684" s="94"/>
      <c r="N684" s="94"/>
      <c r="O684" s="94"/>
      <c r="P684" s="94"/>
      <c r="Q684" s="94"/>
      <c r="R684" s="94"/>
      <c r="S684" s="94"/>
      <c r="T684" s="94"/>
      <c r="U684" s="94"/>
      <c r="V684" s="94"/>
      <c r="W684" s="94"/>
      <c r="X684" s="94"/>
      <c r="Y684" s="94"/>
      <c r="Z684" s="94"/>
    </row>
    <row r="685">
      <c r="A685" s="94"/>
      <c r="B685" s="94"/>
      <c r="C685" s="94"/>
      <c r="D685" s="94"/>
      <c r="E685" s="94"/>
      <c r="F685" s="94"/>
      <c r="G685" s="94"/>
      <c r="H685" s="94"/>
      <c r="I685" s="94"/>
      <c r="J685" s="94"/>
      <c r="K685" s="94"/>
      <c r="L685" s="94"/>
      <c r="M685" s="94"/>
      <c r="N685" s="94"/>
      <c r="O685" s="94"/>
      <c r="P685" s="94"/>
      <c r="Q685" s="94"/>
      <c r="R685" s="94"/>
      <c r="S685" s="94"/>
      <c r="T685" s="94"/>
      <c r="U685" s="94"/>
      <c r="V685" s="94"/>
      <c r="W685" s="94"/>
      <c r="X685" s="94"/>
      <c r="Y685" s="94"/>
      <c r="Z685" s="94"/>
    </row>
    <row r="686">
      <c r="A686" s="94"/>
      <c r="B686" s="94"/>
      <c r="C686" s="94"/>
      <c r="D686" s="94"/>
      <c r="E686" s="94"/>
      <c r="F686" s="94"/>
      <c r="G686" s="94"/>
      <c r="H686" s="94"/>
      <c r="I686" s="94"/>
      <c r="J686" s="94"/>
      <c r="K686" s="94"/>
      <c r="L686" s="94"/>
      <c r="M686" s="94"/>
      <c r="N686" s="94"/>
      <c r="O686" s="94"/>
      <c r="P686" s="94"/>
      <c r="Q686" s="94"/>
      <c r="R686" s="94"/>
      <c r="S686" s="94"/>
      <c r="T686" s="94"/>
      <c r="U686" s="94"/>
      <c r="V686" s="94"/>
      <c r="W686" s="94"/>
      <c r="X686" s="94"/>
      <c r="Y686" s="94"/>
      <c r="Z686" s="94"/>
    </row>
    <row r="687">
      <c r="A687" s="94"/>
      <c r="B687" s="94"/>
      <c r="C687" s="94"/>
      <c r="D687" s="94"/>
      <c r="E687" s="94"/>
      <c r="F687" s="94"/>
      <c r="G687" s="94"/>
      <c r="H687" s="94"/>
      <c r="I687" s="94"/>
      <c r="J687" s="94"/>
      <c r="K687" s="94"/>
      <c r="L687" s="94"/>
      <c r="M687" s="94"/>
      <c r="N687" s="94"/>
      <c r="O687" s="94"/>
      <c r="P687" s="94"/>
      <c r="Q687" s="94"/>
      <c r="R687" s="94"/>
      <c r="S687" s="94"/>
      <c r="T687" s="94"/>
      <c r="U687" s="94"/>
      <c r="V687" s="94"/>
      <c r="W687" s="94"/>
      <c r="X687" s="94"/>
      <c r="Y687" s="94"/>
      <c r="Z687" s="94"/>
    </row>
    <row r="688">
      <c r="A688" s="94"/>
      <c r="B688" s="94"/>
      <c r="C688" s="94"/>
      <c r="D688" s="94"/>
      <c r="E688" s="94"/>
      <c r="F688" s="94"/>
      <c r="G688" s="94"/>
      <c r="H688" s="94"/>
      <c r="I688" s="94"/>
      <c r="J688" s="94"/>
      <c r="K688" s="94"/>
      <c r="L688" s="94"/>
      <c r="M688" s="94"/>
      <c r="N688" s="94"/>
      <c r="O688" s="94"/>
      <c r="P688" s="94"/>
      <c r="Q688" s="94"/>
      <c r="R688" s="94"/>
      <c r="S688" s="94"/>
      <c r="T688" s="94"/>
      <c r="U688" s="94"/>
      <c r="V688" s="94"/>
      <c r="W688" s="94"/>
      <c r="X688" s="94"/>
      <c r="Y688" s="94"/>
      <c r="Z688" s="94"/>
    </row>
    <row r="689">
      <c r="A689" s="94"/>
      <c r="B689" s="94"/>
      <c r="C689" s="94"/>
      <c r="D689" s="94"/>
      <c r="E689" s="94"/>
      <c r="F689" s="94"/>
      <c r="G689" s="94"/>
      <c r="H689" s="94"/>
      <c r="I689" s="94"/>
      <c r="J689" s="94"/>
      <c r="K689" s="94"/>
      <c r="L689" s="94"/>
      <c r="M689" s="94"/>
      <c r="N689" s="94"/>
      <c r="O689" s="94"/>
      <c r="P689" s="94"/>
      <c r="Q689" s="94"/>
      <c r="R689" s="94"/>
      <c r="S689" s="94"/>
      <c r="T689" s="94"/>
      <c r="U689" s="94"/>
      <c r="V689" s="94"/>
      <c r="W689" s="94"/>
      <c r="X689" s="94"/>
      <c r="Y689" s="94"/>
      <c r="Z689" s="94"/>
    </row>
    <row r="690">
      <c r="A690" s="94"/>
      <c r="B690" s="94"/>
      <c r="C690" s="94"/>
      <c r="D690" s="94"/>
      <c r="E690" s="94"/>
      <c r="F690" s="94"/>
      <c r="G690" s="94"/>
      <c r="H690" s="94"/>
      <c r="I690" s="94"/>
      <c r="J690" s="94"/>
      <c r="K690" s="94"/>
      <c r="L690" s="94"/>
      <c r="M690" s="94"/>
      <c r="N690" s="94"/>
      <c r="O690" s="94"/>
      <c r="P690" s="94"/>
      <c r="Q690" s="94"/>
      <c r="R690" s="94"/>
      <c r="S690" s="94"/>
      <c r="T690" s="94"/>
      <c r="U690" s="94"/>
      <c r="V690" s="94"/>
      <c r="W690" s="94"/>
      <c r="X690" s="94"/>
      <c r="Y690" s="94"/>
      <c r="Z690" s="94"/>
    </row>
    <row r="691">
      <c r="A691" s="94"/>
      <c r="B691" s="94"/>
      <c r="C691" s="94"/>
      <c r="D691" s="94"/>
      <c r="E691" s="94"/>
      <c r="F691" s="94"/>
      <c r="G691" s="94"/>
      <c r="H691" s="94"/>
      <c r="I691" s="94"/>
      <c r="J691" s="94"/>
      <c r="K691" s="94"/>
      <c r="L691" s="94"/>
      <c r="M691" s="94"/>
      <c r="N691" s="94"/>
      <c r="O691" s="94"/>
      <c r="P691" s="94"/>
      <c r="Q691" s="94"/>
      <c r="R691" s="94"/>
      <c r="S691" s="94"/>
      <c r="T691" s="94"/>
      <c r="U691" s="94"/>
      <c r="V691" s="94"/>
      <c r="W691" s="94"/>
      <c r="X691" s="94"/>
      <c r="Y691" s="94"/>
      <c r="Z691" s="94"/>
    </row>
    <row r="692">
      <c r="A692" s="94"/>
      <c r="B692" s="94"/>
      <c r="C692" s="94"/>
      <c r="D692" s="94"/>
      <c r="E692" s="94"/>
      <c r="F692" s="94"/>
      <c r="G692" s="94"/>
      <c r="H692" s="94"/>
      <c r="I692" s="94"/>
      <c r="J692" s="94"/>
      <c r="K692" s="94"/>
      <c r="L692" s="94"/>
      <c r="M692" s="94"/>
      <c r="N692" s="94"/>
      <c r="O692" s="94"/>
      <c r="P692" s="94"/>
      <c r="Q692" s="94"/>
      <c r="R692" s="94"/>
      <c r="S692" s="94"/>
      <c r="T692" s="94"/>
      <c r="U692" s="94"/>
      <c r="V692" s="94"/>
      <c r="W692" s="94"/>
      <c r="X692" s="94"/>
      <c r="Y692" s="94"/>
      <c r="Z692" s="94"/>
    </row>
    <row r="693">
      <c r="A693" s="94"/>
      <c r="B693" s="94"/>
      <c r="C693" s="94"/>
      <c r="D693" s="94"/>
      <c r="E693" s="94"/>
      <c r="F693" s="94"/>
      <c r="G693" s="94"/>
      <c r="H693" s="94"/>
      <c r="I693" s="94"/>
      <c r="J693" s="94"/>
      <c r="K693" s="94"/>
      <c r="L693" s="94"/>
      <c r="M693" s="94"/>
      <c r="N693" s="94"/>
      <c r="O693" s="94"/>
      <c r="P693" s="94"/>
      <c r="Q693" s="94"/>
      <c r="R693" s="94"/>
      <c r="S693" s="94"/>
      <c r="T693" s="94"/>
      <c r="U693" s="94"/>
      <c r="V693" s="94"/>
      <c r="W693" s="94"/>
      <c r="X693" s="94"/>
      <c r="Y693" s="94"/>
      <c r="Z693" s="94"/>
    </row>
    <row r="694">
      <c r="A694" s="94"/>
      <c r="B694" s="94"/>
      <c r="C694" s="94"/>
      <c r="D694" s="94"/>
      <c r="E694" s="94"/>
      <c r="F694" s="94"/>
      <c r="G694" s="94"/>
      <c r="H694" s="94"/>
      <c r="I694" s="94"/>
      <c r="J694" s="94"/>
      <c r="K694" s="94"/>
      <c r="L694" s="94"/>
      <c r="M694" s="94"/>
      <c r="N694" s="94"/>
      <c r="O694" s="94"/>
      <c r="P694" s="94"/>
      <c r="Q694" s="94"/>
      <c r="R694" s="94"/>
      <c r="S694" s="94"/>
      <c r="T694" s="94"/>
      <c r="U694" s="94"/>
      <c r="V694" s="94"/>
      <c r="W694" s="94"/>
      <c r="X694" s="94"/>
      <c r="Y694" s="94"/>
      <c r="Z694" s="94"/>
    </row>
    <row r="695">
      <c r="A695" s="94"/>
      <c r="B695" s="94"/>
      <c r="C695" s="94"/>
      <c r="D695" s="94"/>
      <c r="E695" s="94"/>
      <c r="F695" s="94"/>
      <c r="G695" s="94"/>
      <c r="H695" s="94"/>
      <c r="I695" s="94"/>
      <c r="J695" s="94"/>
      <c r="K695" s="94"/>
      <c r="L695" s="94"/>
      <c r="M695" s="94"/>
      <c r="N695" s="94"/>
      <c r="O695" s="94"/>
      <c r="P695" s="94"/>
      <c r="Q695" s="94"/>
      <c r="R695" s="94"/>
      <c r="S695" s="94"/>
      <c r="T695" s="94"/>
      <c r="U695" s="94"/>
      <c r="V695" s="94"/>
      <c r="W695" s="94"/>
      <c r="X695" s="94"/>
      <c r="Y695" s="94"/>
      <c r="Z695" s="94"/>
    </row>
    <row r="696">
      <c r="A696" s="94"/>
      <c r="B696" s="94"/>
      <c r="C696" s="94"/>
      <c r="D696" s="94"/>
      <c r="E696" s="94"/>
      <c r="F696" s="94"/>
      <c r="G696" s="94"/>
      <c r="H696" s="94"/>
      <c r="I696" s="94"/>
      <c r="J696" s="94"/>
      <c r="K696" s="94"/>
      <c r="L696" s="94"/>
      <c r="M696" s="94"/>
      <c r="N696" s="94"/>
      <c r="O696" s="94"/>
      <c r="P696" s="94"/>
      <c r="Q696" s="94"/>
      <c r="R696" s="94"/>
      <c r="S696" s="94"/>
      <c r="T696" s="94"/>
      <c r="U696" s="94"/>
      <c r="V696" s="94"/>
      <c r="W696" s="94"/>
      <c r="X696" s="94"/>
      <c r="Y696" s="94"/>
      <c r="Z696" s="94"/>
    </row>
    <row r="697">
      <c r="A697" s="94"/>
      <c r="B697" s="94"/>
      <c r="C697" s="94"/>
      <c r="D697" s="94"/>
      <c r="E697" s="94"/>
      <c r="F697" s="94"/>
      <c r="G697" s="94"/>
      <c r="H697" s="94"/>
      <c r="I697" s="94"/>
      <c r="J697" s="94"/>
      <c r="K697" s="94"/>
      <c r="L697" s="94"/>
      <c r="M697" s="94"/>
      <c r="N697" s="94"/>
      <c r="O697" s="94"/>
      <c r="P697" s="94"/>
      <c r="Q697" s="94"/>
      <c r="R697" s="94"/>
      <c r="S697" s="94"/>
      <c r="T697" s="94"/>
      <c r="U697" s="94"/>
      <c r="V697" s="94"/>
      <c r="W697" s="94"/>
      <c r="X697" s="94"/>
      <c r="Y697" s="94"/>
      <c r="Z697" s="94"/>
    </row>
    <row r="698">
      <c r="A698" s="94"/>
      <c r="B698" s="94"/>
      <c r="C698" s="94"/>
      <c r="D698" s="94"/>
      <c r="E698" s="94"/>
      <c r="F698" s="94"/>
      <c r="G698" s="94"/>
      <c r="H698" s="94"/>
      <c r="I698" s="94"/>
      <c r="J698" s="94"/>
      <c r="K698" s="94"/>
      <c r="L698" s="94"/>
      <c r="M698" s="94"/>
      <c r="N698" s="94"/>
      <c r="O698" s="94"/>
      <c r="P698" s="94"/>
      <c r="Q698" s="94"/>
      <c r="R698" s="94"/>
      <c r="S698" s="94"/>
      <c r="T698" s="94"/>
      <c r="U698" s="94"/>
      <c r="V698" s="94"/>
      <c r="W698" s="94"/>
      <c r="X698" s="94"/>
      <c r="Y698" s="94"/>
      <c r="Z698" s="94"/>
    </row>
    <row r="699">
      <c r="A699" s="94"/>
      <c r="B699" s="94"/>
      <c r="C699" s="94"/>
      <c r="D699" s="94"/>
      <c r="E699" s="94"/>
      <c r="F699" s="94"/>
      <c r="G699" s="94"/>
      <c r="H699" s="94"/>
      <c r="I699" s="94"/>
      <c r="J699" s="94"/>
      <c r="K699" s="94"/>
      <c r="L699" s="94"/>
      <c r="M699" s="94"/>
      <c r="N699" s="94"/>
      <c r="O699" s="94"/>
      <c r="P699" s="94"/>
      <c r="Q699" s="94"/>
      <c r="R699" s="94"/>
      <c r="S699" s="94"/>
      <c r="T699" s="94"/>
      <c r="U699" s="94"/>
      <c r="V699" s="94"/>
      <c r="W699" s="94"/>
      <c r="X699" s="94"/>
      <c r="Y699" s="94"/>
      <c r="Z699" s="94"/>
    </row>
    <row r="700">
      <c r="A700" s="94"/>
      <c r="B700" s="94"/>
      <c r="C700" s="94"/>
      <c r="D700" s="94"/>
      <c r="E700" s="94"/>
      <c r="F700" s="94"/>
      <c r="G700" s="94"/>
      <c r="H700" s="94"/>
      <c r="I700" s="94"/>
      <c r="J700" s="94"/>
      <c r="K700" s="94"/>
      <c r="L700" s="94"/>
      <c r="M700" s="94"/>
      <c r="N700" s="94"/>
      <c r="O700" s="94"/>
      <c r="P700" s="94"/>
      <c r="Q700" s="94"/>
      <c r="R700" s="94"/>
      <c r="S700" s="94"/>
      <c r="T700" s="94"/>
      <c r="U700" s="94"/>
      <c r="V700" s="94"/>
      <c r="W700" s="94"/>
      <c r="X700" s="94"/>
      <c r="Y700" s="94"/>
      <c r="Z700" s="94"/>
    </row>
    <row r="701">
      <c r="A701" s="94"/>
      <c r="B701" s="94"/>
      <c r="C701" s="94"/>
      <c r="D701" s="94"/>
      <c r="E701" s="94"/>
      <c r="F701" s="94"/>
      <c r="G701" s="94"/>
      <c r="H701" s="94"/>
      <c r="I701" s="94"/>
      <c r="J701" s="94"/>
      <c r="K701" s="94"/>
      <c r="L701" s="94"/>
      <c r="M701" s="94"/>
      <c r="N701" s="94"/>
      <c r="O701" s="94"/>
      <c r="P701" s="94"/>
      <c r="Q701" s="94"/>
      <c r="R701" s="94"/>
      <c r="S701" s="94"/>
      <c r="T701" s="94"/>
      <c r="U701" s="94"/>
      <c r="V701" s="94"/>
      <c r="W701" s="94"/>
      <c r="X701" s="94"/>
      <c r="Y701" s="94"/>
      <c r="Z701" s="94"/>
    </row>
    <row r="702">
      <c r="A702" s="94"/>
      <c r="B702" s="94"/>
      <c r="C702" s="94"/>
      <c r="D702" s="94"/>
      <c r="E702" s="94"/>
      <c r="F702" s="94"/>
      <c r="G702" s="94"/>
      <c r="H702" s="94"/>
      <c r="I702" s="94"/>
      <c r="J702" s="94"/>
      <c r="K702" s="94"/>
      <c r="L702" s="94"/>
      <c r="M702" s="94"/>
      <c r="N702" s="94"/>
      <c r="O702" s="94"/>
      <c r="P702" s="94"/>
      <c r="Q702" s="94"/>
      <c r="R702" s="94"/>
      <c r="S702" s="94"/>
      <c r="T702" s="94"/>
      <c r="U702" s="94"/>
      <c r="V702" s="94"/>
      <c r="W702" s="94"/>
      <c r="X702" s="94"/>
      <c r="Y702" s="94"/>
      <c r="Z702" s="94"/>
    </row>
    <row r="703">
      <c r="A703" s="94"/>
      <c r="B703" s="94"/>
      <c r="C703" s="94"/>
      <c r="D703" s="94"/>
      <c r="E703" s="94"/>
      <c r="F703" s="94"/>
      <c r="G703" s="94"/>
      <c r="H703" s="94"/>
      <c r="I703" s="94"/>
      <c r="J703" s="94"/>
      <c r="K703" s="94"/>
      <c r="L703" s="94"/>
      <c r="M703" s="94"/>
      <c r="N703" s="94"/>
      <c r="O703" s="94"/>
      <c r="P703" s="94"/>
      <c r="Q703" s="94"/>
      <c r="R703" s="94"/>
      <c r="S703" s="94"/>
      <c r="T703" s="94"/>
      <c r="U703" s="94"/>
      <c r="V703" s="94"/>
      <c r="W703" s="94"/>
      <c r="X703" s="94"/>
      <c r="Y703" s="94"/>
      <c r="Z703" s="94"/>
    </row>
    <row r="704">
      <c r="A704" s="94"/>
      <c r="B704" s="94"/>
      <c r="C704" s="94"/>
      <c r="D704" s="94"/>
      <c r="E704" s="94"/>
      <c r="F704" s="94"/>
      <c r="G704" s="94"/>
      <c r="H704" s="94"/>
      <c r="I704" s="94"/>
      <c r="J704" s="94"/>
      <c r="K704" s="94"/>
      <c r="L704" s="94"/>
      <c r="M704" s="94"/>
      <c r="N704" s="94"/>
      <c r="O704" s="94"/>
      <c r="P704" s="94"/>
      <c r="Q704" s="94"/>
      <c r="R704" s="94"/>
      <c r="S704" s="94"/>
      <c r="T704" s="94"/>
      <c r="U704" s="94"/>
      <c r="V704" s="94"/>
      <c r="W704" s="94"/>
      <c r="X704" s="94"/>
      <c r="Y704" s="94"/>
      <c r="Z704" s="94"/>
    </row>
    <row r="705">
      <c r="A705" s="94"/>
      <c r="B705" s="94"/>
      <c r="C705" s="94"/>
      <c r="D705" s="94"/>
      <c r="E705" s="94"/>
      <c r="F705" s="94"/>
      <c r="G705" s="94"/>
      <c r="H705" s="94"/>
      <c r="I705" s="94"/>
      <c r="J705" s="94"/>
      <c r="K705" s="94"/>
      <c r="L705" s="94"/>
      <c r="M705" s="94"/>
      <c r="N705" s="94"/>
      <c r="O705" s="94"/>
      <c r="P705" s="94"/>
      <c r="Q705" s="94"/>
      <c r="R705" s="94"/>
      <c r="S705" s="94"/>
      <c r="T705" s="94"/>
      <c r="U705" s="94"/>
      <c r="V705" s="94"/>
      <c r="W705" s="94"/>
      <c r="X705" s="94"/>
      <c r="Y705" s="94"/>
      <c r="Z705" s="94"/>
    </row>
    <row r="706">
      <c r="A706" s="94"/>
      <c r="B706" s="94"/>
      <c r="C706" s="94"/>
      <c r="D706" s="94"/>
      <c r="E706" s="94"/>
      <c r="F706" s="94"/>
      <c r="G706" s="94"/>
      <c r="H706" s="94"/>
      <c r="I706" s="94"/>
      <c r="J706" s="94"/>
      <c r="K706" s="94"/>
      <c r="L706" s="94"/>
      <c r="M706" s="94"/>
      <c r="N706" s="94"/>
      <c r="O706" s="94"/>
      <c r="P706" s="94"/>
      <c r="Q706" s="94"/>
      <c r="R706" s="94"/>
      <c r="S706" s="94"/>
      <c r="T706" s="94"/>
      <c r="U706" s="94"/>
      <c r="V706" s="94"/>
      <c r="W706" s="94"/>
      <c r="X706" s="94"/>
      <c r="Y706" s="94"/>
      <c r="Z706" s="94"/>
    </row>
    <row r="707">
      <c r="A707" s="94"/>
      <c r="B707" s="94"/>
      <c r="C707" s="94"/>
      <c r="D707" s="94"/>
      <c r="E707" s="94"/>
      <c r="F707" s="94"/>
      <c r="G707" s="94"/>
      <c r="H707" s="94"/>
      <c r="I707" s="94"/>
      <c r="J707" s="94"/>
      <c r="K707" s="94"/>
      <c r="L707" s="94"/>
      <c r="M707" s="94"/>
      <c r="N707" s="94"/>
      <c r="O707" s="94"/>
      <c r="P707" s="94"/>
      <c r="Q707" s="94"/>
      <c r="R707" s="94"/>
      <c r="S707" s="94"/>
      <c r="T707" s="94"/>
      <c r="U707" s="94"/>
      <c r="V707" s="94"/>
      <c r="W707" s="94"/>
      <c r="X707" s="94"/>
      <c r="Y707" s="94"/>
      <c r="Z707" s="94"/>
    </row>
    <row r="708">
      <c r="A708" s="94"/>
      <c r="B708" s="94"/>
      <c r="C708" s="94"/>
      <c r="D708" s="94"/>
      <c r="E708" s="94"/>
      <c r="F708" s="94"/>
      <c r="G708" s="94"/>
      <c r="H708" s="94"/>
      <c r="I708" s="94"/>
      <c r="J708" s="94"/>
      <c r="K708" s="94"/>
      <c r="L708" s="94"/>
      <c r="M708" s="94"/>
      <c r="N708" s="94"/>
      <c r="O708" s="94"/>
      <c r="P708" s="94"/>
      <c r="Q708" s="94"/>
      <c r="R708" s="94"/>
      <c r="S708" s="94"/>
      <c r="T708" s="94"/>
      <c r="U708" s="94"/>
      <c r="V708" s="94"/>
      <c r="W708" s="94"/>
      <c r="X708" s="94"/>
      <c r="Y708" s="94"/>
      <c r="Z708" s="94"/>
    </row>
    <row r="709">
      <c r="A709" s="94"/>
      <c r="B709" s="94"/>
      <c r="C709" s="94"/>
      <c r="D709" s="94"/>
      <c r="E709" s="94"/>
      <c r="F709" s="94"/>
      <c r="G709" s="94"/>
      <c r="H709" s="94"/>
      <c r="I709" s="94"/>
      <c r="J709" s="94"/>
      <c r="K709" s="94"/>
      <c r="L709" s="94"/>
      <c r="M709" s="94"/>
      <c r="N709" s="94"/>
      <c r="O709" s="94"/>
      <c r="P709" s="94"/>
      <c r="Q709" s="94"/>
      <c r="R709" s="94"/>
      <c r="S709" s="94"/>
      <c r="T709" s="94"/>
      <c r="U709" s="94"/>
      <c r="V709" s="94"/>
      <c r="W709" s="94"/>
      <c r="X709" s="94"/>
      <c r="Y709" s="94"/>
      <c r="Z709" s="94"/>
    </row>
    <row r="710">
      <c r="A710" s="94"/>
      <c r="B710" s="94"/>
      <c r="C710" s="94"/>
      <c r="D710" s="94"/>
      <c r="E710" s="94"/>
      <c r="F710" s="94"/>
      <c r="G710" s="94"/>
      <c r="H710" s="94"/>
      <c r="I710" s="94"/>
      <c r="J710" s="94"/>
      <c r="K710" s="94"/>
      <c r="L710" s="94"/>
      <c r="M710" s="94"/>
      <c r="N710" s="94"/>
      <c r="O710" s="94"/>
      <c r="P710" s="94"/>
      <c r="Q710" s="94"/>
      <c r="R710" s="94"/>
      <c r="S710" s="94"/>
      <c r="T710" s="94"/>
      <c r="U710" s="94"/>
      <c r="V710" s="94"/>
      <c r="W710" s="94"/>
      <c r="X710" s="94"/>
      <c r="Y710" s="94"/>
      <c r="Z710" s="94"/>
    </row>
    <row r="711">
      <c r="A711" s="94"/>
      <c r="B711" s="94"/>
      <c r="C711" s="94"/>
      <c r="D711" s="94"/>
      <c r="E711" s="94"/>
      <c r="F711" s="94"/>
      <c r="G711" s="94"/>
      <c r="H711" s="94"/>
      <c r="I711" s="94"/>
      <c r="J711" s="94"/>
      <c r="K711" s="94"/>
      <c r="L711" s="94"/>
      <c r="M711" s="94"/>
      <c r="N711" s="94"/>
      <c r="O711" s="94"/>
      <c r="P711" s="94"/>
      <c r="Q711" s="94"/>
      <c r="R711" s="94"/>
      <c r="S711" s="94"/>
      <c r="T711" s="94"/>
      <c r="U711" s="94"/>
      <c r="V711" s="94"/>
      <c r="W711" s="94"/>
      <c r="X711" s="94"/>
      <c r="Y711" s="94"/>
      <c r="Z711" s="94"/>
    </row>
  </sheetData>
  <dataValidations>
    <dataValidation type="list" allowBlank="1" showErrorMessage="1" sqref="F17:F22">
      <formula1>"1: Costo Base (Hasta 1.000 UTM),2: Costo Medio (Entre 1.001 y 5.000 UTM),3: Costo Significativo (Entre 5.001 y 10.000 UTM),4: Alto Costo (Entre 10.001 y 15.000 UTM),5: Muy Alto Costo (Más de 15.000 UTM)"</formula1>
    </dataValidation>
    <dataValidation type="list" allowBlank="1" showErrorMessage="1" sqref="E17:E22">
      <formula1>"Administración y Finanzas ,Control de gestión,Fiscalía - jurídica,Gestión de personas,Atención de usuarios - clientes,Oficina de partes,Tecnología,Comunicaciones,Gabinete,Áreas asociadas al mandato institucional"</formula1>
    </dataValidation>
    <dataValidation type="custom" allowBlank="1" showDropDown="1" sqref="G17:H22">
      <formula1>OR(NOT(ISERROR(DATEVALUE(G17))), AND(ISNUMBER(G17), LEFT(CELL("format", G17))="D"))</formula1>
    </dataValidation>
  </dataValidation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1.38"/>
    <col customWidth="1" min="3" max="3" width="7.63"/>
    <col customWidth="1" min="4" max="4" width="23.63"/>
    <col customWidth="1" min="5" max="5" width="11.0"/>
    <col customWidth="1" min="6" max="6" width="6.25"/>
    <col customWidth="1" min="7" max="7" width="7.5"/>
    <col customWidth="1" min="8" max="8" width="10.63"/>
    <col customWidth="1" min="9" max="9" width="10.25"/>
    <col customWidth="1" min="10" max="10" width="5.0"/>
    <col customWidth="1" min="12" max="12" width="29.13"/>
    <col customWidth="1" min="13" max="13" width="28.38"/>
    <col customWidth="1" min="16" max="17" width="8.75"/>
  </cols>
  <sheetData>
    <row r="1">
      <c r="A1" s="384" t="s">
        <v>2580</v>
      </c>
      <c r="B1" s="384" t="s">
        <v>2581</v>
      </c>
      <c r="C1" s="385" t="s">
        <v>2582</v>
      </c>
      <c r="D1" s="363" t="s">
        <v>2583</v>
      </c>
      <c r="E1" s="385" t="s">
        <v>2584</v>
      </c>
      <c r="F1" s="385" t="s">
        <v>2585</v>
      </c>
      <c r="G1" s="385" t="s">
        <v>1807</v>
      </c>
      <c r="H1" s="385" t="s">
        <v>2586</v>
      </c>
      <c r="I1" s="385" t="s">
        <v>2587</v>
      </c>
      <c r="J1" s="386" t="s">
        <v>2588</v>
      </c>
      <c r="K1" s="386" t="s">
        <v>2283</v>
      </c>
      <c r="L1" s="384" t="s">
        <v>2589</v>
      </c>
      <c r="M1" s="384" t="s">
        <v>2307</v>
      </c>
      <c r="N1" s="376" t="s">
        <v>1812</v>
      </c>
      <c r="O1" s="376" t="s">
        <v>1813</v>
      </c>
      <c r="P1" s="365" t="s">
        <v>2532</v>
      </c>
      <c r="Q1" s="365" t="s">
        <v>2533</v>
      </c>
      <c r="R1" s="387"/>
      <c r="S1" s="387"/>
      <c r="T1" s="387"/>
      <c r="U1" s="387"/>
      <c r="V1" s="387"/>
      <c r="W1" s="387"/>
      <c r="X1" s="387"/>
      <c r="Y1" s="387"/>
      <c r="Z1" s="387"/>
      <c r="AA1" s="387"/>
      <c r="AB1" s="387"/>
    </row>
    <row r="2">
      <c r="A2" s="365" t="s">
        <v>100</v>
      </c>
      <c r="B2" s="388" t="s">
        <v>101</v>
      </c>
      <c r="C2" s="389">
        <v>45658.0</v>
      </c>
      <c r="D2" s="365" t="s">
        <v>2590</v>
      </c>
      <c r="E2" s="388" t="s">
        <v>104</v>
      </c>
      <c r="F2" s="390">
        <f t="shared" ref="F2:F31" si="1">1/6</f>
        <v>0.1666666667</v>
      </c>
      <c r="G2" s="388" t="s">
        <v>2591</v>
      </c>
      <c r="H2" s="388" t="s">
        <v>2592</v>
      </c>
      <c r="I2" s="388" t="s">
        <v>2593</v>
      </c>
      <c r="J2" s="388">
        <v>1.0</v>
      </c>
      <c r="K2" s="388" t="s">
        <v>2289</v>
      </c>
      <c r="L2" s="365" t="s">
        <v>2534</v>
      </c>
      <c r="M2" s="365" t="s">
        <v>2535</v>
      </c>
      <c r="N2" s="364"/>
      <c r="O2" s="364"/>
      <c r="P2" s="365" t="s">
        <v>2594</v>
      </c>
      <c r="Q2" s="365" t="s">
        <v>2594</v>
      </c>
      <c r="R2" s="387"/>
      <c r="S2" s="387"/>
      <c r="T2" s="387"/>
      <c r="U2" s="387"/>
      <c r="V2" s="387"/>
      <c r="W2" s="387"/>
      <c r="X2" s="387"/>
      <c r="Y2" s="387"/>
      <c r="Z2" s="387"/>
      <c r="AA2" s="387"/>
      <c r="AB2" s="387"/>
    </row>
    <row r="3">
      <c r="A3" s="365" t="s">
        <v>100</v>
      </c>
      <c r="B3" s="388" t="s">
        <v>101</v>
      </c>
      <c r="C3" s="389">
        <v>45658.0</v>
      </c>
      <c r="D3" s="365" t="s">
        <v>2590</v>
      </c>
      <c r="E3" s="388" t="s">
        <v>104</v>
      </c>
      <c r="F3" s="390">
        <f t="shared" si="1"/>
        <v>0.1666666667</v>
      </c>
      <c r="G3" s="388" t="s">
        <v>2591</v>
      </c>
      <c r="H3" s="388" t="s">
        <v>2592</v>
      </c>
      <c r="I3" s="388" t="s">
        <v>2593</v>
      </c>
      <c r="J3" s="388">
        <v>2.0</v>
      </c>
      <c r="K3" s="388" t="s">
        <v>2289</v>
      </c>
      <c r="L3" s="365" t="s">
        <v>2536</v>
      </c>
      <c r="M3" s="365" t="s">
        <v>2537</v>
      </c>
      <c r="N3" s="364"/>
      <c r="O3" s="364"/>
      <c r="P3" s="365" t="s">
        <v>2594</v>
      </c>
      <c r="Q3" s="365" t="s">
        <v>2594</v>
      </c>
      <c r="R3" s="387"/>
      <c r="S3" s="387"/>
      <c r="T3" s="387"/>
      <c r="U3" s="387"/>
      <c r="V3" s="387"/>
      <c r="W3" s="387"/>
      <c r="X3" s="387"/>
      <c r="Y3" s="387"/>
      <c r="Z3" s="387"/>
      <c r="AA3" s="387"/>
      <c r="AB3" s="387"/>
    </row>
    <row r="4">
      <c r="A4" s="365" t="s">
        <v>100</v>
      </c>
      <c r="B4" s="388" t="s">
        <v>101</v>
      </c>
      <c r="C4" s="389">
        <v>45658.0</v>
      </c>
      <c r="D4" s="365" t="s">
        <v>2590</v>
      </c>
      <c r="E4" s="388" t="s">
        <v>104</v>
      </c>
      <c r="F4" s="390">
        <f t="shared" si="1"/>
        <v>0.1666666667</v>
      </c>
      <c r="G4" s="388" t="s">
        <v>2591</v>
      </c>
      <c r="H4" s="388" t="s">
        <v>2592</v>
      </c>
      <c r="I4" s="388" t="s">
        <v>2593</v>
      </c>
      <c r="J4" s="388">
        <v>3.0</v>
      </c>
      <c r="K4" s="388" t="s">
        <v>2294</v>
      </c>
      <c r="L4" s="365" t="s">
        <v>2295</v>
      </c>
      <c r="M4" s="365" t="s">
        <v>2296</v>
      </c>
      <c r="N4" s="364"/>
      <c r="O4" s="364"/>
      <c r="P4" s="365" t="s">
        <v>2594</v>
      </c>
      <c r="Q4" s="365" t="s">
        <v>2594</v>
      </c>
      <c r="R4" s="387"/>
      <c r="S4" s="387"/>
      <c r="T4" s="387"/>
      <c r="U4" s="387"/>
      <c r="V4" s="387"/>
      <c r="W4" s="387"/>
      <c r="X4" s="387"/>
      <c r="Y4" s="387"/>
      <c r="Z4" s="387"/>
      <c r="AA4" s="387"/>
      <c r="AB4" s="387"/>
    </row>
    <row r="5">
      <c r="A5" s="365" t="s">
        <v>100</v>
      </c>
      <c r="B5" s="388" t="s">
        <v>101</v>
      </c>
      <c r="C5" s="389">
        <v>45658.0</v>
      </c>
      <c r="D5" s="365" t="s">
        <v>2590</v>
      </c>
      <c r="E5" s="388" t="s">
        <v>104</v>
      </c>
      <c r="F5" s="390">
        <f t="shared" si="1"/>
        <v>0.1666666667</v>
      </c>
      <c r="G5" s="388" t="s">
        <v>2591</v>
      </c>
      <c r="H5" s="388" t="s">
        <v>2592</v>
      </c>
      <c r="I5" s="388" t="s">
        <v>2593</v>
      </c>
      <c r="J5" s="388">
        <v>4.0</v>
      </c>
      <c r="K5" s="388" t="s">
        <v>2289</v>
      </c>
      <c r="L5" s="365" t="s">
        <v>2540</v>
      </c>
      <c r="M5" s="365" t="s">
        <v>2541</v>
      </c>
      <c r="N5" s="364"/>
      <c r="O5" s="364"/>
      <c r="P5" s="365" t="s">
        <v>2594</v>
      </c>
      <c r="Q5" s="365" t="s">
        <v>2594</v>
      </c>
      <c r="R5" s="387"/>
      <c r="S5" s="387"/>
      <c r="T5" s="387"/>
      <c r="U5" s="387"/>
      <c r="V5" s="387"/>
      <c r="W5" s="387"/>
      <c r="X5" s="387"/>
      <c r="Y5" s="387"/>
      <c r="Z5" s="387"/>
      <c r="AA5" s="387"/>
      <c r="AB5" s="387"/>
    </row>
    <row r="6">
      <c r="A6" s="365" t="s">
        <v>100</v>
      </c>
      <c r="B6" s="388" t="s">
        <v>101</v>
      </c>
      <c r="C6" s="389">
        <v>45658.0</v>
      </c>
      <c r="D6" s="365" t="s">
        <v>2590</v>
      </c>
      <c r="E6" s="388" t="s">
        <v>104</v>
      </c>
      <c r="F6" s="390">
        <f t="shared" si="1"/>
        <v>0.1666666667</v>
      </c>
      <c r="G6" s="388" t="s">
        <v>2591</v>
      </c>
      <c r="H6" s="388" t="s">
        <v>2592</v>
      </c>
      <c r="I6" s="388" t="s">
        <v>2593</v>
      </c>
      <c r="J6" s="388">
        <v>5.0</v>
      </c>
      <c r="K6" s="388" t="s">
        <v>2294</v>
      </c>
      <c r="L6" s="365" t="s">
        <v>2301</v>
      </c>
      <c r="M6" s="365" t="s">
        <v>2302</v>
      </c>
      <c r="N6" s="364"/>
      <c r="O6" s="364"/>
      <c r="P6" s="365" t="s">
        <v>2594</v>
      </c>
      <c r="Q6" s="365" t="s">
        <v>2594</v>
      </c>
      <c r="R6" s="387"/>
      <c r="S6" s="387"/>
      <c r="T6" s="387"/>
      <c r="U6" s="387"/>
      <c r="V6" s="387"/>
      <c r="W6" s="387"/>
      <c r="X6" s="387"/>
      <c r="Y6" s="387"/>
      <c r="Z6" s="387"/>
      <c r="AA6" s="387"/>
      <c r="AB6" s="387"/>
    </row>
    <row r="7">
      <c r="A7" s="365" t="s">
        <v>100</v>
      </c>
      <c r="B7" s="388" t="s">
        <v>101</v>
      </c>
      <c r="C7" s="389">
        <v>45689.0</v>
      </c>
      <c r="D7" s="365" t="s">
        <v>2595</v>
      </c>
      <c r="E7" s="388" t="s">
        <v>109</v>
      </c>
      <c r="F7" s="390">
        <f t="shared" si="1"/>
        <v>0.1666666667</v>
      </c>
      <c r="G7" s="388" t="s">
        <v>2596</v>
      </c>
      <c r="H7" s="388" t="s">
        <v>2597</v>
      </c>
      <c r="I7" s="388" t="s">
        <v>2598</v>
      </c>
      <c r="J7" s="388">
        <v>1.0</v>
      </c>
      <c r="K7" s="388" t="s">
        <v>2289</v>
      </c>
      <c r="L7" s="365" t="s">
        <v>2308</v>
      </c>
      <c r="M7" s="365" t="s">
        <v>2546</v>
      </c>
      <c r="N7" s="364"/>
      <c r="O7" s="364"/>
      <c r="P7" s="365" t="s">
        <v>2594</v>
      </c>
      <c r="Q7" s="365" t="s">
        <v>2594</v>
      </c>
      <c r="R7" s="387"/>
      <c r="S7" s="387"/>
      <c r="T7" s="387"/>
      <c r="U7" s="387"/>
      <c r="V7" s="387"/>
      <c r="W7" s="387"/>
      <c r="X7" s="387"/>
      <c r="Y7" s="387"/>
      <c r="Z7" s="387"/>
      <c r="AA7" s="387"/>
      <c r="AB7" s="387"/>
    </row>
    <row r="8">
      <c r="A8" s="365" t="s">
        <v>100</v>
      </c>
      <c r="B8" s="388" t="s">
        <v>101</v>
      </c>
      <c r="C8" s="389">
        <v>45689.0</v>
      </c>
      <c r="D8" s="365" t="s">
        <v>2595</v>
      </c>
      <c r="E8" s="388" t="s">
        <v>109</v>
      </c>
      <c r="F8" s="390">
        <f t="shared" si="1"/>
        <v>0.1666666667</v>
      </c>
      <c r="G8" s="388" t="s">
        <v>2596</v>
      </c>
      <c r="H8" s="388" t="s">
        <v>2597</v>
      </c>
      <c r="I8" s="388" t="s">
        <v>2598</v>
      </c>
      <c r="J8" s="388">
        <v>2.0</v>
      </c>
      <c r="K8" s="388" t="s">
        <v>2289</v>
      </c>
      <c r="L8" s="365" t="s">
        <v>2310</v>
      </c>
      <c r="M8" s="365" t="s">
        <v>2311</v>
      </c>
      <c r="N8" s="364"/>
      <c r="O8" s="364"/>
      <c r="P8" s="365" t="s">
        <v>2594</v>
      </c>
      <c r="Q8" s="365" t="s">
        <v>2594</v>
      </c>
      <c r="R8" s="387"/>
      <c r="S8" s="387"/>
      <c r="T8" s="387"/>
      <c r="U8" s="387"/>
      <c r="V8" s="387"/>
      <c r="W8" s="387"/>
      <c r="X8" s="387"/>
      <c r="Y8" s="387"/>
      <c r="Z8" s="387"/>
      <c r="AA8" s="387"/>
      <c r="AB8" s="387"/>
    </row>
    <row r="9">
      <c r="A9" s="365" t="s">
        <v>100</v>
      </c>
      <c r="B9" s="388" t="s">
        <v>101</v>
      </c>
      <c r="C9" s="389">
        <v>45689.0</v>
      </c>
      <c r="D9" s="365" t="s">
        <v>2595</v>
      </c>
      <c r="E9" s="388" t="s">
        <v>109</v>
      </c>
      <c r="F9" s="390">
        <f t="shared" si="1"/>
        <v>0.1666666667</v>
      </c>
      <c r="G9" s="388" t="s">
        <v>2596</v>
      </c>
      <c r="H9" s="388" t="s">
        <v>2597</v>
      </c>
      <c r="I9" s="388" t="s">
        <v>2598</v>
      </c>
      <c r="J9" s="388">
        <v>3.0</v>
      </c>
      <c r="K9" s="388" t="s">
        <v>2294</v>
      </c>
      <c r="L9" s="365" t="s">
        <v>2312</v>
      </c>
      <c r="M9" s="365" t="s">
        <v>2547</v>
      </c>
      <c r="N9" s="364"/>
      <c r="O9" s="364"/>
      <c r="P9" s="365" t="s">
        <v>2594</v>
      </c>
      <c r="Q9" s="365" t="s">
        <v>2594</v>
      </c>
      <c r="R9" s="387"/>
      <c r="S9" s="387"/>
      <c r="T9" s="387"/>
      <c r="U9" s="387"/>
      <c r="V9" s="387"/>
      <c r="W9" s="387"/>
      <c r="X9" s="387"/>
      <c r="Y9" s="387"/>
      <c r="Z9" s="387"/>
      <c r="AA9" s="387"/>
      <c r="AB9" s="387"/>
    </row>
    <row r="10">
      <c r="A10" s="365" t="s">
        <v>100</v>
      </c>
      <c r="B10" s="388" t="s">
        <v>101</v>
      </c>
      <c r="C10" s="389">
        <v>45689.0</v>
      </c>
      <c r="D10" s="365" t="s">
        <v>2595</v>
      </c>
      <c r="E10" s="388" t="s">
        <v>109</v>
      </c>
      <c r="F10" s="390">
        <f t="shared" si="1"/>
        <v>0.1666666667</v>
      </c>
      <c r="G10" s="388" t="s">
        <v>2596</v>
      </c>
      <c r="H10" s="388" t="s">
        <v>2597</v>
      </c>
      <c r="I10" s="388" t="s">
        <v>2598</v>
      </c>
      <c r="J10" s="388">
        <v>4.0</v>
      </c>
      <c r="K10" s="388" t="s">
        <v>2289</v>
      </c>
      <c r="L10" s="365" t="s">
        <v>2314</v>
      </c>
      <c r="M10" s="365" t="s">
        <v>2315</v>
      </c>
      <c r="N10" s="364"/>
      <c r="O10" s="364"/>
      <c r="P10" s="365" t="s">
        <v>2594</v>
      </c>
      <c r="Q10" s="365" t="s">
        <v>2594</v>
      </c>
      <c r="R10" s="387"/>
      <c r="S10" s="387"/>
      <c r="T10" s="387"/>
      <c r="U10" s="387"/>
      <c r="V10" s="387"/>
      <c r="W10" s="387"/>
      <c r="X10" s="387"/>
      <c r="Y10" s="387"/>
      <c r="Z10" s="387"/>
      <c r="AA10" s="387"/>
      <c r="AB10" s="387"/>
    </row>
    <row r="11">
      <c r="A11" s="365" t="s">
        <v>100</v>
      </c>
      <c r="B11" s="388" t="s">
        <v>101</v>
      </c>
      <c r="C11" s="389">
        <v>45689.0</v>
      </c>
      <c r="D11" s="365" t="s">
        <v>2595</v>
      </c>
      <c r="E11" s="388" t="s">
        <v>109</v>
      </c>
      <c r="F11" s="390">
        <f t="shared" si="1"/>
        <v>0.1666666667</v>
      </c>
      <c r="G11" s="388" t="s">
        <v>2596</v>
      </c>
      <c r="H11" s="388" t="s">
        <v>2597</v>
      </c>
      <c r="I11" s="388" t="s">
        <v>2598</v>
      </c>
      <c r="J11" s="388">
        <v>5.0</v>
      </c>
      <c r="K11" s="388" t="s">
        <v>2294</v>
      </c>
      <c r="L11" s="365" t="s">
        <v>2318</v>
      </c>
      <c r="M11" s="365" t="s">
        <v>2550</v>
      </c>
      <c r="N11" s="364"/>
      <c r="O11" s="364"/>
      <c r="P11" s="365" t="s">
        <v>2594</v>
      </c>
      <c r="Q11" s="365" t="s">
        <v>2594</v>
      </c>
      <c r="R11" s="387"/>
      <c r="S11" s="387"/>
      <c r="T11" s="387"/>
      <c r="U11" s="387"/>
      <c r="V11" s="387"/>
      <c r="W11" s="387"/>
      <c r="X11" s="387"/>
      <c r="Y11" s="387"/>
      <c r="Z11" s="387"/>
      <c r="AA11" s="387"/>
      <c r="AB11" s="387"/>
    </row>
    <row r="12">
      <c r="A12" s="365" t="s">
        <v>100</v>
      </c>
      <c r="B12" s="388" t="s">
        <v>101</v>
      </c>
      <c r="C12" s="389">
        <v>45717.0</v>
      </c>
      <c r="D12" s="365" t="s">
        <v>2599</v>
      </c>
      <c r="E12" s="388" t="s">
        <v>113</v>
      </c>
      <c r="F12" s="390">
        <f t="shared" si="1"/>
        <v>0.1666666667</v>
      </c>
      <c r="G12" s="388" t="s">
        <v>2600</v>
      </c>
      <c r="H12" s="388" t="s">
        <v>2601</v>
      </c>
      <c r="I12" s="388" t="s">
        <v>2602</v>
      </c>
      <c r="J12" s="388">
        <v>1.0</v>
      </c>
      <c r="K12" s="388" t="s">
        <v>2289</v>
      </c>
      <c r="L12" s="365" t="s">
        <v>2556</v>
      </c>
      <c r="M12" s="365" t="s">
        <v>2557</v>
      </c>
      <c r="N12" s="364"/>
      <c r="O12" s="364"/>
      <c r="P12" s="365" t="s">
        <v>2594</v>
      </c>
      <c r="Q12" s="365" t="s">
        <v>2594</v>
      </c>
      <c r="R12" s="387"/>
      <c r="S12" s="387"/>
      <c r="T12" s="387"/>
      <c r="U12" s="387"/>
      <c r="V12" s="387"/>
      <c r="W12" s="387"/>
      <c r="X12" s="387"/>
      <c r="Y12" s="387"/>
      <c r="Z12" s="387"/>
      <c r="AA12" s="387"/>
      <c r="AB12" s="387"/>
    </row>
    <row r="13">
      <c r="A13" s="365" t="s">
        <v>100</v>
      </c>
      <c r="B13" s="388" t="s">
        <v>101</v>
      </c>
      <c r="C13" s="389">
        <v>45717.0</v>
      </c>
      <c r="D13" s="365" t="s">
        <v>2599</v>
      </c>
      <c r="E13" s="388" t="s">
        <v>113</v>
      </c>
      <c r="F13" s="390">
        <f t="shared" si="1"/>
        <v>0.1666666667</v>
      </c>
      <c r="G13" s="388" t="s">
        <v>2600</v>
      </c>
      <c r="H13" s="388" t="s">
        <v>2601</v>
      </c>
      <c r="I13" s="388" t="s">
        <v>2602</v>
      </c>
      <c r="J13" s="388">
        <v>2.0</v>
      </c>
      <c r="K13" s="388" t="s">
        <v>2289</v>
      </c>
      <c r="L13" s="365" t="s">
        <v>2603</v>
      </c>
      <c r="M13" s="365" t="s">
        <v>2327</v>
      </c>
      <c r="N13" s="364"/>
      <c r="O13" s="364"/>
      <c r="P13" s="365" t="s">
        <v>2594</v>
      </c>
      <c r="Q13" s="365" t="s">
        <v>2594</v>
      </c>
      <c r="R13" s="387"/>
      <c r="S13" s="387"/>
      <c r="T13" s="387"/>
      <c r="U13" s="387"/>
      <c r="V13" s="387"/>
      <c r="W13" s="387"/>
      <c r="X13" s="387"/>
      <c r="Y13" s="387"/>
      <c r="Z13" s="387"/>
      <c r="AA13" s="387"/>
      <c r="AB13" s="387"/>
    </row>
    <row r="14">
      <c r="A14" s="365" t="s">
        <v>100</v>
      </c>
      <c r="B14" s="388" t="s">
        <v>101</v>
      </c>
      <c r="C14" s="389">
        <v>45717.0</v>
      </c>
      <c r="D14" s="365" t="s">
        <v>2599</v>
      </c>
      <c r="E14" s="388" t="s">
        <v>113</v>
      </c>
      <c r="F14" s="390">
        <f t="shared" si="1"/>
        <v>0.1666666667</v>
      </c>
      <c r="G14" s="388" t="s">
        <v>2600</v>
      </c>
      <c r="H14" s="388" t="s">
        <v>2601</v>
      </c>
      <c r="I14" s="388" t="s">
        <v>2602</v>
      </c>
      <c r="J14" s="388">
        <v>3.0</v>
      </c>
      <c r="K14" s="388" t="s">
        <v>2294</v>
      </c>
      <c r="L14" s="365" t="s">
        <v>2328</v>
      </c>
      <c r="M14" s="365" t="s">
        <v>2329</v>
      </c>
      <c r="N14" s="364"/>
      <c r="O14" s="364"/>
      <c r="P14" s="365" t="s">
        <v>2594</v>
      </c>
      <c r="Q14" s="365" t="s">
        <v>2594</v>
      </c>
      <c r="R14" s="387"/>
      <c r="S14" s="387"/>
      <c r="T14" s="387"/>
      <c r="U14" s="387"/>
      <c r="V14" s="387"/>
      <c r="W14" s="387"/>
      <c r="X14" s="387"/>
      <c r="Y14" s="387"/>
      <c r="Z14" s="387"/>
      <c r="AA14" s="387"/>
      <c r="AB14" s="387"/>
    </row>
    <row r="15">
      <c r="A15" s="365" t="s">
        <v>100</v>
      </c>
      <c r="B15" s="388" t="s">
        <v>101</v>
      </c>
      <c r="C15" s="389">
        <v>45717.0</v>
      </c>
      <c r="D15" s="365" t="s">
        <v>2599</v>
      </c>
      <c r="E15" s="388" t="s">
        <v>113</v>
      </c>
      <c r="F15" s="390">
        <f t="shared" si="1"/>
        <v>0.1666666667</v>
      </c>
      <c r="G15" s="388" t="s">
        <v>2600</v>
      </c>
      <c r="H15" s="388" t="s">
        <v>2601</v>
      </c>
      <c r="I15" s="388" t="s">
        <v>2602</v>
      </c>
      <c r="J15" s="388">
        <v>4.0</v>
      </c>
      <c r="K15" s="388" t="s">
        <v>2289</v>
      </c>
      <c r="L15" s="365" t="s">
        <v>2604</v>
      </c>
      <c r="M15" s="365" t="s">
        <v>2331</v>
      </c>
      <c r="N15" s="364"/>
      <c r="O15" s="364"/>
      <c r="P15" s="365" t="s">
        <v>2594</v>
      </c>
      <c r="Q15" s="365" t="s">
        <v>2594</v>
      </c>
      <c r="R15" s="387"/>
      <c r="S15" s="387"/>
      <c r="T15" s="387"/>
      <c r="U15" s="387"/>
      <c r="V15" s="387"/>
      <c r="W15" s="387"/>
      <c r="X15" s="387"/>
      <c r="Y15" s="387"/>
      <c r="Z15" s="387"/>
      <c r="AA15" s="387"/>
      <c r="AB15" s="387"/>
    </row>
    <row r="16">
      <c r="A16" s="365" t="s">
        <v>100</v>
      </c>
      <c r="B16" s="388" t="s">
        <v>101</v>
      </c>
      <c r="C16" s="389">
        <v>45717.0</v>
      </c>
      <c r="D16" s="365" t="s">
        <v>2599</v>
      </c>
      <c r="E16" s="388" t="s">
        <v>113</v>
      </c>
      <c r="F16" s="390">
        <f t="shared" si="1"/>
        <v>0.1666666667</v>
      </c>
      <c r="G16" s="388" t="s">
        <v>2600</v>
      </c>
      <c r="H16" s="388" t="s">
        <v>2601</v>
      </c>
      <c r="I16" s="388" t="s">
        <v>2602</v>
      </c>
      <c r="J16" s="388">
        <v>5.0</v>
      </c>
      <c r="K16" s="388" t="s">
        <v>2294</v>
      </c>
      <c r="L16" s="365" t="s">
        <v>2334</v>
      </c>
      <c r="M16" s="365" t="s">
        <v>2335</v>
      </c>
      <c r="N16" s="364"/>
      <c r="O16" s="364"/>
      <c r="P16" s="365" t="s">
        <v>2594</v>
      </c>
      <c r="Q16" s="365" t="s">
        <v>2594</v>
      </c>
      <c r="R16" s="387"/>
      <c r="S16" s="387"/>
      <c r="T16" s="387"/>
      <c r="U16" s="387"/>
      <c r="V16" s="387"/>
      <c r="W16" s="387"/>
      <c r="X16" s="387"/>
      <c r="Y16" s="387"/>
      <c r="Z16" s="387"/>
      <c r="AA16" s="387"/>
      <c r="AB16" s="387"/>
    </row>
    <row r="17">
      <c r="A17" s="365" t="s">
        <v>100</v>
      </c>
      <c r="B17" s="388" t="s">
        <v>101</v>
      </c>
      <c r="C17" s="389">
        <v>45748.0</v>
      </c>
      <c r="D17" s="365" t="s">
        <v>2605</v>
      </c>
      <c r="E17" s="388" t="s">
        <v>2606</v>
      </c>
      <c r="F17" s="390">
        <f t="shared" si="1"/>
        <v>0.1666666667</v>
      </c>
      <c r="G17" s="388" t="s">
        <v>2607</v>
      </c>
      <c r="H17" s="388" t="s">
        <v>2608</v>
      </c>
      <c r="I17" s="388" t="s">
        <v>2609</v>
      </c>
      <c r="J17" s="388">
        <v>1.0</v>
      </c>
      <c r="K17" s="388" t="s">
        <v>2289</v>
      </c>
      <c r="L17" s="365" t="s">
        <v>2562</v>
      </c>
      <c r="M17" s="365" t="s">
        <v>2341</v>
      </c>
      <c r="N17" s="364"/>
      <c r="O17" s="364"/>
      <c r="P17" s="365" t="s">
        <v>2594</v>
      </c>
      <c r="Q17" s="365" t="s">
        <v>2594</v>
      </c>
      <c r="R17" s="387"/>
      <c r="S17" s="387"/>
      <c r="T17" s="387"/>
      <c r="U17" s="387"/>
      <c r="V17" s="387"/>
      <c r="W17" s="387"/>
      <c r="X17" s="387"/>
      <c r="Y17" s="387"/>
      <c r="Z17" s="387"/>
      <c r="AA17" s="387"/>
      <c r="AB17" s="387"/>
    </row>
    <row r="18">
      <c r="A18" s="365" t="s">
        <v>100</v>
      </c>
      <c r="B18" s="388" t="s">
        <v>101</v>
      </c>
      <c r="C18" s="389">
        <v>45748.0</v>
      </c>
      <c r="D18" s="365" t="s">
        <v>2605</v>
      </c>
      <c r="E18" s="388" t="s">
        <v>2606</v>
      </c>
      <c r="F18" s="390">
        <f t="shared" si="1"/>
        <v>0.1666666667</v>
      </c>
      <c r="G18" s="388" t="s">
        <v>2607</v>
      </c>
      <c r="H18" s="388" t="s">
        <v>2608</v>
      </c>
      <c r="I18" s="388" t="s">
        <v>2609</v>
      </c>
      <c r="J18" s="388">
        <v>2.0</v>
      </c>
      <c r="K18" s="388" t="s">
        <v>2289</v>
      </c>
      <c r="L18" s="365" t="s">
        <v>2563</v>
      </c>
      <c r="M18" s="365" t="s">
        <v>2343</v>
      </c>
      <c r="N18" s="364"/>
      <c r="O18" s="364"/>
      <c r="P18" s="365" t="s">
        <v>2594</v>
      </c>
      <c r="Q18" s="365" t="s">
        <v>2594</v>
      </c>
      <c r="R18" s="387"/>
      <c r="S18" s="387"/>
      <c r="T18" s="387"/>
      <c r="U18" s="387"/>
      <c r="V18" s="387"/>
      <c r="W18" s="387"/>
      <c r="X18" s="387"/>
      <c r="Y18" s="387"/>
      <c r="Z18" s="387"/>
      <c r="AA18" s="387"/>
      <c r="AB18" s="387"/>
    </row>
    <row r="19">
      <c r="A19" s="365" t="s">
        <v>100</v>
      </c>
      <c r="B19" s="388" t="s">
        <v>101</v>
      </c>
      <c r="C19" s="389">
        <v>45748.0</v>
      </c>
      <c r="D19" s="365" t="s">
        <v>2605</v>
      </c>
      <c r="E19" s="388" t="s">
        <v>2606</v>
      </c>
      <c r="F19" s="390">
        <f t="shared" si="1"/>
        <v>0.1666666667</v>
      </c>
      <c r="G19" s="388" t="s">
        <v>2607</v>
      </c>
      <c r="H19" s="388" t="s">
        <v>2608</v>
      </c>
      <c r="I19" s="388" t="s">
        <v>2609</v>
      </c>
      <c r="J19" s="388">
        <v>3.0</v>
      </c>
      <c r="K19" s="388" t="s">
        <v>2294</v>
      </c>
      <c r="L19" s="365" t="s">
        <v>2344</v>
      </c>
      <c r="M19" s="365" t="s">
        <v>2345</v>
      </c>
      <c r="N19" s="364"/>
      <c r="O19" s="364"/>
      <c r="P19" s="365" t="s">
        <v>2594</v>
      </c>
      <c r="Q19" s="365" t="s">
        <v>2594</v>
      </c>
      <c r="R19" s="387"/>
      <c r="S19" s="387"/>
      <c r="T19" s="387"/>
      <c r="U19" s="387"/>
      <c r="V19" s="387"/>
      <c r="W19" s="387"/>
      <c r="X19" s="387"/>
      <c r="Y19" s="387"/>
      <c r="Z19" s="387"/>
      <c r="AA19" s="387"/>
      <c r="AB19" s="387"/>
    </row>
    <row r="20">
      <c r="A20" s="365" t="s">
        <v>100</v>
      </c>
      <c r="B20" s="388" t="s">
        <v>101</v>
      </c>
      <c r="C20" s="389">
        <v>45748.0</v>
      </c>
      <c r="D20" s="365" t="s">
        <v>2605</v>
      </c>
      <c r="E20" s="388" t="s">
        <v>2606</v>
      </c>
      <c r="F20" s="390">
        <f t="shared" si="1"/>
        <v>0.1666666667</v>
      </c>
      <c r="G20" s="388" t="s">
        <v>2607</v>
      </c>
      <c r="H20" s="388" t="s">
        <v>2608</v>
      </c>
      <c r="I20" s="388" t="s">
        <v>2609</v>
      </c>
      <c r="J20" s="388">
        <v>4.0</v>
      </c>
      <c r="K20" s="388" t="s">
        <v>2289</v>
      </c>
      <c r="L20" s="365" t="s">
        <v>2610</v>
      </c>
      <c r="M20" s="365" t="s">
        <v>2611</v>
      </c>
      <c r="N20" s="364"/>
      <c r="O20" s="364"/>
      <c r="P20" s="365" t="s">
        <v>2594</v>
      </c>
      <c r="Q20" s="365" t="s">
        <v>2594</v>
      </c>
      <c r="R20" s="387"/>
      <c r="S20" s="387"/>
      <c r="T20" s="387"/>
      <c r="U20" s="387"/>
      <c r="V20" s="387"/>
      <c r="W20" s="387"/>
      <c r="X20" s="387"/>
      <c r="Y20" s="387"/>
      <c r="Z20" s="387"/>
      <c r="AA20" s="387"/>
      <c r="AB20" s="387"/>
    </row>
    <row r="21">
      <c r="A21" s="365" t="s">
        <v>100</v>
      </c>
      <c r="B21" s="388" t="s">
        <v>101</v>
      </c>
      <c r="C21" s="389">
        <v>45748.0</v>
      </c>
      <c r="D21" s="365" t="s">
        <v>2605</v>
      </c>
      <c r="E21" s="388" t="s">
        <v>2606</v>
      </c>
      <c r="F21" s="390">
        <f t="shared" si="1"/>
        <v>0.1666666667</v>
      </c>
      <c r="G21" s="388" t="s">
        <v>2607</v>
      </c>
      <c r="H21" s="388" t="s">
        <v>2608</v>
      </c>
      <c r="I21" s="388" t="s">
        <v>2609</v>
      </c>
      <c r="J21" s="388">
        <v>5.0</v>
      </c>
      <c r="K21" s="388" t="s">
        <v>2294</v>
      </c>
      <c r="L21" s="365" t="s">
        <v>2564</v>
      </c>
      <c r="M21" s="365" t="s">
        <v>2351</v>
      </c>
      <c r="N21" s="364"/>
      <c r="O21" s="364"/>
      <c r="P21" s="365" t="s">
        <v>2594</v>
      </c>
      <c r="Q21" s="365" t="s">
        <v>2594</v>
      </c>
      <c r="R21" s="387"/>
      <c r="S21" s="387"/>
      <c r="T21" s="387"/>
      <c r="U21" s="387"/>
      <c r="V21" s="387"/>
      <c r="W21" s="387"/>
      <c r="X21" s="387"/>
      <c r="Y21" s="387"/>
      <c r="Z21" s="387"/>
      <c r="AA21" s="387"/>
      <c r="AB21" s="387"/>
    </row>
    <row r="22">
      <c r="A22" s="365" t="s">
        <v>100</v>
      </c>
      <c r="B22" s="388" t="s">
        <v>101</v>
      </c>
      <c r="C22" s="389">
        <v>45778.0</v>
      </c>
      <c r="D22" s="365" t="s">
        <v>2612</v>
      </c>
      <c r="E22" s="388" t="s">
        <v>121</v>
      </c>
      <c r="F22" s="390">
        <f t="shared" si="1"/>
        <v>0.1666666667</v>
      </c>
      <c r="G22" s="388" t="s">
        <v>2613</v>
      </c>
      <c r="H22" s="388" t="s">
        <v>2614</v>
      </c>
      <c r="I22" s="388" t="s">
        <v>2615</v>
      </c>
      <c r="J22" s="388">
        <v>1.0</v>
      </c>
      <c r="K22" s="388" t="s">
        <v>2289</v>
      </c>
      <c r="L22" s="365" t="s">
        <v>2616</v>
      </c>
      <c r="M22" s="365" t="s">
        <v>2570</v>
      </c>
      <c r="N22" s="364"/>
      <c r="O22" s="364"/>
      <c r="P22" s="365" t="s">
        <v>2594</v>
      </c>
      <c r="Q22" s="365" t="s">
        <v>2594</v>
      </c>
      <c r="R22" s="387"/>
      <c r="S22" s="387"/>
      <c r="T22" s="387"/>
      <c r="U22" s="387"/>
      <c r="V22" s="387"/>
      <c r="W22" s="387"/>
      <c r="X22" s="387"/>
      <c r="Y22" s="387"/>
      <c r="Z22" s="387"/>
      <c r="AA22" s="387"/>
      <c r="AB22" s="387"/>
    </row>
    <row r="23">
      <c r="A23" s="365" t="s">
        <v>100</v>
      </c>
      <c r="B23" s="388" t="s">
        <v>101</v>
      </c>
      <c r="C23" s="389">
        <v>45778.0</v>
      </c>
      <c r="D23" s="365" t="s">
        <v>2612</v>
      </c>
      <c r="E23" s="388" t="s">
        <v>121</v>
      </c>
      <c r="F23" s="390">
        <f t="shared" si="1"/>
        <v>0.1666666667</v>
      </c>
      <c r="G23" s="388" t="s">
        <v>2613</v>
      </c>
      <c r="H23" s="388" t="s">
        <v>2614</v>
      </c>
      <c r="I23" s="388" t="s">
        <v>2615</v>
      </c>
      <c r="J23" s="388">
        <v>2.0</v>
      </c>
      <c r="K23" s="388" t="s">
        <v>2289</v>
      </c>
      <c r="L23" s="365" t="s">
        <v>2358</v>
      </c>
      <c r="M23" s="365" t="s">
        <v>2359</v>
      </c>
      <c r="N23" s="364"/>
      <c r="O23" s="364"/>
      <c r="P23" s="365" t="s">
        <v>2594</v>
      </c>
      <c r="Q23" s="365" t="s">
        <v>2594</v>
      </c>
      <c r="R23" s="387"/>
      <c r="S23" s="387"/>
      <c r="T23" s="387"/>
      <c r="U23" s="387"/>
      <c r="V23" s="387"/>
      <c r="W23" s="387"/>
      <c r="X23" s="387"/>
      <c r="Y23" s="387"/>
      <c r="Z23" s="387"/>
      <c r="AA23" s="387"/>
      <c r="AB23" s="387"/>
    </row>
    <row r="24">
      <c r="A24" s="365" t="s">
        <v>100</v>
      </c>
      <c r="B24" s="388" t="s">
        <v>101</v>
      </c>
      <c r="C24" s="389">
        <v>45778.0</v>
      </c>
      <c r="D24" s="365" t="s">
        <v>2612</v>
      </c>
      <c r="E24" s="388" t="s">
        <v>121</v>
      </c>
      <c r="F24" s="390">
        <f t="shared" si="1"/>
        <v>0.1666666667</v>
      </c>
      <c r="G24" s="388" t="s">
        <v>2613</v>
      </c>
      <c r="H24" s="388" t="s">
        <v>2614</v>
      </c>
      <c r="I24" s="388" t="s">
        <v>2615</v>
      </c>
      <c r="J24" s="388">
        <v>3.0</v>
      </c>
      <c r="K24" s="388" t="s">
        <v>2294</v>
      </c>
      <c r="L24" s="365" t="s">
        <v>2360</v>
      </c>
      <c r="M24" s="365" t="s">
        <v>2361</v>
      </c>
      <c r="N24" s="364"/>
      <c r="O24" s="364"/>
      <c r="P24" s="365" t="s">
        <v>2594</v>
      </c>
      <c r="Q24" s="365" t="s">
        <v>2594</v>
      </c>
      <c r="R24" s="387"/>
      <c r="S24" s="387"/>
      <c r="T24" s="387"/>
      <c r="U24" s="387"/>
      <c r="V24" s="387"/>
      <c r="W24" s="387"/>
      <c r="X24" s="387"/>
      <c r="Y24" s="387"/>
      <c r="Z24" s="387"/>
      <c r="AA24" s="387"/>
      <c r="AB24" s="387"/>
    </row>
    <row r="25">
      <c r="A25" s="365" t="s">
        <v>100</v>
      </c>
      <c r="B25" s="388" t="s">
        <v>101</v>
      </c>
      <c r="C25" s="389">
        <v>45778.0</v>
      </c>
      <c r="D25" s="365" t="s">
        <v>2612</v>
      </c>
      <c r="E25" s="388" t="s">
        <v>121</v>
      </c>
      <c r="F25" s="390">
        <f t="shared" si="1"/>
        <v>0.1666666667</v>
      </c>
      <c r="G25" s="388" t="s">
        <v>2613</v>
      </c>
      <c r="H25" s="388" t="s">
        <v>2614</v>
      </c>
      <c r="I25" s="388" t="s">
        <v>2615</v>
      </c>
      <c r="J25" s="388">
        <v>4.0</v>
      </c>
      <c r="K25" s="388" t="s">
        <v>2289</v>
      </c>
      <c r="L25" s="365" t="s">
        <v>2571</v>
      </c>
      <c r="M25" s="365" t="s">
        <v>2363</v>
      </c>
      <c r="N25" s="364"/>
      <c r="O25" s="364"/>
      <c r="P25" s="365" t="s">
        <v>2594</v>
      </c>
      <c r="Q25" s="365" t="s">
        <v>2594</v>
      </c>
      <c r="R25" s="387"/>
      <c r="S25" s="387"/>
      <c r="T25" s="387"/>
      <c r="U25" s="387"/>
      <c r="V25" s="387"/>
      <c r="W25" s="387"/>
      <c r="X25" s="387"/>
      <c r="Y25" s="387"/>
      <c r="Z25" s="387"/>
      <c r="AA25" s="387"/>
      <c r="AB25" s="387"/>
    </row>
    <row r="26">
      <c r="A26" s="365" t="s">
        <v>100</v>
      </c>
      <c r="B26" s="388" t="s">
        <v>101</v>
      </c>
      <c r="C26" s="389">
        <v>45778.0</v>
      </c>
      <c r="D26" s="365" t="s">
        <v>2612</v>
      </c>
      <c r="E26" s="388" t="s">
        <v>121</v>
      </c>
      <c r="F26" s="390">
        <f t="shared" si="1"/>
        <v>0.1666666667</v>
      </c>
      <c r="G26" s="388" t="s">
        <v>2613</v>
      </c>
      <c r="H26" s="388" t="s">
        <v>2614</v>
      </c>
      <c r="I26" s="388" t="s">
        <v>2615</v>
      </c>
      <c r="J26" s="388">
        <v>5.0</v>
      </c>
      <c r="K26" s="388" t="s">
        <v>2294</v>
      </c>
      <c r="L26" s="365" t="s">
        <v>2366</v>
      </c>
      <c r="M26" s="365" t="s">
        <v>2367</v>
      </c>
      <c r="N26" s="364"/>
      <c r="O26" s="364"/>
      <c r="P26" s="365" t="s">
        <v>2594</v>
      </c>
      <c r="Q26" s="365" t="s">
        <v>2594</v>
      </c>
      <c r="R26" s="387"/>
      <c r="S26" s="387"/>
      <c r="T26" s="387"/>
      <c r="U26" s="387"/>
      <c r="V26" s="387"/>
      <c r="W26" s="387"/>
      <c r="X26" s="387"/>
      <c r="Y26" s="387"/>
      <c r="Z26" s="387"/>
      <c r="AA26" s="387"/>
      <c r="AB26" s="387"/>
    </row>
    <row r="27">
      <c r="A27" s="365" t="s">
        <v>100</v>
      </c>
      <c r="B27" s="388" t="s">
        <v>101</v>
      </c>
      <c r="C27" s="389">
        <v>45809.0</v>
      </c>
      <c r="D27" s="365" t="s">
        <v>2617</v>
      </c>
      <c r="E27" s="388" t="s">
        <v>125</v>
      </c>
      <c r="F27" s="390">
        <f t="shared" si="1"/>
        <v>0.1666666667</v>
      </c>
      <c r="G27" s="388" t="s">
        <v>2618</v>
      </c>
      <c r="H27" s="388" t="s">
        <v>2619</v>
      </c>
      <c r="I27" s="388" t="s">
        <v>2620</v>
      </c>
      <c r="J27" s="388">
        <v>1.0</v>
      </c>
      <c r="K27" s="388" t="s">
        <v>2289</v>
      </c>
      <c r="L27" s="365" t="s">
        <v>2372</v>
      </c>
      <c r="M27" s="365" t="s">
        <v>2373</v>
      </c>
      <c r="N27" s="364"/>
      <c r="O27" s="364"/>
      <c r="P27" s="365" t="s">
        <v>2594</v>
      </c>
      <c r="Q27" s="365" t="s">
        <v>2594</v>
      </c>
      <c r="R27" s="387"/>
      <c r="S27" s="387"/>
      <c r="T27" s="387"/>
      <c r="U27" s="387"/>
      <c r="V27" s="387"/>
      <c r="W27" s="387"/>
      <c r="X27" s="387"/>
      <c r="Y27" s="387"/>
      <c r="Z27" s="387"/>
      <c r="AA27" s="387"/>
      <c r="AB27" s="387"/>
    </row>
    <row r="28">
      <c r="A28" s="365" t="s">
        <v>100</v>
      </c>
      <c r="B28" s="388" t="s">
        <v>101</v>
      </c>
      <c r="C28" s="389">
        <v>45809.0</v>
      </c>
      <c r="D28" s="365" t="s">
        <v>2617</v>
      </c>
      <c r="E28" s="388" t="s">
        <v>125</v>
      </c>
      <c r="F28" s="390">
        <f t="shared" si="1"/>
        <v>0.1666666667</v>
      </c>
      <c r="G28" s="388" t="s">
        <v>2618</v>
      </c>
      <c r="H28" s="388" t="s">
        <v>2619</v>
      </c>
      <c r="I28" s="388" t="s">
        <v>2620</v>
      </c>
      <c r="J28" s="388">
        <v>2.0</v>
      </c>
      <c r="K28" s="388" t="s">
        <v>2289</v>
      </c>
      <c r="L28" s="365" t="s">
        <v>2577</v>
      </c>
      <c r="M28" s="365" t="s">
        <v>2375</v>
      </c>
      <c r="N28" s="364"/>
      <c r="O28" s="364"/>
      <c r="P28" s="365" t="s">
        <v>2594</v>
      </c>
      <c r="Q28" s="365" t="s">
        <v>2594</v>
      </c>
      <c r="R28" s="387"/>
      <c r="S28" s="387"/>
      <c r="T28" s="387"/>
      <c r="U28" s="387"/>
      <c r="V28" s="387"/>
      <c r="W28" s="387"/>
      <c r="X28" s="387"/>
      <c r="Y28" s="387"/>
      <c r="Z28" s="387"/>
      <c r="AA28" s="387"/>
      <c r="AB28" s="387"/>
    </row>
    <row r="29">
      <c r="A29" s="365" t="s">
        <v>100</v>
      </c>
      <c r="B29" s="388" t="s">
        <v>101</v>
      </c>
      <c r="C29" s="389">
        <v>45809.0</v>
      </c>
      <c r="D29" s="365" t="s">
        <v>2617</v>
      </c>
      <c r="E29" s="388" t="s">
        <v>125</v>
      </c>
      <c r="F29" s="390">
        <f t="shared" si="1"/>
        <v>0.1666666667</v>
      </c>
      <c r="G29" s="388" t="s">
        <v>2618</v>
      </c>
      <c r="H29" s="388" t="s">
        <v>2619</v>
      </c>
      <c r="I29" s="388" t="s">
        <v>2620</v>
      </c>
      <c r="J29" s="388">
        <v>3.0</v>
      </c>
      <c r="K29" s="388" t="s">
        <v>2294</v>
      </c>
      <c r="L29" s="365" t="s">
        <v>2376</v>
      </c>
      <c r="M29" s="365" t="s">
        <v>2377</v>
      </c>
      <c r="N29" s="364"/>
      <c r="O29" s="364"/>
      <c r="P29" s="365" t="s">
        <v>2594</v>
      </c>
      <c r="Q29" s="365" t="s">
        <v>2594</v>
      </c>
      <c r="R29" s="387"/>
      <c r="S29" s="387"/>
      <c r="T29" s="387"/>
      <c r="U29" s="387"/>
      <c r="V29" s="387"/>
      <c r="W29" s="387"/>
      <c r="X29" s="387"/>
      <c r="Y29" s="387"/>
      <c r="Z29" s="387"/>
      <c r="AA29" s="387"/>
      <c r="AB29" s="387"/>
    </row>
    <row r="30">
      <c r="A30" s="365" t="s">
        <v>100</v>
      </c>
      <c r="B30" s="388" t="s">
        <v>101</v>
      </c>
      <c r="C30" s="389">
        <v>45809.0</v>
      </c>
      <c r="D30" s="365" t="s">
        <v>2617</v>
      </c>
      <c r="E30" s="388" t="s">
        <v>125</v>
      </c>
      <c r="F30" s="390">
        <f t="shared" si="1"/>
        <v>0.1666666667</v>
      </c>
      <c r="G30" s="388" t="s">
        <v>2618</v>
      </c>
      <c r="H30" s="388" t="s">
        <v>2619</v>
      </c>
      <c r="I30" s="388" t="s">
        <v>2620</v>
      </c>
      <c r="J30" s="388">
        <v>4.0</v>
      </c>
      <c r="K30" s="388" t="s">
        <v>2289</v>
      </c>
      <c r="L30" s="365" t="s">
        <v>2578</v>
      </c>
      <c r="M30" s="365" t="s">
        <v>2379</v>
      </c>
      <c r="N30" s="364"/>
      <c r="O30" s="364"/>
      <c r="P30" s="365" t="s">
        <v>2594</v>
      </c>
      <c r="Q30" s="365" t="s">
        <v>2594</v>
      </c>
      <c r="R30" s="387"/>
      <c r="S30" s="387"/>
      <c r="T30" s="387"/>
      <c r="U30" s="387"/>
      <c r="V30" s="387"/>
      <c r="W30" s="387"/>
      <c r="X30" s="387"/>
      <c r="Y30" s="387"/>
      <c r="Z30" s="387"/>
      <c r="AA30" s="387"/>
      <c r="AB30" s="387"/>
    </row>
    <row r="31">
      <c r="A31" s="365" t="s">
        <v>100</v>
      </c>
      <c r="B31" s="388" t="s">
        <v>101</v>
      </c>
      <c r="C31" s="389">
        <v>45809.0</v>
      </c>
      <c r="D31" s="365" t="s">
        <v>2617</v>
      </c>
      <c r="E31" s="388" t="s">
        <v>125</v>
      </c>
      <c r="F31" s="390">
        <f t="shared" si="1"/>
        <v>0.1666666667</v>
      </c>
      <c r="G31" s="388" t="s">
        <v>2618</v>
      </c>
      <c r="H31" s="388" t="s">
        <v>2619</v>
      </c>
      <c r="I31" s="388" t="s">
        <v>2620</v>
      </c>
      <c r="J31" s="388">
        <v>5.0</v>
      </c>
      <c r="K31" s="388" t="s">
        <v>2294</v>
      </c>
      <c r="L31" s="365" t="s">
        <v>2382</v>
      </c>
      <c r="M31" s="365" t="s">
        <v>2579</v>
      </c>
      <c r="N31" s="364"/>
      <c r="O31" s="364"/>
      <c r="P31" s="365" t="s">
        <v>2594</v>
      </c>
      <c r="Q31" s="365" t="s">
        <v>2594</v>
      </c>
      <c r="R31" s="387"/>
      <c r="S31" s="387"/>
      <c r="T31" s="387"/>
      <c r="U31" s="387"/>
      <c r="V31" s="387"/>
      <c r="W31" s="387"/>
      <c r="X31" s="387"/>
      <c r="Y31" s="387"/>
      <c r="Z31" s="387"/>
      <c r="AA31" s="387"/>
      <c r="AB31" s="387"/>
    </row>
    <row r="32">
      <c r="A32" s="391" t="s">
        <v>660</v>
      </c>
      <c r="B32" s="392" t="s">
        <v>661</v>
      </c>
      <c r="C32" s="393">
        <v>36893.0</v>
      </c>
      <c r="D32" s="391" t="s">
        <v>2621</v>
      </c>
      <c r="E32" s="392" t="s">
        <v>1826</v>
      </c>
      <c r="F32" s="394">
        <v>0.13</v>
      </c>
      <c r="G32" s="392" t="s">
        <v>2622</v>
      </c>
      <c r="H32" s="392" t="s">
        <v>2623</v>
      </c>
      <c r="I32" s="392" t="s">
        <v>2624</v>
      </c>
      <c r="J32" s="392">
        <v>1.0</v>
      </c>
      <c r="K32" s="392" t="s">
        <v>2289</v>
      </c>
      <c r="L32" s="391" t="s">
        <v>2625</v>
      </c>
      <c r="M32" s="391" t="s">
        <v>2626</v>
      </c>
      <c r="N32" s="364"/>
      <c r="O32" s="364"/>
      <c r="P32" s="365" t="s">
        <v>2594</v>
      </c>
      <c r="Q32" s="365" t="s">
        <v>2594</v>
      </c>
      <c r="R32" s="395"/>
      <c r="S32" s="395"/>
      <c r="T32" s="395"/>
      <c r="U32" s="395"/>
      <c r="V32" s="395"/>
      <c r="W32" s="395"/>
      <c r="X32" s="395"/>
      <c r="Y32" s="395"/>
      <c r="Z32" s="395"/>
      <c r="AA32" s="395"/>
      <c r="AB32" s="395"/>
    </row>
    <row r="33">
      <c r="A33" s="391" t="s">
        <v>660</v>
      </c>
      <c r="B33" s="392" t="s">
        <v>661</v>
      </c>
      <c r="C33" s="393">
        <v>36893.0</v>
      </c>
      <c r="D33" s="391" t="s">
        <v>2621</v>
      </c>
      <c r="E33" s="392" t="s">
        <v>1826</v>
      </c>
      <c r="F33" s="394">
        <v>0.13</v>
      </c>
      <c r="G33" s="392" t="s">
        <v>2622</v>
      </c>
      <c r="H33" s="392" t="s">
        <v>2623</v>
      </c>
      <c r="I33" s="392" t="s">
        <v>2624</v>
      </c>
      <c r="J33" s="392">
        <v>2.0</v>
      </c>
      <c r="K33" s="392" t="s">
        <v>2294</v>
      </c>
      <c r="L33" s="391" t="s">
        <v>2627</v>
      </c>
      <c r="M33" s="391" t="s">
        <v>2628</v>
      </c>
      <c r="N33" s="364"/>
      <c r="O33" s="364"/>
      <c r="P33" s="365" t="s">
        <v>2594</v>
      </c>
      <c r="Q33" s="365" t="s">
        <v>2594</v>
      </c>
      <c r="R33" s="395"/>
      <c r="S33" s="395"/>
      <c r="T33" s="395"/>
      <c r="U33" s="395"/>
      <c r="V33" s="395"/>
      <c r="W33" s="395"/>
      <c r="X33" s="395"/>
      <c r="Y33" s="395"/>
      <c r="Z33" s="395"/>
      <c r="AA33" s="395"/>
      <c r="AB33" s="395"/>
    </row>
    <row r="34">
      <c r="A34" s="391" t="s">
        <v>660</v>
      </c>
      <c r="B34" s="392" t="s">
        <v>661</v>
      </c>
      <c r="C34" s="393">
        <v>36893.0</v>
      </c>
      <c r="D34" s="391" t="s">
        <v>2621</v>
      </c>
      <c r="E34" s="392" t="s">
        <v>1826</v>
      </c>
      <c r="F34" s="394">
        <v>0.13</v>
      </c>
      <c r="G34" s="392" t="s">
        <v>2622</v>
      </c>
      <c r="H34" s="392" t="s">
        <v>2623</v>
      </c>
      <c r="I34" s="392" t="s">
        <v>2624</v>
      </c>
      <c r="J34" s="392">
        <v>3.0</v>
      </c>
      <c r="K34" s="392" t="s">
        <v>2289</v>
      </c>
      <c r="L34" s="391" t="s">
        <v>2629</v>
      </c>
      <c r="M34" s="391" t="s">
        <v>2630</v>
      </c>
      <c r="N34" s="364"/>
      <c r="O34" s="364"/>
      <c r="P34" s="365" t="s">
        <v>2594</v>
      </c>
      <c r="Q34" s="365" t="s">
        <v>2594</v>
      </c>
      <c r="R34" s="395"/>
      <c r="S34" s="395"/>
      <c r="T34" s="395"/>
      <c r="U34" s="395"/>
      <c r="V34" s="395"/>
      <c r="W34" s="395"/>
      <c r="X34" s="395"/>
      <c r="Y34" s="395"/>
      <c r="Z34" s="395"/>
      <c r="AA34" s="395"/>
      <c r="AB34" s="395"/>
    </row>
    <row r="35">
      <c r="A35" s="391" t="s">
        <v>660</v>
      </c>
      <c r="B35" s="392" t="s">
        <v>661</v>
      </c>
      <c r="C35" s="393">
        <v>36893.0</v>
      </c>
      <c r="D35" s="391" t="s">
        <v>2621</v>
      </c>
      <c r="E35" s="392" t="s">
        <v>1826</v>
      </c>
      <c r="F35" s="394">
        <v>0.13</v>
      </c>
      <c r="G35" s="392" t="s">
        <v>2622</v>
      </c>
      <c r="H35" s="392" t="s">
        <v>2623</v>
      </c>
      <c r="I35" s="392" t="s">
        <v>2624</v>
      </c>
      <c r="J35" s="392">
        <v>4.0</v>
      </c>
      <c r="K35" s="392" t="s">
        <v>2289</v>
      </c>
      <c r="L35" s="391" t="s">
        <v>2631</v>
      </c>
      <c r="M35" s="391" t="s">
        <v>2632</v>
      </c>
      <c r="N35" s="364"/>
      <c r="O35" s="364"/>
      <c r="P35" s="365" t="s">
        <v>2594</v>
      </c>
      <c r="Q35" s="365" t="s">
        <v>2594</v>
      </c>
      <c r="R35" s="395"/>
      <c r="S35" s="395"/>
      <c r="T35" s="395"/>
      <c r="U35" s="395"/>
      <c r="V35" s="395"/>
      <c r="W35" s="395"/>
      <c r="X35" s="395"/>
      <c r="Y35" s="395"/>
      <c r="Z35" s="395"/>
      <c r="AA35" s="395"/>
      <c r="AB35" s="395"/>
    </row>
    <row r="36">
      <c r="A36" s="391" t="s">
        <v>660</v>
      </c>
      <c r="B36" s="392" t="s">
        <v>661</v>
      </c>
      <c r="C36" s="393">
        <v>36893.0</v>
      </c>
      <c r="D36" s="391" t="s">
        <v>2621</v>
      </c>
      <c r="E36" s="392" t="s">
        <v>1826</v>
      </c>
      <c r="F36" s="394">
        <v>0.13</v>
      </c>
      <c r="G36" s="392" t="s">
        <v>2622</v>
      </c>
      <c r="H36" s="392" t="s">
        <v>2623</v>
      </c>
      <c r="I36" s="392" t="s">
        <v>2624</v>
      </c>
      <c r="J36" s="392">
        <v>5.0</v>
      </c>
      <c r="K36" s="392" t="s">
        <v>2294</v>
      </c>
      <c r="L36" s="391" t="s">
        <v>2633</v>
      </c>
      <c r="M36" s="391" t="s">
        <v>2634</v>
      </c>
      <c r="N36" s="364"/>
      <c r="O36" s="364"/>
      <c r="P36" s="365" t="s">
        <v>2594</v>
      </c>
      <c r="Q36" s="365" t="s">
        <v>2594</v>
      </c>
      <c r="R36" s="395"/>
      <c r="S36" s="395"/>
      <c r="T36" s="395"/>
      <c r="U36" s="395"/>
      <c r="V36" s="395"/>
      <c r="W36" s="395"/>
      <c r="X36" s="395"/>
      <c r="Y36" s="395"/>
      <c r="Z36" s="395"/>
      <c r="AA36" s="395"/>
      <c r="AB36" s="395"/>
    </row>
    <row r="37">
      <c r="A37" s="391" t="s">
        <v>660</v>
      </c>
      <c r="B37" s="392" t="s">
        <v>661</v>
      </c>
      <c r="C37" s="393">
        <v>37258.0</v>
      </c>
      <c r="D37" s="391" t="s">
        <v>2635</v>
      </c>
      <c r="E37" s="392" t="s">
        <v>2636</v>
      </c>
      <c r="F37" s="394">
        <v>0.13</v>
      </c>
      <c r="G37" s="392" t="s">
        <v>2637</v>
      </c>
      <c r="H37" s="392" t="s">
        <v>2638</v>
      </c>
      <c r="I37" s="392" t="s">
        <v>2639</v>
      </c>
      <c r="J37" s="392">
        <v>1.0</v>
      </c>
      <c r="K37" s="392" t="s">
        <v>2289</v>
      </c>
      <c r="L37" s="391" t="s">
        <v>2640</v>
      </c>
      <c r="M37" s="391" t="s">
        <v>2641</v>
      </c>
      <c r="N37" s="364"/>
      <c r="O37" s="364"/>
      <c r="P37" s="365" t="s">
        <v>2594</v>
      </c>
      <c r="Q37" s="365" t="s">
        <v>2594</v>
      </c>
      <c r="R37" s="395"/>
      <c r="S37" s="395"/>
      <c r="T37" s="395"/>
      <c r="U37" s="395"/>
      <c r="V37" s="395"/>
      <c r="W37" s="395"/>
      <c r="X37" s="395"/>
      <c r="Y37" s="395"/>
      <c r="Z37" s="395"/>
      <c r="AA37" s="395"/>
      <c r="AB37" s="395"/>
    </row>
    <row r="38">
      <c r="A38" s="391" t="s">
        <v>660</v>
      </c>
      <c r="B38" s="392" t="s">
        <v>661</v>
      </c>
      <c r="C38" s="393">
        <v>37258.0</v>
      </c>
      <c r="D38" s="391" t="s">
        <v>2635</v>
      </c>
      <c r="E38" s="392" t="s">
        <v>2636</v>
      </c>
      <c r="F38" s="394">
        <v>0.13</v>
      </c>
      <c r="G38" s="392" t="s">
        <v>2637</v>
      </c>
      <c r="H38" s="392" t="s">
        <v>2638</v>
      </c>
      <c r="I38" s="392" t="s">
        <v>2639</v>
      </c>
      <c r="J38" s="392">
        <v>2.0</v>
      </c>
      <c r="K38" s="392" t="s">
        <v>2294</v>
      </c>
      <c r="L38" s="391" t="s">
        <v>2642</v>
      </c>
      <c r="M38" s="391" t="s">
        <v>2643</v>
      </c>
      <c r="N38" s="364"/>
      <c r="O38" s="364"/>
      <c r="P38" s="365" t="s">
        <v>2594</v>
      </c>
      <c r="Q38" s="365" t="s">
        <v>2594</v>
      </c>
      <c r="R38" s="395"/>
      <c r="S38" s="395"/>
      <c r="T38" s="395"/>
      <c r="U38" s="395"/>
      <c r="V38" s="395"/>
      <c r="W38" s="395"/>
      <c r="X38" s="395"/>
      <c r="Y38" s="395"/>
      <c r="Z38" s="395"/>
      <c r="AA38" s="395"/>
      <c r="AB38" s="395"/>
    </row>
    <row r="39">
      <c r="A39" s="391" t="s">
        <v>660</v>
      </c>
      <c r="B39" s="392" t="s">
        <v>661</v>
      </c>
      <c r="C39" s="393">
        <v>37258.0</v>
      </c>
      <c r="D39" s="391" t="s">
        <v>2635</v>
      </c>
      <c r="E39" s="392" t="s">
        <v>2636</v>
      </c>
      <c r="F39" s="394">
        <v>0.13</v>
      </c>
      <c r="G39" s="392" t="s">
        <v>2637</v>
      </c>
      <c r="H39" s="392" t="s">
        <v>2638</v>
      </c>
      <c r="I39" s="392" t="s">
        <v>2639</v>
      </c>
      <c r="J39" s="392">
        <v>3.0</v>
      </c>
      <c r="K39" s="392" t="s">
        <v>2289</v>
      </c>
      <c r="L39" s="391" t="s">
        <v>2644</v>
      </c>
      <c r="M39" s="391" t="s">
        <v>2645</v>
      </c>
      <c r="N39" s="364"/>
      <c r="O39" s="364"/>
      <c r="P39" s="365" t="s">
        <v>2594</v>
      </c>
      <c r="Q39" s="365" t="s">
        <v>2594</v>
      </c>
      <c r="R39" s="395"/>
      <c r="S39" s="395"/>
      <c r="T39" s="395"/>
      <c r="U39" s="395"/>
      <c r="V39" s="395"/>
      <c r="W39" s="395"/>
      <c r="X39" s="395"/>
      <c r="Y39" s="395"/>
      <c r="Z39" s="395"/>
      <c r="AA39" s="395"/>
      <c r="AB39" s="395"/>
    </row>
    <row r="40">
      <c r="A40" s="391" t="s">
        <v>660</v>
      </c>
      <c r="B40" s="392" t="s">
        <v>661</v>
      </c>
      <c r="C40" s="393">
        <v>37258.0</v>
      </c>
      <c r="D40" s="391" t="s">
        <v>2635</v>
      </c>
      <c r="E40" s="392" t="s">
        <v>2636</v>
      </c>
      <c r="F40" s="394">
        <v>0.13</v>
      </c>
      <c r="G40" s="392" t="s">
        <v>2637</v>
      </c>
      <c r="H40" s="392" t="s">
        <v>2638</v>
      </c>
      <c r="I40" s="392" t="s">
        <v>2639</v>
      </c>
      <c r="J40" s="392">
        <v>4.0</v>
      </c>
      <c r="K40" s="392" t="s">
        <v>2289</v>
      </c>
      <c r="L40" s="391" t="s">
        <v>2646</v>
      </c>
      <c r="M40" s="391" t="s">
        <v>2647</v>
      </c>
      <c r="N40" s="364"/>
      <c r="O40" s="364"/>
      <c r="P40" s="365" t="s">
        <v>2594</v>
      </c>
      <c r="Q40" s="365" t="s">
        <v>2594</v>
      </c>
      <c r="R40" s="395"/>
      <c r="S40" s="395"/>
      <c r="T40" s="395"/>
      <c r="U40" s="395"/>
      <c r="V40" s="395"/>
      <c r="W40" s="395"/>
      <c r="X40" s="395"/>
      <c r="Y40" s="395"/>
      <c r="Z40" s="395"/>
      <c r="AA40" s="395"/>
      <c r="AB40" s="395"/>
    </row>
    <row r="41">
      <c r="A41" s="391" t="s">
        <v>660</v>
      </c>
      <c r="B41" s="392" t="s">
        <v>661</v>
      </c>
      <c r="C41" s="393">
        <v>37258.0</v>
      </c>
      <c r="D41" s="391" t="s">
        <v>2635</v>
      </c>
      <c r="E41" s="392" t="s">
        <v>2636</v>
      </c>
      <c r="F41" s="394">
        <v>0.13</v>
      </c>
      <c r="G41" s="392" t="s">
        <v>2637</v>
      </c>
      <c r="H41" s="392" t="s">
        <v>2638</v>
      </c>
      <c r="I41" s="392" t="s">
        <v>2639</v>
      </c>
      <c r="J41" s="392">
        <v>5.0</v>
      </c>
      <c r="K41" s="392" t="s">
        <v>2294</v>
      </c>
      <c r="L41" s="391" t="s">
        <v>2648</v>
      </c>
      <c r="M41" s="391" t="s">
        <v>2649</v>
      </c>
      <c r="N41" s="364"/>
      <c r="O41" s="364"/>
      <c r="P41" s="365" t="s">
        <v>2594</v>
      </c>
      <c r="Q41" s="365" t="s">
        <v>2594</v>
      </c>
      <c r="R41" s="395"/>
      <c r="S41" s="395"/>
      <c r="T41" s="395"/>
      <c r="U41" s="395"/>
      <c r="V41" s="395"/>
      <c r="W41" s="395"/>
      <c r="X41" s="395"/>
      <c r="Y41" s="395"/>
      <c r="Z41" s="395"/>
      <c r="AA41" s="395"/>
      <c r="AB41" s="395"/>
    </row>
    <row r="42">
      <c r="A42" s="391" t="s">
        <v>660</v>
      </c>
      <c r="B42" s="392" t="s">
        <v>661</v>
      </c>
      <c r="C42" s="393">
        <v>37623.0</v>
      </c>
      <c r="D42" s="391" t="s">
        <v>2650</v>
      </c>
      <c r="E42" s="392" t="s">
        <v>2651</v>
      </c>
      <c r="F42" s="394">
        <v>0.1</v>
      </c>
      <c r="G42" s="392" t="s">
        <v>2652</v>
      </c>
      <c r="H42" s="392" t="s">
        <v>2653</v>
      </c>
      <c r="I42" s="392" t="s">
        <v>2654</v>
      </c>
      <c r="J42" s="392">
        <v>1.0</v>
      </c>
      <c r="K42" s="392" t="s">
        <v>2289</v>
      </c>
      <c r="L42" s="391" t="s">
        <v>2655</v>
      </c>
      <c r="M42" s="391" t="s">
        <v>2656</v>
      </c>
      <c r="N42" s="364"/>
      <c r="O42" s="364"/>
      <c r="P42" s="365" t="s">
        <v>2594</v>
      </c>
      <c r="Q42" s="365" t="s">
        <v>2594</v>
      </c>
      <c r="R42" s="395"/>
      <c r="S42" s="395"/>
      <c r="T42" s="395"/>
      <c r="U42" s="395"/>
      <c r="V42" s="395"/>
      <c r="W42" s="395"/>
      <c r="X42" s="395"/>
      <c r="Y42" s="395"/>
      <c r="Z42" s="395"/>
      <c r="AA42" s="395"/>
      <c r="AB42" s="395"/>
    </row>
    <row r="43">
      <c r="A43" s="391" t="s">
        <v>660</v>
      </c>
      <c r="B43" s="392" t="s">
        <v>661</v>
      </c>
      <c r="C43" s="393">
        <v>37623.0</v>
      </c>
      <c r="D43" s="391" t="s">
        <v>2650</v>
      </c>
      <c r="E43" s="392" t="s">
        <v>2651</v>
      </c>
      <c r="F43" s="394">
        <v>0.1</v>
      </c>
      <c r="G43" s="392" t="s">
        <v>2652</v>
      </c>
      <c r="H43" s="392" t="s">
        <v>2653</v>
      </c>
      <c r="I43" s="392" t="s">
        <v>2654</v>
      </c>
      <c r="J43" s="392">
        <v>2.0</v>
      </c>
      <c r="K43" s="392" t="s">
        <v>2294</v>
      </c>
      <c r="L43" s="391" t="s">
        <v>2657</v>
      </c>
      <c r="M43" s="391" t="s">
        <v>2658</v>
      </c>
      <c r="N43" s="364"/>
      <c r="O43" s="364"/>
      <c r="P43" s="365" t="s">
        <v>2594</v>
      </c>
      <c r="Q43" s="365" t="s">
        <v>2594</v>
      </c>
      <c r="R43" s="395"/>
      <c r="S43" s="395"/>
      <c r="T43" s="395"/>
      <c r="U43" s="395"/>
      <c r="V43" s="395"/>
      <c r="W43" s="395"/>
      <c r="X43" s="395"/>
      <c r="Y43" s="395"/>
      <c r="Z43" s="395"/>
      <c r="AA43" s="395"/>
      <c r="AB43" s="395"/>
    </row>
    <row r="44">
      <c r="A44" s="391" t="s">
        <v>660</v>
      </c>
      <c r="B44" s="392" t="s">
        <v>661</v>
      </c>
      <c r="C44" s="393">
        <v>37623.0</v>
      </c>
      <c r="D44" s="391" t="s">
        <v>2650</v>
      </c>
      <c r="E44" s="392" t="s">
        <v>2651</v>
      </c>
      <c r="F44" s="394">
        <v>0.1</v>
      </c>
      <c r="G44" s="392" t="s">
        <v>2652</v>
      </c>
      <c r="H44" s="392" t="s">
        <v>2653</v>
      </c>
      <c r="I44" s="392" t="s">
        <v>2654</v>
      </c>
      <c r="J44" s="392">
        <v>3.0</v>
      </c>
      <c r="K44" s="392" t="s">
        <v>2289</v>
      </c>
      <c r="L44" s="391" t="s">
        <v>2659</v>
      </c>
      <c r="M44" s="391" t="s">
        <v>2660</v>
      </c>
      <c r="N44" s="364"/>
      <c r="O44" s="364"/>
      <c r="P44" s="365" t="s">
        <v>2594</v>
      </c>
      <c r="Q44" s="365" t="s">
        <v>2594</v>
      </c>
      <c r="R44" s="395"/>
      <c r="S44" s="395"/>
      <c r="T44" s="395"/>
      <c r="U44" s="395"/>
      <c r="V44" s="395"/>
      <c r="W44" s="395"/>
      <c r="X44" s="395"/>
      <c r="Y44" s="395"/>
      <c r="Z44" s="395"/>
      <c r="AA44" s="395"/>
      <c r="AB44" s="395"/>
    </row>
    <row r="45">
      <c r="A45" s="391" t="s">
        <v>660</v>
      </c>
      <c r="B45" s="392" t="s">
        <v>661</v>
      </c>
      <c r="C45" s="393">
        <v>37623.0</v>
      </c>
      <c r="D45" s="391" t="s">
        <v>2650</v>
      </c>
      <c r="E45" s="392" t="s">
        <v>2651</v>
      </c>
      <c r="F45" s="394">
        <v>0.1</v>
      </c>
      <c r="G45" s="392" t="s">
        <v>2652</v>
      </c>
      <c r="H45" s="392" t="s">
        <v>2653</v>
      </c>
      <c r="I45" s="392" t="s">
        <v>2654</v>
      </c>
      <c r="J45" s="392">
        <v>4.0</v>
      </c>
      <c r="K45" s="392" t="s">
        <v>2289</v>
      </c>
      <c r="L45" s="391" t="s">
        <v>2661</v>
      </c>
      <c r="M45" s="391" t="s">
        <v>2662</v>
      </c>
      <c r="N45" s="364"/>
      <c r="O45" s="364"/>
      <c r="P45" s="365" t="s">
        <v>2594</v>
      </c>
      <c r="Q45" s="365" t="s">
        <v>2594</v>
      </c>
      <c r="R45" s="395"/>
      <c r="S45" s="395"/>
      <c r="T45" s="395"/>
      <c r="U45" s="395"/>
      <c r="V45" s="395"/>
      <c r="W45" s="395"/>
      <c r="X45" s="395"/>
      <c r="Y45" s="395"/>
      <c r="Z45" s="395"/>
      <c r="AA45" s="395"/>
      <c r="AB45" s="395"/>
    </row>
    <row r="46">
      <c r="A46" s="391" t="s">
        <v>660</v>
      </c>
      <c r="B46" s="392" t="s">
        <v>661</v>
      </c>
      <c r="C46" s="393">
        <v>37623.0</v>
      </c>
      <c r="D46" s="391" t="s">
        <v>2650</v>
      </c>
      <c r="E46" s="392" t="s">
        <v>2651</v>
      </c>
      <c r="F46" s="394">
        <v>0.1</v>
      </c>
      <c r="G46" s="392" t="s">
        <v>2652</v>
      </c>
      <c r="H46" s="392" t="s">
        <v>2653</v>
      </c>
      <c r="I46" s="392" t="s">
        <v>2654</v>
      </c>
      <c r="J46" s="392">
        <v>5.0</v>
      </c>
      <c r="K46" s="392" t="s">
        <v>2294</v>
      </c>
      <c r="L46" s="391" t="s">
        <v>2663</v>
      </c>
      <c r="M46" s="391" t="s">
        <v>2664</v>
      </c>
      <c r="N46" s="364"/>
      <c r="O46" s="364"/>
      <c r="P46" s="365" t="s">
        <v>2594</v>
      </c>
      <c r="Q46" s="365" t="s">
        <v>2594</v>
      </c>
      <c r="R46" s="395"/>
      <c r="S46" s="395"/>
      <c r="T46" s="395"/>
      <c r="U46" s="395"/>
      <c r="V46" s="395"/>
      <c r="W46" s="395"/>
      <c r="X46" s="395"/>
      <c r="Y46" s="395"/>
      <c r="Z46" s="395"/>
      <c r="AA46" s="395"/>
      <c r="AB46" s="395"/>
    </row>
    <row r="47">
      <c r="A47" s="391" t="s">
        <v>660</v>
      </c>
      <c r="B47" s="392" t="s">
        <v>661</v>
      </c>
      <c r="C47" s="393">
        <v>37988.0</v>
      </c>
      <c r="D47" s="391" t="s">
        <v>2665</v>
      </c>
      <c r="E47" s="392" t="s">
        <v>2666</v>
      </c>
      <c r="F47" s="394">
        <v>0.1</v>
      </c>
      <c r="G47" s="392" t="s">
        <v>2667</v>
      </c>
      <c r="H47" s="392" t="s">
        <v>2668</v>
      </c>
      <c r="I47" s="392" t="s">
        <v>2669</v>
      </c>
      <c r="J47" s="392">
        <v>1.0</v>
      </c>
      <c r="K47" s="392" t="s">
        <v>2289</v>
      </c>
      <c r="L47" s="391" t="s">
        <v>2670</v>
      </c>
      <c r="M47" s="391" t="s">
        <v>2671</v>
      </c>
      <c r="N47" s="364"/>
      <c r="O47" s="364"/>
      <c r="P47" s="365" t="s">
        <v>2594</v>
      </c>
      <c r="Q47" s="365" t="s">
        <v>2594</v>
      </c>
      <c r="R47" s="395"/>
      <c r="S47" s="395"/>
      <c r="T47" s="395"/>
      <c r="U47" s="395"/>
      <c r="V47" s="395"/>
      <c r="W47" s="395"/>
      <c r="X47" s="395"/>
      <c r="Y47" s="395"/>
      <c r="Z47" s="395"/>
      <c r="AA47" s="395"/>
      <c r="AB47" s="395"/>
    </row>
    <row r="48">
      <c r="A48" s="391" t="s">
        <v>660</v>
      </c>
      <c r="B48" s="392" t="s">
        <v>661</v>
      </c>
      <c r="C48" s="393">
        <v>37988.0</v>
      </c>
      <c r="D48" s="391" t="s">
        <v>2665</v>
      </c>
      <c r="E48" s="392" t="s">
        <v>2666</v>
      </c>
      <c r="F48" s="394">
        <v>0.1</v>
      </c>
      <c r="G48" s="392" t="s">
        <v>2667</v>
      </c>
      <c r="H48" s="392" t="s">
        <v>2668</v>
      </c>
      <c r="I48" s="392" t="s">
        <v>2669</v>
      </c>
      <c r="J48" s="392">
        <v>2.0</v>
      </c>
      <c r="K48" s="392" t="s">
        <v>2294</v>
      </c>
      <c r="L48" s="391" t="s">
        <v>2672</v>
      </c>
      <c r="M48" s="391" t="s">
        <v>2671</v>
      </c>
      <c r="N48" s="364"/>
      <c r="O48" s="364"/>
      <c r="P48" s="365" t="s">
        <v>2594</v>
      </c>
      <c r="Q48" s="365" t="s">
        <v>2594</v>
      </c>
      <c r="R48" s="395"/>
      <c r="S48" s="395"/>
      <c r="T48" s="395"/>
      <c r="U48" s="395"/>
      <c r="V48" s="395"/>
      <c r="W48" s="395"/>
      <c r="X48" s="395"/>
      <c r="Y48" s="395"/>
      <c r="Z48" s="395"/>
      <c r="AA48" s="395"/>
      <c r="AB48" s="395"/>
    </row>
    <row r="49">
      <c r="A49" s="391" t="s">
        <v>660</v>
      </c>
      <c r="B49" s="392" t="s">
        <v>661</v>
      </c>
      <c r="C49" s="393">
        <v>37988.0</v>
      </c>
      <c r="D49" s="391" t="s">
        <v>2665</v>
      </c>
      <c r="E49" s="392" t="s">
        <v>2666</v>
      </c>
      <c r="F49" s="394">
        <v>0.1</v>
      </c>
      <c r="G49" s="392" t="s">
        <v>2667</v>
      </c>
      <c r="H49" s="392" t="s">
        <v>2668</v>
      </c>
      <c r="I49" s="392" t="s">
        <v>2669</v>
      </c>
      <c r="J49" s="392">
        <v>3.0</v>
      </c>
      <c r="K49" s="392" t="s">
        <v>2289</v>
      </c>
      <c r="L49" s="391" t="s">
        <v>2673</v>
      </c>
      <c r="M49" s="391" t="s">
        <v>2671</v>
      </c>
      <c r="N49" s="364"/>
      <c r="O49" s="364"/>
      <c r="P49" s="365" t="s">
        <v>2594</v>
      </c>
      <c r="Q49" s="365" t="s">
        <v>2594</v>
      </c>
      <c r="R49" s="395"/>
      <c r="S49" s="395"/>
      <c r="T49" s="395"/>
      <c r="U49" s="395"/>
      <c r="V49" s="395"/>
      <c r="W49" s="395"/>
      <c r="X49" s="395"/>
      <c r="Y49" s="395"/>
      <c r="Z49" s="395"/>
      <c r="AA49" s="395"/>
      <c r="AB49" s="395"/>
    </row>
    <row r="50">
      <c r="A50" s="391" t="s">
        <v>660</v>
      </c>
      <c r="B50" s="392" t="s">
        <v>661</v>
      </c>
      <c r="C50" s="393">
        <v>37988.0</v>
      </c>
      <c r="D50" s="391" t="s">
        <v>2665</v>
      </c>
      <c r="E50" s="392" t="s">
        <v>2666</v>
      </c>
      <c r="F50" s="394">
        <v>0.1</v>
      </c>
      <c r="G50" s="392" t="s">
        <v>2667</v>
      </c>
      <c r="H50" s="392" t="s">
        <v>2668</v>
      </c>
      <c r="I50" s="392" t="s">
        <v>2669</v>
      </c>
      <c r="J50" s="392">
        <v>4.0</v>
      </c>
      <c r="K50" s="392" t="s">
        <v>2289</v>
      </c>
      <c r="L50" s="391" t="s">
        <v>2674</v>
      </c>
      <c r="M50" s="391" t="s">
        <v>2671</v>
      </c>
      <c r="N50" s="364"/>
      <c r="O50" s="364"/>
      <c r="P50" s="365" t="s">
        <v>2594</v>
      </c>
      <c r="Q50" s="365" t="s">
        <v>2594</v>
      </c>
      <c r="R50" s="395"/>
      <c r="S50" s="395"/>
      <c r="T50" s="395"/>
      <c r="U50" s="395"/>
      <c r="V50" s="395"/>
      <c r="W50" s="395"/>
      <c r="X50" s="395"/>
      <c r="Y50" s="395"/>
      <c r="Z50" s="395"/>
      <c r="AA50" s="395"/>
      <c r="AB50" s="395"/>
    </row>
    <row r="51">
      <c r="A51" s="391" t="s">
        <v>660</v>
      </c>
      <c r="B51" s="392" t="s">
        <v>661</v>
      </c>
      <c r="C51" s="393">
        <v>37988.0</v>
      </c>
      <c r="D51" s="391" t="s">
        <v>2665</v>
      </c>
      <c r="E51" s="392" t="s">
        <v>2666</v>
      </c>
      <c r="F51" s="394">
        <v>0.1</v>
      </c>
      <c r="G51" s="392" t="s">
        <v>2667</v>
      </c>
      <c r="H51" s="392" t="s">
        <v>2668</v>
      </c>
      <c r="I51" s="392" t="s">
        <v>2669</v>
      </c>
      <c r="J51" s="392">
        <v>5.0</v>
      </c>
      <c r="K51" s="392" t="s">
        <v>2294</v>
      </c>
      <c r="L51" s="391" t="s">
        <v>2633</v>
      </c>
      <c r="M51" s="391" t="s">
        <v>2671</v>
      </c>
      <c r="N51" s="364"/>
      <c r="O51" s="364"/>
      <c r="P51" s="365" t="s">
        <v>2594</v>
      </c>
      <c r="Q51" s="365" t="s">
        <v>2594</v>
      </c>
      <c r="R51" s="395"/>
      <c r="S51" s="395"/>
      <c r="T51" s="395"/>
      <c r="U51" s="395"/>
      <c r="V51" s="395"/>
      <c r="W51" s="395"/>
      <c r="X51" s="395"/>
      <c r="Y51" s="395"/>
      <c r="Z51" s="395"/>
      <c r="AA51" s="395"/>
      <c r="AB51" s="395"/>
    </row>
    <row r="52">
      <c r="A52" s="391" t="s">
        <v>660</v>
      </c>
      <c r="B52" s="392" t="s">
        <v>661</v>
      </c>
      <c r="C52" s="393">
        <v>38354.0</v>
      </c>
      <c r="D52" s="391" t="s">
        <v>2675</v>
      </c>
      <c r="E52" s="392" t="s">
        <v>2676</v>
      </c>
      <c r="F52" s="394">
        <v>0.08</v>
      </c>
      <c r="G52" s="392" t="s">
        <v>2677</v>
      </c>
      <c r="H52" s="392" t="s">
        <v>2668</v>
      </c>
      <c r="I52" s="392" t="s">
        <v>2678</v>
      </c>
      <c r="J52" s="392">
        <v>1.0</v>
      </c>
      <c r="K52" s="392" t="s">
        <v>2289</v>
      </c>
      <c r="L52" s="391" t="s">
        <v>2670</v>
      </c>
      <c r="M52" s="391" t="s">
        <v>2671</v>
      </c>
      <c r="N52" s="364"/>
      <c r="O52" s="364"/>
      <c r="P52" s="365" t="s">
        <v>2594</v>
      </c>
      <c r="Q52" s="365" t="s">
        <v>2594</v>
      </c>
      <c r="R52" s="395"/>
      <c r="S52" s="395"/>
      <c r="T52" s="395"/>
      <c r="U52" s="395"/>
      <c r="V52" s="395"/>
      <c r="W52" s="395"/>
      <c r="X52" s="395"/>
      <c r="Y52" s="395"/>
      <c r="Z52" s="395"/>
      <c r="AA52" s="395"/>
      <c r="AB52" s="395"/>
    </row>
    <row r="53">
      <c r="A53" s="391" t="s">
        <v>660</v>
      </c>
      <c r="B53" s="392" t="s">
        <v>661</v>
      </c>
      <c r="C53" s="393">
        <v>38354.0</v>
      </c>
      <c r="D53" s="391" t="s">
        <v>2675</v>
      </c>
      <c r="E53" s="392" t="s">
        <v>2676</v>
      </c>
      <c r="F53" s="394">
        <v>0.08</v>
      </c>
      <c r="G53" s="392" t="s">
        <v>2677</v>
      </c>
      <c r="H53" s="392" t="s">
        <v>2668</v>
      </c>
      <c r="I53" s="392" t="s">
        <v>2678</v>
      </c>
      <c r="J53" s="392">
        <v>2.0</v>
      </c>
      <c r="K53" s="392" t="s">
        <v>2294</v>
      </c>
      <c r="L53" s="391" t="s">
        <v>2672</v>
      </c>
      <c r="M53" s="391" t="s">
        <v>2671</v>
      </c>
      <c r="N53" s="364"/>
      <c r="O53" s="364"/>
      <c r="P53" s="365" t="s">
        <v>2594</v>
      </c>
      <c r="Q53" s="365" t="s">
        <v>2594</v>
      </c>
      <c r="R53" s="395"/>
      <c r="S53" s="395"/>
      <c r="T53" s="395"/>
      <c r="U53" s="395"/>
      <c r="V53" s="395"/>
      <c r="W53" s="395"/>
      <c r="X53" s="395"/>
      <c r="Y53" s="395"/>
      <c r="Z53" s="395"/>
      <c r="AA53" s="395"/>
      <c r="AB53" s="395"/>
    </row>
    <row r="54">
      <c r="A54" s="391" t="s">
        <v>660</v>
      </c>
      <c r="B54" s="392" t="s">
        <v>661</v>
      </c>
      <c r="C54" s="393">
        <v>38354.0</v>
      </c>
      <c r="D54" s="391" t="s">
        <v>2675</v>
      </c>
      <c r="E54" s="392" t="s">
        <v>2676</v>
      </c>
      <c r="F54" s="394">
        <v>0.08</v>
      </c>
      <c r="G54" s="392" t="s">
        <v>2677</v>
      </c>
      <c r="H54" s="392" t="s">
        <v>2668</v>
      </c>
      <c r="I54" s="392" t="s">
        <v>2678</v>
      </c>
      <c r="J54" s="392">
        <v>3.0</v>
      </c>
      <c r="K54" s="392" t="s">
        <v>2289</v>
      </c>
      <c r="L54" s="391" t="s">
        <v>2673</v>
      </c>
      <c r="M54" s="391" t="s">
        <v>2671</v>
      </c>
      <c r="N54" s="364"/>
      <c r="O54" s="364"/>
      <c r="P54" s="365" t="s">
        <v>2594</v>
      </c>
      <c r="Q54" s="365" t="s">
        <v>2594</v>
      </c>
      <c r="R54" s="395"/>
      <c r="S54" s="395"/>
      <c r="T54" s="395"/>
      <c r="U54" s="395"/>
      <c r="V54" s="395"/>
      <c r="W54" s="395"/>
      <c r="X54" s="395"/>
      <c r="Y54" s="395"/>
      <c r="Z54" s="395"/>
      <c r="AA54" s="395"/>
      <c r="AB54" s="395"/>
    </row>
    <row r="55">
      <c r="A55" s="391" t="s">
        <v>660</v>
      </c>
      <c r="B55" s="392" t="s">
        <v>661</v>
      </c>
      <c r="C55" s="393">
        <v>38354.0</v>
      </c>
      <c r="D55" s="391" t="s">
        <v>2675</v>
      </c>
      <c r="E55" s="392" t="s">
        <v>2676</v>
      </c>
      <c r="F55" s="394">
        <v>0.08</v>
      </c>
      <c r="G55" s="392" t="s">
        <v>2677</v>
      </c>
      <c r="H55" s="392" t="s">
        <v>2668</v>
      </c>
      <c r="I55" s="392" t="s">
        <v>2678</v>
      </c>
      <c r="J55" s="392">
        <v>4.0</v>
      </c>
      <c r="K55" s="392" t="s">
        <v>2289</v>
      </c>
      <c r="L55" s="391" t="s">
        <v>2674</v>
      </c>
      <c r="M55" s="391" t="s">
        <v>2671</v>
      </c>
      <c r="N55" s="364"/>
      <c r="O55" s="364"/>
      <c r="P55" s="365" t="s">
        <v>2594</v>
      </c>
      <c r="Q55" s="365" t="s">
        <v>2594</v>
      </c>
      <c r="R55" s="395"/>
      <c r="S55" s="395"/>
      <c r="T55" s="395"/>
      <c r="U55" s="395"/>
      <c r="V55" s="395"/>
      <c r="W55" s="395"/>
      <c r="X55" s="395"/>
      <c r="Y55" s="395"/>
      <c r="Z55" s="395"/>
      <c r="AA55" s="395"/>
      <c r="AB55" s="395"/>
    </row>
    <row r="56">
      <c r="A56" s="391" t="s">
        <v>660</v>
      </c>
      <c r="B56" s="392" t="s">
        <v>661</v>
      </c>
      <c r="C56" s="393">
        <v>38354.0</v>
      </c>
      <c r="D56" s="391" t="s">
        <v>2675</v>
      </c>
      <c r="E56" s="392" t="s">
        <v>2676</v>
      </c>
      <c r="F56" s="394">
        <v>0.08</v>
      </c>
      <c r="G56" s="392" t="s">
        <v>2677</v>
      </c>
      <c r="H56" s="392" t="s">
        <v>2668</v>
      </c>
      <c r="I56" s="392" t="s">
        <v>2678</v>
      </c>
      <c r="J56" s="392">
        <v>5.0</v>
      </c>
      <c r="K56" s="392" t="s">
        <v>2294</v>
      </c>
      <c r="L56" s="391" t="s">
        <v>2633</v>
      </c>
      <c r="M56" s="391" t="s">
        <v>2671</v>
      </c>
      <c r="N56" s="364"/>
      <c r="O56" s="364"/>
      <c r="P56" s="365" t="s">
        <v>2594</v>
      </c>
      <c r="Q56" s="365" t="s">
        <v>2594</v>
      </c>
      <c r="R56" s="395"/>
      <c r="S56" s="395"/>
      <c r="T56" s="395"/>
      <c r="U56" s="395"/>
      <c r="V56" s="395"/>
      <c r="W56" s="395"/>
      <c r="X56" s="395"/>
      <c r="Y56" s="395"/>
      <c r="Z56" s="395"/>
      <c r="AA56" s="395"/>
      <c r="AB56" s="395"/>
    </row>
    <row r="57">
      <c r="A57" s="391" t="s">
        <v>660</v>
      </c>
      <c r="B57" s="392" t="s">
        <v>661</v>
      </c>
      <c r="C57" s="393">
        <v>38719.0</v>
      </c>
      <c r="D57" s="391" t="s">
        <v>2679</v>
      </c>
      <c r="E57" s="392" t="s">
        <v>2680</v>
      </c>
      <c r="F57" s="394">
        <v>0.06</v>
      </c>
      <c r="G57" s="392" t="s">
        <v>2681</v>
      </c>
      <c r="H57" s="392" t="s">
        <v>2668</v>
      </c>
      <c r="I57" s="392" t="s">
        <v>2682</v>
      </c>
      <c r="J57" s="392">
        <v>1.0</v>
      </c>
      <c r="K57" s="392" t="s">
        <v>2289</v>
      </c>
      <c r="L57" s="391" t="s">
        <v>2670</v>
      </c>
      <c r="M57" s="391" t="s">
        <v>2671</v>
      </c>
      <c r="N57" s="364"/>
      <c r="O57" s="364"/>
      <c r="P57" s="365" t="s">
        <v>2594</v>
      </c>
      <c r="Q57" s="365" t="s">
        <v>2594</v>
      </c>
      <c r="R57" s="395"/>
      <c r="S57" s="395"/>
      <c r="T57" s="395"/>
      <c r="U57" s="395"/>
      <c r="V57" s="395"/>
      <c r="W57" s="395"/>
      <c r="X57" s="395"/>
      <c r="Y57" s="395"/>
      <c r="Z57" s="395"/>
      <c r="AA57" s="395"/>
      <c r="AB57" s="395"/>
    </row>
    <row r="58">
      <c r="A58" s="391" t="s">
        <v>660</v>
      </c>
      <c r="B58" s="392" t="s">
        <v>661</v>
      </c>
      <c r="C58" s="393">
        <v>38719.0</v>
      </c>
      <c r="D58" s="391" t="s">
        <v>2679</v>
      </c>
      <c r="E58" s="392" t="s">
        <v>2680</v>
      </c>
      <c r="F58" s="394">
        <v>0.06</v>
      </c>
      <c r="G58" s="392" t="s">
        <v>2681</v>
      </c>
      <c r="H58" s="392" t="s">
        <v>2668</v>
      </c>
      <c r="I58" s="392" t="s">
        <v>2682</v>
      </c>
      <c r="J58" s="392">
        <v>2.0</v>
      </c>
      <c r="K58" s="392" t="s">
        <v>2294</v>
      </c>
      <c r="L58" s="391" t="s">
        <v>2672</v>
      </c>
      <c r="M58" s="391" t="s">
        <v>2671</v>
      </c>
      <c r="N58" s="364"/>
      <c r="O58" s="364"/>
      <c r="P58" s="365" t="s">
        <v>2594</v>
      </c>
      <c r="Q58" s="365" t="s">
        <v>2594</v>
      </c>
      <c r="R58" s="395"/>
      <c r="S58" s="395"/>
      <c r="T58" s="395"/>
      <c r="U58" s="395"/>
      <c r="V58" s="395"/>
      <c r="W58" s="395"/>
      <c r="X58" s="395"/>
      <c r="Y58" s="395"/>
      <c r="Z58" s="395"/>
      <c r="AA58" s="395"/>
      <c r="AB58" s="395"/>
    </row>
    <row r="59">
      <c r="A59" s="391" t="s">
        <v>660</v>
      </c>
      <c r="B59" s="392" t="s">
        <v>661</v>
      </c>
      <c r="C59" s="393">
        <v>38719.0</v>
      </c>
      <c r="D59" s="391" t="s">
        <v>2679</v>
      </c>
      <c r="E59" s="392" t="s">
        <v>2680</v>
      </c>
      <c r="F59" s="394">
        <v>0.06</v>
      </c>
      <c r="G59" s="392" t="s">
        <v>2681</v>
      </c>
      <c r="H59" s="392" t="s">
        <v>2668</v>
      </c>
      <c r="I59" s="392" t="s">
        <v>2682</v>
      </c>
      <c r="J59" s="392">
        <v>3.0</v>
      </c>
      <c r="K59" s="392" t="s">
        <v>2289</v>
      </c>
      <c r="L59" s="391" t="s">
        <v>2673</v>
      </c>
      <c r="M59" s="391" t="s">
        <v>2671</v>
      </c>
      <c r="N59" s="364"/>
      <c r="O59" s="364"/>
      <c r="P59" s="365" t="s">
        <v>2594</v>
      </c>
      <c r="Q59" s="365" t="s">
        <v>2594</v>
      </c>
      <c r="R59" s="395"/>
      <c r="S59" s="395"/>
      <c r="T59" s="395"/>
      <c r="U59" s="395"/>
      <c r="V59" s="395"/>
      <c r="W59" s="395"/>
      <c r="X59" s="395"/>
      <c r="Y59" s="395"/>
      <c r="Z59" s="395"/>
      <c r="AA59" s="395"/>
      <c r="AB59" s="395"/>
    </row>
    <row r="60">
      <c r="A60" s="391" t="s">
        <v>660</v>
      </c>
      <c r="B60" s="392" t="s">
        <v>661</v>
      </c>
      <c r="C60" s="393">
        <v>38719.0</v>
      </c>
      <c r="D60" s="391" t="s">
        <v>2679</v>
      </c>
      <c r="E60" s="392" t="s">
        <v>2680</v>
      </c>
      <c r="F60" s="394">
        <v>0.06</v>
      </c>
      <c r="G60" s="392" t="s">
        <v>2681</v>
      </c>
      <c r="H60" s="392" t="s">
        <v>2668</v>
      </c>
      <c r="I60" s="392" t="s">
        <v>2682</v>
      </c>
      <c r="J60" s="392">
        <v>4.0</v>
      </c>
      <c r="K60" s="392" t="s">
        <v>2289</v>
      </c>
      <c r="L60" s="391" t="s">
        <v>2674</v>
      </c>
      <c r="M60" s="391" t="s">
        <v>2671</v>
      </c>
      <c r="N60" s="364"/>
      <c r="O60" s="364"/>
      <c r="P60" s="365" t="s">
        <v>2594</v>
      </c>
      <c r="Q60" s="365" t="s">
        <v>2594</v>
      </c>
      <c r="R60" s="395"/>
      <c r="S60" s="395"/>
      <c r="T60" s="395"/>
      <c r="U60" s="395"/>
      <c r="V60" s="395"/>
      <c r="W60" s="395"/>
      <c r="X60" s="395"/>
      <c r="Y60" s="395"/>
      <c r="Z60" s="395"/>
      <c r="AA60" s="395"/>
      <c r="AB60" s="395"/>
    </row>
    <row r="61">
      <c r="A61" s="391" t="s">
        <v>660</v>
      </c>
      <c r="B61" s="392" t="s">
        <v>661</v>
      </c>
      <c r="C61" s="393">
        <v>38719.0</v>
      </c>
      <c r="D61" s="391" t="s">
        <v>2679</v>
      </c>
      <c r="E61" s="392" t="s">
        <v>2680</v>
      </c>
      <c r="F61" s="394">
        <v>0.06</v>
      </c>
      <c r="G61" s="392" t="s">
        <v>2681</v>
      </c>
      <c r="H61" s="392" t="s">
        <v>2668</v>
      </c>
      <c r="I61" s="392" t="s">
        <v>2682</v>
      </c>
      <c r="J61" s="392">
        <v>5.0</v>
      </c>
      <c r="K61" s="392" t="s">
        <v>2294</v>
      </c>
      <c r="L61" s="391" t="s">
        <v>2633</v>
      </c>
      <c r="M61" s="391" t="s">
        <v>2671</v>
      </c>
      <c r="N61" s="364"/>
      <c r="O61" s="364"/>
      <c r="P61" s="365" t="s">
        <v>2594</v>
      </c>
      <c r="Q61" s="365" t="s">
        <v>2594</v>
      </c>
      <c r="R61" s="395"/>
      <c r="S61" s="395"/>
      <c r="T61" s="395"/>
      <c r="U61" s="395"/>
      <c r="V61" s="395"/>
      <c r="W61" s="395"/>
      <c r="X61" s="395"/>
      <c r="Y61" s="395"/>
      <c r="Z61" s="395"/>
      <c r="AA61" s="395"/>
      <c r="AB61" s="395"/>
    </row>
    <row r="62">
      <c r="A62" s="391" t="s">
        <v>660</v>
      </c>
      <c r="B62" s="392" t="s">
        <v>661</v>
      </c>
      <c r="C62" s="393">
        <v>39084.0</v>
      </c>
      <c r="D62" s="391" t="s">
        <v>2683</v>
      </c>
      <c r="E62" s="392" t="s">
        <v>2684</v>
      </c>
      <c r="F62" s="394">
        <v>0.05</v>
      </c>
      <c r="G62" s="392" t="s">
        <v>2685</v>
      </c>
      <c r="H62" s="392" t="s">
        <v>2668</v>
      </c>
      <c r="I62" s="392" t="s">
        <v>2686</v>
      </c>
      <c r="J62" s="392">
        <v>1.0</v>
      </c>
      <c r="K62" s="392" t="s">
        <v>2289</v>
      </c>
      <c r="L62" s="391" t="s">
        <v>2670</v>
      </c>
      <c r="M62" s="391" t="s">
        <v>2671</v>
      </c>
      <c r="N62" s="364"/>
      <c r="O62" s="364"/>
      <c r="P62" s="365" t="s">
        <v>2594</v>
      </c>
      <c r="Q62" s="365" t="s">
        <v>2594</v>
      </c>
      <c r="R62" s="395"/>
      <c r="S62" s="395"/>
      <c r="T62" s="395"/>
      <c r="U62" s="395"/>
      <c r="V62" s="395"/>
      <c r="W62" s="395"/>
      <c r="X62" s="395"/>
      <c r="Y62" s="395"/>
      <c r="Z62" s="395"/>
      <c r="AA62" s="395"/>
      <c r="AB62" s="395"/>
    </row>
    <row r="63">
      <c r="A63" s="391" t="s">
        <v>660</v>
      </c>
      <c r="B63" s="392" t="s">
        <v>661</v>
      </c>
      <c r="C63" s="393">
        <v>39084.0</v>
      </c>
      <c r="D63" s="391" t="s">
        <v>2683</v>
      </c>
      <c r="E63" s="392" t="s">
        <v>2684</v>
      </c>
      <c r="F63" s="394">
        <v>0.05</v>
      </c>
      <c r="G63" s="392" t="s">
        <v>2685</v>
      </c>
      <c r="H63" s="392" t="s">
        <v>2668</v>
      </c>
      <c r="I63" s="392" t="s">
        <v>2686</v>
      </c>
      <c r="J63" s="392">
        <v>2.0</v>
      </c>
      <c r="K63" s="392" t="s">
        <v>2294</v>
      </c>
      <c r="L63" s="391" t="s">
        <v>2672</v>
      </c>
      <c r="M63" s="391" t="s">
        <v>2671</v>
      </c>
      <c r="N63" s="364"/>
      <c r="O63" s="364"/>
      <c r="P63" s="365" t="s">
        <v>2594</v>
      </c>
      <c r="Q63" s="365" t="s">
        <v>2594</v>
      </c>
      <c r="R63" s="395"/>
      <c r="S63" s="395"/>
      <c r="T63" s="395"/>
      <c r="U63" s="395"/>
      <c r="V63" s="395"/>
      <c r="W63" s="395"/>
      <c r="X63" s="395"/>
      <c r="Y63" s="395"/>
      <c r="Z63" s="395"/>
      <c r="AA63" s="395"/>
      <c r="AB63" s="395"/>
    </row>
    <row r="64">
      <c r="A64" s="391" t="s">
        <v>660</v>
      </c>
      <c r="B64" s="392" t="s">
        <v>661</v>
      </c>
      <c r="C64" s="393">
        <v>39084.0</v>
      </c>
      <c r="D64" s="391" t="s">
        <v>2683</v>
      </c>
      <c r="E64" s="392" t="s">
        <v>2684</v>
      </c>
      <c r="F64" s="394">
        <v>0.05</v>
      </c>
      <c r="G64" s="392" t="s">
        <v>2685</v>
      </c>
      <c r="H64" s="392" t="s">
        <v>2668</v>
      </c>
      <c r="I64" s="392" t="s">
        <v>2686</v>
      </c>
      <c r="J64" s="392">
        <v>3.0</v>
      </c>
      <c r="K64" s="392" t="s">
        <v>2289</v>
      </c>
      <c r="L64" s="391" t="s">
        <v>2673</v>
      </c>
      <c r="M64" s="391" t="s">
        <v>2671</v>
      </c>
      <c r="N64" s="364"/>
      <c r="O64" s="364"/>
      <c r="P64" s="365" t="s">
        <v>2594</v>
      </c>
      <c r="Q64" s="365" t="s">
        <v>2594</v>
      </c>
      <c r="R64" s="395"/>
      <c r="S64" s="395"/>
      <c r="T64" s="395"/>
      <c r="U64" s="395"/>
      <c r="V64" s="395"/>
      <c r="W64" s="395"/>
      <c r="X64" s="395"/>
      <c r="Y64" s="395"/>
      <c r="Z64" s="395"/>
      <c r="AA64" s="395"/>
      <c r="AB64" s="395"/>
    </row>
    <row r="65">
      <c r="A65" s="391" t="s">
        <v>660</v>
      </c>
      <c r="B65" s="392" t="s">
        <v>661</v>
      </c>
      <c r="C65" s="393">
        <v>39084.0</v>
      </c>
      <c r="D65" s="391" t="s">
        <v>2683</v>
      </c>
      <c r="E65" s="392" t="s">
        <v>2684</v>
      </c>
      <c r="F65" s="394">
        <v>0.05</v>
      </c>
      <c r="G65" s="392" t="s">
        <v>2685</v>
      </c>
      <c r="H65" s="392" t="s">
        <v>2668</v>
      </c>
      <c r="I65" s="392" t="s">
        <v>2686</v>
      </c>
      <c r="J65" s="392">
        <v>4.0</v>
      </c>
      <c r="K65" s="392" t="s">
        <v>2289</v>
      </c>
      <c r="L65" s="391" t="s">
        <v>2674</v>
      </c>
      <c r="M65" s="391" t="s">
        <v>2671</v>
      </c>
      <c r="N65" s="364"/>
      <c r="O65" s="364"/>
      <c r="P65" s="365" t="s">
        <v>2594</v>
      </c>
      <c r="Q65" s="365" t="s">
        <v>2594</v>
      </c>
      <c r="R65" s="395"/>
      <c r="S65" s="395"/>
      <c r="T65" s="395"/>
      <c r="U65" s="395"/>
      <c r="V65" s="395"/>
      <c r="W65" s="395"/>
      <c r="X65" s="395"/>
      <c r="Y65" s="395"/>
      <c r="Z65" s="395"/>
      <c r="AA65" s="395"/>
      <c r="AB65" s="395"/>
    </row>
    <row r="66">
      <c r="A66" s="391" t="s">
        <v>660</v>
      </c>
      <c r="B66" s="392" t="s">
        <v>661</v>
      </c>
      <c r="C66" s="393">
        <v>39084.0</v>
      </c>
      <c r="D66" s="391" t="s">
        <v>2683</v>
      </c>
      <c r="E66" s="392" t="s">
        <v>2684</v>
      </c>
      <c r="F66" s="394">
        <v>0.05</v>
      </c>
      <c r="G66" s="392" t="s">
        <v>2685</v>
      </c>
      <c r="H66" s="392" t="s">
        <v>2668</v>
      </c>
      <c r="I66" s="392" t="s">
        <v>2686</v>
      </c>
      <c r="J66" s="392">
        <v>5.0</v>
      </c>
      <c r="K66" s="392" t="s">
        <v>2294</v>
      </c>
      <c r="L66" s="391" t="s">
        <v>2633</v>
      </c>
      <c r="M66" s="391" t="s">
        <v>2671</v>
      </c>
      <c r="N66" s="364"/>
      <c r="O66" s="364"/>
      <c r="P66" s="365" t="s">
        <v>2594</v>
      </c>
      <c r="Q66" s="365" t="s">
        <v>2594</v>
      </c>
      <c r="R66" s="395"/>
      <c r="S66" s="395"/>
      <c r="T66" s="395"/>
      <c r="U66" s="395"/>
      <c r="V66" s="395"/>
      <c r="W66" s="395"/>
      <c r="X66" s="395"/>
      <c r="Y66" s="395"/>
      <c r="Z66" s="395"/>
      <c r="AA66" s="395"/>
      <c r="AB66" s="395"/>
    </row>
    <row r="67">
      <c r="A67" s="391" t="s">
        <v>660</v>
      </c>
      <c r="B67" s="392" t="s">
        <v>661</v>
      </c>
      <c r="C67" s="393">
        <v>39449.0</v>
      </c>
      <c r="D67" s="391" t="s">
        <v>2687</v>
      </c>
      <c r="E67" s="392" t="s">
        <v>2688</v>
      </c>
      <c r="F67" s="394">
        <v>0.05</v>
      </c>
      <c r="G67" s="392" t="s">
        <v>2689</v>
      </c>
      <c r="H67" s="392" t="s">
        <v>2668</v>
      </c>
      <c r="I67" s="392" t="s">
        <v>2690</v>
      </c>
      <c r="J67" s="392">
        <v>1.0</v>
      </c>
      <c r="K67" s="392" t="s">
        <v>2289</v>
      </c>
      <c r="L67" s="391" t="s">
        <v>2670</v>
      </c>
      <c r="M67" s="391" t="s">
        <v>2671</v>
      </c>
      <c r="N67" s="364"/>
      <c r="O67" s="364"/>
      <c r="P67" s="365" t="s">
        <v>2594</v>
      </c>
      <c r="Q67" s="365" t="s">
        <v>2594</v>
      </c>
      <c r="R67" s="395"/>
      <c r="S67" s="395"/>
      <c r="T67" s="395"/>
      <c r="U67" s="395"/>
      <c r="V67" s="395"/>
      <c r="W67" s="395"/>
      <c r="X67" s="395"/>
      <c r="Y67" s="395"/>
      <c r="Z67" s="395"/>
      <c r="AA67" s="395"/>
      <c r="AB67" s="395"/>
    </row>
    <row r="68">
      <c r="A68" s="391" t="s">
        <v>660</v>
      </c>
      <c r="B68" s="392" t="s">
        <v>661</v>
      </c>
      <c r="C68" s="393">
        <v>39449.0</v>
      </c>
      <c r="D68" s="391" t="s">
        <v>2687</v>
      </c>
      <c r="E68" s="392" t="s">
        <v>2688</v>
      </c>
      <c r="F68" s="394">
        <v>0.05</v>
      </c>
      <c r="G68" s="392" t="s">
        <v>2689</v>
      </c>
      <c r="H68" s="392" t="s">
        <v>2668</v>
      </c>
      <c r="I68" s="392" t="s">
        <v>2690</v>
      </c>
      <c r="J68" s="392">
        <v>2.0</v>
      </c>
      <c r="K68" s="392" t="s">
        <v>2294</v>
      </c>
      <c r="L68" s="391" t="s">
        <v>2672</v>
      </c>
      <c r="M68" s="391" t="s">
        <v>2671</v>
      </c>
      <c r="N68" s="364"/>
      <c r="O68" s="364"/>
      <c r="P68" s="365" t="s">
        <v>2594</v>
      </c>
      <c r="Q68" s="365" t="s">
        <v>2594</v>
      </c>
      <c r="R68" s="395"/>
      <c r="S68" s="395"/>
      <c r="T68" s="395"/>
      <c r="U68" s="395"/>
      <c r="V68" s="395"/>
      <c r="W68" s="395"/>
      <c r="X68" s="395"/>
      <c r="Y68" s="395"/>
      <c r="Z68" s="395"/>
      <c r="AA68" s="395"/>
      <c r="AB68" s="395"/>
    </row>
    <row r="69">
      <c r="A69" s="391" t="s">
        <v>660</v>
      </c>
      <c r="B69" s="392" t="s">
        <v>661</v>
      </c>
      <c r="C69" s="393">
        <v>39449.0</v>
      </c>
      <c r="D69" s="391" t="s">
        <v>2687</v>
      </c>
      <c r="E69" s="392" t="s">
        <v>2688</v>
      </c>
      <c r="F69" s="394">
        <v>0.05</v>
      </c>
      <c r="G69" s="392" t="s">
        <v>2689</v>
      </c>
      <c r="H69" s="392" t="s">
        <v>2668</v>
      </c>
      <c r="I69" s="392" t="s">
        <v>2690</v>
      </c>
      <c r="J69" s="392">
        <v>3.0</v>
      </c>
      <c r="K69" s="392" t="s">
        <v>2289</v>
      </c>
      <c r="L69" s="391" t="s">
        <v>2673</v>
      </c>
      <c r="M69" s="391" t="s">
        <v>2671</v>
      </c>
      <c r="N69" s="364"/>
      <c r="O69" s="364"/>
      <c r="P69" s="365" t="s">
        <v>2594</v>
      </c>
      <c r="Q69" s="365" t="s">
        <v>2594</v>
      </c>
      <c r="R69" s="395"/>
      <c r="S69" s="395"/>
      <c r="T69" s="395"/>
      <c r="U69" s="395"/>
      <c r="V69" s="395"/>
      <c r="W69" s="395"/>
      <c r="X69" s="395"/>
      <c r="Y69" s="395"/>
      <c r="Z69" s="395"/>
      <c r="AA69" s="395"/>
      <c r="AB69" s="395"/>
    </row>
    <row r="70">
      <c r="A70" s="391" t="s">
        <v>660</v>
      </c>
      <c r="B70" s="392" t="s">
        <v>661</v>
      </c>
      <c r="C70" s="393">
        <v>39449.0</v>
      </c>
      <c r="D70" s="391" t="s">
        <v>2687</v>
      </c>
      <c r="E70" s="392" t="s">
        <v>2688</v>
      </c>
      <c r="F70" s="394">
        <v>0.05</v>
      </c>
      <c r="G70" s="392" t="s">
        <v>2689</v>
      </c>
      <c r="H70" s="392" t="s">
        <v>2668</v>
      </c>
      <c r="I70" s="392" t="s">
        <v>2690</v>
      </c>
      <c r="J70" s="392">
        <v>4.0</v>
      </c>
      <c r="K70" s="392" t="s">
        <v>2289</v>
      </c>
      <c r="L70" s="391" t="s">
        <v>2674</v>
      </c>
      <c r="M70" s="391" t="s">
        <v>2671</v>
      </c>
      <c r="N70" s="364"/>
      <c r="O70" s="364"/>
      <c r="P70" s="365" t="s">
        <v>2594</v>
      </c>
      <c r="Q70" s="365" t="s">
        <v>2594</v>
      </c>
      <c r="R70" s="395"/>
      <c r="S70" s="395"/>
      <c r="T70" s="395"/>
      <c r="U70" s="395"/>
      <c r="V70" s="395"/>
      <c r="W70" s="395"/>
      <c r="X70" s="395"/>
      <c r="Y70" s="395"/>
      <c r="Z70" s="395"/>
      <c r="AA70" s="395"/>
      <c r="AB70" s="395"/>
    </row>
    <row r="71">
      <c r="A71" s="391" t="s">
        <v>660</v>
      </c>
      <c r="B71" s="392" t="s">
        <v>661</v>
      </c>
      <c r="C71" s="393">
        <v>39449.0</v>
      </c>
      <c r="D71" s="391" t="s">
        <v>2687</v>
      </c>
      <c r="E71" s="392" t="s">
        <v>2688</v>
      </c>
      <c r="F71" s="394">
        <v>0.05</v>
      </c>
      <c r="G71" s="392" t="s">
        <v>2689</v>
      </c>
      <c r="H71" s="392" t="s">
        <v>2668</v>
      </c>
      <c r="I71" s="392" t="s">
        <v>2690</v>
      </c>
      <c r="J71" s="392">
        <v>5.0</v>
      </c>
      <c r="K71" s="392" t="s">
        <v>2294</v>
      </c>
      <c r="L71" s="391" t="s">
        <v>2633</v>
      </c>
      <c r="M71" s="391" t="s">
        <v>2671</v>
      </c>
      <c r="N71" s="364"/>
      <c r="O71" s="364"/>
      <c r="P71" s="365" t="s">
        <v>2594</v>
      </c>
      <c r="Q71" s="365" t="s">
        <v>2594</v>
      </c>
      <c r="R71" s="395"/>
      <c r="S71" s="395"/>
      <c r="T71" s="395"/>
      <c r="U71" s="395"/>
      <c r="V71" s="395"/>
      <c r="W71" s="395"/>
      <c r="X71" s="395"/>
      <c r="Y71" s="395"/>
      <c r="Z71" s="395"/>
      <c r="AA71" s="395"/>
      <c r="AB71" s="395"/>
    </row>
    <row r="72">
      <c r="A72" s="391" t="s">
        <v>660</v>
      </c>
      <c r="B72" s="392" t="s">
        <v>661</v>
      </c>
      <c r="C72" s="393">
        <v>39815.0</v>
      </c>
      <c r="D72" s="391" t="s">
        <v>2691</v>
      </c>
      <c r="E72" s="392" t="s">
        <v>2692</v>
      </c>
      <c r="F72" s="394">
        <v>0.05</v>
      </c>
      <c r="G72" s="392" t="s">
        <v>2693</v>
      </c>
      <c r="H72" s="392" t="s">
        <v>2668</v>
      </c>
      <c r="I72" s="392" t="s">
        <v>2694</v>
      </c>
      <c r="J72" s="392">
        <v>1.0</v>
      </c>
      <c r="K72" s="392" t="s">
        <v>2289</v>
      </c>
      <c r="L72" s="391" t="s">
        <v>2670</v>
      </c>
      <c r="M72" s="391" t="s">
        <v>2671</v>
      </c>
      <c r="N72" s="364"/>
      <c r="O72" s="364"/>
      <c r="P72" s="365" t="s">
        <v>2594</v>
      </c>
      <c r="Q72" s="365" t="s">
        <v>2594</v>
      </c>
      <c r="R72" s="395"/>
      <c r="S72" s="395"/>
      <c r="T72" s="395"/>
      <c r="U72" s="395"/>
      <c r="V72" s="395"/>
      <c r="W72" s="395"/>
      <c r="X72" s="395"/>
      <c r="Y72" s="395"/>
      <c r="Z72" s="395"/>
      <c r="AA72" s="395"/>
      <c r="AB72" s="395"/>
    </row>
    <row r="73">
      <c r="A73" s="391" t="s">
        <v>660</v>
      </c>
      <c r="B73" s="392" t="s">
        <v>661</v>
      </c>
      <c r="C73" s="393">
        <v>39815.0</v>
      </c>
      <c r="D73" s="391" t="s">
        <v>2691</v>
      </c>
      <c r="E73" s="392" t="s">
        <v>2692</v>
      </c>
      <c r="F73" s="394">
        <v>0.05</v>
      </c>
      <c r="G73" s="392" t="s">
        <v>2693</v>
      </c>
      <c r="H73" s="392" t="s">
        <v>2668</v>
      </c>
      <c r="I73" s="392" t="s">
        <v>2694</v>
      </c>
      <c r="J73" s="392">
        <v>2.0</v>
      </c>
      <c r="K73" s="392" t="s">
        <v>2294</v>
      </c>
      <c r="L73" s="391" t="s">
        <v>2672</v>
      </c>
      <c r="M73" s="391" t="s">
        <v>2671</v>
      </c>
      <c r="N73" s="364"/>
      <c r="O73" s="364"/>
      <c r="P73" s="365" t="s">
        <v>2594</v>
      </c>
      <c r="Q73" s="365" t="s">
        <v>2594</v>
      </c>
      <c r="R73" s="395"/>
      <c r="S73" s="395"/>
      <c r="T73" s="395"/>
      <c r="U73" s="395"/>
      <c r="V73" s="395"/>
      <c r="W73" s="395"/>
      <c r="X73" s="395"/>
      <c r="Y73" s="395"/>
      <c r="Z73" s="395"/>
      <c r="AA73" s="395"/>
      <c r="AB73" s="395"/>
    </row>
    <row r="74">
      <c r="A74" s="391" t="s">
        <v>660</v>
      </c>
      <c r="B74" s="392" t="s">
        <v>661</v>
      </c>
      <c r="C74" s="393">
        <v>39815.0</v>
      </c>
      <c r="D74" s="391" t="s">
        <v>2691</v>
      </c>
      <c r="E74" s="392" t="s">
        <v>2692</v>
      </c>
      <c r="F74" s="394">
        <v>0.05</v>
      </c>
      <c r="G74" s="392" t="s">
        <v>2693</v>
      </c>
      <c r="H74" s="392" t="s">
        <v>2668</v>
      </c>
      <c r="I74" s="392" t="s">
        <v>2694</v>
      </c>
      <c r="J74" s="392">
        <v>3.0</v>
      </c>
      <c r="K74" s="392" t="s">
        <v>2289</v>
      </c>
      <c r="L74" s="391" t="s">
        <v>2673</v>
      </c>
      <c r="M74" s="391" t="s">
        <v>2671</v>
      </c>
      <c r="N74" s="364"/>
      <c r="O74" s="364"/>
      <c r="P74" s="365" t="s">
        <v>2594</v>
      </c>
      <c r="Q74" s="365" t="s">
        <v>2594</v>
      </c>
      <c r="R74" s="395"/>
      <c r="S74" s="395"/>
      <c r="T74" s="395"/>
      <c r="U74" s="395"/>
      <c r="V74" s="395"/>
      <c r="W74" s="395"/>
      <c r="X74" s="395"/>
      <c r="Y74" s="395"/>
      <c r="Z74" s="395"/>
      <c r="AA74" s="395"/>
      <c r="AB74" s="395"/>
    </row>
    <row r="75">
      <c r="A75" s="391" t="s">
        <v>660</v>
      </c>
      <c r="B75" s="392" t="s">
        <v>661</v>
      </c>
      <c r="C75" s="393">
        <v>39815.0</v>
      </c>
      <c r="D75" s="391" t="s">
        <v>2691</v>
      </c>
      <c r="E75" s="392" t="s">
        <v>2692</v>
      </c>
      <c r="F75" s="394">
        <v>0.05</v>
      </c>
      <c r="G75" s="392" t="s">
        <v>2693</v>
      </c>
      <c r="H75" s="392" t="s">
        <v>2668</v>
      </c>
      <c r="I75" s="392" t="s">
        <v>2694</v>
      </c>
      <c r="J75" s="392">
        <v>4.0</v>
      </c>
      <c r="K75" s="392" t="s">
        <v>2289</v>
      </c>
      <c r="L75" s="391" t="s">
        <v>2674</v>
      </c>
      <c r="M75" s="391" t="s">
        <v>2671</v>
      </c>
      <c r="N75" s="364"/>
      <c r="O75" s="364"/>
      <c r="P75" s="365" t="s">
        <v>2594</v>
      </c>
      <c r="Q75" s="365" t="s">
        <v>2594</v>
      </c>
      <c r="R75" s="395"/>
      <c r="S75" s="395"/>
      <c r="T75" s="395"/>
      <c r="U75" s="395"/>
      <c r="V75" s="395"/>
      <c r="W75" s="395"/>
      <c r="X75" s="395"/>
      <c r="Y75" s="395"/>
      <c r="Z75" s="395"/>
      <c r="AA75" s="395"/>
      <c r="AB75" s="395"/>
    </row>
    <row r="76">
      <c r="A76" s="391" t="s">
        <v>660</v>
      </c>
      <c r="B76" s="392" t="s">
        <v>661</v>
      </c>
      <c r="C76" s="393">
        <v>39815.0</v>
      </c>
      <c r="D76" s="391" t="s">
        <v>2691</v>
      </c>
      <c r="E76" s="392" t="s">
        <v>2692</v>
      </c>
      <c r="F76" s="394">
        <v>0.05</v>
      </c>
      <c r="G76" s="392" t="s">
        <v>2693</v>
      </c>
      <c r="H76" s="392" t="s">
        <v>2668</v>
      </c>
      <c r="I76" s="392" t="s">
        <v>2694</v>
      </c>
      <c r="J76" s="392">
        <v>5.0</v>
      </c>
      <c r="K76" s="392" t="s">
        <v>2294</v>
      </c>
      <c r="L76" s="391" t="s">
        <v>2633</v>
      </c>
      <c r="M76" s="391" t="s">
        <v>2671</v>
      </c>
      <c r="N76" s="364"/>
      <c r="O76" s="364"/>
      <c r="P76" s="365" t="s">
        <v>2594</v>
      </c>
      <c r="Q76" s="365" t="s">
        <v>2594</v>
      </c>
      <c r="R76" s="395"/>
      <c r="S76" s="395"/>
      <c r="T76" s="395"/>
      <c r="U76" s="395"/>
      <c r="V76" s="395"/>
      <c r="W76" s="395"/>
      <c r="X76" s="395"/>
      <c r="Y76" s="395"/>
      <c r="Z76" s="395"/>
      <c r="AA76" s="395"/>
      <c r="AB76" s="395"/>
    </row>
    <row r="77">
      <c r="A77" s="391" t="s">
        <v>660</v>
      </c>
      <c r="B77" s="392" t="s">
        <v>661</v>
      </c>
      <c r="C77" s="396">
        <v>40180.0</v>
      </c>
      <c r="D77" s="391" t="s">
        <v>2695</v>
      </c>
      <c r="E77" s="392" t="s">
        <v>2696</v>
      </c>
      <c r="F77" s="394">
        <v>0.04</v>
      </c>
      <c r="G77" s="392" t="s">
        <v>2697</v>
      </c>
      <c r="H77" s="392" t="s">
        <v>2668</v>
      </c>
      <c r="I77" s="392" t="s">
        <v>2698</v>
      </c>
      <c r="J77" s="392">
        <v>1.0</v>
      </c>
      <c r="K77" s="392" t="s">
        <v>2289</v>
      </c>
      <c r="L77" s="391" t="s">
        <v>2670</v>
      </c>
      <c r="M77" s="391" t="s">
        <v>2671</v>
      </c>
      <c r="N77" s="364"/>
      <c r="O77" s="364"/>
      <c r="P77" s="365" t="s">
        <v>2594</v>
      </c>
      <c r="Q77" s="365" t="s">
        <v>2594</v>
      </c>
      <c r="R77" s="395"/>
      <c r="S77" s="395"/>
      <c r="T77" s="395"/>
      <c r="U77" s="395"/>
      <c r="V77" s="395"/>
      <c r="W77" s="395"/>
      <c r="X77" s="395"/>
      <c r="Y77" s="395"/>
      <c r="Z77" s="395"/>
      <c r="AA77" s="395"/>
      <c r="AB77" s="395"/>
    </row>
    <row r="78">
      <c r="A78" s="391" t="s">
        <v>660</v>
      </c>
      <c r="B78" s="392" t="s">
        <v>661</v>
      </c>
      <c r="C78" s="396">
        <v>40180.0</v>
      </c>
      <c r="D78" s="391" t="s">
        <v>2695</v>
      </c>
      <c r="E78" s="392" t="s">
        <v>2696</v>
      </c>
      <c r="F78" s="394">
        <v>0.04</v>
      </c>
      <c r="G78" s="392" t="s">
        <v>2697</v>
      </c>
      <c r="H78" s="392" t="s">
        <v>2668</v>
      </c>
      <c r="I78" s="392" t="s">
        <v>2698</v>
      </c>
      <c r="J78" s="392">
        <v>2.0</v>
      </c>
      <c r="K78" s="392" t="s">
        <v>2294</v>
      </c>
      <c r="L78" s="391" t="s">
        <v>2672</v>
      </c>
      <c r="M78" s="391" t="s">
        <v>2671</v>
      </c>
      <c r="N78" s="364"/>
      <c r="O78" s="364"/>
      <c r="P78" s="365" t="s">
        <v>2594</v>
      </c>
      <c r="Q78" s="365" t="s">
        <v>2594</v>
      </c>
      <c r="R78" s="395"/>
      <c r="S78" s="395"/>
      <c r="T78" s="395"/>
      <c r="U78" s="395"/>
      <c r="V78" s="395"/>
      <c r="W78" s="395"/>
      <c r="X78" s="395"/>
      <c r="Y78" s="395"/>
      <c r="Z78" s="395"/>
      <c r="AA78" s="395"/>
      <c r="AB78" s="395"/>
    </row>
    <row r="79">
      <c r="A79" s="391" t="s">
        <v>660</v>
      </c>
      <c r="B79" s="392" t="s">
        <v>661</v>
      </c>
      <c r="C79" s="396">
        <v>40180.0</v>
      </c>
      <c r="D79" s="391" t="s">
        <v>2695</v>
      </c>
      <c r="E79" s="392" t="s">
        <v>2696</v>
      </c>
      <c r="F79" s="394">
        <v>0.04</v>
      </c>
      <c r="G79" s="392" t="s">
        <v>2697</v>
      </c>
      <c r="H79" s="392" t="s">
        <v>2668</v>
      </c>
      <c r="I79" s="392" t="s">
        <v>2698</v>
      </c>
      <c r="J79" s="392">
        <v>3.0</v>
      </c>
      <c r="K79" s="392" t="s">
        <v>2289</v>
      </c>
      <c r="L79" s="391" t="s">
        <v>2673</v>
      </c>
      <c r="M79" s="391" t="s">
        <v>2671</v>
      </c>
      <c r="N79" s="364"/>
      <c r="O79" s="364"/>
      <c r="P79" s="365" t="s">
        <v>2594</v>
      </c>
      <c r="Q79" s="365" t="s">
        <v>2594</v>
      </c>
      <c r="R79" s="395"/>
      <c r="S79" s="395"/>
      <c r="T79" s="395"/>
      <c r="U79" s="395"/>
      <c r="V79" s="395"/>
      <c r="W79" s="395"/>
      <c r="X79" s="395"/>
      <c r="Y79" s="395"/>
      <c r="Z79" s="395"/>
      <c r="AA79" s="395"/>
      <c r="AB79" s="395"/>
    </row>
    <row r="80">
      <c r="A80" s="391" t="s">
        <v>660</v>
      </c>
      <c r="B80" s="392" t="s">
        <v>661</v>
      </c>
      <c r="C80" s="396">
        <v>40180.0</v>
      </c>
      <c r="D80" s="391" t="s">
        <v>2695</v>
      </c>
      <c r="E80" s="392" t="s">
        <v>2696</v>
      </c>
      <c r="F80" s="394">
        <v>0.04</v>
      </c>
      <c r="G80" s="392" t="s">
        <v>2697</v>
      </c>
      <c r="H80" s="392" t="s">
        <v>2668</v>
      </c>
      <c r="I80" s="392" t="s">
        <v>2698</v>
      </c>
      <c r="J80" s="392">
        <v>4.0</v>
      </c>
      <c r="K80" s="392" t="s">
        <v>2289</v>
      </c>
      <c r="L80" s="391" t="s">
        <v>2674</v>
      </c>
      <c r="M80" s="391" t="s">
        <v>2671</v>
      </c>
      <c r="N80" s="364"/>
      <c r="O80" s="364"/>
      <c r="P80" s="365" t="s">
        <v>2594</v>
      </c>
      <c r="Q80" s="365" t="s">
        <v>2594</v>
      </c>
      <c r="R80" s="395"/>
      <c r="S80" s="395"/>
      <c r="T80" s="395"/>
      <c r="U80" s="395"/>
      <c r="V80" s="395"/>
      <c r="W80" s="395"/>
      <c r="X80" s="395"/>
      <c r="Y80" s="395"/>
      <c r="Z80" s="395"/>
      <c r="AA80" s="395"/>
      <c r="AB80" s="395"/>
    </row>
    <row r="81">
      <c r="A81" s="391" t="s">
        <v>660</v>
      </c>
      <c r="B81" s="392" t="s">
        <v>661</v>
      </c>
      <c r="C81" s="396">
        <v>40180.0</v>
      </c>
      <c r="D81" s="391" t="s">
        <v>2695</v>
      </c>
      <c r="E81" s="392" t="s">
        <v>2696</v>
      </c>
      <c r="F81" s="394">
        <v>0.04</v>
      </c>
      <c r="G81" s="392" t="s">
        <v>2697</v>
      </c>
      <c r="H81" s="392" t="s">
        <v>2668</v>
      </c>
      <c r="I81" s="392" t="s">
        <v>2698</v>
      </c>
      <c r="J81" s="392">
        <v>5.0</v>
      </c>
      <c r="K81" s="392" t="s">
        <v>2294</v>
      </c>
      <c r="L81" s="391" t="s">
        <v>2633</v>
      </c>
      <c r="M81" s="391" t="s">
        <v>2671</v>
      </c>
      <c r="N81" s="364"/>
      <c r="O81" s="364"/>
      <c r="P81" s="365" t="s">
        <v>2594</v>
      </c>
      <c r="Q81" s="365" t="s">
        <v>2594</v>
      </c>
      <c r="R81" s="395"/>
      <c r="S81" s="395"/>
      <c r="T81" s="395"/>
      <c r="U81" s="395"/>
      <c r="V81" s="395"/>
      <c r="W81" s="395"/>
      <c r="X81" s="395"/>
      <c r="Y81" s="395"/>
      <c r="Z81" s="395"/>
      <c r="AA81" s="395"/>
      <c r="AB81" s="395"/>
    </row>
    <row r="82">
      <c r="A82" s="391" t="s">
        <v>660</v>
      </c>
      <c r="B82" s="392" t="s">
        <v>661</v>
      </c>
      <c r="C82" s="396">
        <v>40545.0</v>
      </c>
      <c r="D82" s="391" t="s">
        <v>2699</v>
      </c>
      <c r="E82" s="392" t="s">
        <v>2700</v>
      </c>
      <c r="F82" s="394">
        <v>0.03</v>
      </c>
      <c r="G82" s="392" t="s">
        <v>2701</v>
      </c>
      <c r="H82" s="392" t="s">
        <v>2668</v>
      </c>
      <c r="I82" s="392" t="s">
        <v>2702</v>
      </c>
      <c r="J82" s="392">
        <v>1.0</v>
      </c>
      <c r="K82" s="392" t="s">
        <v>2289</v>
      </c>
      <c r="L82" s="391" t="s">
        <v>2670</v>
      </c>
      <c r="M82" s="391" t="s">
        <v>2671</v>
      </c>
      <c r="N82" s="364"/>
      <c r="O82" s="364"/>
      <c r="P82" s="365" t="s">
        <v>2594</v>
      </c>
      <c r="Q82" s="365" t="s">
        <v>2594</v>
      </c>
      <c r="R82" s="395"/>
      <c r="S82" s="395"/>
      <c r="T82" s="395"/>
      <c r="U82" s="395"/>
      <c r="V82" s="395"/>
      <c r="W82" s="395"/>
      <c r="X82" s="395"/>
      <c r="Y82" s="395"/>
      <c r="Z82" s="395"/>
      <c r="AA82" s="395"/>
      <c r="AB82" s="395"/>
    </row>
    <row r="83">
      <c r="A83" s="391" t="s">
        <v>660</v>
      </c>
      <c r="B83" s="392" t="s">
        <v>661</v>
      </c>
      <c r="C83" s="396">
        <v>40545.0</v>
      </c>
      <c r="D83" s="391" t="s">
        <v>2699</v>
      </c>
      <c r="E83" s="392" t="s">
        <v>2700</v>
      </c>
      <c r="F83" s="394">
        <v>0.03</v>
      </c>
      <c r="G83" s="392" t="s">
        <v>2701</v>
      </c>
      <c r="H83" s="392" t="s">
        <v>2668</v>
      </c>
      <c r="I83" s="392" t="s">
        <v>2702</v>
      </c>
      <c r="J83" s="392">
        <v>2.0</v>
      </c>
      <c r="K83" s="392" t="s">
        <v>2294</v>
      </c>
      <c r="L83" s="391" t="s">
        <v>2672</v>
      </c>
      <c r="M83" s="391" t="s">
        <v>2671</v>
      </c>
      <c r="N83" s="364"/>
      <c r="O83" s="364"/>
      <c r="P83" s="365" t="s">
        <v>2594</v>
      </c>
      <c r="Q83" s="365" t="s">
        <v>2594</v>
      </c>
      <c r="R83" s="395"/>
      <c r="S83" s="395"/>
      <c r="T83" s="395"/>
      <c r="U83" s="395"/>
      <c r="V83" s="395"/>
      <c r="W83" s="395"/>
      <c r="X83" s="395"/>
      <c r="Y83" s="395"/>
      <c r="Z83" s="395"/>
      <c r="AA83" s="395"/>
      <c r="AB83" s="395"/>
    </row>
    <row r="84">
      <c r="A84" s="391" t="s">
        <v>660</v>
      </c>
      <c r="B84" s="392" t="s">
        <v>661</v>
      </c>
      <c r="C84" s="396">
        <v>40545.0</v>
      </c>
      <c r="D84" s="391" t="s">
        <v>2699</v>
      </c>
      <c r="E84" s="392" t="s">
        <v>2700</v>
      </c>
      <c r="F84" s="394">
        <v>0.03</v>
      </c>
      <c r="G84" s="392" t="s">
        <v>2701</v>
      </c>
      <c r="H84" s="392" t="s">
        <v>2668</v>
      </c>
      <c r="I84" s="392" t="s">
        <v>2702</v>
      </c>
      <c r="J84" s="392">
        <v>3.0</v>
      </c>
      <c r="K84" s="392" t="s">
        <v>2289</v>
      </c>
      <c r="L84" s="391" t="s">
        <v>2673</v>
      </c>
      <c r="M84" s="391" t="s">
        <v>2671</v>
      </c>
      <c r="N84" s="364"/>
      <c r="O84" s="364"/>
      <c r="P84" s="365" t="s">
        <v>2594</v>
      </c>
      <c r="Q84" s="365" t="s">
        <v>2594</v>
      </c>
      <c r="R84" s="395"/>
      <c r="S84" s="395"/>
      <c r="T84" s="395"/>
      <c r="U84" s="395"/>
      <c r="V84" s="395"/>
      <c r="W84" s="395"/>
      <c r="X84" s="395"/>
      <c r="Y84" s="395"/>
      <c r="Z84" s="395"/>
      <c r="AA84" s="395"/>
      <c r="AB84" s="395"/>
    </row>
    <row r="85">
      <c r="A85" s="391" t="s">
        <v>660</v>
      </c>
      <c r="B85" s="392" t="s">
        <v>661</v>
      </c>
      <c r="C85" s="396">
        <v>40545.0</v>
      </c>
      <c r="D85" s="391" t="s">
        <v>2699</v>
      </c>
      <c r="E85" s="392" t="s">
        <v>2700</v>
      </c>
      <c r="F85" s="394">
        <v>0.03</v>
      </c>
      <c r="G85" s="392" t="s">
        <v>2701</v>
      </c>
      <c r="H85" s="392" t="s">
        <v>2668</v>
      </c>
      <c r="I85" s="392" t="s">
        <v>2702</v>
      </c>
      <c r="J85" s="392">
        <v>4.0</v>
      </c>
      <c r="K85" s="392" t="s">
        <v>2289</v>
      </c>
      <c r="L85" s="391" t="s">
        <v>2674</v>
      </c>
      <c r="M85" s="391" t="s">
        <v>2671</v>
      </c>
      <c r="N85" s="364"/>
      <c r="O85" s="364"/>
      <c r="P85" s="365" t="s">
        <v>2594</v>
      </c>
      <c r="Q85" s="365" t="s">
        <v>2594</v>
      </c>
      <c r="R85" s="395"/>
      <c r="S85" s="395"/>
      <c r="T85" s="395"/>
      <c r="U85" s="395"/>
      <c r="V85" s="395"/>
      <c r="W85" s="395"/>
      <c r="X85" s="395"/>
      <c r="Y85" s="395"/>
      <c r="Z85" s="395"/>
      <c r="AA85" s="395"/>
      <c r="AB85" s="395"/>
    </row>
    <row r="86">
      <c r="A86" s="391" t="s">
        <v>660</v>
      </c>
      <c r="B86" s="392" t="s">
        <v>661</v>
      </c>
      <c r="C86" s="396">
        <v>40545.0</v>
      </c>
      <c r="D86" s="391" t="s">
        <v>2699</v>
      </c>
      <c r="E86" s="392" t="s">
        <v>2700</v>
      </c>
      <c r="F86" s="394">
        <v>0.03</v>
      </c>
      <c r="G86" s="392" t="s">
        <v>2701</v>
      </c>
      <c r="H86" s="392" t="s">
        <v>2668</v>
      </c>
      <c r="I86" s="392" t="s">
        <v>2702</v>
      </c>
      <c r="J86" s="392">
        <v>5.0</v>
      </c>
      <c r="K86" s="392" t="s">
        <v>2294</v>
      </c>
      <c r="L86" s="391" t="s">
        <v>2633</v>
      </c>
      <c r="M86" s="391" t="s">
        <v>2671</v>
      </c>
      <c r="N86" s="364"/>
      <c r="O86" s="364"/>
      <c r="P86" s="365" t="s">
        <v>2594</v>
      </c>
      <c r="Q86" s="365" t="s">
        <v>2594</v>
      </c>
      <c r="R86" s="395"/>
      <c r="S86" s="395"/>
      <c r="T86" s="395"/>
      <c r="U86" s="395"/>
      <c r="V86" s="395"/>
      <c r="W86" s="395"/>
      <c r="X86" s="395"/>
      <c r="Y86" s="395"/>
      <c r="Z86" s="395"/>
      <c r="AA86" s="395"/>
      <c r="AB86" s="395"/>
    </row>
    <row r="87">
      <c r="A87" s="391" t="s">
        <v>660</v>
      </c>
      <c r="B87" s="392" t="s">
        <v>661</v>
      </c>
      <c r="C87" s="396">
        <v>40910.0</v>
      </c>
      <c r="D87" s="391" t="s">
        <v>2703</v>
      </c>
      <c r="E87" s="392" t="s">
        <v>2704</v>
      </c>
      <c r="F87" s="394">
        <v>0.02</v>
      </c>
      <c r="G87" s="392" t="s">
        <v>2705</v>
      </c>
      <c r="H87" s="392" t="s">
        <v>2668</v>
      </c>
      <c r="I87" s="392" t="s">
        <v>2706</v>
      </c>
      <c r="J87" s="392">
        <v>1.0</v>
      </c>
      <c r="K87" s="392" t="s">
        <v>2289</v>
      </c>
      <c r="L87" s="391" t="s">
        <v>2670</v>
      </c>
      <c r="M87" s="391" t="s">
        <v>2671</v>
      </c>
      <c r="N87" s="364"/>
      <c r="O87" s="364"/>
      <c r="P87" s="365" t="s">
        <v>2594</v>
      </c>
      <c r="Q87" s="365" t="s">
        <v>2594</v>
      </c>
      <c r="R87" s="395"/>
      <c r="S87" s="395"/>
      <c r="T87" s="395"/>
      <c r="U87" s="395"/>
      <c r="V87" s="395"/>
      <c r="W87" s="395"/>
      <c r="X87" s="395"/>
      <c r="Y87" s="395"/>
      <c r="Z87" s="395"/>
      <c r="AA87" s="395"/>
      <c r="AB87" s="395"/>
    </row>
    <row r="88">
      <c r="A88" s="391" t="s">
        <v>660</v>
      </c>
      <c r="B88" s="392" t="s">
        <v>661</v>
      </c>
      <c r="C88" s="396">
        <v>40910.0</v>
      </c>
      <c r="D88" s="391" t="s">
        <v>2703</v>
      </c>
      <c r="E88" s="392" t="s">
        <v>2704</v>
      </c>
      <c r="F88" s="394">
        <v>0.02</v>
      </c>
      <c r="G88" s="392" t="s">
        <v>2705</v>
      </c>
      <c r="H88" s="392" t="s">
        <v>2668</v>
      </c>
      <c r="I88" s="392" t="s">
        <v>2706</v>
      </c>
      <c r="J88" s="392">
        <v>2.0</v>
      </c>
      <c r="K88" s="392" t="s">
        <v>2294</v>
      </c>
      <c r="L88" s="391" t="s">
        <v>2672</v>
      </c>
      <c r="M88" s="391" t="s">
        <v>2671</v>
      </c>
      <c r="N88" s="364"/>
      <c r="O88" s="364"/>
      <c r="P88" s="365" t="s">
        <v>2594</v>
      </c>
      <c r="Q88" s="365" t="s">
        <v>2594</v>
      </c>
      <c r="R88" s="395"/>
      <c r="S88" s="395"/>
      <c r="T88" s="395"/>
      <c r="U88" s="395"/>
      <c r="V88" s="395"/>
      <c r="W88" s="395"/>
      <c r="X88" s="395"/>
      <c r="Y88" s="395"/>
      <c r="Z88" s="395"/>
      <c r="AA88" s="395"/>
      <c r="AB88" s="395"/>
    </row>
    <row r="89">
      <c r="A89" s="391" t="s">
        <v>660</v>
      </c>
      <c r="B89" s="392" t="s">
        <v>661</v>
      </c>
      <c r="C89" s="396">
        <v>40910.0</v>
      </c>
      <c r="D89" s="391" t="s">
        <v>2703</v>
      </c>
      <c r="E89" s="392" t="s">
        <v>2704</v>
      </c>
      <c r="F89" s="394">
        <v>0.02</v>
      </c>
      <c r="G89" s="392" t="s">
        <v>2705</v>
      </c>
      <c r="H89" s="392" t="s">
        <v>2668</v>
      </c>
      <c r="I89" s="392" t="s">
        <v>2706</v>
      </c>
      <c r="J89" s="392">
        <v>3.0</v>
      </c>
      <c r="K89" s="392" t="s">
        <v>2289</v>
      </c>
      <c r="L89" s="391" t="s">
        <v>2673</v>
      </c>
      <c r="M89" s="391" t="s">
        <v>2671</v>
      </c>
      <c r="N89" s="364"/>
      <c r="O89" s="364"/>
      <c r="P89" s="365" t="s">
        <v>2594</v>
      </c>
      <c r="Q89" s="365" t="s">
        <v>2594</v>
      </c>
      <c r="R89" s="395"/>
      <c r="S89" s="395"/>
      <c r="T89" s="395"/>
      <c r="U89" s="395"/>
      <c r="V89" s="395"/>
      <c r="W89" s="395"/>
      <c r="X89" s="395"/>
      <c r="Y89" s="395"/>
      <c r="Z89" s="395"/>
      <c r="AA89" s="395"/>
      <c r="AB89" s="395"/>
    </row>
    <row r="90">
      <c r="A90" s="391" t="s">
        <v>660</v>
      </c>
      <c r="B90" s="392" t="s">
        <v>661</v>
      </c>
      <c r="C90" s="396">
        <v>40910.0</v>
      </c>
      <c r="D90" s="391" t="s">
        <v>2703</v>
      </c>
      <c r="E90" s="392" t="s">
        <v>2704</v>
      </c>
      <c r="F90" s="394">
        <v>0.02</v>
      </c>
      <c r="G90" s="392" t="s">
        <v>2705</v>
      </c>
      <c r="H90" s="392" t="s">
        <v>2668</v>
      </c>
      <c r="I90" s="392" t="s">
        <v>2706</v>
      </c>
      <c r="J90" s="392">
        <v>4.0</v>
      </c>
      <c r="K90" s="392" t="s">
        <v>2289</v>
      </c>
      <c r="L90" s="391" t="s">
        <v>2674</v>
      </c>
      <c r="M90" s="391" t="s">
        <v>2671</v>
      </c>
      <c r="N90" s="364"/>
      <c r="O90" s="364"/>
      <c r="P90" s="365" t="s">
        <v>2594</v>
      </c>
      <c r="Q90" s="365" t="s">
        <v>2594</v>
      </c>
      <c r="R90" s="395"/>
      <c r="S90" s="395"/>
      <c r="T90" s="395"/>
      <c r="U90" s="395"/>
      <c r="V90" s="395"/>
      <c r="W90" s="395"/>
      <c r="X90" s="395"/>
      <c r="Y90" s="395"/>
      <c r="Z90" s="395"/>
      <c r="AA90" s="395"/>
      <c r="AB90" s="395"/>
    </row>
    <row r="91">
      <c r="A91" s="391" t="s">
        <v>660</v>
      </c>
      <c r="B91" s="392" t="s">
        <v>661</v>
      </c>
      <c r="C91" s="396">
        <v>40910.0</v>
      </c>
      <c r="D91" s="391" t="s">
        <v>2703</v>
      </c>
      <c r="E91" s="392" t="s">
        <v>2704</v>
      </c>
      <c r="F91" s="394">
        <v>0.02</v>
      </c>
      <c r="G91" s="392" t="s">
        <v>2705</v>
      </c>
      <c r="H91" s="392" t="s">
        <v>2668</v>
      </c>
      <c r="I91" s="392" t="s">
        <v>2706</v>
      </c>
      <c r="J91" s="392">
        <v>5.0</v>
      </c>
      <c r="K91" s="392" t="s">
        <v>2294</v>
      </c>
      <c r="L91" s="391" t="s">
        <v>2633</v>
      </c>
      <c r="M91" s="391" t="s">
        <v>2671</v>
      </c>
      <c r="N91" s="364"/>
      <c r="O91" s="364"/>
      <c r="P91" s="365" t="s">
        <v>2594</v>
      </c>
      <c r="Q91" s="365" t="s">
        <v>2594</v>
      </c>
      <c r="R91" s="395"/>
      <c r="S91" s="395"/>
      <c r="T91" s="395"/>
      <c r="U91" s="395"/>
      <c r="V91" s="395"/>
      <c r="W91" s="395"/>
      <c r="X91" s="395"/>
      <c r="Y91" s="395"/>
      <c r="Z91" s="395"/>
      <c r="AA91" s="395"/>
      <c r="AB91" s="395"/>
    </row>
    <row r="92">
      <c r="A92" s="391" t="s">
        <v>660</v>
      </c>
      <c r="B92" s="392" t="s">
        <v>661</v>
      </c>
      <c r="C92" s="396">
        <v>41276.0</v>
      </c>
      <c r="D92" s="391" t="s">
        <v>2707</v>
      </c>
      <c r="E92" s="392" t="s">
        <v>2708</v>
      </c>
      <c r="F92" s="394">
        <v>0.02</v>
      </c>
      <c r="G92" s="392" t="s">
        <v>2709</v>
      </c>
      <c r="H92" s="392" t="s">
        <v>2668</v>
      </c>
      <c r="I92" s="392" t="s">
        <v>2710</v>
      </c>
      <c r="J92" s="392">
        <v>1.0</v>
      </c>
      <c r="K92" s="392" t="s">
        <v>2289</v>
      </c>
      <c r="L92" s="391" t="s">
        <v>2670</v>
      </c>
      <c r="M92" s="391" t="s">
        <v>2671</v>
      </c>
      <c r="N92" s="364"/>
      <c r="O92" s="364"/>
      <c r="P92" s="365" t="s">
        <v>2594</v>
      </c>
      <c r="Q92" s="365" t="s">
        <v>2594</v>
      </c>
      <c r="R92" s="395"/>
      <c r="S92" s="395"/>
      <c r="T92" s="395"/>
      <c r="U92" s="395"/>
      <c r="V92" s="395"/>
      <c r="W92" s="395"/>
      <c r="X92" s="395"/>
      <c r="Y92" s="395"/>
      <c r="Z92" s="395"/>
      <c r="AA92" s="395"/>
      <c r="AB92" s="395"/>
    </row>
    <row r="93">
      <c r="A93" s="391" t="s">
        <v>660</v>
      </c>
      <c r="B93" s="392" t="s">
        <v>661</v>
      </c>
      <c r="C93" s="396">
        <v>41276.0</v>
      </c>
      <c r="D93" s="391" t="s">
        <v>2707</v>
      </c>
      <c r="E93" s="392" t="s">
        <v>2708</v>
      </c>
      <c r="F93" s="394">
        <v>0.02</v>
      </c>
      <c r="G93" s="392" t="s">
        <v>2709</v>
      </c>
      <c r="H93" s="392" t="s">
        <v>2668</v>
      </c>
      <c r="I93" s="392" t="s">
        <v>2710</v>
      </c>
      <c r="J93" s="392">
        <v>2.0</v>
      </c>
      <c r="K93" s="392" t="s">
        <v>2294</v>
      </c>
      <c r="L93" s="391" t="s">
        <v>2672</v>
      </c>
      <c r="M93" s="391" t="s">
        <v>2671</v>
      </c>
      <c r="N93" s="364"/>
      <c r="O93" s="364"/>
      <c r="P93" s="365" t="s">
        <v>2594</v>
      </c>
      <c r="Q93" s="365" t="s">
        <v>2594</v>
      </c>
      <c r="R93" s="395"/>
      <c r="S93" s="395"/>
      <c r="T93" s="395"/>
      <c r="U93" s="395"/>
      <c r="V93" s="395"/>
      <c r="W93" s="395"/>
      <c r="X93" s="395"/>
      <c r="Y93" s="395"/>
      <c r="Z93" s="395"/>
      <c r="AA93" s="395"/>
      <c r="AB93" s="395"/>
    </row>
    <row r="94">
      <c r="A94" s="391" t="s">
        <v>660</v>
      </c>
      <c r="B94" s="392" t="s">
        <v>661</v>
      </c>
      <c r="C94" s="396">
        <v>41276.0</v>
      </c>
      <c r="D94" s="391" t="s">
        <v>2707</v>
      </c>
      <c r="E94" s="392" t="s">
        <v>2708</v>
      </c>
      <c r="F94" s="394">
        <v>0.02</v>
      </c>
      <c r="G94" s="392" t="s">
        <v>2709</v>
      </c>
      <c r="H94" s="392" t="s">
        <v>2668</v>
      </c>
      <c r="I94" s="392" t="s">
        <v>2710</v>
      </c>
      <c r="J94" s="392">
        <v>3.0</v>
      </c>
      <c r="K94" s="392" t="s">
        <v>2289</v>
      </c>
      <c r="L94" s="391" t="s">
        <v>2673</v>
      </c>
      <c r="M94" s="391" t="s">
        <v>2671</v>
      </c>
      <c r="N94" s="364"/>
      <c r="O94" s="364"/>
      <c r="P94" s="365" t="s">
        <v>2594</v>
      </c>
      <c r="Q94" s="365" t="s">
        <v>2594</v>
      </c>
      <c r="R94" s="395"/>
      <c r="S94" s="395"/>
      <c r="T94" s="395"/>
      <c r="U94" s="395"/>
      <c r="V94" s="395"/>
      <c r="W94" s="395"/>
      <c r="X94" s="395"/>
      <c r="Y94" s="395"/>
      <c r="Z94" s="395"/>
      <c r="AA94" s="395"/>
      <c r="AB94" s="395"/>
    </row>
    <row r="95">
      <c r="A95" s="391" t="s">
        <v>660</v>
      </c>
      <c r="B95" s="392" t="s">
        <v>661</v>
      </c>
      <c r="C95" s="396">
        <v>41276.0</v>
      </c>
      <c r="D95" s="391" t="s">
        <v>2707</v>
      </c>
      <c r="E95" s="392" t="s">
        <v>2708</v>
      </c>
      <c r="F95" s="394">
        <v>0.02</v>
      </c>
      <c r="G95" s="392" t="s">
        <v>2709</v>
      </c>
      <c r="H95" s="392" t="s">
        <v>2668</v>
      </c>
      <c r="I95" s="392" t="s">
        <v>2710</v>
      </c>
      <c r="J95" s="392">
        <v>4.0</v>
      </c>
      <c r="K95" s="392" t="s">
        <v>2289</v>
      </c>
      <c r="L95" s="391" t="s">
        <v>2674</v>
      </c>
      <c r="M95" s="391" t="s">
        <v>2671</v>
      </c>
      <c r="N95" s="364"/>
      <c r="O95" s="364"/>
      <c r="P95" s="365" t="s">
        <v>2594</v>
      </c>
      <c r="Q95" s="365" t="s">
        <v>2594</v>
      </c>
      <c r="R95" s="395"/>
      <c r="S95" s="395"/>
      <c r="T95" s="395"/>
      <c r="U95" s="395"/>
      <c r="V95" s="395"/>
      <c r="W95" s="395"/>
      <c r="X95" s="395"/>
      <c r="Y95" s="395"/>
      <c r="Z95" s="395"/>
      <c r="AA95" s="395"/>
      <c r="AB95" s="395"/>
    </row>
    <row r="96">
      <c r="A96" s="391" t="s">
        <v>660</v>
      </c>
      <c r="B96" s="392" t="s">
        <v>661</v>
      </c>
      <c r="C96" s="396">
        <v>41276.0</v>
      </c>
      <c r="D96" s="391" t="s">
        <v>2707</v>
      </c>
      <c r="E96" s="392" t="s">
        <v>2708</v>
      </c>
      <c r="F96" s="394">
        <v>0.02</v>
      </c>
      <c r="G96" s="392" t="s">
        <v>2709</v>
      </c>
      <c r="H96" s="392" t="s">
        <v>2668</v>
      </c>
      <c r="I96" s="392" t="s">
        <v>2710</v>
      </c>
      <c r="J96" s="392">
        <v>5.0</v>
      </c>
      <c r="K96" s="392" t="s">
        <v>2294</v>
      </c>
      <c r="L96" s="391" t="s">
        <v>2633</v>
      </c>
      <c r="M96" s="391" t="s">
        <v>2671</v>
      </c>
      <c r="N96" s="364"/>
      <c r="O96" s="364"/>
      <c r="P96" s="365" t="s">
        <v>2594</v>
      </c>
      <c r="Q96" s="365" t="s">
        <v>2594</v>
      </c>
      <c r="R96" s="395"/>
      <c r="S96" s="395"/>
      <c r="T96" s="395"/>
      <c r="U96" s="395"/>
      <c r="V96" s="395"/>
      <c r="W96" s="395"/>
      <c r="X96" s="395"/>
      <c r="Y96" s="395"/>
      <c r="Z96" s="395"/>
      <c r="AA96" s="395"/>
      <c r="AB96" s="395"/>
    </row>
    <row r="97">
      <c r="A97" s="391" t="s">
        <v>660</v>
      </c>
      <c r="B97" s="392" t="s">
        <v>661</v>
      </c>
      <c r="C97" s="396">
        <v>41641.0</v>
      </c>
      <c r="D97" s="391" t="s">
        <v>2711</v>
      </c>
      <c r="E97" s="392" t="s">
        <v>2712</v>
      </c>
      <c r="F97" s="394">
        <v>0.02</v>
      </c>
      <c r="G97" s="392" t="s">
        <v>2713</v>
      </c>
      <c r="H97" s="392" t="s">
        <v>2668</v>
      </c>
      <c r="I97" s="392" t="s">
        <v>2714</v>
      </c>
      <c r="J97" s="392">
        <v>1.0</v>
      </c>
      <c r="K97" s="392" t="s">
        <v>2289</v>
      </c>
      <c r="L97" s="391" t="s">
        <v>2670</v>
      </c>
      <c r="M97" s="391" t="s">
        <v>2671</v>
      </c>
      <c r="N97" s="364"/>
      <c r="O97" s="364"/>
      <c r="P97" s="365" t="s">
        <v>2594</v>
      </c>
      <c r="Q97" s="365" t="s">
        <v>2594</v>
      </c>
      <c r="R97" s="395"/>
      <c r="S97" s="395"/>
      <c r="T97" s="395"/>
      <c r="U97" s="395"/>
      <c r="V97" s="395"/>
      <c r="W97" s="395"/>
      <c r="X97" s="395"/>
      <c r="Y97" s="395"/>
      <c r="Z97" s="395"/>
      <c r="AA97" s="395"/>
      <c r="AB97" s="395"/>
    </row>
    <row r="98">
      <c r="A98" s="391" t="s">
        <v>660</v>
      </c>
      <c r="B98" s="392" t="s">
        <v>661</v>
      </c>
      <c r="C98" s="396">
        <v>41641.0</v>
      </c>
      <c r="D98" s="391" t="s">
        <v>2711</v>
      </c>
      <c r="E98" s="392" t="s">
        <v>2712</v>
      </c>
      <c r="F98" s="394">
        <v>0.02</v>
      </c>
      <c r="G98" s="392" t="s">
        <v>2713</v>
      </c>
      <c r="H98" s="392" t="s">
        <v>2668</v>
      </c>
      <c r="I98" s="392" t="s">
        <v>2714</v>
      </c>
      <c r="J98" s="392">
        <v>2.0</v>
      </c>
      <c r="K98" s="392" t="s">
        <v>2294</v>
      </c>
      <c r="L98" s="391" t="s">
        <v>2672</v>
      </c>
      <c r="M98" s="391" t="s">
        <v>2671</v>
      </c>
      <c r="N98" s="364"/>
      <c r="O98" s="364"/>
      <c r="P98" s="365" t="s">
        <v>2594</v>
      </c>
      <c r="Q98" s="365" t="s">
        <v>2594</v>
      </c>
      <c r="R98" s="395"/>
      <c r="S98" s="395"/>
      <c r="T98" s="395"/>
      <c r="U98" s="395"/>
      <c r="V98" s="395"/>
      <c r="W98" s="395"/>
      <c r="X98" s="395"/>
      <c r="Y98" s="395"/>
      <c r="Z98" s="395"/>
      <c r="AA98" s="395"/>
      <c r="AB98" s="395"/>
    </row>
    <row r="99">
      <c r="A99" s="391" t="s">
        <v>660</v>
      </c>
      <c r="B99" s="392" t="s">
        <v>661</v>
      </c>
      <c r="C99" s="396">
        <v>41641.0</v>
      </c>
      <c r="D99" s="391" t="s">
        <v>2711</v>
      </c>
      <c r="E99" s="392" t="s">
        <v>2712</v>
      </c>
      <c r="F99" s="394">
        <v>0.02</v>
      </c>
      <c r="G99" s="392" t="s">
        <v>2713</v>
      </c>
      <c r="H99" s="392" t="s">
        <v>2668</v>
      </c>
      <c r="I99" s="392" t="s">
        <v>2714</v>
      </c>
      <c r="J99" s="392">
        <v>3.0</v>
      </c>
      <c r="K99" s="392" t="s">
        <v>2289</v>
      </c>
      <c r="L99" s="391" t="s">
        <v>2673</v>
      </c>
      <c r="M99" s="391" t="s">
        <v>2671</v>
      </c>
      <c r="N99" s="364"/>
      <c r="O99" s="364"/>
      <c r="P99" s="365" t="s">
        <v>2594</v>
      </c>
      <c r="Q99" s="365" t="s">
        <v>2594</v>
      </c>
      <c r="R99" s="395"/>
      <c r="S99" s="395"/>
      <c r="T99" s="395"/>
      <c r="U99" s="395"/>
      <c r="V99" s="395"/>
      <c r="W99" s="395"/>
      <c r="X99" s="395"/>
      <c r="Y99" s="395"/>
      <c r="Z99" s="395"/>
      <c r="AA99" s="395"/>
      <c r="AB99" s="395"/>
    </row>
    <row r="100">
      <c r="A100" s="391" t="s">
        <v>660</v>
      </c>
      <c r="B100" s="392" t="s">
        <v>661</v>
      </c>
      <c r="C100" s="396">
        <v>41641.0</v>
      </c>
      <c r="D100" s="391" t="s">
        <v>2711</v>
      </c>
      <c r="E100" s="392" t="s">
        <v>2712</v>
      </c>
      <c r="F100" s="394">
        <v>0.02</v>
      </c>
      <c r="G100" s="392" t="s">
        <v>2713</v>
      </c>
      <c r="H100" s="392" t="s">
        <v>2668</v>
      </c>
      <c r="I100" s="392" t="s">
        <v>2714</v>
      </c>
      <c r="J100" s="392">
        <v>4.0</v>
      </c>
      <c r="K100" s="392" t="s">
        <v>2289</v>
      </c>
      <c r="L100" s="391" t="s">
        <v>2674</v>
      </c>
      <c r="M100" s="391" t="s">
        <v>2671</v>
      </c>
      <c r="N100" s="364"/>
      <c r="O100" s="364"/>
      <c r="P100" s="365" t="s">
        <v>2594</v>
      </c>
      <c r="Q100" s="365" t="s">
        <v>2594</v>
      </c>
      <c r="R100" s="395"/>
      <c r="S100" s="395"/>
      <c r="T100" s="395"/>
      <c r="U100" s="395"/>
      <c r="V100" s="395"/>
      <c r="W100" s="395"/>
      <c r="X100" s="395"/>
      <c r="Y100" s="395"/>
      <c r="Z100" s="395"/>
      <c r="AA100" s="395"/>
      <c r="AB100" s="395"/>
    </row>
    <row r="101">
      <c r="A101" s="391" t="s">
        <v>660</v>
      </c>
      <c r="B101" s="392" t="s">
        <v>661</v>
      </c>
      <c r="C101" s="396">
        <v>41641.0</v>
      </c>
      <c r="D101" s="391" t="s">
        <v>2711</v>
      </c>
      <c r="E101" s="392" t="s">
        <v>2712</v>
      </c>
      <c r="F101" s="394">
        <v>0.02</v>
      </c>
      <c r="G101" s="392" t="s">
        <v>2713</v>
      </c>
      <c r="H101" s="392" t="s">
        <v>2668</v>
      </c>
      <c r="I101" s="392" t="s">
        <v>2714</v>
      </c>
      <c r="J101" s="392">
        <v>5.0</v>
      </c>
      <c r="K101" s="392" t="s">
        <v>2294</v>
      </c>
      <c r="L101" s="391" t="s">
        <v>2633</v>
      </c>
      <c r="M101" s="391" t="s">
        <v>2671</v>
      </c>
      <c r="N101" s="364"/>
      <c r="O101" s="364"/>
      <c r="P101" s="365" t="s">
        <v>2594</v>
      </c>
      <c r="Q101" s="365" t="s">
        <v>2594</v>
      </c>
      <c r="R101" s="395"/>
      <c r="S101" s="395"/>
      <c r="T101" s="395"/>
      <c r="U101" s="395"/>
      <c r="V101" s="395"/>
      <c r="W101" s="395"/>
      <c r="X101" s="395"/>
      <c r="Y101" s="395"/>
      <c r="Z101" s="395"/>
      <c r="AA101" s="395"/>
      <c r="AB101" s="395"/>
    </row>
    <row r="102">
      <c r="A102" s="391" t="s">
        <v>660</v>
      </c>
      <c r="B102" s="392" t="s">
        <v>661</v>
      </c>
      <c r="C102" s="396">
        <v>42006.0</v>
      </c>
      <c r="D102" s="391" t="s">
        <v>2715</v>
      </c>
      <c r="E102" s="392" t="s">
        <v>2716</v>
      </c>
      <c r="F102" s="394">
        <v>0.02</v>
      </c>
      <c r="G102" s="392" t="s">
        <v>2717</v>
      </c>
      <c r="H102" s="392" t="s">
        <v>2668</v>
      </c>
      <c r="I102" s="392" t="s">
        <v>2718</v>
      </c>
      <c r="J102" s="392">
        <v>1.0</v>
      </c>
      <c r="K102" s="392" t="s">
        <v>2289</v>
      </c>
      <c r="L102" s="391" t="s">
        <v>2670</v>
      </c>
      <c r="M102" s="391" t="s">
        <v>2671</v>
      </c>
      <c r="N102" s="364"/>
      <c r="O102" s="364"/>
      <c r="P102" s="365" t="s">
        <v>2594</v>
      </c>
      <c r="Q102" s="365" t="s">
        <v>2594</v>
      </c>
      <c r="R102" s="395"/>
      <c r="S102" s="395"/>
      <c r="T102" s="395"/>
      <c r="U102" s="395"/>
      <c r="V102" s="395"/>
      <c r="W102" s="395"/>
      <c r="X102" s="395"/>
      <c r="Y102" s="395"/>
      <c r="Z102" s="395"/>
      <c r="AA102" s="395"/>
      <c r="AB102" s="395"/>
    </row>
    <row r="103">
      <c r="A103" s="391" t="s">
        <v>660</v>
      </c>
      <c r="B103" s="392" t="s">
        <v>661</v>
      </c>
      <c r="C103" s="396">
        <v>42006.0</v>
      </c>
      <c r="D103" s="391" t="s">
        <v>2715</v>
      </c>
      <c r="E103" s="392" t="s">
        <v>2716</v>
      </c>
      <c r="F103" s="394">
        <v>0.02</v>
      </c>
      <c r="G103" s="392" t="s">
        <v>2717</v>
      </c>
      <c r="H103" s="392" t="s">
        <v>2668</v>
      </c>
      <c r="I103" s="392" t="s">
        <v>2718</v>
      </c>
      <c r="J103" s="392">
        <v>2.0</v>
      </c>
      <c r="K103" s="392" t="s">
        <v>2294</v>
      </c>
      <c r="L103" s="391" t="s">
        <v>2672</v>
      </c>
      <c r="M103" s="391" t="s">
        <v>2671</v>
      </c>
      <c r="N103" s="364"/>
      <c r="O103" s="364"/>
      <c r="P103" s="365" t="s">
        <v>2594</v>
      </c>
      <c r="Q103" s="365" t="s">
        <v>2594</v>
      </c>
      <c r="R103" s="395"/>
      <c r="S103" s="395"/>
      <c r="T103" s="395"/>
      <c r="U103" s="395"/>
      <c r="V103" s="395"/>
      <c r="W103" s="395"/>
      <c r="X103" s="395"/>
      <c r="Y103" s="395"/>
      <c r="Z103" s="395"/>
      <c r="AA103" s="395"/>
      <c r="AB103" s="395"/>
    </row>
    <row r="104">
      <c r="A104" s="391" t="s">
        <v>660</v>
      </c>
      <c r="B104" s="392" t="s">
        <v>661</v>
      </c>
      <c r="C104" s="396">
        <v>42006.0</v>
      </c>
      <c r="D104" s="391" t="s">
        <v>2715</v>
      </c>
      <c r="E104" s="392" t="s">
        <v>2716</v>
      </c>
      <c r="F104" s="394">
        <v>0.02</v>
      </c>
      <c r="G104" s="392" t="s">
        <v>2717</v>
      </c>
      <c r="H104" s="392" t="s">
        <v>2668</v>
      </c>
      <c r="I104" s="392" t="s">
        <v>2718</v>
      </c>
      <c r="J104" s="392">
        <v>3.0</v>
      </c>
      <c r="K104" s="392" t="s">
        <v>2289</v>
      </c>
      <c r="L104" s="391" t="s">
        <v>2673</v>
      </c>
      <c r="M104" s="391" t="s">
        <v>2671</v>
      </c>
      <c r="N104" s="364"/>
      <c r="O104" s="364"/>
      <c r="P104" s="365" t="s">
        <v>2594</v>
      </c>
      <c r="Q104" s="365" t="s">
        <v>2594</v>
      </c>
      <c r="R104" s="395"/>
      <c r="S104" s="395"/>
      <c r="T104" s="395"/>
      <c r="U104" s="395"/>
      <c r="V104" s="395"/>
      <c r="W104" s="395"/>
      <c r="X104" s="395"/>
      <c r="Y104" s="395"/>
      <c r="Z104" s="395"/>
      <c r="AA104" s="395"/>
      <c r="AB104" s="395"/>
    </row>
    <row r="105">
      <c r="A105" s="391" t="s">
        <v>660</v>
      </c>
      <c r="B105" s="392" t="s">
        <v>661</v>
      </c>
      <c r="C105" s="396">
        <v>42006.0</v>
      </c>
      <c r="D105" s="391" t="s">
        <v>2715</v>
      </c>
      <c r="E105" s="392" t="s">
        <v>2716</v>
      </c>
      <c r="F105" s="394">
        <v>0.02</v>
      </c>
      <c r="G105" s="392" t="s">
        <v>2717</v>
      </c>
      <c r="H105" s="392" t="s">
        <v>2668</v>
      </c>
      <c r="I105" s="392" t="s">
        <v>2718</v>
      </c>
      <c r="J105" s="392">
        <v>4.0</v>
      </c>
      <c r="K105" s="392" t="s">
        <v>2289</v>
      </c>
      <c r="L105" s="391" t="s">
        <v>2674</v>
      </c>
      <c r="M105" s="391" t="s">
        <v>2671</v>
      </c>
      <c r="N105" s="364"/>
      <c r="O105" s="364"/>
      <c r="P105" s="365" t="s">
        <v>2594</v>
      </c>
      <c r="Q105" s="365" t="s">
        <v>2594</v>
      </c>
      <c r="R105" s="395"/>
      <c r="S105" s="395"/>
      <c r="T105" s="395"/>
      <c r="U105" s="395"/>
      <c r="V105" s="395"/>
      <c r="W105" s="395"/>
      <c r="X105" s="395"/>
      <c r="Y105" s="395"/>
      <c r="Z105" s="395"/>
      <c r="AA105" s="395"/>
      <c r="AB105" s="395"/>
    </row>
    <row r="106">
      <c r="A106" s="391" t="s">
        <v>660</v>
      </c>
      <c r="B106" s="392" t="s">
        <v>661</v>
      </c>
      <c r="C106" s="396">
        <v>42006.0</v>
      </c>
      <c r="D106" s="391" t="s">
        <v>2715</v>
      </c>
      <c r="E106" s="392" t="s">
        <v>2716</v>
      </c>
      <c r="F106" s="394">
        <v>0.02</v>
      </c>
      <c r="G106" s="392" t="s">
        <v>2717</v>
      </c>
      <c r="H106" s="392" t="s">
        <v>2668</v>
      </c>
      <c r="I106" s="392" t="s">
        <v>2718</v>
      </c>
      <c r="J106" s="392">
        <v>5.0</v>
      </c>
      <c r="K106" s="392" t="s">
        <v>2294</v>
      </c>
      <c r="L106" s="391" t="s">
        <v>2633</v>
      </c>
      <c r="M106" s="391" t="s">
        <v>2671</v>
      </c>
      <c r="N106" s="364"/>
      <c r="O106" s="364"/>
      <c r="P106" s="365" t="s">
        <v>2594</v>
      </c>
      <c r="Q106" s="365" t="s">
        <v>2594</v>
      </c>
      <c r="R106" s="395"/>
      <c r="S106" s="395"/>
      <c r="T106" s="395"/>
      <c r="U106" s="395"/>
      <c r="V106" s="395"/>
      <c r="W106" s="395"/>
      <c r="X106" s="395"/>
      <c r="Y106" s="395"/>
      <c r="Z106" s="395"/>
      <c r="AA106" s="395"/>
      <c r="AB106" s="395"/>
    </row>
    <row r="107">
      <c r="A107" s="391" t="s">
        <v>660</v>
      </c>
      <c r="B107" s="392" t="s">
        <v>661</v>
      </c>
      <c r="C107" s="396">
        <v>42371.0</v>
      </c>
      <c r="D107" s="391" t="s">
        <v>2719</v>
      </c>
      <c r="E107" s="392" t="s">
        <v>2720</v>
      </c>
      <c r="F107" s="394">
        <v>0.02</v>
      </c>
      <c r="G107" s="392" t="s">
        <v>2721</v>
      </c>
      <c r="H107" s="392" t="s">
        <v>2668</v>
      </c>
      <c r="I107" s="392" t="s">
        <v>2722</v>
      </c>
      <c r="J107" s="392">
        <v>1.0</v>
      </c>
      <c r="K107" s="392" t="s">
        <v>2289</v>
      </c>
      <c r="L107" s="391" t="s">
        <v>2670</v>
      </c>
      <c r="M107" s="391" t="s">
        <v>2671</v>
      </c>
      <c r="N107" s="364"/>
      <c r="O107" s="364"/>
      <c r="P107" s="365" t="s">
        <v>2594</v>
      </c>
      <c r="Q107" s="365" t="s">
        <v>2594</v>
      </c>
      <c r="R107" s="395"/>
      <c r="S107" s="395"/>
      <c r="T107" s="395"/>
      <c r="U107" s="395"/>
      <c r="V107" s="395"/>
      <c r="W107" s="395"/>
      <c r="X107" s="395"/>
      <c r="Y107" s="395"/>
      <c r="Z107" s="395"/>
      <c r="AA107" s="395"/>
      <c r="AB107" s="395"/>
    </row>
    <row r="108">
      <c r="A108" s="391" t="s">
        <v>660</v>
      </c>
      <c r="B108" s="392" t="s">
        <v>661</v>
      </c>
      <c r="C108" s="396">
        <v>42371.0</v>
      </c>
      <c r="D108" s="391" t="s">
        <v>2719</v>
      </c>
      <c r="E108" s="392" t="s">
        <v>2720</v>
      </c>
      <c r="F108" s="394">
        <v>0.02</v>
      </c>
      <c r="G108" s="392" t="s">
        <v>2721</v>
      </c>
      <c r="H108" s="392" t="s">
        <v>2668</v>
      </c>
      <c r="I108" s="392" t="s">
        <v>2722</v>
      </c>
      <c r="J108" s="392">
        <v>2.0</v>
      </c>
      <c r="K108" s="392" t="s">
        <v>2294</v>
      </c>
      <c r="L108" s="391" t="s">
        <v>2672</v>
      </c>
      <c r="M108" s="391" t="s">
        <v>2671</v>
      </c>
      <c r="N108" s="364"/>
      <c r="O108" s="364"/>
      <c r="P108" s="365" t="s">
        <v>2594</v>
      </c>
      <c r="Q108" s="365" t="s">
        <v>2594</v>
      </c>
      <c r="R108" s="395"/>
      <c r="S108" s="395"/>
      <c r="T108" s="395"/>
      <c r="U108" s="395"/>
      <c r="V108" s="395"/>
      <c r="W108" s="395"/>
      <c r="X108" s="395"/>
      <c r="Y108" s="395"/>
      <c r="Z108" s="395"/>
      <c r="AA108" s="395"/>
      <c r="AB108" s="395"/>
    </row>
    <row r="109">
      <c r="A109" s="391" t="s">
        <v>660</v>
      </c>
      <c r="B109" s="392" t="s">
        <v>661</v>
      </c>
      <c r="C109" s="396">
        <v>42371.0</v>
      </c>
      <c r="D109" s="391" t="s">
        <v>2719</v>
      </c>
      <c r="E109" s="392" t="s">
        <v>2720</v>
      </c>
      <c r="F109" s="394">
        <v>0.02</v>
      </c>
      <c r="G109" s="392" t="s">
        <v>2721</v>
      </c>
      <c r="H109" s="392" t="s">
        <v>2668</v>
      </c>
      <c r="I109" s="392" t="s">
        <v>2722</v>
      </c>
      <c r="J109" s="392">
        <v>3.0</v>
      </c>
      <c r="K109" s="392" t="s">
        <v>2289</v>
      </c>
      <c r="L109" s="391" t="s">
        <v>2673</v>
      </c>
      <c r="M109" s="391" t="s">
        <v>2671</v>
      </c>
      <c r="N109" s="364"/>
      <c r="O109" s="364"/>
      <c r="P109" s="365" t="s">
        <v>2594</v>
      </c>
      <c r="Q109" s="365" t="s">
        <v>2594</v>
      </c>
      <c r="R109" s="395"/>
      <c r="S109" s="395"/>
      <c r="T109" s="395"/>
      <c r="U109" s="395"/>
      <c r="V109" s="395"/>
      <c r="W109" s="395"/>
      <c r="X109" s="395"/>
      <c r="Y109" s="395"/>
      <c r="Z109" s="395"/>
      <c r="AA109" s="395"/>
      <c r="AB109" s="395"/>
    </row>
    <row r="110">
      <c r="A110" s="391" t="s">
        <v>660</v>
      </c>
      <c r="B110" s="392" t="s">
        <v>661</v>
      </c>
      <c r="C110" s="396">
        <v>42371.0</v>
      </c>
      <c r="D110" s="391" t="s">
        <v>2719</v>
      </c>
      <c r="E110" s="392" t="s">
        <v>2720</v>
      </c>
      <c r="F110" s="394">
        <v>0.02</v>
      </c>
      <c r="G110" s="392" t="s">
        <v>2721</v>
      </c>
      <c r="H110" s="392" t="s">
        <v>2668</v>
      </c>
      <c r="I110" s="392" t="s">
        <v>2722</v>
      </c>
      <c r="J110" s="392">
        <v>4.0</v>
      </c>
      <c r="K110" s="392" t="s">
        <v>2289</v>
      </c>
      <c r="L110" s="391" t="s">
        <v>2674</v>
      </c>
      <c r="M110" s="391" t="s">
        <v>2671</v>
      </c>
      <c r="N110" s="364"/>
      <c r="O110" s="364"/>
      <c r="P110" s="365" t="s">
        <v>2594</v>
      </c>
      <c r="Q110" s="365" t="s">
        <v>2594</v>
      </c>
      <c r="R110" s="395"/>
      <c r="S110" s="395"/>
      <c r="T110" s="395"/>
      <c r="U110" s="395"/>
      <c r="V110" s="395"/>
      <c r="W110" s="395"/>
      <c r="X110" s="395"/>
      <c r="Y110" s="395"/>
      <c r="Z110" s="395"/>
      <c r="AA110" s="395"/>
      <c r="AB110" s="395"/>
    </row>
    <row r="111">
      <c r="A111" s="391" t="s">
        <v>660</v>
      </c>
      <c r="B111" s="392" t="s">
        <v>661</v>
      </c>
      <c r="C111" s="396">
        <v>42371.0</v>
      </c>
      <c r="D111" s="391" t="s">
        <v>2719</v>
      </c>
      <c r="E111" s="392" t="s">
        <v>2720</v>
      </c>
      <c r="F111" s="394">
        <v>0.02</v>
      </c>
      <c r="G111" s="392" t="s">
        <v>2721</v>
      </c>
      <c r="H111" s="392" t="s">
        <v>2668</v>
      </c>
      <c r="I111" s="392" t="s">
        <v>2722</v>
      </c>
      <c r="J111" s="392">
        <v>5.0</v>
      </c>
      <c r="K111" s="392" t="s">
        <v>2294</v>
      </c>
      <c r="L111" s="391" t="s">
        <v>2633</v>
      </c>
      <c r="M111" s="391" t="s">
        <v>2671</v>
      </c>
      <c r="N111" s="364"/>
      <c r="O111" s="364"/>
      <c r="P111" s="365" t="s">
        <v>2594</v>
      </c>
      <c r="Q111" s="365" t="s">
        <v>2594</v>
      </c>
      <c r="R111" s="395"/>
      <c r="S111" s="395"/>
      <c r="T111" s="395"/>
      <c r="U111" s="395"/>
      <c r="V111" s="395"/>
      <c r="W111" s="395"/>
      <c r="X111" s="395"/>
      <c r="Y111" s="395"/>
      <c r="Z111" s="395"/>
      <c r="AA111" s="395"/>
      <c r="AB111" s="395"/>
    </row>
    <row r="112">
      <c r="A112" s="391" t="s">
        <v>660</v>
      </c>
      <c r="B112" s="392" t="s">
        <v>661</v>
      </c>
      <c r="C112" s="396">
        <v>42737.0</v>
      </c>
      <c r="D112" s="391" t="s">
        <v>2723</v>
      </c>
      <c r="E112" s="392" t="s">
        <v>2724</v>
      </c>
      <c r="F112" s="394">
        <v>0.02</v>
      </c>
      <c r="G112" s="392" t="s">
        <v>2725</v>
      </c>
      <c r="H112" s="392" t="s">
        <v>2668</v>
      </c>
      <c r="I112" s="392" t="s">
        <v>2726</v>
      </c>
      <c r="J112" s="392">
        <v>1.0</v>
      </c>
      <c r="K112" s="392" t="s">
        <v>2289</v>
      </c>
      <c r="L112" s="391" t="s">
        <v>2670</v>
      </c>
      <c r="M112" s="391" t="s">
        <v>2671</v>
      </c>
      <c r="N112" s="364"/>
      <c r="O112" s="364"/>
      <c r="P112" s="365" t="s">
        <v>2594</v>
      </c>
      <c r="Q112" s="365" t="s">
        <v>2594</v>
      </c>
      <c r="R112" s="395"/>
      <c r="S112" s="395"/>
      <c r="T112" s="395"/>
      <c r="U112" s="395"/>
      <c r="V112" s="395"/>
      <c r="W112" s="395"/>
      <c r="X112" s="395"/>
      <c r="Y112" s="395"/>
      <c r="Z112" s="395"/>
      <c r="AA112" s="395"/>
      <c r="AB112" s="395"/>
    </row>
    <row r="113">
      <c r="A113" s="391" t="s">
        <v>660</v>
      </c>
      <c r="B113" s="392" t="s">
        <v>661</v>
      </c>
      <c r="C113" s="396">
        <v>42737.0</v>
      </c>
      <c r="D113" s="391" t="s">
        <v>2723</v>
      </c>
      <c r="E113" s="392" t="s">
        <v>2724</v>
      </c>
      <c r="F113" s="394">
        <v>0.02</v>
      </c>
      <c r="G113" s="392" t="s">
        <v>2725</v>
      </c>
      <c r="H113" s="392" t="s">
        <v>2668</v>
      </c>
      <c r="I113" s="392" t="s">
        <v>2726</v>
      </c>
      <c r="J113" s="392">
        <v>2.0</v>
      </c>
      <c r="K113" s="392" t="s">
        <v>2294</v>
      </c>
      <c r="L113" s="391" t="s">
        <v>2672</v>
      </c>
      <c r="M113" s="391" t="s">
        <v>2671</v>
      </c>
      <c r="N113" s="364"/>
      <c r="O113" s="364"/>
      <c r="P113" s="365" t="s">
        <v>2594</v>
      </c>
      <c r="Q113" s="365" t="s">
        <v>2594</v>
      </c>
      <c r="R113" s="395"/>
      <c r="S113" s="395"/>
      <c r="T113" s="395"/>
      <c r="U113" s="395"/>
      <c r="V113" s="395"/>
      <c r="W113" s="395"/>
      <c r="X113" s="395"/>
      <c r="Y113" s="395"/>
      <c r="Z113" s="395"/>
      <c r="AA113" s="395"/>
      <c r="AB113" s="395"/>
    </row>
    <row r="114">
      <c r="A114" s="391" t="s">
        <v>660</v>
      </c>
      <c r="B114" s="392" t="s">
        <v>661</v>
      </c>
      <c r="C114" s="396">
        <v>42737.0</v>
      </c>
      <c r="D114" s="391" t="s">
        <v>2723</v>
      </c>
      <c r="E114" s="392" t="s">
        <v>2724</v>
      </c>
      <c r="F114" s="394">
        <v>0.02</v>
      </c>
      <c r="G114" s="392" t="s">
        <v>2725</v>
      </c>
      <c r="H114" s="392" t="s">
        <v>2668</v>
      </c>
      <c r="I114" s="392" t="s">
        <v>2726</v>
      </c>
      <c r="J114" s="392">
        <v>3.0</v>
      </c>
      <c r="K114" s="392" t="s">
        <v>2289</v>
      </c>
      <c r="L114" s="391" t="s">
        <v>2673</v>
      </c>
      <c r="M114" s="391" t="s">
        <v>2671</v>
      </c>
      <c r="N114" s="364"/>
      <c r="O114" s="364"/>
      <c r="P114" s="365" t="s">
        <v>2594</v>
      </c>
      <c r="Q114" s="365" t="s">
        <v>2594</v>
      </c>
      <c r="R114" s="395"/>
      <c r="S114" s="395"/>
      <c r="T114" s="395"/>
      <c r="U114" s="395"/>
      <c r="V114" s="395"/>
      <c r="W114" s="395"/>
      <c r="X114" s="395"/>
      <c r="Y114" s="395"/>
      <c r="Z114" s="395"/>
      <c r="AA114" s="395"/>
      <c r="AB114" s="395"/>
    </row>
    <row r="115">
      <c r="A115" s="391" t="s">
        <v>660</v>
      </c>
      <c r="B115" s="392" t="s">
        <v>661</v>
      </c>
      <c r="C115" s="396">
        <v>42737.0</v>
      </c>
      <c r="D115" s="391" t="s">
        <v>2723</v>
      </c>
      <c r="E115" s="392" t="s">
        <v>2724</v>
      </c>
      <c r="F115" s="394">
        <v>0.02</v>
      </c>
      <c r="G115" s="392" t="s">
        <v>2725</v>
      </c>
      <c r="H115" s="392" t="s">
        <v>2668</v>
      </c>
      <c r="I115" s="392" t="s">
        <v>2726</v>
      </c>
      <c r="J115" s="392">
        <v>4.0</v>
      </c>
      <c r="K115" s="392" t="s">
        <v>2289</v>
      </c>
      <c r="L115" s="391" t="s">
        <v>2674</v>
      </c>
      <c r="M115" s="391" t="s">
        <v>2671</v>
      </c>
      <c r="N115" s="364"/>
      <c r="O115" s="364"/>
      <c r="P115" s="365" t="s">
        <v>2594</v>
      </c>
      <c r="Q115" s="365" t="s">
        <v>2594</v>
      </c>
      <c r="R115" s="395"/>
      <c r="S115" s="395"/>
      <c r="T115" s="395"/>
      <c r="U115" s="395"/>
      <c r="V115" s="395"/>
      <c r="W115" s="395"/>
      <c r="X115" s="395"/>
      <c r="Y115" s="395"/>
      <c r="Z115" s="395"/>
      <c r="AA115" s="395"/>
      <c r="AB115" s="395"/>
    </row>
    <row r="116">
      <c r="A116" s="391" t="s">
        <v>660</v>
      </c>
      <c r="B116" s="392" t="s">
        <v>661</v>
      </c>
      <c r="C116" s="396">
        <v>42737.0</v>
      </c>
      <c r="D116" s="391" t="s">
        <v>2723</v>
      </c>
      <c r="E116" s="392" t="s">
        <v>2724</v>
      </c>
      <c r="F116" s="394">
        <v>0.02</v>
      </c>
      <c r="G116" s="392" t="s">
        <v>2725</v>
      </c>
      <c r="H116" s="392" t="s">
        <v>2668</v>
      </c>
      <c r="I116" s="392" t="s">
        <v>2726</v>
      </c>
      <c r="J116" s="392">
        <v>5.0</v>
      </c>
      <c r="K116" s="392" t="s">
        <v>2294</v>
      </c>
      <c r="L116" s="391" t="s">
        <v>2633</v>
      </c>
      <c r="M116" s="391" t="s">
        <v>2671</v>
      </c>
      <c r="N116" s="364"/>
      <c r="O116" s="364"/>
      <c r="P116" s="365" t="s">
        <v>2594</v>
      </c>
      <c r="Q116" s="365" t="s">
        <v>2594</v>
      </c>
      <c r="R116" s="395"/>
      <c r="S116" s="395"/>
      <c r="T116" s="395"/>
      <c r="U116" s="395"/>
      <c r="V116" s="395"/>
      <c r="W116" s="395"/>
      <c r="X116" s="395"/>
      <c r="Y116" s="395"/>
      <c r="Z116" s="395"/>
      <c r="AA116" s="395"/>
      <c r="AB116" s="395"/>
    </row>
    <row r="117">
      <c r="A117" s="391" t="s">
        <v>660</v>
      </c>
      <c r="B117" s="392" t="s">
        <v>661</v>
      </c>
      <c r="C117" s="396">
        <v>43102.0</v>
      </c>
      <c r="D117" s="391" t="s">
        <v>2727</v>
      </c>
      <c r="E117" s="392" t="s">
        <v>2728</v>
      </c>
      <c r="F117" s="394">
        <v>0.02</v>
      </c>
      <c r="G117" s="392" t="s">
        <v>2729</v>
      </c>
      <c r="H117" s="392" t="s">
        <v>2668</v>
      </c>
      <c r="I117" s="392" t="s">
        <v>2730</v>
      </c>
      <c r="J117" s="392">
        <v>1.0</v>
      </c>
      <c r="K117" s="392" t="s">
        <v>2289</v>
      </c>
      <c r="L117" s="391" t="s">
        <v>2670</v>
      </c>
      <c r="M117" s="391" t="s">
        <v>2671</v>
      </c>
      <c r="N117" s="364"/>
      <c r="O117" s="364"/>
      <c r="P117" s="365" t="s">
        <v>2594</v>
      </c>
      <c r="Q117" s="365" t="s">
        <v>2594</v>
      </c>
      <c r="R117" s="395"/>
      <c r="S117" s="395"/>
      <c r="T117" s="395"/>
      <c r="U117" s="395"/>
      <c r="V117" s="395"/>
      <c r="W117" s="395"/>
      <c r="X117" s="395"/>
      <c r="Y117" s="395"/>
      <c r="Z117" s="395"/>
      <c r="AA117" s="395"/>
      <c r="AB117" s="395"/>
    </row>
    <row r="118">
      <c r="A118" s="391" t="s">
        <v>660</v>
      </c>
      <c r="B118" s="392" t="s">
        <v>661</v>
      </c>
      <c r="C118" s="396">
        <v>43102.0</v>
      </c>
      <c r="D118" s="391" t="s">
        <v>2727</v>
      </c>
      <c r="E118" s="392" t="s">
        <v>2728</v>
      </c>
      <c r="F118" s="394">
        <v>0.02</v>
      </c>
      <c r="G118" s="392" t="s">
        <v>2729</v>
      </c>
      <c r="H118" s="392" t="s">
        <v>2668</v>
      </c>
      <c r="I118" s="392" t="s">
        <v>2730</v>
      </c>
      <c r="J118" s="392">
        <v>2.0</v>
      </c>
      <c r="K118" s="392" t="s">
        <v>2294</v>
      </c>
      <c r="L118" s="391" t="s">
        <v>2672</v>
      </c>
      <c r="M118" s="391" t="s">
        <v>2671</v>
      </c>
      <c r="N118" s="364"/>
      <c r="O118" s="364"/>
      <c r="P118" s="365" t="s">
        <v>2594</v>
      </c>
      <c r="Q118" s="365" t="s">
        <v>2594</v>
      </c>
      <c r="R118" s="395"/>
      <c r="S118" s="395"/>
      <c r="T118" s="395"/>
      <c r="U118" s="395"/>
      <c r="V118" s="395"/>
      <c r="W118" s="395"/>
      <c r="X118" s="395"/>
      <c r="Y118" s="395"/>
      <c r="Z118" s="395"/>
      <c r="AA118" s="395"/>
      <c r="AB118" s="395"/>
    </row>
    <row r="119">
      <c r="A119" s="391" t="s">
        <v>660</v>
      </c>
      <c r="B119" s="392" t="s">
        <v>661</v>
      </c>
      <c r="C119" s="396">
        <v>43102.0</v>
      </c>
      <c r="D119" s="391" t="s">
        <v>2727</v>
      </c>
      <c r="E119" s="392" t="s">
        <v>2728</v>
      </c>
      <c r="F119" s="394">
        <v>0.02</v>
      </c>
      <c r="G119" s="392" t="s">
        <v>2729</v>
      </c>
      <c r="H119" s="392" t="s">
        <v>2668</v>
      </c>
      <c r="I119" s="392" t="s">
        <v>2730</v>
      </c>
      <c r="J119" s="392">
        <v>3.0</v>
      </c>
      <c r="K119" s="392" t="s">
        <v>2289</v>
      </c>
      <c r="L119" s="391" t="s">
        <v>2673</v>
      </c>
      <c r="M119" s="391" t="s">
        <v>2671</v>
      </c>
      <c r="N119" s="364"/>
      <c r="O119" s="364"/>
      <c r="P119" s="365" t="s">
        <v>2594</v>
      </c>
      <c r="Q119" s="365" t="s">
        <v>2594</v>
      </c>
      <c r="R119" s="395"/>
      <c r="S119" s="395"/>
      <c r="T119" s="395"/>
      <c r="U119" s="395"/>
      <c r="V119" s="395"/>
      <c r="W119" s="395"/>
      <c r="X119" s="395"/>
      <c r="Y119" s="395"/>
      <c r="Z119" s="395"/>
      <c r="AA119" s="395"/>
      <c r="AB119" s="395"/>
    </row>
    <row r="120">
      <c r="A120" s="391" t="s">
        <v>660</v>
      </c>
      <c r="B120" s="392" t="s">
        <v>661</v>
      </c>
      <c r="C120" s="396">
        <v>43102.0</v>
      </c>
      <c r="D120" s="391" t="s">
        <v>2727</v>
      </c>
      <c r="E120" s="392" t="s">
        <v>2728</v>
      </c>
      <c r="F120" s="394">
        <v>0.02</v>
      </c>
      <c r="G120" s="392" t="s">
        <v>2729</v>
      </c>
      <c r="H120" s="392" t="s">
        <v>2668</v>
      </c>
      <c r="I120" s="392" t="s">
        <v>2730</v>
      </c>
      <c r="J120" s="392">
        <v>4.0</v>
      </c>
      <c r="K120" s="392" t="s">
        <v>2289</v>
      </c>
      <c r="L120" s="391" t="s">
        <v>2674</v>
      </c>
      <c r="M120" s="391" t="s">
        <v>2671</v>
      </c>
      <c r="N120" s="364"/>
      <c r="O120" s="364"/>
      <c r="P120" s="365" t="s">
        <v>2594</v>
      </c>
      <c r="Q120" s="365" t="s">
        <v>2594</v>
      </c>
      <c r="R120" s="395"/>
      <c r="S120" s="395"/>
      <c r="T120" s="395"/>
      <c r="U120" s="395"/>
      <c r="V120" s="395"/>
      <c r="W120" s="395"/>
      <c r="X120" s="395"/>
      <c r="Y120" s="395"/>
      <c r="Z120" s="395"/>
      <c r="AA120" s="395"/>
      <c r="AB120" s="395"/>
    </row>
    <row r="121">
      <c r="A121" s="391" t="s">
        <v>660</v>
      </c>
      <c r="B121" s="392" t="s">
        <v>661</v>
      </c>
      <c r="C121" s="396">
        <v>43102.0</v>
      </c>
      <c r="D121" s="391" t="s">
        <v>2727</v>
      </c>
      <c r="E121" s="392" t="s">
        <v>2728</v>
      </c>
      <c r="F121" s="394">
        <v>0.02</v>
      </c>
      <c r="G121" s="392" t="s">
        <v>2729</v>
      </c>
      <c r="H121" s="392" t="s">
        <v>2668</v>
      </c>
      <c r="I121" s="392" t="s">
        <v>2730</v>
      </c>
      <c r="J121" s="392">
        <v>5.0</v>
      </c>
      <c r="K121" s="392" t="s">
        <v>2294</v>
      </c>
      <c r="L121" s="391" t="s">
        <v>2633</v>
      </c>
      <c r="M121" s="391" t="s">
        <v>2671</v>
      </c>
      <c r="N121" s="364"/>
      <c r="O121" s="364"/>
      <c r="P121" s="365" t="s">
        <v>2594</v>
      </c>
      <c r="Q121" s="365" t="s">
        <v>2594</v>
      </c>
      <c r="R121" s="395"/>
      <c r="S121" s="395"/>
      <c r="T121" s="395"/>
      <c r="U121" s="395"/>
      <c r="V121" s="395"/>
      <c r="W121" s="395"/>
      <c r="X121" s="395"/>
      <c r="Y121" s="395"/>
      <c r="Z121" s="395"/>
      <c r="AA121" s="395"/>
      <c r="AB121" s="395"/>
    </row>
    <row r="122">
      <c r="A122" s="391" t="s">
        <v>660</v>
      </c>
      <c r="B122" s="392" t="s">
        <v>661</v>
      </c>
      <c r="C122" s="396">
        <v>43467.0</v>
      </c>
      <c r="D122" s="391" t="s">
        <v>2731</v>
      </c>
      <c r="E122" s="392" t="s">
        <v>2732</v>
      </c>
      <c r="F122" s="394">
        <v>0.02</v>
      </c>
      <c r="G122" s="392" t="s">
        <v>2733</v>
      </c>
      <c r="H122" s="392" t="s">
        <v>2668</v>
      </c>
      <c r="I122" s="392" t="s">
        <v>2734</v>
      </c>
      <c r="J122" s="392">
        <v>1.0</v>
      </c>
      <c r="K122" s="392" t="s">
        <v>2289</v>
      </c>
      <c r="L122" s="391" t="s">
        <v>2670</v>
      </c>
      <c r="M122" s="391" t="s">
        <v>2671</v>
      </c>
      <c r="N122" s="364"/>
      <c r="O122" s="364"/>
      <c r="P122" s="365" t="s">
        <v>2594</v>
      </c>
      <c r="Q122" s="365" t="s">
        <v>2594</v>
      </c>
      <c r="R122" s="395"/>
      <c r="S122" s="395"/>
      <c r="T122" s="395"/>
      <c r="U122" s="395"/>
      <c r="V122" s="395"/>
      <c r="W122" s="395"/>
      <c r="X122" s="395"/>
      <c r="Y122" s="395"/>
      <c r="Z122" s="395"/>
      <c r="AA122" s="395"/>
      <c r="AB122" s="395"/>
    </row>
    <row r="123">
      <c r="A123" s="391" t="s">
        <v>660</v>
      </c>
      <c r="B123" s="392" t="s">
        <v>661</v>
      </c>
      <c r="C123" s="396">
        <v>43467.0</v>
      </c>
      <c r="D123" s="391" t="s">
        <v>2731</v>
      </c>
      <c r="E123" s="392" t="s">
        <v>2732</v>
      </c>
      <c r="F123" s="394">
        <v>0.02</v>
      </c>
      <c r="G123" s="392" t="s">
        <v>2733</v>
      </c>
      <c r="H123" s="392" t="s">
        <v>2668</v>
      </c>
      <c r="I123" s="392" t="s">
        <v>2734</v>
      </c>
      <c r="J123" s="392">
        <v>2.0</v>
      </c>
      <c r="K123" s="392" t="s">
        <v>2294</v>
      </c>
      <c r="L123" s="391" t="s">
        <v>2672</v>
      </c>
      <c r="M123" s="391" t="s">
        <v>2671</v>
      </c>
      <c r="N123" s="364"/>
      <c r="O123" s="364"/>
      <c r="P123" s="365" t="s">
        <v>2594</v>
      </c>
      <c r="Q123" s="365" t="s">
        <v>2594</v>
      </c>
      <c r="R123" s="395"/>
      <c r="S123" s="395"/>
      <c r="T123" s="395"/>
      <c r="U123" s="395"/>
      <c r="V123" s="395"/>
      <c r="W123" s="395"/>
      <c r="X123" s="395"/>
      <c r="Y123" s="395"/>
      <c r="Z123" s="395"/>
      <c r="AA123" s="395"/>
      <c r="AB123" s="395"/>
    </row>
    <row r="124">
      <c r="A124" s="391" t="s">
        <v>660</v>
      </c>
      <c r="B124" s="392" t="s">
        <v>661</v>
      </c>
      <c r="C124" s="396">
        <v>43467.0</v>
      </c>
      <c r="D124" s="391" t="s">
        <v>2731</v>
      </c>
      <c r="E124" s="392" t="s">
        <v>2732</v>
      </c>
      <c r="F124" s="394">
        <v>0.02</v>
      </c>
      <c r="G124" s="392" t="s">
        <v>2733</v>
      </c>
      <c r="H124" s="392" t="s">
        <v>2668</v>
      </c>
      <c r="I124" s="392" t="s">
        <v>2734</v>
      </c>
      <c r="J124" s="392">
        <v>3.0</v>
      </c>
      <c r="K124" s="392" t="s">
        <v>2289</v>
      </c>
      <c r="L124" s="391" t="s">
        <v>2673</v>
      </c>
      <c r="M124" s="391" t="s">
        <v>2671</v>
      </c>
      <c r="N124" s="364"/>
      <c r="O124" s="364"/>
      <c r="P124" s="365" t="s">
        <v>2594</v>
      </c>
      <c r="Q124" s="365" t="s">
        <v>2594</v>
      </c>
      <c r="R124" s="395"/>
      <c r="S124" s="395"/>
      <c r="T124" s="395"/>
      <c r="U124" s="395"/>
      <c r="V124" s="395"/>
      <c r="W124" s="395"/>
      <c r="X124" s="395"/>
      <c r="Y124" s="395"/>
      <c r="Z124" s="395"/>
      <c r="AA124" s="395"/>
      <c r="AB124" s="395"/>
    </row>
    <row r="125">
      <c r="A125" s="391" t="s">
        <v>660</v>
      </c>
      <c r="B125" s="392" t="s">
        <v>661</v>
      </c>
      <c r="C125" s="396">
        <v>43467.0</v>
      </c>
      <c r="D125" s="391" t="s">
        <v>2731</v>
      </c>
      <c r="E125" s="392" t="s">
        <v>2732</v>
      </c>
      <c r="F125" s="394">
        <v>0.02</v>
      </c>
      <c r="G125" s="392" t="s">
        <v>2733</v>
      </c>
      <c r="H125" s="392" t="s">
        <v>2668</v>
      </c>
      <c r="I125" s="392" t="s">
        <v>2734</v>
      </c>
      <c r="J125" s="392">
        <v>4.0</v>
      </c>
      <c r="K125" s="392" t="s">
        <v>2289</v>
      </c>
      <c r="L125" s="391" t="s">
        <v>2674</v>
      </c>
      <c r="M125" s="391" t="s">
        <v>2671</v>
      </c>
      <c r="N125" s="364"/>
      <c r="O125" s="364"/>
      <c r="P125" s="365" t="s">
        <v>2594</v>
      </c>
      <c r="Q125" s="365" t="s">
        <v>2594</v>
      </c>
      <c r="R125" s="395"/>
      <c r="S125" s="395"/>
      <c r="T125" s="395"/>
      <c r="U125" s="395"/>
      <c r="V125" s="395"/>
      <c r="W125" s="395"/>
      <c r="X125" s="395"/>
      <c r="Y125" s="395"/>
      <c r="Z125" s="395"/>
      <c r="AA125" s="395"/>
      <c r="AB125" s="395"/>
    </row>
    <row r="126">
      <c r="A126" s="391" t="s">
        <v>660</v>
      </c>
      <c r="B126" s="392" t="s">
        <v>661</v>
      </c>
      <c r="C126" s="396">
        <v>43467.0</v>
      </c>
      <c r="D126" s="391" t="s">
        <v>2731</v>
      </c>
      <c r="E126" s="392" t="s">
        <v>2732</v>
      </c>
      <c r="F126" s="394">
        <v>0.02</v>
      </c>
      <c r="G126" s="392" t="s">
        <v>2733</v>
      </c>
      <c r="H126" s="392" t="s">
        <v>2668</v>
      </c>
      <c r="I126" s="392" t="s">
        <v>2734</v>
      </c>
      <c r="J126" s="392">
        <v>5.0</v>
      </c>
      <c r="K126" s="392" t="s">
        <v>2294</v>
      </c>
      <c r="L126" s="391" t="s">
        <v>2633</v>
      </c>
      <c r="M126" s="391" t="s">
        <v>2671</v>
      </c>
      <c r="N126" s="364"/>
      <c r="O126" s="364"/>
      <c r="P126" s="365" t="s">
        <v>2594</v>
      </c>
      <c r="Q126" s="365" t="s">
        <v>2594</v>
      </c>
      <c r="R126" s="395"/>
      <c r="S126" s="395"/>
      <c r="T126" s="395"/>
      <c r="U126" s="395"/>
      <c r="V126" s="395"/>
      <c r="W126" s="395"/>
      <c r="X126" s="395"/>
      <c r="Y126" s="395"/>
      <c r="Z126" s="395"/>
      <c r="AA126" s="395"/>
      <c r="AB126" s="395"/>
    </row>
    <row r="127">
      <c r="A127" s="391" t="s">
        <v>660</v>
      </c>
      <c r="B127" s="392" t="s">
        <v>661</v>
      </c>
      <c r="C127" s="396">
        <v>43832.0</v>
      </c>
      <c r="D127" s="391" t="s">
        <v>2735</v>
      </c>
      <c r="E127" s="392" t="s">
        <v>2736</v>
      </c>
      <c r="F127" s="394">
        <v>0.02</v>
      </c>
      <c r="G127" s="392" t="s">
        <v>2737</v>
      </c>
      <c r="H127" s="392" t="s">
        <v>2668</v>
      </c>
      <c r="I127" s="392" t="s">
        <v>2738</v>
      </c>
      <c r="J127" s="392">
        <v>1.0</v>
      </c>
      <c r="K127" s="392" t="s">
        <v>2289</v>
      </c>
      <c r="L127" s="391" t="s">
        <v>2670</v>
      </c>
      <c r="M127" s="391" t="s">
        <v>2671</v>
      </c>
      <c r="N127" s="364"/>
      <c r="O127" s="364"/>
      <c r="P127" s="365" t="s">
        <v>2594</v>
      </c>
      <c r="Q127" s="365" t="s">
        <v>2594</v>
      </c>
      <c r="R127" s="395"/>
      <c r="S127" s="395"/>
      <c r="T127" s="395"/>
      <c r="U127" s="395"/>
      <c r="V127" s="395"/>
      <c r="W127" s="395"/>
      <c r="X127" s="395"/>
      <c r="Y127" s="395"/>
      <c r="Z127" s="395"/>
      <c r="AA127" s="395"/>
      <c r="AB127" s="395"/>
    </row>
    <row r="128">
      <c r="A128" s="391" t="s">
        <v>660</v>
      </c>
      <c r="B128" s="392" t="s">
        <v>661</v>
      </c>
      <c r="C128" s="396">
        <v>43832.0</v>
      </c>
      <c r="D128" s="391" t="s">
        <v>2735</v>
      </c>
      <c r="E128" s="392" t="s">
        <v>2736</v>
      </c>
      <c r="F128" s="394">
        <v>0.02</v>
      </c>
      <c r="G128" s="392" t="s">
        <v>2737</v>
      </c>
      <c r="H128" s="392" t="s">
        <v>2668</v>
      </c>
      <c r="I128" s="392" t="s">
        <v>2738</v>
      </c>
      <c r="J128" s="392">
        <v>2.0</v>
      </c>
      <c r="K128" s="392" t="s">
        <v>2294</v>
      </c>
      <c r="L128" s="391" t="s">
        <v>2672</v>
      </c>
      <c r="M128" s="391" t="s">
        <v>2671</v>
      </c>
      <c r="N128" s="364"/>
      <c r="O128" s="364"/>
      <c r="P128" s="365" t="s">
        <v>2594</v>
      </c>
      <c r="Q128" s="365" t="s">
        <v>2594</v>
      </c>
      <c r="R128" s="395"/>
      <c r="S128" s="395"/>
      <c r="T128" s="395"/>
      <c r="U128" s="395"/>
      <c r="V128" s="395"/>
      <c r="W128" s="395"/>
      <c r="X128" s="395"/>
      <c r="Y128" s="395"/>
      <c r="Z128" s="395"/>
      <c r="AA128" s="395"/>
      <c r="AB128" s="395"/>
    </row>
    <row r="129">
      <c r="A129" s="391" t="s">
        <v>660</v>
      </c>
      <c r="B129" s="392" t="s">
        <v>661</v>
      </c>
      <c r="C129" s="396">
        <v>43832.0</v>
      </c>
      <c r="D129" s="391" t="s">
        <v>2735</v>
      </c>
      <c r="E129" s="392" t="s">
        <v>2736</v>
      </c>
      <c r="F129" s="394">
        <v>0.02</v>
      </c>
      <c r="G129" s="392" t="s">
        <v>2737</v>
      </c>
      <c r="H129" s="392" t="s">
        <v>2668</v>
      </c>
      <c r="I129" s="392" t="s">
        <v>2738</v>
      </c>
      <c r="J129" s="392">
        <v>3.0</v>
      </c>
      <c r="K129" s="392" t="s">
        <v>2289</v>
      </c>
      <c r="L129" s="391" t="s">
        <v>2673</v>
      </c>
      <c r="M129" s="391" t="s">
        <v>2671</v>
      </c>
      <c r="N129" s="364"/>
      <c r="O129" s="364"/>
      <c r="P129" s="365" t="s">
        <v>2594</v>
      </c>
      <c r="Q129" s="365" t="s">
        <v>2594</v>
      </c>
      <c r="R129" s="395"/>
      <c r="S129" s="395"/>
      <c r="T129" s="395"/>
      <c r="U129" s="395"/>
      <c r="V129" s="395"/>
      <c r="W129" s="395"/>
      <c r="X129" s="395"/>
      <c r="Y129" s="395"/>
      <c r="Z129" s="395"/>
      <c r="AA129" s="395"/>
      <c r="AB129" s="395"/>
    </row>
    <row r="130">
      <c r="A130" s="391" t="s">
        <v>660</v>
      </c>
      <c r="B130" s="392" t="s">
        <v>661</v>
      </c>
      <c r="C130" s="396">
        <v>43832.0</v>
      </c>
      <c r="D130" s="391" t="s">
        <v>2735</v>
      </c>
      <c r="E130" s="392" t="s">
        <v>2736</v>
      </c>
      <c r="F130" s="394">
        <v>0.02</v>
      </c>
      <c r="G130" s="392" t="s">
        <v>2737</v>
      </c>
      <c r="H130" s="392" t="s">
        <v>2668</v>
      </c>
      <c r="I130" s="392" t="s">
        <v>2738</v>
      </c>
      <c r="J130" s="392">
        <v>4.0</v>
      </c>
      <c r="K130" s="392" t="s">
        <v>2289</v>
      </c>
      <c r="L130" s="391" t="s">
        <v>2674</v>
      </c>
      <c r="M130" s="391" t="s">
        <v>2671</v>
      </c>
      <c r="N130" s="364"/>
      <c r="O130" s="364"/>
      <c r="P130" s="365" t="s">
        <v>2594</v>
      </c>
      <c r="Q130" s="365" t="s">
        <v>2594</v>
      </c>
      <c r="R130" s="395"/>
      <c r="S130" s="395"/>
      <c r="T130" s="395"/>
      <c r="U130" s="395"/>
      <c r="V130" s="395"/>
      <c r="W130" s="395"/>
      <c r="X130" s="395"/>
      <c r="Y130" s="395"/>
      <c r="Z130" s="395"/>
      <c r="AA130" s="395"/>
      <c r="AB130" s="395"/>
    </row>
    <row r="131">
      <c r="A131" s="391" t="s">
        <v>660</v>
      </c>
      <c r="B131" s="392" t="s">
        <v>661</v>
      </c>
      <c r="C131" s="396">
        <v>43832.0</v>
      </c>
      <c r="D131" s="391" t="s">
        <v>2735</v>
      </c>
      <c r="E131" s="392" t="s">
        <v>2736</v>
      </c>
      <c r="F131" s="394">
        <v>0.02</v>
      </c>
      <c r="G131" s="392" t="s">
        <v>2737</v>
      </c>
      <c r="H131" s="392" t="s">
        <v>2668</v>
      </c>
      <c r="I131" s="392" t="s">
        <v>2738</v>
      </c>
      <c r="J131" s="392">
        <v>5.0</v>
      </c>
      <c r="K131" s="392" t="s">
        <v>2294</v>
      </c>
      <c r="L131" s="391" t="s">
        <v>2633</v>
      </c>
      <c r="M131" s="391" t="s">
        <v>2671</v>
      </c>
      <c r="N131" s="364"/>
      <c r="O131" s="364"/>
      <c r="P131" s="365" t="s">
        <v>2594</v>
      </c>
      <c r="Q131" s="365" t="s">
        <v>2594</v>
      </c>
      <c r="R131" s="395"/>
      <c r="S131" s="395"/>
      <c r="T131" s="395"/>
      <c r="U131" s="395"/>
      <c r="V131" s="395"/>
      <c r="W131" s="395"/>
      <c r="X131" s="395"/>
      <c r="Y131" s="395"/>
      <c r="Z131" s="395"/>
      <c r="AA131" s="395"/>
      <c r="AB131" s="395"/>
    </row>
    <row r="132">
      <c r="A132" s="365" t="s">
        <v>660</v>
      </c>
      <c r="B132" s="388" t="s">
        <v>1540</v>
      </c>
      <c r="C132" s="397">
        <v>36924.0</v>
      </c>
      <c r="D132" s="365" t="s">
        <v>2739</v>
      </c>
      <c r="E132" s="388" t="s">
        <v>2740</v>
      </c>
      <c r="F132" s="398">
        <v>0.1</v>
      </c>
      <c r="G132" s="388" t="s">
        <v>2741</v>
      </c>
      <c r="H132" s="388" t="s">
        <v>2742</v>
      </c>
      <c r="I132" s="388" t="s">
        <v>2743</v>
      </c>
      <c r="J132" s="388">
        <v>1.0</v>
      </c>
      <c r="K132" s="388" t="s">
        <v>2289</v>
      </c>
      <c r="L132" s="365" t="s">
        <v>2744</v>
      </c>
      <c r="M132" s="365" t="s">
        <v>2745</v>
      </c>
      <c r="N132" s="364"/>
      <c r="O132" s="364"/>
      <c r="P132" s="365" t="s">
        <v>2594</v>
      </c>
      <c r="Q132" s="365" t="s">
        <v>2594</v>
      </c>
      <c r="R132" s="387"/>
      <c r="S132" s="387"/>
      <c r="T132" s="387"/>
      <c r="U132" s="387"/>
      <c r="V132" s="387"/>
      <c r="W132" s="387"/>
      <c r="X132" s="387"/>
      <c r="Y132" s="387"/>
      <c r="Z132" s="387"/>
      <c r="AA132" s="387"/>
      <c r="AB132" s="387"/>
    </row>
    <row r="133">
      <c r="A133" s="365" t="s">
        <v>660</v>
      </c>
      <c r="B133" s="388" t="s">
        <v>1540</v>
      </c>
      <c r="C133" s="397">
        <v>36924.0</v>
      </c>
      <c r="D133" s="365" t="s">
        <v>2739</v>
      </c>
      <c r="E133" s="388" t="s">
        <v>2740</v>
      </c>
      <c r="F133" s="398">
        <v>0.1</v>
      </c>
      <c r="G133" s="388" t="s">
        <v>2741</v>
      </c>
      <c r="H133" s="388" t="s">
        <v>2742</v>
      </c>
      <c r="I133" s="388" t="s">
        <v>2743</v>
      </c>
      <c r="J133" s="388">
        <v>2.0</v>
      </c>
      <c r="K133" s="388" t="s">
        <v>2294</v>
      </c>
      <c r="L133" s="365" t="s">
        <v>2746</v>
      </c>
      <c r="M133" s="365" t="s">
        <v>2747</v>
      </c>
      <c r="N133" s="364"/>
      <c r="O133" s="364"/>
      <c r="P133" s="365" t="s">
        <v>2594</v>
      </c>
      <c r="Q133" s="365" t="s">
        <v>2594</v>
      </c>
      <c r="R133" s="387"/>
      <c r="S133" s="387"/>
      <c r="T133" s="387"/>
      <c r="U133" s="387"/>
      <c r="V133" s="387"/>
      <c r="W133" s="387"/>
      <c r="X133" s="387"/>
      <c r="Y133" s="387"/>
      <c r="Z133" s="387"/>
      <c r="AA133" s="387"/>
      <c r="AB133" s="387"/>
    </row>
    <row r="134">
      <c r="A134" s="365" t="s">
        <v>660</v>
      </c>
      <c r="B134" s="388" t="s">
        <v>1540</v>
      </c>
      <c r="C134" s="397">
        <v>36924.0</v>
      </c>
      <c r="D134" s="365" t="s">
        <v>2739</v>
      </c>
      <c r="E134" s="388" t="s">
        <v>2740</v>
      </c>
      <c r="F134" s="398">
        <v>0.1</v>
      </c>
      <c r="G134" s="388" t="s">
        <v>2741</v>
      </c>
      <c r="H134" s="388" t="s">
        <v>2742</v>
      </c>
      <c r="I134" s="388" t="s">
        <v>2743</v>
      </c>
      <c r="J134" s="388">
        <v>3.0</v>
      </c>
      <c r="K134" s="388" t="s">
        <v>2289</v>
      </c>
      <c r="L134" s="365" t="s">
        <v>2748</v>
      </c>
      <c r="M134" s="365" t="s">
        <v>2749</v>
      </c>
      <c r="N134" s="364"/>
      <c r="O134" s="364"/>
      <c r="P134" s="365" t="s">
        <v>2594</v>
      </c>
      <c r="Q134" s="365" t="s">
        <v>2594</v>
      </c>
      <c r="R134" s="387"/>
      <c r="S134" s="387"/>
      <c r="T134" s="387"/>
      <c r="U134" s="387"/>
      <c r="V134" s="387"/>
      <c r="W134" s="387"/>
      <c r="X134" s="387"/>
      <c r="Y134" s="387"/>
      <c r="Z134" s="387"/>
      <c r="AA134" s="387"/>
      <c r="AB134" s="387"/>
    </row>
    <row r="135">
      <c r="A135" s="365" t="s">
        <v>660</v>
      </c>
      <c r="B135" s="388" t="s">
        <v>1540</v>
      </c>
      <c r="C135" s="397">
        <v>36924.0</v>
      </c>
      <c r="D135" s="365" t="s">
        <v>2739</v>
      </c>
      <c r="E135" s="388" t="s">
        <v>2740</v>
      </c>
      <c r="F135" s="398">
        <v>0.1</v>
      </c>
      <c r="G135" s="388" t="s">
        <v>2741</v>
      </c>
      <c r="H135" s="388" t="s">
        <v>2742</v>
      </c>
      <c r="I135" s="388" t="s">
        <v>2743</v>
      </c>
      <c r="J135" s="388">
        <v>4.0</v>
      </c>
      <c r="K135" s="388" t="s">
        <v>2289</v>
      </c>
      <c r="L135" s="365" t="s">
        <v>2750</v>
      </c>
      <c r="M135" s="365" t="s">
        <v>2751</v>
      </c>
      <c r="N135" s="364"/>
      <c r="O135" s="364"/>
      <c r="P135" s="365" t="s">
        <v>2594</v>
      </c>
      <c r="Q135" s="365" t="s">
        <v>2594</v>
      </c>
      <c r="R135" s="387"/>
      <c r="S135" s="387"/>
      <c r="T135" s="387"/>
      <c r="U135" s="387"/>
      <c r="V135" s="387"/>
      <c r="W135" s="387"/>
      <c r="X135" s="387"/>
      <c r="Y135" s="387"/>
      <c r="Z135" s="387"/>
      <c r="AA135" s="387"/>
      <c r="AB135" s="387"/>
    </row>
    <row r="136">
      <c r="A136" s="365" t="s">
        <v>660</v>
      </c>
      <c r="B136" s="388" t="s">
        <v>1540</v>
      </c>
      <c r="C136" s="397">
        <v>36924.0</v>
      </c>
      <c r="D136" s="365" t="s">
        <v>2739</v>
      </c>
      <c r="E136" s="388" t="s">
        <v>2740</v>
      </c>
      <c r="F136" s="398">
        <v>0.1</v>
      </c>
      <c r="G136" s="388" t="s">
        <v>2741</v>
      </c>
      <c r="H136" s="388" t="s">
        <v>2742</v>
      </c>
      <c r="I136" s="388" t="s">
        <v>2743</v>
      </c>
      <c r="J136" s="388">
        <v>5.0</v>
      </c>
      <c r="K136" s="388" t="s">
        <v>2294</v>
      </c>
      <c r="L136" s="365" t="s">
        <v>2752</v>
      </c>
      <c r="M136" s="365" t="s">
        <v>2753</v>
      </c>
      <c r="N136" s="364"/>
      <c r="O136" s="364"/>
      <c r="P136" s="365" t="s">
        <v>2594</v>
      </c>
      <c r="Q136" s="365" t="s">
        <v>2594</v>
      </c>
      <c r="R136" s="387"/>
      <c r="S136" s="387"/>
      <c r="T136" s="387"/>
      <c r="U136" s="387"/>
      <c r="V136" s="387"/>
      <c r="W136" s="387"/>
      <c r="X136" s="387"/>
      <c r="Y136" s="387"/>
      <c r="Z136" s="387"/>
      <c r="AA136" s="387"/>
      <c r="AB136" s="387"/>
    </row>
    <row r="137">
      <c r="A137" s="365" t="s">
        <v>660</v>
      </c>
      <c r="B137" s="388" t="s">
        <v>1540</v>
      </c>
      <c r="C137" s="397">
        <v>37289.0</v>
      </c>
      <c r="D137" s="365" t="s">
        <v>2754</v>
      </c>
      <c r="E137" s="388" t="s">
        <v>2755</v>
      </c>
      <c r="F137" s="398">
        <v>0.1</v>
      </c>
      <c r="G137" s="388" t="s">
        <v>2756</v>
      </c>
      <c r="H137" s="388" t="s">
        <v>2757</v>
      </c>
      <c r="I137" s="388" t="s">
        <v>2758</v>
      </c>
      <c r="J137" s="388">
        <v>1.0</v>
      </c>
      <c r="K137" s="388" t="s">
        <v>2289</v>
      </c>
      <c r="L137" s="365" t="s">
        <v>2759</v>
      </c>
      <c r="M137" s="365" t="s">
        <v>2760</v>
      </c>
      <c r="N137" s="364"/>
      <c r="O137" s="364"/>
      <c r="P137" s="365" t="s">
        <v>2594</v>
      </c>
      <c r="Q137" s="365" t="s">
        <v>2594</v>
      </c>
      <c r="R137" s="387"/>
      <c r="S137" s="387"/>
      <c r="T137" s="387"/>
      <c r="U137" s="387"/>
      <c r="V137" s="387"/>
      <c r="W137" s="387"/>
      <c r="X137" s="387"/>
      <c r="Y137" s="387"/>
      <c r="Z137" s="387"/>
      <c r="AA137" s="387"/>
      <c r="AB137" s="387"/>
    </row>
    <row r="138">
      <c r="A138" s="365" t="s">
        <v>660</v>
      </c>
      <c r="B138" s="388" t="s">
        <v>1540</v>
      </c>
      <c r="C138" s="397">
        <v>37289.0</v>
      </c>
      <c r="D138" s="365" t="s">
        <v>2754</v>
      </c>
      <c r="E138" s="388" t="s">
        <v>2755</v>
      </c>
      <c r="F138" s="398">
        <v>0.1</v>
      </c>
      <c r="G138" s="388" t="s">
        <v>2756</v>
      </c>
      <c r="H138" s="388" t="s">
        <v>2757</v>
      </c>
      <c r="I138" s="388" t="s">
        <v>2758</v>
      </c>
      <c r="J138" s="388">
        <v>2.0</v>
      </c>
      <c r="K138" s="388" t="s">
        <v>2294</v>
      </c>
      <c r="L138" s="365" t="s">
        <v>2672</v>
      </c>
      <c r="M138" s="365" t="s">
        <v>2760</v>
      </c>
      <c r="N138" s="364"/>
      <c r="O138" s="364"/>
      <c r="P138" s="365" t="s">
        <v>2594</v>
      </c>
      <c r="Q138" s="365" t="s">
        <v>2594</v>
      </c>
      <c r="R138" s="387"/>
      <c r="S138" s="387"/>
      <c r="T138" s="387"/>
      <c r="U138" s="387"/>
      <c r="V138" s="387"/>
      <c r="W138" s="387"/>
      <c r="X138" s="387"/>
      <c r="Y138" s="387"/>
      <c r="Z138" s="387"/>
      <c r="AA138" s="387"/>
      <c r="AB138" s="387"/>
    </row>
    <row r="139">
      <c r="A139" s="365" t="s">
        <v>660</v>
      </c>
      <c r="B139" s="388" t="s">
        <v>1540</v>
      </c>
      <c r="C139" s="397">
        <v>37289.0</v>
      </c>
      <c r="D139" s="365" t="s">
        <v>2754</v>
      </c>
      <c r="E139" s="388" t="s">
        <v>2755</v>
      </c>
      <c r="F139" s="398">
        <v>0.1</v>
      </c>
      <c r="G139" s="388" t="s">
        <v>2756</v>
      </c>
      <c r="H139" s="388" t="s">
        <v>2757</v>
      </c>
      <c r="I139" s="388" t="s">
        <v>2758</v>
      </c>
      <c r="J139" s="388">
        <v>3.0</v>
      </c>
      <c r="K139" s="388" t="s">
        <v>2289</v>
      </c>
      <c r="L139" s="365" t="s">
        <v>2673</v>
      </c>
      <c r="M139" s="365" t="s">
        <v>2760</v>
      </c>
      <c r="N139" s="364"/>
      <c r="O139" s="364"/>
      <c r="P139" s="365" t="s">
        <v>2594</v>
      </c>
      <c r="Q139" s="365" t="s">
        <v>2594</v>
      </c>
      <c r="R139" s="387"/>
      <c r="S139" s="387"/>
      <c r="T139" s="387"/>
      <c r="U139" s="387"/>
      <c r="V139" s="387"/>
      <c r="W139" s="387"/>
      <c r="X139" s="387"/>
      <c r="Y139" s="387"/>
      <c r="Z139" s="387"/>
      <c r="AA139" s="387"/>
      <c r="AB139" s="387"/>
    </row>
    <row r="140">
      <c r="A140" s="365" t="s">
        <v>660</v>
      </c>
      <c r="B140" s="388" t="s">
        <v>1540</v>
      </c>
      <c r="C140" s="397">
        <v>37289.0</v>
      </c>
      <c r="D140" s="365" t="s">
        <v>2754</v>
      </c>
      <c r="E140" s="388" t="s">
        <v>2755</v>
      </c>
      <c r="F140" s="398">
        <v>0.1</v>
      </c>
      <c r="G140" s="388" t="s">
        <v>2756</v>
      </c>
      <c r="H140" s="388" t="s">
        <v>2757</v>
      </c>
      <c r="I140" s="388" t="s">
        <v>2758</v>
      </c>
      <c r="J140" s="388">
        <v>4.0</v>
      </c>
      <c r="K140" s="388" t="s">
        <v>2289</v>
      </c>
      <c r="L140" s="365" t="s">
        <v>2761</v>
      </c>
      <c r="M140" s="365" t="s">
        <v>2760</v>
      </c>
      <c r="N140" s="364"/>
      <c r="O140" s="364"/>
      <c r="P140" s="365" t="s">
        <v>2594</v>
      </c>
      <c r="Q140" s="365" t="s">
        <v>2594</v>
      </c>
      <c r="R140" s="387"/>
      <c r="S140" s="387"/>
      <c r="T140" s="387"/>
      <c r="U140" s="387"/>
      <c r="V140" s="387"/>
      <c r="W140" s="387"/>
      <c r="X140" s="387"/>
      <c r="Y140" s="387"/>
      <c r="Z140" s="387"/>
      <c r="AA140" s="387"/>
      <c r="AB140" s="387"/>
    </row>
    <row r="141">
      <c r="A141" s="365" t="s">
        <v>660</v>
      </c>
      <c r="B141" s="388" t="s">
        <v>1540</v>
      </c>
      <c r="C141" s="397">
        <v>37289.0</v>
      </c>
      <c r="D141" s="365" t="s">
        <v>2754</v>
      </c>
      <c r="E141" s="388" t="s">
        <v>2755</v>
      </c>
      <c r="F141" s="398">
        <v>0.1</v>
      </c>
      <c r="G141" s="388" t="s">
        <v>2756</v>
      </c>
      <c r="H141" s="388" t="s">
        <v>2757</v>
      </c>
      <c r="I141" s="388" t="s">
        <v>2758</v>
      </c>
      <c r="J141" s="388">
        <v>5.0</v>
      </c>
      <c r="K141" s="388" t="s">
        <v>2294</v>
      </c>
      <c r="L141" s="365" t="s">
        <v>2762</v>
      </c>
      <c r="M141" s="365" t="s">
        <v>2760</v>
      </c>
      <c r="N141" s="364"/>
      <c r="O141" s="364"/>
      <c r="P141" s="365" t="s">
        <v>2594</v>
      </c>
      <c r="Q141" s="365" t="s">
        <v>2594</v>
      </c>
      <c r="R141" s="387"/>
      <c r="S141" s="387"/>
      <c r="T141" s="387"/>
      <c r="U141" s="387"/>
      <c r="V141" s="387"/>
      <c r="W141" s="387"/>
      <c r="X141" s="387"/>
      <c r="Y141" s="387"/>
      <c r="Z141" s="387"/>
      <c r="AA141" s="387"/>
      <c r="AB141" s="387"/>
    </row>
    <row r="142">
      <c r="A142" s="365" t="s">
        <v>660</v>
      </c>
      <c r="B142" s="388" t="s">
        <v>1540</v>
      </c>
      <c r="C142" s="397">
        <v>37654.0</v>
      </c>
      <c r="D142" s="365" t="s">
        <v>2763</v>
      </c>
      <c r="E142" s="388" t="s">
        <v>2651</v>
      </c>
      <c r="F142" s="398">
        <v>0.08</v>
      </c>
      <c r="G142" s="388" t="s">
        <v>2764</v>
      </c>
      <c r="H142" s="388" t="s">
        <v>2765</v>
      </c>
      <c r="I142" s="388" t="s">
        <v>2766</v>
      </c>
      <c r="J142" s="388">
        <v>1.0</v>
      </c>
      <c r="K142" s="388" t="s">
        <v>2289</v>
      </c>
      <c r="L142" s="365" t="s">
        <v>2759</v>
      </c>
      <c r="M142" s="365" t="s">
        <v>2760</v>
      </c>
      <c r="N142" s="364"/>
      <c r="O142" s="364"/>
      <c r="P142" s="365" t="s">
        <v>2594</v>
      </c>
      <c r="Q142" s="365" t="s">
        <v>2594</v>
      </c>
      <c r="R142" s="387"/>
      <c r="S142" s="387"/>
      <c r="T142" s="387"/>
      <c r="U142" s="387"/>
      <c r="V142" s="387"/>
      <c r="W142" s="387"/>
      <c r="X142" s="387"/>
      <c r="Y142" s="387"/>
      <c r="Z142" s="387"/>
      <c r="AA142" s="387"/>
      <c r="AB142" s="387"/>
    </row>
    <row r="143">
      <c r="A143" s="365" t="s">
        <v>660</v>
      </c>
      <c r="B143" s="388" t="s">
        <v>1540</v>
      </c>
      <c r="C143" s="397">
        <v>37654.0</v>
      </c>
      <c r="D143" s="365" t="s">
        <v>2763</v>
      </c>
      <c r="E143" s="388" t="s">
        <v>2651</v>
      </c>
      <c r="F143" s="398">
        <v>0.08</v>
      </c>
      <c r="G143" s="388" t="s">
        <v>2764</v>
      </c>
      <c r="H143" s="388" t="s">
        <v>2765</v>
      </c>
      <c r="I143" s="388" t="s">
        <v>2766</v>
      </c>
      <c r="J143" s="388">
        <v>2.0</v>
      </c>
      <c r="K143" s="388" t="s">
        <v>2294</v>
      </c>
      <c r="L143" s="365" t="s">
        <v>2672</v>
      </c>
      <c r="M143" s="365" t="s">
        <v>2760</v>
      </c>
      <c r="N143" s="364"/>
      <c r="O143" s="364"/>
      <c r="P143" s="365" t="s">
        <v>2594</v>
      </c>
      <c r="Q143" s="365" t="s">
        <v>2594</v>
      </c>
      <c r="R143" s="387"/>
      <c r="S143" s="387"/>
      <c r="T143" s="387"/>
      <c r="U143" s="387"/>
      <c r="V143" s="387"/>
      <c r="W143" s="387"/>
      <c r="X143" s="387"/>
      <c r="Y143" s="387"/>
      <c r="Z143" s="387"/>
      <c r="AA143" s="387"/>
      <c r="AB143" s="387"/>
    </row>
    <row r="144">
      <c r="A144" s="365" t="s">
        <v>660</v>
      </c>
      <c r="B144" s="388" t="s">
        <v>1540</v>
      </c>
      <c r="C144" s="397">
        <v>37654.0</v>
      </c>
      <c r="D144" s="365" t="s">
        <v>2763</v>
      </c>
      <c r="E144" s="388" t="s">
        <v>2651</v>
      </c>
      <c r="F144" s="398">
        <v>0.08</v>
      </c>
      <c r="G144" s="388" t="s">
        <v>2764</v>
      </c>
      <c r="H144" s="388" t="s">
        <v>2765</v>
      </c>
      <c r="I144" s="388" t="s">
        <v>2766</v>
      </c>
      <c r="J144" s="388">
        <v>3.0</v>
      </c>
      <c r="K144" s="388" t="s">
        <v>2289</v>
      </c>
      <c r="L144" s="365" t="s">
        <v>2673</v>
      </c>
      <c r="M144" s="365" t="s">
        <v>2760</v>
      </c>
      <c r="N144" s="364"/>
      <c r="O144" s="364"/>
      <c r="P144" s="365" t="s">
        <v>2594</v>
      </c>
      <c r="Q144" s="365" t="s">
        <v>2594</v>
      </c>
      <c r="R144" s="387"/>
      <c r="S144" s="387"/>
      <c r="T144" s="387"/>
      <c r="U144" s="387"/>
      <c r="V144" s="387"/>
      <c r="W144" s="387"/>
      <c r="X144" s="387"/>
      <c r="Y144" s="387"/>
      <c r="Z144" s="387"/>
      <c r="AA144" s="387"/>
      <c r="AB144" s="387"/>
    </row>
    <row r="145">
      <c r="A145" s="365" t="s">
        <v>660</v>
      </c>
      <c r="B145" s="388" t="s">
        <v>1540</v>
      </c>
      <c r="C145" s="397">
        <v>37654.0</v>
      </c>
      <c r="D145" s="365" t="s">
        <v>2763</v>
      </c>
      <c r="E145" s="388" t="s">
        <v>2651</v>
      </c>
      <c r="F145" s="398">
        <v>0.08</v>
      </c>
      <c r="G145" s="388" t="s">
        <v>2764</v>
      </c>
      <c r="H145" s="388" t="s">
        <v>2765</v>
      </c>
      <c r="I145" s="388" t="s">
        <v>2766</v>
      </c>
      <c r="J145" s="388">
        <v>4.0</v>
      </c>
      <c r="K145" s="388" t="s">
        <v>2289</v>
      </c>
      <c r="L145" s="365" t="s">
        <v>2761</v>
      </c>
      <c r="M145" s="365" t="s">
        <v>2760</v>
      </c>
      <c r="N145" s="364"/>
      <c r="O145" s="364"/>
      <c r="P145" s="365" t="s">
        <v>2594</v>
      </c>
      <c r="Q145" s="365" t="s">
        <v>2594</v>
      </c>
      <c r="R145" s="387"/>
      <c r="S145" s="387"/>
      <c r="T145" s="387"/>
      <c r="U145" s="387"/>
      <c r="V145" s="387"/>
      <c r="W145" s="387"/>
      <c r="X145" s="387"/>
      <c r="Y145" s="387"/>
      <c r="Z145" s="387"/>
      <c r="AA145" s="387"/>
      <c r="AB145" s="387"/>
    </row>
    <row r="146">
      <c r="A146" s="365" t="s">
        <v>660</v>
      </c>
      <c r="B146" s="388" t="s">
        <v>1540</v>
      </c>
      <c r="C146" s="397">
        <v>37654.0</v>
      </c>
      <c r="D146" s="365" t="s">
        <v>2763</v>
      </c>
      <c r="E146" s="388" t="s">
        <v>2651</v>
      </c>
      <c r="F146" s="398">
        <v>0.08</v>
      </c>
      <c r="G146" s="388" t="s">
        <v>2764</v>
      </c>
      <c r="H146" s="388" t="s">
        <v>2765</v>
      </c>
      <c r="I146" s="388" t="s">
        <v>2766</v>
      </c>
      <c r="J146" s="388">
        <v>5.0</v>
      </c>
      <c r="K146" s="388" t="s">
        <v>2294</v>
      </c>
      <c r="L146" s="365" t="s">
        <v>2762</v>
      </c>
      <c r="M146" s="365" t="s">
        <v>2760</v>
      </c>
      <c r="N146" s="364"/>
      <c r="O146" s="364"/>
      <c r="P146" s="365" t="s">
        <v>2594</v>
      </c>
      <c r="Q146" s="365" t="s">
        <v>2594</v>
      </c>
      <c r="R146" s="387"/>
      <c r="S146" s="387"/>
      <c r="T146" s="387"/>
      <c r="U146" s="387"/>
      <c r="V146" s="387"/>
      <c r="W146" s="387"/>
      <c r="X146" s="387"/>
      <c r="Y146" s="387"/>
      <c r="Z146" s="387"/>
      <c r="AA146" s="387"/>
      <c r="AB146" s="387"/>
    </row>
    <row r="147">
      <c r="A147" s="365" t="s">
        <v>660</v>
      </c>
      <c r="B147" s="388" t="s">
        <v>1540</v>
      </c>
      <c r="C147" s="397">
        <v>38019.0</v>
      </c>
      <c r="D147" s="365" t="s">
        <v>2767</v>
      </c>
      <c r="E147" s="388" t="s">
        <v>2768</v>
      </c>
      <c r="F147" s="398">
        <v>0.08</v>
      </c>
      <c r="G147" s="388" t="s">
        <v>2769</v>
      </c>
      <c r="H147" s="388" t="s">
        <v>2770</v>
      </c>
      <c r="I147" s="388" t="s">
        <v>2771</v>
      </c>
      <c r="J147" s="388">
        <v>1.0</v>
      </c>
      <c r="K147" s="388" t="s">
        <v>2289</v>
      </c>
      <c r="L147" s="365" t="s">
        <v>2759</v>
      </c>
      <c r="M147" s="365" t="s">
        <v>2760</v>
      </c>
      <c r="N147" s="364"/>
      <c r="O147" s="364"/>
      <c r="P147" s="365" t="s">
        <v>2594</v>
      </c>
      <c r="Q147" s="365" t="s">
        <v>2594</v>
      </c>
      <c r="R147" s="387"/>
      <c r="S147" s="387"/>
      <c r="T147" s="387"/>
      <c r="U147" s="387"/>
      <c r="V147" s="387"/>
      <c r="W147" s="387"/>
      <c r="X147" s="387"/>
      <c r="Y147" s="387"/>
      <c r="Z147" s="387"/>
      <c r="AA147" s="387"/>
      <c r="AB147" s="387"/>
    </row>
    <row r="148">
      <c r="A148" s="365" t="s">
        <v>660</v>
      </c>
      <c r="B148" s="388" t="s">
        <v>1540</v>
      </c>
      <c r="C148" s="397">
        <v>38019.0</v>
      </c>
      <c r="D148" s="365" t="s">
        <v>2767</v>
      </c>
      <c r="E148" s="388" t="s">
        <v>2768</v>
      </c>
      <c r="F148" s="398">
        <v>0.08</v>
      </c>
      <c r="G148" s="388" t="s">
        <v>2769</v>
      </c>
      <c r="H148" s="388" t="s">
        <v>2770</v>
      </c>
      <c r="I148" s="388" t="s">
        <v>2771</v>
      </c>
      <c r="J148" s="388">
        <v>2.0</v>
      </c>
      <c r="K148" s="388" t="s">
        <v>2294</v>
      </c>
      <c r="L148" s="365" t="s">
        <v>2672</v>
      </c>
      <c r="M148" s="365" t="s">
        <v>2760</v>
      </c>
      <c r="N148" s="364"/>
      <c r="O148" s="364"/>
      <c r="P148" s="365" t="s">
        <v>2594</v>
      </c>
      <c r="Q148" s="365" t="s">
        <v>2594</v>
      </c>
      <c r="R148" s="387"/>
      <c r="S148" s="387"/>
      <c r="T148" s="387"/>
      <c r="U148" s="387"/>
      <c r="V148" s="387"/>
      <c r="W148" s="387"/>
      <c r="X148" s="387"/>
      <c r="Y148" s="387"/>
      <c r="Z148" s="387"/>
      <c r="AA148" s="387"/>
      <c r="AB148" s="387"/>
    </row>
    <row r="149">
      <c r="A149" s="365" t="s">
        <v>660</v>
      </c>
      <c r="B149" s="388" t="s">
        <v>1540</v>
      </c>
      <c r="C149" s="397">
        <v>38019.0</v>
      </c>
      <c r="D149" s="365" t="s">
        <v>2767</v>
      </c>
      <c r="E149" s="388" t="s">
        <v>2768</v>
      </c>
      <c r="F149" s="398">
        <v>0.08</v>
      </c>
      <c r="G149" s="388" t="s">
        <v>2769</v>
      </c>
      <c r="H149" s="388" t="s">
        <v>2770</v>
      </c>
      <c r="I149" s="388" t="s">
        <v>2771</v>
      </c>
      <c r="J149" s="388">
        <v>3.0</v>
      </c>
      <c r="K149" s="388" t="s">
        <v>2289</v>
      </c>
      <c r="L149" s="365" t="s">
        <v>2673</v>
      </c>
      <c r="M149" s="365" t="s">
        <v>2760</v>
      </c>
      <c r="N149" s="364"/>
      <c r="O149" s="364"/>
      <c r="P149" s="365" t="s">
        <v>2594</v>
      </c>
      <c r="Q149" s="365" t="s">
        <v>2594</v>
      </c>
      <c r="R149" s="387"/>
      <c r="S149" s="387"/>
      <c r="T149" s="387"/>
      <c r="U149" s="387"/>
      <c r="V149" s="387"/>
      <c r="W149" s="387"/>
      <c r="X149" s="387"/>
      <c r="Y149" s="387"/>
      <c r="Z149" s="387"/>
      <c r="AA149" s="387"/>
      <c r="AB149" s="387"/>
    </row>
    <row r="150">
      <c r="A150" s="365" t="s">
        <v>660</v>
      </c>
      <c r="B150" s="388" t="s">
        <v>1540</v>
      </c>
      <c r="C150" s="397">
        <v>38019.0</v>
      </c>
      <c r="D150" s="365" t="s">
        <v>2767</v>
      </c>
      <c r="E150" s="388" t="s">
        <v>2768</v>
      </c>
      <c r="F150" s="398">
        <v>0.08</v>
      </c>
      <c r="G150" s="388" t="s">
        <v>2769</v>
      </c>
      <c r="H150" s="388" t="s">
        <v>2770</v>
      </c>
      <c r="I150" s="388" t="s">
        <v>2771</v>
      </c>
      <c r="J150" s="388">
        <v>4.0</v>
      </c>
      <c r="K150" s="388" t="s">
        <v>2289</v>
      </c>
      <c r="L150" s="365" t="s">
        <v>2761</v>
      </c>
      <c r="M150" s="365" t="s">
        <v>2760</v>
      </c>
      <c r="N150" s="364"/>
      <c r="O150" s="364"/>
      <c r="P150" s="365" t="s">
        <v>2594</v>
      </c>
      <c r="Q150" s="365" t="s">
        <v>2594</v>
      </c>
      <c r="R150" s="387"/>
      <c r="S150" s="387"/>
      <c r="T150" s="387"/>
      <c r="U150" s="387"/>
      <c r="V150" s="387"/>
      <c r="W150" s="387"/>
      <c r="X150" s="387"/>
      <c r="Y150" s="387"/>
      <c r="Z150" s="387"/>
      <c r="AA150" s="387"/>
      <c r="AB150" s="387"/>
    </row>
    <row r="151">
      <c r="A151" s="365" t="s">
        <v>660</v>
      </c>
      <c r="B151" s="388" t="s">
        <v>1540</v>
      </c>
      <c r="C151" s="397">
        <v>38019.0</v>
      </c>
      <c r="D151" s="365" t="s">
        <v>2767</v>
      </c>
      <c r="E151" s="388" t="s">
        <v>2768</v>
      </c>
      <c r="F151" s="398">
        <v>0.08</v>
      </c>
      <c r="G151" s="388" t="s">
        <v>2769</v>
      </c>
      <c r="H151" s="388" t="s">
        <v>2770</v>
      </c>
      <c r="I151" s="388" t="s">
        <v>2771</v>
      </c>
      <c r="J151" s="388">
        <v>5.0</v>
      </c>
      <c r="K151" s="388" t="s">
        <v>2294</v>
      </c>
      <c r="L151" s="365" t="s">
        <v>2762</v>
      </c>
      <c r="M151" s="365" t="s">
        <v>2760</v>
      </c>
      <c r="N151" s="364"/>
      <c r="O151" s="364"/>
      <c r="P151" s="365" t="s">
        <v>2594</v>
      </c>
      <c r="Q151" s="365" t="s">
        <v>2594</v>
      </c>
      <c r="R151" s="387"/>
      <c r="S151" s="387"/>
      <c r="T151" s="387"/>
      <c r="U151" s="387"/>
      <c r="V151" s="387"/>
      <c r="W151" s="387"/>
      <c r="X151" s="387"/>
      <c r="Y151" s="387"/>
      <c r="Z151" s="387"/>
      <c r="AA151" s="387"/>
      <c r="AB151" s="387"/>
    </row>
    <row r="152">
      <c r="A152" s="365" t="s">
        <v>660</v>
      </c>
      <c r="B152" s="388" t="s">
        <v>1540</v>
      </c>
      <c r="C152" s="397">
        <v>38385.0</v>
      </c>
      <c r="D152" s="365" t="s">
        <v>2772</v>
      </c>
      <c r="E152" s="388" t="s">
        <v>2773</v>
      </c>
      <c r="F152" s="398">
        <v>0.06</v>
      </c>
      <c r="G152" s="388" t="s">
        <v>2774</v>
      </c>
      <c r="H152" s="388" t="s">
        <v>2775</v>
      </c>
      <c r="I152" s="388" t="s">
        <v>2776</v>
      </c>
      <c r="J152" s="388">
        <v>1.0</v>
      </c>
      <c r="K152" s="388" t="s">
        <v>2289</v>
      </c>
      <c r="L152" s="365" t="s">
        <v>2759</v>
      </c>
      <c r="M152" s="365" t="s">
        <v>2760</v>
      </c>
      <c r="N152" s="364"/>
      <c r="O152" s="364"/>
      <c r="P152" s="365" t="s">
        <v>2594</v>
      </c>
      <c r="Q152" s="365" t="s">
        <v>2594</v>
      </c>
      <c r="R152" s="387"/>
      <c r="S152" s="387"/>
      <c r="T152" s="387"/>
      <c r="U152" s="387"/>
      <c r="V152" s="387"/>
      <c r="W152" s="387"/>
      <c r="X152" s="387"/>
      <c r="Y152" s="387"/>
      <c r="Z152" s="387"/>
      <c r="AA152" s="387"/>
      <c r="AB152" s="387"/>
    </row>
    <row r="153">
      <c r="A153" s="365" t="s">
        <v>660</v>
      </c>
      <c r="B153" s="388" t="s">
        <v>1540</v>
      </c>
      <c r="C153" s="397">
        <v>38385.0</v>
      </c>
      <c r="D153" s="365" t="s">
        <v>2772</v>
      </c>
      <c r="E153" s="388" t="s">
        <v>2773</v>
      </c>
      <c r="F153" s="398">
        <v>0.06</v>
      </c>
      <c r="G153" s="388" t="s">
        <v>2774</v>
      </c>
      <c r="H153" s="388" t="s">
        <v>2775</v>
      </c>
      <c r="I153" s="388" t="s">
        <v>2776</v>
      </c>
      <c r="J153" s="388">
        <v>2.0</v>
      </c>
      <c r="K153" s="388" t="s">
        <v>2294</v>
      </c>
      <c r="L153" s="365" t="s">
        <v>2672</v>
      </c>
      <c r="M153" s="365" t="s">
        <v>2760</v>
      </c>
      <c r="N153" s="364"/>
      <c r="O153" s="364"/>
      <c r="P153" s="365" t="s">
        <v>2594</v>
      </c>
      <c r="Q153" s="365" t="s">
        <v>2594</v>
      </c>
      <c r="R153" s="387"/>
      <c r="S153" s="387"/>
      <c r="T153" s="387"/>
      <c r="U153" s="387"/>
      <c r="V153" s="387"/>
      <c r="W153" s="387"/>
      <c r="X153" s="387"/>
      <c r="Y153" s="387"/>
      <c r="Z153" s="387"/>
      <c r="AA153" s="387"/>
      <c r="AB153" s="387"/>
    </row>
    <row r="154">
      <c r="A154" s="365" t="s">
        <v>660</v>
      </c>
      <c r="B154" s="388" t="s">
        <v>1540</v>
      </c>
      <c r="C154" s="397">
        <v>38385.0</v>
      </c>
      <c r="D154" s="365" t="s">
        <v>2772</v>
      </c>
      <c r="E154" s="388" t="s">
        <v>2773</v>
      </c>
      <c r="F154" s="398">
        <v>0.06</v>
      </c>
      <c r="G154" s="388" t="s">
        <v>2774</v>
      </c>
      <c r="H154" s="388" t="s">
        <v>2775</v>
      </c>
      <c r="I154" s="388" t="s">
        <v>2776</v>
      </c>
      <c r="J154" s="388">
        <v>3.0</v>
      </c>
      <c r="K154" s="388" t="s">
        <v>2289</v>
      </c>
      <c r="L154" s="365" t="s">
        <v>2673</v>
      </c>
      <c r="M154" s="365" t="s">
        <v>2760</v>
      </c>
      <c r="N154" s="364"/>
      <c r="O154" s="364"/>
      <c r="P154" s="365" t="s">
        <v>2594</v>
      </c>
      <c r="Q154" s="365" t="s">
        <v>2594</v>
      </c>
      <c r="R154" s="387"/>
      <c r="S154" s="387"/>
      <c r="T154" s="387"/>
      <c r="U154" s="387"/>
      <c r="V154" s="387"/>
      <c r="W154" s="387"/>
      <c r="X154" s="387"/>
      <c r="Y154" s="387"/>
      <c r="Z154" s="387"/>
      <c r="AA154" s="387"/>
      <c r="AB154" s="387"/>
    </row>
    <row r="155">
      <c r="A155" s="365" t="s">
        <v>660</v>
      </c>
      <c r="B155" s="388" t="s">
        <v>1540</v>
      </c>
      <c r="C155" s="397">
        <v>38385.0</v>
      </c>
      <c r="D155" s="365" t="s">
        <v>2772</v>
      </c>
      <c r="E155" s="388" t="s">
        <v>2773</v>
      </c>
      <c r="F155" s="398">
        <v>0.06</v>
      </c>
      <c r="G155" s="388" t="s">
        <v>2774</v>
      </c>
      <c r="H155" s="388" t="s">
        <v>2775</v>
      </c>
      <c r="I155" s="388" t="s">
        <v>2776</v>
      </c>
      <c r="J155" s="388">
        <v>4.0</v>
      </c>
      <c r="K155" s="388" t="s">
        <v>2289</v>
      </c>
      <c r="L155" s="365" t="s">
        <v>2761</v>
      </c>
      <c r="M155" s="365" t="s">
        <v>2760</v>
      </c>
      <c r="N155" s="364"/>
      <c r="O155" s="364"/>
      <c r="P155" s="365" t="s">
        <v>2594</v>
      </c>
      <c r="Q155" s="365" t="s">
        <v>2594</v>
      </c>
      <c r="R155" s="387"/>
      <c r="S155" s="387"/>
      <c r="T155" s="387"/>
      <c r="U155" s="387"/>
      <c r="V155" s="387"/>
      <c r="W155" s="387"/>
      <c r="X155" s="387"/>
      <c r="Y155" s="387"/>
      <c r="Z155" s="387"/>
      <c r="AA155" s="387"/>
      <c r="AB155" s="387"/>
    </row>
    <row r="156">
      <c r="A156" s="365" t="s">
        <v>660</v>
      </c>
      <c r="B156" s="388" t="s">
        <v>1540</v>
      </c>
      <c r="C156" s="397">
        <v>38385.0</v>
      </c>
      <c r="D156" s="365" t="s">
        <v>2772</v>
      </c>
      <c r="E156" s="388" t="s">
        <v>2773</v>
      </c>
      <c r="F156" s="398">
        <v>0.06</v>
      </c>
      <c r="G156" s="388" t="s">
        <v>2774</v>
      </c>
      <c r="H156" s="388" t="s">
        <v>2775</v>
      </c>
      <c r="I156" s="388" t="s">
        <v>2776</v>
      </c>
      <c r="J156" s="388">
        <v>5.0</v>
      </c>
      <c r="K156" s="388" t="s">
        <v>2294</v>
      </c>
      <c r="L156" s="365" t="s">
        <v>2762</v>
      </c>
      <c r="M156" s="365" t="s">
        <v>2760</v>
      </c>
      <c r="N156" s="364"/>
      <c r="O156" s="364"/>
      <c r="P156" s="365" t="s">
        <v>2594</v>
      </c>
      <c r="Q156" s="365" t="s">
        <v>2594</v>
      </c>
      <c r="R156" s="387"/>
      <c r="S156" s="387"/>
      <c r="T156" s="387"/>
      <c r="U156" s="387"/>
      <c r="V156" s="387"/>
      <c r="W156" s="387"/>
      <c r="X156" s="387"/>
      <c r="Y156" s="387"/>
      <c r="Z156" s="387"/>
      <c r="AA156" s="387"/>
      <c r="AB156" s="387"/>
    </row>
    <row r="157">
      <c r="A157" s="365" t="s">
        <v>660</v>
      </c>
      <c r="B157" s="388" t="s">
        <v>1540</v>
      </c>
      <c r="C157" s="397">
        <v>38750.0</v>
      </c>
      <c r="D157" s="365" t="s">
        <v>2777</v>
      </c>
      <c r="E157" s="388" t="s">
        <v>2680</v>
      </c>
      <c r="F157" s="398">
        <v>0.06</v>
      </c>
      <c r="G157" s="388" t="s">
        <v>2778</v>
      </c>
      <c r="H157" s="388" t="s">
        <v>2779</v>
      </c>
      <c r="I157" s="388" t="s">
        <v>2780</v>
      </c>
      <c r="J157" s="388">
        <v>1.0</v>
      </c>
      <c r="K157" s="388" t="s">
        <v>2289</v>
      </c>
      <c r="L157" s="365" t="s">
        <v>2759</v>
      </c>
      <c r="M157" s="365" t="s">
        <v>2760</v>
      </c>
      <c r="N157" s="364"/>
      <c r="O157" s="364"/>
      <c r="P157" s="365" t="s">
        <v>2594</v>
      </c>
      <c r="Q157" s="365" t="s">
        <v>2594</v>
      </c>
      <c r="R157" s="387"/>
      <c r="S157" s="387"/>
      <c r="T157" s="387"/>
      <c r="U157" s="387"/>
      <c r="V157" s="387"/>
      <c r="W157" s="387"/>
      <c r="X157" s="387"/>
      <c r="Y157" s="387"/>
      <c r="Z157" s="387"/>
      <c r="AA157" s="387"/>
      <c r="AB157" s="387"/>
    </row>
    <row r="158">
      <c r="A158" s="365" t="s">
        <v>660</v>
      </c>
      <c r="B158" s="388" t="s">
        <v>1540</v>
      </c>
      <c r="C158" s="397">
        <v>38750.0</v>
      </c>
      <c r="D158" s="365" t="s">
        <v>2777</v>
      </c>
      <c r="E158" s="388" t="s">
        <v>2680</v>
      </c>
      <c r="F158" s="398">
        <v>0.06</v>
      </c>
      <c r="G158" s="388" t="s">
        <v>2778</v>
      </c>
      <c r="H158" s="388" t="s">
        <v>2779</v>
      </c>
      <c r="I158" s="388" t="s">
        <v>2780</v>
      </c>
      <c r="J158" s="388">
        <v>2.0</v>
      </c>
      <c r="K158" s="388" t="s">
        <v>2294</v>
      </c>
      <c r="L158" s="365" t="s">
        <v>2672</v>
      </c>
      <c r="M158" s="365" t="s">
        <v>2760</v>
      </c>
      <c r="N158" s="364"/>
      <c r="O158" s="364"/>
      <c r="P158" s="365" t="s">
        <v>2594</v>
      </c>
      <c r="Q158" s="365" t="s">
        <v>2594</v>
      </c>
      <c r="R158" s="387"/>
      <c r="S158" s="387"/>
      <c r="T158" s="387"/>
      <c r="U158" s="387"/>
      <c r="V158" s="387"/>
      <c r="W158" s="387"/>
      <c r="X158" s="387"/>
      <c r="Y158" s="387"/>
      <c r="Z158" s="387"/>
      <c r="AA158" s="387"/>
      <c r="AB158" s="387"/>
    </row>
    <row r="159">
      <c r="A159" s="365" t="s">
        <v>660</v>
      </c>
      <c r="B159" s="388" t="s">
        <v>1540</v>
      </c>
      <c r="C159" s="397">
        <v>38750.0</v>
      </c>
      <c r="D159" s="365" t="s">
        <v>2777</v>
      </c>
      <c r="E159" s="388" t="s">
        <v>2680</v>
      </c>
      <c r="F159" s="398">
        <v>0.06</v>
      </c>
      <c r="G159" s="388" t="s">
        <v>2778</v>
      </c>
      <c r="H159" s="388" t="s">
        <v>2779</v>
      </c>
      <c r="I159" s="388" t="s">
        <v>2780</v>
      </c>
      <c r="J159" s="388">
        <v>3.0</v>
      </c>
      <c r="K159" s="388" t="s">
        <v>2289</v>
      </c>
      <c r="L159" s="365" t="s">
        <v>2673</v>
      </c>
      <c r="M159" s="365" t="s">
        <v>2760</v>
      </c>
      <c r="N159" s="364"/>
      <c r="O159" s="364"/>
      <c r="P159" s="365" t="s">
        <v>2594</v>
      </c>
      <c r="Q159" s="365" t="s">
        <v>2594</v>
      </c>
      <c r="R159" s="387"/>
      <c r="S159" s="387"/>
      <c r="T159" s="387"/>
      <c r="U159" s="387"/>
      <c r="V159" s="387"/>
      <c r="W159" s="387"/>
      <c r="X159" s="387"/>
      <c r="Y159" s="387"/>
      <c r="Z159" s="387"/>
      <c r="AA159" s="387"/>
      <c r="AB159" s="387"/>
    </row>
    <row r="160">
      <c r="A160" s="365" t="s">
        <v>660</v>
      </c>
      <c r="B160" s="388" t="s">
        <v>1540</v>
      </c>
      <c r="C160" s="397">
        <v>38750.0</v>
      </c>
      <c r="D160" s="365" t="s">
        <v>2777</v>
      </c>
      <c r="E160" s="388" t="s">
        <v>2680</v>
      </c>
      <c r="F160" s="398">
        <v>0.06</v>
      </c>
      <c r="G160" s="388" t="s">
        <v>2778</v>
      </c>
      <c r="H160" s="388" t="s">
        <v>2779</v>
      </c>
      <c r="I160" s="388" t="s">
        <v>2780</v>
      </c>
      <c r="J160" s="388">
        <v>4.0</v>
      </c>
      <c r="K160" s="388" t="s">
        <v>2289</v>
      </c>
      <c r="L160" s="365" t="s">
        <v>2761</v>
      </c>
      <c r="M160" s="365" t="s">
        <v>2760</v>
      </c>
      <c r="N160" s="364"/>
      <c r="O160" s="364"/>
      <c r="P160" s="365" t="s">
        <v>2594</v>
      </c>
      <c r="Q160" s="365" t="s">
        <v>2594</v>
      </c>
      <c r="R160" s="387"/>
      <c r="S160" s="387"/>
      <c r="T160" s="387"/>
      <c r="U160" s="387"/>
      <c r="V160" s="387"/>
      <c r="W160" s="387"/>
      <c r="X160" s="387"/>
      <c r="Y160" s="387"/>
      <c r="Z160" s="387"/>
      <c r="AA160" s="387"/>
      <c r="AB160" s="387"/>
    </row>
    <row r="161">
      <c r="A161" s="365" t="s">
        <v>660</v>
      </c>
      <c r="B161" s="388" t="s">
        <v>1540</v>
      </c>
      <c r="C161" s="397">
        <v>38750.0</v>
      </c>
      <c r="D161" s="365" t="s">
        <v>2777</v>
      </c>
      <c r="E161" s="388" t="s">
        <v>2680</v>
      </c>
      <c r="F161" s="398">
        <v>0.06</v>
      </c>
      <c r="G161" s="388" t="s">
        <v>2778</v>
      </c>
      <c r="H161" s="388" t="s">
        <v>2779</v>
      </c>
      <c r="I161" s="388" t="s">
        <v>2780</v>
      </c>
      <c r="J161" s="388">
        <v>5.0</v>
      </c>
      <c r="K161" s="388" t="s">
        <v>2294</v>
      </c>
      <c r="L161" s="365" t="s">
        <v>2762</v>
      </c>
      <c r="M161" s="365" t="s">
        <v>2760</v>
      </c>
      <c r="N161" s="364"/>
      <c r="O161" s="364"/>
      <c r="P161" s="365" t="s">
        <v>2594</v>
      </c>
      <c r="Q161" s="365" t="s">
        <v>2594</v>
      </c>
      <c r="R161" s="387"/>
      <c r="S161" s="387"/>
      <c r="T161" s="387"/>
      <c r="U161" s="387"/>
      <c r="V161" s="387"/>
      <c r="W161" s="387"/>
      <c r="X161" s="387"/>
      <c r="Y161" s="387"/>
      <c r="Z161" s="387"/>
      <c r="AA161" s="387"/>
      <c r="AB161" s="387"/>
    </row>
    <row r="162">
      <c r="A162" s="365" t="s">
        <v>660</v>
      </c>
      <c r="B162" s="388" t="s">
        <v>1540</v>
      </c>
      <c r="C162" s="397">
        <v>39115.0</v>
      </c>
      <c r="D162" s="365" t="s">
        <v>2781</v>
      </c>
      <c r="E162" s="388" t="s">
        <v>2782</v>
      </c>
      <c r="F162" s="398">
        <v>0.06</v>
      </c>
      <c r="G162" s="388" t="s">
        <v>2783</v>
      </c>
      <c r="H162" s="388" t="s">
        <v>2784</v>
      </c>
      <c r="I162" s="388" t="s">
        <v>2785</v>
      </c>
      <c r="J162" s="388">
        <v>1.0</v>
      </c>
      <c r="K162" s="388" t="s">
        <v>2289</v>
      </c>
      <c r="L162" s="365" t="s">
        <v>2759</v>
      </c>
      <c r="M162" s="365" t="s">
        <v>2760</v>
      </c>
      <c r="N162" s="364"/>
      <c r="O162" s="364"/>
      <c r="P162" s="365" t="s">
        <v>2594</v>
      </c>
      <c r="Q162" s="365" t="s">
        <v>2594</v>
      </c>
      <c r="R162" s="387"/>
      <c r="S162" s="387"/>
      <c r="T162" s="387"/>
      <c r="U162" s="387"/>
      <c r="V162" s="387"/>
      <c r="W162" s="387"/>
      <c r="X162" s="387"/>
      <c r="Y162" s="387"/>
      <c r="Z162" s="387"/>
      <c r="AA162" s="387"/>
      <c r="AB162" s="387"/>
    </row>
    <row r="163">
      <c r="A163" s="365" t="s">
        <v>660</v>
      </c>
      <c r="B163" s="388" t="s">
        <v>1540</v>
      </c>
      <c r="C163" s="397">
        <v>39115.0</v>
      </c>
      <c r="D163" s="365" t="s">
        <v>2781</v>
      </c>
      <c r="E163" s="388" t="s">
        <v>2782</v>
      </c>
      <c r="F163" s="398">
        <v>0.06</v>
      </c>
      <c r="G163" s="388" t="s">
        <v>2783</v>
      </c>
      <c r="H163" s="388" t="s">
        <v>2784</v>
      </c>
      <c r="I163" s="388" t="s">
        <v>2785</v>
      </c>
      <c r="J163" s="388">
        <v>2.0</v>
      </c>
      <c r="K163" s="388" t="s">
        <v>2294</v>
      </c>
      <c r="L163" s="365" t="s">
        <v>2672</v>
      </c>
      <c r="M163" s="365" t="s">
        <v>2760</v>
      </c>
      <c r="N163" s="364"/>
      <c r="O163" s="364"/>
      <c r="P163" s="365" t="s">
        <v>2594</v>
      </c>
      <c r="Q163" s="365" t="s">
        <v>2594</v>
      </c>
      <c r="R163" s="387"/>
      <c r="S163" s="387"/>
      <c r="T163" s="387"/>
      <c r="U163" s="387"/>
      <c r="V163" s="387"/>
      <c r="W163" s="387"/>
      <c r="X163" s="387"/>
      <c r="Y163" s="387"/>
      <c r="Z163" s="387"/>
      <c r="AA163" s="387"/>
      <c r="AB163" s="387"/>
    </row>
    <row r="164">
      <c r="A164" s="365" t="s">
        <v>660</v>
      </c>
      <c r="B164" s="388" t="s">
        <v>1540</v>
      </c>
      <c r="C164" s="397">
        <v>39115.0</v>
      </c>
      <c r="D164" s="365" t="s">
        <v>2781</v>
      </c>
      <c r="E164" s="388" t="s">
        <v>2782</v>
      </c>
      <c r="F164" s="398">
        <v>0.06</v>
      </c>
      <c r="G164" s="388" t="s">
        <v>2783</v>
      </c>
      <c r="H164" s="388" t="s">
        <v>2784</v>
      </c>
      <c r="I164" s="388" t="s">
        <v>2785</v>
      </c>
      <c r="J164" s="388">
        <v>3.0</v>
      </c>
      <c r="K164" s="388" t="s">
        <v>2289</v>
      </c>
      <c r="L164" s="365" t="s">
        <v>2673</v>
      </c>
      <c r="M164" s="365" t="s">
        <v>2760</v>
      </c>
      <c r="N164" s="364"/>
      <c r="O164" s="364"/>
      <c r="P164" s="365" t="s">
        <v>2594</v>
      </c>
      <c r="Q164" s="365" t="s">
        <v>2594</v>
      </c>
      <c r="R164" s="387"/>
      <c r="S164" s="387"/>
      <c r="T164" s="387"/>
      <c r="U164" s="387"/>
      <c r="V164" s="387"/>
      <c r="W164" s="387"/>
      <c r="X164" s="387"/>
      <c r="Y164" s="387"/>
      <c r="Z164" s="387"/>
      <c r="AA164" s="387"/>
      <c r="AB164" s="387"/>
    </row>
    <row r="165">
      <c r="A165" s="365" t="s">
        <v>660</v>
      </c>
      <c r="B165" s="388" t="s">
        <v>1540</v>
      </c>
      <c r="C165" s="397">
        <v>39115.0</v>
      </c>
      <c r="D165" s="365" t="s">
        <v>2781</v>
      </c>
      <c r="E165" s="388" t="s">
        <v>2782</v>
      </c>
      <c r="F165" s="398">
        <v>0.06</v>
      </c>
      <c r="G165" s="388" t="s">
        <v>2783</v>
      </c>
      <c r="H165" s="388" t="s">
        <v>2784</v>
      </c>
      <c r="I165" s="388" t="s">
        <v>2785</v>
      </c>
      <c r="J165" s="388">
        <v>4.0</v>
      </c>
      <c r="K165" s="388" t="s">
        <v>2289</v>
      </c>
      <c r="L165" s="365" t="s">
        <v>2761</v>
      </c>
      <c r="M165" s="365" t="s">
        <v>2760</v>
      </c>
      <c r="N165" s="364"/>
      <c r="O165" s="364"/>
      <c r="P165" s="365" t="s">
        <v>2594</v>
      </c>
      <c r="Q165" s="365" t="s">
        <v>2594</v>
      </c>
      <c r="R165" s="387"/>
      <c r="S165" s="387"/>
      <c r="T165" s="387"/>
      <c r="U165" s="387"/>
      <c r="V165" s="387"/>
      <c r="W165" s="387"/>
      <c r="X165" s="387"/>
      <c r="Y165" s="387"/>
      <c r="Z165" s="387"/>
      <c r="AA165" s="387"/>
      <c r="AB165" s="387"/>
    </row>
    <row r="166">
      <c r="A166" s="365" t="s">
        <v>660</v>
      </c>
      <c r="B166" s="388" t="s">
        <v>1540</v>
      </c>
      <c r="C166" s="397">
        <v>39115.0</v>
      </c>
      <c r="D166" s="365" t="s">
        <v>2781</v>
      </c>
      <c r="E166" s="388" t="s">
        <v>2782</v>
      </c>
      <c r="F166" s="398">
        <v>0.06</v>
      </c>
      <c r="G166" s="388" t="s">
        <v>2783</v>
      </c>
      <c r="H166" s="388" t="s">
        <v>2784</v>
      </c>
      <c r="I166" s="388" t="s">
        <v>2785</v>
      </c>
      <c r="J166" s="388">
        <v>5.0</v>
      </c>
      <c r="K166" s="388" t="s">
        <v>2294</v>
      </c>
      <c r="L166" s="365" t="s">
        <v>2762</v>
      </c>
      <c r="M166" s="365" t="s">
        <v>2760</v>
      </c>
      <c r="N166" s="364"/>
      <c r="O166" s="364"/>
      <c r="P166" s="365" t="s">
        <v>2594</v>
      </c>
      <c r="Q166" s="365" t="s">
        <v>2594</v>
      </c>
      <c r="R166" s="387"/>
      <c r="S166" s="387"/>
      <c r="T166" s="387"/>
      <c r="U166" s="387"/>
      <c r="V166" s="387"/>
      <c r="W166" s="387"/>
      <c r="X166" s="387"/>
      <c r="Y166" s="387"/>
      <c r="Z166" s="387"/>
      <c r="AA166" s="387"/>
      <c r="AB166" s="387"/>
    </row>
    <row r="167">
      <c r="A167" s="365" t="s">
        <v>660</v>
      </c>
      <c r="B167" s="388" t="s">
        <v>1540</v>
      </c>
      <c r="C167" s="397">
        <v>39480.0</v>
      </c>
      <c r="D167" s="365" t="s">
        <v>2786</v>
      </c>
      <c r="E167" s="388" t="s">
        <v>2787</v>
      </c>
      <c r="F167" s="398">
        <v>0.06</v>
      </c>
      <c r="G167" s="388" t="s">
        <v>2788</v>
      </c>
      <c r="H167" s="388" t="s">
        <v>2789</v>
      </c>
      <c r="I167" s="388" t="s">
        <v>2790</v>
      </c>
      <c r="J167" s="388">
        <v>1.0</v>
      </c>
      <c r="K167" s="388" t="s">
        <v>2289</v>
      </c>
      <c r="L167" s="365" t="s">
        <v>2759</v>
      </c>
      <c r="M167" s="365" t="s">
        <v>2760</v>
      </c>
      <c r="N167" s="364"/>
      <c r="O167" s="364"/>
      <c r="P167" s="365" t="s">
        <v>2594</v>
      </c>
      <c r="Q167" s="365" t="s">
        <v>2594</v>
      </c>
      <c r="R167" s="387"/>
      <c r="S167" s="387"/>
      <c r="T167" s="387"/>
      <c r="U167" s="387"/>
      <c r="V167" s="387"/>
      <c r="W167" s="387"/>
      <c r="X167" s="387"/>
      <c r="Y167" s="387"/>
      <c r="Z167" s="387"/>
      <c r="AA167" s="387"/>
      <c r="AB167" s="387"/>
    </row>
    <row r="168">
      <c r="A168" s="365" t="s">
        <v>660</v>
      </c>
      <c r="B168" s="388" t="s">
        <v>1540</v>
      </c>
      <c r="C168" s="397">
        <v>39480.0</v>
      </c>
      <c r="D168" s="365" t="s">
        <v>2786</v>
      </c>
      <c r="E168" s="388" t="s">
        <v>2787</v>
      </c>
      <c r="F168" s="398">
        <v>0.06</v>
      </c>
      <c r="G168" s="388" t="s">
        <v>2788</v>
      </c>
      <c r="H168" s="388" t="s">
        <v>2789</v>
      </c>
      <c r="I168" s="388" t="s">
        <v>2790</v>
      </c>
      <c r="J168" s="388">
        <v>2.0</v>
      </c>
      <c r="K168" s="388" t="s">
        <v>2294</v>
      </c>
      <c r="L168" s="365" t="s">
        <v>2672</v>
      </c>
      <c r="M168" s="365" t="s">
        <v>2760</v>
      </c>
      <c r="N168" s="364"/>
      <c r="O168" s="364"/>
      <c r="P168" s="365" t="s">
        <v>2594</v>
      </c>
      <c r="Q168" s="365" t="s">
        <v>2594</v>
      </c>
      <c r="R168" s="387"/>
      <c r="S168" s="387"/>
      <c r="T168" s="387"/>
      <c r="U168" s="387"/>
      <c r="V168" s="387"/>
      <c r="W168" s="387"/>
      <c r="X168" s="387"/>
      <c r="Y168" s="387"/>
      <c r="Z168" s="387"/>
      <c r="AA168" s="387"/>
      <c r="AB168" s="387"/>
    </row>
    <row r="169">
      <c r="A169" s="365" t="s">
        <v>660</v>
      </c>
      <c r="B169" s="388" t="s">
        <v>1540</v>
      </c>
      <c r="C169" s="397">
        <v>39480.0</v>
      </c>
      <c r="D169" s="365" t="s">
        <v>2786</v>
      </c>
      <c r="E169" s="388" t="s">
        <v>2787</v>
      </c>
      <c r="F169" s="398">
        <v>0.06</v>
      </c>
      <c r="G169" s="388" t="s">
        <v>2788</v>
      </c>
      <c r="H169" s="388" t="s">
        <v>2789</v>
      </c>
      <c r="I169" s="388" t="s">
        <v>2790</v>
      </c>
      <c r="J169" s="388">
        <v>3.0</v>
      </c>
      <c r="K169" s="388" t="s">
        <v>2289</v>
      </c>
      <c r="L169" s="365" t="s">
        <v>2673</v>
      </c>
      <c r="M169" s="365" t="s">
        <v>2760</v>
      </c>
      <c r="N169" s="364"/>
      <c r="O169" s="364"/>
      <c r="P169" s="365" t="s">
        <v>2594</v>
      </c>
      <c r="Q169" s="365" t="s">
        <v>2594</v>
      </c>
      <c r="R169" s="387"/>
      <c r="S169" s="387"/>
      <c r="T169" s="387"/>
      <c r="U169" s="387"/>
      <c r="V169" s="387"/>
      <c r="W169" s="387"/>
      <c r="X169" s="387"/>
      <c r="Y169" s="387"/>
      <c r="Z169" s="387"/>
      <c r="AA169" s="387"/>
      <c r="AB169" s="387"/>
    </row>
    <row r="170">
      <c r="A170" s="365" t="s">
        <v>660</v>
      </c>
      <c r="B170" s="388" t="s">
        <v>1540</v>
      </c>
      <c r="C170" s="397">
        <v>39480.0</v>
      </c>
      <c r="D170" s="365" t="s">
        <v>2786</v>
      </c>
      <c r="E170" s="388" t="s">
        <v>2787</v>
      </c>
      <c r="F170" s="398">
        <v>0.06</v>
      </c>
      <c r="G170" s="388" t="s">
        <v>2788</v>
      </c>
      <c r="H170" s="388" t="s">
        <v>2789</v>
      </c>
      <c r="I170" s="388" t="s">
        <v>2790</v>
      </c>
      <c r="J170" s="388">
        <v>4.0</v>
      </c>
      <c r="K170" s="388" t="s">
        <v>2289</v>
      </c>
      <c r="L170" s="365" t="s">
        <v>2761</v>
      </c>
      <c r="M170" s="365" t="s">
        <v>2760</v>
      </c>
      <c r="N170" s="364"/>
      <c r="O170" s="364"/>
      <c r="P170" s="365" t="s">
        <v>2594</v>
      </c>
      <c r="Q170" s="365" t="s">
        <v>2594</v>
      </c>
      <c r="R170" s="387"/>
      <c r="S170" s="387"/>
      <c r="T170" s="387"/>
      <c r="U170" s="387"/>
      <c r="V170" s="387"/>
      <c r="W170" s="387"/>
      <c r="X170" s="387"/>
      <c r="Y170" s="387"/>
      <c r="Z170" s="387"/>
      <c r="AA170" s="387"/>
      <c r="AB170" s="387"/>
    </row>
    <row r="171">
      <c r="A171" s="365" t="s">
        <v>660</v>
      </c>
      <c r="B171" s="388" t="s">
        <v>1540</v>
      </c>
      <c r="C171" s="397">
        <v>39480.0</v>
      </c>
      <c r="D171" s="365" t="s">
        <v>2786</v>
      </c>
      <c r="E171" s="388" t="s">
        <v>2787</v>
      </c>
      <c r="F171" s="398">
        <v>0.06</v>
      </c>
      <c r="G171" s="388" t="s">
        <v>2788</v>
      </c>
      <c r="H171" s="388" t="s">
        <v>2789</v>
      </c>
      <c r="I171" s="388" t="s">
        <v>2790</v>
      </c>
      <c r="J171" s="388">
        <v>5.0</v>
      </c>
      <c r="K171" s="388" t="s">
        <v>2294</v>
      </c>
      <c r="L171" s="365" t="s">
        <v>2762</v>
      </c>
      <c r="M171" s="365" t="s">
        <v>2760</v>
      </c>
      <c r="N171" s="364"/>
      <c r="O171" s="364"/>
      <c r="P171" s="365" t="s">
        <v>2594</v>
      </c>
      <c r="Q171" s="365" t="s">
        <v>2594</v>
      </c>
      <c r="R171" s="387"/>
      <c r="S171" s="387"/>
      <c r="T171" s="387"/>
      <c r="U171" s="387"/>
      <c r="V171" s="387"/>
      <c r="W171" s="387"/>
      <c r="X171" s="387"/>
      <c r="Y171" s="387"/>
      <c r="Z171" s="387"/>
      <c r="AA171" s="387"/>
      <c r="AB171" s="387"/>
    </row>
    <row r="172">
      <c r="A172" s="365" t="s">
        <v>660</v>
      </c>
      <c r="B172" s="388" t="s">
        <v>1540</v>
      </c>
      <c r="C172" s="397">
        <v>39846.0</v>
      </c>
      <c r="D172" s="365" t="s">
        <v>2791</v>
      </c>
      <c r="E172" s="388" t="s">
        <v>2792</v>
      </c>
      <c r="F172" s="398">
        <v>0.06</v>
      </c>
      <c r="G172" s="388" t="s">
        <v>2793</v>
      </c>
      <c r="H172" s="388" t="s">
        <v>2794</v>
      </c>
      <c r="I172" s="388" t="s">
        <v>2795</v>
      </c>
      <c r="J172" s="388">
        <v>1.0</v>
      </c>
      <c r="K172" s="388" t="s">
        <v>2289</v>
      </c>
      <c r="L172" s="365" t="s">
        <v>2759</v>
      </c>
      <c r="M172" s="365" t="s">
        <v>2760</v>
      </c>
      <c r="N172" s="364"/>
      <c r="O172" s="364"/>
      <c r="P172" s="365" t="s">
        <v>2594</v>
      </c>
      <c r="Q172" s="365" t="s">
        <v>2594</v>
      </c>
      <c r="R172" s="387"/>
      <c r="S172" s="387"/>
      <c r="T172" s="387"/>
      <c r="U172" s="387"/>
      <c r="V172" s="387"/>
      <c r="W172" s="387"/>
      <c r="X172" s="387"/>
      <c r="Y172" s="387"/>
      <c r="Z172" s="387"/>
      <c r="AA172" s="387"/>
      <c r="AB172" s="387"/>
    </row>
    <row r="173">
      <c r="A173" s="365" t="s">
        <v>660</v>
      </c>
      <c r="B173" s="388" t="s">
        <v>1540</v>
      </c>
      <c r="C173" s="397">
        <v>39846.0</v>
      </c>
      <c r="D173" s="365" t="s">
        <v>2791</v>
      </c>
      <c r="E173" s="388" t="s">
        <v>2792</v>
      </c>
      <c r="F173" s="398">
        <v>0.06</v>
      </c>
      <c r="G173" s="388" t="s">
        <v>2793</v>
      </c>
      <c r="H173" s="388" t="s">
        <v>2794</v>
      </c>
      <c r="I173" s="388" t="s">
        <v>2795</v>
      </c>
      <c r="J173" s="388">
        <v>2.0</v>
      </c>
      <c r="K173" s="388" t="s">
        <v>2294</v>
      </c>
      <c r="L173" s="365" t="s">
        <v>2672</v>
      </c>
      <c r="M173" s="365" t="s">
        <v>2760</v>
      </c>
      <c r="N173" s="364"/>
      <c r="O173" s="364"/>
      <c r="P173" s="365" t="s">
        <v>2594</v>
      </c>
      <c r="Q173" s="365" t="s">
        <v>2594</v>
      </c>
      <c r="R173" s="387"/>
      <c r="S173" s="387"/>
      <c r="T173" s="387"/>
      <c r="U173" s="387"/>
      <c r="V173" s="387"/>
      <c r="W173" s="387"/>
      <c r="X173" s="387"/>
      <c r="Y173" s="387"/>
      <c r="Z173" s="387"/>
      <c r="AA173" s="387"/>
      <c r="AB173" s="387"/>
    </row>
    <row r="174">
      <c r="A174" s="365" t="s">
        <v>660</v>
      </c>
      <c r="B174" s="388" t="s">
        <v>1540</v>
      </c>
      <c r="C174" s="397">
        <v>39846.0</v>
      </c>
      <c r="D174" s="365" t="s">
        <v>2791</v>
      </c>
      <c r="E174" s="388" t="s">
        <v>2792</v>
      </c>
      <c r="F174" s="398">
        <v>0.06</v>
      </c>
      <c r="G174" s="388" t="s">
        <v>2793</v>
      </c>
      <c r="H174" s="388" t="s">
        <v>2794</v>
      </c>
      <c r="I174" s="388" t="s">
        <v>2795</v>
      </c>
      <c r="J174" s="388">
        <v>3.0</v>
      </c>
      <c r="K174" s="388" t="s">
        <v>2289</v>
      </c>
      <c r="L174" s="365" t="s">
        <v>2673</v>
      </c>
      <c r="M174" s="365" t="s">
        <v>2760</v>
      </c>
      <c r="N174" s="364"/>
      <c r="O174" s="364"/>
      <c r="P174" s="365" t="s">
        <v>2594</v>
      </c>
      <c r="Q174" s="365" t="s">
        <v>2594</v>
      </c>
      <c r="R174" s="387"/>
      <c r="S174" s="387"/>
      <c r="T174" s="387"/>
      <c r="U174" s="387"/>
      <c r="V174" s="387"/>
      <c r="W174" s="387"/>
      <c r="X174" s="387"/>
      <c r="Y174" s="387"/>
      <c r="Z174" s="387"/>
      <c r="AA174" s="387"/>
      <c r="AB174" s="387"/>
    </row>
    <row r="175">
      <c r="A175" s="365" t="s">
        <v>660</v>
      </c>
      <c r="B175" s="388" t="s">
        <v>1540</v>
      </c>
      <c r="C175" s="397">
        <v>39846.0</v>
      </c>
      <c r="D175" s="365" t="s">
        <v>2791</v>
      </c>
      <c r="E175" s="388" t="s">
        <v>2792</v>
      </c>
      <c r="F175" s="398">
        <v>0.06</v>
      </c>
      <c r="G175" s="388" t="s">
        <v>2793</v>
      </c>
      <c r="H175" s="388" t="s">
        <v>2794</v>
      </c>
      <c r="I175" s="388" t="s">
        <v>2795</v>
      </c>
      <c r="J175" s="388">
        <v>4.0</v>
      </c>
      <c r="K175" s="388" t="s">
        <v>2289</v>
      </c>
      <c r="L175" s="365" t="s">
        <v>2761</v>
      </c>
      <c r="M175" s="365" t="s">
        <v>2760</v>
      </c>
      <c r="N175" s="364"/>
      <c r="O175" s="364"/>
      <c r="P175" s="365" t="s">
        <v>2594</v>
      </c>
      <c r="Q175" s="365" t="s">
        <v>2594</v>
      </c>
      <c r="R175" s="387"/>
      <c r="S175" s="387"/>
      <c r="T175" s="387"/>
      <c r="U175" s="387"/>
      <c r="V175" s="387"/>
      <c r="W175" s="387"/>
      <c r="X175" s="387"/>
      <c r="Y175" s="387"/>
      <c r="Z175" s="387"/>
      <c r="AA175" s="387"/>
      <c r="AB175" s="387"/>
    </row>
    <row r="176">
      <c r="A176" s="365" t="s">
        <v>660</v>
      </c>
      <c r="B176" s="388" t="s">
        <v>1540</v>
      </c>
      <c r="C176" s="397">
        <v>39846.0</v>
      </c>
      <c r="D176" s="365" t="s">
        <v>2791</v>
      </c>
      <c r="E176" s="388" t="s">
        <v>2792</v>
      </c>
      <c r="F176" s="398">
        <v>0.06</v>
      </c>
      <c r="G176" s="388" t="s">
        <v>2793</v>
      </c>
      <c r="H176" s="388" t="s">
        <v>2794</v>
      </c>
      <c r="I176" s="388" t="s">
        <v>2795</v>
      </c>
      <c r="J176" s="388">
        <v>5.0</v>
      </c>
      <c r="K176" s="388" t="s">
        <v>2294</v>
      </c>
      <c r="L176" s="365" t="s">
        <v>2762</v>
      </c>
      <c r="M176" s="365" t="s">
        <v>2760</v>
      </c>
      <c r="N176" s="364"/>
      <c r="O176" s="364"/>
      <c r="P176" s="365" t="s">
        <v>2594</v>
      </c>
      <c r="Q176" s="365" t="s">
        <v>2594</v>
      </c>
      <c r="R176" s="387"/>
      <c r="S176" s="387"/>
      <c r="T176" s="387"/>
      <c r="U176" s="387"/>
      <c r="V176" s="387"/>
      <c r="W176" s="387"/>
      <c r="X176" s="387"/>
      <c r="Y176" s="387"/>
      <c r="Z176" s="387"/>
      <c r="AA176" s="387"/>
      <c r="AB176" s="387"/>
    </row>
    <row r="177">
      <c r="A177" s="365" t="s">
        <v>660</v>
      </c>
      <c r="B177" s="388" t="s">
        <v>1540</v>
      </c>
      <c r="C177" s="399">
        <v>40211.0</v>
      </c>
      <c r="D177" s="365" t="s">
        <v>2796</v>
      </c>
      <c r="E177" s="388" t="s">
        <v>2797</v>
      </c>
      <c r="F177" s="398">
        <v>0.04</v>
      </c>
      <c r="G177" s="388" t="s">
        <v>2798</v>
      </c>
      <c r="H177" s="388" t="s">
        <v>2799</v>
      </c>
      <c r="I177" s="388" t="s">
        <v>2800</v>
      </c>
      <c r="J177" s="388">
        <v>1.0</v>
      </c>
      <c r="K177" s="388" t="s">
        <v>2289</v>
      </c>
      <c r="L177" s="365" t="s">
        <v>2759</v>
      </c>
      <c r="M177" s="365" t="s">
        <v>2760</v>
      </c>
      <c r="N177" s="364"/>
      <c r="O177" s="364"/>
      <c r="P177" s="365" t="s">
        <v>2594</v>
      </c>
      <c r="Q177" s="365" t="s">
        <v>2594</v>
      </c>
      <c r="R177" s="387"/>
      <c r="S177" s="387"/>
      <c r="T177" s="387"/>
      <c r="U177" s="387"/>
      <c r="V177" s="387"/>
      <c r="W177" s="387"/>
      <c r="X177" s="387"/>
      <c r="Y177" s="387"/>
      <c r="Z177" s="387"/>
      <c r="AA177" s="387"/>
      <c r="AB177" s="387"/>
    </row>
    <row r="178">
      <c r="A178" s="365" t="s">
        <v>660</v>
      </c>
      <c r="B178" s="388" t="s">
        <v>1540</v>
      </c>
      <c r="C178" s="399">
        <v>40211.0</v>
      </c>
      <c r="D178" s="365" t="s">
        <v>2796</v>
      </c>
      <c r="E178" s="388" t="s">
        <v>2797</v>
      </c>
      <c r="F178" s="398">
        <v>0.04</v>
      </c>
      <c r="G178" s="388" t="s">
        <v>2798</v>
      </c>
      <c r="H178" s="388" t="s">
        <v>2799</v>
      </c>
      <c r="I178" s="388" t="s">
        <v>2800</v>
      </c>
      <c r="J178" s="388">
        <v>2.0</v>
      </c>
      <c r="K178" s="388" t="s">
        <v>2294</v>
      </c>
      <c r="L178" s="365" t="s">
        <v>2672</v>
      </c>
      <c r="M178" s="365" t="s">
        <v>2760</v>
      </c>
      <c r="N178" s="364"/>
      <c r="O178" s="364"/>
      <c r="P178" s="365" t="s">
        <v>2594</v>
      </c>
      <c r="Q178" s="365" t="s">
        <v>2594</v>
      </c>
      <c r="R178" s="387"/>
      <c r="S178" s="387"/>
      <c r="T178" s="387"/>
      <c r="U178" s="387"/>
      <c r="V178" s="387"/>
      <c r="W178" s="387"/>
      <c r="X178" s="387"/>
      <c r="Y178" s="387"/>
      <c r="Z178" s="387"/>
      <c r="AA178" s="387"/>
      <c r="AB178" s="387"/>
    </row>
    <row r="179">
      <c r="A179" s="365" t="s">
        <v>660</v>
      </c>
      <c r="B179" s="388" t="s">
        <v>1540</v>
      </c>
      <c r="C179" s="399">
        <v>40211.0</v>
      </c>
      <c r="D179" s="365" t="s">
        <v>2796</v>
      </c>
      <c r="E179" s="388" t="s">
        <v>2797</v>
      </c>
      <c r="F179" s="398">
        <v>0.04</v>
      </c>
      <c r="G179" s="388" t="s">
        <v>2798</v>
      </c>
      <c r="H179" s="388" t="s">
        <v>2799</v>
      </c>
      <c r="I179" s="388" t="s">
        <v>2800</v>
      </c>
      <c r="J179" s="388">
        <v>3.0</v>
      </c>
      <c r="K179" s="388" t="s">
        <v>2289</v>
      </c>
      <c r="L179" s="365" t="s">
        <v>2673</v>
      </c>
      <c r="M179" s="365" t="s">
        <v>2760</v>
      </c>
      <c r="N179" s="364"/>
      <c r="O179" s="364"/>
      <c r="P179" s="365" t="s">
        <v>2594</v>
      </c>
      <c r="Q179" s="365" t="s">
        <v>2594</v>
      </c>
      <c r="R179" s="387"/>
      <c r="S179" s="387"/>
      <c r="T179" s="387"/>
      <c r="U179" s="387"/>
      <c r="V179" s="387"/>
      <c r="W179" s="387"/>
      <c r="X179" s="387"/>
      <c r="Y179" s="387"/>
      <c r="Z179" s="387"/>
      <c r="AA179" s="387"/>
      <c r="AB179" s="387"/>
    </row>
    <row r="180">
      <c r="A180" s="365" t="s">
        <v>660</v>
      </c>
      <c r="B180" s="388" t="s">
        <v>1540</v>
      </c>
      <c r="C180" s="399">
        <v>40211.0</v>
      </c>
      <c r="D180" s="365" t="s">
        <v>2796</v>
      </c>
      <c r="E180" s="388" t="s">
        <v>2797</v>
      </c>
      <c r="F180" s="398">
        <v>0.04</v>
      </c>
      <c r="G180" s="388" t="s">
        <v>2798</v>
      </c>
      <c r="H180" s="388" t="s">
        <v>2799</v>
      </c>
      <c r="I180" s="388" t="s">
        <v>2800</v>
      </c>
      <c r="J180" s="388">
        <v>4.0</v>
      </c>
      <c r="K180" s="388" t="s">
        <v>2289</v>
      </c>
      <c r="L180" s="365" t="s">
        <v>2761</v>
      </c>
      <c r="M180" s="365" t="s">
        <v>2760</v>
      </c>
      <c r="N180" s="364"/>
      <c r="O180" s="364"/>
      <c r="P180" s="365" t="s">
        <v>2594</v>
      </c>
      <c r="Q180" s="365" t="s">
        <v>2594</v>
      </c>
      <c r="R180" s="387"/>
      <c r="S180" s="387"/>
      <c r="T180" s="387"/>
      <c r="U180" s="387"/>
      <c r="V180" s="387"/>
      <c r="W180" s="387"/>
      <c r="X180" s="387"/>
      <c r="Y180" s="387"/>
      <c r="Z180" s="387"/>
      <c r="AA180" s="387"/>
      <c r="AB180" s="387"/>
    </row>
    <row r="181">
      <c r="A181" s="365" t="s">
        <v>660</v>
      </c>
      <c r="B181" s="388" t="s">
        <v>1540</v>
      </c>
      <c r="C181" s="399">
        <v>40211.0</v>
      </c>
      <c r="D181" s="365" t="s">
        <v>2796</v>
      </c>
      <c r="E181" s="388" t="s">
        <v>2797</v>
      </c>
      <c r="F181" s="398">
        <v>0.04</v>
      </c>
      <c r="G181" s="388" t="s">
        <v>2798</v>
      </c>
      <c r="H181" s="388" t="s">
        <v>2799</v>
      </c>
      <c r="I181" s="388" t="s">
        <v>2800</v>
      </c>
      <c r="J181" s="388">
        <v>5.0</v>
      </c>
      <c r="K181" s="388" t="s">
        <v>2294</v>
      </c>
      <c r="L181" s="365" t="s">
        <v>2762</v>
      </c>
      <c r="M181" s="365" t="s">
        <v>2760</v>
      </c>
      <c r="N181" s="364"/>
      <c r="O181" s="364"/>
      <c r="P181" s="365" t="s">
        <v>2594</v>
      </c>
      <c r="Q181" s="365" t="s">
        <v>2594</v>
      </c>
      <c r="R181" s="387"/>
      <c r="S181" s="387"/>
      <c r="T181" s="387"/>
      <c r="U181" s="387"/>
      <c r="V181" s="387"/>
      <c r="W181" s="387"/>
      <c r="X181" s="387"/>
      <c r="Y181" s="387"/>
      <c r="Z181" s="387"/>
      <c r="AA181" s="387"/>
      <c r="AB181" s="387"/>
    </row>
    <row r="182">
      <c r="A182" s="365" t="s">
        <v>660</v>
      </c>
      <c r="B182" s="388" t="s">
        <v>1540</v>
      </c>
      <c r="C182" s="399">
        <v>40576.0</v>
      </c>
      <c r="D182" s="365" t="s">
        <v>2801</v>
      </c>
      <c r="E182" s="388" t="s">
        <v>2802</v>
      </c>
      <c r="F182" s="398">
        <v>0.04</v>
      </c>
      <c r="G182" s="388" t="s">
        <v>2803</v>
      </c>
      <c r="H182" s="388" t="s">
        <v>2804</v>
      </c>
      <c r="I182" s="388" t="s">
        <v>2805</v>
      </c>
      <c r="J182" s="388">
        <v>1.0</v>
      </c>
      <c r="K182" s="388" t="s">
        <v>2289</v>
      </c>
      <c r="L182" s="365" t="s">
        <v>2759</v>
      </c>
      <c r="M182" s="365" t="s">
        <v>2760</v>
      </c>
      <c r="N182" s="364"/>
      <c r="O182" s="364"/>
      <c r="P182" s="365" t="s">
        <v>2594</v>
      </c>
      <c r="Q182" s="365" t="s">
        <v>2594</v>
      </c>
      <c r="R182" s="387"/>
      <c r="S182" s="387"/>
      <c r="T182" s="387"/>
      <c r="U182" s="387"/>
      <c r="V182" s="387"/>
      <c r="W182" s="387"/>
      <c r="X182" s="387"/>
      <c r="Y182" s="387"/>
      <c r="Z182" s="387"/>
      <c r="AA182" s="387"/>
      <c r="AB182" s="387"/>
    </row>
    <row r="183">
      <c r="A183" s="365" t="s">
        <v>660</v>
      </c>
      <c r="B183" s="388" t="s">
        <v>1540</v>
      </c>
      <c r="C183" s="399">
        <v>40576.0</v>
      </c>
      <c r="D183" s="365" t="s">
        <v>2801</v>
      </c>
      <c r="E183" s="388" t="s">
        <v>2802</v>
      </c>
      <c r="F183" s="398">
        <v>0.04</v>
      </c>
      <c r="G183" s="388" t="s">
        <v>2803</v>
      </c>
      <c r="H183" s="388" t="s">
        <v>2804</v>
      </c>
      <c r="I183" s="388" t="s">
        <v>2805</v>
      </c>
      <c r="J183" s="388">
        <v>2.0</v>
      </c>
      <c r="K183" s="388" t="s">
        <v>2294</v>
      </c>
      <c r="L183" s="365" t="s">
        <v>2672</v>
      </c>
      <c r="M183" s="365" t="s">
        <v>2760</v>
      </c>
      <c r="N183" s="364"/>
      <c r="O183" s="364"/>
      <c r="P183" s="365" t="s">
        <v>2594</v>
      </c>
      <c r="Q183" s="365" t="s">
        <v>2594</v>
      </c>
      <c r="R183" s="387"/>
      <c r="S183" s="387"/>
      <c r="T183" s="387"/>
      <c r="U183" s="387"/>
      <c r="V183" s="387"/>
      <c r="W183" s="387"/>
      <c r="X183" s="387"/>
      <c r="Y183" s="387"/>
      <c r="Z183" s="387"/>
      <c r="AA183" s="387"/>
      <c r="AB183" s="387"/>
    </row>
    <row r="184">
      <c r="A184" s="365" t="s">
        <v>660</v>
      </c>
      <c r="B184" s="388" t="s">
        <v>1540</v>
      </c>
      <c r="C184" s="399">
        <v>40576.0</v>
      </c>
      <c r="D184" s="365" t="s">
        <v>2801</v>
      </c>
      <c r="E184" s="388" t="s">
        <v>2802</v>
      </c>
      <c r="F184" s="398">
        <v>0.04</v>
      </c>
      <c r="G184" s="388" t="s">
        <v>2803</v>
      </c>
      <c r="H184" s="388" t="s">
        <v>2804</v>
      </c>
      <c r="I184" s="388" t="s">
        <v>2805</v>
      </c>
      <c r="J184" s="388">
        <v>3.0</v>
      </c>
      <c r="K184" s="388" t="s">
        <v>2289</v>
      </c>
      <c r="L184" s="365" t="s">
        <v>2673</v>
      </c>
      <c r="M184" s="365" t="s">
        <v>2760</v>
      </c>
      <c r="N184" s="364"/>
      <c r="O184" s="364"/>
      <c r="P184" s="365" t="s">
        <v>2594</v>
      </c>
      <c r="Q184" s="365" t="s">
        <v>2594</v>
      </c>
      <c r="R184" s="387"/>
      <c r="S184" s="387"/>
      <c r="T184" s="387"/>
      <c r="U184" s="387"/>
      <c r="V184" s="387"/>
      <c r="W184" s="387"/>
      <c r="X184" s="387"/>
      <c r="Y184" s="387"/>
      <c r="Z184" s="387"/>
      <c r="AA184" s="387"/>
      <c r="AB184" s="387"/>
    </row>
    <row r="185">
      <c r="A185" s="365" t="s">
        <v>660</v>
      </c>
      <c r="B185" s="388" t="s">
        <v>1540</v>
      </c>
      <c r="C185" s="399">
        <v>40576.0</v>
      </c>
      <c r="D185" s="365" t="s">
        <v>2801</v>
      </c>
      <c r="E185" s="388" t="s">
        <v>2802</v>
      </c>
      <c r="F185" s="398">
        <v>0.04</v>
      </c>
      <c r="G185" s="388" t="s">
        <v>2803</v>
      </c>
      <c r="H185" s="388" t="s">
        <v>2804</v>
      </c>
      <c r="I185" s="388" t="s">
        <v>2805</v>
      </c>
      <c r="J185" s="388">
        <v>4.0</v>
      </c>
      <c r="K185" s="388" t="s">
        <v>2289</v>
      </c>
      <c r="L185" s="365" t="s">
        <v>2761</v>
      </c>
      <c r="M185" s="365" t="s">
        <v>2760</v>
      </c>
      <c r="N185" s="364"/>
      <c r="O185" s="364"/>
      <c r="P185" s="365" t="s">
        <v>2594</v>
      </c>
      <c r="Q185" s="365" t="s">
        <v>2594</v>
      </c>
      <c r="R185" s="387"/>
      <c r="S185" s="387"/>
      <c r="T185" s="387"/>
      <c r="U185" s="387"/>
      <c r="V185" s="387"/>
      <c r="W185" s="387"/>
      <c r="X185" s="387"/>
      <c r="Y185" s="387"/>
      <c r="Z185" s="387"/>
      <c r="AA185" s="387"/>
      <c r="AB185" s="387"/>
    </row>
    <row r="186">
      <c r="A186" s="365" t="s">
        <v>660</v>
      </c>
      <c r="B186" s="388" t="s">
        <v>1540</v>
      </c>
      <c r="C186" s="399">
        <v>40576.0</v>
      </c>
      <c r="D186" s="365" t="s">
        <v>2801</v>
      </c>
      <c r="E186" s="388" t="s">
        <v>2802</v>
      </c>
      <c r="F186" s="398">
        <v>0.04</v>
      </c>
      <c r="G186" s="388" t="s">
        <v>2803</v>
      </c>
      <c r="H186" s="388" t="s">
        <v>2804</v>
      </c>
      <c r="I186" s="388" t="s">
        <v>2805</v>
      </c>
      <c r="J186" s="388">
        <v>5.0</v>
      </c>
      <c r="K186" s="388" t="s">
        <v>2294</v>
      </c>
      <c r="L186" s="365" t="s">
        <v>2762</v>
      </c>
      <c r="M186" s="365" t="s">
        <v>2760</v>
      </c>
      <c r="N186" s="364"/>
      <c r="O186" s="364"/>
      <c r="P186" s="365" t="s">
        <v>2594</v>
      </c>
      <c r="Q186" s="365" t="s">
        <v>2594</v>
      </c>
      <c r="R186" s="387"/>
      <c r="S186" s="387"/>
      <c r="T186" s="387"/>
      <c r="U186" s="387"/>
      <c r="V186" s="387"/>
      <c r="W186" s="387"/>
      <c r="X186" s="387"/>
      <c r="Y186" s="387"/>
      <c r="Z186" s="387"/>
      <c r="AA186" s="387"/>
      <c r="AB186" s="387"/>
    </row>
    <row r="187">
      <c r="A187" s="365" t="s">
        <v>660</v>
      </c>
      <c r="B187" s="388" t="s">
        <v>1540</v>
      </c>
      <c r="C187" s="399">
        <v>40941.0</v>
      </c>
      <c r="D187" s="365" t="s">
        <v>2806</v>
      </c>
      <c r="E187" s="388" t="s">
        <v>2807</v>
      </c>
      <c r="F187" s="398">
        <v>0.04</v>
      </c>
      <c r="G187" s="388" t="s">
        <v>2808</v>
      </c>
      <c r="H187" s="388" t="s">
        <v>2809</v>
      </c>
      <c r="I187" s="388" t="s">
        <v>2810</v>
      </c>
      <c r="J187" s="388">
        <v>1.0</v>
      </c>
      <c r="K187" s="388" t="s">
        <v>2289</v>
      </c>
      <c r="L187" s="365" t="s">
        <v>2759</v>
      </c>
      <c r="M187" s="365" t="s">
        <v>2760</v>
      </c>
      <c r="N187" s="364"/>
      <c r="O187" s="364"/>
      <c r="P187" s="365" t="s">
        <v>2594</v>
      </c>
      <c r="Q187" s="365" t="s">
        <v>2594</v>
      </c>
      <c r="R187" s="387"/>
      <c r="S187" s="387"/>
      <c r="T187" s="387"/>
      <c r="U187" s="387"/>
      <c r="V187" s="387"/>
      <c r="W187" s="387"/>
      <c r="X187" s="387"/>
      <c r="Y187" s="387"/>
      <c r="Z187" s="387"/>
      <c r="AA187" s="387"/>
      <c r="AB187" s="387"/>
    </row>
    <row r="188">
      <c r="A188" s="365" t="s">
        <v>660</v>
      </c>
      <c r="B188" s="388" t="s">
        <v>1540</v>
      </c>
      <c r="C188" s="399">
        <v>40941.0</v>
      </c>
      <c r="D188" s="365" t="s">
        <v>2806</v>
      </c>
      <c r="E188" s="388" t="s">
        <v>2807</v>
      </c>
      <c r="F188" s="398">
        <v>0.04</v>
      </c>
      <c r="G188" s="388" t="s">
        <v>2808</v>
      </c>
      <c r="H188" s="388" t="s">
        <v>2809</v>
      </c>
      <c r="I188" s="388" t="s">
        <v>2810</v>
      </c>
      <c r="J188" s="388">
        <v>2.0</v>
      </c>
      <c r="K188" s="388" t="s">
        <v>2294</v>
      </c>
      <c r="L188" s="365" t="s">
        <v>2672</v>
      </c>
      <c r="M188" s="365" t="s">
        <v>2760</v>
      </c>
      <c r="N188" s="364"/>
      <c r="O188" s="364"/>
      <c r="P188" s="365" t="s">
        <v>2594</v>
      </c>
      <c r="Q188" s="365" t="s">
        <v>2594</v>
      </c>
      <c r="R188" s="387"/>
      <c r="S188" s="387"/>
      <c r="T188" s="387"/>
      <c r="U188" s="387"/>
      <c r="V188" s="387"/>
      <c r="W188" s="387"/>
      <c r="X188" s="387"/>
      <c r="Y188" s="387"/>
      <c r="Z188" s="387"/>
      <c r="AA188" s="387"/>
      <c r="AB188" s="387"/>
    </row>
    <row r="189">
      <c r="A189" s="365" t="s">
        <v>660</v>
      </c>
      <c r="B189" s="388" t="s">
        <v>1540</v>
      </c>
      <c r="C189" s="399">
        <v>40941.0</v>
      </c>
      <c r="D189" s="365" t="s">
        <v>2806</v>
      </c>
      <c r="E189" s="388" t="s">
        <v>2807</v>
      </c>
      <c r="F189" s="398">
        <v>0.04</v>
      </c>
      <c r="G189" s="388" t="s">
        <v>2808</v>
      </c>
      <c r="H189" s="388" t="s">
        <v>2809</v>
      </c>
      <c r="I189" s="388" t="s">
        <v>2810</v>
      </c>
      <c r="J189" s="388">
        <v>3.0</v>
      </c>
      <c r="K189" s="388" t="s">
        <v>2289</v>
      </c>
      <c r="L189" s="365" t="s">
        <v>2673</v>
      </c>
      <c r="M189" s="365" t="s">
        <v>2760</v>
      </c>
      <c r="N189" s="364"/>
      <c r="O189" s="364"/>
      <c r="P189" s="365" t="s">
        <v>2594</v>
      </c>
      <c r="Q189" s="365" t="s">
        <v>2594</v>
      </c>
      <c r="R189" s="387"/>
      <c r="S189" s="387"/>
      <c r="T189" s="387"/>
      <c r="U189" s="387"/>
      <c r="V189" s="387"/>
      <c r="W189" s="387"/>
      <c r="X189" s="387"/>
      <c r="Y189" s="387"/>
      <c r="Z189" s="387"/>
      <c r="AA189" s="387"/>
      <c r="AB189" s="387"/>
    </row>
    <row r="190">
      <c r="A190" s="365" t="s">
        <v>660</v>
      </c>
      <c r="B190" s="388" t="s">
        <v>1540</v>
      </c>
      <c r="C190" s="399">
        <v>40941.0</v>
      </c>
      <c r="D190" s="365" t="s">
        <v>2806</v>
      </c>
      <c r="E190" s="388" t="s">
        <v>2807</v>
      </c>
      <c r="F190" s="398">
        <v>0.04</v>
      </c>
      <c r="G190" s="388" t="s">
        <v>2808</v>
      </c>
      <c r="H190" s="388" t="s">
        <v>2809</v>
      </c>
      <c r="I190" s="388" t="s">
        <v>2810</v>
      </c>
      <c r="J190" s="388">
        <v>4.0</v>
      </c>
      <c r="K190" s="388" t="s">
        <v>2289</v>
      </c>
      <c r="L190" s="365" t="s">
        <v>2761</v>
      </c>
      <c r="M190" s="365" t="s">
        <v>2760</v>
      </c>
      <c r="N190" s="364"/>
      <c r="O190" s="364"/>
      <c r="P190" s="365" t="s">
        <v>2594</v>
      </c>
      <c r="Q190" s="365" t="s">
        <v>2594</v>
      </c>
      <c r="R190" s="387"/>
      <c r="S190" s="387"/>
      <c r="T190" s="387"/>
      <c r="U190" s="387"/>
      <c r="V190" s="387"/>
      <c r="W190" s="387"/>
      <c r="X190" s="387"/>
      <c r="Y190" s="387"/>
      <c r="Z190" s="387"/>
      <c r="AA190" s="387"/>
      <c r="AB190" s="387"/>
    </row>
    <row r="191">
      <c r="A191" s="365" t="s">
        <v>660</v>
      </c>
      <c r="B191" s="388" t="s">
        <v>1540</v>
      </c>
      <c r="C191" s="399">
        <v>40941.0</v>
      </c>
      <c r="D191" s="365" t="s">
        <v>2806</v>
      </c>
      <c r="E191" s="388" t="s">
        <v>2807</v>
      </c>
      <c r="F191" s="398">
        <v>0.04</v>
      </c>
      <c r="G191" s="388" t="s">
        <v>2808</v>
      </c>
      <c r="H191" s="388" t="s">
        <v>2809</v>
      </c>
      <c r="I191" s="388" t="s">
        <v>2810</v>
      </c>
      <c r="J191" s="388">
        <v>5.0</v>
      </c>
      <c r="K191" s="388" t="s">
        <v>2294</v>
      </c>
      <c r="L191" s="365" t="s">
        <v>2762</v>
      </c>
      <c r="M191" s="365" t="s">
        <v>2760</v>
      </c>
      <c r="N191" s="364"/>
      <c r="O191" s="364"/>
      <c r="P191" s="365" t="s">
        <v>2594</v>
      </c>
      <c r="Q191" s="365" t="s">
        <v>2594</v>
      </c>
      <c r="R191" s="387"/>
      <c r="S191" s="387"/>
      <c r="T191" s="387"/>
      <c r="U191" s="387"/>
      <c r="V191" s="387"/>
      <c r="W191" s="387"/>
      <c r="X191" s="387"/>
      <c r="Y191" s="387"/>
      <c r="Z191" s="387"/>
      <c r="AA191" s="387"/>
      <c r="AB191" s="387"/>
    </row>
    <row r="192">
      <c r="A192" s="365" t="s">
        <v>660</v>
      </c>
      <c r="B192" s="388" t="s">
        <v>1540</v>
      </c>
      <c r="C192" s="399">
        <v>41307.0</v>
      </c>
      <c r="D192" s="365" t="s">
        <v>2811</v>
      </c>
      <c r="E192" s="388" t="s">
        <v>2812</v>
      </c>
      <c r="F192" s="398">
        <v>0.04</v>
      </c>
      <c r="G192" s="388" t="s">
        <v>2813</v>
      </c>
      <c r="H192" s="388" t="s">
        <v>2814</v>
      </c>
      <c r="I192" s="388" t="s">
        <v>2815</v>
      </c>
      <c r="J192" s="388">
        <v>1.0</v>
      </c>
      <c r="K192" s="388" t="s">
        <v>2289</v>
      </c>
      <c r="L192" s="365" t="s">
        <v>2759</v>
      </c>
      <c r="M192" s="365" t="s">
        <v>2760</v>
      </c>
      <c r="N192" s="364"/>
      <c r="O192" s="364"/>
      <c r="P192" s="365" t="s">
        <v>2594</v>
      </c>
      <c r="Q192" s="365" t="s">
        <v>2594</v>
      </c>
      <c r="R192" s="387"/>
      <c r="S192" s="387"/>
      <c r="T192" s="387"/>
      <c r="U192" s="387"/>
      <c r="V192" s="387"/>
      <c r="W192" s="387"/>
      <c r="X192" s="387"/>
      <c r="Y192" s="387"/>
      <c r="Z192" s="387"/>
      <c r="AA192" s="387"/>
      <c r="AB192" s="387"/>
    </row>
    <row r="193">
      <c r="A193" s="365" t="s">
        <v>660</v>
      </c>
      <c r="B193" s="388" t="s">
        <v>1540</v>
      </c>
      <c r="C193" s="399">
        <v>41307.0</v>
      </c>
      <c r="D193" s="365" t="s">
        <v>2811</v>
      </c>
      <c r="E193" s="388" t="s">
        <v>2812</v>
      </c>
      <c r="F193" s="398">
        <v>0.04</v>
      </c>
      <c r="G193" s="388" t="s">
        <v>2813</v>
      </c>
      <c r="H193" s="388" t="s">
        <v>2814</v>
      </c>
      <c r="I193" s="388" t="s">
        <v>2815</v>
      </c>
      <c r="J193" s="388">
        <v>2.0</v>
      </c>
      <c r="K193" s="388" t="s">
        <v>2294</v>
      </c>
      <c r="L193" s="365" t="s">
        <v>2672</v>
      </c>
      <c r="M193" s="365" t="s">
        <v>2760</v>
      </c>
      <c r="N193" s="364"/>
      <c r="O193" s="364"/>
      <c r="P193" s="365" t="s">
        <v>2594</v>
      </c>
      <c r="Q193" s="365" t="s">
        <v>2594</v>
      </c>
      <c r="R193" s="387"/>
      <c r="S193" s="387"/>
      <c r="T193" s="387"/>
      <c r="U193" s="387"/>
      <c r="V193" s="387"/>
      <c r="W193" s="387"/>
      <c r="X193" s="387"/>
      <c r="Y193" s="387"/>
      <c r="Z193" s="387"/>
      <c r="AA193" s="387"/>
      <c r="AB193" s="387"/>
    </row>
    <row r="194">
      <c r="A194" s="365" t="s">
        <v>660</v>
      </c>
      <c r="B194" s="388" t="s">
        <v>1540</v>
      </c>
      <c r="C194" s="399">
        <v>41307.0</v>
      </c>
      <c r="D194" s="365" t="s">
        <v>2811</v>
      </c>
      <c r="E194" s="388" t="s">
        <v>2812</v>
      </c>
      <c r="F194" s="398">
        <v>0.04</v>
      </c>
      <c r="G194" s="388" t="s">
        <v>2813</v>
      </c>
      <c r="H194" s="388" t="s">
        <v>2814</v>
      </c>
      <c r="I194" s="388" t="s">
        <v>2815</v>
      </c>
      <c r="J194" s="388">
        <v>3.0</v>
      </c>
      <c r="K194" s="388" t="s">
        <v>2289</v>
      </c>
      <c r="L194" s="365" t="s">
        <v>2673</v>
      </c>
      <c r="M194" s="365" t="s">
        <v>2760</v>
      </c>
      <c r="N194" s="364"/>
      <c r="O194" s="364"/>
      <c r="P194" s="365" t="s">
        <v>2594</v>
      </c>
      <c r="Q194" s="365" t="s">
        <v>2594</v>
      </c>
      <c r="R194" s="387"/>
      <c r="S194" s="387"/>
      <c r="T194" s="387"/>
      <c r="U194" s="387"/>
      <c r="V194" s="387"/>
      <c r="W194" s="387"/>
      <c r="X194" s="387"/>
      <c r="Y194" s="387"/>
      <c r="Z194" s="387"/>
      <c r="AA194" s="387"/>
      <c r="AB194" s="387"/>
    </row>
    <row r="195">
      <c r="A195" s="365" t="s">
        <v>660</v>
      </c>
      <c r="B195" s="388" t="s">
        <v>1540</v>
      </c>
      <c r="C195" s="399">
        <v>41307.0</v>
      </c>
      <c r="D195" s="365" t="s">
        <v>2811</v>
      </c>
      <c r="E195" s="388" t="s">
        <v>2812</v>
      </c>
      <c r="F195" s="398">
        <v>0.04</v>
      </c>
      <c r="G195" s="388" t="s">
        <v>2813</v>
      </c>
      <c r="H195" s="388" t="s">
        <v>2814</v>
      </c>
      <c r="I195" s="388" t="s">
        <v>2815</v>
      </c>
      <c r="J195" s="388">
        <v>4.0</v>
      </c>
      <c r="K195" s="388" t="s">
        <v>2289</v>
      </c>
      <c r="L195" s="365" t="s">
        <v>2761</v>
      </c>
      <c r="M195" s="365" t="s">
        <v>2760</v>
      </c>
      <c r="N195" s="364"/>
      <c r="O195" s="364"/>
      <c r="P195" s="365" t="s">
        <v>2594</v>
      </c>
      <c r="Q195" s="365" t="s">
        <v>2594</v>
      </c>
      <c r="R195" s="387"/>
      <c r="S195" s="387"/>
      <c r="T195" s="387"/>
      <c r="U195" s="387"/>
      <c r="V195" s="387"/>
      <c r="W195" s="387"/>
      <c r="X195" s="387"/>
      <c r="Y195" s="387"/>
      <c r="Z195" s="387"/>
      <c r="AA195" s="387"/>
      <c r="AB195" s="387"/>
    </row>
    <row r="196">
      <c r="A196" s="365" t="s">
        <v>660</v>
      </c>
      <c r="B196" s="388" t="s">
        <v>1540</v>
      </c>
      <c r="C196" s="399">
        <v>41307.0</v>
      </c>
      <c r="D196" s="365" t="s">
        <v>2811</v>
      </c>
      <c r="E196" s="388" t="s">
        <v>2812</v>
      </c>
      <c r="F196" s="398">
        <v>0.04</v>
      </c>
      <c r="G196" s="388" t="s">
        <v>2813</v>
      </c>
      <c r="H196" s="388" t="s">
        <v>2814</v>
      </c>
      <c r="I196" s="388" t="s">
        <v>2815</v>
      </c>
      <c r="J196" s="388">
        <v>5.0</v>
      </c>
      <c r="K196" s="388" t="s">
        <v>2294</v>
      </c>
      <c r="L196" s="365" t="s">
        <v>2762</v>
      </c>
      <c r="M196" s="365" t="s">
        <v>2760</v>
      </c>
      <c r="N196" s="364"/>
      <c r="O196" s="364"/>
      <c r="P196" s="365" t="s">
        <v>2594</v>
      </c>
      <c r="Q196" s="365" t="s">
        <v>2594</v>
      </c>
      <c r="R196" s="387"/>
      <c r="S196" s="387"/>
      <c r="T196" s="387"/>
      <c r="U196" s="387"/>
      <c r="V196" s="387"/>
      <c r="W196" s="387"/>
      <c r="X196" s="387"/>
      <c r="Y196" s="387"/>
      <c r="Z196" s="387"/>
      <c r="AA196" s="387"/>
      <c r="AB196" s="387"/>
    </row>
    <row r="197">
      <c r="A197" s="365" t="s">
        <v>660</v>
      </c>
      <c r="B197" s="388" t="s">
        <v>1540</v>
      </c>
      <c r="C197" s="399">
        <v>41672.0</v>
      </c>
      <c r="D197" s="365" t="s">
        <v>2816</v>
      </c>
      <c r="E197" s="388" t="s">
        <v>2817</v>
      </c>
      <c r="F197" s="398">
        <v>0.04</v>
      </c>
      <c r="G197" s="388" t="s">
        <v>2818</v>
      </c>
      <c r="H197" s="388" t="s">
        <v>2819</v>
      </c>
      <c r="I197" s="388" t="s">
        <v>2820</v>
      </c>
      <c r="J197" s="388">
        <v>1.0</v>
      </c>
      <c r="K197" s="388" t="s">
        <v>2289</v>
      </c>
      <c r="L197" s="365" t="s">
        <v>2759</v>
      </c>
      <c r="M197" s="365" t="s">
        <v>2760</v>
      </c>
      <c r="N197" s="364"/>
      <c r="O197" s="364"/>
      <c r="P197" s="365" t="s">
        <v>2594</v>
      </c>
      <c r="Q197" s="365" t="s">
        <v>2594</v>
      </c>
      <c r="R197" s="387"/>
      <c r="S197" s="387"/>
      <c r="T197" s="387"/>
      <c r="U197" s="387"/>
      <c r="V197" s="387"/>
      <c r="W197" s="387"/>
      <c r="X197" s="387"/>
      <c r="Y197" s="387"/>
      <c r="Z197" s="387"/>
      <c r="AA197" s="387"/>
      <c r="AB197" s="387"/>
    </row>
    <row r="198">
      <c r="A198" s="365" t="s">
        <v>660</v>
      </c>
      <c r="B198" s="388" t="s">
        <v>1540</v>
      </c>
      <c r="C198" s="399">
        <v>41672.0</v>
      </c>
      <c r="D198" s="365" t="s">
        <v>2816</v>
      </c>
      <c r="E198" s="388" t="s">
        <v>2817</v>
      </c>
      <c r="F198" s="398">
        <v>0.04</v>
      </c>
      <c r="G198" s="388" t="s">
        <v>2818</v>
      </c>
      <c r="H198" s="388" t="s">
        <v>2819</v>
      </c>
      <c r="I198" s="388" t="s">
        <v>2820</v>
      </c>
      <c r="J198" s="388">
        <v>2.0</v>
      </c>
      <c r="K198" s="388" t="s">
        <v>2294</v>
      </c>
      <c r="L198" s="365" t="s">
        <v>2672</v>
      </c>
      <c r="M198" s="365" t="s">
        <v>2760</v>
      </c>
      <c r="N198" s="364"/>
      <c r="O198" s="364"/>
      <c r="P198" s="365" t="s">
        <v>2594</v>
      </c>
      <c r="Q198" s="365" t="s">
        <v>2594</v>
      </c>
      <c r="R198" s="387"/>
      <c r="S198" s="387"/>
      <c r="T198" s="387"/>
      <c r="U198" s="387"/>
      <c r="V198" s="387"/>
      <c r="W198" s="387"/>
      <c r="X198" s="387"/>
      <c r="Y198" s="387"/>
      <c r="Z198" s="387"/>
      <c r="AA198" s="387"/>
      <c r="AB198" s="387"/>
    </row>
    <row r="199">
      <c r="A199" s="365" t="s">
        <v>660</v>
      </c>
      <c r="B199" s="388" t="s">
        <v>1540</v>
      </c>
      <c r="C199" s="399">
        <v>41672.0</v>
      </c>
      <c r="D199" s="365" t="s">
        <v>2816</v>
      </c>
      <c r="E199" s="388" t="s">
        <v>2817</v>
      </c>
      <c r="F199" s="398">
        <v>0.04</v>
      </c>
      <c r="G199" s="388" t="s">
        <v>2818</v>
      </c>
      <c r="H199" s="388" t="s">
        <v>2819</v>
      </c>
      <c r="I199" s="388" t="s">
        <v>2820</v>
      </c>
      <c r="J199" s="388">
        <v>3.0</v>
      </c>
      <c r="K199" s="388" t="s">
        <v>2289</v>
      </c>
      <c r="L199" s="365" t="s">
        <v>2673</v>
      </c>
      <c r="M199" s="365" t="s">
        <v>2760</v>
      </c>
      <c r="N199" s="364"/>
      <c r="O199" s="364"/>
      <c r="P199" s="365" t="s">
        <v>2594</v>
      </c>
      <c r="Q199" s="365" t="s">
        <v>2594</v>
      </c>
      <c r="R199" s="387"/>
      <c r="S199" s="387"/>
      <c r="T199" s="387"/>
      <c r="U199" s="387"/>
      <c r="V199" s="387"/>
      <c r="W199" s="387"/>
      <c r="X199" s="387"/>
      <c r="Y199" s="387"/>
      <c r="Z199" s="387"/>
      <c r="AA199" s="387"/>
      <c r="AB199" s="387"/>
    </row>
    <row r="200">
      <c r="A200" s="365" t="s">
        <v>660</v>
      </c>
      <c r="B200" s="388" t="s">
        <v>1540</v>
      </c>
      <c r="C200" s="399">
        <v>41672.0</v>
      </c>
      <c r="D200" s="365" t="s">
        <v>2816</v>
      </c>
      <c r="E200" s="388" t="s">
        <v>2817</v>
      </c>
      <c r="F200" s="398">
        <v>0.04</v>
      </c>
      <c r="G200" s="388" t="s">
        <v>2818</v>
      </c>
      <c r="H200" s="388" t="s">
        <v>2819</v>
      </c>
      <c r="I200" s="388" t="s">
        <v>2820</v>
      </c>
      <c r="J200" s="388">
        <v>4.0</v>
      </c>
      <c r="K200" s="388" t="s">
        <v>2289</v>
      </c>
      <c r="L200" s="365" t="s">
        <v>2761</v>
      </c>
      <c r="M200" s="365" t="s">
        <v>2760</v>
      </c>
      <c r="N200" s="364"/>
      <c r="O200" s="364"/>
      <c r="P200" s="365" t="s">
        <v>2594</v>
      </c>
      <c r="Q200" s="365" t="s">
        <v>2594</v>
      </c>
      <c r="R200" s="387"/>
      <c r="S200" s="387"/>
      <c r="T200" s="387"/>
      <c r="U200" s="387"/>
      <c r="V200" s="387"/>
      <c r="W200" s="387"/>
      <c r="X200" s="387"/>
      <c r="Y200" s="387"/>
      <c r="Z200" s="387"/>
      <c r="AA200" s="387"/>
      <c r="AB200" s="387"/>
    </row>
    <row r="201">
      <c r="A201" s="365" t="s">
        <v>660</v>
      </c>
      <c r="B201" s="388" t="s">
        <v>1540</v>
      </c>
      <c r="C201" s="399">
        <v>41672.0</v>
      </c>
      <c r="D201" s="365" t="s">
        <v>2816</v>
      </c>
      <c r="E201" s="388" t="s">
        <v>2817</v>
      </c>
      <c r="F201" s="398">
        <v>0.04</v>
      </c>
      <c r="G201" s="388" t="s">
        <v>2818</v>
      </c>
      <c r="H201" s="388" t="s">
        <v>2819</v>
      </c>
      <c r="I201" s="388" t="s">
        <v>2820</v>
      </c>
      <c r="J201" s="388">
        <v>5.0</v>
      </c>
      <c r="K201" s="388" t="s">
        <v>2294</v>
      </c>
      <c r="L201" s="365" t="s">
        <v>2762</v>
      </c>
      <c r="M201" s="365" t="s">
        <v>2760</v>
      </c>
      <c r="N201" s="364"/>
      <c r="O201" s="364"/>
      <c r="P201" s="365" t="s">
        <v>2594</v>
      </c>
      <c r="Q201" s="365" t="s">
        <v>2594</v>
      </c>
      <c r="R201" s="387"/>
      <c r="S201" s="387"/>
      <c r="T201" s="387"/>
      <c r="U201" s="387"/>
      <c r="V201" s="387"/>
      <c r="W201" s="387"/>
      <c r="X201" s="387"/>
      <c r="Y201" s="387"/>
      <c r="Z201" s="387"/>
      <c r="AA201" s="387"/>
      <c r="AB201" s="387"/>
    </row>
    <row r="202">
      <c r="A202" s="365" t="s">
        <v>660</v>
      </c>
      <c r="B202" s="388" t="s">
        <v>1540</v>
      </c>
      <c r="C202" s="399">
        <v>42037.0</v>
      </c>
      <c r="D202" s="365" t="s">
        <v>2821</v>
      </c>
      <c r="E202" s="388" t="s">
        <v>2822</v>
      </c>
      <c r="F202" s="398">
        <v>0.04</v>
      </c>
      <c r="G202" s="388" t="s">
        <v>2823</v>
      </c>
      <c r="H202" s="388" t="s">
        <v>2824</v>
      </c>
      <c r="I202" s="388" t="s">
        <v>2825</v>
      </c>
      <c r="J202" s="388">
        <v>1.0</v>
      </c>
      <c r="K202" s="388" t="s">
        <v>2289</v>
      </c>
      <c r="L202" s="365" t="s">
        <v>2759</v>
      </c>
      <c r="M202" s="365" t="s">
        <v>2760</v>
      </c>
      <c r="N202" s="364"/>
      <c r="O202" s="364"/>
      <c r="P202" s="365" t="s">
        <v>2594</v>
      </c>
      <c r="Q202" s="365" t="s">
        <v>2594</v>
      </c>
      <c r="R202" s="387"/>
      <c r="S202" s="387"/>
      <c r="T202" s="387"/>
      <c r="U202" s="387"/>
      <c r="V202" s="387"/>
      <c r="W202" s="387"/>
      <c r="X202" s="387"/>
      <c r="Y202" s="387"/>
      <c r="Z202" s="387"/>
      <c r="AA202" s="387"/>
      <c r="AB202" s="387"/>
    </row>
    <row r="203">
      <c r="A203" s="365" t="s">
        <v>660</v>
      </c>
      <c r="B203" s="388" t="s">
        <v>1540</v>
      </c>
      <c r="C203" s="399">
        <v>42037.0</v>
      </c>
      <c r="D203" s="365" t="s">
        <v>2821</v>
      </c>
      <c r="E203" s="388" t="s">
        <v>2822</v>
      </c>
      <c r="F203" s="398">
        <v>0.04</v>
      </c>
      <c r="G203" s="388" t="s">
        <v>2823</v>
      </c>
      <c r="H203" s="388" t="s">
        <v>2824</v>
      </c>
      <c r="I203" s="388" t="s">
        <v>2825</v>
      </c>
      <c r="J203" s="388">
        <v>2.0</v>
      </c>
      <c r="K203" s="388" t="s">
        <v>2294</v>
      </c>
      <c r="L203" s="365" t="s">
        <v>2672</v>
      </c>
      <c r="M203" s="365" t="s">
        <v>2760</v>
      </c>
      <c r="N203" s="364"/>
      <c r="O203" s="364"/>
      <c r="P203" s="365" t="s">
        <v>2594</v>
      </c>
      <c r="Q203" s="365" t="s">
        <v>2594</v>
      </c>
      <c r="R203" s="387"/>
      <c r="S203" s="387"/>
      <c r="T203" s="387"/>
      <c r="U203" s="387"/>
      <c r="V203" s="387"/>
      <c r="W203" s="387"/>
      <c r="X203" s="387"/>
      <c r="Y203" s="387"/>
      <c r="Z203" s="387"/>
      <c r="AA203" s="387"/>
      <c r="AB203" s="387"/>
    </row>
    <row r="204">
      <c r="A204" s="365" t="s">
        <v>660</v>
      </c>
      <c r="B204" s="388" t="s">
        <v>1540</v>
      </c>
      <c r="C204" s="399">
        <v>42037.0</v>
      </c>
      <c r="D204" s="365" t="s">
        <v>2821</v>
      </c>
      <c r="E204" s="388" t="s">
        <v>2822</v>
      </c>
      <c r="F204" s="398">
        <v>0.04</v>
      </c>
      <c r="G204" s="388" t="s">
        <v>2823</v>
      </c>
      <c r="H204" s="388" t="s">
        <v>2824</v>
      </c>
      <c r="I204" s="388" t="s">
        <v>2825</v>
      </c>
      <c r="J204" s="388">
        <v>3.0</v>
      </c>
      <c r="K204" s="388" t="s">
        <v>2289</v>
      </c>
      <c r="L204" s="365" t="s">
        <v>2673</v>
      </c>
      <c r="M204" s="365" t="s">
        <v>2760</v>
      </c>
      <c r="N204" s="364"/>
      <c r="O204" s="364"/>
      <c r="P204" s="365" t="s">
        <v>2594</v>
      </c>
      <c r="Q204" s="365" t="s">
        <v>2594</v>
      </c>
      <c r="R204" s="387"/>
      <c r="S204" s="387"/>
      <c r="T204" s="387"/>
      <c r="U204" s="387"/>
      <c r="V204" s="387"/>
      <c r="W204" s="387"/>
      <c r="X204" s="387"/>
      <c r="Y204" s="387"/>
      <c r="Z204" s="387"/>
      <c r="AA204" s="387"/>
      <c r="AB204" s="387"/>
    </row>
    <row r="205">
      <c r="A205" s="365" t="s">
        <v>660</v>
      </c>
      <c r="B205" s="388" t="s">
        <v>1540</v>
      </c>
      <c r="C205" s="399">
        <v>42037.0</v>
      </c>
      <c r="D205" s="365" t="s">
        <v>2821</v>
      </c>
      <c r="E205" s="388" t="s">
        <v>2822</v>
      </c>
      <c r="F205" s="398">
        <v>0.04</v>
      </c>
      <c r="G205" s="388" t="s">
        <v>2823</v>
      </c>
      <c r="H205" s="388" t="s">
        <v>2824</v>
      </c>
      <c r="I205" s="388" t="s">
        <v>2825</v>
      </c>
      <c r="J205" s="388">
        <v>4.0</v>
      </c>
      <c r="K205" s="388" t="s">
        <v>2289</v>
      </c>
      <c r="L205" s="365" t="s">
        <v>2761</v>
      </c>
      <c r="M205" s="365" t="s">
        <v>2760</v>
      </c>
      <c r="N205" s="364"/>
      <c r="O205" s="364"/>
      <c r="P205" s="365" t="s">
        <v>2594</v>
      </c>
      <c r="Q205" s="365" t="s">
        <v>2594</v>
      </c>
      <c r="R205" s="387"/>
      <c r="S205" s="387"/>
      <c r="T205" s="387"/>
      <c r="U205" s="387"/>
      <c r="V205" s="387"/>
      <c r="W205" s="387"/>
      <c r="X205" s="387"/>
      <c r="Y205" s="387"/>
      <c r="Z205" s="387"/>
      <c r="AA205" s="387"/>
      <c r="AB205" s="387"/>
    </row>
    <row r="206">
      <c r="A206" s="365" t="s">
        <v>660</v>
      </c>
      <c r="B206" s="388" t="s">
        <v>1540</v>
      </c>
      <c r="C206" s="399">
        <v>42037.0</v>
      </c>
      <c r="D206" s="365" t="s">
        <v>2821</v>
      </c>
      <c r="E206" s="388" t="s">
        <v>2822</v>
      </c>
      <c r="F206" s="398">
        <v>0.04</v>
      </c>
      <c r="G206" s="388" t="s">
        <v>2823</v>
      </c>
      <c r="H206" s="388" t="s">
        <v>2824</v>
      </c>
      <c r="I206" s="388" t="s">
        <v>2825</v>
      </c>
      <c r="J206" s="388">
        <v>5.0</v>
      </c>
      <c r="K206" s="388" t="s">
        <v>2294</v>
      </c>
      <c r="L206" s="365" t="s">
        <v>2762</v>
      </c>
      <c r="M206" s="365" t="s">
        <v>2760</v>
      </c>
      <c r="N206" s="364"/>
      <c r="O206" s="364"/>
      <c r="P206" s="365" t="s">
        <v>2594</v>
      </c>
      <c r="Q206" s="365" t="s">
        <v>2594</v>
      </c>
      <c r="R206" s="387"/>
      <c r="S206" s="387"/>
      <c r="T206" s="387"/>
      <c r="U206" s="387"/>
      <c r="V206" s="387"/>
      <c r="W206" s="387"/>
      <c r="X206" s="387"/>
      <c r="Y206" s="387"/>
      <c r="Z206" s="387"/>
      <c r="AA206" s="387"/>
      <c r="AB206" s="387"/>
    </row>
    <row r="207">
      <c r="A207" s="365" t="s">
        <v>660</v>
      </c>
      <c r="B207" s="388" t="s">
        <v>1540</v>
      </c>
      <c r="C207" s="399">
        <v>42402.0</v>
      </c>
      <c r="D207" s="365" t="s">
        <v>2826</v>
      </c>
      <c r="E207" s="388" t="s">
        <v>2827</v>
      </c>
      <c r="F207" s="398">
        <v>0.02</v>
      </c>
      <c r="G207" s="388" t="s">
        <v>2828</v>
      </c>
      <c r="H207" s="388" t="s">
        <v>2829</v>
      </c>
      <c r="I207" s="388" t="s">
        <v>2830</v>
      </c>
      <c r="J207" s="388">
        <v>1.0</v>
      </c>
      <c r="K207" s="388" t="s">
        <v>2289</v>
      </c>
      <c r="L207" s="365" t="s">
        <v>2759</v>
      </c>
      <c r="M207" s="365" t="s">
        <v>2760</v>
      </c>
      <c r="N207" s="364"/>
      <c r="O207" s="364"/>
      <c r="P207" s="365" t="s">
        <v>2594</v>
      </c>
      <c r="Q207" s="365" t="s">
        <v>2594</v>
      </c>
      <c r="R207" s="387"/>
      <c r="S207" s="387"/>
      <c r="T207" s="387"/>
      <c r="U207" s="387"/>
      <c r="V207" s="387"/>
      <c r="W207" s="387"/>
      <c r="X207" s="387"/>
      <c r="Y207" s="387"/>
      <c r="Z207" s="387"/>
      <c r="AA207" s="387"/>
      <c r="AB207" s="387"/>
    </row>
    <row r="208">
      <c r="A208" s="365" t="s">
        <v>660</v>
      </c>
      <c r="B208" s="388" t="s">
        <v>1540</v>
      </c>
      <c r="C208" s="399">
        <v>42402.0</v>
      </c>
      <c r="D208" s="365" t="s">
        <v>2826</v>
      </c>
      <c r="E208" s="388" t="s">
        <v>2827</v>
      </c>
      <c r="F208" s="398">
        <v>0.02</v>
      </c>
      <c r="G208" s="388" t="s">
        <v>2828</v>
      </c>
      <c r="H208" s="388" t="s">
        <v>2829</v>
      </c>
      <c r="I208" s="388" t="s">
        <v>2830</v>
      </c>
      <c r="J208" s="388">
        <v>2.0</v>
      </c>
      <c r="K208" s="388" t="s">
        <v>2294</v>
      </c>
      <c r="L208" s="365" t="s">
        <v>2672</v>
      </c>
      <c r="M208" s="365" t="s">
        <v>2760</v>
      </c>
      <c r="N208" s="364"/>
      <c r="O208" s="364"/>
      <c r="P208" s="365" t="s">
        <v>2594</v>
      </c>
      <c r="Q208" s="365" t="s">
        <v>2594</v>
      </c>
      <c r="R208" s="387"/>
      <c r="S208" s="387"/>
      <c r="T208" s="387"/>
      <c r="U208" s="387"/>
      <c r="V208" s="387"/>
      <c r="W208" s="387"/>
      <c r="X208" s="387"/>
      <c r="Y208" s="387"/>
      <c r="Z208" s="387"/>
      <c r="AA208" s="387"/>
      <c r="AB208" s="387"/>
    </row>
    <row r="209">
      <c r="A209" s="365" t="s">
        <v>660</v>
      </c>
      <c r="B209" s="388" t="s">
        <v>1540</v>
      </c>
      <c r="C209" s="399">
        <v>42402.0</v>
      </c>
      <c r="D209" s="365" t="s">
        <v>2826</v>
      </c>
      <c r="E209" s="388" t="s">
        <v>2827</v>
      </c>
      <c r="F209" s="398">
        <v>0.02</v>
      </c>
      <c r="G209" s="388" t="s">
        <v>2828</v>
      </c>
      <c r="H209" s="388" t="s">
        <v>2829</v>
      </c>
      <c r="I209" s="388" t="s">
        <v>2830</v>
      </c>
      <c r="J209" s="388">
        <v>3.0</v>
      </c>
      <c r="K209" s="388" t="s">
        <v>2289</v>
      </c>
      <c r="L209" s="365" t="s">
        <v>2673</v>
      </c>
      <c r="M209" s="365" t="s">
        <v>2760</v>
      </c>
      <c r="N209" s="364"/>
      <c r="O209" s="364"/>
      <c r="P209" s="365" t="s">
        <v>2594</v>
      </c>
      <c r="Q209" s="365" t="s">
        <v>2594</v>
      </c>
      <c r="R209" s="387"/>
      <c r="S209" s="387"/>
      <c r="T209" s="387"/>
      <c r="U209" s="387"/>
      <c r="V209" s="387"/>
      <c r="W209" s="387"/>
      <c r="X209" s="387"/>
      <c r="Y209" s="387"/>
      <c r="Z209" s="387"/>
      <c r="AA209" s="387"/>
      <c r="AB209" s="387"/>
    </row>
    <row r="210">
      <c r="A210" s="365" t="s">
        <v>660</v>
      </c>
      <c r="B210" s="388" t="s">
        <v>1540</v>
      </c>
      <c r="C210" s="399">
        <v>42402.0</v>
      </c>
      <c r="D210" s="365" t="s">
        <v>2826</v>
      </c>
      <c r="E210" s="388" t="s">
        <v>2827</v>
      </c>
      <c r="F210" s="398">
        <v>0.02</v>
      </c>
      <c r="G210" s="388" t="s">
        <v>2828</v>
      </c>
      <c r="H210" s="388" t="s">
        <v>2829</v>
      </c>
      <c r="I210" s="388" t="s">
        <v>2830</v>
      </c>
      <c r="J210" s="388">
        <v>4.0</v>
      </c>
      <c r="K210" s="388" t="s">
        <v>2289</v>
      </c>
      <c r="L210" s="365" t="s">
        <v>2761</v>
      </c>
      <c r="M210" s="365" t="s">
        <v>2760</v>
      </c>
      <c r="N210" s="364"/>
      <c r="O210" s="364"/>
      <c r="P210" s="365" t="s">
        <v>2594</v>
      </c>
      <c r="Q210" s="365" t="s">
        <v>2594</v>
      </c>
      <c r="R210" s="387"/>
      <c r="S210" s="387"/>
      <c r="T210" s="387"/>
      <c r="U210" s="387"/>
      <c r="V210" s="387"/>
      <c r="W210" s="387"/>
      <c r="X210" s="387"/>
      <c r="Y210" s="387"/>
      <c r="Z210" s="387"/>
      <c r="AA210" s="387"/>
      <c r="AB210" s="387"/>
    </row>
    <row r="211">
      <c r="A211" s="365" t="s">
        <v>660</v>
      </c>
      <c r="B211" s="388" t="s">
        <v>1540</v>
      </c>
      <c r="C211" s="399">
        <v>42402.0</v>
      </c>
      <c r="D211" s="365" t="s">
        <v>2826</v>
      </c>
      <c r="E211" s="388" t="s">
        <v>2827</v>
      </c>
      <c r="F211" s="398">
        <v>0.02</v>
      </c>
      <c r="G211" s="388" t="s">
        <v>2828</v>
      </c>
      <c r="H211" s="388" t="s">
        <v>2829</v>
      </c>
      <c r="I211" s="388" t="s">
        <v>2830</v>
      </c>
      <c r="J211" s="388">
        <v>5.0</v>
      </c>
      <c r="K211" s="388" t="s">
        <v>2294</v>
      </c>
      <c r="L211" s="365" t="s">
        <v>2762</v>
      </c>
      <c r="M211" s="365" t="s">
        <v>2760</v>
      </c>
      <c r="N211" s="364"/>
      <c r="O211" s="364"/>
      <c r="P211" s="365" t="s">
        <v>2594</v>
      </c>
      <c r="Q211" s="365" t="s">
        <v>2594</v>
      </c>
      <c r="R211" s="387"/>
      <c r="S211" s="387"/>
      <c r="T211" s="387"/>
      <c r="U211" s="387"/>
      <c r="V211" s="387"/>
      <c r="W211" s="387"/>
      <c r="X211" s="387"/>
      <c r="Y211" s="387"/>
      <c r="Z211" s="387"/>
      <c r="AA211" s="387"/>
      <c r="AB211" s="387"/>
    </row>
    <row r="212">
      <c r="A212" s="365" t="s">
        <v>660</v>
      </c>
      <c r="B212" s="388" t="s">
        <v>1540</v>
      </c>
      <c r="C212" s="399">
        <v>42768.0</v>
      </c>
      <c r="D212" s="365" t="s">
        <v>2831</v>
      </c>
      <c r="E212" s="388" t="s">
        <v>2832</v>
      </c>
      <c r="F212" s="398">
        <v>0.02</v>
      </c>
      <c r="G212" s="388" t="s">
        <v>2833</v>
      </c>
      <c r="H212" s="388" t="s">
        <v>2834</v>
      </c>
      <c r="I212" s="388" t="s">
        <v>2835</v>
      </c>
      <c r="J212" s="388">
        <v>1.0</v>
      </c>
      <c r="K212" s="388" t="s">
        <v>2289</v>
      </c>
      <c r="L212" s="365" t="s">
        <v>2759</v>
      </c>
      <c r="M212" s="365" t="s">
        <v>2760</v>
      </c>
      <c r="N212" s="364"/>
      <c r="O212" s="364"/>
      <c r="P212" s="365" t="s">
        <v>2594</v>
      </c>
      <c r="Q212" s="365" t="s">
        <v>2594</v>
      </c>
      <c r="R212" s="387"/>
      <c r="S212" s="387"/>
      <c r="T212" s="387"/>
      <c r="U212" s="387"/>
      <c r="V212" s="387"/>
      <c r="W212" s="387"/>
      <c r="X212" s="387"/>
      <c r="Y212" s="387"/>
      <c r="Z212" s="387"/>
      <c r="AA212" s="387"/>
      <c r="AB212" s="387"/>
    </row>
    <row r="213">
      <c r="A213" s="365" t="s">
        <v>660</v>
      </c>
      <c r="B213" s="388" t="s">
        <v>1540</v>
      </c>
      <c r="C213" s="399">
        <v>42768.0</v>
      </c>
      <c r="D213" s="365" t="s">
        <v>2831</v>
      </c>
      <c r="E213" s="388" t="s">
        <v>2832</v>
      </c>
      <c r="F213" s="398">
        <v>0.02</v>
      </c>
      <c r="G213" s="388" t="s">
        <v>2833</v>
      </c>
      <c r="H213" s="388" t="s">
        <v>2834</v>
      </c>
      <c r="I213" s="388" t="s">
        <v>2835</v>
      </c>
      <c r="J213" s="388">
        <v>2.0</v>
      </c>
      <c r="K213" s="388" t="s">
        <v>2294</v>
      </c>
      <c r="L213" s="365" t="s">
        <v>2672</v>
      </c>
      <c r="M213" s="365" t="s">
        <v>2760</v>
      </c>
      <c r="N213" s="364"/>
      <c r="O213" s="364"/>
      <c r="P213" s="365" t="s">
        <v>2594</v>
      </c>
      <c r="Q213" s="365" t="s">
        <v>2594</v>
      </c>
      <c r="R213" s="387"/>
      <c r="S213" s="387"/>
      <c r="T213" s="387"/>
      <c r="U213" s="387"/>
      <c r="V213" s="387"/>
      <c r="W213" s="387"/>
      <c r="X213" s="387"/>
      <c r="Y213" s="387"/>
      <c r="Z213" s="387"/>
      <c r="AA213" s="387"/>
      <c r="AB213" s="387"/>
    </row>
    <row r="214">
      <c r="A214" s="365" t="s">
        <v>660</v>
      </c>
      <c r="B214" s="388" t="s">
        <v>1540</v>
      </c>
      <c r="C214" s="399">
        <v>42768.0</v>
      </c>
      <c r="D214" s="365" t="s">
        <v>2831</v>
      </c>
      <c r="E214" s="388" t="s">
        <v>2832</v>
      </c>
      <c r="F214" s="398">
        <v>0.02</v>
      </c>
      <c r="G214" s="388" t="s">
        <v>2833</v>
      </c>
      <c r="H214" s="388" t="s">
        <v>2834</v>
      </c>
      <c r="I214" s="388" t="s">
        <v>2835</v>
      </c>
      <c r="J214" s="388">
        <v>3.0</v>
      </c>
      <c r="K214" s="388" t="s">
        <v>2289</v>
      </c>
      <c r="L214" s="365" t="s">
        <v>2673</v>
      </c>
      <c r="M214" s="365" t="s">
        <v>2760</v>
      </c>
      <c r="N214" s="364"/>
      <c r="O214" s="364"/>
      <c r="P214" s="365" t="s">
        <v>2594</v>
      </c>
      <c r="Q214" s="365" t="s">
        <v>2594</v>
      </c>
      <c r="R214" s="387"/>
      <c r="S214" s="387"/>
      <c r="T214" s="387"/>
      <c r="U214" s="387"/>
      <c r="V214" s="387"/>
      <c r="W214" s="387"/>
      <c r="X214" s="387"/>
      <c r="Y214" s="387"/>
      <c r="Z214" s="387"/>
      <c r="AA214" s="387"/>
      <c r="AB214" s="387"/>
    </row>
    <row r="215">
      <c r="A215" s="365" t="s">
        <v>660</v>
      </c>
      <c r="B215" s="388" t="s">
        <v>1540</v>
      </c>
      <c r="C215" s="399">
        <v>42768.0</v>
      </c>
      <c r="D215" s="365" t="s">
        <v>2831</v>
      </c>
      <c r="E215" s="388" t="s">
        <v>2832</v>
      </c>
      <c r="F215" s="398">
        <v>0.02</v>
      </c>
      <c r="G215" s="388" t="s">
        <v>2833</v>
      </c>
      <c r="H215" s="388" t="s">
        <v>2834</v>
      </c>
      <c r="I215" s="388" t="s">
        <v>2835</v>
      </c>
      <c r="J215" s="388">
        <v>4.0</v>
      </c>
      <c r="K215" s="388" t="s">
        <v>2289</v>
      </c>
      <c r="L215" s="365" t="s">
        <v>2761</v>
      </c>
      <c r="M215" s="365" t="s">
        <v>2760</v>
      </c>
      <c r="N215" s="364"/>
      <c r="O215" s="364"/>
      <c r="P215" s="365" t="s">
        <v>2594</v>
      </c>
      <c r="Q215" s="365" t="s">
        <v>2594</v>
      </c>
      <c r="R215" s="387"/>
      <c r="S215" s="387"/>
      <c r="T215" s="387"/>
      <c r="U215" s="387"/>
      <c r="V215" s="387"/>
      <c r="W215" s="387"/>
      <c r="X215" s="387"/>
      <c r="Y215" s="387"/>
      <c r="Z215" s="387"/>
      <c r="AA215" s="387"/>
      <c r="AB215" s="387"/>
    </row>
    <row r="216">
      <c r="A216" s="365" t="s">
        <v>660</v>
      </c>
      <c r="B216" s="388" t="s">
        <v>1540</v>
      </c>
      <c r="C216" s="399">
        <v>42768.0</v>
      </c>
      <c r="D216" s="365" t="s">
        <v>2831</v>
      </c>
      <c r="E216" s="388" t="s">
        <v>2832</v>
      </c>
      <c r="F216" s="398">
        <v>0.02</v>
      </c>
      <c r="G216" s="388" t="s">
        <v>2833</v>
      </c>
      <c r="H216" s="388" t="s">
        <v>2834</v>
      </c>
      <c r="I216" s="388" t="s">
        <v>2835</v>
      </c>
      <c r="J216" s="388">
        <v>5.0</v>
      </c>
      <c r="K216" s="388" t="s">
        <v>2294</v>
      </c>
      <c r="L216" s="365" t="s">
        <v>2762</v>
      </c>
      <c r="M216" s="365" t="s">
        <v>2760</v>
      </c>
      <c r="N216" s="364"/>
      <c r="O216" s="364"/>
      <c r="P216" s="365" t="s">
        <v>2594</v>
      </c>
      <c r="Q216" s="365" t="s">
        <v>2594</v>
      </c>
      <c r="R216" s="387"/>
      <c r="S216" s="387"/>
      <c r="T216" s="387"/>
      <c r="U216" s="387"/>
      <c r="V216" s="387"/>
      <c r="W216" s="387"/>
      <c r="X216" s="387"/>
      <c r="Y216" s="387"/>
      <c r="Z216" s="387"/>
      <c r="AA216" s="387"/>
      <c r="AB216" s="387"/>
    </row>
    <row r="217">
      <c r="A217" s="365" t="s">
        <v>660</v>
      </c>
      <c r="B217" s="388" t="s">
        <v>1540</v>
      </c>
      <c r="C217" s="399">
        <v>43133.0</v>
      </c>
      <c r="D217" s="365" t="s">
        <v>2836</v>
      </c>
      <c r="E217" s="388" t="s">
        <v>2837</v>
      </c>
      <c r="F217" s="398">
        <v>0.02</v>
      </c>
      <c r="G217" s="388" t="s">
        <v>2838</v>
      </c>
      <c r="H217" s="388" t="s">
        <v>2839</v>
      </c>
      <c r="I217" s="388" t="s">
        <v>2840</v>
      </c>
      <c r="J217" s="388">
        <v>1.0</v>
      </c>
      <c r="K217" s="388" t="s">
        <v>2289</v>
      </c>
      <c r="L217" s="365" t="s">
        <v>2759</v>
      </c>
      <c r="M217" s="365" t="s">
        <v>2760</v>
      </c>
      <c r="N217" s="364"/>
      <c r="O217" s="364"/>
      <c r="P217" s="365" t="s">
        <v>2594</v>
      </c>
      <c r="Q217" s="365" t="s">
        <v>2594</v>
      </c>
      <c r="R217" s="387"/>
      <c r="S217" s="387"/>
      <c r="T217" s="387"/>
      <c r="U217" s="387"/>
      <c r="V217" s="387"/>
      <c r="W217" s="387"/>
      <c r="X217" s="387"/>
      <c r="Y217" s="387"/>
      <c r="Z217" s="387"/>
      <c r="AA217" s="387"/>
      <c r="AB217" s="387"/>
    </row>
    <row r="218">
      <c r="A218" s="365" t="s">
        <v>660</v>
      </c>
      <c r="B218" s="388" t="s">
        <v>1540</v>
      </c>
      <c r="C218" s="399">
        <v>43133.0</v>
      </c>
      <c r="D218" s="365" t="s">
        <v>2836</v>
      </c>
      <c r="E218" s="388" t="s">
        <v>2837</v>
      </c>
      <c r="F218" s="398">
        <v>0.02</v>
      </c>
      <c r="G218" s="388" t="s">
        <v>2838</v>
      </c>
      <c r="H218" s="388" t="s">
        <v>2839</v>
      </c>
      <c r="I218" s="388" t="s">
        <v>2840</v>
      </c>
      <c r="J218" s="388">
        <v>2.0</v>
      </c>
      <c r="K218" s="388" t="s">
        <v>2294</v>
      </c>
      <c r="L218" s="365" t="s">
        <v>2672</v>
      </c>
      <c r="M218" s="365" t="s">
        <v>2760</v>
      </c>
      <c r="N218" s="364"/>
      <c r="O218" s="364"/>
      <c r="P218" s="365" t="s">
        <v>2594</v>
      </c>
      <c r="Q218" s="365" t="s">
        <v>2594</v>
      </c>
      <c r="R218" s="387"/>
      <c r="S218" s="387"/>
      <c r="T218" s="387"/>
      <c r="U218" s="387"/>
      <c r="V218" s="387"/>
      <c r="W218" s="387"/>
      <c r="X218" s="387"/>
      <c r="Y218" s="387"/>
      <c r="Z218" s="387"/>
      <c r="AA218" s="387"/>
      <c r="AB218" s="387"/>
    </row>
    <row r="219">
      <c r="A219" s="365" t="s">
        <v>660</v>
      </c>
      <c r="B219" s="388" t="s">
        <v>1540</v>
      </c>
      <c r="C219" s="399">
        <v>43133.0</v>
      </c>
      <c r="D219" s="365" t="s">
        <v>2836</v>
      </c>
      <c r="E219" s="388" t="s">
        <v>2837</v>
      </c>
      <c r="F219" s="398">
        <v>0.02</v>
      </c>
      <c r="G219" s="388" t="s">
        <v>2838</v>
      </c>
      <c r="H219" s="388" t="s">
        <v>2839</v>
      </c>
      <c r="I219" s="388" t="s">
        <v>2840</v>
      </c>
      <c r="J219" s="388">
        <v>3.0</v>
      </c>
      <c r="K219" s="388" t="s">
        <v>2289</v>
      </c>
      <c r="L219" s="365" t="s">
        <v>2673</v>
      </c>
      <c r="M219" s="365" t="s">
        <v>2760</v>
      </c>
      <c r="N219" s="364"/>
      <c r="O219" s="364"/>
      <c r="P219" s="365" t="s">
        <v>2594</v>
      </c>
      <c r="Q219" s="365" t="s">
        <v>2594</v>
      </c>
      <c r="R219" s="387"/>
      <c r="S219" s="387"/>
      <c r="T219" s="387"/>
      <c r="U219" s="387"/>
      <c r="V219" s="387"/>
      <c r="W219" s="387"/>
      <c r="X219" s="387"/>
      <c r="Y219" s="387"/>
      <c r="Z219" s="387"/>
      <c r="AA219" s="387"/>
      <c r="AB219" s="387"/>
    </row>
    <row r="220">
      <c r="A220" s="365" t="s">
        <v>660</v>
      </c>
      <c r="B220" s="388" t="s">
        <v>1540</v>
      </c>
      <c r="C220" s="399">
        <v>43133.0</v>
      </c>
      <c r="D220" s="365" t="s">
        <v>2836</v>
      </c>
      <c r="E220" s="388" t="s">
        <v>2837</v>
      </c>
      <c r="F220" s="398">
        <v>0.02</v>
      </c>
      <c r="G220" s="388" t="s">
        <v>2838</v>
      </c>
      <c r="H220" s="388" t="s">
        <v>2839</v>
      </c>
      <c r="I220" s="388" t="s">
        <v>2840</v>
      </c>
      <c r="J220" s="388">
        <v>4.0</v>
      </c>
      <c r="K220" s="388" t="s">
        <v>2289</v>
      </c>
      <c r="L220" s="365" t="s">
        <v>2761</v>
      </c>
      <c r="M220" s="365" t="s">
        <v>2760</v>
      </c>
      <c r="N220" s="364"/>
      <c r="O220" s="364"/>
      <c r="P220" s="365" t="s">
        <v>2594</v>
      </c>
      <c r="Q220" s="365" t="s">
        <v>2594</v>
      </c>
      <c r="R220" s="387"/>
      <c r="S220" s="387"/>
      <c r="T220" s="387"/>
      <c r="U220" s="387"/>
      <c r="V220" s="387"/>
      <c r="W220" s="387"/>
      <c r="X220" s="387"/>
      <c r="Y220" s="387"/>
      <c r="Z220" s="387"/>
      <c r="AA220" s="387"/>
      <c r="AB220" s="387"/>
    </row>
    <row r="221">
      <c r="A221" s="365" t="s">
        <v>660</v>
      </c>
      <c r="B221" s="388" t="s">
        <v>1540</v>
      </c>
      <c r="C221" s="399">
        <v>43133.0</v>
      </c>
      <c r="D221" s="365" t="s">
        <v>2836</v>
      </c>
      <c r="E221" s="388" t="s">
        <v>2837</v>
      </c>
      <c r="F221" s="398">
        <v>0.02</v>
      </c>
      <c r="G221" s="388" t="s">
        <v>2838</v>
      </c>
      <c r="H221" s="388" t="s">
        <v>2839</v>
      </c>
      <c r="I221" s="388" t="s">
        <v>2840</v>
      </c>
      <c r="J221" s="388">
        <v>5.0</v>
      </c>
      <c r="K221" s="388" t="s">
        <v>2294</v>
      </c>
      <c r="L221" s="365" t="s">
        <v>2762</v>
      </c>
      <c r="M221" s="365" t="s">
        <v>2760</v>
      </c>
      <c r="N221" s="364"/>
      <c r="O221" s="364"/>
      <c r="P221" s="365" t="s">
        <v>2594</v>
      </c>
      <c r="Q221" s="365" t="s">
        <v>2594</v>
      </c>
      <c r="R221" s="387"/>
      <c r="S221" s="387"/>
      <c r="T221" s="387"/>
      <c r="U221" s="387"/>
      <c r="V221" s="387"/>
      <c r="W221" s="387"/>
      <c r="X221" s="387"/>
      <c r="Y221" s="387"/>
      <c r="Z221" s="387"/>
      <c r="AA221" s="387"/>
      <c r="AB221" s="387"/>
    </row>
    <row r="222">
      <c r="A222" s="365" t="s">
        <v>660</v>
      </c>
      <c r="B222" s="388" t="s">
        <v>1540</v>
      </c>
      <c r="C222" s="399">
        <v>43498.0</v>
      </c>
      <c r="D222" s="365" t="s">
        <v>2841</v>
      </c>
      <c r="E222" s="388" t="s">
        <v>2842</v>
      </c>
      <c r="F222" s="398">
        <v>0.02</v>
      </c>
      <c r="G222" s="388" t="s">
        <v>2843</v>
      </c>
      <c r="H222" s="388" t="s">
        <v>2844</v>
      </c>
      <c r="I222" s="388" t="s">
        <v>2845</v>
      </c>
      <c r="J222" s="388">
        <v>1.0</v>
      </c>
      <c r="K222" s="388" t="s">
        <v>2289</v>
      </c>
      <c r="L222" s="365" t="s">
        <v>2759</v>
      </c>
      <c r="M222" s="365" t="s">
        <v>2760</v>
      </c>
      <c r="N222" s="364"/>
      <c r="O222" s="364"/>
      <c r="P222" s="365" t="s">
        <v>2594</v>
      </c>
      <c r="Q222" s="365" t="s">
        <v>2594</v>
      </c>
      <c r="R222" s="387"/>
      <c r="S222" s="387"/>
      <c r="T222" s="387"/>
      <c r="U222" s="387"/>
      <c r="V222" s="387"/>
      <c r="W222" s="387"/>
      <c r="X222" s="387"/>
      <c r="Y222" s="387"/>
      <c r="Z222" s="387"/>
      <c r="AA222" s="387"/>
      <c r="AB222" s="387"/>
    </row>
    <row r="223">
      <c r="A223" s="365" t="s">
        <v>660</v>
      </c>
      <c r="B223" s="388" t="s">
        <v>1540</v>
      </c>
      <c r="C223" s="399">
        <v>43498.0</v>
      </c>
      <c r="D223" s="365" t="s">
        <v>2841</v>
      </c>
      <c r="E223" s="388" t="s">
        <v>2842</v>
      </c>
      <c r="F223" s="398">
        <v>0.02</v>
      </c>
      <c r="G223" s="388" t="s">
        <v>2843</v>
      </c>
      <c r="H223" s="388" t="s">
        <v>2844</v>
      </c>
      <c r="I223" s="388" t="s">
        <v>2845</v>
      </c>
      <c r="J223" s="388">
        <v>2.0</v>
      </c>
      <c r="K223" s="388" t="s">
        <v>2294</v>
      </c>
      <c r="L223" s="365" t="s">
        <v>2672</v>
      </c>
      <c r="M223" s="365" t="s">
        <v>2760</v>
      </c>
      <c r="N223" s="364"/>
      <c r="O223" s="364"/>
      <c r="P223" s="365" t="s">
        <v>2594</v>
      </c>
      <c r="Q223" s="365" t="s">
        <v>2594</v>
      </c>
      <c r="R223" s="387"/>
      <c r="S223" s="387"/>
      <c r="T223" s="387"/>
      <c r="U223" s="387"/>
      <c r="V223" s="387"/>
      <c r="W223" s="387"/>
      <c r="X223" s="387"/>
      <c r="Y223" s="387"/>
      <c r="Z223" s="387"/>
      <c r="AA223" s="387"/>
      <c r="AB223" s="387"/>
    </row>
    <row r="224">
      <c r="A224" s="365" t="s">
        <v>660</v>
      </c>
      <c r="B224" s="388" t="s">
        <v>1540</v>
      </c>
      <c r="C224" s="399">
        <v>43498.0</v>
      </c>
      <c r="D224" s="365" t="s">
        <v>2841</v>
      </c>
      <c r="E224" s="388" t="s">
        <v>2842</v>
      </c>
      <c r="F224" s="398">
        <v>0.02</v>
      </c>
      <c r="G224" s="388" t="s">
        <v>2843</v>
      </c>
      <c r="H224" s="388" t="s">
        <v>2844</v>
      </c>
      <c r="I224" s="388" t="s">
        <v>2845</v>
      </c>
      <c r="J224" s="388">
        <v>3.0</v>
      </c>
      <c r="K224" s="388" t="s">
        <v>2289</v>
      </c>
      <c r="L224" s="365" t="s">
        <v>2673</v>
      </c>
      <c r="M224" s="365" t="s">
        <v>2760</v>
      </c>
      <c r="N224" s="364"/>
      <c r="O224" s="364"/>
      <c r="P224" s="365" t="s">
        <v>2594</v>
      </c>
      <c r="Q224" s="365" t="s">
        <v>2594</v>
      </c>
      <c r="R224" s="387"/>
      <c r="S224" s="387"/>
      <c r="T224" s="387"/>
      <c r="U224" s="387"/>
      <c r="V224" s="387"/>
      <c r="W224" s="387"/>
      <c r="X224" s="387"/>
      <c r="Y224" s="387"/>
      <c r="Z224" s="387"/>
      <c r="AA224" s="387"/>
      <c r="AB224" s="387"/>
    </row>
    <row r="225">
      <c r="A225" s="365" t="s">
        <v>660</v>
      </c>
      <c r="B225" s="388" t="s">
        <v>1540</v>
      </c>
      <c r="C225" s="399">
        <v>43498.0</v>
      </c>
      <c r="D225" s="365" t="s">
        <v>2841</v>
      </c>
      <c r="E225" s="388" t="s">
        <v>2842</v>
      </c>
      <c r="F225" s="398">
        <v>0.02</v>
      </c>
      <c r="G225" s="388" t="s">
        <v>2843</v>
      </c>
      <c r="H225" s="388" t="s">
        <v>2844</v>
      </c>
      <c r="I225" s="388" t="s">
        <v>2845</v>
      </c>
      <c r="J225" s="388">
        <v>4.0</v>
      </c>
      <c r="K225" s="388" t="s">
        <v>2289</v>
      </c>
      <c r="L225" s="365" t="s">
        <v>2761</v>
      </c>
      <c r="M225" s="365" t="s">
        <v>2760</v>
      </c>
      <c r="N225" s="364"/>
      <c r="O225" s="364"/>
      <c r="P225" s="365" t="s">
        <v>2594</v>
      </c>
      <c r="Q225" s="365" t="s">
        <v>2594</v>
      </c>
      <c r="R225" s="387"/>
      <c r="S225" s="387"/>
      <c r="T225" s="387"/>
      <c r="U225" s="387"/>
      <c r="V225" s="387"/>
      <c r="W225" s="387"/>
      <c r="X225" s="387"/>
      <c r="Y225" s="387"/>
      <c r="Z225" s="387"/>
      <c r="AA225" s="387"/>
      <c r="AB225" s="387"/>
    </row>
    <row r="226">
      <c r="A226" s="365" t="s">
        <v>660</v>
      </c>
      <c r="B226" s="388" t="s">
        <v>1540</v>
      </c>
      <c r="C226" s="399">
        <v>43498.0</v>
      </c>
      <c r="D226" s="365" t="s">
        <v>2841</v>
      </c>
      <c r="E226" s="388" t="s">
        <v>2842</v>
      </c>
      <c r="F226" s="398">
        <v>0.02</v>
      </c>
      <c r="G226" s="388" t="s">
        <v>2843</v>
      </c>
      <c r="H226" s="388" t="s">
        <v>2844</v>
      </c>
      <c r="I226" s="388" t="s">
        <v>2845</v>
      </c>
      <c r="J226" s="388">
        <v>5.0</v>
      </c>
      <c r="K226" s="388" t="s">
        <v>2294</v>
      </c>
      <c r="L226" s="365" t="s">
        <v>2762</v>
      </c>
      <c r="M226" s="365" t="s">
        <v>2760</v>
      </c>
      <c r="N226" s="364"/>
      <c r="O226" s="364"/>
      <c r="P226" s="365" t="s">
        <v>2594</v>
      </c>
      <c r="Q226" s="365" t="s">
        <v>2594</v>
      </c>
      <c r="R226" s="387"/>
      <c r="S226" s="387"/>
      <c r="T226" s="387"/>
      <c r="U226" s="387"/>
      <c r="V226" s="387"/>
      <c r="W226" s="387"/>
      <c r="X226" s="387"/>
      <c r="Y226" s="387"/>
      <c r="Z226" s="387"/>
      <c r="AA226" s="387"/>
      <c r="AB226" s="387"/>
    </row>
    <row r="227">
      <c r="A227" s="365" t="s">
        <v>660</v>
      </c>
      <c r="B227" s="388" t="s">
        <v>1540</v>
      </c>
      <c r="C227" s="399">
        <v>43863.0</v>
      </c>
      <c r="D227" s="365" t="s">
        <v>2846</v>
      </c>
      <c r="E227" s="388" t="s">
        <v>2847</v>
      </c>
      <c r="F227" s="398">
        <v>0.02</v>
      </c>
      <c r="G227" s="388" t="s">
        <v>2848</v>
      </c>
      <c r="H227" s="388" t="s">
        <v>2849</v>
      </c>
      <c r="I227" s="388" t="s">
        <v>2850</v>
      </c>
      <c r="J227" s="388">
        <v>1.0</v>
      </c>
      <c r="K227" s="388" t="s">
        <v>2289</v>
      </c>
      <c r="L227" s="365" t="s">
        <v>2759</v>
      </c>
      <c r="M227" s="365" t="s">
        <v>2760</v>
      </c>
      <c r="N227" s="364"/>
      <c r="O227" s="364"/>
      <c r="P227" s="365" t="s">
        <v>2594</v>
      </c>
      <c r="Q227" s="365" t="s">
        <v>2594</v>
      </c>
      <c r="R227" s="387"/>
      <c r="S227" s="387"/>
      <c r="T227" s="387"/>
      <c r="U227" s="387"/>
      <c r="V227" s="387"/>
      <c r="W227" s="387"/>
      <c r="X227" s="387"/>
      <c r="Y227" s="387"/>
      <c r="Z227" s="387"/>
      <c r="AA227" s="387"/>
      <c r="AB227" s="387"/>
    </row>
    <row r="228">
      <c r="A228" s="365" t="s">
        <v>660</v>
      </c>
      <c r="B228" s="388" t="s">
        <v>1540</v>
      </c>
      <c r="C228" s="399">
        <v>43863.0</v>
      </c>
      <c r="D228" s="365" t="s">
        <v>2846</v>
      </c>
      <c r="E228" s="388" t="s">
        <v>2847</v>
      </c>
      <c r="F228" s="398">
        <v>0.02</v>
      </c>
      <c r="G228" s="388" t="s">
        <v>2848</v>
      </c>
      <c r="H228" s="388" t="s">
        <v>2849</v>
      </c>
      <c r="I228" s="388" t="s">
        <v>2850</v>
      </c>
      <c r="J228" s="388">
        <v>2.0</v>
      </c>
      <c r="K228" s="388" t="s">
        <v>2294</v>
      </c>
      <c r="L228" s="365" t="s">
        <v>2672</v>
      </c>
      <c r="M228" s="365" t="s">
        <v>2760</v>
      </c>
      <c r="N228" s="364"/>
      <c r="O228" s="364"/>
      <c r="P228" s="365" t="s">
        <v>2594</v>
      </c>
      <c r="Q228" s="365" t="s">
        <v>2594</v>
      </c>
      <c r="R228" s="387"/>
      <c r="S228" s="387"/>
      <c r="T228" s="387"/>
      <c r="U228" s="387"/>
      <c r="V228" s="387"/>
      <c r="W228" s="387"/>
      <c r="X228" s="387"/>
      <c r="Y228" s="387"/>
      <c r="Z228" s="387"/>
      <c r="AA228" s="387"/>
      <c r="AB228" s="387"/>
    </row>
    <row r="229">
      <c r="A229" s="365" t="s">
        <v>660</v>
      </c>
      <c r="B229" s="388" t="s">
        <v>1540</v>
      </c>
      <c r="C229" s="399">
        <v>43863.0</v>
      </c>
      <c r="D229" s="365" t="s">
        <v>2846</v>
      </c>
      <c r="E229" s="388" t="s">
        <v>2847</v>
      </c>
      <c r="F229" s="398">
        <v>0.02</v>
      </c>
      <c r="G229" s="388" t="s">
        <v>2848</v>
      </c>
      <c r="H229" s="388" t="s">
        <v>2849</v>
      </c>
      <c r="I229" s="388" t="s">
        <v>2850</v>
      </c>
      <c r="J229" s="388">
        <v>3.0</v>
      </c>
      <c r="K229" s="388" t="s">
        <v>2289</v>
      </c>
      <c r="L229" s="365" t="s">
        <v>2673</v>
      </c>
      <c r="M229" s="365" t="s">
        <v>2760</v>
      </c>
      <c r="N229" s="364"/>
      <c r="O229" s="364"/>
      <c r="P229" s="365" t="s">
        <v>2594</v>
      </c>
      <c r="Q229" s="365" t="s">
        <v>2594</v>
      </c>
      <c r="R229" s="387"/>
      <c r="S229" s="387"/>
      <c r="T229" s="387"/>
      <c r="U229" s="387"/>
      <c r="V229" s="387"/>
      <c r="W229" s="387"/>
      <c r="X229" s="387"/>
      <c r="Y229" s="387"/>
      <c r="Z229" s="387"/>
      <c r="AA229" s="387"/>
      <c r="AB229" s="387"/>
    </row>
    <row r="230">
      <c r="A230" s="365" t="s">
        <v>660</v>
      </c>
      <c r="B230" s="388" t="s">
        <v>1540</v>
      </c>
      <c r="C230" s="399">
        <v>43863.0</v>
      </c>
      <c r="D230" s="365" t="s">
        <v>2846</v>
      </c>
      <c r="E230" s="388" t="s">
        <v>2847</v>
      </c>
      <c r="F230" s="398">
        <v>0.02</v>
      </c>
      <c r="G230" s="388" t="s">
        <v>2848</v>
      </c>
      <c r="H230" s="388" t="s">
        <v>2849</v>
      </c>
      <c r="I230" s="388" t="s">
        <v>2850</v>
      </c>
      <c r="J230" s="388">
        <v>4.0</v>
      </c>
      <c r="K230" s="388" t="s">
        <v>2289</v>
      </c>
      <c r="L230" s="365" t="s">
        <v>2761</v>
      </c>
      <c r="M230" s="365" t="s">
        <v>2760</v>
      </c>
      <c r="N230" s="364"/>
      <c r="O230" s="364"/>
      <c r="P230" s="365" t="s">
        <v>2594</v>
      </c>
      <c r="Q230" s="365" t="s">
        <v>2594</v>
      </c>
      <c r="R230" s="387"/>
      <c r="S230" s="387"/>
      <c r="T230" s="387"/>
      <c r="U230" s="387"/>
      <c r="V230" s="387"/>
      <c r="W230" s="387"/>
      <c r="X230" s="387"/>
      <c r="Y230" s="387"/>
      <c r="Z230" s="387"/>
      <c r="AA230" s="387"/>
      <c r="AB230" s="387"/>
    </row>
    <row r="231">
      <c r="A231" s="365" t="s">
        <v>660</v>
      </c>
      <c r="B231" s="388" t="s">
        <v>1540</v>
      </c>
      <c r="C231" s="399">
        <v>43863.0</v>
      </c>
      <c r="D231" s="365" t="s">
        <v>2846</v>
      </c>
      <c r="E231" s="388" t="s">
        <v>2847</v>
      </c>
      <c r="F231" s="398">
        <v>0.02</v>
      </c>
      <c r="G231" s="388" t="s">
        <v>2848</v>
      </c>
      <c r="H231" s="388" t="s">
        <v>2849</v>
      </c>
      <c r="I231" s="388" t="s">
        <v>2850</v>
      </c>
      <c r="J231" s="388">
        <v>5.0</v>
      </c>
      <c r="K231" s="388" t="s">
        <v>2294</v>
      </c>
      <c r="L231" s="365" t="s">
        <v>2762</v>
      </c>
      <c r="M231" s="365" t="s">
        <v>2760</v>
      </c>
      <c r="N231" s="364"/>
      <c r="O231" s="364"/>
      <c r="P231" s="365" t="s">
        <v>2594</v>
      </c>
      <c r="Q231" s="365" t="s">
        <v>2594</v>
      </c>
      <c r="R231" s="387"/>
      <c r="S231" s="387"/>
      <c r="T231" s="387"/>
      <c r="U231" s="387"/>
      <c r="V231" s="387"/>
      <c r="W231" s="387"/>
      <c r="X231" s="387"/>
      <c r="Y231" s="387"/>
      <c r="Z231" s="387"/>
      <c r="AA231" s="387"/>
      <c r="AB231" s="387"/>
    </row>
    <row r="232">
      <c r="A232" s="391" t="s">
        <v>127</v>
      </c>
      <c r="B232" s="392" t="s">
        <v>128</v>
      </c>
      <c r="C232" s="400">
        <v>45660.0</v>
      </c>
      <c r="D232" s="391" t="s">
        <v>2851</v>
      </c>
      <c r="E232" s="392" t="s">
        <v>2852</v>
      </c>
      <c r="F232" s="392" t="s">
        <v>2853</v>
      </c>
      <c r="G232" s="392" t="s">
        <v>2854</v>
      </c>
      <c r="H232" s="392" t="s">
        <v>2855</v>
      </c>
      <c r="I232" s="392" t="s">
        <v>2856</v>
      </c>
      <c r="J232" s="392">
        <v>1.0</v>
      </c>
      <c r="K232" s="392" t="s">
        <v>2289</v>
      </c>
      <c r="L232" s="391" t="s">
        <v>2857</v>
      </c>
      <c r="M232" s="391" t="s">
        <v>2858</v>
      </c>
      <c r="N232" s="364"/>
      <c r="O232" s="364"/>
      <c r="P232" s="365" t="s">
        <v>2594</v>
      </c>
      <c r="Q232" s="365" t="s">
        <v>2594</v>
      </c>
      <c r="R232" s="395"/>
      <c r="S232" s="395"/>
      <c r="T232" s="395"/>
      <c r="U232" s="395"/>
      <c r="V232" s="395"/>
      <c r="W232" s="395"/>
      <c r="X232" s="395"/>
      <c r="Y232" s="395"/>
      <c r="Z232" s="395"/>
      <c r="AA232" s="395"/>
      <c r="AB232" s="395"/>
    </row>
    <row r="233">
      <c r="A233" s="391" t="s">
        <v>127</v>
      </c>
      <c r="B233" s="392" t="s">
        <v>128</v>
      </c>
      <c r="C233" s="400">
        <v>45660.0</v>
      </c>
      <c r="D233" s="391" t="s">
        <v>2851</v>
      </c>
      <c r="E233" s="392" t="s">
        <v>2852</v>
      </c>
      <c r="F233" s="392" t="s">
        <v>2853</v>
      </c>
      <c r="G233" s="392" t="s">
        <v>2854</v>
      </c>
      <c r="H233" s="392" t="s">
        <v>2855</v>
      </c>
      <c r="I233" s="392" t="s">
        <v>2856</v>
      </c>
      <c r="J233" s="392">
        <v>2.0</v>
      </c>
      <c r="K233" s="392" t="s">
        <v>2294</v>
      </c>
      <c r="L233" s="391" t="s">
        <v>2859</v>
      </c>
      <c r="M233" s="391" t="s">
        <v>2858</v>
      </c>
      <c r="N233" s="364"/>
      <c r="O233" s="364"/>
      <c r="P233" s="365" t="s">
        <v>2594</v>
      </c>
      <c r="Q233" s="365" t="s">
        <v>2594</v>
      </c>
      <c r="R233" s="395"/>
      <c r="S233" s="395"/>
      <c r="T233" s="395"/>
      <c r="U233" s="395"/>
      <c r="V233" s="395"/>
      <c r="W233" s="395"/>
      <c r="X233" s="395"/>
      <c r="Y233" s="395"/>
      <c r="Z233" s="395"/>
      <c r="AA233" s="395"/>
      <c r="AB233" s="395"/>
    </row>
    <row r="234">
      <c r="A234" s="391" t="s">
        <v>127</v>
      </c>
      <c r="B234" s="392" t="s">
        <v>128</v>
      </c>
      <c r="C234" s="400">
        <v>45660.0</v>
      </c>
      <c r="D234" s="391" t="s">
        <v>2851</v>
      </c>
      <c r="E234" s="392" t="s">
        <v>2852</v>
      </c>
      <c r="F234" s="392" t="s">
        <v>2853</v>
      </c>
      <c r="G234" s="392" t="s">
        <v>2854</v>
      </c>
      <c r="H234" s="392" t="s">
        <v>2855</v>
      </c>
      <c r="I234" s="392" t="s">
        <v>2856</v>
      </c>
      <c r="J234" s="392">
        <v>3.0</v>
      </c>
      <c r="K234" s="392" t="s">
        <v>2289</v>
      </c>
      <c r="L234" s="391" t="s">
        <v>2860</v>
      </c>
      <c r="M234" s="391" t="s">
        <v>2858</v>
      </c>
      <c r="N234" s="364"/>
      <c r="O234" s="364"/>
      <c r="P234" s="365" t="s">
        <v>2594</v>
      </c>
      <c r="Q234" s="365" t="s">
        <v>2594</v>
      </c>
      <c r="R234" s="395"/>
      <c r="S234" s="395"/>
      <c r="T234" s="395"/>
      <c r="U234" s="395"/>
      <c r="V234" s="395"/>
      <c r="W234" s="395"/>
      <c r="X234" s="395"/>
      <c r="Y234" s="395"/>
      <c r="Z234" s="395"/>
      <c r="AA234" s="395"/>
      <c r="AB234" s="395"/>
    </row>
    <row r="235">
      <c r="A235" s="391" t="s">
        <v>127</v>
      </c>
      <c r="B235" s="392" t="s">
        <v>128</v>
      </c>
      <c r="C235" s="400">
        <v>45660.0</v>
      </c>
      <c r="D235" s="391" t="s">
        <v>2851</v>
      </c>
      <c r="E235" s="392" t="s">
        <v>2852</v>
      </c>
      <c r="F235" s="392" t="s">
        <v>2853</v>
      </c>
      <c r="G235" s="392" t="s">
        <v>2854</v>
      </c>
      <c r="H235" s="392" t="s">
        <v>2855</v>
      </c>
      <c r="I235" s="392" t="s">
        <v>2856</v>
      </c>
      <c r="J235" s="392">
        <v>4.0</v>
      </c>
      <c r="K235" s="392" t="s">
        <v>2289</v>
      </c>
      <c r="L235" s="391" t="s">
        <v>2861</v>
      </c>
      <c r="M235" s="391" t="s">
        <v>2858</v>
      </c>
      <c r="N235" s="364"/>
      <c r="O235" s="364"/>
      <c r="P235" s="365" t="s">
        <v>2594</v>
      </c>
      <c r="Q235" s="365" t="s">
        <v>2594</v>
      </c>
      <c r="R235" s="395"/>
      <c r="S235" s="395"/>
      <c r="T235" s="395"/>
      <c r="U235" s="395"/>
      <c r="V235" s="395"/>
      <c r="W235" s="395"/>
      <c r="X235" s="395"/>
      <c r="Y235" s="395"/>
      <c r="Z235" s="395"/>
      <c r="AA235" s="395"/>
      <c r="AB235" s="395"/>
    </row>
    <row r="236">
      <c r="A236" s="391" t="s">
        <v>127</v>
      </c>
      <c r="B236" s="392" t="s">
        <v>128</v>
      </c>
      <c r="C236" s="400">
        <v>45660.0</v>
      </c>
      <c r="D236" s="391" t="s">
        <v>2851</v>
      </c>
      <c r="E236" s="392" t="s">
        <v>2852</v>
      </c>
      <c r="F236" s="392" t="s">
        <v>2853</v>
      </c>
      <c r="G236" s="392" t="s">
        <v>2854</v>
      </c>
      <c r="H236" s="392" t="s">
        <v>2855</v>
      </c>
      <c r="I236" s="392" t="s">
        <v>2856</v>
      </c>
      <c r="J236" s="392">
        <v>5.0</v>
      </c>
      <c r="K236" s="392" t="s">
        <v>2294</v>
      </c>
      <c r="L236" s="391" t="s">
        <v>2862</v>
      </c>
      <c r="M236" s="391" t="s">
        <v>2858</v>
      </c>
      <c r="N236" s="364"/>
      <c r="O236" s="364"/>
      <c r="P236" s="365" t="s">
        <v>2594</v>
      </c>
      <c r="Q236" s="365" t="s">
        <v>2594</v>
      </c>
      <c r="R236" s="395"/>
      <c r="S236" s="395"/>
      <c r="T236" s="395"/>
      <c r="U236" s="395"/>
      <c r="V236" s="395"/>
      <c r="W236" s="395"/>
      <c r="X236" s="395"/>
      <c r="Y236" s="395"/>
      <c r="Z236" s="395"/>
      <c r="AA236" s="395"/>
      <c r="AB236" s="395"/>
    </row>
    <row r="237">
      <c r="A237" s="391" t="s">
        <v>127</v>
      </c>
      <c r="B237" s="392" t="s">
        <v>128</v>
      </c>
      <c r="C237" s="400">
        <v>45691.0</v>
      </c>
      <c r="D237" s="391" t="s">
        <v>2863</v>
      </c>
      <c r="E237" s="392" t="s">
        <v>2864</v>
      </c>
      <c r="F237" s="392" t="s">
        <v>2853</v>
      </c>
      <c r="G237" s="392" t="s">
        <v>2865</v>
      </c>
      <c r="H237" s="392" t="s">
        <v>2855</v>
      </c>
      <c r="I237" s="392" t="s">
        <v>2866</v>
      </c>
      <c r="J237" s="392">
        <v>1.0</v>
      </c>
      <c r="K237" s="392" t="s">
        <v>2289</v>
      </c>
      <c r="L237" s="391" t="s">
        <v>2867</v>
      </c>
      <c r="M237" s="391" t="s">
        <v>2858</v>
      </c>
      <c r="N237" s="364"/>
      <c r="O237" s="364"/>
      <c r="P237" s="365" t="s">
        <v>2594</v>
      </c>
      <c r="Q237" s="365" t="s">
        <v>2594</v>
      </c>
      <c r="R237" s="395"/>
      <c r="S237" s="395"/>
      <c r="T237" s="395"/>
      <c r="U237" s="395"/>
      <c r="V237" s="395"/>
      <c r="W237" s="395"/>
      <c r="X237" s="395"/>
      <c r="Y237" s="395"/>
      <c r="Z237" s="395"/>
      <c r="AA237" s="395"/>
      <c r="AB237" s="395"/>
    </row>
    <row r="238">
      <c r="A238" s="391" t="s">
        <v>127</v>
      </c>
      <c r="B238" s="392" t="s">
        <v>128</v>
      </c>
      <c r="C238" s="400">
        <v>45691.0</v>
      </c>
      <c r="D238" s="391" t="s">
        <v>2863</v>
      </c>
      <c r="E238" s="392" t="s">
        <v>2864</v>
      </c>
      <c r="F238" s="392" t="s">
        <v>2853</v>
      </c>
      <c r="G238" s="392" t="s">
        <v>2865</v>
      </c>
      <c r="H238" s="392" t="s">
        <v>2855</v>
      </c>
      <c r="I238" s="392" t="s">
        <v>2866</v>
      </c>
      <c r="J238" s="392">
        <v>2.0</v>
      </c>
      <c r="K238" s="392" t="s">
        <v>2289</v>
      </c>
      <c r="L238" s="391" t="s">
        <v>2868</v>
      </c>
      <c r="M238" s="391" t="s">
        <v>2858</v>
      </c>
      <c r="N238" s="364"/>
      <c r="O238" s="364"/>
      <c r="P238" s="365" t="s">
        <v>2594</v>
      </c>
      <c r="Q238" s="365" t="s">
        <v>2594</v>
      </c>
      <c r="R238" s="395"/>
      <c r="S238" s="395"/>
      <c r="T238" s="395"/>
      <c r="U238" s="395"/>
      <c r="V238" s="395"/>
      <c r="W238" s="395"/>
      <c r="X238" s="395"/>
      <c r="Y238" s="395"/>
      <c r="Z238" s="395"/>
      <c r="AA238" s="395"/>
      <c r="AB238" s="395"/>
    </row>
    <row r="239">
      <c r="A239" s="391" t="s">
        <v>127</v>
      </c>
      <c r="B239" s="392" t="s">
        <v>128</v>
      </c>
      <c r="C239" s="400">
        <v>45691.0</v>
      </c>
      <c r="D239" s="391" t="s">
        <v>2863</v>
      </c>
      <c r="E239" s="392" t="s">
        <v>2864</v>
      </c>
      <c r="F239" s="392" t="s">
        <v>2853</v>
      </c>
      <c r="G239" s="392" t="s">
        <v>2865</v>
      </c>
      <c r="H239" s="392" t="s">
        <v>2855</v>
      </c>
      <c r="I239" s="392" t="s">
        <v>2866</v>
      </c>
      <c r="J239" s="392">
        <v>3.0</v>
      </c>
      <c r="K239" s="392" t="s">
        <v>2294</v>
      </c>
      <c r="L239" s="391" t="s">
        <v>2869</v>
      </c>
      <c r="M239" s="391" t="s">
        <v>2858</v>
      </c>
      <c r="N239" s="364"/>
      <c r="O239" s="364"/>
      <c r="P239" s="365" t="s">
        <v>2594</v>
      </c>
      <c r="Q239" s="365" t="s">
        <v>2594</v>
      </c>
      <c r="R239" s="395"/>
      <c r="S239" s="395"/>
      <c r="T239" s="395"/>
      <c r="U239" s="395"/>
      <c r="V239" s="395"/>
      <c r="W239" s="395"/>
      <c r="X239" s="395"/>
      <c r="Y239" s="395"/>
      <c r="Z239" s="395"/>
      <c r="AA239" s="395"/>
      <c r="AB239" s="395"/>
    </row>
    <row r="240">
      <c r="A240" s="391" t="s">
        <v>127</v>
      </c>
      <c r="B240" s="392" t="s">
        <v>128</v>
      </c>
      <c r="C240" s="400">
        <v>45691.0</v>
      </c>
      <c r="D240" s="391" t="s">
        <v>2863</v>
      </c>
      <c r="E240" s="392" t="s">
        <v>2864</v>
      </c>
      <c r="F240" s="392" t="s">
        <v>2853</v>
      </c>
      <c r="G240" s="392" t="s">
        <v>2865</v>
      </c>
      <c r="H240" s="392" t="s">
        <v>2855</v>
      </c>
      <c r="I240" s="392" t="s">
        <v>2866</v>
      </c>
      <c r="J240" s="392">
        <v>4.0</v>
      </c>
      <c r="K240" s="392" t="s">
        <v>2289</v>
      </c>
      <c r="L240" s="391" t="s">
        <v>2870</v>
      </c>
      <c r="M240" s="391" t="s">
        <v>2858</v>
      </c>
      <c r="N240" s="364"/>
      <c r="O240" s="364"/>
      <c r="P240" s="365" t="s">
        <v>2594</v>
      </c>
      <c r="Q240" s="365" t="s">
        <v>2594</v>
      </c>
      <c r="R240" s="395"/>
      <c r="S240" s="395"/>
      <c r="T240" s="395"/>
      <c r="U240" s="395"/>
      <c r="V240" s="395"/>
      <c r="W240" s="395"/>
      <c r="X240" s="395"/>
      <c r="Y240" s="395"/>
      <c r="Z240" s="395"/>
      <c r="AA240" s="395"/>
      <c r="AB240" s="395"/>
    </row>
    <row r="241">
      <c r="A241" s="391" t="s">
        <v>127</v>
      </c>
      <c r="B241" s="392" t="s">
        <v>128</v>
      </c>
      <c r="C241" s="400">
        <v>45691.0</v>
      </c>
      <c r="D241" s="391" t="s">
        <v>2863</v>
      </c>
      <c r="E241" s="392" t="s">
        <v>2864</v>
      </c>
      <c r="F241" s="392" t="s">
        <v>2853</v>
      </c>
      <c r="G241" s="392" t="s">
        <v>2865</v>
      </c>
      <c r="H241" s="392" t="s">
        <v>2855</v>
      </c>
      <c r="I241" s="392" t="s">
        <v>2866</v>
      </c>
      <c r="J241" s="392">
        <v>5.0</v>
      </c>
      <c r="K241" s="392" t="s">
        <v>2294</v>
      </c>
      <c r="L241" s="391" t="s">
        <v>2871</v>
      </c>
      <c r="M241" s="391" t="s">
        <v>2858</v>
      </c>
      <c r="N241" s="364"/>
      <c r="O241" s="364"/>
      <c r="P241" s="365" t="s">
        <v>2594</v>
      </c>
      <c r="Q241" s="365" t="s">
        <v>2594</v>
      </c>
      <c r="R241" s="395"/>
      <c r="S241" s="395"/>
      <c r="T241" s="395"/>
      <c r="U241" s="395"/>
      <c r="V241" s="395"/>
      <c r="W241" s="395"/>
      <c r="X241" s="395"/>
      <c r="Y241" s="395"/>
      <c r="Z241" s="395"/>
      <c r="AA241" s="395"/>
      <c r="AB241" s="395"/>
    </row>
    <row r="242">
      <c r="A242" s="391" t="s">
        <v>127</v>
      </c>
      <c r="B242" s="392" t="s">
        <v>128</v>
      </c>
      <c r="C242" s="400">
        <v>45719.0</v>
      </c>
      <c r="D242" s="391" t="s">
        <v>2872</v>
      </c>
      <c r="E242" s="392" t="s">
        <v>2873</v>
      </c>
      <c r="F242" s="392" t="s">
        <v>2853</v>
      </c>
      <c r="G242" s="392" t="s">
        <v>2874</v>
      </c>
      <c r="H242" s="392" t="s">
        <v>2855</v>
      </c>
      <c r="I242" s="392" t="s">
        <v>2875</v>
      </c>
      <c r="J242" s="392">
        <v>1.0</v>
      </c>
      <c r="K242" s="392" t="s">
        <v>2289</v>
      </c>
      <c r="L242" s="391" t="s">
        <v>2876</v>
      </c>
      <c r="M242" s="391" t="s">
        <v>2858</v>
      </c>
      <c r="N242" s="364"/>
      <c r="O242" s="364"/>
      <c r="P242" s="365" t="s">
        <v>2594</v>
      </c>
      <c r="Q242" s="365" t="s">
        <v>2594</v>
      </c>
      <c r="R242" s="395"/>
      <c r="S242" s="395"/>
      <c r="T242" s="395"/>
      <c r="U242" s="395"/>
      <c r="V242" s="395"/>
      <c r="W242" s="395"/>
      <c r="X242" s="395"/>
      <c r="Y242" s="395"/>
      <c r="Z242" s="395"/>
      <c r="AA242" s="395"/>
      <c r="AB242" s="395"/>
    </row>
    <row r="243">
      <c r="A243" s="391" t="s">
        <v>127</v>
      </c>
      <c r="B243" s="392" t="s">
        <v>128</v>
      </c>
      <c r="C243" s="400">
        <v>45719.0</v>
      </c>
      <c r="D243" s="391" t="s">
        <v>2872</v>
      </c>
      <c r="E243" s="392" t="s">
        <v>2873</v>
      </c>
      <c r="F243" s="392" t="s">
        <v>2853</v>
      </c>
      <c r="G243" s="392" t="s">
        <v>2874</v>
      </c>
      <c r="H243" s="392" t="s">
        <v>2855</v>
      </c>
      <c r="I243" s="392" t="s">
        <v>2875</v>
      </c>
      <c r="J243" s="392">
        <v>2.0</v>
      </c>
      <c r="K243" s="392" t="s">
        <v>2289</v>
      </c>
      <c r="L243" s="391" t="s">
        <v>2877</v>
      </c>
      <c r="M243" s="391" t="s">
        <v>2858</v>
      </c>
      <c r="N243" s="364"/>
      <c r="O243" s="364"/>
      <c r="P243" s="365" t="s">
        <v>2594</v>
      </c>
      <c r="Q243" s="365" t="s">
        <v>2594</v>
      </c>
      <c r="R243" s="395"/>
      <c r="S243" s="395"/>
      <c r="T243" s="395"/>
      <c r="U243" s="395"/>
      <c r="V243" s="395"/>
      <c r="W243" s="395"/>
      <c r="X243" s="395"/>
      <c r="Y243" s="395"/>
      <c r="Z243" s="395"/>
      <c r="AA243" s="395"/>
      <c r="AB243" s="395"/>
    </row>
    <row r="244">
      <c r="A244" s="391" t="s">
        <v>127</v>
      </c>
      <c r="B244" s="392" t="s">
        <v>128</v>
      </c>
      <c r="C244" s="400">
        <v>45719.0</v>
      </c>
      <c r="D244" s="391" t="s">
        <v>2872</v>
      </c>
      <c r="E244" s="392" t="s">
        <v>2873</v>
      </c>
      <c r="F244" s="392" t="s">
        <v>2853</v>
      </c>
      <c r="G244" s="392" t="s">
        <v>2874</v>
      </c>
      <c r="H244" s="392" t="s">
        <v>2855</v>
      </c>
      <c r="I244" s="392" t="s">
        <v>2875</v>
      </c>
      <c r="J244" s="392">
        <v>3.0</v>
      </c>
      <c r="K244" s="392" t="s">
        <v>2294</v>
      </c>
      <c r="L244" s="391" t="s">
        <v>2878</v>
      </c>
      <c r="M244" s="391" t="s">
        <v>2858</v>
      </c>
      <c r="N244" s="364"/>
      <c r="O244" s="364"/>
      <c r="P244" s="365" t="s">
        <v>2594</v>
      </c>
      <c r="Q244" s="365" t="s">
        <v>2594</v>
      </c>
      <c r="R244" s="395"/>
      <c r="S244" s="395"/>
      <c r="T244" s="395"/>
      <c r="U244" s="395"/>
      <c r="V244" s="395"/>
      <c r="W244" s="395"/>
      <c r="X244" s="395"/>
      <c r="Y244" s="395"/>
      <c r="Z244" s="395"/>
      <c r="AA244" s="395"/>
      <c r="AB244" s="395"/>
    </row>
    <row r="245">
      <c r="A245" s="391" t="s">
        <v>127</v>
      </c>
      <c r="B245" s="392" t="s">
        <v>128</v>
      </c>
      <c r="C245" s="400">
        <v>45719.0</v>
      </c>
      <c r="D245" s="391" t="s">
        <v>2872</v>
      </c>
      <c r="E245" s="392" t="s">
        <v>2873</v>
      </c>
      <c r="F245" s="392" t="s">
        <v>2853</v>
      </c>
      <c r="G245" s="392" t="s">
        <v>2874</v>
      </c>
      <c r="H245" s="392" t="s">
        <v>2855</v>
      </c>
      <c r="I245" s="392" t="s">
        <v>2875</v>
      </c>
      <c r="J245" s="392">
        <v>4.0</v>
      </c>
      <c r="K245" s="392" t="s">
        <v>2289</v>
      </c>
      <c r="L245" s="391" t="s">
        <v>2879</v>
      </c>
      <c r="M245" s="391" t="s">
        <v>2858</v>
      </c>
      <c r="N245" s="364"/>
      <c r="O245" s="364"/>
      <c r="P245" s="365" t="s">
        <v>2594</v>
      </c>
      <c r="Q245" s="365" t="s">
        <v>2594</v>
      </c>
      <c r="R245" s="395"/>
      <c r="S245" s="395"/>
      <c r="T245" s="395"/>
      <c r="U245" s="395"/>
      <c r="V245" s="395"/>
      <c r="W245" s="395"/>
      <c r="X245" s="395"/>
      <c r="Y245" s="395"/>
      <c r="Z245" s="395"/>
      <c r="AA245" s="395"/>
      <c r="AB245" s="395"/>
    </row>
    <row r="246">
      <c r="A246" s="391" t="s">
        <v>127</v>
      </c>
      <c r="B246" s="392" t="s">
        <v>128</v>
      </c>
      <c r="C246" s="400">
        <v>45719.0</v>
      </c>
      <c r="D246" s="391" t="s">
        <v>2872</v>
      </c>
      <c r="E246" s="392" t="s">
        <v>2873</v>
      </c>
      <c r="F246" s="392" t="s">
        <v>2853</v>
      </c>
      <c r="G246" s="392" t="s">
        <v>2874</v>
      </c>
      <c r="H246" s="392" t="s">
        <v>2855</v>
      </c>
      <c r="I246" s="392" t="s">
        <v>2875</v>
      </c>
      <c r="J246" s="392">
        <v>5.0</v>
      </c>
      <c r="K246" s="392" t="s">
        <v>2294</v>
      </c>
      <c r="L246" s="391" t="s">
        <v>2880</v>
      </c>
      <c r="M246" s="391" t="s">
        <v>2858</v>
      </c>
      <c r="N246" s="364"/>
      <c r="O246" s="364"/>
      <c r="P246" s="365" t="s">
        <v>2594</v>
      </c>
      <c r="Q246" s="365" t="s">
        <v>2594</v>
      </c>
      <c r="R246" s="395"/>
      <c r="S246" s="395"/>
      <c r="T246" s="395"/>
      <c r="U246" s="395"/>
      <c r="V246" s="395"/>
      <c r="W246" s="395"/>
      <c r="X246" s="395"/>
      <c r="Y246" s="395"/>
      <c r="Z246" s="395"/>
      <c r="AA246" s="395"/>
      <c r="AB246" s="395"/>
    </row>
    <row r="247">
      <c r="A247" s="391" t="s">
        <v>127</v>
      </c>
      <c r="B247" s="392" t="s">
        <v>128</v>
      </c>
      <c r="C247" s="400">
        <v>45750.0</v>
      </c>
      <c r="D247" s="391" t="s">
        <v>2881</v>
      </c>
      <c r="E247" s="392" t="s">
        <v>2882</v>
      </c>
      <c r="F247" s="392" t="s">
        <v>2853</v>
      </c>
      <c r="G247" s="392" t="s">
        <v>2883</v>
      </c>
      <c r="H247" s="392" t="s">
        <v>2855</v>
      </c>
      <c r="I247" s="392" t="s">
        <v>2884</v>
      </c>
      <c r="J247" s="392">
        <v>1.0</v>
      </c>
      <c r="K247" s="392" t="s">
        <v>2289</v>
      </c>
      <c r="L247" s="391" t="s">
        <v>2885</v>
      </c>
      <c r="M247" s="391" t="s">
        <v>2858</v>
      </c>
      <c r="N247" s="364"/>
      <c r="O247" s="364"/>
      <c r="P247" s="365" t="s">
        <v>2594</v>
      </c>
      <c r="Q247" s="365" t="s">
        <v>2594</v>
      </c>
      <c r="R247" s="395"/>
      <c r="S247" s="395"/>
      <c r="T247" s="395"/>
      <c r="U247" s="395"/>
      <c r="V247" s="395"/>
      <c r="W247" s="395"/>
      <c r="X247" s="395"/>
      <c r="Y247" s="395"/>
      <c r="Z247" s="395"/>
      <c r="AA247" s="395"/>
      <c r="AB247" s="395"/>
    </row>
    <row r="248">
      <c r="A248" s="391" t="s">
        <v>127</v>
      </c>
      <c r="B248" s="392" t="s">
        <v>128</v>
      </c>
      <c r="C248" s="400">
        <v>45750.0</v>
      </c>
      <c r="D248" s="391" t="s">
        <v>2881</v>
      </c>
      <c r="E248" s="392" t="s">
        <v>2882</v>
      </c>
      <c r="F248" s="392" t="s">
        <v>2853</v>
      </c>
      <c r="G248" s="392" t="s">
        <v>2883</v>
      </c>
      <c r="H248" s="392" t="s">
        <v>2855</v>
      </c>
      <c r="I248" s="392" t="s">
        <v>2884</v>
      </c>
      <c r="J248" s="392">
        <v>2.0</v>
      </c>
      <c r="K248" s="392" t="s">
        <v>2289</v>
      </c>
      <c r="L248" s="391" t="s">
        <v>2886</v>
      </c>
      <c r="M248" s="391" t="s">
        <v>2858</v>
      </c>
      <c r="N248" s="364"/>
      <c r="O248" s="364"/>
      <c r="P248" s="365" t="s">
        <v>2594</v>
      </c>
      <c r="Q248" s="365" t="s">
        <v>2594</v>
      </c>
      <c r="R248" s="395"/>
      <c r="S248" s="395"/>
      <c r="T248" s="395"/>
      <c r="U248" s="395"/>
      <c r="V248" s="395"/>
      <c r="W248" s="395"/>
      <c r="X248" s="395"/>
      <c r="Y248" s="395"/>
      <c r="Z248" s="395"/>
      <c r="AA248" s="395"/>
      <c r="AB248" s="395"/>
    </row>
    <row r="249">
      <c r="A249" s="391" t="s">
        <v>127</v>
      </c>
      <c r="B249" s="392" t="s">
        <v>128</v>
      </c>
      <c r="C249" s="400">
        <v>45750.0</v>
      </c>
      <c r="D249" s="391" t="s">
        <v>2881</v>
      </c>
      <c r="E249" s="392" t="s">
        <v>2882</v>
      </c>
      <c r="F249" s="392" t="s">
        <v>2853</v>
      </c>
      <c r="G249" s="392" t="s">
        <v>2883</v>
      </c>
      <c r="H249" s="392" t="s">
        <v>2855</v>
      </c>
      <c r="I249" s="392" t="s">
        <v>2884</v>
      </c>
      <c r="J249" s="392">
        <v>3.0</v>
      </c>
      <c r="K249" s="392" t="s">
        <v>2294</v>
      </c>
      <c r="L249" s="391" t="s">
        <v>2887</v>
      </c>
      <c r="M249" s="391" t="s">
        <v>2858</v>
      </c>
      <c r="N249" s="364"/>
      <c r="O249" s="364"/>
      <c r="P249" s="365" t="s">
        <v>2594</v>
      </c>
      <c r="Q249" s="365" t="s">
        <v>2594</v>
      </c>
      <c r="R249" s="395"/>
      <c r="S249" s="395"/>
      <c r="T249" s="395"/>
      <c r="U249" s="395"/>
      <c r="V249" s="395"/>
      <c r="W249" s="395"/>
      <c r="X249" s="395"/>
      <c r="Y249" s="395"/>
      <c r="Z249" s="395"/>
      <c r="AA249" s="395"/>
      <c r="AB249" s="395"/>
    </row>
    <row r="250">
      <c r="A250" s="391" t="s">
        <v>127</v>
      </c>
      <c r="B250" s="392" t="s">
        <v>128</v>
      </c>
      <c r="C250" s="400">
        <v>45750.0</v>
      </c>
      <c r="D250" s="391" t="s">
        <v>2881</v>
      </c>
      <c r="E250" s="392" t="s">
        <v>2882</v>
      </c>
      <c r="F250" s="392" t="s">
        <v>2853</v>
      </c>
      <c r="G250" s="392" t="s">
        <v>2883</v>
      </c>
      <c r="H250" s="392" t="s">
        <v>2855</v>
      </c>
      <c r="I250" s="392" t="s">
        <v>2884</v>
      </c>
      <c r="J250" s="392">
        <v>4.0</v>
      </c>
      <c r="K250" s="392" t="s">
        <v>2289</v>
      </c>
      <c r="L250" s="391" t="s">
        <v>2888</v>
      </c>
      <c r="M250" s="391" t="s">
        <v>2858</v>
      </c>
      <c r="N250" s="364"/>
      <c r="O250" s="364"/>
      <c r="P250" s="365" t="s">
        <v>2594</v>
      </c>
      <c r="Q250" s="365" t="s">
        <v>2594</v>
      </c>
      <c r="R250" s="395"/>
      <c r="S250" s="395"/>
      <c r="T250" s="395"/>
      <c r="U250" s="395"/>
      <c r="V250" s="395"/>
      <c r="W250" s="395"/>
      <c r="X250" s="395"/>
      <c r="Y250" s="395"/>
      <c r="Z250" s="395"/>
      <c r="AA250" s="395"/>
      <c r="AB250" s="395"/>
    </row>
    <row r="251">
      <c r="A251" s="391" t="s">
        <v>127</v>
      </c>
      <c r="B251" s="392" t="s">
        <v>128</v>
      </c>
      <c r="C251" s="400">
        <v>45750.0</v>
      </c>
      <c r="D251" s="391" t="s">
        <v>2881</v>
      </c>
      <c r="E251" s="392" t="s">
        <v>2882</v>
      </c>
      <c r="F251" s="392" t="s">
        <v>2853</v>
      </c>
      <c r="G251" s="392" t="s">
        <v>2883</v>
      </c>
      <c r="H251" s="392" t="s">
        <v>2855</v>
      </c>
      <c r="I251" s="392" t="s">
        <v>2884</v>
      </c>
      <c r="J251" s="392">
        <v>5.0</v>
      </c>
      <c r="K251" s="392" t="s">
        <v>2294</v>
      </c>
      <c r="L251" s="391" t="s">
        <v>2889</v>
      </c>
      <c r="M251" s="391" t="s">
        <v>2858</v>
      </c>
      <c r="N251" s="364"/>
      <c r="O251" s="364"/>
      <c r="P251" s="365" t="s">
        <v>2594</v>
      </c>
      <c r="Q251" s="365" t="s">
        <v>2594</v>
      </c>
      <c r="R251" s="395"/>
      <c r="S251" s="395"/>
      <c r="T251" s="395"/>
      <c r="U251" s="395"/>
      <c r="V251" s="395"/>
      <c r="W251" s="395"/>
      <c r="X251" s="395"/>
      <c r="Y251" s="395"/>
      <c r="Z251" s="395"/>
      <c r="AA251" s="395"/>
      <c r="AB251" s="395"/>
    </row>
    <row r="252">
      <c r="A252" s="391" t="s">
        <v>127</v>
      </c>
      <c r="B252" s="392" t="s">
        <v>128</v>
      </c>
      <c r="C252" s="400">
        <v>45780.0</v>
      </c>
      <c r="D252" s="391" t="s">
        <v>2890</v>
      </c>
      <c r="E252" s="392" t="s">
        <v>2891</v>
      </c>
      <c r="F252" s="392" t="s">
        <v>2853</v>
      </c>
      <c r="G252" s="392" t="s">
        <v>2892</v>
      </c>
      <c r="H252" s="392" t="s">
        <v>2855</v>
      </c>
      <c r="I252" s="392" t="s">
        <v>2893</v>
      </c>
      <c r="J252" s="392">
        <v>1.0</v>
      </c>
      <c r="K252" s="392" t="s">
        <v>2289</v>
      </c>
      <c r="L252" s="391" t="s">
        <v>2894</v>
      </c>
      <c r="M252" s="391" t="s">
        <v>2858</v>
      </c>
      <c r="N252" s="364"/>
      <c r="O252" s="364"/>
      <c r="P252" s="365" t="s">
        <v>2594</v>
      </c>
      <c r="Q252" s="365" t="s">
        <v>2594</v>
      </c>
      <c r="R252" s="395"/>
      <c r="S252" s="395"/>
      <c r="T252" s="395"/>
      <c r="U252" s="395"/>
      <c r="V252" s="395"/>
      <c r="W252" s="395"/>
      <c r="X252" s="395"/>
      <c r="Y252" s="395"/>
      <c r="Z252" s="395"/>
      <c r="AA252" s="395"/>
      <c r="AB252" s="395"/>
    </row>
    <row r="253">
      <c r="A253" s="391" t="s">
        <v>127</v>
      </c>
      <c r="B253" s="392" t="s">
        <v>128</v>
      </c>
      <c r="C253" s="400">
        <v>45780.0</v>
      </c>
      <c r="D253" s="391" t="s">
        <v>2890</v>
      </c>
      <c r="E253" s="392" t="s">
        <v>2891</v>
      </c>
      <c r="F253" s="392" t="s">
        <v>2853</v>
      </c>
      <c r="G253" s="392" t="s">
        <v>2892</v>
      </c>
      <c r="H253" s="392" t="s">
        <v>2855</v>
      </c>
      <c r="I253" s="392" t="s">
        <v>2893</v>
      </c>
      <c r="J253" s="392">
        <v>2.0</v>
      </c>
      <c r="K253" s="392" t="s">
        <v>2289</v>
      </c>
      <c r="L253" s="391" t="s">
        <v>2895</v>
      </c>
      <c r="M253" s="391" t="s">
        <v>2858</v>
      </c>
      <c r="N253" s="364"/>
      <c r="O253" s="364"/>
      <c r="P253" s="365" t="s">
        <v>2594</v>
      </c>
      <c r="Q253" s="365" t="s">
        <v>2594</v>
      </c>
      <c r="R253" s="395"/>
      <c r="S253" s="395"/>
      <c r="T253" s="395"/>
      <c r="U253" s="395"/>
      <c r="V253" s="395"/>
      <c r="W253" s="395"/>
      <c r="X253" s="395"/>
      <c r="Y253" s="395"/>
      <c r="Z253" s="395"/>
      <c r="AA253" s="395"/>
      <c r="AB253" s="395"/>
    </row>
    <row r="254">
      <c r="A254" s="391" t="s">
        <v>127</v>
      </c>
      <c r="B254" s="392" t="s">
        <v>128</v>
      </c>
      <c r="C254" s="400">
        <v>45780.0</v>
      </c>
      <c r="D254" s="391" t="s">
        <v>2890</v>
      </c>
      <c r="E254" s="392" t="s">
        <v>2891</v>
      </c>
      <c r="F254" s="392" t="s">
        <v>2853</v>
      </c>
      <c r="G254" s="392" t="s">
        <v>2892</v>
      </c>
      <c r="H254" s="392" t="s">
        <v>2855</v>
      </c>
      <c r="I254" s="392" t="s">
        <v>2893</v>
      </c>
      <c r="J254" s="392">
        <v>3.0</v>
      </c>
      <c r="K254" s="392" t="s">
        <v>2294</v>
      </c>
      <c r="L254" s="391" t="s">
        <v>2896</v>
      </c>
      <c r="M254" s="391" t="s">
        <v>2858</v>
      </c>
      <c r="N254" s="364"/>
      <c r="O254" s="364"/>
      <c r="P254" s="365" t="s">
        <v>2594</v>
      </c>
      <c r="Q254" s="365" t="s">
        <v>2594</v>
      </c>
      <c r="R254" s="395"/>
      <c r="S254" s="395"/>
      <c r="T254" s="395"/>
      <c r="U254" s="395"/>
      <c r="V254" s="395"/>
      <c r="W254" s="395"/>
      <c r="X254" s="395"/>
      <c r="Y254" s="395"/>
      <c r="Z254" s="395"/>
      <c r="AA254" s="395"/>
      <c r="AB254" s="395"/>
    </row>
    <row r="255">
      <c r="A255" s="391" t="s">
        <v>127</v>
      </c>
      <c r="B255" s="392" t="s">
        <v>128</v>
      </c>
      <c r="C255" s="400">
        <v>45780.0</v>
      </c>
      <c r="D255" s="391" t="s">
        <v>2890</v>
      </c>
      <c r="E255" s="392" t="s">
        <v>2891</v>
      </c>
      <c r="F255" s="392" t="s">
        <v>2853</v>
      </c>
      <c r="G255" s="392" t="s">
        <v>2892</v>
      </c>
      <c r="H255" s="392" t="s">
        <v>2855</v>
      </c>
      <c r="I255" s="392" t="s">
        <v>2893</v>
      </c>
      <c r="J255" s="392">
        <v>4.0</v>
      </c>
      <c r="K255" s="392" t="s">
        <v>2289</v>
      </c>
      <c r="L255" s="391" t="s">
        <v>2897</v>
      </c>
      <c r="M255" s="391" t="s">
        <v>2858</v>
      </c>
      <c r="N255" s="364"/>
      <c r="O255" s="364"/>
      <c r="P255" s="365" t="s">
        <v>2594</v>
      </c>
      <c r="Q255" s="365" t="s">
        <v>2594</v>
      </c>
      <c r="R255" s="395"/>
      <c r="S255" s="395"/>
      <c r="T255" s="395"/>
      <c r="U255" s="395"/>
      <c r="V255" s="395"/>
      <c r="W255" s="395"/>
      <c r="X255" s="395"/>
      <c r="Y255" s="395"/>
      <c r="Z255" s="395"/>
      <c r="AA255" s="395"/>
      <c r="AB255" s="395"/>
    </row>
    <row r="256">
      <c r="A256" s="391" t="s">
        <v>127</v>
      </c>
      <c r="B256" s="392" t="s">
        <v>128</v>
      </c>
      <c r="C256" s="400">
        <v>45780.0</v>
      </c>
      <c r="D256" s="391" t="s">
        <v>2890</v>
      </c>
      <c r="E256" s="392" t="s">
        <v>2891</v>
      </c>
      <c r="F256" s="392" t="s">
        <v>2853</v>
      </c>
      <c r="G256" s="392" t="s">
        <v>2892</v>
      </c>
      <c r="H256" s="392" t="s">
        <v>2855</v>
      </c>
      <c r="I256" s="392" t="s">
        <v>2893</v>
      </c>
      <c r="J256" s="392">
        <v>5.0</v>
      </c>
      <c r="K256" s="392" t="s">
        <v>2294</v>
      </c>
      <c r="L256" s="391" t="s">
        <v>2898</v>
      </c>
      <c r="M256" s="391" t="s">
        <v>2858</v>
      </c>
      <c r="N256" s="364"/>
      <c r="O256" s="364"/>
      <c r="P256" s="365" t="s">
        <v>2594</v>
      </c>
      <c r="Q256" s="365" t="s">
        <v>2594</v>
      </c>
      <c r="R256" s="395"/>
      <c r="S256" s="395"/>
      <c r="T256" s="395"/>
      <c r="U256" s="395"/>
      <c r="V256" s="395"/>
      <c r="W256" s="395"/>
      <c r="X256" s="395"/>
      <c r="Y256" s="395"/>
      <c r="Z256" s="395"/>
      <c r="AA256" s="395"/>
      <c r="AB256" s="395"/>
    </row>
    <row r="257">
      <c r="A257" s="391" t="s">
        <v>127</v>
      </c>
      <c r="B257" s="392" t="s">
        <v>128</v>
      </c>
      <c r="C257" s="400">
        <v>45811.0</v>
      </c>
      <c r="D257" s="391" t="s">
        <v>2899</v>
      </c>
      <c r="E257" s="392" t="s">
        <v>2900</v>
      </c>
      <c r="F257" s="392" t="s">
        <v>2853</v>
      </c>
      <c r="G257" s="392" t="s">
        <v>2901</v>
      </c>
      <c r="H257" s="392" t="s">
        <v>2855</v>
      </c>
      <c r="I257" s="392" t="s">
        <v>2902</v>
      </c>
      <c r="J257" s="392">
        <v>1.0</v>
      </c>
      <c r="K257" s="392" t="s">
        <v>2289</v>
      </c>
      <c r="L257" s="391" t="s">
        <v>2903</v>
      </c>
      <c r="M257" s="391" t="s">
        <v>2858</v>
      </c>
      <c r="N257" s="364"/>
      <c r="O257" s="364"/>
      <c r="P257" s="365" t="s">
        <v>2594</v>
      </c>
      <c r="Q257" s="365" t="s">
        <v>2594</v>
      </c>
      <c r="R257" s="395"/>
      <c r="S257" s="395"/>
      <c r="T257" s="395"/>
      <c r="U257" s="395"/>
      <c r="V257" s="395"/>
      <c r="W257" s="395"/>
      <c r="X257" s="395"/>
      <c r="Y257" s="395"/>
      <c r="Z257" s="395"/>
      <c r="AA257" s="395"/>
      <c r="AB257" s="395"/>
    </row>
    <row r="258">
      <c r="A258" s="391" t="s">
        <v>127</v>
      </c>
      <c r="B258" s="392" t="s">
        <v>128</v>
      </c>
      <c r="C258" s="400">
        <v>45811.0</v>
      </c>
      <c r="D258" s="391" t="s">
        <v>2899</v>
      </c>
      <c r="E258" s="392" t="s">
        <v>2900</v>
      </c>
      <c r="F258" s="392" t="s">
        <v>2853</v>
      </c>
      <c r="G258" s="392" t="s">
        <v>2901</v>
      </c>
      <c r="H258" s="392" t="s">
        <v>2855</v>
      </c>
      <c r="I258" s="392" t="s">
        <v>2902</v>
      </c>
      <c r="J258" s="392">
        <v>2.0</v>
      </c>
      <c r="K258" s="392" t="s">
        <v>2289</v>
      </c>
      <c r="L258" s="391" t="s">
        <v>2904</v>
      </c>
      <c r="M258" s="391" t="s">
        <v>2858</v>
      </c>
      <c r="N258" s="364"/>
      <c r="O258" s="364"/>
      <c r="P258" s="365" t="s">
        <v>2594</v>
      </c>
      <c r="Q258" s="365" t="s">
        <v>2594</v>
      </c>
      <c r="R258" s="395"/>
      <c r="S258" s="395"/>
      <c r="T258" s="395"/>
      <c r="U258" s="395"/>
      <c r="V258" s="395"/>
      <c r="W258" s="395"/>
      <c r="X258" s="395"/>
      <c r="Y258" s="395"/>
      <c r="Z258" s="395"/>
      <c r="AA258" s="395"/>
      <c r="AB258" s="395"/>
    </row>
    <row r="259">
      <c r="A259" s="391" t="s">
        <v>127</v>
      </c>
      <c r="B259" s="392" t="s">
        <v>128</v>
      </c>
      <c r="C259" s="400">
        <v>45811.0</v>
      </c>
      <c r="D259" s="391" t="s">
        <v>2899</v>
      </c>
      <c r="E259" s="392" t="s">
        <v>2900</v>
      </c>
      <c r="F259" s="392" t="s">
        <v>2853</v>
      </c>
      <c r="G259" s="392" t="s">
        <v>2901</v>
      </c>
      <c r="H259" s="392" t="s">
        <v>2855</v>
      </c>
      <c r="I259" s="392" t="s">
        <v>2902</v>
      </c>
      <c r="J259" s="392">
        <v>3.0</v>
      </c>
      <c r="K259" s="392" t="s">
        <v>2294</v>
      </c>
      <c r="L259" s="391" t="s">
        <v>2905</v>
      </c>
      <c r="M259" s="391" t="s">
        <v>2858</v>
      </c>
      <c r="N259" s="364"/>
      <c r="O259" s="364"/>
      <c r="P259" s="365" t="s">
        <v>2594</v>
      </c>
      <c r="Q259" s="365" t="s">
        <v>2594</v>
      </c>
      <c r="R259" s="395"/>
      <c r="S259" s="395"/>
      <c r="T259" s="395"/>
      <c r="U259" s="395"/>
      <c r="V259" s="395"/>
      <c r="W259" s="395"/>
      <c r="X259" s="395"/>
      <c r="Y259" s="395"/>
      <c r="Z259" s="395"/>
      <c r="AA259" s="395"/>
      <c r="AB259" s="395"/>
    </row>
    <row r="260">
      <c r="A260" s="391" t="s">
        <v>127</v>
      </c>
      <c r="B260" s="392" t="s">
        <v>128</v>
      </c>
      <c r="C260" s="400">
        <v>45811.0</v>
      </c>
      <c r="D260" s="391" t="s">
        <v>2899</v>
      </c>
      <c r="E260" s="392" t="s">
        <v>2900</v>
      </c>
      <c r="F260" s="392" t="s">
        <v>2853</v>
      </c>
      <c r="G260" s="392" t="s">
        <v>2901</v>
      </c>
      <c r="H260" s="392" t="s">
        <v>2855</v>
      </c>
      <c r="I260" s="392" t="s">
        <v>2902</v>
      </c>
      <c r="J260" s="392">
        <v>4.0</v>
      </c>
      <c r="K260" s="392" t="s">
        <v>2289</v>
      </c>
      <c r="L260" s="391" t="s">
        <v>2906</v>
      </c>
      <c r="M260" s="391" t="s">
        <v>2858</v>
      </c>
      <c r="N260" s="364"/>
      <c r="O260" s="364"/>
      <c r="P260" s="365" t="s">
        <v>2594</v>
      </c>
      <c r="Q260" s="365" t="s">
        <v>2594</v>
      </c>
      <c r="R260" s="395"/>
      <c r="S260" s="395"/>
      <c r="T260" s="395"/>
      <c r="U260" s="395"/>
      <c r="V260" s="395"/>
      <c r="W260" s="395"/>
      <c r="X260" s="395"/>
      <c r="Y260" s="395"/>
      <c r="Z260" s="395"/>
      <c r="AA260" s="395"/>
      <c r="AB260" s="395"/>
    </row>
    <row r="261">
      <c r="A261" s="391" t="s">
        <v>127</v>
      </c>
      <c r="B261" s="392" t="s">
        <v>128</v>
      </c>
      <c r="C261" s="400">
        <v>45811.0</v>
      </c>
      <c r="D261" s="391" t="s">
        <v>2899</v>
      </c>
      <c r="E261" s="392" t="s">
        <v>2900</v>
      </c>
      <c r="F261" s="392" t="s">
        <v>2853</v>
      </c>
      <c r="G261" s="392" t="s">
        <v>2901</v>
      </c>
      <c r="H261" s="392" t="s">
        <v>2855</v>
      </c>
      <c r="I261" s="392" t="s">
        <v>2902</v>
      </c>
      <c r="J261" s="392">
        <v>5.0</v>
      </c>
      <c r="K261" s="392" t="s">
        <v>2294</v>
      </c>
      <c r="L261" s="391" t="s">
        <v>2907</v>
      </c>
      <c r="M261" s="391" t="s">
        <v>2858</v>
      </c>
      <c r="N261" s="364"/>
      <c r="O261" s="364"/>
      <c r="P261" s="365" t="s">
        <v>2594</v>
      </c>
      <c r="Q261" s="365" t="s">
        <v>2594</v>
      </c>
      <c r="R261" s="395"/>
      <c r="S261" s="395"/>
      <c r="T261" s="395"/>
      <c r="U261" s="395"/>
      <c r="V261" s="395"/>
      <c r="W261" s="395"/>
      <c r="X261" s="395"/>
      <c r="Y261" s="395"/>
      <c r="Z261" s="395"/>
      <c r="AA261" s="395"/>
      <c r="AB261" s="395"/>
    </row>
    <row r="262">
      <c r="A262" s="391" t="s">
        <v>127</v>
      </c>
      <c r="B262" s="392" t="s">
        <v>128</v>
      </c>
      <c r="C262" s="400">
        <v>45841.0</v>
      </c>
      <c r="D262" s="391" t="s">
        <v>2908</v>
      </c>
      <c r="E262" s="392" t="s">
        <v>2909</v>
      </c>
      <c r="F262" s="392" t="s">
        <v>2853</v>
      </c>
      <c r="G262" s="392" t="s">
        <v>2910</v>
      </c>
      <c r="H262" s="392" t="s">
        <v>2855</v>
      </c>
      <c r="I262" s="392" t="s">
        <v>2911</v>
      </c>
      <c r="J262" s="392">
        <v>1.0</v>
      </c>
      <c r="K262" s="392" t="s">
        <v>2289</v>
      </c>
      <c r="L262" s="391" t="s">
        <v>2912</v>
      </c>
      <c r="M262" s="391" t="s">
        <v>2858</v>
      </c>
      <c r="N262" s="364"/>
      <c r="O262" s="364"/>
      <c r="P262" s="365" t="s">
        <v>2594</v>
      </c>
      <c r="Q262" s="365" t="s">
        <v>2594</v>
      </c>
      <c r="R262" s="395"/>
      <c r="S262" s="395"/>
      <c r="T262" s="395"/>
      <c r="U262" s="395"/>
      <c r="V262" s="395"/>
      <c r="W262" s="395"/>
      <c r="X262" s="395"/>
      <c r="Y262" s="395"/>
      <c r="Z262" s="395"/>
      <c r="AA262" s="395"/>
      <c r="AB262" s="395"/>
    </row>
    <row r="263">
      <c r="A263" s="391" t="s">
        <v>127</v>
      </c>
      <c r="B263" s="392" t="s">
        <v>128</v>
      </c>
      <c r="C263" s="400">
        <v>45841.0</v>
      </c>
      <c r="D263" s="391" t="s">
        <v>2908</v>
      </c>
      <c r="E263" s="392" t="s">
        <v>2909</v>
      </c>
      <c r="F263" s="392" t="s">
        <v>2853</v>
      </c>
      <c r="G263" s="392" t="s">
        <v>2910</v>
      </c>
      <c r="H263" s="392" t="s">
        <v>2855</v>
      </c>
      <c r="I263" s="392" t="s">
        <v>2911</v>
      </c>
      <c r="J263" s="392">
        <v>2.0</v>
      </c>
      <c r="K263" s="392" t="s">
        <v>2294</v>
      </c>
      <c r="L263" s="391" t="s">
        <v>2913</v>
      </c>
      <c r="M263" s="391" t="s">
        <v>2858</v>
      </c>
      <c r="N263" s="364"/>
      <c r="O263" s="364"/>
      <c r="P263" s="365" t="s">
        <v>2594</v>
      </c>
      <c r="Q263" s="365" t="s">
        <v>2594</v>
      </c>
      <c r="R263" s="395"/>
      <c r="S263" s="395"/>
      <c r="T263" s="395"/>
      <c r="U263" s="395"/>
      <c r="V263" s="395"/>
      <c r="W263" s="395"/>
      <c r="X263" s="395"/>
      <c r="Y263" s="395"/>
      <c r="Z263" s="395"/>
      <c r="AA263" s="395"/>
      <c r="AB263" s="395"/>
    </row>
    <row r="264">
      <c r="A264" s="391" t="s">
        <v>127</v>
      </c>
      <c r="B264" s="392" t="s">
        <v>128</v>
      </c>
      <c r="C264" s="400">
        <v>45841.0</v>
      </c>
      <c r="D264" s="391" t="s">
        <v>2908</v>
      </c>
      <c r="E264" s="392" t="s">
        <v>2909</v>
      </c>
      <c r="F264" s="392" t="s">
        <v>2853</v>
      </c>
      <c r="G264" s="392" t="s">
        <v>2910</v>
      </c>
      <c r="H264" s="392" t="s">
        <v>2855</v>
      </c>
      <c r="I264" s="392" t="s">
        <v>2911</v>
      </c>
      <c r="J264" s="392">
        <v>3.0</v>
      </c>
      <c r="K264" s="392" t="s">
        <v>2289</v>
      </c>
      <c r="L264" s="391" t="s">
        <v>2914</v>
      </c>
      <c r="M264" s="391" t="s">
        <v>2858</v>
      </c>
      <c r="N264" s="364"/>
      <c r="O264" s="364"/>
      <c r="P264" s="365" t="s">
        <v>2594</v>
      </c>
      <c r="Q264" s="365" t="s">
        <v>2594</v>
      </c>
      <c r="R264" s="395"/>
      <c r="S264" s="395"/>
      <c r="T264" s="395"/>
      <c r="U264" s="395"/>
      <c r="V264" s="395"/>
      <c r="W264" s="395"/>
      <c r="X264" s="395"/>
      <c r="Y264" s="395"/>
      <c r="Z264" s="395"/>
      <c r="AA264" s="395"/>
      <c r="AB264" s="395"/>
    </row>
    <row r="265">
      <c r="A265" s="391" t="s">
        <v>127</v>
      </c>
      <c r="B265" s="392" t="s">
        <v>128</v>
      </c>
      <c r="C265" s="400">
        <v>45841.0</v>
      </c>
      <c r="D265" s="391" t="s">
        <v>2908</v>
      </c>
      <c r="E265" s="392" t="s">
        <v>2909</v>
      </c>
      <c r="F265" s="392" t="s">
        <v>2853</v>
      </c>
      <c r="G265" s="392" t="s">
        <v>2910</v>
      </c>
      <c r="H265" s="392" t="s">
        <v>2855</v>
      </c>
      <c r="I265" s="392" t="s">
        <v>2911</v>
      </c>
      <c r="J265" s="392">
        <v>4.0</v>
      </c>
      <c r="K265" s="392" t="s">
        <v>2289</v>
      </c>
      <c r="L265" s="391" t="s">
        <v>2915</v>
      </c>
      <c r="M265" s="391" t="s">
        <v>2858</v>
      </c>
      <c r="N265" s="364"/>
      <c r="O265" s="364"/>
      <c r="P265" s="365" t="s">
        <v>2594</v>
      </c>
      <c r="Q265" s="365" t="s">
        <v>2594</v>
      </c>
      <c r="R265" s="395"/>
      <c r="S265" s="395"/>
      <c r="T265" s="395"/>
      <c r="U265" s="395"/>
      <c r="V265" s="395"/>
      <c r="W265" s="395"/>
      <c r="X265" s="395"/>
      <c r="Y265" s="395"/>
      <c r="Z265" s="395"/>
      <c r="AA265" s="395"/>
      <c r="AB265" s="395"/>
    </row>
    <row r="266">
      <c r="A266" s="391" t="s">
        <v>127</v>
      </c>
      <c r="B266" s="392" t="s">
        <v>128</v>
      </c>
      <c r="C266" s="400">
        <v>45841.0</v>
      </c>
      <c r="D266" s="391" t="s">
        <v>2908</v>
      </c>
      <c r="E266" s="392" t="s">
        <v>2909</v>
      </c>
      <c r="F266" s="392" t="s">
        <v>2853</v>
      </c>
      <c r="G266" s="392" t="s">
        <v>2910</v>
      </c>
      <c r="H266" s="392" t="s">
        <v>2855</v>
      </c>
      <c r="I266" s="392" t="s">
        <v>2911</v>
      </c>
      <c r="J266" s="392">
        <v>5.0</v>
      </c>
      <c r="K266" s="392" t="s">
        <v>2294</v>
      </c>
      <c r="L266" s="391" t="s">
        <v>2916</v>
      </c>
      <c r="M266" s="391" t="s">
        <v>2858</v>
      </c>
      <c r="N266" s="364"/>
      <c r="O266" s="364"/>
      <c r="P266" s="365" t="s">
        <v>2594</v>
      </c>
      <c r="Q266" s="365" t="s">
        <v>2594</v>
      </c>
      <c r="R266" s="395"/>
      <c r="S266" s="395"/>
      <c r="T266" s="395"/>
      <c r="U266" s="395"/>
      <c r="V266" s="395"/>
      <c r="W266" s="395"/>
      <c r="X266" s="395"/>
      <c r="Y266" s="395"/>
      <c r="Z266" s="395"/>
      <c r="AA266" s="395"/>
      <c r="AB266" s="395"/>
    </row>
    <row r="267">
      <c r="A267" s="391" t="s">
        <v>127</v>
      </c>
      <c r="B267" s="392" t="s">
        <v>128</v>
      </c>
      <c r="C267" s="400">
        <v>45872.0</v>
      </c>
      <c r="D267" s="391" t="s">
        <v>2917</v>
      </c>
      <c r="E267" s="392" t="s">
        <v>2918</v>
      </c>
      <c r="F267" s="392" t="s">
        <v>2853</v>
      </c>
      <c r="G267" s="392" t="s">
        <v>2919</v>
      </c>
      <c r="H267" s="392" t="s">
        <v>2855</v>
      </c>
      <c r="I267" s="392" t="s">
        <v>2920</v>
      </c>
      <c r="J267" s="392">
        <v>1.0</v>
      </c>
      <c r="K267" s="392" t="s">
        <v>2289</v>
      </c>
      <c r="L267" s="391" t="s">
        <v>2921</v>
      </c>
      <c r="M267" s="391" t="s">
        <v>2858</v>
      </c>
      <c r="N267" s="364"/>
      <c r="O267" s="364"/>
      <c r="P267" s="365" t="s">
        <v>2594</v>
      </c>
      <c r="Q267" s="365" t="s">
        <v>2594</v>
      </c>
      <c r="R267" s="395"/>
      <c r="S267" s="395"/>
      <c r="T267" s="395"/>
      <c r="U267" s="395"/>
      <c r="V267" s="395"/>
      <c r="W267" s="395"/>
      <c r="X267" s="395"/>
      <c r="Y267" s="395"/>
      <c r="Z267" s="395"/>
      <c r="AA267" s="395"/>
      <c r="AB267" s="395"/>
    </row>
    <row r="268">
      <c r="A268" s="391" t="s">
        <v>127</v>
      </c>
      <c r="B268" s="392" t="s">
        <v>128</v>
      </c>
      <c r="C268" s="400">
        <v>45872.0</v>
      </c>
      <c r="D268" s="391" t="s">
        <v>2917</v>
      </c>
      <c r="E268" s="392" t="s">
        <v>2918</v>
      </c>
      <c r="F268" s="392" t="s">
        <v>2853</v>
      </c>
      <c r="G268" s="392" t="s">
        <v>2919</v>
      </c>
      <c r="H268" s="392" t="s">
        <v>2855</v>
      </c>
      <c r="I268" s="392" t="s">
        <v>2920</v>
      </c>
      <c r="J268" s="392">
        <v>2.0</v>
      </c>
      <c r="K268" s="392" t="s">
        <v>2289</v>
      </c>
      <c r="L268" s="391" t="s">
        <v>2922</v>
      </c>
      <c r="M268" s="391" t="s">
        <v>2858</v>
      </c>
      <c r="N268" s="364"/>
      <c r="O268" s="364"/>
      <c r="P268" s="365" t="s">
        <v>2594</v>
      </c>
      <c r="Q268" s="365" t="s">
        <v>2594</v>
      </c>
      <c r="R268" s="395"/>
      <c r="S268" s="395"/>
      <c r="T268" s="395"/>
      <c r="U268" s="395"/>
      <c r="V268" s="395"/>
      <c r="W268" s="395"/>
      <c r="X268" s="395"/>
      <c r="Y268" s="395"/>
      <c r="Z268" s="395"/>
      <c r="AA268" s="395"/>
      <c r="AB268" s="395"/>
    </row>
    <row r="269">
      <c r="A269" s="391" t="s">
        <v>127</v>
      </c>
      <c r="B269" s="392" t="s">
        <v>128</v>
      </c>
      <c r="C269" s="400">
        <v>45872.0</v>
      </c>
      <c r="D269" s="391" t="s">
        <v>2917</v>
      </c>
      <c r="E269" s="392" t="s">
        <v>2918</v>
      </c>
      <c r="F269" s="392" t="s">
        <v>2853</v>
      </c>
      <c r="G269" s="392" t="s">
        <v>2919</v>
      </c>
      <c r="H269" s="392" t="s">
        <v>2855</v>
      </c>
      <c r="I269" s="392" t="s">
        <v>2920</v>
      </c>
      <c r="J269" s="392">
        <v>3.0</v>
      </c>
      <c r="K269" s="392" t="s">
        <v>2294</v>
      </c>
      <c r="L269" s="391" t="s">
        <v>2923</v>
      </c>
      <c r="M269" s="391" t="s">
        <v>2858</v>
      </c>
      <c r="N269" s="364"/>
      <c r="O269" s="364"/>
      <c r="P269" s="365" t="s">
        <v>2594</v>
      </c>
      <c r="Q269" s="365" t="s">
        <v>2594</v>
      </c>
      <c r="R269" s="395"/>
      <c r="S269" s="395"/>
      <c r="T269" s="395"/>
      <c r="U269" s="395"/>
      <c r="V269" s="395"/>
      <c r="W269" s="395"/>
      <c r="X269" s="395"/>
      <c r="Y269" s="395"/>
      <c r="Z269" s="395"/>
      <c r="AA269" s="395"/>
      <c r="AB269" s="395"/>
    </row>
    <row r="270">
      <c r="A270" s="391" t="s">
        <v>127</v>
      </c>
      <c r="B270" s="392" t="s">
        <v>128</v>
      </c>
      <c r="C270" s="400">
        <v>45872.0</v>
      </c>
      <c r="D270" s="391" t="s">
        <v>2917</v>
      </c>
      <c r="E270" s="392" t="s">
        <v>2918</v>
      </c>
      <c r="F270" s="392" t="s">
        <v>2853</v>
      </c>
      <c r="G270" s="392" t="s">
        <v>2919</v>
      </c>
      <c r="H270" s="392" t="s">
        <v>2855</v>
      </c>
      <c r="I270" s="392" t="s">
        <v>2920</v>
      </c>
      <c r="J270" s="392">
        <v>4.0</v>
      </c>
      <c r="K270" s="392" t="s">
        <v>2289</v>
      </c>
      <c r="L270" s="391" t="s">
        <v>2924</v>
      </c>
      <c r="M270" s="391" t="s">
        <v>2858</v>
      </c>
      <c r="N270" s="364"/>
      <c r="O270" s="364"/>
      <c r="P270" s="365" t="s">
        <v>2594</v>
      </c>
      <c r="Q270" s="365" t="s">
        <v>2594</v>
      </c>
      <c r="R270" s="395"/>
      <c r="S270" s="395"/>
      <c r="T270" s="395"/>
      <c r="U270" s="395"/>
      <c r="V270" s="395"/>
      <c r="W270" s="395"/>
      <c r="X270" s="395"/>
      <c r="Y270" s="395"/>
      <c r="Z270" s="395"/>
      <c r="AA270" s="395"/>
      <c r="AB270" s="395"/>
    </row>
    <row r="271">
      <c r="A271" s="391" t="s">
        <v>127</v>
      </c>
      <c r="B271" s="392" t="s">
        <v>128</v>
      </c>
      <c r="C271" s="400">
        <v>45872.0</v>
      </c>
      <c r="D271" s="391" t="s">
        <v>2917</v>
      </c>
      <c r="E271" s="392" t="s">
        <v>2918</v>
      </c>
      <c r="F271" s="392" t="s">
        <v>2853</v>
      </c>
      <c r="G271" s="392" t="s">
        <v>2919</v>
      </c>
      <c r="H271" s="392" t="s">
        <v>2855</v>
      </c>
      <c r="I271" s="392" t="s">
        <v>2920</v>
      </c>
      <c r="J271" s="392">
        <v>5.0</v>
      </c>
      <c r="K271" s="392" t="s">
        <v>2294</v>
      </c>
      <c r="L271" s="391" t="s">
        <v>2925</v>
      </c>
      <c r="M271" s="391" t="s">
        <v>2858</v>
      </c>
      <c r="N271" s="364"/>
      <c r="O271" s="364"/>
      <c r="P271" s="365" t="s">
        <v>2594</v>
      </c>
      <c r="Q271" s="365" t="s">
        <v>2594</v>
      </c>
      <c r="R271" s="395"/>
      <c r="S271" s="395"/>
      <c r="T271" s="395"/>
      <c r="U271" s="395"/>
      <c r="V271" s="395"/>
      <c r="W271" s="395"/>
      <c r="X271" s="395"/>
      <c r="Y271" s="395"/>
      <c r="Z271" s="395"/>
      <c r="AA271" s="395"/>
      <c r="AB271" s="395"/>
    </row>
    <row r="272">
      <c r="A272" s="391" t="s">
        <v>127</v>
      </c>
      <c r="B272" s="392" t="s">
        <v>128</v>
      </c>
      <c r="C272" s="400">
        <v>45903.0</v>
      </c>
      <c r="D272" s="391" t="s">
        <v>2926</v>
      </c>
      <c r="E272" s="392" t="s">
        <v>2927</v>
      </c>
      <c r="F272" s="392" t="s">
        <v>2853</v>
      </c>
      <c r="G272" s="392" t="s">
        <v>2928</v>
      </c>
      <c r="H272" s="392" t="s">
        <v>2855</v>
      </c>
      <c r="I272" s="392" t="s">
        <v>2929</v>
      </c>
      <c r="J272" s="392">
        <v>1.0</v>
      </c>
      <c r="K272" s="392" t="s">
        <v>2289</v>
      </c>
      <c r="L272" s="391" t="s">
        <v>2930</v>
      </c>
      <c r="M272" s="391" t="s">
        <v>2858</v>
      </c>
      <c r="N272" s="364"/>
      <c r="O272" s="364"/>
      <c r="P272" s="365" t="s">
        <v>2594</v>
      </c>
      <c r="Q272" s="365" t="s">
        <v>2594</v>
      </c>
      <c r="R272" s="395"/>
      <c r="S272" s="395"/>
      <c r="T272" s="395"/>
      <c r="U272" s="395"/>
      <c r="V272" s="395"/>
      <c r="W272" s="395"/>
      <c r="X272" s="395"/>
      <c r="Y272" s="395"/>
      <c r="Z272" s="395"/>
      <c r="AA272" s="395"/>
      <c r="AB272" s="395"/>
    </row>
    <row r="273">
      <c r="A273" s="391" t="s">
        <v>127</v>
      </c>
      <c r="B273" s="392" t="s">
        <v>128</v>
      </c>
      <c r="C273" s="400">
        <v>45903.0</v>
      </c>
      <c r="D273" s="391" t="s">
        <v>2926</v>
      </c>
      <c r="E273" s="392" t="s">
        <v>2927</v>
      </c>
      <c r="F273" s="392" t="s">
        <v>2853</v>
      </c>
      <c r="G273" s="392" t="s">
        <v>2928</v>
      </c>
      <c r="H273" s="392" t="s">
        <v>2855</v>
      </c>
      <c r="I273" s="392" t="s">
        <v>2929</v>
      </c>
      <c r="J273" s="392">
        <v>2.0</v>
      </c>
      <c r="K273" s="392" t="s">
        <v>2289</v>
      </c>
      <c r="L273" s="391" t="s">
        <v>2931</v>
      </c>
      <c r="M273" s="391" t="s">
        <v>2858</v>
      </c>
      <c r="N273" s="364"/>
      <c r="O273" s="364"/>
      <c r="P273" s="365" t="s">
        <v>2594</v>
      </c>
      <c r="Q273" s="365" t="s">
        <v>2594</v>
      </c>
      <c r="R273" s="395"/>
      <c r="S273" s="395"/>
      <c r="T273" s="395"/>
      <c r="U273" s="395"/>
      <c r="V273" s="395"/>
      <c r="W273" s="395"/>
      <c r="X273" s="395"/>
      <c r="Y273" s="395"/>
      <c r="Z273" s="395"/>
      <c r="AA273" s="395"/>
      <c r="AB273" s="395"/>
    </row>
    <row r="274">
      <c r="A274" s="391" t="s">
        <v>127</v>
      </c>
      <c r="B274" s="392" t="s">
        <v>128</v>
      </c>
      <c r="C274" s="400">
        <v>45903.0</v>
      </c>
      <c r="D274" s="391" t="s">
        <v>2926</v>
      </c>
      <c r="E274" s="392" t="s">
        <v>2927</v>
      </c>
      <c r="F274" s="392" t="s">
        <v>2853</v>
      </c>
      <c r="G274" s="392" t="s">
        <v>2928</v>
      </c>
      <c r="H274" s="392" t="s">
        <v>2855</v>
      </c>
      <c r="I274" s="392" t="s">
        <v>2929</v>
      </c>
      <c r="J274" s="392">
        <v>3.0</v>
      </c>
      <c r="K274" s="392" t="s">
        <v>2294</v>
      </c>
      <c r="L274" s="391" t="s">
        <v>2932</v>
      </c>
      <c r="M274" s="391" t="s">
        <v>2858</v>
      </c>
      <c r="N274" s="364"/>
      <c r="O274" s="364"/>
      <c r="P274" s="365" t="s">
        <v>2594</v>
      </c>
      <c r="Q274" s="365" t="s">
        <v>2594</v>
      </c>
      <c r="R274" s="395"/>
      <c r="S274" s="395"/>
      <c r="T274" s="395"/>
      <c r="U274" s="395"/>
      <c r="V274" s="395"/>
      <c r="W274" s="395"/>
      <c r="X274" s="395"/>
      <c r="Y274" s="395"/>
      <c r="Z274" s="395"/>
      <c r="AA274" s="395"/>
      <c r="AB274" s="395"/>
    </row>
    <row r="275">
      <c r="A275" s="391" t="s">
        <v>127</v>
      </c>
      <c r="B275" s="392" t="s">
        <v>128</v>
      </c>
      <c r="C275" s="400">
        <v>45903.0</v>
      </c>
      <c r="D275" s="391" t="s">
        <v>2926</v>
      </c>
      <c r="E275" s="392" t="s">
        <v>2927</v>
      </c>
      <c r="F275" s="392" t="s">
        <v>2853</v>
      </c>
      <c r="G275" s="392" t="s">
        <v>2928</v>
      </c>
      <c r="H275" s="392" t="s">
        <v>2855</v>
      </c>
      <c r="I275" s="392" t="s">
        <v>2929</v>
      </c>
      <c r="J275" s="392">
        <v>4.0</v>
      </c>
      <c r="K275" s="392" t="s">
        <v>2289</v>
      </c>
      <c r="L275" s="391" t="s">
        <v>2933</v>
      </c>
      <c r="M275" s="391" t="s">
        <v>2858</v>
      </c>
      <c r="N275" s="364"/>
      <c r="O275" s="364"/>
      <c r="P275" s="365" t="s">
        <v>2594</v>
      </c>
      <c r="Q275" s="365" t="s">
        <v>2594</v>
      </c>
      <c r="R275" s="395"/>
      <c r="S275" s="395"/>
      <c r="T275" s="395"/>
      <c r="U275" s="395"/>
      <c r="V275" s="395"/>
      <c r="W275" s="395"/>
      <c r="X275" s="395"/>
      <c r="Y275" s="395"/>
      <c r="Z275" s="395"/>
      <c r="AA275" s="395"/>
      <c r="AB275" s="395"/>
    </row>
    <row r="276">
      <c r="A276" s="391" t="s">
        <v>127</v>
      </c>
      <c r="B276" s="392" t="s">
        <v>128</v>
      </c>
      <c r="C276" s="400">
        <v>45903.0</v>
      </c>
      <c r="D276" s="391" t="s">
        <v>2926</v>
      </c>
      <c r="E276" s="392" t="s">
        <v>2927</v>
      </c>
      <c r="F276" s="392" t="s">
        <v>2853</v>
      </c>
      <c r="G276" s="392" t="s">
        <v>2928</v>
      </c>
      <c r="H276" s="392" t="s">
        <v>2855</v>
      </c>
      <c r="I276" s="392" t="s">
        <v>2929</v>
      </c>
      <c r="J276" s="392">
        <v>5.0</v>
      </c>
      <c r="K276" s="392" t="s">
        <v>2294</v>
      </c>
      <c r="L276" s="391" t="s">
        <v>2934</v>
      </c>
      <c r="M276" s="391" t="s">
        <v>2858</v>
      </c>
      <c r="N276" s="364"/>
      <c r="O276" s="364"/>
      <c r="P276" s="365" t="s">
        <v>2594</v>
      </c>
      <c r="Q276" s="365" t="s">
        <v>2594</v>
      </c>
      <c r="R276" s="395"/>
      <c r="S276" s="395"/>
      <c r="T276" s="395"/>
      <c r="U276" s="395"/>
      <c r="V276" s="395"/>
      <c r="W276" s="395"/>
      <c r="X276" s="395"/>
      <c r="Y276" s="395"/>
      <c r="Z276" s="395"/>
      <c r="AA276" s="395"/>
      <c r="AB276" s="395"/>
    </row>
    <row r="277">
      <c r="A277" s="391" t="s">
        <v>127</v>
      </c>
      <c r="B277" s="392" t="s">
        <v>128</v>
      </c>
      <c r="C277" s="400">
        <v>45933.0</v>
      </c>
      <c r="D277" s="391" t="s">
        <v>2935</v>
      </c>
      <c r="E277" s="392" t="s">
        <v>2936</v>
      </c>
      <c r="F277" s="392" t="s">
        <v>2853</v>
      </c>
      <c r="G277" s="392" t="s">
        <v>2937</v>
      </c>
      <c r="H277" s="392" t="s">
        <v>2855</v>
      </c>
      <c r="I277" s="392" t="s">
        <v>2938</v>
      </c>
      <c r="J277" s="392">
        <v>1.0</v>
      </c>
      <c r="K277" s="392" t="s">
        <v>2289</v>
      </c>
      <c r="L277" s="391" t="s">
        <v>2939</v>
      </c>
      <c r="M277" s="391" t="s">
        <v>2858</v>
      </c>
      <c r="N277" s="364"/>
      <c r="O277" s="364"/>
      <c r="P277" s="365" t="s">
        <v>2594</v>
      </c>
      <c r="Q277" s="365" t="s">
        <v>2594</v>
      </c>
      <c r="R277" s="395"/>
      <c r="S277" s="395"/>
      <c r="T277" s="395"/>
      <c r="U277" s="395"/>
      <c r="V277" s="395"/>
      <c r="W277" s="395"/>
      <c r="X277" s="395"/>
      <c r="Y277" s="395"/>
      <c r="Z277" s="395"/>
      <c r="AA277" s="395"/>
      <c r="AB277" s="395"/>
    </row>
    <row r="278">
      <c r="A278" s="391" t="s">
        <v>127</v>
      </c>
      <c r="B278" s="392" t="s">
        <v>128</v>
      </c>
      <c r="C278" s="400">
        <v>45933.0</v>
      </c>
      <c r="D278" s="391" t="s">
        <v>2935</v>
      </c>
      <c r="E278" s="392" t="s">
        <v>2936</v>
      </c>
      <c r="F278" s="392" t="s">
        <v>2853</v>
      </c>
      <c r="G278" s="392" t="s">
        <v>2937</v>
      </c>
      <c r="H278" s="392" t="s">
        <v>2855</v>
      </c>
      <c r="I278" s="392" t="s">
        <v>2938</v>
      </c>
      <c r="J278" s="392">
        <v>2.0</v>
      </c>
      <c r="K278" s="392" t="s">
        <v>2294</v>
      </c>
      <c r="L278" s="391" t="s">
        <v>2940</v>
      </c>
      <c r="M278" s="391" t="s">
        <v>2858</v>
      </c>
      <c r="N278" s="364"/>
      <c r="O278" s="364"/>
      <c r="P278" s="365" t="s">
        <v>2594</v>
      </c>
      <c r="Q278" s="365" t="s">
        <v>2594</v>
      </c>
      <c r="R278" s="395"/>
      <c r="S278" s="395"/>
      <c r="T278" s="395"/>
      <c r="U278" s="395"/>
      <c r="V278" s="395"/>
      <c r="W278" s="395"/>
      <c r="X278" s="395"/>
      <c r="Y278" s="395"/>
      <c r="Z278" s="395"/>
      <c r="AA278" s="395"/>
      <c r="AB278" s="395"/>
    </row>
    <row r="279">
      <c r="A279" s="391" t="s">
        <v>127</v>
      </c>
      <c r="B279" s="392" t="s">
        <v>128</v>
      </c>
      <c r="C279" s="400">
        <v>45933.0</v>
      </c>
      <c r="D279" s="391" t="s">
        <v>2935</v>
      </c>
      <c r="E279" s="392" t="s">
        <v>2936</v>
      </c>
      <c r="F279" s="392" t="s">
        <v>2853</v>
      </c>
      <c r="G279" s="392" t="s">
        <v>2937</v>
      </c>
      <c r="H279" s="392" t="s">
        <v>2855</v>
      </c>
      <c r="I279" s="392" t="s">
        <v>2938</v>
      </c>
      <c r="J279" s="392">
        <v>3.0</v>
      </c>
      <c r="K279" s="392" t="s">
        <v>2289</v>
      </c>
      <c r="L279" s="391" t="s">
        <v>576</v>
      </c>
      <c r="M279" s="391" t="s">
        <v>2858</v>
      </c>
      <c r="N279" s="364"/>
      <c r="O279" s="364"/>
      <c r="P279" s="365" t="s">
        <v>2594</v>
      </c>
      <c r="Q279" s="365" t="s">
        <v>2594</v>
      </c>
      <c r="R279" s="395"/>
      <c r="S279" s="395"/>
      <c r="T279" s="395"/>
      <c r="U279" s="395"/>
      <c r="V279" s="395"/>
      <c r="W279" s="395"/>
      <c r="X279" s="395"/>
      <c r="Y279" s="395"/>
      <c r="Z279" s="395"/>
      <c r="AA279" s="395"/>
      <c r="AB279" s="395"/>
    </row>
    <row r="280">
      <c r="A280" s="391" t="s">
        <v>127</v>
      </c>
      <c r="B280" s="392" t="s">
        <v>128</v>
      </c>
      <c r="C280" s="400">
        <v>45933.0</v>
      </c>
      <c r="D280" s="391" t="s">
        <v>2935</v>
      </c>
      <c r="E280" s="392" t="s">
        <v>2936</v>
      </c>
      <c r="F280" s="392" t="s">
        <v>2853</v>
      </c>
      <c r="G280" s="392" t="s">
        <v>2937</v>
      </c>
      <c r="H280" s="392" t="s">
        <v>2855</v>
      </c>
      <c r="I280" s="392" t="s">
        <v>2938</v>
      </c>
      <c r="J280" s="392">
        <v>4.0</v>
      </c>
      <c r="K280" s="392" t="s">
        <v>2289</v>
      </c>
      <c r="L280" s="391" t="s">
        <v>2941</v>
      </c>
      <c r="M280" s="391" t="s">
        <v>2858</v>
      </c>
      <c r="N280" s="364"/>
      <c r="O280" s="364"/>
      <c r="P280" s="365" t="s">
        <v>2594</v>
      </c>
      <c r="Q280" s="365" t="s">
        <v>2594</v>
      </c>
      <c r="R280" s="395"/>
      <c r="S280" s="395"/>
      <c r="T280" s="395"/>
      <c r="U280" s="395"/>
      <c r="V280" s="395"/>
      <c r="W280" s="395"/>
      <c r="X280" s="395"/>
      <c r="Y280" s="395"/>
      <c r="Z280" s="395"/>
      <c r="AA280" s="395"/>
      <c r="AB280" s="395"/>
    </row>
    <row r="281">
      <c r="A281" s="391" t="s">
        <v>127</v>
      </c>
      <c r="B281" s="392" t="s">
        <v>128</v>
      </c>
      <c r="C281" s="400">
        <v>45933.0</v>
      </c>
      <c r="D281" s="391" t="s">
        <v>2935</v>
      </c>
      <c r="E281" s="392" t="s">
        <v>2936</v>
      </c>
      <c r="F281" s="392" t="s">
        <v>2853</v>
      </c>
      <c r="G281" s="392" t="s">
        <v>2937</v>
      </c>
      <c r="H281" s="392" t="s">
        <v>2855</v>
      </c>
      <c r="I281" s="392" t="s">
        <v>2938</v>
      </c>
      <c r="J281" s="392">
        <v>5.0</v>
      </c>
      <c r="K281" s="392" t="s">
        <v>2294</v>
      </c>
      <c r="L281" s="391" t="s">
        <v>2942</v>
      </c>
      <c r="M281" s="391" t="s">
        <v>2858</v>
      </c>
      <c r="N281" s="364"/>
      <c r="O281" s="364"/>
      <c r="P281" s="365" t="s">
        <v>2594</v>
      </c>
      <c r="Q281" s="365" t="s">
        <v>2594</v>
      </c>
      <c r="R281" s="395"/>
      <c r="S281" s="395"/>
      <c r="T281" s="395"/>
      <c r="U281" s="395"/>
      <c r="V281" s="395"/>
      <c r="W281" s="395"/>
      <c r="X281" s="395"/>
      <c r="Y281" s="395"/>
      <c r="Z281" s="395"/>
      <c r="AA281" s="395"/>
      <c r="AB281" s="395"/>
    </row>
    <row r="282">
      <c r="A282" s="391" t="s">
        <v>127</v>
      </c>
      <c r="B282" s="392" t="s">
        <v>128</v>
      </c>
      <c r="C282" s="400">
        <v>45964.0</v>
      </c>
      <c r="D282" s="391" t="s">
        <v>2943</v>
      </c>
      <c r="E282" s="392" t="s">
        <v>2944</v>
      </c>
      <c r="F282" s="392" t="s">
        <v>2853</v>
      </c>
      <c r="G282" s="392" t="s">
        <v>2945</v>
      </c>
      <c r="H282" s="392" t="s">
        <v>2855</v>
      </c>
      <c r="I282" s="392" t="s">
        <v>2946</v>
      </c>
      <c r="J282" s="392">
        <v>1.0</v>
      </c>
      <c r="K282" s="392" t="s">
        <v>2289</v>
      </c>
      <c r="L282" s="391" t="s">
        <v>2947</v>
      </c>
      <c r="M282" s="391" t="s">
        <v>2858</v>
      </c>
      <c r="N282" s="364"/>
      <c r="O282" s="364"/>
      <c r="P282" s="365" t="s">
        <v>2594</v>
      </c>
      <c r="Q282" s="365" t="s">
        <v>2594</v>
      </c>
      <c r="R282" s="395"/>
      <c r="S282" s="395"/>
      <c r="T282" s="395"/>
      <c r="U282" s="395"/>
      <c r="V282" s="395"/>
      <c r="W282" s="395"/>
      <c r="X282" s="395"/>
      <c r="Y282" s="395"/>
      <c r="Z282" s="395"/>
      <c r="AA282" s="395"/>
      <c r="AB282" s="395"/>
    </row>
    <row r="283">
      <c r="A283" s="391" t="s">
        <v>127</v>
      </c>
      <c r="B283" s="392" t="s">
        <v>128</v>
      </c>
      <c r="C283" s="400">
        <v>45964.0</v>
      </c>
      <c r="D283" s="391" t="s">
        <v>2943</v>
      </c>
      <c r="E283" s="392" t="s">
        <v>2944</v>
      </c>
      <c r="F283" s="392" t="s">
        <v>2853</v>
      </c>
      <c r="G283" s="392" t="s">
        <v>2945</v>
      </c>
      <c r="H283" s="392" t="s">
        <v>2855</v>
      </c>
      <c r="I283" s="392" t="s">
        <v>2946</v>
      </c>
      <c r="J283" s="392">
        <v>2.0</v>
      </c>
      <c r="K283" s="392" t="s">
        <v>2289</v>
      </c>
      <c r="L283" s="391" t="s">
        <v>600</v>
      </c>
      <c r="M283" s="391" t="s">
        <v>2858</v>
      </c>
      <c r="N283" s="364"/>
      <c r="O283" s="364"/>
      <c r="P283" s="365" t="s">
        <v>2594</v>
      </c>
      <c r="Q283" s="365" t="s">
        <v>2594</v>
      </c>
      <c r="R283" s="395"/>
      <c r="S283" s="395"/>
      <c r="T283" s="395"/>
      <c r="U283" s="395"/>
      <c r="V283" s="395"/>
      <c r="W283" s="395"/>
      <c r="X283" s="395"/>
      <c r="Y283" s="395"/>
      <c r="Z283" s="395"/>
      <c r="AA283" s="395"/>
      <c r="AB283" s="395"/>
    </row>
    <row r="284">
      <c r="A284" s="391" t="s">
        <v>127</v>
      </c>
      <c r="B284" s="392" t="s">
        <v>128</v>
      </c>
      <c r="C284" s="400">
        <v>45964.0</v>
      </c>
      <c r="D284" s="391" t="s">
        <v>2943</v>
      </c>
      <c r="E284" s="392" t="s">
        <v>2944</v>
      </c>
      <c r="F284" s="392" t="s">
        <v>2853</v>
      </c>
      <c r="G284" s="392" t="s">
        <v>2945</v>
      </c>
      <c r="H284" s="392" t="s">
        <v>2855</v>
      </c>
      <c r="I284" s="392" t="s">
        <v>2946</v>
      </c>
      <c r="J284" s="392">
        <v>3.0</v>
      </c>
      <c r="K284" s="392" t="s">
        <v>2294</v>
      </c>
      <c r="L284" s="391" t="s">
        <v>2948</v>
      </c>
      <c r="M284" s="391" t="s">
        <v>2858</v>
      </c>
      <c r="N284" s="364"/>
      <c r="O284" s="364"/>
      <c r="P284" s="365" t="s">
        <v>2594</v>
      </c>
      <c r="Q284" s="365" t="s">
        <v>2594</v>
      </c>
      <c r="R284" s="395"/>
      <c r="S284" s="395"/>
      <c r="T284" s="395"/>
      <c r="U284" s="395"/>
      <c r="V284" s="395"/>
      <c r="W284" s="395"/>
      <c r="X284" s="395"/>
      <c r="Y284" s="395"/>
      <c r="Z284" s="395"/>
      <c r="AA284" s="395"/>
      <c r="AB284" s="395"/>
    </row>
    <row r="285">
      <c r="A285" s="391" t="s">
        <v>127</v>
      </c>
      <c r="B285" s="392" t="s">
        <v>128</v>
      </c>
      <c r="C285" s="400">
        <v>45964.0</v>
      </c>
      <c r="D285" s="391" t="s">
        <v>2943</v>
      </c>
      <c r="E285" s="392" t="s">
        <v>2944</v>
      </c>
      <c r="F285" s="392" t="s">
        <v>2853</v>
      </c>
      <c r="G285" s="392" t="s">
        <v>2945</v>
      </c>
      <c r="H285" s="392" t="s">
        <v>2855</v>
      </c>
      <c r="I285" s="392" t="s">
        <v>2946</v>
      </c>
      <c r="J285" s="392">
        <v>4.0</v>
      </c>
      <c r="K285" s="392" t="s">
        <v>2289</v>
      </c>
      <c r="L285" s="391" t="s">
        <v>2949</v>
      </c>
      <c r="M285" s="391" t="s">
        <v>2858</v>
      </c>
      <c r="N285" s="364"/>
      <c r="O285" s="364"/>
      <c r="P285" s="365" t="s">
        <v>2594</v>
      </c>
      <c r="Q285" s="365" t="s">
        <v>2594</v>
      </c>
      <c r="R285" s="395"/>
      <c r="S285" s="395"/>
      <c r="T285" s="395"/>
      <c r="U285" s="395"/>
      <c r="V285" s="395"/>
      <c r="W285" s="395"/>
      <c r="X285" s="395"/>
      <c r="Y285" s="395"/>
      <c r="Z285" s="395"/>
      <c r="AA285" s="395"/>
      <c r="AB285" s="395"/>
    </row>
    <row r="286">
      <c r="A286" s="391" t="s">
        <v>127</v>
      </c>
      <c r="B286" s="392" t="s">
        <v>128</v>
      </c>
      <c r="C286" s="400">
        <v>45964.0</v>
      </c>
      <c r="D286" s="391" t="s">
        <v>2943</v>
      </c>
      <c r="E286" s="392" t="s">
        <v>2944</v>
      </c>
      <c r="F286" s="392" t="s">
        <v>2853</v>
      </c>
      <c r="G286" s="392" t="s">
        <v>2945</v>
      </c>
      <c r="H286" s="392" t="s">
        <v>2855</v>
      </c>
      <c r="I286" s="392" t="s">
        <v>2946</v>
      </c>
      <c r="J286" s="392">
        <v>5.0</v>
      </c>
      <c r="K286" s="392" t="s">
        <v>2294</v>
      </c>
      <c r="L286" s="391" t="s">
        <v>2950</v>
      </c>
      <c r="M286" s="391" t="s">
        <v>2858</v>
      </c>
      <c r="N286" s="364"/>
      <c r="O286" s="364"/>
      <c r="P286" s="365" t="s">
        <v>2594</v>
      </c>
      <c r="Q286" s="365" t="s">
        <v>2594</v>
      </c>
      <c r="R286" s="395"/>
      <c r="S286" s="395"/>
      <c r="T286" s="395"/>
      <c r="U286" s="395"/>
      <c r="V286" s="395"/>
      <c r="W286" s="395"/>
      <c r="X286" s="395"/>
      <c r="Y286" s="395"/>
      <c r="Z286" s="395"/>
      <c r="AA286" s="395"/>
      <c r="AB286" s="395"/>
    </row>
    <row r="287">
      <c r="A287" s="391" t="s">
        <v>127</v>
      </c>
      <c r="B287" s="392" t="s">
        <v>128</v>
      </c>
      <c r="C287" s="400">
        <v>45994.0</v>
      </c>
      <c r="D287" s="391" t="s">
        <v>2951</v>
      </c>
      <c r="E287" s="392" t="s">
        <v>2952</v>
      </c>
      <c r="F287" s="392" t="s">
        <v>2853</v>
      </c>
      <c r="G287" s="392" t="s">
        <v>2953</v>
      </c>
      <c r="H287" s="392" t="s">
        <v>2855</v>
      </c>
      <c r="I287" s="392" t="s">
        <v>2954</v>
      </c>
      <c r="J287" s="392">
        <v>1.0</v>
      </c>
      <c r="K287" s="392" t="s">
        <v>2289</v>
      </c>
      <c r="L287" s="391" t="s">
        <v>2955</v>
      </c>
      <c r="M287" s="391" t="s">
        <v>2858</v>
      </c>
      <c r="N287" s="364"/>
      <c r="O287" s="364"/>
      <c r="P287" s="365" t="s">
        <v>2594</v>
      </c>
      <c r="Q287" s="365" t="s">
        <v>2594</v>
      </c>
      <c r="R287" s="395"/>
      <c r="S287" s="395"/>
      <c r="T287" s="395"/>
      <c r="U287" s="395"/>
      <c r="V287" s="395"/>
      <c r="W287" s="395"/>
      <c r="X287" s="395"/>
      <c r="Y287" s="395"/>
      <c r="Z287" s="395"/>
      <c r="AA287" s="395"/>
      <c r="AB287" s="395"/>
    </row>
    <row r="288">
      <c r="A288" s="391" t="s">
        <v>127</v>
      </c>
      <c r="B288" s="392" t="s">
        <v>128</v>
      </c>
      <c r="C288" s="400">
        <v>45994.0</v>
      </c>
      <c r="D288" s="391" t="s">
        <v>2951</v>
      </c>
      <c r="E288" s="392" t="s">
        <v>2952</v>
      </c>
      <c r="F288" s="392" t="s">
        <v>2853</v>
      </c>
      <c r="G288" s="392" t="s">
        <v>2953</v>
      </c>
      <c r="H288" s="392" t="s">
        <v>2855</v>
      </c>
      <c r="I288" s="392" t="s">
        <v>2954</v>
      </c>
      <c r="J288" s="392">
        <v>2.0</v>
      </c>
      <c r="K288" s="392" t="s">
        <v>2289</v>
      </c>
      <c r="L288" s="391" t="s">
        <v>2956</v>
      </c>
      <c r="M288" s="391" t="s">
        <v>2858</v>
      </c>
      <c r="N288" s="364"/>
      <c r="O288" s="364"/>
      <c r="P288" s="365" t="s">
        <v>2594</v>
      </c>
      <c r="Q288" s="365" t="s">
        <v>2594</v>
      </c>
      <c r="R288" s="395"/>
      <c r="S288" s="395"/>
      <c r="T288" s="395"/>
      <c r="U288" s="395"/>
      <c r="V288" s="395"/>
      <c r="W288" s="395"/>
      <c r="X288" s="395"/>
      <c r="Y288" s="395"/>
      <c r="Z288" s="395"/>
      <c r="AA288" s="395"/>
      <c r="AB288" s="395"/>
    </row>
    <row r="289">
      <c r="A289" s="391" t="s">
        <v>127</v>
      </c>
      <c r="B289" s="392" t="s">
        <v>128</v>
      </c>
      <c r="C289" s="400">
        <v>45994.0</v>
      </c>
      <c r="D289" s="391" t="s">
        <v>2951</v>
      </c>
      <c r="E289" s="392" t="s">
        <v>2952</v>
      </c>
      <c r="F289" s="392" t="s">
        <v>2853</v>
      </c>
      <c r="G289" s="392" t="s">
        <v>2953</v>
      </c>
      <c r="H289" s="392" t="s">
        <v>2855</v>
      </c>
      <c r="I289" s="392" t="s">
        <v>2954</v>
      </c>
      <c r="J289" s="392">
        <v>3.0</v>
      </c>
      <c r="K289" s="392" t="s">
        <v>2294</v>
      </c>
      <c r="L289" s="391" t="s">
        <v>2957</v>
      </c>
      <c r="M289" s="391" t="s">
        <v>2858</v>
      </c>
      <c r="N289" s="364"/>
      <c r="O289" s="364"/>
      <c r="P289" s="365" t="s">
        <v>2594</v>
      </c>
      <c r="Q289" s="365" t="s">
        <v>2594</v>
      </c>
      <c r="R289" s="395"/>
      <c r="S289" s="395"/>
      <c r="T289" s="395"/>
      <c r="U289" s="395"/>
      <c r="V289" s="395"/>
      <c r="W289" s="395"/>
      <c r="X289" s="395"/>
      <c r="Y289" s="395"/>
      <c r="Z289" s="395"/>
      <c r="AA289" s="395"/>
      <c r="AB289" s="395"/>
    </row>
    <row r="290">
      <c r="A290" s="391" t="s">
        <v>127</v>
      </c>
      <c r="B290" s="392" t="s">
        <v>128</v>
      </c>
      <c r="C290" s="400">
        <v>45994.0</v>
      </c>
      <c r="D290" s="391" t="s">
        <v>2951</v>
      </c>
      <c r="E290" s="392" t="s">
        <v>2952</v>
      </c>
      <c r="F290" s="392" t="s">
        <v>2853</v>
      </c>
      <c r="G290" s="392" t="s">
        <v>2953</v>
      </c>
      <c r="H290" s="392" t="s">
        <v>2855</v>
      </c>
      <c r="I290" s="392" t="s">
        <v>2954</v>
      </c>
      <c r="J290" s="392">
        <v>4.0</v>
      </c>
      <c r="K290" s="392" t="s">
        <v>2289</v>
      </c>
      <c r="L290" s="391" t="s">
        <v>2958</v>
      </c>
      <c r="M290" s="391" t="s">
        <v>2858</v>
      </c>
      <c r="N290" s="364"/>
      <c r="O290" s="364"/>
      <c r="P290" s="365" t="s">
        <v>2594</v>
      </c>
      <c r="Q290" s="365" t="s">
        <v>2594</v>
      </c>
      <c r="R290" s="395"/>
      <c r="S290" s="395"/>
      <c r="T290" s="395"/>
      <c r="U290" s="395"/>
      <c r="V290" s="395"/>
      <c r="W290" s="395"/>
      <c r="X290" s="395"/>
      <c r="Y290" s="395"/>
      <c r="Z290" s="395"/>
      <c r="AA290" s="395"/>
      <c r="AB290" s="395"/>
    </row>
    <row r="291">
      <c r="A291" s="391" t="s">
        <v>127</v>
      </c>
      <c r="B291" s="392" t="s">
        <v>128</v>
      </c>
      <c r="C291" s="400">
        <v>45994.0</v>
      </c>
      <c r="D291" s="391" t="s">
        <v>2951</v>
      </c>
      <c r="E291" s="392" t="s">
        <v>2952</v>
      </c>
      <c r="F291" s="392" t="s">
        <v>2853</v>
      </c>
      <c r="G291" s="392" t="s">
        <v>2953</v>
      </c>
      <c r="H291" s="392" t="s">
        <v>2855</v>
      </c>
      <c r="I291" s="392" t="s">
        <v>2954</v>
      </c>
      <c r="J291" s="392">
        <v>5.0</v>
      </c>
      <c r="K291" s="392" t="s">
        <v>2294</v>
      </c>
      <c r="L291" s="391" t="s">
        <v>2959</v>
      </c>
      <c r="M291" s="391" t="s">
        <v>2858</v>
      </c>
      <c r="N291" s="364"/>
      <c r="O291" s="364"/>
      <c r="P291" s="365" t="s">
        <v>2594</v>
      </c>
      <c r="Q291" s="365" t="s">
        <v>2594</v>
      </c>
      <c r="R291" s="395"/>
      <c r="S291" s="395"/>
      <c r="T291" s="395"/>
      <c r="U291" s="395"/>
      <c r="V291" s="395"/>
      <c r="W291" s="395"/>
      <c r="X291" s="395"/>
      <c r="Y291" s="395"/>
      <c r="Z291" s="395"/>
      <c r="AA291" s="395"/>
      <c r="AB291" s="395"/>
    </row>
    <row r="292">
      <c r="A292" s="364"/>
      <c r="B292" s="387"/>
      <c r="C292" s="387"/>
      <c r="D292" s="364"/>
      <c r="E292" s="387"/>
      <c r="F292" s="387"/>
      <c r="G292" s="387"/>
      <c r="H292" s="387"/>
      <c r="I292" s="387"/>
      <c r="J292" s="387"/>
      <c r="K292" s="387"/>
      <c r="L292" s="364"/>
      <c r="M292" s="364"/>
      <c r="N292" s="387"/>
      <c r="O292" s="387"/>
      <c r="P292" s="387"/>
      <c r="Q292" s="387"/>
      <c r="R292" s="387"/>
      <c r="S292" s="387"/>
      <c r="T292" s="387"/>
      <c r="U292" s="387"/>
      <c r="V292" s="387"/>
      <c r="W292" s="387"/>
      <c r="X292" s="387"/>
      <c r="Y292" s="387"/>
      <c r="Z292" s="387"/>
      <c r="AA292" s="387"/>
      <c r="AB292" s="387"/>
    </row>
    <row r="293">
      <c r="A293" s="364"/>
      <c r="B293" s="387"/>
      <c r="C293" s="387"/>
      <c r="D293" s="364"/>
      <c r="E293" s="387"/>
      <c r="F293" s="387"/>
      <c r="G293" s="387"/>
      <c r="H293" s="387"/>
      <c r="I293" s="387"/>
      <c r="J293" s="387"/>
      <c r="K293" s="387"/>
      <c r="L293" s="364"/>
      <c r="M293" s="364"/>
      <c r="N293" s="387"/>
      <c r="O293" s="387"/>
      <c r="P293" s="387"/>
      <c r="Q293" s="387"/>
      <c r="R293" s="387"/>
      <c r="S293" s="387"/>
      <c r="T293" s="387"/>
      <c r="U293" s="387"/>
      <c r="V293" s="387"/>
      <c r="W293" s="387"/>
      <c r="X293" s="387"/>
      <c r="Y293" s="387"/>
      <c r="Z293" s="387"/>
      <c r="AA293" s="387"/>
      <c r="AB293" s="387"/>
    </row>
    <row r="294">
      <c r="A294" s="364"/>
      <c r="B294" s="387"/>
      <c r="C294" s="387"/>
      <c r="D294" s="364"/>
      <c r="E294" s="387"/>
      <c r="F294" s="387"/>
      <c r="G294" s="387"/>
      <c r="H294" s="387"/>
      <c r="I294" s="387"/>
      <c r="J294" s="387"/>
      <c r="K294" s="387"/>
      <c r="L294" s="364"/>
      <c r="M294" s="364"/>
      <c r="N294" s="387"/>
      <c r="O294" s="387"/>
      <c r="P294" s="387"/>
      <c r="Q294" s="387"/>
      <c r="R294" s="387"/>
      <c r="S294" s="387"/>
      <c r="T294" s="387"/>
      <c r="U294" s="387"/>
      <c r="V294" s="387"/>
      <c r="W294" s="387"/>
      <c r="X294" s="387"/>
      <c r="Y294" s="387"/>
      <c r="Z294" s="387"/>
      <c r="AA294" s="387"/>
      <c r="AB294" s="387"/>
    </row>
    <row r="295">
      <c r="A295" s="364"/>
      <c r="B295" s="387"/>
      <c r="C295" s="387"/>
      <c r="D295" s="364"/>
      <c r="E295" s="387"/>
      <c r="F295" s="387"/>
      <c r="G295" s="387"/>
      <c r="H295" s="387"/>
      <c r="I295" s="387"/>
      <c r="J295" s="387"/>
      <c r="K295" s="387"/>
      <c r="L295" s="364"/>
      <c r="M295" s="364"/>
      <c r="N295" s="387"/>
      <c r="O295" s="387"/>
      <c r="P295" s="387"/>
      <c r="Q295" s="387"/>
      <c r="R295" s="387"/>
      <c r="S295" s="387"/>
      <c r="T295" s="387"/>
      <c r="U295" s="387"/>
      <c r="V295" s="387"/>
      <c r="W295" s="387"/>
      <c r="X295" s="387"/>
      <c r="Y295" s="387"/>
      <c r="Z295" s="387"/>
      <c r="AA295" s="387"/>
      <c r="AB295" s="387"/>
    </row>
    <row r="296">
      <c r="A296" s="364"/>
      <c r="B296" s="387"/>
      <c r="C296" s="387"/>
      <c r="D296" s="364"/>
      <c r="E296" s="387"/>
      <c r="F296" s="387"/>
      <c r="G296" s="387"/>
      <c r="H296" s="387"/>
      <c r="I296" s="387"/>
      <c r="J296" s="387"/>
      <c r="K296" s="387"/>
      <c r="L296" s="364"/>
      <c r="M296" s="364"/>
      <c r="N296" s="387"/>
      <c r="O296" s="387"/>
      <c r="P296" s="387"/>
      <c r="Q296" s="387"/>
      <c r="R296" s="387"/>
      <c r="S296" s="387"/>
      <c r="T296" s="387"/>
      <c r="U296" s="387"/>
      <c r="V296" s="387"/>
      <c r="W296" s="387"/>
      <c r="X296" s="387"/>
      <c r="Y296" s="387"/>
      <c r="Z296" s="387"/>
      <c r="AA296" s="387"/>
      <c r="AB296" s="387"/>
    </row>
    <row r="297">
      <c r="A297" s="364"/>
      <c r="B297" s="387"/>
      <c r="C297" s="387"/>
      <c r="D297" s="364"/>
      <c r="E297" s="387"/>
      <c r="F297" s="387"/>
      <c r="G297" s="387"/>
      <c r="H297" s="387"/>
      <c r="I297" s="387"/>
      <c r="J297" s="387"/>
      <c r="K297" s="387"/>
      <c r="L297" s="364"/>
      <c r="M297" s="364"/>
      <c r="N297" s="387"/>
      <c r="O297" s="387"/>
      <c r="P297" s="387"/>
      <c r="Q297" s="387"/>
      <c r="R297" s="387"/>
      <c r="S297" s="387"/>
      <c r="T297" s="387"/>
      <c r="U297" s="387"/>
      <c r="V297" s="387"/>
      <c r="W297" s="387"/>
      <c r="X297" s="387"/>
      <c r="Y297" s="387"/>
      <c r="Z297" s="387"/>
      <c r="AA297" s="387"/>
      <c r="AB297" s="387"/>
    </row>
    <row r="298">
      <c r="A298" s="364"/>
      <c r="B298" s="387"/>
      <c r="C298" s="387"/>
      <c r="D298" s="364"/>
      <c r="E298" s="387"/>
      <c r="F298" s="387"/>
      <c r="G298" s="387"/>
      <c r="H298" s="387"/>
      <c r="I298" s="387"/>
      <c r="J298" s="387"/>
      <c r="K298" s="387"/>
      <c r="L298" s="364"/>
      <c r="M298" s="364"/>
      <c r="N298" s="387"/>
      <c r="O298" s="387"/>
      <c r="P298" s="387"/>
      <c r="Q298" s="387"/>
      <c r="R298" s="387"/>
      <c r="S298" s="387"/>
      <c r="T298" s="387"/>
      <c r="U298" s="387"/>
      <c r="V298" s="387"/>
      <c r="W298" s="387"/>
      <c r="X298" s="387"/>
      <c r="Y298" s="387"/>
      <c r="Z298" s="387"/>
      <c r="AA298" s="387"/>
      <c r="AB298" s="387"/>
    </row>
    <row r="299">
      <c r="A299" s="364"/>
      <c r="B299" s="387"/>
      <c r="C299" s="387"/>
      <c r="D299" s="364"/>
      <c r="E299" s="387"/>
      <c r="F299" s="387"/>
      <c r="G299" s="387"/>
      <c r="H299" s="387"/>
      <c r="I299" s="387"/>
      <c r="J299" s="387"/>
      <c r="K299" s="387"/>
      <c r="L299" s="364"/>
      <c r="M299" s="364"/>
      <c r="N299" s="387"/>
      <c r="O299" s="387"/>
      <c r="P299" s="387"/>
      <c r="Q299" s="387"/>
      <c r="R299" s="387"/>
      <c r="S299" s="387"/>
      <c r="T299" s="387"/>
      <c r="U299" s="387"/>
      <c r="V299" s="387"/>
      <c r="W299" s="387"/>
      <c r="X299" s="387"/>
      <c r="Y299" s="387"/>
      <c r="Z299" s="387"/>
      <c r="AA299" s="387"/>
      <c r="AB299" s="387"/>
    </row>
    <row r="300">
      <c r="A300" s="364"/>
      <c r="B300" s="387"/>
      <c r="C300" s="387"/>
      <c r="D300" s="364"/>
      <c r="E300" s="387"/>
      <c r="F300" s="387"/>
      <c r="G300" s="387"/>
      <c r="H300" s="387"/>
      <c r="I300" s="387"/>
      <c r="J300" s="387"/>
      <c r="K300" s="387"/>
      <c r="L300" s="364"/>
      <c r="M300" s="364"/>
      <c r="N300" s="387"/>
      <c r="O300" s="387"/>
      <c r="P300" s="387"/>
      <c r="Q300" s="387"/>
      <c r="R300" s="387"/>
      <c r="S300" s="387"/>
      <c r="T300" s="387"/>
      <c r="U300" s="387"/>
      <c r="V300" s="387"/>
      <c r="W300" s="387"/>
      <c r="X300" s="387"/>
      <c r="Y300" s="387"/>
      <c r="Z300" s="387"/>
      <c r="AA300" s="387"/>
      <c r="AB300" s="387"/>
    </row>
    <row r="301">
      <c r="A301" s="364"/>
      <c r="B301" s="387"/>
      <c r="C301" s="387"/>
      <c r="D301" s="364"/>
      <c r="E301" s="387"/>
      <c r="F301" s="387"/>
      <c r="G301" s="387"/>
      <c r="H301" s="387"/>
      <c r="I301" s="387"/>
      <c r="J301" s="387"/>
      <c r="K301" s="387"/>
      <c r="L301" s="364"/>
      <c r="M301" s="364"/>
      <c r="N301" s="387"/>
      <c r="O301" s="387"/>
      <c r="P301" s="387"/>
      <c r="Q301" s="387"/>
      <c r="R301" s="387"/>
      <c r="S301" s="387"/>
      <c r="T301" s="387"/>
      <c r="U301" s="387"/>
      <c r="V301" s="387"/>
      <c r="W301" s="387"/>
      <c r="X301" s="387"/>
      <c r="Y301" s="387"/>
      <c r="Z301" s="387"/>
      <c r="AA301" s="387"/>
      <c r="AB301" s="387"/>
    </row>
    <row r="302">
      <c r="A302" s="364"/>
      <c r="B302" s="387"/>
      <c r="C302" s="387"/>
      <c r="D302" s="364"/>
      <c r="E302" s="387"/>
      <c r="F302" s="387"/>
      <c r="G302" s="387"/>
      <c r="H302" s="387"/>
      <c r="I302" s="387"/>
      <c r="J302" s="387"/>
      <c r="K302" s="387"/>
      <c r="L302" s="364"/>
      <c r="M302" s="364"/>
      <c r="N302" s="387"/>
      <c r="O302" s="387"/>
      <c r="P302" s="387"/>
      <c r="Q302" s="387"/>
      <c r="R302" s="387"/>
      <c r="S302" s="387"/>
      <c r="T302" s="387"/>
      <c r="U302" s="387"/>
      <c r="V302" s="387"/>
      <c r="W302" s="387"/>
      <c r="X302" s="387"/>
      <c r="Y302" s="387"/>
      <c r="Z302" s="387"/>
      <c r="AA302" s="387"/>
      <c r="AB302" s="387"/>
    </row>
    <row r="303">
      <c r="A303" s="364"/>
      <c r="B303" s="387"/>
      <c r="C303" s="387"/>
      <c r="D303" s="364"/>
      <c r="E303" s="387"/>
      <c r="F303" s="387"/>
      <c r="G303" s="387"/>
      <c r="H303" s="387"/>
      <c r="I303" s="387"/>
      <c r="J303" s="387"/>
      <c r="K303" s="387"/>
      <c r="L303" s="364"/>
      <c r="M303" s="364"/>
      <c r="N303" s="387"/>
      <c r="O303" s="387"/>
      <c r="P303" s="387"/>
      <c r="Q303" s="387"/>
      <c r="R303" s="387"/>
      <c r="S303" s="387"/>
      <c r="T303" s="387"/>
      <c r="U303" s="387"/>
      <c r="V303" s="387"/>
      <c r="W303" s="387"/>
      <c r="X303" s="387"/>
      <c r="Y303" s="387"/>
      <c r="Z303" s="387"/>
      <c r="AA303" s="387"/>
      <c r="AB303" s="387"/>
    </row>
    <row r="304">
      <c r="A304" s="364"/>
      <c r="B304" s="387"/>
      <c r="C304" s="387"/>
      <c r="D304" s="364"/>
      <c r="E304" s="387"/>
      <c r="F304" s="387"/>
      <c r="G304" s="387"/>
      <c r="H304" s="387"/>
      <c r="I304" s="387"/>
      <c r="J304" s="387"/>
      <c r="K304" s="387"/>
      <c r="L304" s="364"/>
      <c r="M304" s="364"/>
      <c r="N304" s="387"/>
      <c r="O304" s="387"/>
      <c r="P304" s="387"/>
      <c r="Q304" s="387"/>
      <c r="R304" s="387"/>
      <c r="S304" s="387"/>
      <c r="T304" s="387"/>
      <c r="U304" s="387"/>
      <c r="V304" s="387"/>
      <c r="W304" s="387"/>
      <c r="X304" s="387"/>
      <c r="Y304" s="387"/>
      <c r="Z304" s="387"/>
      <c r="AA304" s="387"/>
      <c r="AB304" s="387"/>
    </row>
    <row r="305">
      <c r="A305" s="364"/>
      <c r="B305" s="387"/>
      <c r="C305" s="387"/>
      <c r="D305" s="364"/>
      <c r="E305" s="387"/>
      <c r="F305" s="387"/>
      <c r="G305" s="387"/>
      <c r="H305" s="387"/>
      <c r="I305" s="387"/>
      <c r="J305" s="387"/>
      <c r="K305" s="387"/>
      <c r="L305" s="364"/>
      <c r="M305" s="364"/>
      <c r="N305" s="387"/>
      <c r="O305" s="387"/>
      <c r="P305" s="387"/>
      <c r="Q305" s="387"/>
      <c r="R305" s="387"/>
      <c r="S305" s="387"/>
      <c r="T305" s="387"/>
      <c r="U305" s="387"/>
      <c r="V305" s="387"/>
      <c r="W305" s="387"/>
      <c r="X305" s="387"/>
      <c r="Y305" s="387"/>
      <c r="Z305" s="387"/>
      <c r="AA305" s="387"/>
      <c r="AB305" s="387"/>
    </row>
    <row r="306">
      <c r="A306" s="364"/>
      <c r="B306" s="387"/>
      <c r="C306" s="387"/>
      <c r="D306" s="364"/>
      <c r="E306" s="387"/>
      <c r="F306" s="387"/>
      <c r="G306" s="387"/>
      <c r="H306" s="387"/>
      <c r="I306" s="387"/>
      <c r="J306" s="387"/>
      <c r="K306" s="387"/>
      <c r="L306" s="364"/>
      <c r="M306" s="364"/>
      <c r="N306" s="387"/>
      <c r="O306" s="387"/>
      <c r="P306" s="387"/>
      <c r="Q306" s="387"/>
      <c r="R306" s="387"/>
      <c r="S306" s="387"/>
      <c r="T306" s="387"/>
      <c r="U306" s="387"/>
      <c r="V306" s="387"/>
      <c r="W306" s="387"/>
      <c r="X306" s="387"/>
      <c r="Y306" s="387"/>
      <c r="Z306" s="387"/>
      <c r="AA306" s="387"/>
      <c r="AB306" s="387"/>
    </row>
    <row r="307">
      <c r="A307" s="364"/>
      <c r="B307" s="387"/>
      <c r="C307" s="387"/>
      <c r="D307" s="364"/>
      <c r="E307" s="387"/>
      <c r="F307" s="387"/>
      <c r="G307" s="387"/>
      <c r="H307" s="387"/>
      <c r="I307" s="387"/>
      <c r="J307" s="387"/>
      <c r="K307" s="387"/>
      <c r="L307" s="364"/>
      <c r="M307" s="364"/>
      <c r="N307" s="387"/>
      <c r="O307" s="387"/>
      <c r="P307" s="387"/>
      <c r="Q307" s="387"/>
      <c r="R307" s="387"/>
      <c r="S307" s="387"/>
      <c r="T307" s="387"/>
      <c r="U307" s="387"/>
      <c r="V307" s="387"/>
      <c r="W307" s="387"/>
      <c r="X307" s="387"/>
      <c r="Y307" s="387"/>
      <c r="Z307" s="387"/>
      <c r="AA307" s="387"/>
      <c r="AB307" s="387"/>
    </row>
    <row r="308">
      <c r="A308" s="364"/>
      <c r="B308" s="387"/>
      <c r="C308" s="387"/>
      <c r="D308" s="364"/>
      <c r="E308" s="387"/>
      <c r="F308" s="387"/>
      <c r="G308" s="387"/>
      <c r="H308" s="387"/>
      <c r="I308" s="387"/>
      <c r="J308" s="387"/>
      <c r="K308" s="387"/>
      <c r="L308" s="364"/>
      <c r="M308" s="364"/>
      <c r="N308" s="387"/>
      <c r="O308" s="387"/>
      <c r="P308" s="387"/>
      <c r="Q308" s="387"/>
      <c r="R308" s="387"/>
      <c r="S308" s="387"/>
      <c r="T308" s="387"/>
      <c r="U308" s="387"/>
      <c r="V308" s="387"/>
      <c r="W308" s="387"/>
      <c r="X308" s="387"/>
      <c r="Y308" s="387"/>
      <c r="Z308" s="387"/>
      <c r="AA308" s="387"/>
      <c r="AB308" s="387"/>
    </row>
    <row r="309">
      <c r="A309" s="364"/>
      <c r="B309" s="387"/>
      <c r="C309" s="387"/>
      <c r="D309" s="364"/>
      <c r="E309" s="387"/>
      <c r="F309" s="387"/>
      <c r="G309" s="387"/>
      <c r="H309" s="387"/>
      <c r="I309" s="387"/>
      <c r="J309" s="387"/>
      <c r="K309" s="387"/>
      <c r="L309" s="364"/>
      <c r="M309" s="364"/>
      <c r="N309" s="387"/>
      <c r="O309" s="387"/>
      <c r="P309" s="387"/>
      <c r="Q309" s="387"/>
      <c r="R309" s="387"/>
      <c r="S309" s="387"/>
      <c r="T309" s="387"/>
      <c r="U309" s="387"/>
      <c r="V309" s="387"/>
      <c r="W309" s="387"/>
      <c r="X309" s="387"/>
      <c r="Y309" s="387"/>
      <c r="Z309" s="387"/>
      <c r="AA309" s="387"/>
      <c r="AB309" s="387"/>
    </row>
    <row r="310">
      <c r="A310" s="364"/>
      <c r="B310" s="387"/>
      <c r="C310" s="387"/>
      <c r="D310" s="364"/>
      <c r="E310" s="387"/>
      <c r="F310" s="387"/>
      <c r="G310" s="387"/>
      <c r="H310" s="387"/>
      <c r="I310" s="387"/>
      <c r="J310" s="387"/>
      <c r="K310" s="387"/>
      <c r="L310" s="364"/>
      <c r="M310" s="364"/>
      <c r="N310" s="387"/>
      <c r="O310" s="387"/>
      <c r="P310" s="387"/>
      <c r="Q310" s="387"/>
      <c r="R310" s="387"/>
      <c r="S310" s="387"/>
      <c r="T310" s="387"/>
      <c r="U310" s="387"/>
      <c r="V310" s="387"/>
      <c r="W310" s="387"/>
      <c r="X310" s="387"/>
      <c r="Y310" s="387"/>
      <c r="Z310" s="387"/>
      <c r="AA310" s="387"/>
      <c r="AB310" s="387"/>
    </row>
    <row r="311">
      <c r="A311" s="364"/>
      <c r="B311" s="387"/>
      <c r="C311" s="387"/>
      <c r="D311" s="364"/>
      <c r="E311" s="387"/>
      <c r="F311" s="387"/>
      <c r="G311" s="387"/>
      <c r="H311" s="387"/>
      <c r="I311" s="387"/>
      <c r="J311" s="387"/>
      <c r="K311" s="387"/>
      <c r="L311" s="364"/>
      <c r="M311" s="364"/>
      <c r="N311" s="387"/>
      <c r="O311" s="387"/>
      <c r="P311" s="387"/>
      <c r="Q311" s="387"/>
      <c r="R311" s="387"/>
      <c r="S311" s="387"/>
      <c r="T311" s="387"/>
      <c r="U311" s="387"/>
      <c r="V311" s="387"/>
      <c r="W311" s="387"/>
      <c r="X311" s="387"/>
      <c r="Y311" s="387"/>
      <c r="Z311" s="387"/>
      <c r="AA311" s="387"/>
      <c r="AB311" s="387"/>
    </row>
    <row r="312">
      <c r="A312" s="364"/>
      <c r="B312" s="387"/>
      <c r="C312" s="387"/>
      <c r="D312" s="364"/>
      <c r="E312" s="387"/>
      <c r="F312" s="387"/>
      <c r="G312" s="387"/>
      <c r="H312" s="387"/>
      <c r="I312" s="387"/>
      <c r="J312" s="387"/>
      <c r="K312" s="387"/>
      <c r="L312" s="364"/>
      <c r="M312" s="364"/>
      <c r="N312" s="387"/>
      <c r="O312" s="387"/>
      <c r="P312" s="387"/>
      <c r="Q312" s="387"/>
      <c r="R312" s="387"/>
      <c r="S312" s="387"/>
      <c r="T312" s="387"/>
      <c r="U312" s="387"/>
      <c r="V312" s="387"/>
      <c r="W312" s="387"/>
      <c r="X312" s="387"/>
      <c r="Y312" s="387"/>
      <c r="Z312" s="387"/>
      <c r="AA312" s="387"/>
      <c r="AB312" s="387"/>
    </row>
    <row r="313">
      <c r="A313" s="364"/>
      <c r="B313" s="387"/>
      <c r="C313" s="387"/>
      <c r="D313" s="364"/>
      <c r="E313" s="387"/>
      <c r="F313" s="387"/>
      <c r="G313" s="387"/>
      <c r="H313" s="387"/>
      <c r="I313" s="387"/>
      <c r="J313" s="387"/>
      <c r="K313" s="387"/>
      <c r="L313" s="364"/>
      <c r="M313" s="364"/>
      <c r="N313" s="387"/>
      <c r="O313" s="387"/>
      <c r="P313" s="387"/>
      <c r="Q313" s="387"/>
      <c r="R313" s="387"/>
      <c r="S313" s="387"/>
      <c r="T313" s="387"/>
      <c r="U313" s="387"/>
      <c r="V313" s="387"/>
      <c r="W313" s="387"/>
      <c r="X313" s="387"/>
      <c r="Y313" s="387"/>
      <c r="Z313" s="387"/>
      <c r="AA313" s="387"/>
      <c r="AB313" s="387"/>
    </row>
    <row r="314">
      <c r="A314" s="364"/>
      <c r="B314" s="387"/>
      <c r="C314" s="387"/>
      <c r="D314" s="364"/>
      <c r="E314" s="387"/>
      <c r="F314" s="387"/>
      <c r="G314" s="387"/>
      <c r="H314" s="387"/>
      <c r="I314" s="387"/>
      <c r="J314" s="387"/>
      <c r="K314" s="387"/>
      <c r="L314" s="364"/>
      <c r="M314" s="364"/>
      <c r="N314" s="387"/>
      <c r="O314" s="387"/>
      <c r="P314" s="387"/>
      <c r="Q314" s="387"/>
      <c r="R314" s="387"/>
      <c r="S314" s="387"/>
      <c r="T314" s="387"/>
      <c r="U314" s="387"/>
      <c r="V314" s="387"/>
      <c r="W314" s="387"/>
      <c r="X314" s="387"/>
      <c r="Y314" s="387"/>
      <c r="Z314" s="387"/>
      <c r="AA314" s="387"/>
      <c r="AB314" s="387"/>
    </row>
    <row r="315">
      <c r="A315" s="364"/>
      <c r="B315" s="387"/>
      <c r="C315" s="387"/>
      <c r="D315" s="364"/>
      <c r="E315" s="387"/>
      <c r="F315" s="387"/>
      <c r="G315" s="387"/>
      <c r="H315" s="387"/>
      <c r="I315" s="387"/>
      <c r="J315" s="387"/>
      <c r="K315" s="387"/>
      <c r="L315" s="364"/>
      <c r="M315" s="364"/>
      <c r="N315" s="387"/>
      <c r="O315" s="387"/>
      <c r="P315" s="387"/>
      <c r="Q315" s="387"/>
      <c r="R315" s="387"/>
      <c r="S315" s="387"/>
      <c r="T315" s="387"/>
      <c r="U315" s="387"/>
      <c r="V315" s="387"/>
      <c r="W315" s="387"/>
      <c r="X315" s="387"/>
      <c r="Y315" s="387"/>
      <c r="Z315" s="387"/>
      <c r="AA315" s="387"/>
      <c r="AB315" s="387"/>
    </row>
    <row r="316">
      <c r="A316" s="364"/>
      <c r="B316" s="387"/>
      <c r="C316" s="387"/>
      <c r="D316" s="364"/>
      <c r="E316" s="387"/>
      <c r="F316" s="387"/>
      <c r="G316" s="387"/>
      <c r="H316" s="387"/>
      <c r="I316" s="387"/>
      <c r="J316" s="387"/>
      <c r="K316" s="387"/>
      <c r="L316" s="364"/>
      <c r="M316" s="364"/>
      <c r="N316" s="387"/>
      <c r="O316" s="387"/>
      <c r="P316" s="387"/>
      <c r="Q316" s="387"/>
      <c r="R316" s="387"/>
      <c r="S316" s="387"/>
      <c r="T316" s="387"/>
      <c r="U316" s="387"/>
      <c r="V316" s="387"/>
      <c r="W316" s="387"/>
      <c r="X316" s="387"/>
      <c r="Y316" s="387"/>
      <c r="Z316" s="387"/>
      <c r="AA316" s="387"/>
      <c r="AB316" s="387"/>
    </row>
    <row r="317">
      <c r="A317" s="364"/>
      <c r="B317" s="387"/>
      <c r="C317" s="387"/>
      <c r="D317" s="364"/>
      <c r="E317" s="387"/>
      <c r="F317" s="387"/>
      <c r="G317" s="387"/>
      <c r="H317" s="387"/>
      <c r="I317" s="387"/>
      <c r="J317" s="387"/>
      <c r="K317" s="387"/>
      <c r="L317" s="364"/>
      <c r="M317" s="364"/>
      <c r="N317" s="387"/>
      <c r="O317" s="387"/>
      <c r="P317" s="387"/>
      <c r="Q317" s="387"/>
      <c r="R317" s="387"/>
      <c r="S317" s="387"/>
      <c r="T317" s="387"/>
      <c r="U317" s="387"/>
      <c r="V317" s="387"/>
      <c r="W317" s="387"/>
      <c r="X317" s="387"/>
      <c r="Y317" s="387"/>
      <c r="Z317" s="387"/>
      <c r="AA317" s="387"/>
      <c r="AB317" s="387"/>
    </row>
    <row r="318">
      <c r="A318" s="364"/>
      <c r="B318" s="387"/>
      <c r="C318" s="387"/>
      <c r="D318" s="364"/>
      <c r="E318" s="387"/>
      <c r="F318" s="387"/>
      <c r="G318" s="387"/>
      <c r="H318" s="387"/>
      <c r="I318" s="387"/>
      <c r="J318" s="387"/>
      <c r="K318" s="387"/>
      <c r="L318" s="364"/>
      <c r="M318" s="364"/>
      <c r="N318" s="387"/>
      <c r="O318" s="387"/>
      <c r="P318" s="387"/>
      <c r="Q318" s="387"/>
      <c r="R318" s="387"/>
      <c r="S318" s="387"/>
      <c r="T318" s="387"/>
      <c r="U318" s="387"/>
      <c r="V318" s="387"/>
      <c r="W318" s="387"/>
      <c r="X318" s="387"/>
      <c r="Y318" s="387"/>
      <c r="Z318" s="387"/>
      <c r="AA318" s="387"/>
      <c r="AB318" s="387"/>
    </row>
    <row r="319">
      <c r="A319" s="364"/>
      <c r="B319" s="387"/>
      <c r="C319" s="387"/>
      <c r="D319" s="364"/>
      <c r="E319" s="387"/>
      <c r="F319" s="387"/>
      <c r="G319" s="387"/>
      <c r="H319" s="387"/>
      <c r="I319" s="387"/>
      <c r="J319" s="387"/>
      <c r="K319" s="387"/>
      <c r="L319" s="364"/>
      <c r="M319" s="364"/>
      <c r="N319" s="387"/>
      <c r="O319" s="387"/>
      <c r="P319" s="387"/>
      <c r="Q319" s="387"/>
      <c r="R319" s="387"/>
      <c r="S319" s="387"/>
      <c r="T319" s="387"/>
      <c r="U319" s="387"/>
      <c r="V319" s="387"/>
      <c r="W319" s="387"/>
      <c r="X319" s="387"/>
      <c r="Y319" s="387"/>
      <c r="Z319" s="387"/>
      <c r="AA319" s="387"/>
      <c r="AB319" s="387"/>
    </row>
    <row r="320">
      <c r="A320" s="364"/>
      <c r="B320" s="387"/>
      <c r="C320" s="387"/>
      <c r="D320" s="364"/>
      <c r="E320" s="387"/>
      <c r="F320" s="387"/>
      <c r="G320" s="387"/>
      <c r="H320" s="387"/>
      <c r="I320" s="387"/>
      <c r="J320" s="387"/>
      <c r="K320" s="387"/>
      <c r="L320" s="364"/>
      <c r="M320" s="364"/>
      <c r="N320" s="387"/>
      <c r="O320" s="387"/>
      <c r="P320" s="387"/>
      <c r="Q320" s="387"/>
      <c r="R320" s="387"/>
      <c r="S320" s="387"/>
      <c r="T320" s="387"/>
      <c r="U320" s="387"/>
      <c r="V320" s="387"/>
      <c r="W320" s="387"/>
      <c r="X320" s="387"/>
      <c r="Y320" s="387"/>
      <c r="Z320" s="387"/>
      <c r="AA320" s="387"/>
      <c r="AB320" s="387"/>
    </row>
    <row r="321">
      <c r="A321" s="364"/>
      <c r="B321" s="387"/>
      <c r="C321" s="387"/>
      <c r="D321" s="364"/>
      <c r="E321" s="387"/>
      <c r="F321" s="387"/>
      <c r="G321" s="387"/>
      <c r="H321" s="387"/>
      <c r="I321" s="387"/>
      <c r="J321" s="387"/>
      <c r="K321" s="387"/>
      <c r="L321" s="364"/>
      <c r="M321" s="364"/>
      <c r="N321" s="387"/>
      <c r="O321" s="387"/>
      <c r="P321" s="387"/>
      <c r="Q321" s="387"/>
      <c r="R321" s="387"/>
      <c r="S321" s="387"/>
      <c r="T321" s="387"/>
      <c r="U321" s="387"/>
      <c r="V321" s="387"/>
      <c r="W321" s="387"/>
      <c r="X321" s="387"/>
      <c r="Y321" s="387"/>
      <c r="Z321" s="387"/>
      <c r="AA321" s="387"/>
      <c r="AB321" s="387"/>
    </row>
    <row r="322">
      <c r="A322" s="364"/>
      <c r="B322" s="387"/>
      <c r="C322" s="387"/>
      <c r="D322" s="364"/>
      <c r="E322" s="387"/>
      <c r="F322" s="387"/>
      <c r="G322" s="387"/>
      <c r="H322" s="387"/>
      <c r="I322" s="387"/>
      <c r="J322" s="387"/>
      <c r="K322" s="387"/>
      <c r="L322" s="364"/>
      <c r="M322" s="364"/>
      <c r="N322" s="387"/>
      <c r="O322" s="387"/>
      <c r="P322" s="387"/>
      <c r="Q322" s="387"/>
      <c r="R322" s="387"/>
      <c r="S322" s="387"/>
      <c r="T322" s="387"/>
      <c r="U322" s="387"/>
      <c r="V322" s="387"/>
      <c r="W322" s="387"/>
      <c r="X322" s="387"/>
      <c r="Y322" s="387"/>
      <c r="Z322" s="387"/>
      <c r="AA322" s="387"/>
      <c r="AB322" s="387"/>
    </row>
    <row r="323">
      <c r="A323" s="364"/>
      <c r="B323" s="387"/>
      <c r="C323" s="387"/>
      <c r="D323" s="364"/>
      <c r="E323" s="387"/>
      <c r="F323" s="387"/>
      <c r="G323" s="387"/>
      <c r="H323" s="387"/>
      <c r="I323" s="387"/>
      <c r="J323" s="387"/>
      <c r="K323" s="387"/>
      <c r="L323" s="364"/>
      <c r="M323" s="364"/>
      <c r="N323" s="387"/>
      <c r="O323" s="387"/>
      <c r="P323" s="387"/>
      <c r="Q323" s="387"/>
      <c r="R323" s="387"/>
      <c r="S323" s="387"/>
      <c r="T323" s="387"/>
      <c r="U323" s="387"/>
      <c r="V323" s="387"/>
      <c r="W323" s="387"/>
      <c r="X323" s="387"/>
      <c r="Y323" s="387"/>
      <c r="Z323" s="387"/>
      <c r="AA323" s="387"/>
      <c r="AB323" s="387"/>
    </row>
    <row r="324">
      <c r="A324" s="364"/>
      <c r="B324" s="387"/>
      <c r="C324" s="387"/>
      <c r="D324" s="364"/>
      <c r="E324" s="387"/>
      <c r="F324" s="387"/>
      <c r="G324" s="387"/>
      <c r="H324" s="387"/>
      <c r="I324" s="387"/>
      <c r="J324" s="387"/>
      <c r="K324" s="387"/>
      <c r="L324" s="364"/>
      <c r="M324" s="364"/>
      <c r="N324" s="387"/>
      <c r="O324" s="387"/>
      <c r="P324" s="387"/>
      <c r="Q324" s="387"/>
      <c r="R324" s="387"/>
      <c r="S324" s="387"/>
      <c r="T324" s="387"/>
      <c r="U324" s="387"/>
      <c r="V324" s="387"/>
      <c r="W324" s="387"/>
      <c r="X324" s="387"/>
      <c r="Y324" s="387"/>
      <c r="Z324" s="387"/>
      <c r="AA324" s="387"/>
      <c r="AB324" s="387"/>
    </row>
    <row r="325">
      <c r="A325" s="364"/>
      <c r="B325" s="387"/>
      <c r="C325" s="387"/>
      <c r="D325" s="364"/>
      <c r="E325" s="387"/>
      <c r="F325" s="387"/>
      <c r="G325" s="387"/>
      <c r="H325" s="387"/>
      <c r="I325" s="387"/>
      <c r="J325" s="387"/>
      <c r="K325" s="387"/>
      <c r="L325" s="364"/>
      <c r="M325" s="364"/>
      <c r="N325" s="387"/>
      <c r="O325" s="387"/>
      <c r="P325" s="387"/>
      <c r="Q325" s="387"/>
      <c r="R325" s="387"/>
      <c r="S325" s="387"/>
      <c r="T325" s="387"/>
      <c r="U325" s="387"/>
      <c r="V325" s="387"/>
      <c r="W325" s="387"/>
      <c r="X325" s="387"/>
      <c r="Y325" s="387"/>
      <c r="Z325" s="387"/>
      <c r="AA325" s="387"/>
      <c r="AB325" s="387"/>
    </row>
    <row r="326">
      <c r="A326" s="364"/>
      <c r="B326" s="387"/>
      <c r="C326" s="387"/>
      <c r="D326" s="364"/>
      <c r="E326" s="387"/>
      <c r="F326" s="387"/>
      <c r="G326" s="387"/>
      <c r="H326" s="387"/>
      <c r="I326" s="387"/>
      <c r="J326" s="387"/>
      <c r="K326" s="387"/>
      <c r="L326" s="364"/>
      <c r="M326" s="364"/>
      <c r="N326" s="387"/>
      <c r="O326" s="387"/>
      <c r="P326" s="387"/>
      <c r="Q326" s="387"/>
      <c r="R326" s="387"/>
      <c r="S326" s="387"/>
      <c r="T326" s="387"/>
      <c r="U326" s="387"/>
      <c r="V326" s="387"/>
      <c r="W326" s="387"/>
      <c r="X326" s="387"/>
      <c r="Y326" s="387"/>
      <c r="Z326" s="387"/>
      <c r="AA326" s="387"/>
      <c r="AB326" s="387"/>
    </row>
    <row r="327">
      <c r="A327" s="364"/>
      <c r="B327" s="387"/>
      <c r="C327" s="387"/>
      <c r="D327" s="364"/>
      <c r="E327" s="387"/>
      <c r="F327" s="387"/>
      <c r="G327" s="387"/>
      <c r="H327" s="387"/>
      <c r="I327" s="387"/>
      <c r="J327" s="387"/>
      <c r="K327" s="387"/>
      <c r="L327" s="364"/>
      <c r="M327" s="364"/>
      <c r="N327" s="387"/>
      <c r="O327" s="387"/>
      <c r="P327" s="387"/>
      <c r="Q327" s="387"/>
      <c r="R327" s="387"/>
      <c r="S327" s="387"/>
      <c r="T327" s="387"/>
      <c r="U327" s="387"/>
      <c r="V327" s="387"/>
      <c r="W327" s="387"/>
      <c r="X327" s="387"/>
      <c r="Y327" s="387"/>
      <c r="Z327" s="387"/>
      <c r="AA327" s="387"/>
      <c r="AB327" s="387"/>
    </row>
    <row r="328">
      <c r="A328" s="364"/>
      <c r="B328" s="387"/>
      <c r="C328" s="387"/>
      <c r="D328" s="364"/>
      <c r="E328" s="387"/>
      <c r="F328" s="387"/>
      <c r="G328" s="387"/>
      <c r="H328" s="387"/>
      <c r="I328" s="387"/>
      <c r="J328" s="387"/>
      <c r="K328" s="387"/>
      <c r="L328" s="364"/>
      <c r="M328" s="364"/>
      <c r="N328" s="387"/>
      <c r="O328" s="387"/>
      <c r="P328" s="387"/>
      <c r="Q328" s="387"/>
      <c r="R328" s="387"/>
      <c r="S328" s="387"/>
      <c r="T328" s="387"/>
      <c r="U328" s="387"/>
      <c r="V328" s="387"/>
      <c r="W328" s="387"/>
      <c r="X328" s="387"/>
      <c r="Y328" s="387"/>
      <c r="Z328" s="387"/>
      <c r="AA328" s="387"/>
      <c r="AB328" s="387"/>
    </row>
    <row r="329">
      <c r="A329" s="364"/>
      <c r="B329" s="387"/>
      <c r="C329" s="387"/>
      <c r="D329" s="364"/>
      <c r="E329" s="387"/>
      <c r="F329" s="387"/>
      <c r="G329" s="387"/>
      <c r="H329" s="387"/>
      <c r="I329" s="387"/>
      <c r="J329" s="387"/>
      <c r="K329" s="387"/>
      <c r="L329" s="364"/>
      <c r="M329" s="364"/>
      <c r="N329" s="387"/>
      <c r="O329" s="387"/>
      <c r="P329" s="387"/>
      <c r="Q329" s="387"/>
      <c r="R329" s="387"/>
      <c r="S329" s="387"/>
      <c r="T329" s="387"/>
      <c r="U329" s="387"/>
      <c r="V329" s="387"/>
      <c r="W329" s="387"/>
      <c r="X329" s="387"/>
      <c r="Y329" s="387"/>
      <c r="Z329" s="387"/>
      <c r="AA329" s="387"/>
      <c r="AB329" s="387"/>
    </row>
    <row r="330">
      <c r="A330" s="364"/>
      <c r="B330" s="387"/>
      <c r="C330" s="387"/>
      <c r="D330" s="364"/>
      <c r="E330" s="387"/>
      <c r="F330" s="387"/>
      <c r="G330" s="387"/>
      <c r="H330" s="387"/>
      <c r="I330" s="387"/>
      <c r="J330" s="387"/>
      <c r="K330" s="387"/>
      <c r="L330" s="364"/>
      <c r="M330" s="364"/>
      <c r="N330" s="387"/>
      <c r="O330" s="387"/>
      <c r="P330" s="387"/>
      <c r="Q330" s="387"/>
      <c r="R330" s="387"/>
      <c r="S330" s="387"/>
      <c r="T330" s="387"/>
      <c r="U330" s="387"/>
      <c r="V330" s="387"/>
      <c r="W330" s="387"/>
      <c r="X330" s="387"/>
      <c r="Y330" s="387"/>
      <c r="Z330" s="387"/>
      <c r="AA330" s="387"/>
      <c r="AB330" s="387"/>
    </row>
    <row r="331">
      <c r="A331" s="364"/>
      <c r="B331" s="387"/>
      <c r="C331" s="387"/>
      <c r="D331" s="364"/>
      <c r="E331" s="387"/>
      <c r="F331" s="387"/>
      <c r="G331" s="387"/>
      <c r="H331" s="387"/>
      <c r="I331" s="387"/>
      <c r="J331" s="387"/>
      <c r="K331" s="387"/>
      <c r="L331" s="364"/>
      <c r="M331" s="364"/>
      <c r="N331" s="387"/>
      <c r="O331" s="387"/>
      <c r="P331" s="387"/>
      <c r="Q331" s="387"/>
      <c r="R331" s="387"/>
      <c r="S331" s="387"/>
      <c r="T331" s="387"/>
      <c r="U331" s="387"/>
      <c r="V331" s="387"/>
      <c r="W331" s="387"/>
      <c r="X331" s="387"/>
      <c r="Y331" s="387"/>
      <c r="Z331" s="387"/>
      <c r="AA331" s="387"/>
      <c r="AB331" s="387"/>
    </row>
    <row r="332">
      <c r="A332" s="364"/>
      <c r="B332" s="387"/>
      <c r="C332" s="387"/>
      <c r="D332" s="364"/>
      <c r="E332" s="387"/>
      <c r="F332" s="387"/>
      <c r="G332" s="387"/>
      <c r="H332" s="387"/>
      <c r="I332" s="387"/>
      <c r="J332" s="387"/>
      <c r="K332" s="387"/>
      <c r="L332" s="364"/>
      <c r="M332" s="364"/>
      <c r="N332" s="387"/>
      <c r="O332" s="387"/>
      <c r="P332" s="387"/>
      <c r="Q332" s="387"/>
      <c r="R332" s="387"/>
      <c r="S332" s="387"/>
      <c r="T332" s="387"/>
      <c r="U332" s="387"/>
      <c r="V332" s="387"/>
      <c r="W332" s="387"/>
      <c r="X332" s="387"/>
      <c r="Y332" s="387"/>
      <c r="Z332" s="387"/>
      <c r="AA332" s="387"/>
      <c r="AB332" s="387"/>
    </row>
    <row r="333">
      <c r="A333" s="364"/>
      <c r="B333" s="387"/>
      <c r="C333" s="387"/>
      <c r="D333" s="364"/>
      <c r="E333" s="387"/>
      <c r="F333" s="387"/>
      <c r="G333" s="387"/>
      <c r="H333" s="387"/>
      <c r="I333" s="387"/>
      <c r="J333" s="387"/>
      <c r="K333" s="387"/>
      <c r="L333" s="364"/>
      <c r="M333" s="364"/>
      <c r="N333" s="387"/>
      <c r="O333" s="387"/>
      <c r="P333" s="387"/>
      <c r="Q333" s="387"/>
      <c r="R333" s="387"/>
      <c r="S333" s="387"/>
      <c r="T333" s="387"/>
      <c r="U333" s="387"/>
      <c r="V333" s="387"/>
      <c r="W333" s="387"/>
      <c r="X333" s="387"/>
      <c r="Y333" s="387"/>
      <c r="Z333" s="387"/>
      <c r="AA333" s="387"/>
      <c r="AB333" s="387"/>
    </row>
    <row r="334">
      <c r="A334" s="364"/>
      <c r="B334" s="387"/>
      <c r="C334" s="387"/>
      <c r="D334" s="364"/>
      <c r="E334" s="387"/>
      <c r="F334" s="387"/>
      <c r="G334" s="387"/>
      <c r="H334" s="387"/>
      <c r="I334" s="387"/>
      <c r="J334" s="387"/>
      <c r="K334" s="387"/>
      <c r="L334" s="364"/>
      <c r="M334" s="364"/>
      <c r="N334" s="387"/>
      <c r="O334" s="387"/>
      <c r="P334" s="387"/>
      <c r="Q334" s="387"/>
      <c r="R334" s="387"/>
      <c r="S334" s="387"/>
      <c r="T334" s="387"/>
      <c r="U334" s="387"/>
      <c r="V334" s="387"/>
      <c r="W334" s="387"/>
      <c r="X334" s="387"/>
      <c r="Y334" s="387"/>
      <c r="Z334" s="387"/>
      <c r="AA334" s="387"/>
      <c r="AB334" s="387"/>
    </row>
    <row r="335">
      <c r="A335" s="364"/>
      <c r="B335" s="387"/>
      <c r="C335" s="387"/>
      <c r="D335" s="364"/>
      <c r="E335" s="387"/>
      <c r="F335" s="387"/>
      <c r="G335" s="387"/>
      <c r="H335" s="387"/>
      <c r="I335" s="387"/>
      <c r="J335" s="387"/>
      <c r="K335" s="387"/>
      <c r="L335" s="364"/>
      <c r="M335" s="364"/>
      <c r="N335" s="387"/>
      <c r="O335" s="387"/>
      <c r="P335" s="387"/>
      <c r="Q335" s="387"/>
      <c r="R335" s="387"/>
      <c r="S335" s="387"/>
      <c r="T335" s="387"/>
      <c r="U335" s="387"/>
      <c r="V335" s="387"/>
      <c r="W335" s="387"/>
      <c r="X335" s="387"/>
      <c r="Y335" s="387"/>
      <c r="Z335" s="387"/>
      <c r="AA335" s="387"/>
      <c r="AB335" s="387"/>
    </row>
    <row r="336">
      <c r="A336" s="364"/>
      <c r="B336" s="387"/>
      <c r="C336" s="387"/>
      <c r="D336" s="364"/>
      <c r="E336" s="387"/>
      <c r="F336" s="387"/>
      <c r="G336" s="387"/>
      <c r="H336" s="387"/>
      <c r="I336" s="387"/>
      <c r="J336" s="387"/>
      <c r="K336" s="387"/>
      <c r="L336" s="364"/>
      <c r="M336" s="364"/>
      <c r="N336" s="387"/>
      <c r="O336" s="387"/>
      <c r="P336" s="387"/>
      <c r="Q336" s="387"/>
      <c r="R336" s="387"/>
      <c r="S336" s="387"/>
      <c r="T336" s="387"/>
      <c r="U336" s="387"/>
      <c r="V336" s="387"/>
      <c r="W336" s="387"/>
      <c r="X336" s="387"/>
      <c r="Y336" s="387"/>
      <c r="Z336" s="387"/>
      <c r="AA336" s="387"/>
      <c r="AB336" s="387"/>
    </row>
    <row r="337">
      <c r="A337" s="364"/>
      <c r="B337" s="387"/>
      <c r="C337" s="387"/>
      <c r="D337" s="364"/>
      <c r="E337" s="387"/>
      <c r="F337" s="387"/>
      <c r="G337" s="387"/>
      <c r="H337" s="387"/>
      <c r="I337" s="387"/>
      <c r="J337" s="387"/>
      <c r="K337" s="387"/>
      <c r="L337" s="364"/>
      <c r="M337" s="364"/>
      <c r="N337" s="387"/>
      <c r="O337" s="387"/>
      <c r="P337" s="387"/>
      <c r="Q337" s="387"/>
      <c r="R337" s="387"/>
      <c r="S337" s="387"/>
      <c r="T337" s="387"/>
      <c r="U337" s="387"/>
      <c r="V337" s="387"/>
      <c r="W337" s="387"/>
      <c r="X337" s="387"/>
      <c r="Y337" s="387"/>
      <c r="Z337" s="387"/>
      <c r="AA337" s="387"/>
      <c r="AB337" s="387"/>
    </row>
    <row r="338">
      <c r="A338" s="364"/>
      <c r="B338" s="387"/>
      <c r="C338" s="387"/>
      <c r="D338" s="364"/>
      <c r="E338" s="387"/>
      <c r="F338" s="387"/>
      <c r="G338" s="387"/>
      <c r="H338" s="387"/>
      <c r="I338" s="387"/>
      <c r="J338" s="387"/>
      <c r="K338" s="387"/>
      <c r="L338" s="364"/>
      <c r="M338" s="364"/>
      <c r="N338" s="387"/>
      <c r="O338" s="387"/>
      <c r="P338" s="387"/>
      <c r="Q338" s="387"/>
      <c r="R338" s="387"/>
      <c r="S338" s="387"/>
      <c r="T338" s="387"/>
      <c r="U338" s="387"/>
      <c r="V338" s="387"/>
      <c r="W338" s="387"/>
      <c r="X338" s="387"/>
      <c r="Y338" s="387"/>
      <c r="Z338" s="387"/>
      <c r="AA338" s="387"/>
      <c r="AB338" s="387"/>
    </row>
    <row r="339">
      <c r="A339" s="364"/>
      <c r="B339" s="387"/>
      <c r="C339" s="387"/>
      <c r="D339" s="364"/>
      <c r="E339" s="387"/>
      <c r="F339" s="387"/>
      <c r="G339" s="387"/>
      <c r="H339" s="387"/>
      <c r="I339" s="387"/>
      <c r="J339" s="387"/>
      <c r="K339" s="387"/>
      <c r="L339" s="364"/>
      <c r="M339" s="364"/>
      <c r="N339" s="387"/>
      <c r="O339" s="387"/>
      <c r="P339" s="387"/>
      <c r="Q339" s="387"/>
      <c r="R339" s="387"/>
      <c r="S339" s="387"/>
      <c r="T339" s="387"/>
      <c r="U339" s="387"/>
      <c r="V339" s="387"/>
      <c r="W339" s="387"/>
      <c r="X339" s="387"/>
      <c r="Y339" s="387"/>
      <c r="Z339" s="387"/>
      <c r="AA339" s="387"/>
      <c r="AB339" s="387"/>
    </row>
    <row r="340">
      <c r="A340" s="364"/>
      <c r="B340" s="387"/>
      <c r="C340" s="387"/>
      <c r="D340" s="364"/>
      <c r="E340" s="387"/>
      <c r="F340" s="387"/>
      <c r="G340" s="387"/>
      <c r="H340" s="387"/>
      <c r="I340" s="387"/>
      <c r="J340" s="387"/>
      <c r="K340" s="387"/>
      <c r="L340" s="364"/>
      <c r="M340" s="364"/>
      <c r="N340" s="387"/>
      <c r="O340" s="387"/>
      <c r="P340" s="387"/>
      <c r="Q340" s="387"/>
      <c r="R340" s="387"/>
      <c r="S340" s="387"/>
      <c r="T340" s="387"/>
      <c r="U340" s="387"/>
      <c r="V340" s="387"/>
      <c r="W340" s="387"/>
      <c r="X340" s="387"/>
      <c r="Y340" s="387"/>
      <c r="Z340" s="387"/>
      <c r="AA340" s="387"/>
      <c r="AB340" s="387"/>
    </row>
    <row r="341">
      <c r="A341" s="364"/>
      <c r="B341" s="387"/>
      <c r="C341" s="387"/>
      <c r="D341" s="364"/>
      <c r="E341" s="387"/>
      <c r="F341" s="387"/>
      <c r="G341" s="387"/>
      <c r="H341" s="387"/>
      <c r="I341" s="387"/>
      <c r="J341" s="387"/>
      <c r="K341" s="387"/>
      <c r="L341" s="364"/>
      <c r="M341" s="364"/>
      <c r="N341" s="387"/>
      <c r="O341" s="387"/>
      <c r="P341" s="387"/>
      <c r="Q341" s="387"/>
      <c r="R341" s="387"/>
      <c r="S341" s="387"/>
      <c r="T341" s="387"/>
      <c r="U341" s="387"/>
      <c r="V341" s="387"/>
      <c r="W341" s="387"/>
      <c r="X341" s="387"/>
      <c r="Y341" s="387"/>
      <c r="Z341" s="387"/>
      <c r="AA341" s="387"/>
      <c r="AB341" s="387"/>
    </row>
    <row r="342">
      <c r="A342" s="364"/>
      <c r="B342" s="387"/>
      <c r="C342" s="387"/>
      <c r="D342" s="364"/>
      <c r="E342" s="387"/>
      <c r="F342" s="387"/>
      <c r="G342" s="387"/>
      <c r="H342" s="387"/>
      <c r="I342" s="387"/>
      <c r="J342" s="387"/>
      <c r="K342" s="387"/>
      <c r="L342" s="364"/>
      <c r="M342" s="364"/>
      <c r="N342" s="387"/>
      <c r="O342" s="387"/>
      <c r="P342" s="387"/>
      <c r="Q342" s="387"/>
      <c r="R342" s="387"/>
      <c r="S342" s="387"/>
      <c r="T342" s="387"/>
      <c r="U342" s="387"/>
      <c r="V342" s="387"/>
      <c r="W342" s="387"/>
      <c r="X342" s="387"/>
      <c r="Y342" s="387"/>
      <c r="Z342" s="387"/>
      <c r="AA342" s="387"/>
      <c r="AB342" s="387"/>
    </row>
    <row r="343">
      <c r="A343" s="364"/>
      <c r="B343" s="387"/>
      <c r="C343" s="387"/>
      <c r="D343" s="364"/>
      <c r="E343" s="387"/>
      <c r="F343" s="387"/>
      <c r="G343" s="387"/>
      <c r="H343" s="387"/>
      <c r="I343" s="387"/>
      <c r="J343" s="387"/>
      <c r="K343" s="387"/>
      <c r="L343" s="364"/>
      <c r="M343" s="364"/>
      <c r="N343" s="387"/>
      <c r="O343" s="387"/>
      <c r="P343" s="387"/>
      <c r="Q343" s="387"/>
      <c r="R343" s="387"/>
      <c r="S343" s="387"/>
      <c r="T343" s="387"/>
      <c r="U343" s="387"/>
      <c r="V343" s="387"/>
      <c r="W343" s="387"/>
      <c r="X343" s="387"/>
      <c r="Y343" s="387"/>
      <c r="Z343" s="387"/>
      <c r="AA343" s="387"/>
      <c r="AB343" s="387"/>
    </row>
    <row r="344">
      <c r="A344" s="364"/>
      <c r="B344" s="387"/>
      <c r="C344" s="387"/>
      <c r="D344" s="364"/>
      <c r="E344" s="387"/>
      <c r="F344" s="387"/>
      <c r="G344" s="387"/>
      <c r="H344" s="387"/>
      <c r="I344" s="387"/>
      <c r="J344" s="387"/>
      <c r="K344" s="387"/>
      <c r="L344" s="364"/>
      <c r="M344" s="364"/>
      <c r="N344" s="387"/>
      <c r="O344" s="387"/>
      <c r="P344" s="387"/>
      <c r="Q344" s="387"/>
      <c r="R344" s="387"/>
      <c r="S344" s="387"/>
      <c r="T344" s="387"/>
      <c r="U344" s="387"/>
      <c r="V344" s="387"/>
      <c r="W344" s="387"/>
      <c r="X344" s="387"/>
      <c r="Y344" s="387"/>
      <c r="Z344" s="387"/>
      <c r="AA344" s="387"/>
      <c r="AB344" s="387"/>
    </row>
    <row r="345">
      <c r="A345" s="364"/>
      <c r="B345" s="387"/>
      <c r="C345" s="387"/>
      <c r="D345" s="364"/>
      <c r="E345" s="387"/>
      <c r="F345" s="387"/>
      <c r="G345" s="387"/>
      <c r="H345" s="387"/>
      <c r="I345" s="387"/>
      <c r="J345" s="387"/>
      <c r="K345" s="387"/>
      <c r="L345" s="364"/>
      <c r="M345" s="364"/>
      <c r="N345" s="387"/>
      <c r="O345" s="387"/>
      <c r="P345" s="387"/>
      <c r="Q345" s="387"/>
      <c r="R345" s="387"/>
      <c r="S345" s="387"/>
      <c r="T345" s="387"/>
      <c r="U345" s="387"/>
      <c r="V345" s="387"/>
      <c r="W345" s="387"/>
      <c r="X345" s="387"/>
      <c r="Y345" s="387"/>
      <c r="Z345" s="387"/>
      <c r="AA345" s="387"/>
      <c r="AB345" s="387"/>
    </row>
    <row r="346">
      <c r="A346" s="364"/>
      <c r="B346" s="387"/>
      <c r="C346" s="387"/>
      <c r="D346" s="364"/>
      <c r="E346" s="387"/>
      <c r="F346" s="387"/>
      <c r="G346" s="387"/>
      <c r="H346" s="387"/>
      <c r="I346" s="387"/>
      <c r="J346" s="387"/>
      <c r="K346" s="387"/>
      <c r="L346" s="364"/>
      <c r="M346" s="364"/>
      <c r="N346" s="387"/>
      <c r="O346" s="387"/>
      <c r="P346" s="387"/>
      <c r="Q346" s="387"/>
      <c r="R346" s="387"/>
      <c r="S346" s="387"/>
      <c r="T346" s="387"/>
      <c r="U346" s="387"/>
      <c r="V346" s="387"/>
      <c r="W346" s="387"/>
      <c r="X346" s="387"/>
      <c r="Y346" s="387"/>
      <c r="Z346" s="387"/>
      <c r="AA346" s="387"/>
      <c r="AB346" s="387"/>
    </row>
    <row r="347">
      <c r="A347" s="364"/>
      <c r="B347" s="387"/>
      <c r="C347" s="387"/>
      <c r="D347" s="364"/>
      <c r="E347" s="387"/>
      <c r="F347" s="387"/>
      <c r="G347" s="387"/>
      <c r="H347" s="387"/>
      <c r="I347" s="387"/>
      <c r="J347" s="387"/>
      <c r="K347" s="387"/>
      <c r="L347" s="364"/>
      <c r="M347" s="364"/>
      <c r="N347" s="387"/>
      <c r="O347" s="387"/>
      <c r="P347" s="387"/>
      <c r="Q347" s="387"/>
      <c r="R347" s="387"/>
      <c r="S347" s="387"/>
      <c r="T347" s="387"/>
      <c r="U347" s="387"/>
      <c r="V347" s="387"/>
      <c r="W347" s="387"/>
      <c r="X347" s="387"/>
      <c r="Y347" s="387"/>
      <c r="Z347" s="387"/>
      <c r="AA347" s="387"/>
      <c r="AB347" s="387"/>
    </row>
    <row r="348">
      <c r="A348" s="364"/>
      <c r="B348" s="387"/>
      <c r="C348" s="387"/>
      <c r="D348" s="364"/>
      <c r="E348" s="387"/>
      <c r="F348" s="387"/>
      <c r="G348" s="387"/>
      <c r="H348" s="387"/>
      <c r="I348" s="387"/>
      <c r="J348" s="387"/>
      <c r="K348" s="387"/>
      <c r="L348" s="364"/>
      <c r="M348" s="364"/>
      <c r="N348" s="387"/>
      <c r="O348" s="387"/>
      <c r="P348" s="387"/>
      <c r="Q348" s="387"/>
      <c r="R348" s="387"/>
      <c r="S348" s="387"/>
      <c r="T348" s="387"/>
      <c r="U348" s="387"/>
      <c r="V348" s="387"/>
      <c r="W348" s="387"/>
      <c r="X348" s="387"/>
      <c r="Y348" s="387"/>
      <c r="Z348" s="387"/>
      <c r="AA348" s="387"/>
      <c r="AB348" s="387"/>
    </row>
    <row r="349">
      <c r="A349" s="364"/>
      <c r="B349" s="387"/>
      <c r="C349" s="387"/>
      <c r="D349" s="364"/>
      <c r="E349" s="387"/>
      <c r="F349" s="387"/>
      <c r="G349" s="387"/>
      <c r="H349" s="387"/>
      <c r="I349" s="387"/>
      <c r="J349" s="387"/>
      <c r="K349" s="387"/>
      <c r="L349" s="364"/>
      <c r="M349" s="364"/>
      <c r="N349" s="387"/>
      <c r="O349" s="387"/>
      <c r="P349" s="387"/>
      <c r="Q349" s="387"/>
      <c r="R349" s="387"/>
      <c r="S349" s="387"/>
      <c r="T349" s="387"/>
      <c r="U349" s="387"/>
      <c r="V349" s="387"/>
      <c r="W349" s="387"/>
      <c r="X349" s="387"/>
      <c r="Y349" s="387"/>
      <c r="Z349" s="387"/>
      <c r="AA349" s="387"/>
      <c r="AB349" s="387"/>
    </row>
    <row r="350">
      <c r="A350" s="364"/>
      <c r="B350" s="387"/>
      <c r="C350" s="387"/>
      <c r="D350" s="364"/>
      <c r="E350" s="387"/>
      <c r="F350" s="387"/>
      <c r="G350" s="387"/>
      <c r="H350" s="387"/>
      <c r="I350" s="387"/>
      <c r="J350" s="387"/>
      <c r="K350" s="387"/>
      <c r="L350" s="364"/>
      <c r="M350" s="364"/>
      <c r="N350" s="387"/>
      <c r="O350" s="387"/>
      <c r="P350" s="387"/>
      <c r="Q350" s="387"/>
      <c r="R350" s="387"/>
      <c r="S350" s="387"/>
      <c r="T350" s="387"/>
      <c r="U350" s="387"/>
      <c r="V350" s="387"/>
      <c r="W350" s="387"/>
      <c r="X350" s="387"/>
      <c r="Y350" s="387"/>
      <c r="Z350" s="387"/>
      <c r="AA350" s="387"/>
      <c r="AB350" s="387"/>
    </row>
    <row r="351">
      <c r="A351" s="364"/>
      <c r="B351" s="387"/>
      <c r="C351" s="387"/>
      <c r="D351" s="364"/>
      <c r="E351" s="387"/>
      <c r="F351" s="387"/>
      <c r="G351" s="387"/>
      <c r="H351" s="387"/>
      <c r="I351" s="387"/>
      <c r="J351" s="387"/>
      <c r="K351" s="387"/>
      <c r="L351" s="364"/>
      <c r="M351" s="364"/>
      <c r="N351" s="387"/>
      <c r="O351" s="387"/>
      <c r="P351" s="387"/>
      <c r="Q351" s="387"/>
      <c r="R351" s="387"/>
      <c r="S351" s="387"/>
      <c r="T351" s="387"/>
      <c r="U351" s="387"/>
      <c r="V351" s="387"/>
      <c r="W351" s="387"/>
      <c r="X351" s="387"/>
      <c r="Y351" s="387"/>
      <c r="Z351" s="387"/>
      <c r="AA351" s="387"/>
      <c r="AB351" s="387"/>
    </row>
    <row r="352">
      <c r="A352" s="364"/>
      <c r="B352" s="387"/>
      <c r="C352" s="387"/>
      <c r="D352" s="364"/>
      <c r="E352" s="387"/>
      <c r="F352" s="387"/>
      <c r="G352" s="387"/>
      <c r="H352" s="387"/>
      <c r="I352" s="387"/>
      <c r="J352" s="387"/>
      <c r="K352" s="387"/>
      <c r="L352" s="364"/>
      <c r="M352" s="364"/>
      <c r="N352" s="387"/>
      <c r="O352" s="387"/>
      <c r="P352" s="387"/>
      <c r="Q352" s="387"/>
      <c r="R352" s="387"/>
      <c r="S352" s="387"/>
      <c r="T352" s="387"/>
      <c r="U352" s="387"/>
      <c r="V352" s="387"/>
      <c r="W352" s="387"/>
      <c r="X352" s="387"/>
      <c r="Y352" s="387"/>
      <c r="Z352" s="387"/>
      <c r="AA352" s="387"/>
      <c r="AB352" s="387"/>
    </row>
    <row r="353">
      <c r="A353" s="364"/>
      <c r="B353" s="387"/>
      <c r="C353" s="387"/>
      <c r="D353" s="364"/>
      <c r="E353" s="387"/>
      <c r="F353" s="387"/>
      <c r="G353" s="387"/>
      <c r="H353" s="387"/>
      <c r="I353" s="387"/>
      <c r="J353" s="387"/>
      <c r="K353" s="387"/>
      <c r="L353" s="364"/>
      <c r="M353" s="364"/>
      <c r="N353" s="387"/>
      <c r="O353" s="387"/>
      <c r="P353" s="387"/>
      <c r="Q353" s="387"/>
      <c r="R353" s="387"/>
      <c r="S353" s="387"/>
      <c r="T353" s="387"/>
      <c r="U353" s="387"/>
      <c r="V353" s="387"/>
      <c r="W353" s="387"/>
      <c r="X353" s="387"/>
      <c r="Y353" s="387"/>
      <c r="Z353" s="387"/>
      <c r="AA353" s="387"/>
      <c r="AB353" s="387"/>
    </row>
    <row r="354">
      <c r="A354" s="364"/>
      <c r="B354" s="387"/>
      <c r="C354" s="387"/>
      <c r="D354" s="364"/>
      <c r="E354" s="387"/>
      <c r="F354" s="387"/>
      <c r="G354" s="387"/>
      <c r="H354" s="387"/>
      <c r="I354" s="387"/>
      <c r="J354" s="387"/>
      <c r="K354" s="387"/>
      <c r="L354" s="364"/>
      <c r="M354" s="364"/>
      <c r="N354" s="387"/>
      <c r="O354" s="387"/>
      <c r="P354" s="387"/>
      <c r="Q354" s="387"/>
      <c r="R354" s="387"/>
      <c r="S354" s="387"/>
      <c r="T354" s="387"/>
      <c r="U354" s="387"/>
      <c r="V354" s="387"/>
      <c r="W354" s="387"/>
      <c r="X354" s="387"/>
      <c r="Y354" s="387"/>
      <c r="Z354" s="387"/>
      <c r="AA354" s="387"/>
      <c r="AB354" s="387"/>
    </row>
    <row r="355">
      <c r="A355" s="364"/>
      <c r="B355" s="387"/>
      <c r="C355" s="387"/>
      <c r="D355" s="364"/>
      <c r="E355" s="387"/>
      <c r="F355" s="387"/>
      <c r="G355" s="387"/>
      <c r="H355" s="387"/>
      <c r="I355" s="387"/>
      <c r="J355" s="387"/>
      <c r="K355" s="387"/>
      <c r="L355" s="364"/>
      <c r="M355" s="364"/>
      <c r="N355" s="387"/>
      <c r="O355" s="387"/>
      <c r="P355" s="387"/>
      <c r="Q355" s="387"/>
      <c r="R355" s="387"/>
      <c r="S355" s="387"/>
      <c r="T355" s="387"/>
      <c r="U355" s="387"/>
      <c r="V355" s="387"/>
      <c r="W355" s="387"/>
      <c r="X355" s="387"/>
      <c r="Y355" s="387"/>
      <c r="Z355" s="387"/>
      <c r="AA355" s="387"/>
      <c r="AB355" s="387"/>
    </row>
    <row r="356">
      <c r="A356" s="364"/>
      <c r="B356" s="387"/>
      <c r="C356" s="387"/>
      <c r="D356" s="364"/>
      <c r="E356" s="387"/>
      <c r="F356" s="387"/>
      <c r="G356" s="387"/>
      <c r="H356" s="387"/>
      <c r="I356" s="387"/>
      <c r="J356" s="387"/>
      <c r="K356" s="387"/>
      <c r="L356" s="364"/>
      <c r="M356" s="364"/>
      <c r="N356" s="387"/>
      <c r="O356" s="387"/>
      <c r="P356" s="387"/>
      <c r="Q356" s="387"/>
      <c r="R356" s="387"/>
      <c r="S356" s="387"/>
      <c r="T356" s="387"/>
      <c r="U356" s="387"/>
      <c r="V356" s="387"/>
      <c r="W356" s="387"/>
      <c r="X356" s="387"/>
      <c r="Y356" s="387"/>
      <c r="Z356" s="387"/>
      <c r="AA356" s="387"/>
      <c r="AB356" s="387"/>
    </row>
    <row r="357">
      <c r="A357" s="364"/>
      <c r="B357" s="387"/>
      <c r="C357" s="387"/>
      <c r="D357" s="364"/>
      <c r="E357" s="387"/>
      <c r="F357" s="387"/>
      <c r="G357" s="387"/>
      <c r="H357" s="387"/>
      <c r="I357" s="387"/>
      <c r="J357" s="387"/>
      <c r="K357" s="387"/>
      <c r="L357" s="364"/>
      <c r="M357" s="364"/>
      <c r="N357" s="387"/>
      <c r="O357" s="387"/>
      <c r="P357" s="387"/>
      <c r="Q357" s="387"/>
      <c r="R357" s="387"/>
      <c r="S357" s="387"/>
      <c r="T357" s="387"/>
      <c r="U357" s="387"/>
      <c r="V357" s="387"/>
      <c r="W357" s="387"/>
      <c r="X357" s="387"/>
      <c r="Y357" s="387"/>
      <c r="Z357" s="387"/>
      <c r="AA357" s="387"/>
      <c r="AB357" s="387"/>
    </row>
    <row r="358">
      <c r="A358" s="364"/>
      <c r="B358" s="387"/>
      <c r="C358" s="387"/>
      <c r="D358" s="364"/>
      <c r="E358" s="387"/>
      <c r="F358" s="387"/>
      <c r="G358" s="387"/>
      <c r="H358" s="387"/>
      <c r="I358" s="387"/>
      <c r="J358" s="387"/>
      <c r="K358" s="387"/>
      <c r="L358" s="364"/>
      <c r="M358" s="364"/>
      <c r="N358" s="387"/>
      <c r="O358" s="387"/>
      <c r="P358" s="387"/>
      <c r="Q358" s="387"/>
      <c r="R358" s="387"/>
      <c r="S358" s="387"/>
      <c r="T358" s="387"/>
      <c r="U358" s="387"/>
      <c r="V358" s="387"/>
      <c r="W358" s="387"/>
      <c r="X358" s="387"/>
      <c r="Y358" s="387"/>
      <c r="Z358" s="387"/>
      <c r="AA358" s="387"/>
      <c r="AB358" s="387"/>
    </row>
    <row r="359">
      <c r="A359" s="364"/>
      <c r="B359" s="387"/>
      <c r="C359" s="387"/>
      <c r="D359" s="364"/>
      <c r="E359" s="387"/>
      <c r="F359" s="387"/>
      <c r="G359" s="387"/>
      <c r="H359" s="387"/>
      <c r="I359" s="387"/>
      <c r="J359" s="387"/>
      <c r="K359" s="387"/>
      <c r="L359" s="364"/>
      <c r="M359" s="364"/>
      <c r="N359" s="387"/>
      <c r="O359" s="387"/>
      <c r="P359" s="387"/>
      <c r="Q359" s="387"/>
      <c r="R359" s="387"/>
      <c r="S359" s="387"/>
      <c r="T359" s="387"/>
      <c r="U359" s="387"/>
      <c r="V359" s="387"/>
      <c r="W359" s="387"/>
      <c r="X359" s="387"/>
      <c r="Y359" s="387"/>
      <c r="Z359" s="387"/>
      <c r="AA359" s="387"/>
      <c r="AB359" s="387"/>
    </row>
    <row r="360">
      <c r="A360" s="364"/>
      <c r="B360" s="387"/>
      <c r="C360" s="387"/>
      <c r="D360" s="364"/>
      <c r="E360" s="387"/>
      <c r="F360" s="387"/>
      <c r="G360" s="387"/>
      <c r="H360" s="387"/>
      <c r="I360" s="387"/>
      <c r="J360" s="387"/>
      <c r="K360" s="387"/>
      <c r="L360" s="364"/>
      <c r="M360" s="364"/>
      <c r="N360" s="387"/>
      <c r="O360" s="387"/>
      <c r="P360" s="387"/>
      <c r="Q360" s="387"/>
      <c r="R360" s="387"/>
      <c r="S360" s="387"/>
      <c r="T360" s="387"/>
      <c r="U360" s="387"/>
      <c r="V360" s="387"/>
      <c r="W360" s="387"/>
      <c r="X360" s="387"/>
      <c r="Y360" s="387"/>
      <c r="Z360" s="387"/>
      <c r="AA360" s="387"/>
      <c r="AB360" s="387"/>
    </row>
    <row r="361">
      <c r="A361" s="364"/>
      <c r="B361" s="387"/>
      <c r="C361" s="387"/>
      <c r="D361" s="364"/>
      <c r="E361" s="387"/>
      <c r="F361" s="387"/>
      <c r="G361" s="387"/>
      <c r="H361" s="387"/>
      <c r="I361" s="387"/>
      <c r="J361" s="387"/>
      <c r="K361" s="387"/>
      <c r="L361" s="364"/>
      <c r="M361" s="364"/>
      <c r="N361" s="387"/>
      <c r="O361" s="387"/>
      <c r="P361" s="387"/>
      <c r="Q361" s="387"/>
      <c r="R361" s="387"/>
      <c r="S361" s="387"/>
      <c r="T361" s="387"/>
      <c r="U361" s="387"/>
      <c r="V361" s="387"/>
      <c r="W361" s="387"/>
      <c r="X361" s="387"/>
      <c r="Y361" s="387"/>
      <c r="Z361" s="387"/>
      <c r="AA361" s="387"/>
      <c r="AB361" s="387"/>
    </row>
    <row r="362">
      <c r="A362" s="364"/>
      <c r="B362" s="387"/>
      <c r="C362" s="387"/>
      <c r="D362" s="364"/>
      <c r="E362" s="387"/>
      <c r="F362" s="387"/>
      <c r="G362" s="387"/>
      <c r="H362" s="387"/>
      <c r="I362" s="387"/>
      <c r="J362" s="387"/>
      <c r="K362" s="387"/>
      <c r="L362" s="364"/>
      <c r="M362" s="364"/>
      <c r="N362" s="387"/>
      <c r="O362" s="387"/>
      <c r="P362" s="387"/>
      <c r="Q362" s="387"/>
      <c r="R362" s="387"/>
      <c r="S362" s="387"/>
      <c r="T362" s="387"/>
      <c r="U362" s="387"/>
      <c r="V362" s="387"/>
      <c r="W362" s="387"/>
      <c r="X362" s="387"/>
      <c r="Y362" s="387"/>
      <c r="Z362" s="387"/>
      <c r="AA362" s="387"/>
      <c r="AB362" s="387"/>
    </row>
    <row r="363">
      <c r="A363" s="364"/>
      <c r="B363" s="387"/>
      <c r="C363" s="387"/>
      <c r="D363" s="364"/>
      <c r="E363" s="387"/>
      <c r="F363" s="387"/>
      <c r="G363" s="387"/>
      <c r="H363" s="387"/>
      <c r="I363" s="387"/>
      <c r="J363" s="387"/>
      <c r="K363" s="387"/>
      <c r="L363" s="364"/>
      <c r="M363" s="364"/>
      <c r="N363" s="387"/>
      <c r="O363" s="387"/>
      <c r="P363" s="387"/>
      <c r="Q363" s="387"/>
      <c r="R363" s="387"/>
      <c r="S363" s="387"/>
      <c r="T363" s="387"/>
      <c r="U363" s="387"/>
      <c r="V363" s="387"/>
      <c r="W363" s="387"/>
      <c r="X363" s="387"/>
      <c r="Y363" s="387"/>
      <c r="Z363" s="387"/>
      <c r="AA363" s="387"/>
      <c r="AB363" s="387"/>
    </row>
    <row r="364">
      <c r="A364" s="364"/>
      <c r="B364" s="387"/>
      <c r="C364" s="387"/>
      <c r="D364" s="364"/>
      <c r="E364" s="387"/>
      <c r="F364" s="387"/>
      <c r="G364" s="387"/>
      <c r="H364" s="387"/>
      <c r="I364" s="387"/>
      <c r="J364" s="387"/>
      <c r="K364" s="387"/>
      <c r="L364" s="364"/>
      <c r="M364" s="364"/>
      <c r="N364" s="387"/>
      <c r="O364" s="387"/>
      <c r="P364" s="387"/>
      <c r="Q364" s="387"/>
      <c r="R364" s="387"/>
      <c r="S364" s="387"/>
      <c r="T364" s="387"/>
      <c r="U364" s="387"/>
      <c r="V364" s="387"/>
      <c r="W364" s="387"/>
      <c r="X364" s="387"/>
      <c r="Y364" s="387"/>
      <c r="Z364" s="387"/>
      <c r="AA364" s="387"/>
      <c r="AB364" s="387"/>
    </row>
    <row r="365">
      <c r="A365" s="364"/>
      <c r="B365" s="387"/>
      <c r="C365" s="387"/>
      <c r="D365" s="364"/>
      <c r="E365" s="387"/>
      <c r="F365" s="387"/>
      <c r="G365" s="387"/>
      <c r="H365" s="387"/>
      <c r="I365" s="387"/>
      <c r="J365" s="387"/>
      <c r="K365" s="387"/>
      <c r="L365" s="364"/>
      <c r="M365" s="364"/>
      <c r="N365" s="387"/>
      <c r="O365" s="387"/>
      <c r="P365" s="387"/>
      <c r="Q365" s="387"/>
      <c r="R365" s="387"/>
      <c r="S365" s="387"/>
      <c r="T365" s="387"/>
      <c r="U365" s="387"/>
      <c r="V365" s="387"/>
      <c r="W365" s="387"/>
      <c r="X365" s="387"/>
      <c r="Y365" s="387"/>
      <c r="Z365" s="387"/>
      <c r="AA365" s="387"/>
      <c r="AB365" s="387"/>
    </row>
    <row r="366">
      <c r="A366" s="364"/>
      <c r="B366" s="387"/>
      <c r="C366" s="387"/>
      <c r="D366" s="364"/>
      <c r="E366" s="387"/>
      <c r="F366" s="387"/>
      <c r="G366" s="387"/>
      <c r="H366" s="387"/>
      <c r="I366" s="387"/>
      <c r="J366" s="387"/>
      <c r="K366" s="387"/>
      <c r="L366" s="364"/>
      <c r="M366" s="364"/>
      <c r="N366" s="387"/>
      <c r="O366" s="387"/>
      <c r="P366" s="387"/>
      <c r="Q366" s="387"/>
      <c r="R366" s="387"/>
      <c r="S366" s="387"/>
      <c r="T366" s="387"/>
      <c r="U366" s="387"/>
      <c r="V366" s="387"/>
      <c r="W366" s="387"/>
      <c r="X366" s="387"/>
      <c r="Y366" s="387"/>
      <c r="Z366" s="387"/>
      <c r="AA366" s="387"/>
      <c r="AB366" s="387"/>
    </row>
    <row r="367">
      <c r="A367" s="364"/>
      <c r="B367" s="387"/>
      <c r="C367" s="387"/>
      <c r="D367" s="364"/>
      <c r="E367" s="387"/>
      <c r="F367" s="387"/>
      <c r="G367" s="387"/>
      <c r="H367" s="387"/>
      <c r="I367" s="387"/>
      <c r="J367" s="387"/>
      <c r="K367" s="387"/>
      <c r="L367" s="364"/>
      <c r="M367" s="364"/>
      <c r="N367" s="387"/>
      <c r="O367" s="387"/>
      <c r="P367" s="387"/>
      <c r="Q367" s="387"/>
      <c r="R367" s="387"/>
      <c r="S367" s="387"/>
      <c r="T367" s="387"/>
      <c r="U367" s="387"/>
      <c r="V367" s="387"/>
      <c r="W367" s="387"/>
      <c r="X367" s="387"/>
      <c r="Y367" s="387"/>
      <c r="Z367" s="387"/>
      <c r="AA367" s="387"/>
      <c r="AB367" s="387"/>
    </row>
    <row r="368">
      <c r="A368" s="364"/>
      <c r="B368" s="387"/>
      <c r="C368" s="387"/>
      <c r="D368" s="364"/>
      <c r="E368" s="387"/>
      <c r="F368" s="387"/>
      <c r="G368" s="387"/>
      <c r="H368" s="387"/>
      <c r="I368" s="387"/>
      <c r="J368" s="387"/>
      <c r="K368" s="387"/>
      <c r="L368" s="364"/>
      <c r="M368" s="364"/>
      <c r="N368" s="387"/>
      <c r="O368" s="387"/>
      <c r="P368" s="387"/>
      <c r="Q368" s="387"/>
      <c r="R368" s="387"/>
      <c r="S368" s="387"/>
      <c r="T368" s="387"/>
      <c r="U368" s="387"/>
      <c r="V368" s="387"/>
      <c r="W368" s="387"/>
      <c r="X368" s="387"/>
      <c r="Y368" s="387"/>
      <c r="Z368" s="387"/>
      <c r="AA368" s="387"/>
      <c r="AB368" s="387"/>
    </row>
    <row r="369">
      <c r="A369" s="364"/>
      <c r="B369" s="387"/>
      <c r="C369" s="387"/>
      <c r="D369" s="364"/>
      <c r="E369" s="387"/>
      <c r="F369" s="387"/>
      <c r="G369" s="387"/>
      <c r="H369" s="387"/>
      <c r="I369" s="387"/>
      <c r="J369" s="387"/>
      <c r="K369" s="387"/>
      <c r="L369" s="364"/>
      <c r="M369" s="364"/>
      <c r="N369" s="387"/>
      <c r="O369" s="387"/>
      <c r="P369" s="387"/>
      <c r="Q369" s="387"/>
      <c r="R369" s="387"/>
      <c r="S369" s="387"/>
      <c r="T369" s="387"/>
      <c r="U369" s="387"/>
      <c r="V369" s="387"/>
      <c r="W369" s="387"/>
      <c r="X369" s="387"/>
      <c r="Y369" s="387"/>
      <c r="Z369" s="387"/>
      <c r="AA369" s="387"/>
      <c r="AB369" s="387"/>
    </row>
    <row r="370">
      <c r="A370" s="364"/>
      <c r="B370" s="387"/>
      <c r="C370" s="387"/>
      <c r="D370" s="364"/>
      <c r="E370" s="387"/>
      <c r="F370" s="387"/>
      <c r="G370" s="387"/>
      <c r="H370" s="387"/>
      <c r="I370" s="387"/>
      <c r="J370" s="387"/>
      <c r="K370" s="387"/>
      <c r="L370" s="364"/>
      <c r="M370" s="364"/>
      <c r="N370" s="387"/>
      <c r="O370" s="387"/>
      <c r="P370" s="387"/>
      <c r="Q370" s="387"/>
      <c r="R370" s="387"/>
      <c r="S370" s="387"/>
      <c r="T370" s="387"/>
      <c r="U370" s="387"/>
      <c r="V370" s="387"/>
      <c r="W370" s="387"/>
      <c r="X370" s="387"/>
      <c r="Y370" s="387"/>
      <c r="Z370" s="387"/>
      <c r="AA370" s="387"/>
      <c r="AB370" s="387"/>
    </row>
    <row r="371">
      <c r="A371" s="364"/>
      <c r="B371" s="387"/>
      <c r="C371" s="387"/>
      <c r="D371" s="364"/>
      <c r="E371" s="387"/>
      <c r="F371" s="387"/>
      <c r="G371" s="387"/>
      <c r="H371" s="387"/>
      <c r="I371" s="387"/>
      <c r="J371" s="387"/>
      <c r="K371" s="387"/>
      <c r="L371" s="364"/>
      <c r="M371" s="364"/>
      <c r="N371" s="387"/>
      <c r="O371" s="387"/>
      <c r="P371" s="387"/>
      <c r="Q371" s="387"/>
      <c r="R371" s="387"/>
      <c r="S371" s="387"/>
      <c r="T371" s="387"/>
      <c r="U371" s="387"/>
      <c r="V371" s="387"/>
      <c r="W371" s="387"/>
      <c r="X371" s="387"/>
      <c r="Y371" s="387"/>
      <c r="Z371" s="387"/>
      <c r="AA371" s="387"/>
      <c r="AB371" s="387"/>
    </row>
    <row r="372">
      <c r="A372" s="364"/>
      <c r="B372" s="387"/>
      <c r="C372" s="387"/>
      <c r="D372" s="364"/>
      <c r="E372" s="387"/>
      <c r="F372" s="387"/>
      <c r="G372" s="387"/>
      <c r="H372" s="387"/>
      <c r="I372" s="387"/>
      <c r="J372" s="387"/>
      <c r="K372" s="387"/>
      <c r="L372" s="364"/>
      <c r="M372" s="364"/>
      <c r="N372" s="387"/>
      <c r="O372" s="387"/>
      <c r="P372" s="387"/>
      <c r="Q372" s="387"/>
      <c r="R372" s="387"/>
      <c r="S372" s="387"/>
      <c r="T372" s="387"/>
      <c r="U372" s="387"/>
      <c r="V372" s="387"/>
      <c r="W372" s="387"/>
      <c r="X372" s="387"/>
      <c r="Y372" s="387"/>
      <c r="Z372" s="387"/>
      <c r="AA372" s="387"/>
      <c r="AB372" s="387"/>
    </row>
    <row r="373">
      <c r="A373" s="364"/>
      <c r="B373" s="387"/>
      <c r="C373" s="387"/>
      <c r="D373" s="364"/>
      <c r="E373" s="387"/>
      <c r="F373" s="387"/>
      <c r="G373" s="387"/>
      <c r="H373" s="387"/>
      <c r="I373" s="387"/>
      <c r="J373" s="387"/>
      <c r="K373" s="387"/>
      <c r="L373" s="364"/>
      <c r="M373" s="364"/>
      <c r="N373" s="387"/>
      <c r="O373" s="387"/>
      <c r="P373" s="387"/>
      <c r="Q373" s="387"/>
      <c r="R373" s="387"/>
      <c r="S373" s="387"/>
      <c r="T373" s="387"/>
      <c r="U373" s="387"/>
      <c r="V373" s="387"/>
      <c r="W373" s="387"/>
      <c r="X373" s="387"/>
      <c r="Y373" s="387"/>
      <c r="Z373" s="387"/>
      <c r="AA373" s="387"/>
      <c r="AB373" s="387"/>
    </row>
    <row r="374">
      <c r="A374" s="364"/>
      <c r="B374" s="387"/>
      <c r="C374" s="387"/>
      <c r="D374" s="364"/>
      <c r="E374" s="387"/>
      <c r="F374" s="387"/>
      <c r="G374" s="387"/>
      <c r="H374" s="387"/>
      <c r="I374" s="387"/>
      <c r="J374" s="387"/>
      <c r="K374" s="387"/>
      <c r="L374" s="364"/>
      <c r="M374" s="364"/>
      <c r="N374" s="387"/>
      <c r="O374" s="387"/>
      <c r="P374" s="387"/>
      <c r="Q374" s="387"/>
      <c r="R374" s="387"/>
      <c r="S374" s="387"/>
      <c r="T374" s="387"/>
      <c r="U374" s="387"/>
      <c r="V374" s="387"/>
      <c r="W374" s="387"/>
      <c r="X374" s="387"/>
      <c r="Y374" s="387"/>
      <c r="Z374" s="387"/>
      <c r="AA374" s="387"/>
      <c r="AB374" s="387"/>
    </row>
    <row r="375">
      <c r="A375" s="364"/>
      <c r="B375" s="387"/>
      <c r="C375" s="387"/>
      <c r="D375" s="364"/>
      <c r="E375" s="387"/>
      <c r="F375" s="387"/>
      <c r="G375" s="387"/>
      <c r="H375" s="387"/>
      <c r="I375" s="387"/>
      <c r="J375" s="387"/>
      <c r="K375" s="387"/>
      <c r="L375" s="364"/>
      <c r="M375" s="364"/>
      <c r="N375" s="387"/>
      <c r="O375" s="387"/>
      <c r="P375" s="387"/>
      <c r="Q375" s="387"/>
      <c r="R375" s="387"/>
      <c r="S375" s="387"/>
      <c r="T375" s="387"/>
      <c r="U375" s="387"/>
      <c r="V375" s="387"/>
      <c r="W375" s="387"/>
      <c r="X375" s="387"/>
      <c r="Y375" s="387"/>
      <c r="Z375" s="387"/>
      <c r="AA375" s="387"/>
      <c r="AB375" s="387"/>
    </row>
    <row r="376">
      <c r="A376" s="364"/>
      <c r="B376" s="387"/>
      <c r="C376" s="387"/>
      <c r="D376" s="364"/>
      <c r="E376" s="387"/>
      <c r="F376" s="387"/>
      <c r="G376" s="387"/>
      <c r="H376" s="387"/>
      <c r="I376" s="387"/>
      <c r="J376" s="387"/>
      <c r="K376" s="387"/>
      <c r="L376" s="364"/>
      <c r="M376" s="364"/>
      <c r="N376" s="387"/>
      <c r="O376" s="387"/>
      <c r="P376" s="387"/>
      <c r="Q376" s="387"/>
      <c r="R376" s="387"/>
      <c r="S376" s="387"/>
      <c r="T376" s="387"/>
      <c r="U376" s="387"/>
      <c r="V376" s="387"/>
      <c r="W376" s="387"/>
      <c r="X376" s="387"/>
      <c r="Y376" s="387"/>
      <c r="Z376" s="387"/>
      <c r="AA376" s="387"/>
      <c r="AB376" s="387"/>
    </row>
    <row r="377">
      <c r="A377" s="364"/>
      <c r="B377" s="387"/>
      <c r="C377" s="387"/>
      <c r="D377" s="364"/>
      <c r="E377" s="387"/>
      <c r="F377" s="387"/>
      <c r="G377" s="387"/>
      <c r="H377" s="387"/>
      <c r="I377" s="387"/>
      <c r="J377" s="387"/>
      <c r="K377" s="387"/>
      <c r="L377" s="364"/>
      <c r="M377" s="364"/>
      <c r="N377" s="387"/>
      <c r="O377" s="387"/>
      <c r="P377" s="387"/>
      <c r="Q377" s="387"/>
      <c r="R377" s="387"/>
      <c r="S377" s="387"/>
      <c r="T377" s="387"/>
      <c r="U377" s="387"/>
      <c r="V377" s="387"/>
      <c r="W377" s="387"/>
      <c r="X377" s="387"/>
      <c r="Y377" s="387"/>
      <c r="Z377" s="387"/>
      <c r="AA377" s="387"/>
      <c r="AB377" s="387"/>
    </row>
    <row r="378">
      <c r="A378" s="364"/>
      <c r="B378" s="387"/>
      <c r="C378" s="387"/>
      <c r="D378" s="364"/>
      <c r="E378" s="387"/>
      <c r="F378" s="387"/>
      <c r="G378" s="387"/>
      <c r="H378" s="387"/>
      <c r="I378" s="387"/>
      <c r="J378" s="387"/>
      <c r="K378" s="387"/>
      <c r="L378" s="364"/>
      <c r="M378" s="364"/>
      <c r="N378" s="387"/>
      <c r="O378" s="387"/>
      <c r="P378" s="387"/>
      <c r="Q378" s="387"/>
      <c r="R378" s="387"/>
      <c r="S378" s="387"/>
      <c r="T378" s="387"/>
      <c r="U378" s="387"/>
      <c r="V378" s="387"/>
      <c r="W378" s="387"/>
      <c r="X378" s="387"/>
      <c r="Y378" s="387"/>
      <c r="Z378" s="387"/>
      <c r="AA378" s="387"/>
      <c r="AB378" s="387"/>
    </row>
    <row r="379">
      <c r="A379" s="364"/>
      <c r="B379" s="387"/>
      <c r="C379" s="387"/>
      <c r="D379" s="364"/>
      <c r="E379" s="387"/>
      <c r="F379" s="387"/>
      <c r="G379" s="387"/>
      <c r="H379" s="387"/>
      <c r="I379" s="387"/>
      <c r="J379" s="387"/>
      <c r="K379" s="387"/>
      <c r="L379" s="364"/>
      <c r="M379" s="364"/>
      <c r="N379" s="387"/>
      <c r="O379" s="387"/>
      <c r="P379" s="387"/>
      <c r="Q379" s="387"/>
      <c r="R379" s="387"/>
      <c r="S379" s="387"/>
      <c r="T379" s="387"/>
      <c r="U379" s="387"/>
      <c r="V379" s="387"/>
      <c r="W379" s="387"/>
      <c r="X379" s="387"/>
      <c r="Y379" s="387"/>
      <c r="Z379" s="387"/>
      <c r="AA379" s="387"/>
      <c r="AB379" s="387"/>
    </row>
    <row r="380">
      <c r="A380" s="364"/>
      <c r="B380" s="387"/>
      <c r="C380" s="387"/>
      <c r="D380" s="364"/>
      <c r="E380" s="387"/>
      <c r="F380" s="387"/>
      <c r="G380" s="387"/>
      <c r="H380" s="387"/>
      <c r="I380" s="387"/>
      <c r="J380" s="387"/>
      <c r="K380" s="387"/>
      <c r="L380" s="364"/>
      <c r="M380" s="364"/>
      <c r="N380" s="387"/>
      <c r="O380" s="387"/>
      <c r="P380" s="387"/>
      <c r="Q380" s="387"/>
      <c r="R380" s="387"/>
      <c r="S380" s="387"/>
      <c r="T380" s="387"/>
      <c r="U380" s="387"/>
      <c r="V380" s="387"/>
      <c r="W380" s="387"/>
      <c r="X380" s="387"/>
      <c r="Y380" s="387"/>
      <c r="Z380" s="387"/>
      <c r="AA380" s="387"/>
      <c r="AB380" s="387"/>
    </row>
    <row r="381">
      <c r="A381" s="364"/>
      <c r="B381" s="387"/>
      <c r="C381" s="387"/>
      <c r="D381" s="364"/>
      <c r="E381" s="387"/>
      <c r="F381" s="387"/>
      <c r="G381" s="387"/>
      <c r="H381" s="387"/>
      <c r="I381" s="387"/>
      <c r="J381" s="387"/>
      <c r="K381" s="387"/>
      <c r="L381" s="364"/>
      <c r="M381" s="364"/>
      <c r="N381" s="387"/>
      <c r="O381" s="387"/>
      <c r="P381" s="387"/>
      <c r="Q381" s="387"/>
      <c r="R381" s="387"/>
      <c r="S381" s="387"/>
      <c r="T381" s="387"/>
      <c r="U381" s="387"/>
      <c r="V381" s="387"/>
      <c r="W381" s="387"/>
      <c r="X381" s="387"/>
      <c r="Y381" s="387"/>
      <c r="Z381" s="387"/>
      <c r="AA381" s="387"/>
      <c r="AB381" s="387"/>
    </row>
    <row r="382">
      <c r="A382" s="364"/>
      <c r="B382" s="387"/>
      <c r="C382" s="387"/>
      <c r="D382" s="364"/>
      <c r="E382" s="387"/>
      <c r="F382" s="387"/>
      <c r="G382" s="387"/>
      <c r="H382" s="387"/>
      <c r="I382" s="387"/>
      <c r="J382" s="387"/>
      <c r="K382" s="387"/>
      <c r="L382" s="364"/>
      <c r="M382" s="364"/>
      <c r="N382" s="387"/>
      <c r="O382" s="387"/>
      <c r="P382" s="387"/>
      <c r="Q382" s="387"/>
      <c r="R382" s="387"/>
      <c r="S382" s="387"/>
      <c r="T382" s="387"/>
      <c r="U382" s="387"/>
      <c r="V382" s="387"/>
      <c r="W382" s="387"/>
      <c r="X382" s="387"/>
      <c r="Y382" s="387"/>
      <c r="Z382" s="387"/>
      <c r="AA382" s="387"/>
      <c r="AB382" s="387"/>
    </row>
    <row r="383">
      <c r="A383" s="364"/>
      <c r="B383" s="387"/>
      <c r="C383" s="387"/>
      <c r="D383" s="364"/>
      <c r="E383" s="387"/>
      <c r="F383" s="387"/>
      <c r="G383" s="387"/>
      <c r="H383" s="387"/>
      <c r="I383" s="387"/>
      <c r="J383" s="387"/>
      <c r="K383" s="387"/>
      <c r="L383" s="364"/>
      <c r="M383" s="364"/>
      <c r="N383" s="387"/>
      <c r="O383" s="387"/>
      <c r="P383" s="387"/>
      <c r="Q383" s="387"/>
      <c r="R383" s="387"/>
      <c r="S383" s="387"/>
      <c r="T383" s="387"/>
      <c r="U383" s="387"/>
      <c r="V383" s="387"/>
      <c r="W383" s="387"/>
      <c r="X383" s="387"/>
      <c r="Y383" s="387"/>
      <c r="Z383" s="387"/>
      <c r="AA383" s="387"/>
      <c r="AB383" s="387"/>
    </row>
    <row r="384">
      <c r="A384" s="364"/>
      <c r="B384" s="387"/>
      <c r="C384" s="387"/>
      <c r="D384" s="364"/>
      <c r="E384" s="387"/>
      <c r="F384" s="387"/>
      <c r="G384" s="387"/>
      <c r="H384" s="387"/>
      <c r="I384" s="387"/>
      <c r="J384" s="387"/>
      <c r="K384" s="387"/>
      <c r="L384" s="364"/>
      <c r="M384" s="364"/>
      <c r="N384" s="387"/>
      <c r="O384" s="387"/>
      <c r="P384" s="387"/>
      <c r="Q384" s="387"/>
      <c r="R384" s="387"/>
      <c r="S384" s="387"/>
      <c r="T384" s="387"/>
      <c r="U384" s="387"/>
      <c r="V384" s="387"/>
      <c r="W384" s="387"/>
      <c r="X384" s="387"/>
      <c r="Y384" s="387"/>
      <c r="Z384" s="387"/>
      <c r="AA384" s="387"/>
      <c r="AB384" s="387"/>
    </row>
    <row r="385">
      <c r="A385" s="364"/>
      <c r="B385" s="387"/>
      <c r="C385" s="387"/>
      <c r="D385" s="364"/>
      <c r="E385" s="387"/>
      <c r="F385" s="387"/>
      <c r="G385" s="387"/>
      <c r="H385" s="387"/>
      <c r="I385" s="387"/>
      <c r="J385" s="387"/>
      <c r="K385" s="387"/>
      <c r="L385" s="364"/>
      <c r="M385" s="364"/>
      <c r="N385" s="387"/>
      <c r="O385" s="387"/>
      <c r="P385" s="387"/>
      <c r="Q385" s="387"/>
      <c r="R385" s="387"/>
      <c r="S385" s="387"/>
      <c r="T385" s="387"/>
      <c r="U385" s="387"/>
      <c r="V385" s="387"/>
      <c r="W385" s="387"/>
      <c r="X385" s="387"/>
      <c r="Y385" s="387"/>
      <c r="Z385" s="387"/>
      <c r="AA385" s="387"/>
      <c r="AB385" s="387"/>
    </row>
    <row r="386">
      <c r="A386" s="364"/>
      <c r="B386" s="387"/>
      <c r="C386" s="387"/>
      <c r="D386" s="364"/>
      <c r="E386" s="387"/>
      <c r="F386" s="387"/>
      <c r="G386" s="387"/>
      <c r="H386" s="387"/>
      <c r="I386" s="387"/>
      <c r="J386" s="387"/>
      <c r="K386" s="387"/>
      <c r="L386" s="364"/>
      <c r="M386" s="364"/>
      <c r="N386" s="387"/>
      <c r="O386" s="387"/>
      <c r="P386" s="387"/>
      <c r="Q386" s="387"/>
      <c r="R386" s="387"/>
      <c r="S386" s="387"/>
      <c r="T386" s="387"/>
      <c r="U386" s="387"/>
      <c r="V386" s="387"/>
      <c r="W386" s="387"/>
      <c r="X386" s="387"/>
      <c r="Y386" s="387"/>
      <c r="Z386" s="387"/>
      <c r="AA386" s="387"/>
      <c r="AB386" s="387"/>
    </row>
    <row r="387">
      <c r="A387" s="364"/>
      <c r="B387" s="387"/>
      <c r="C387" s="387"/>
      <c r="D387" s="364"/>
      <c r="E387" s="387"/>
      <c r="F387" s="387"/>
      <c r="G387" s="387"/>
      <c r="H387" s="387"/>
      <c r="I387" s="387"/>
      <c r="J387" s="387"/>
      <c r="K387" s="387"/>
      <c r="L387" s="364"/>
      <c r="M387" s="364"/>
      <c r="N387" s="387"/>
      <c r="O387" s="387"/>
      <c r="P387" s="387"/>
      <c r="Q387" s="387"/>
      <c r="R387" s="387"/>
      <c r="S387" s="387"/>
      <c r="T387" s="387"/>
      <c r="U387" s="387"/>
      <c r="V387" s="387"/>
      <c r="W387" s="387"/>
      <c r="X387" s="387"/>
      <c r="Y387" s="387"/>
      <c r="Z387" s="387"/>
      <c r="AA387" s="387"/>
      <c r="AB387" s="387"/>
    </row>
    <row r="388">
      <c r="A388" s="364"/>
      <c r="B388" s="387"/>
      <c r="C388" s="387"/>
      <c r="D388" s="364"/>
      <c r="E388" s="387"/>
      <c r="F388" s="387"/>
      <c r="G388" s="387"/>
      <c r="H388" s="387"/>
      <c r="I388" s="387"/>
      <c r="J388" s="387"/>
      <c r="K388" s="387"/>
      <c r="L388" s="364"/>
      <c r="M388" s="364"/>
      <c r="N388" s="387"/>
      <c r="O388" s="387"/>
      <c r="P388" s="387"/>
      <c r="Q388" s="387"/>
      <c r="R388" s="387"/>
      <c r="S388" s="387"/>
      <c r="T388" s="387"/>
      <c r="U388" s="387"/>
      <c r="V388" s="387"/>
      <c r="W388" s="387"/>
      <c r="X388" s="387"/>
      <c r="Y388" s="387"/>
      <c r="Z388" s="387"/>
      <c r="AA388" s="387"/>
      <c r="AB388" s="387"/>
    </row>
    <row r="389">
      <c r="A389" s="364"/>
      <c r="B389" s="387"/>
      <c r="C389" s="387"/>
      <c r="D389" s="364"/>
      <c r="E389" s="387"/>
      <c r="F389" s="387"/>
      <c r="G389" s="387"/>
      <c r="H389" s="387"/>
      <c r="I389" s="387"/>
      <c r="J389" s="387"/>
      <c r="K389" s="387"/>
      <c r="L389" s="364"/>
      <c r="M389" s="364"/>
      <c r="N389" s="387"/>
      <c r="O389" s="387"/>
      <c r="P389" s="387"/>
      <c r="Q389" s="387"/>
      <c r="R389" s="387"/>
      <c r="S389" s="387"/>
      <c r="T389" s="387"/>
      <c r="U389" s="387"/>
      <c r="V389" s="387"/>
      <c r="W389" s="387"/>
      <c r="X389" s="387"/>
      <c r="Y389" s="387"/>
      <c r="Z389" s="387"/>
      <c r="AA389" s="387"/>
      <c r="AB389" s="387"/>
    </row>
    <row r="390">
      <c r="A390" s="364"/>
      <c r="B390" s="387"/>
      <c r="C390" s="387"/>
      <c r="D390" s="364"/>
      <c r="E390" s="387"/>
      <c r="F390" s="387"/>
      <c r="G390" s="387"/>
      <c r="H390" s="387"/>
      <c r="I390" s="387"/>
      <c r="J390" s="387"/>
      <c r="K390" s="387"/>
      <c r="L390" s="364"/>
      <c r="M390" s="364"/>
      <c r="N390" s="387"/>
      <c r="O390" s="387"/>
      <c r="P390" s="387"/>
      <c r="Q390" s="387"/>
      <c r="R390" s="387"/>
      <c r="S390" s="387"/>
      <c r="T390" s="387"/>
      <c r="U390" s="387"/>
      <c r="V390" s="387"/>
      <c r="W390" s="387"/>
      <c r="X390" s="387"/>
      <c r="Y390" s="387"/>
      <c r="Z390" s="387"/>
      <c r="AA390" s="387"/>
      <c r="AB390" s="387"/>
    </row>
    <row r="391">
      <c r="A391" s="364"/>
      <c r="B391" s="387"/>
      <c r="C391" s="387"/>
      <c r="D391" s="364"/>
      <c r="E391" s="387"/>
      <c r="F391" s="387"/>
      <c r="G391" s="387"/>
      <c r="H391" s="387"/>
      <c r="I391" s="387"/>
      <c r="J391" s="387"/>
      <c r="K391" s="387"/>
      <c r="L391" s="364"/>
      <c r="M391" s="364"/>
      <c r="N391" s="387"/>
      <c r="O391" s="387"/>
      <c r="P391" s="387"/>
      <c r="Q391" s="387"/>
      <c r="R391" s="387"/>
      <c r="S391" s="387"/>
      <c r="T391" s="387"/>
      <c r="U391" s="387"/>
      <c r="V391" s="387"/>
      <c r="W391" s="387"/>
      <c r="X391" s="387"/>
      <c r="Y391" s="387"/>
      <c r="Z391" s="387"/>
      <c r="AA391" s="387"/>
      <c r="AB391" s="387"/>
    </row>
    <row r="392">
      <c r="A392" s="364"/>
      <c r="B392" s="387"/>
      <c r="C392" s="387"/>
      <c r="D392" s="364"/>
      <c r="E392" s="387"/>
      <c r="F392" s="387"/>
      <c r="G392" s="387"/>
      <c r="H392" s="387"/>
      <c r="I392" s="387"/>
      <c r="J392" s="387"/>
      <c r="K392" s="387"/>
      <c r="L392" s="364"/>
      <c r="M392" s="364"/>
      <c r="N392" s="387"/>
      <c r="O392" s="387"/>
      <c r="P392" s="387"/>
      <c r="Q392" s="387"/>
      <c r="R392" s="387"/>
      <c r="S392" s="387"/>
      <c r="T392" s="387"/>
      <c r="U392" s="387"/>
      <c r="V392" s="387"/>
      <c r="W392" s="387"/>
      <c r="X392" s="387"/>
      <c r="Y392" s="387"/>
      <c r="Z392" s="387"/>
      <c r="AA392" s="387"/>
      <c r="AB392" s="387"/>
    </row>
    <row r="393">
      <c r="A393" s="364"/>
      <c r="B393" s="387"/>
      <c r="C393" s="387"/>
      <c r="D393" s="364"/>
      <c r="E393" s="387"/>
      <c r="F393" s="387"/>
      <c r="G393" s="387"/>
      <c r="H393" s="387"/>
      <c r="I393" s="387"/>
      <c r="J393" s="387"/>
      <c r="K393" s="387"/>
      <c r="L393" s="364"/>
      <c r="M393" s="364"/>
      <c r="N393" s="387"/>
      <c r="O393" s="387"/>
      <c r="P393" s="387"/>
      <c r="Q393" s="387"/>
      <c r="R393" s="387"/>
      <c r="S393" s="387"/>
      <c r="T393" s="387"/>
      <c r="U393" s="387"/>
      <c r="V393" s="387"/>
      <c r="W393" s="387"/>
      <c r="X393" s="387"/>
      <c r="Y393" s="387"/>
      <c r="Z393" s="387"/>
      <c r="AA393" s="387"/>
      <c r="AB393" s="387"/>
    </row>
    <row r="394">
      <c r="A394" s="364"/>
      <c r="B394" s="387"/>
      <c r="C394" s="387"/>
      <c r="D394" s="364"/>
      <c r="E394" s="387"/>
      <c r="F394" s="387"/>
      <c r="G394" s="387"/>
      <c r="H394" s="387"/>
      <c r="I394" s="387"/>
      <c r="J394" s="387"/>
      <c r="K394" s="387"/>
      <c r="L394" s="364"/>
      <c r="M394" s="364"/>
      <c r="N394" s="387"/>
      <c r="O394" s="387"/>
      <c r="P394" s="387"/>
      <c r="Q394" s="387"/>
      <c r="R394" s="387"/>
      <c r="S394" s="387"/>
      <c r="T394" s="387"/>
      <c r="U394" s="387"/>
      <c r="V394" s="387"/>
      <c r="W394" s="387"/>
      <c r="X394" s="387"/>
      <c r="Y394" s="387"/>
      <c r="Z394" s="387"/>
      <c r="AA394" s="387"/>
      <c r="AB394" s="387"/>
    </row>
    <row r="395">
      <c r="A395" s="364"/>
      <c r="B395" s="387"/>
      <c r="C395" s="387"/>
      <c r="D395" s="364"/>
      <c r="E395" s="387"/>
      <c r="F395" s="387"/>
      <c r="G395" s="387"/>
      <c r="H395" s="387"/>
      <c r="I395" s="387"/>
      <c r="J395" s="387"/>
      <c r="K395" s="387"/>
      <c r="L395" s="364"/>
      <c r="M395" s="364"/>
      <c r="N395" s="387"/>
      <c r="O395" s="387"/>
      <c r="P395" s="387"/>
      <c r="Q395" s="387"/>
      <c r="R395" s="387"/>
      <c r="S395" s="387"/>
      <c r="T395" s="387"/>
      <c r="U395" s="387"/>
      <c r="V395" s="387"/>
      <c r="W395" s="387"/>
      <c r="X395" s="387"/>
      <c r="Y395" s="387"/>
      <c r="Z395" s="387"/>
      <c r="AA395" s="387"/>
      <c r="AB395" s="387"/>
    </row>
    <row r="396">
      <c r="A396" s="364"/>
      <c r="B396" s="387"/>
      <c r="C396" s="387"/>
      <c r="D396" s="364"/>
      <c r="E396" s="387"/>
      <c r="F396" s="387"/>
      <c r="G396" s="387"/>
      <c r="H396" s="387"/>
      <c r="I396" s="387"/>
      <c r="J396" s="387"/>
      <c r="K396" s="387"/>
      <c r="L396" s="364"/>
      <c r="M396" s="364"/>
      <c r="N396" s="387"/>
      <c r="O396" s="387"/>
      <c r="P396" s="387"/>
      <c r="Q396" s="387"/>
      <c r="R396" s="387"/>
      <c r="S396" s="387"/>
      <c r="T396" s="387"/>
      <c r="U396" s="387"/>
      <c r="V396" s="387"/>
      <c r="W396" s="387"/>
      <c r="X396" s="387"/>
      <c r="Y396" s="387"/>
      <c r="Z396" s="387"/>
      <c r="AA396" s="387"/>
      <c r="AB396" s="387"/>
    </row>
    <row r="397">
      <c r="A397" s="364"/>
      <c r="B397" s="387"/>
      <c r="C397" s="387"/>
      <c r="D397" s="364"/>
      <c r="E397" s="387"/>
      <c r="F397" s="387"/>
      <c r="G397" s="387"/>
      <c r="H397" s="387"/>
      <c r="I397" s="387"/>
      <c r="J397" s="387"/>
      <c r="K397" s="387"/>
      <c r="L397" s="364"/>
      <c r="M397" s="364"/>
      <c r="N397" s="387"/>
      <c r="O397" s="387"/>
      <c r="P397" s="387"/>
      <c r="Q397" s="387"/>
      <c r="R397" s="387"/>
      <c r="S397" s="387"/>
      <c r="T397" s="387"/>
      <c r="U397" s="387"/>
      <c r="V397" s="387"/>
      <c r="W397" s="387"/>
      <c r="X397" s="387"/>
      <c r="Y397" s="387"/>
      <c r="Z397" s="387"/>
      <c r="AA397" s="387"/>
      <c r="AB397" s="387"/>
    </row>
    <row r="398">
      <c r="A398" s="364"/>
      <c r="B398" s="387"/>
      <c r="C398" s="387"/>
      <c r="D398" s="364"/>
      <c r="E398" s="387"/>
      <c r="F398" s="387"/>
      <c r="G398" s="387"/>
      <c r="H398" s="387"/>
      <c r="I398" s="387"/>
      <c r="J398" s="387"/>
      <c r="K398" s="387"/>
      <c r="L398" s="364"/>
      <c r="M398" s="364"/>
      <c r="N398" s="387"/>
      <c r="O398" s="387"/>
      <c r="P398" s="387"/>
      <c r="Q398" s="387"/>
      <c r="R398" s="387"/>
      <c r="S398" s="387"/>
      <c r="T398" s="387"/>
      <c r="U398" s="387"/>
      <c r="V398" s="387"/>
      <c r="W398" s="387"/>
      <c r="X398" s="387"/>
      <c r="Y398" s="387"/>
      <c r="Z398" s="387"/>
      <c r="AA398" s="387"/>
      <c r="AB398" s="387"/>
    </row>
    <row r="399">
      <c r="A399" s="364"/>
      <c r="B399" s="387"/>
      <c r="C399" s="387"/>
      <c r="D399" s="364"/>
      <c r="E399" s="387"/>
      <c r="F399" s="387"/>
      <c r="G399" s="387"/>
      <c r="H399" s="387"/>
      <c r="I399" s="387"/>
      <c r="J399" s="387"/>
      <c r="K399" s="387"/>
      <c r="L399" s="364"/>
      <c r="M399" s="364"/>
      <c r="N399" s="387"/>
      <c r="O399" s="387"/>
      <c r="P399" s="387"/>
      <c r="Q399" s="387"/>
      <c r="R399" s="387"/>
      <c r="S399" s="387"/>
      <c r="T399" s="387"/>
      <c r="U399" s="387"/>
      <c r="V399" s="387"/>
      <c r="W399" s="387"/>
      <c r="X399" s="387"/>
      <c r="Y399" s="387"/>
      <c r="Z399" s="387"/>
      <c r="AA399" s="387"/>
      <c r="AB399" s="387"/>
    </row>
    <row r="400">
      <c r="A400" s="364"/>
      <c r="B400" s="387"/>
      <c r="C400" s="387"/>
      <c r="D400" s="364"/>
      <c r="E400" s="387"/>
      <c r="F400" s="387"/>
      <c r="G400" s="387"/>
      <c r="H400" s="387"/>
      <c r="I400" s="387"/>
      <c r="J400" s="387"/>
      <c r="K400" s="387"/>
      <c r="L400" s="364"/>
      <c r="M400" s="364"/>
      <c r="N400" s="387"/>
      <c r="O400" s="387"/>
      <c r="P400" s="387"/>
      <c r="Q400" s="387"/>
      <c r="R400" s="387"/>
      <c r="S400" s="387"/>
      <c r="T400" s="387"/>
      <c r="U400" s="387"/>
      <c r="V400" s="387"/>
      <c r="W400" s="387"/>
      <c r="X400" s="387"/>
      <c r="Y400" s="387"/>
      <c r="Z400" s="387"/>
      <c r="AA400" s="387"/>
      <c r="AB400" s="387"/>
    </row>
    <row r="401">
      <c r="A401" s="364"/>
      <c r="B401" s="387"/>
      <c r="C401" s="387"/>
      <c r="D401" s="364"/>
      <c r="E401" s="387"/>
      <c r="F401" s="387"/>
      <c r="G401" s="387"/>
      <c r="H401" s="387"/>
      <c r="I401" s="387"/>
      <c r="J401" s="387"/>
      <c r="K401" s="387"/>
      <c r="L401" s="364"/>
      <c r="M401" s="364"/>
      <c r="N401" s="387"/>
      <c r="O401" s="387"/>
      <c r="P401" s="387"/>
      <c r="Q401" s="387"/>
      <c r="R401" s="387"/>
      <c r="S401" s="387"/>
      <c r="T401" s="387"/>
      <c r="U401" s="387"/>
      <c r="V401" s="387"/>
      <c r="W401" s="387"/>
      <c r="X401" s="387"/>
      <c r="Y401" s="387"/>
      <c r="Z401" s="387"/>
      <c r="AA401" s="387"/>
      <c r="AB401" s="387"/>
    </row>
    <row r="402">
      <c r="A402" s="364"/>
      <c r="B402" s="387"/>
      <c r="C402" s="387"/>
      <c r="D402" s="364"/>
      <c r="E402" s="387"/>
      <c r="F402" s="387"/>
      <c r="G402" s="387"/>
      <c r="H402" s="387"/>
      <c r="I402" s="387"/>
      <c r="J402" s="387"/>
      <c r="K402" s="387"/>
      <c r="L402" s="364"/>
      <c r="M402" s="364"/>
      <c r="N402" s="387"/>
      <c r="O402" s="387"/>
      <c r="P402" s="387"/>
      <c r="Q402" s="387"/>
      <c r="R402" s="387"/>
      <c r="S402" s="387"/>
      <c r="T402" s="387"/>
      <c r="U402" s="387"/>
      <c r="V402" s="387"/>
      <c r="W402" s="387"/>
      <c r="X402" s="387"/>
      <c r="Y402" s="387"/>
      <c r="Z402" s="387"/>
      <c r="AA402" s="387"/>
      <c r="AB402" s="387"/>
    </row>
    <row r="403">
      <c r="A403" s="364"/>
      <c r="B403" s="387"/>
      <c r="C403" s="387"/>
      <c r="D403" s="364"/>
      <c r="E403" s="387"/>
      <c r="F403" s="387"/>
      <c r="G403" s="387"/>
      <c r="H403" s="387"/>
      <c r="I403" s="387"/>
      <c r="J403" s="387"/>
      <c r="K403" s="387"/>
      <c r="L403" s="364"/>
      <c r="M403" s="364"/>
      <c r="N403" s="387"/>
      <c r="O403" s="387"/>
      <c r="P403" s="387"/>
      <c r="Q403" s="387"/>
      <c r="R403" s="387"/>
      <c r="S403" s="387"/>
      <c r="T403" s="387"/>
      <c r="U403" s="387"/>
      <c r="V403" s="387"/>
      <c r="W403" s="387"/>
      <c r="X403" s="387"/>
      <c r="Y403" s="387"/>
      <c r="Z403" s="387"/>
      <c r="AA403" s="387"/>
      <c r="AB403" s="387"/>
    </row>
    <row r="404">
      <c r="A404" s="364"/>
      <c r="B404" s="387"/>
      <c r="C404" s="387"/>
      <c r="D404" s="364"/>
      <c r="E404" s="387"/>
      <c r="F404" s="387"/>
      <c r="G404" s="387"/>
      <c r="H404" s="387"/>
      <c r="I404" s="387"/>
      <c r="J404" s="387"/>
      <c r="K404" s="387"/>
      <c r="L404" s="364"/>
      <c r="M404" s="364"/>
      <c r="N404" s="387"/>
      <c r="O404" s="387"/>
      <c r="P404" s="387"/>
      <c r="Q404" s="387"/>
      <c r="R404" s="387"/>
      <c r="S404" s="387"/>
      <c r="T404" s="387"/>
      <c r="U404" s="387"/>
      <c r="V404" s="387"/>
      <c r="W404" s="387"/>
      <c r="X404" s="387"/>
      <c r="Y404" s="387"/>
      <c r="Z404" s="387"/>
      <c r="AA404" s="387"/>
      <c r="AB404" s="387"/>
    </row>
    <row r="405">
      <c r="A405" s="364"/>
      <c r="B405" s="387"/>
      <c r="C405" s="387"/>
      <c r="D405" s="364"/>
      <c r="E405" s="387"/>
      <c r="F405" s="387"/>
      <c r="G405" s="387"/>
      <c r="H405" s="387"/>
      <c r="I405" s="387"/>
      <c r="J405" s="387"/>
      <c r="K405" s="387"/>
      <c r="L405" s="364"/>
      <c r="M405" s="364"/>
      <c r="N405" s="387"/>
      <c r="O405" s="387"/>
      <c r="P405" s="387"/>
      <c r="Q405" s="387"/>
      <c r="R405" s="387"/>
      <c r="S405" s="387"/>
      <c r="T405" s="387"/>
      <c r="U405" s="387"/>
      <c r="V405" s="387"/>
      <c r="W405" s="387"/>
      <c r="X405" s="387"/>
      <c r="Y405" s="387"/>
      <c r="Z405" s="387"/>
      <c r="AA405" s="387"/>
      <c r="AB405" s="387"/>
    </row>
    <row r="406">
      <c r="A406" s="364"/>
      <c r="B406" s="387"/>
      <c r="C406" s="387"/>
      <c r="D406" s="364"/>
      <c r="E406" s="387"/>
      <c r="F406" s="387"/>
      <c r="G406" s="387"/>
      <c r="H406" s="387"/>
      <c r="I406" s="387"/>
      <c r="J406" s="387"/>
      <c r="K406" s="387"/>
      <c r="L406" s="364"/>
      <c r="M406" s="364"/>
      <c r="N406" s="387"/>
      <c r="O406" s="387"/>
      <c r="P406" s="387"/>
      <c r="Q406" s="387"/>
      <c r="R406" s="387"/>
      <c r="S406" s="387"/>
      <c r="T406" s="387"/>
      <c r="U406" s="387"/>
      <c r="V406" s="387"/>
      <c r="W406" s="387"/>
      <c r="X406" s="387"/>
      <c r="Y406" s="387"/>
      <c r="Z406" s="387"/>
      <c r="AA406" s="387"/>
      <c r="AB406" s="387"/>
    </row>
    <row r="407">
      <c r="A407" s="364"/>
      <c r="B407" s="387"/>
      <c r="C407" s="387"/>
      <c r="D407" s="364"/>
      <c r="E407" s="387"/>
      <c r="F407" s="387"/>
      <c r="G407" s="387"/>
      <c r="H407" s="387"/>
      <c r="I407" s="387"/>
      <c r="J407" s="387"/>
      <c r="K407" s="387"/>
      <c r="L407" s="364"/>
      <c r="M407" s="364"/>
      <c r="N407" s="387"/>
      <c r="O407" s="387"/>
      <c r="P407" s="387"/>
      <c r="Q407" s="387"/>
      <c r="R407" s="387"/>
      <c r="S407" s="387"/>
      <c r="T407" s="387"/>
      <c r="U407" s="387"/>
      <c r="V407" s="387"/>
      <c r="W407" s="387"/>
      <c r="X407" s="387"/>
      <c r="Y407" s="387"/>
      <c r="Z407" s="387"/>
      <c r="AA407" s="387"/>
      <c r="AB407" s="387"/>
    </row>
    <row r="408">
      <c r="A408" s="364"/>
      <c r="B408" s="387"/>
      <c r="C408" s="387"/>
      <c r="D408" s="364"/>
      <c r="E408" s="387"/>
      <c r="F408" s="387"/>
      <c r="G408" s="387"/>
      <c r="H408" s="387"/>
      <c r="I408" s="387"/>
      <c r="J408" s="387"/>
      <c r="K408" s="387"/>
      <c r="L408" s="364"/>
      <c r="M408" s="364"/>
      <c r="N408" s="387"/>
      <c r="O408" s="387"/>
      <c r="P408" s="387"/>
      <c r="Q408" s="387"/>
      <c r="R408" s="387"/>
      <c r="S408" s="387"/>
      <c r="T408" s="387"/>
      <c r="U408" s="387"/>
      <c r="V408" s="387"/>
      <c r="W408" s="387"/>
      <c r="X408" s="387"/>
      <c r="Y408" s="387"/>
      <c r="Z408" s="387"/>
      <c r="AA408" s="387"/>
      <c r="AB408" s="387"/>
    </row>
    <row r="409">
      <c r="A409" s="364"/>
      <c r="B409" s="387"/>
      <c r="C409" s="387"/>
      <c r="D409" s="364"/>
      <c r="E409" s="387"/>
      <c r="F409" s="387"/>
      <c r="G409" s="387"/>
      <c r="H409" s="387"/>
      <c r="I409" s="387"/>
      <c r="J409" s="387"/>
      <c r="K409" s="387"/>
      <c r="L409" s="364"/>
      <c r="M409" s="364"/>
      <c r="N409" s="387"/>
      <c r="O409" s="387"/>
      <c r="P409" s="387"/>
      <c r="Q409" s="387"/>
      <c r="R409" s="387"/>
      <c r="S409" s="387"/>
      <c r="T409" s="387"/>
      <c r="U409" s="387"/>
      <c r="V409" s="387"/>
      <c r="W409" s="387"/>
      <c r="X409" s="387"/>
      <c r="Y409" s="387"/>
      <c r="Z409" s="387"/>
      <c r="AA409" s="387"/>
      <c r="AB409" s="387"/>
    </row>
    <row r="410">
      <c r="A410" s="364"/>
      <c r="B410" s="387"/>
      <c r="C410" s="387"/>
      <c r="D410" s="364"/>
      <c r="E410" s="387"/>
      <c r="F410" s="387"/>
      <c r="G410" s="387"/>
      <c r="H410" s="387"/>
      <c r="I410" s="387"/>
      <c r="J410" s="387"/>
      <c r="K410" s="387"/>
      <c r="L410" s="364"/>
      <c r="M410" s="364"/>
      <c r="N410" s="387"/>
      <c r="O410" s="387"/>
      <c r="P410" s="387"/>
      <c r="Q410" s="387"/>
      <c r="R410" s="387"/>
      <c r="S410" s="387"/>
      <c r="T410" s="387"/>
      <c r="U410" s="387"/>
      <c r="V410" s="387"/>
      <c r="W410" s="387"/>
      <c r="X410" s="387"/>
      <c r="Y410" s="387"/>
      <c r="Z410" s="387"/>
      <c r="AA410" s="387"/>
      <c r="AB410" s="387"/>
    </row>
    <row r="411">
      <c r="A411" s="364"/>
      <c r="B411" s="387"/>
      <c r="C411" s="387"/>
      <c r="D411" s="364"/>
      <c r="E411" s="387"/>
      <c r="F411" s="387"/>
      <c r="G411" s="387"/>
      <c r="H411" s="387"/>
      <c r="I411" s="387"/>
      <c r="J411" s="387"/>
      <c r="K411" s="387"/>
      <c r="L411" s="364"/>
      <c r="M411" s="364"/>
      <c r="N411" s="387"/>
      <c r="O411" s="387"/>
      <c r="P411" s="387"/>
      <c r="Q411" s="387"/>
      <c r="R411" s="387"/>
      <c r="S411" s="387"/>
      <c r="T411" s="387"/>
      <c r="U411" s="387"/>
      <c r="V411" s="387"/>
      <c r="W411" s="387"/>
      <c r="X411" s="387"/>
      <c r="Y411" s="387"/>
      <c r="Z411" s="387"/>
      <c r="AA411" s="387"/>
      <c r="AB411" s="387"/>
    </row>
    <row r="412">
      <c r="A412" s="364"/>
      <c r="B412" s="387"/>
      <c r="C412" s="387"/>
      <c r="D412" s="364"/>
      <c r="E412" s="387"/>
      <c r="F412" s="387"/>
      <c r="G412" s="387"/>
      <c r="H412" s="387"/>
      <c r="I412" s="387"/>
      <c r="J412" s="387"/>
      <c r="K412" s="387"/>
      <c r="L412" s="364"/>
      <c r="M412" s="364"/>
      <c r="N412" s="387"/>
      <c r="O412" s="387"/>
      <c r="P412" s="387"/>
      <c r="Q412" s="387"/>
      <c r="R412" s="387"/>
      <c r="S412" s="387"/>
      <c r="T412" s="387"/>
      <c r="U412" s="387"/>
      <c r="V412" s="387"/>
      <c r="W412" s="387"/>
      <c r="X412" s="387"/>
      <c r="Y412" s="387"/>
      <c r="Z412" s="387"/>
      <c r="AA412" s="387"/>
      <c r="AB412" s="387"/>
    </row>
    <row r="413">
      <c r="A413" s="364"/>
      <c r="B413" s="387"/>
      <c r="C413" s="387"/>
      <c r="D413" s="364"/>
      <c r="E413" s="387"/>
      <c r="F413" s="387"/>
      <c r="G413" s="387"/>
      <c r="H413" s="387"/>
      <c r="I413" s="387"/>
      <c r="J413" s="387"/>
      <c r="K413" s="387"/>
      <c r="L413" s="364"/>
      <c r="M413" s="364"/>
      <c r="N413" s="387"/>
      <c r="O413" s="387"/>
      <c r="P413" s="387"/>
      <c r="Q413" s="387"/>
      <c r="R413" s="387"/>
      <c r="S413" s="387"/>
      <c r="T413" s="387"/>
      <c r="U413" s="387"/>
      <c r="V413" s="387"/>
      <c r="W413" s="387"/>
      <c r="X413" s="387"/>
      <c r="Y413" s="387"/>
      <c r="Z413" s="387"/>
      <c r="AA413" s="387"/>
      <c r="AB413" s="387"/>
    </row>
    <row r="414">
      <c r="A414" s="364"/>
      <c r="B414" s="387"/>
      <c r="C414" s="387"/>
      <c r="D414" s="364"/>
      <c r="E414" s="387"/>
      <c r="F414" s="387"/>
      <c r="G414" s="387"/>
      <c r="H414" s="387"/>
      <c r="I414" s="387"/>
      <c r="J414" s="387"/>
      <c r="K414" s="387"/>
      <c r="L414" s="364"/>
      <c r="M414" s="364"/>
      <c r="N414" s="387"/>
      <c r="O414" s="387"/>
      <c r="P414" s="387"/>
      <c r="Q414" s="387"/>
      <c r="R414" s="387"/>
      <c r="S414" s="387"/>
      <c r="T414" s="387"/>
      <c r="U414" s="387"/>
      <c r="V414" s="387"/>
      <c r="W414" s="387"/>
      <c r="X414" s="387"/>
      <c r="Y414" s="387"/>
      <c r="Z414" s="387"/>
      <c r="AA414" s="387"/>
      <c r="AB414" s="387"/>
    </row>
    <row r="415">
      <c r="A415" s="364"/>
      <c r="B415" s="387"/>
      <c r="C415" s="387"/>
      <c r="D415" s="364"/>
      <c r="E415" s="387"/>
      <c r="F415" s="387"/>
      <c r="G415" s="387"/>
      <c r="H415" s="387"/>
      <c r="I415" s="387"/>
      <c r="J415" s="387"/>
      <c r="K415" s="387"/>
      <c r="L415" s="364"/>
      <c r="M415" s="364"/>
      <c r="N415" s="387"/>
      <c r="O415" s="387"/>
      <c r="P415" s="387"/>
      <c r="Q415" s="387"/>
      <c r="R415" s="387"/>
      <c r="S415" s="387"/>
      <c r="T415" s="387"/>
      <c r="U415" s="387"/>
      <c r="V415" s="387"/>
      <c r="W415" s="387"/>
      <c r="X415" s="387"/>
      <c r="Y415" s="387"/>
      <c r="Z415" s="387"/>
      <c r="AA415" s="387"/>
      <c r="AB415" s="387"/>
    </row>
    <row r="416">
      <c r="A416" s="364"/>
      <c r="B416" s="387"/>
      <c r="C416" s="387"/>
      <c r="D416" s="364"/>
      <c r="E416" s="387"/>
      <c r="F416" s="387"/>
      <c r="G416" s="387"/>
      <c r="H416" s="387"/>
      <c r="I416" s="387"/>
      <c r="J416" s="387"/>
      <c r="K416" s="387"/>
      <c r="L416" s="364"/>
      <c r="M416" s="364"/>
      <c r="N416" s="387"/>
      <c r="O416" s="387"/>
      <c r="P416" s="387"/>
      <c r="Q416" s="387"/>
      <c r="R416" s="387"/>
      <c r="S416" s="387"/>
      <c r="T416" s="387"/>
      <c r="U416" s="387"/>
      <c r="V416" s="387"/>
      <c r="W416" s="387"/>
      <c r="X416" s="387"/>
      <c r="Y416" s="387"/>
      <c r="Z416" s="387"/>
      <c r="AA416" s="387"/>
      <c r="AB416" s="387"/>
    </row>
    <row r="417">
      <c r="A417" s="364"/>
      <c r="B417" s="387"/>
      <c r="C417" s="387"/>
      <c r="D417" s="364"/>
      <c r="E417" s="387"/>
      <c r="F417" s="387"/>
      <c r="G417" s="387"/>
      <c r="H417" s="387"/>
      <c r="I417" s="387"/>
      <c r="J417" s="387"/>
      <c r="K417" s="387"/>
      <c r="L417" s="364"/>
      <c r="M417" s="364"/>
      <c r="N417" s="387"/>
      <c r="O417" s="387"/>
      <c r="P417" s="387"/>
      <c r="Q417" s="387"/>
      <c r="R417" s="387"/>
      <c r="S417" s="387"/>
      <c r="T417" s="387"/>
      <c r="U417" s="387"/>
      <c r="V417" s="387"/>
      <c r="W417" s="387"/>
      <c r="X417" s="387"/>
      <c r="Y417" s="387"/>
      <c r="Z417" s="387"/>
      <c r="AA417" s="387"/>
      <c r="AB417" s="387"/>
    </row>
    <row r="418">
      <c r="A418" s="364"/>
      <c r="B418" s="387"/>
      <c r="C418" s="387"/>
      <c r="D418" s="364"/>
      <c r="E418" s="387"/>
      <c r="F418" s="387"/>
      <c r="G418" s="387"/>
      <c r="H418" s="387"/>
      <c r="I418" s="387"/>
      <c r="J418" s="387"/>
      <c r="K418" s="387"/>
      <c r="L418" s="364"/>
      <c r="M418" s="364"/>
      <c r="N418" s="387"/>
      <c r="O418" s="387"/>
      <c r="P418" s="387"/>
      <c r="Q418" s="387"/>
      <c r="R418" s="387"/>
      <c r="S418" s="387"/>
      <c r="T418" s="387"/>
      <c r="U418" s="387"/>
      <c r="V418" s="387"/>
      <c r="W418" s="387"/>
      <c r="X418" s="387"/>
      <c r="Y418" s="387"/>
      <c r="Z418" s="387"/>
      <c r="AA418" s="387"/>
      <c r="AB418" s="387"/>
    </row>
    <row r="419">
      <c r="A419" s="364"/>
      <c r="B419" s="387"/>
      <c r="C419" s="387"/>
      <c r="D419" s="364"/>
      <c r="E419" s="387"/>
      <c r="F419" s="387"/>
      <c r="G419" s="387"/>
      <c r="H419" s="387"/>
      <c r="I419" s="387"/>
      <c r="J419" s="387"/>
      <c r="K419" s="387"/>
      <c r="L419" s="364"/>
      <c r="M419" s="364"/>
      <c r="N419" s="387"/>
      <c r="O419" s="387"/>
      <c r="P419" s="387"/>
      <c r="Q419" s="387"/>
      <c r="R419" s="387"/>
      <c r="S419" s="387"/>
      <c r="T419" s="387"/>
      <c r="U419" s="387"/>
      <c r="V419" s="387"/>
      <c r="W419" s="387"/>
      <c r="X419" s="387"/>
      <c r="Y419" s="387"/>
      <c r="Z419" s="387"/>
      <c r="AA419" s="387"/>
      <c r="AB419" s="387"/>
    </row>
    <row r="420">
      <c r="A420" s="364"/>
      <c r="B420" s="387"/>
      <c r="C420" s="387"/>
      <c r="D420" s="364"/>
      <c r="E420" s="387"/>
      <c r="F420" s="387"/>
      <c r="G420" s="387"/>
      <c r="H420" s="387"/>
      <c r="I420" s="387"/>
      <c r="J420" s="387"/>
      <c r="K420" s="387"/>
      <c r="L420" s="364"/>
      <c r="M420" s="364"/>
      <c r="N420" s="387"/>
      <c r="O420" s="387"/>
      <c r="P420" s="387"/>
      <c r="Q420" s="387"/>
      <c r="R420" s="387"/>
      <c r="S420" s="387"/>
      <c r="T420" s="387"/>
      <c r="U420" s="387"/>
      <c r="V420" s="387"/>
      <c r="W420" s="387"/>
      <c r="X420" s="387"/>
      <c r="Y420" s="387"/>
      <c r="Z420" s="387"/>
      <c r="AA420" s="387"/>
      <c r="AB420" s="387"/>
    </row>
    <row r="421">
      <c r="A421" s="364"/>
      <c r="B421" s="387"/>
      <c r="C421" s="387"/>
      <c r="D421" s="364"/>
      <c r="E421" s="387"/>
      <c r="F421" s="387"/>
      <c r="G421" s="387"/>
      <c r="H421" s="387"/>
      <c r="I421" s="387"/>
      <c r="J421" s="387"/>
      <c r="K421" s="387"/>
      <c r="L421" s="364"/>
      <c r="M421" s="364"/>
      <c r="N421" s="387"/>
      <c r="O421" s="387"/>
      <c r="P421" s="387"/>
      <c r="Q421" s="387"/>
      <c r="R421" s="387"/>
      <c r="S421" s="387"/>
      <c r="T421" s="387"/>
      <c r="U421" s="387"/>
      <c r="V421" s="387"/>
      <c r="W421" s="387"/>
      <c r="X421" s="387"/>
      <c r="Y421" s="387"/>
      <c r="Z421" s="387"/>
      <c r="AA421" s="387"/>
      <c r="AB421" s="387"/>
    </row>
    <row r="422">
      <c r="A422" s="364"/>
      <c r="B422" s="387"/>
      <c r="C422" s="387"/>
      <c r="D422" s="364"/>
      <c r="E422" s="387"/>
      <c r="F422" s="387"/>
      <c r="G422" s="387"/>
      <c r="H422" s="387"/>
      <c r="I422" s="387"/>
      <c r="J422" s="387"/>
      <c r="K422" s="387"/>
      <c r="L422" s="364"/>
      <c r="M422" s="364"/>
      <c r="N422" s="387"/>
      <c r="O422" s="387"/>
      <c r="P422" s="387"/>
      <c r="Q422" s="387"/>
      <c r="R422" s="387"/>
      <c r="S422" s="387"/>
      <c r="T422" s="387"/>
      <c r="U422" s="387"/>
      <c r="V422" s="387"/>
      <c r="W422" s="387"/>
      <c r="X422" s="387"/>
      <c r="Y422" s="387"/>
      <c r="Z422" s="387"/>
      <c r="AA422" s="387"/>
      <c r="AB422" s="387"/>
    </row>
    <row r="423">
      <c r="A423" s="364"/>
      <c r="B423" s="387"/>
      <c r="C423" s="387"/>
      <c r="D423" s="364"/>
      <c r="E423" s="387"/>
      <c r="F423" s="387"/>
      <c r="G423" s="387"/>
      <c r="H423" s="387"/>
      <c r="I423" s="387"/>
      <c r="J423" s="387"/>
      <c r="K423" s="387"/>
      <c r="L423" s="364"/>
      <c r="M423" s="364"/>
      <c r="N423" s="387"/>
      <c r="O423" s="387"/>
      <c r="P423" s="387"/>
      <c r="Q423" s="387"/>
      <c r="R423" s="387"/>
      <c r="S423" s="387"/>
      <c r="T423" s="387"/>
      <c r="U423" s="387"/>
      <c r="V423" s="387"/>
      <c r="W423" s="387"/>
      <c r="X423" s="387"/>
      <c r="Y423" s="387"/>
      <c r="Z423" s="387"/>
      <c r="AA423" s="387"/>
      <c r="AB423" s="387"/>
    </row>
    <row r="424">
      <c r="A424" s="364"/>
      <c r="B424" s="387"/>
      <c r="C424" s="387"/>
      <c r="D424" s="364"/>
      <c r="E424" s="387"/>
      <c r="F424" s="387"/>
      <c r="G424" s="387"/>
      <c r="H424" s="387"/>
      <c r="I424" s="387"/>
      <c r="J424" s="387"/>
      <c r="K424" s="387"/>
      <c r="L424" s="364"/>
      <c r="M424" s="364"/>
      <c r="N424" s="387"/>
      <c r="O424" s="387"/>
      <c r="P424" s="387"/>
      <c r="Q424" s="387"/>
      <c r="R424" s="387"/>
      <c r="S424" s="387"/>
      <c r="T424" s="387"/>
      <c r="U424" s="387"/>
      <c r="V424" s="387"/>
      <c r="W424" s="387"/>
      <c r="X424" s="387"/>
      <c r="Y424" s="387"/>
      <c r="Z424" s="387"/>
      <c r="AA424" s="387"/>
      <c r="AB424" s="387"/>
    </row>
    <row r="425">
      <c r="A425" s="364"/>
      <c r="B425" s="387"/>
      <c r="C425" s="387"/>
      <c r="D425" s="364"/>
      <c r="E425" s="387"/>
      <c r="F425" s="387"/>
      <c r="G425" s="387"/>
      <c r="H425" s="387"/>
      <c r="I425" s="387"/>
      <c r="J425" s="387"/>
      <c r="K425" s="387"/>
      <c r="L425" s="364"/>
      <c r="M425" s="364"/>
      <c r="N425" s="387"/>
      <c r="O425" s="387"/>
      <c r="P425" s="387"/>
      <c r="Q425" s="387"/>
      <c r="R425" s="387"/>
      <c r="S425" s="387"/>
      <c r="T425" s="387"/>
      <c r="U425" s="387"/>
      <c r="V425" s="387"/>
      <c r="W425" s="387"/>
      <c r="X425" s="387"/>
      <c r="Y425" s="387"/>
      <c r="Z425" s="387"/>
      <c r="AA425" s="387"/>
      <c r="AB425" s="387"/>
    </row>
    <row r="426">
      <c r="A426" s="364"/>
      <c r="B426" s="387"/>
      <c r="C426" s="387"/>
      <c r="D426" s="364"/>
      <c r="E426" s="387"/>
      <c r="F426" s="387"/>
      <c r="G426" s="387"/>
      <c r="H426" s="387"/>
      <c r="I426" s="387"/>
      <c r="J426" s="387"/>
      <c r="K426" s="387"/>
      <c r="L426" s="364"/>
      <c r="M426" s="364"/>
      <c r="N426" s="387"/>
      <c r="O426" s="387"/>
      <c r="P426" s="387"/>
      <c r="Q426" s="387"/>
      <c r="R426" s="387"/>
      <c r="S426" s="387"/>
      <c r="T426" s="387"/>
      <c r="U426" s="387"/>
      <c r="V426" s="387"/>
      <c r="W426" s="387"/>
      <c r="X426" s="387"/>
      <c r="Y426" s="387"/>
      <c r="Z426" s="387"/>
      <c r="AA426" s="387"/>
      <c r="AB426" s="387"/>
    </row>
    <row r="427">
      <c r="A427" s="364"/>
      <c r="B427" s="387"/>
      <c r="C427" s="387"/>
      <c r="D427" s="364"/>
      <c r="E427" s="387"/>
      <c r="F427" s="387"/>
      <c r="G427" s="387"/>
      <c r="H427" s="387"/>
      <c r="I427" s="387"/>
      <c r="J427" s="387"/>
      <c r="K427" s="387"/>
      <c r="L427" s="364"/>
      <c r="M427" s="364"/>
      <c r="N427" s="387"/>
      <c r="O427" s="387"/>
      <c r="P427" s="387"/>
      <c r="Q427" s="387"/>
      <c r="R427" s="387"/>
      <c r="S427" s="387"/>
      <c r="T427" s="387"/>
      <c r="U427" s="387"/>
      <c r="V427" s="387"/>
      <c r="W427" s="387"/>
      <c r="X427" s="387"/>
      <c r="Y427" s="387"/>
      <c r="Z427" s="387"/>
      <c r="AA427" s="387"/>
      <c r="AB427" s="387"/>
    </row>
    <row r="428">
      <c r="A428" s="364"/>
      <c r="B428" s="387"/>
      <c r="C428" s="387"/>
      <c r="D428" s="364"/>
      <c r="E428" s="387"/>
      <c r="F428" s="387"/>
      <c r="G428" s="387"/>
      <c r="H428" s="387"/>
      <c r="I428" s="387"/>
      <c r="J428" s="387"/>
      <c r="K428" s="387"/>
      <c r="L428" s="364"/>
      <c r="M428" s="364"/>
      <c r="N428" s="387"/>
      <c r="O428" s="387"/>
      <c r="P428" s="387"/>
      <c r="Q428" s="387"/>
      <c r="R428" s="387"/>
      <c r="S428" s="387"/>
      <c r="T428" s="387"/>
      <c r="U428" s="387"/>
      <c r="V428" s="387"/>
      <c r="W428" s="387"/>
      <c r="X428" s="387"/>
      <c r="Y428" s="387"/>
      <c r="Z428" s="387"/>
      <c r="AA428" s="387"/>
      <c r="AB428" s="387"/>
    </row>
    <row r="429">
      <c r="A429" s="364"/>
      <c r="B429" s="387"/>
      <c r="C429" s="387"/>
      <c r="D429" s="364"/>
      <c r="E429" s="387"/>
      <c r="F429" s="387"/>
      <c r="G429" s="387"/>
      <c r="H429" s="387"/>
      <c r="I429" s="387"/>
      <c r="J429" s="387"/>
      <c r="K429" s="387"/>
      <c r="L429" s="364"/>
      <c r="M429" s="364"/>
      <c r="N429" s="387"/>
      <c r="O429" s="387"/>
      <c r="P429" s="387"/>
      <c r="Q429" s="387"/>
      <c r="R429" s="387"/>
      <c r="S429" s="387"/>
      <c r="T429" s="387"/>
      <c r="U429" s="387"/>
      <c r="V429" s="387"/>
      <c r="W429" s="387"/>
      <c r="X429" s="387"/>
      <c r="Y429" s="387"/>
      <c r="Z429" s="387"/>
      <c r="AA429" s="387"/>
      <c r="AB429" s="387"/>
    </row>
    <row r="430">
      <c r="A430" s="364"/>
      <c r="B430" s="387"/>
      <c r="C430" s="387"/>
      <c r="D430" s="364"/>
      <c r="E430" s="387"/>
      <c r="F430" s="387"/>
      <c r="G430" s="387"/>
      <c r="H430" s="387"/>
      <c r="I430" s="387"/>
      <c r="J430" s="387"/>
      <c r="K430" s="387"/>
      <c r="L430" s="364"/>
      <c r="M430" s="364"/>
      <c r="N430" s="387"/>
      <c r="O430" s="387"/>
      <c r="P430" s="387"/>
      <c r="Q430" s="387"/>
      <c r="R430" s="387"/>
      <c r="S430" s="387"/>
      <c r="T430" s="387"/>
      <c r="U430" s="387"/>
      <c r="V430" s="387"/>
      <c r="W430" s="387"/>
      <c r="X430" s="387"/>
      <c r="Y430" s="387"/>
      <c r="Z430" s="387"/>
      <c r="AA430" s="387"/>
      <c r="AB430" s="387"/>
    </row>
    <row r="431">
      <c r="A431" s="364"/>
      <c r="B431" s="387"/>
      <c r="C431" s="387"/>
      <c r="D431" s="364"/>
      <c r="E431" s="387"/>
      <c r="F431" s="387"/>
      <c r="G431" s="387"/>
      <c r="H431" s="387"/>
      <c r="I431" s="387"/>
      <c r="J431" s="387"/>
      <c r="K431" s="387"/>
      <c r="L431" s="364"/>
      <c r="M431" s="364"/>
      <c r="N431" s="387"/>
      <c r="O431" s="387"/>
      <c r="P431" s="387"/>
      <c r="Q431" s="387"/>
      <c r="R431" s="387"/>
      <c r="S431" s="387"/>
      <c r="T431" s="387"/>
      <c r="U431" s="387"/>
      <c r="V431" s="387"/>
      <c r="W431" s="387"/>
      <c r="X431" s="387"/>
      <c r="Y431" s="387"/>
      <c r="Z431" s="387"/>
      <c r="AA431" s="387"/>
      <c r="AB431" s="387"/>
    </row>
    <row r="432">
      <c r="A432" s="364"/>
      <c r="B432" s="387"/>
      <c r="C432" s="387"/>
      <c r="D432" s="364"/>
      <c r="E432" s="387"/>
      <c r="F432" s="387"/>
      <c r="G432" s="387"/>
      <c r="H432" s="387"/>
      <c r="I432" s="387"/>
      <c r="J432" s="387"/>
      <c r="K432" s="387"/>
      <c r="L432" s="364"/>
      <c r="M432" s="364"/>
      <c r="N432" s="387"/>
      <c r="O432" s="387"/>
      <c r="P432" s="387"/>
      <c r="Q432" s="387"/>
      <c r="R432" s="387"/>
      <c r="S432" s="387"/>
      <c r="T432" s="387"/>
      <c r="U432" s="387"/>
      <c r="V432" s="387"/>
      <c r="W432" s="387"/>
      <c r="X432" s="387"/>
      <c r="Y432" s="387"/>
      <c r="Z432" s="387"/>
      <c r="AA432" s="387"/>
      <c r="AB432" s="387"/>
    </row>
    <row r="433">
      <c r="A433" s="364"/>
      <c r="B433" s="387"/>
      <c r="C433" s="387"/>
      <c r="D433" s="364"/>
      <c r="E433" s="387"/>
      <c r="F433" s="387"/>
      <c r="G433" s="387"/>
      <c r="H433" s="387"/>
      <c r="I433" s="387"/>
      <c r="J433" s="387"/>
      <c r="K433" s="387"/>
      <c r="L433" s="364"/>
      <c r="M433" s="364"/>
      <c r="N433" s="387"/>
      <c r="O433" s="387"/>
      <c r="P433" s="387"/>
      <c r="Q433" s="387"/>
      <c r="R433" s="387"/>
      <c r="S433" s="387"/>
      <c r="T433" s="387"/>
      <c r="U433" s="387"/>
      <c r="V433" s="387"/>
      <c r="W433" s="387"/>
      <c r="X433" s="387"/>
      <c r="Y433" s="387"/>
      <c r="Z433" s="387"/>
      <c r="AA433" s="387"/>
      <c r="AB433" s="387"/>
    </row>
    <row r="434">
      <c r="A434" s="364"/>
      <c r="B434" s="387"/>
      <c r="C434" s="387"/>
      <c r="D434" s="364"/>
      <c r="E434" s="387"/>
      <c r="F434" s="387"/>
      <c r="G434" s="387"/>
      <c r="H434" s="387"/>
      <c r="I434" s="387"/>
      <c r="J434" s="387"/>
      <c r="K434" s="387"/>
      <c r="L434" s="364"/>
      <c r="M434" s="364"/>
      <c r="N434" s="387"/>
      <c r="O434" s="387"/>
      <c r="P434" s="387"/>
      <c r="Q434" s="387"/>
      <c r="R434" s="387"/>
      <c r="S434" s="387"/>
      <c r="T434" s="387"/>
      <c r="U434" s="387"/>
      <c r="V434" s="387"/>
      <c r="W434" s="387"/>
      <c r="X434" s="387"/>
      <c r="Y434" s="387"/>
      <c r="Z434" s="387"/>
      <c r="AA434" s="387"/>
      <c r="AB434" s="387"/>
    </row>
    <row r="435">
      <c r="A435" s="364"/>
      <c r="B435" s="387"/>
      <c r="C435" s="387"/>
      <c r="D435" s="364"/>
      <c r="E435" s="387"/>
      <c r="F435" s="387"/>
      <c r="G435" s="387"/>
      <c r="H435" s="387"/>
      <c r="I435" s="387"/>
      <c r="J435" s="387"/>
      <c r="K435" s="387"/>
      <c r="L435" s="364"/>
      <c r="M435" s="364"/>
      <c r="N435" s="387"/>
      <c r="O435" s="387"/>
      <c r="P435" s="387"/>
      <c r="Q435" s="387"/>
      <c r="R435" s="387"/>
      <c r="S435" s="387"/>
      <c r="T435" s="387"/>
      <c r="U435" s="387"/>
      <c r="V435" s="387"/>
      <c r="W435" s="387"/>
      <c r="X435" s="387"/>
      <c r="Y435" s="387"/>
      <c r="Z435" s="387"/>
      <c r="AA435" s="387"/>
      <c r="AB435" s="387"/>
    </row>
    <row r="436">
      <c r="A436" s="364"/>
      <c r="B436" s="387"/>
      <c r="C436" s="387"/>
      <c r="D436" s="364"/>
      <c r="E436" s="387"/>
      <c r="F436" s="387"/>
      <c r="G436" s="387"/>
      <c r="H436" s="387"/>
      <c r="I436" s="387"/>
      <c r="J436" s="387"/>
      <c r="K436" s="387"/>
      <c r="L436" s="364"/>
      <c r="M436" s="364"/>
      <c r="N436" s="387"/>
      <c r="O436" s="387"/>
      <c r="P436" s="387"/>
      <c r="Q436" s="387"/>
      <c r="R436" s="387"/>
      <c r="S436" s="387"/>
      <c r="T436" s="387"/>
      <c r="U436" s="387"/>
      <c r="V436" s="387"/>
      <c r="W436" s="387"/>
      <c r="X436" s="387"/>
      <c r="Y436" s="387"/>
      <c r="Z436" s="387"/>
      <c r="AA436" s="387"/>
      <c r="AB436" s="387"/>
    </row>
    <row r="437">
      <c r="A437" s="364"/>
      <c r="B437" s="387"/>
      <c r="C437" s="387"/>
      <c r="D437" s="364"/>
      <c r="E437" s="387"/>
      <c r="F437" s="387"/>
      <c r="G437" s="387"/>
      <c r="H437" s="387"/>
      <c r="I437" s="387"/>
      <c r="J437" s="387"/>
      <c r="K437" s="387"/>
      <c r="L437" s="364"/>
      <c r="M437" s="364"/>
      <c r="N437" s="387"/>
      <c r="O437" s="387"/>
      <c r="P437" s="387"/>
      <c r="Q437" s="387"/>
      <c r="R437" s="387"/>
      <c r="S437" s="387"/>
      <c r="T437" s="387"/>
      <c r="U437" s="387"/>
      <c r="V437" s="387"/>
      <c r="W437" s="387"/>
      <c r="X437" s="387"/>
      <c r="Y437" s="387"/>
      <c r="Z437" s="387"/>
      <c r="AA437" s="387"/>
      <c r="AB437" s="387"/>
    </row>
    <row r="438">
      <c r="A438" s="364"/>
      <c r="B438" s="387"/>
      <c r="C438" s="387"/>
      <c r="D438" s="364"/>
      <c r="E438" s="387"/>
      <c r="F438" s="387"/>
      <c r="G438" s="387"/>
      <c r="H438" s="387"/>
      <c r="I438" s="387"/>
      <c r="J438" s="387"/>
      <c r="K438" s="387"/>
      <c r="L438" s="364"/>
      <c r="M438" s="364"/>
      <c r="N438" s="387"/>
      <c r="O438" s="387"/>
      <c r="P438" s="387"/>
      <c r="Q438" s="387"/>
      <c r="R438" s="387"/>
      <c r="S438" s="387"/>
      <c r="T438" s="387"/>
      <c r="U438" s="387"/>
      <c r="V438" s="387"/>
      <c r="W438" s="387"/>
      <c r="X438" s="387"/>
      <c r="Y438" s="387"/>
      <c r="Z438" s="387"/>
      <c r="AA438" s="387"/>
      <c r="AB438" s="387"/>
    </row>
    <row r="439">
      <c r="A439" s="364"/>
      <c r="B439" s="387"/>
      <c r="C439" s="387"/>
      <c r="D439" s="364"/>
      <c r="E439" s="387"/>
      <c r="F439" s="387"/>
      <c r="G439" s="387"/>
      <c r="H439" s="387"/>
      <c r="I439" s="387"/>
      <c r="J439" s="387"/>
      <c r="K439" s="387"/>
      <c r="L439" s="364"/>
      <c r="M439" s="364"/>
      <c r="N439" s="387"/>
      <c r="O439" s="387"/>
      <c r="P439" s="387"/>
      <c r="Q439" s="387"/>
      <c r="R439" s="387"/>
      <c r="S439" s="387"/>
      <c r="T439" s="387"/>
      <c r="U439" s="387"/>
      <c r="V439" s="387"/>
      <c r="W439" s="387"/>
      <c r="X439" s="387"/>
      <c r="Y439" s="387"/>
      <c r="Z439" s="387"/>
      <c r="AA439" s="387"/>
      <c r="AB439" s="387"/>
    </row>
    <row r="440">
      <c r="A440" s="364"/>
      <c r="B440" s="387"/>
      <c r="C440" s="387"/>
      <c r="D440" s="364"/>
      <c r="E440" s="387"/>
      <c r="F440" s="387"/>
      <c r="G440" s="387"/>
      <c r="H440" s="387"/>
      <c r="I440" s="387"/>
      <c r="J440" s="387"/>
      <c r="K440" s="387"/>
      <c r="L440" s="364"/>
      <c r="M440" s="364"/>
      <c r="N440" s="387"/>
      <c r="O440" s="387"/>
      <c r="P440" s="387"/>
      <c r="Q440" s="387"/>
      <c r="R440" s="387"/>
      <c r="S440" s="387"/>
      <c r="T440" s="387"/>
      <c r="U440" s="387"/>
      <c r="V440" s="387"/>
      <c r="W440" s="387"/>
      <c r="X440" s="387"/>
      <c r="Y440" s="387"/>
      <c r="Z440" s="387"/>
      <c r="AA440" s="387"/>
      <c r="AB440" s="387"/>
    </row>
    <row r="441">
      <c r="A441" s="364"/>
      <c r="B441" s="387"/>
      <c r="C441" s="387"/>
      <c r="D441" s="364"/>
      <c r="E441" s="387"/>
      <c r="F441" s="387"/>
      <c r="G441" s="387"/>
      <c r="H441" s="387"/>
      <c r="I441" s="387"/>
      <c r="J441" s="387"/>
      <c r="K441" s="387"/>
      <c r="L441" s="364"/>
      <c r="M441" s="364"/>
      <c r="N441" s="387"/>
      <c r="O441" s="387"/>
      <c r="P441" s="387"/>
      <c r="Q441" s="387"/>
      <c r="R441" s="387"/>
      <c r="S441" s="387"/>
      <c r="T441" s="387"/>
      <c r="U441" s="387"/>
      <c r="V441" s="387"/>
      <c r="W441" s="387"/>
      <c r="X441" s="387"/>
      <c r="Y441" s="387"/>
      <c r="Z441" s="387"/>
      <c r="AA441" s="387"/>
      <c r="AB441" s="387"/>
    </row>
    <row r="442">
      <c r="A442" s="364"/>
      <c r="B442" s="387"/>
      <c r="C442" s="387"/>
      <c r="D442" s="364"/>
      <c r="E442" s="387"/>
      <c r="F442" s="387"/>
      <c r="G442" s="387"/>
      <c r="H442" s="387"/>
      <c r="I442" s="387"/>
      <c r="J442" s="387"/>
      <c r="K442" s="387"/>
      <c r="L442" s="364"/>
      <c r="M442" s="364"/>
      <c r="N442" s="387"/>
      <c r="O442" s="387"/>
      <c r="P442" s="387"/>
      <c r="Q442" s="387"/>
      <c r="R442" s="387"/>
      <c r="S442" s="387"/>
      <c r="T442" s="387"/>
      <c r="U442" s="387"/>
      <c r="V442" s="387"/>
      <c r="W442" s="387"/>
      <c r="X442" s="387"/>
      <c r="Y442" s="387"/>
      <c r="Z442" s="387"/>
      <c r="AA442" s="387"/>
      <c r="AB442" s="387"/>
    </row>
    <row r="443">
      <c r="A443" s="364"/>
      <c r="B443" s="387"/>
      <c r="C443" s="387"/>
      <c r="D443" s="364"/>
      <c r="E443" s="387"/>
      <c r="F443" s="387"/>
      <c r="G443" s="387"/>
      <c r="H443" s="387"/>
      <c r="I443" s="387"/>
      <c r="J443" s="387"/>
      <c r="K443" s="387"/>
      <c r="L443" s="364"/>
      <c r="M443" s="364"/>
      <c r="N443" s="387"/>
      <c r="O443" s="387"/>
      <c r="P443" s="387"/>
      <c r="Q443" s="387"/>
      <c r="R443" s="387"/>
      <c r="S443" s="387"/>
      <c r="T443" s="387"/>
      <c r="U443" s="387"/>
      <c r="V443" s="387"/>
      <c r="W443" s="387"/>
      <c r="X443" s="387"/>
      <c r="Y443" s="387"/>
      <c r="Z443" s="387"/>
      <c r="AA443" s="387"/>
      <c r="AB443" s="387"/>
    </row>
    <row r="444">
      <c r="A444" s="364"/>
      <c r="B444" s="387"/>
      <c r="C444" s="387"/>
      <c r="D444" s="364"/>
      <c r="E444" s="387"/>
      <c r="F444" s="387"/>
      <c r="G444" s="387"/>
      <c r="H444" s="387"/>
      <c r="I444" s="387"/>
      <c r="J444" s="387"/>
      <c r="K444" s="387"/>
      <c r="L444" s="364"/>
      <c r="M444" s="364"/>
      <c r="N444" s="387"/>
      <c r="O444" s="387"/>
      <c r="P444" s="387"/>
      <c r="Q444" s="387"/>
      <c r="R444" s="387"/>
      <c r="S444" s="387"/>
      <c r="T444" s="387"/>
      <c r="U444" s="387"/>
      <c r="V444" s="387"/>
      <c r="W444" s="387"/>
      <c r="X444" s="387"/>
      <c r="Y444" s="387"/>
      <c r="Z444" s="387"/>
      <c r="AA444" s="387"/>
      <c r="AB444" s="387"/>
    </row>
    <row r="445">
      <c r="A445" s="364"/>
      <c r="B445" s="387"/>
      <c r="C445" s="387"/>
      <c r="D445" s="364"/>
      <c r="E445" s="387"/>
      <c r="F445" s="387"/>
      <c r="G445" s="387"/>
      <c r="H445" s="387"/>
      <c r="I445" s="387"/>
      <c r="J445" s="387"/>
      <c r="K445" s="387"/>
      <c r="L445" s="364"/>
      <c r="M445" s="364"/>
      <c r="N445" s="387"/>
      <c r="O445" s="387"/>
      <c r="P445" s="387"/>
      <c r="Q445" s="387"/>
      <c r="R445" s="387"/>
      <c r="S445" s="387"/>
      <c r="T445" s="387"/>
      <c r="U445" s="387"/>
      <c r="V445" s="387"/>
      <c r="W445" s="387"/>
      <c r="X445" s="387"/>
      <c r="Y445" s="387"/>
      <c r="Z445" s="387"/>
      <c r="AA445" s="387"/>
      <c r="AB445" s="387"/>
    </row>
    <row r="446">
      <c r="A446" s="364"/>
      <c r="B446" s="387"/>
      <c r="C446" s="387"/>
      <c r="D446" s="364"/>
      <c r="E446" s="387"/>
      <c r="F446" s="387"/>
      <c r="G446" s="387"/>
      <c r="H446" s="387"/>
      <c r="I446" s="387"/>
      <c r="J446" s="387"/>
      <c r="K446" s="387"/>
      <c r="L446" s="364"/>
      <c r="M446" s="364"/>
      <c r="N446" s="387"/>
      <c r="O446" s="387"/>
      <c r="P446" s="387"/>
      <c r="Q446" s="387"/>
      <c r="R446" s="387"/>
      <c r="S446" s="387"/>
      <c r="T446" s="387"/>
      <c r="U446" s="387"/>
      <c r="V446" s="387"/>
      <c r="W446" s="387"/>
      <c r="X446" s="387"/>
      <c r="Y446" s="387"/>
      <c r="Z446" s="387"/>
      <c r="AA446" s="387"/>
      <c r="AB446" s="387"/>
    </row>
    <row r="447">
      <c r="A447" s="364"/>
      <c r="B447" s="387"/>
      <c r="C447" s="387"/>
      <c r="D447" s="364"/>
      <c r="E447" s="387"/>
      <c r="F447" s="387"/>
      <c r="G447" s="387"/>
      <c r="H447" s="387"/>
      <c r="I447" s="387"/>
      <c r="J447" s="387"/>
      <c r="K447" s="387"/>
      <c r="L447" s="364"/>
      <c r="M447" s="364"/>
      <c r="N447" s="387"/>
      <c r="O447" s="387"/>
      <c r="P447" s="387"/>
      <c r="Q447" s="387"/>
      <c r="R447" s="387"/>
      <c r="S447" s="387"/>
      <c r="T447" s="387"/>
      <c r="U447" s="387"/>
      <c r="V447" s="387"/>
      <c r="W447" s="387"/>
      <c r="X447" s="387"/>
      <c r="Y447" s="387"/>
      <c r="Z447" s="387"/>
      <c r="AA447" s="387"/>
      <c r="AB447" s="387"/>
    </row>
    <row r="448">
      <c r="A448" s="364"/>
      <c r="B448" s="387"/>
      <c r="C448" s="387"/>
      <c r="D448" s="364"/>
      <c r="E448" s="387"/>
      <c r="F448" s="387"/>
      <c r="G448" s="387"/>
      <c r="H448" s="387"/>
      <c r="I448" s="387"/>
      <c r="J448" s="387"/>
      <c r="K448" s="387"/>
      <c r="L448" s="364"/>
      <c r="M448" s="364"/>
      <c r="N448" s="387"/>
      <c r="O448" s="387"/>
      <c r="P448" s="387"/>
      <c r="Q448" s="387"/>
      <c r="R448" s="387"/>
      <c r="S448" s="387"/>
      <c r="T448" s="387"/>
      <c r="U448" s="387"/>
      <c r="V448" s="387"/>
      <c r="W448" s="387"/>
      <c r="X448" s="387"/>
      <c r="Y448" s="387"/>
      <c r="Z448" s="387"/>
      <c r="AA448" s="387"/>
      <c r="AB448" s="387"/>
    </row>
    <row r="449">
      <c r="A449" s="364"/>
      <c r="B449" s="387"/>
      <c r="C449" s="387"/>
      <c r="D449" s="364"/>
      <c r="E449" s="387"/>
      <c r="F449" s="387"/>
      <c r="G449" s="387"/>
      <c r="H449" s="387"/>
      <c r="I449" s="387"/>
      <c r="J449" s="387"/>
      <c r="K449" s="387"/>
      <c r="L449" s="364"/>
      <c r="M449" s="364"/>
      <c r="N449" s="387"/>
      <c r="O449" s="387"/>
      <c r="P449" s="387"/>
      <c r="Q449" s="387"/>
      <c r="R449" s="387"/>
      <c r="S449" s="387"/>
      <c r="T449" s="387"/>
      <c r="U449" s="387"/>
      <c r="V449" s="387"/>
      <c r="W449" s="387"/>
      <c r="X449" s="387"/>
      <c r="Y449" s="387"/>
      <c r="Z449" s="387"/>
      <c r="AA449" s="387"/>
      <c r="AB449" s="387"/>
    </row>
    <row r="450">
      <c r="A450" s="364"/>
      <c r="B450" s="387"/>
      <c r="C450" s="387"/>
      <c r="D450" s="364"/>
      <c r="E450" s="387"/>
      <c r="F450" s="387"/>
      <c r="G450" s="387"/>
      <c r="H450" s="387"/>
      <c r="I450" s="387"/>
      <c r="J450" s="387"/>
      <c r="K450" s="387"/>
      <c r="L450" s="364"/>
      <c r="M450" s="364"/>
      <c r="N450" s="387"/>
      <c r="O450" s="387"/>
      <c r="P450" s="387"/>
      <c r="Q450" s="387"/>
      <c r="R450" s="387"/>
      <c r="S450" s="387"/>
      <c r="T450" s="387"/>
      <c r="U450" s="387"/>
      <c r="V450" s="387"/>
      <c r="W450" s="387"/>
      <c r="X450" s="387"/>
      <c r="Y450" s="387"/>
      <c r="Z450" s="387"/>
      <c r="AA450" s="387"/>
      <c r="AB450" s="387"/>
    </row>
    <row r="451">
      <c r="A451" s="364"/>
      <c r="B451" s="387"/>
      <c r="C451" s="387"/>
      <c r="D451" s="364"/>
      <c r="E451" s="387"/>
      <c r="F451" s="387"/>
      <c r="G451" s="387"/>
      <c r="H451" s="387"/>
      <c r="I451" s="387"/>
      <c r="J451" s="387"/>
      <c r="K451" s="387"/>
      <c r="L451" s="364"/>
      <c r="M451" s="364"/>
      <c r="N451" s="387"/>
      <c r="O451" s="387"/>
      <c r="P451" s="387"/>
      <c r="Q451" s="387"/>
      <c r="R451" s="387"/>
      <c r="S451" s="387"/>
      <c r="T451" s="387"/>
      <c r="U451" s="387"/>
      <c r="V451" s="387"/>
      <c r="W451" s="387"/>
      <c r="X451" s="387"/>
      <c r="Y451" s="387"/>
      <c r="Z451" s="387"/>
      <c r="AA451" s="387"/>
      <c r="AB451" s="387"/>
    </row>
    <row r="452">
      <c r="A452" s="364"/>
      <c r="B452" s="387"/>
      <c r="C452" s="387"/>
      <c r="D452" s="364"/>
      <c r="E452" s="387"/>
      <c r="F452" s="387"/>
      <c r="G452" s="387"/>
      <c r="H452" s="387"/>
      <c r="I452" s="387"/>
      <c r="J452" s="387"/>
      <c r="K452" s="387"/>
      <c r="L452" s="364"/>
      <c r="M452" s="364"/>
      <c r="N452" s="387"/>
      <c r="O452" s="387"/>
      <c r="P452" s="387"/>
      <c r="Q452" s="387"/>
      <c r="R452" s="387"/>
      <c r="S452" s="387"/>
      <c r="T452" s="387"/>
      <c r="U452" s="387"/>
      <c r="V452" s="387"/>
      <c r="W452" s="387"/>
      <c r="X452" s="387"/>
      <c r="Y452" s="387"/>
      <c r="Z452" s="387"/>
      <c r="AA452" s="387"/>
      <c r="AB452" s="387"/>
    </row>
    <row r="453">
      <c r="A453" s="364"/>
      <c r="B453" s="387"/>
      <c r="C453" s="387"/>
      <c r="D453" s="364"/>
      <c r="E453" s="387"/>
      <c r="F453" s="387"/>
      <c r="G453" s="387"/>
      <c r="H453" s="387"/>
      <c r="I453" s="387"/>
      <c r="J453" s="387"/>
      <c r="K453" s="387"/>
      <c r="L453" s="364"/>
      <c r="M453" s="364"/>
      <c r="N453" s="387"/>
      <c r="O453" s="387"/>
      <c r="P453" s="387"/>
      <c r="Q453" s="387"/>
      <c r="R453" s="387"/>
      <c r="S453" s="387"/>
      <c r="T453" s="387"/>
      <c r="U453" s="387"/>
      <c r="V453" s="387"/>
      <c r="W453" s="387"/>
      <c r="X453" s="387"/>
      <c r="Y453" s="387"/>
      <c r="Z453" s="387"/>
      <c r="AA453" s="387"/>
      <c r="AB453" s="387"/>
    </row>
    <row r="454">
      <c r="A454" s="364"/>
      <c r="B454" s="387"/>
      <c r="C454" s="387"/>
      <c r="D454" s="364"/>
      <c r="E454" s="387"/>
      <c r="F454" s="387"/>
      <c r="G454" s="387"/>
      <c r="H454" s="387"/>
      <c r="I454" s="387"/>
      <c r="J454" s="387"/>
      <c r="K454" s="387"/>
      <c r="L454" s="364"/>
      <c r="M454" s="364"/>
      <c r="N454" s="387"/>
      <c r="O454" s="387"/>
      <c r="P454" s="387"/>
      <c r="Q454" s="387"/>
      <c r="R454" s="387"/>
      <c r="S454" s="387"/>
      <c r="T454" s="387"/>
      <c r="U454" s="387"/>
      <c r="V454" s="387"/>
      <c r="W454" s="387"/>
      <c r="X454" s="387"/>
      <c r="Y454" s="387"/>
      <c r="Z454" s="387"/>
      <c r="AA454" s="387"/>
      <c r="AB454" s="387"/>
    </row>
    <row r="455">
      <c r="A455" s="364"/>
      <c r="B455" s="387"/>
      <c r="C455" s="387"/>
      <c r="D455" s="364"/>
      <c r="E455" s="387"/>
      <c r="F455" s="387"/>
      <c r="G455" s="387"/>
      <c r="H455" s="387"/>
      <c r="I455" s="387"/>
      <c r="J455" s="387"/>
      <c r="K455" s="387"/>
      <c r="L455" s="364"/>
      <c r="M455" s="364"/>
      <c r="N455" s="387"/>
      <c r="O455" s="387"/>
      <c r="P455" s="387"/>
      <c r="Q455" s="387"/>
      <c r="R455" s="387"/>
      <c r="S455" s="387"/>
      <c r="T455" s="387"/>
      <c r="U455" s="387"/>
      <c r="V455" s="387"/>
      <c r="W455" s="387"/>
      <c r="X455" s="387"/>
      <c r="Y455" s="387"/>
      <c r="Z455" s="387"/>
      <c r="AA455" s="387"/>
      <c r="AB455" s="387"/>
    </row>
    <row r="456">
      <c r="A456" s="364"/>
      <c r="B456" s="387"/>
      <c r="C456" s="387"/>
      <c r="D456" s="364"/>
      <c r="E456" s="387"/>
      <c r="F456" s="387"/>
      <c r="G456" s="387"/>
      <c r="H456" s="387"/>
      <c r="I456" s="387"/>
      <c r="J456" s="387"/>
      <c r="K456" s="387"/>
      <c r="L456" s="364"/>
      <c r="M456" s="364"/>
      <c r="N456" s="387"/>
      <c r="O456" s="387"/>
      <c r="P456" s="387"/>
      <c r="Q456" s="387"/>
      <c r="R456" s="387"/>
      <c r="S456" s="387"/>
      <c r="T456" s="387"/>
      <c r="U456" s="387"/>
      <c r="V456" s="387"/>
      <c r="W456" s="387"/>
      <c r="X456" s="387"/>
      <c r="Y456" s="387"/>
      <c r="Z456" s="387"/>
      <c r="AA456" s="387"/>
      <c r="AB456" s="387"/>
    </row>
    <row r="457">
      <c r="A457" s="364"/>
      <c r="B457" s="387"/>
      <c r="C457" s="387"/>
      <c r="D457" s="364"/>
      <c r="E457" s="387"/>
      <c r="F457" s="387"/>
      <c r="G457" s="387"/>
      <c r="H457" s="387"/>
      <c r="I457" s="387"/>
      <c r="J457" s="387"/>
      <c r="K457" s="387"/>
      <c r="L457" s="364"/>
      <c r="M457" s="364"/>
      <c r="N457" s="387"/>
      <c r="O457" s="387"/>
      <c r="P457" s="387"/>
      <c r="Q457" s="387"/>
      <c r="R457" s="387"/>
      <c r="S457" s="387"/>
      <c r="T457" s="387"/>
      <c r="U457" s="387"/>
      <c r="V457" s="387"/>
      <c r="W457" s="387"/>
      <c r="X457" s="387"/>
      <c r="Y457" s="387"/>
      <c r="Z457" s="387"/>
      <c r="AA457" s="387"/>
      <c r="AB457" s="387"/>
    </row>
    <row r="458">
      <c r="A458" s="364"/>
      <c r="B458" s="387"/>
      <c r="C458" s="387"/>
      <c r="D458" s="364"/>
      <c r="E458" s="387"/>
      <c r="F458" s="387"/>
      <c r="G458" s="387"/>
      <c r="H458" s="387"/>
      <c r="I458" s="387"/>
      <c r="J458" s="387"/>
      <c r="K458" s="387"/>
      <c r="L458" s="364"/>
      <c r="M458" s="364"/>
      <c r="N458" s="387"/>
      <c r="O458" s="387"/>
      <c r="P458" s="387"/>
      <c r="Q458" s="387"/>
      <c r="R458" s="387"/>
      <c r="S458" s="387"/>
      <c r="T458" s="387"/>
      <c r="U458" s="387"/>
      <c r="V458" s="387"/>
      <c r="W458" s="387"/>
      <c r="X458" s="387"/>
      <c r="Y458" s="387"/>
      <c r="Z458" s="387"/>
      <c r="AA458" s="387"/>
      <c r="AB458" s="387"/>
    </row>
    <row r="459">
      <c r="A459" s="364"/>
      <c r="B459" s="387"/>
      <c r="C459" s="387"/>
      <c r="D459" s="364"/>
      <c r="E459" s="387"/>
      <c r="F459" s="387"/>
      <c r="G459" s="387"/>
      <c r="H459" s="387"/>
      <c r="I459" s="387"/>
      <c r="J459" s="387"/>
      <c r="K459" s="387"/>
      <c r="L459" s="364"/>
      <c r="M459" s="364"/>
      <c r="N459" s="387"/>
      <c r="O459" s="387"/>
      <c r="P459" s="387"/>
      <c r="Q459" s="387"/>
      <c r="R459" s="387"/>
      <c r="S459" s="387"/>
      <c r="T459" s="387"/>
      <c r="U459" s="387"/>
      <c r="V459" s="387"/>
      <c r="W459" s="387"/>
      <c r="X459" s="387"/>
      <c r="Y459" s="387"/>
      <c r="Z459" s="387"/>
      <c r="AA459" s="387"/>
      <c r="AB459" s="387"/>
    </row>
    <row r="460">
      <c r="A460" s="364"/>
      <c r="B460" s="387"/>
      <c r="C460" s="387"/>
      <c r="D460" s="364"/>
      <c r="E460" s="387"/>
      <c r="F460" s="387"/>
      <c r="G460" s="387"/>
      <c r="H460" s="387"/>
      <c r="I460" s="387"/>
      <c r="J460" s="387"/>
      <c r="K460" s="387"/>
      <c r="L460" s="364"/>
      <c r="M460" s="364"/>
      <c r="N460" s="387"/>
      <c r="O460" s="387"/>
      <c r="P460" s="387"/>
      <c r="Q460" s="387"/>
      <c r="R460" s="387"/>
      <c r="S460" s="387"/>
      <c r="T460" s="387"/>
      <c r="U460" s="387"/>
      <c r="V460" s="387"/>
      <c r="W460" s="387"/>
      <c r="X460" s="387"/>
      <c r="Y460" s="387"/>
      <c r="Z460" s="387"/>
      <c r="AA460" s="387"/>
      <c r="AB460" s="387"/>
    </row>
    <row r="461">
      <c r="A461" s="364"/>
      <c r="B461" s="387"/>
      <c r="C461" s="387"/>
      <c r="D461" s="364"/>
      <c r="E461" s="387"/>
      <c r="F461" s="387"/>
      <c r="G461" s="387"/>
      <c r="H461" s="387"/>
      <c r="I461" s="387"/>
      <c r="J461" s="387"/>
      <c r="K461" s="387"/>
      <c r="L461" s="364"/>
      <c r="M461" s="364"/>
      <c r="N461" s="387"/>
      <c r="O461" s="387"/>
      <c r="P461" s="387"/>
      <c r="Q461" s="387"/>
      <c r="R461" s="387"/>
      <c r="S461" s="387"/>
      <c r="T461" s="387"/>
      <c r="U461" s="387"/>
      <c r="V461" s="387"/>
      <c r="W461" s="387"/>
      <c r="X461" s="387"/>
      <c r="Y461" s="387"/>
      <c r="Z461" s="387"/>
      <c r="AA461" s="387"/>
      <c r="AB461" s="387"/>
    </row>
    <row r="462">
      <c r="A462" s="364"/>
      <c r="B462" s="387"/>
      <c r="C462" s="387"/>
      <c r="D462" s="364"/>
      <c r="E462" s="387"/>
      <c r="F462" s="387"/>
      <c r="G462" s="387"/>
      <c r="H462" s="387"/>
      <c r="I462" s="387"/>
      <c r="J462" s="387"/>
      <c r="K462" s="387"/>
      <c r="L462" s="364"/>
      <c r="M462" s="364"/>
      <c r="N462" s="387"/>
      <c r="O462" s="387"/>
      <c r="P462" s="387"/>
      <c r="Q462" s="387"/>
      <c r="R462" s="387"/>
      <c r="S462" s="387"/>
      <c r="T462" s="387"/>
      <c r="U462" s="387"/>
      <c r="V462" s="387"/>
      <c r="W462" s="387"/>
      <c r="X462" s="387"/>
      <c r="Y462" s="387"/>
      <c r="Z462" s="387"/>
      <c r="AA462" s="387"/>
      <c r="AB462" s="387"/>
    </row>
    <row r="463">
      <c r="A463" s="364"/>
      <c r="B463" s="387"/>
      <c r="C463" s="387"/>
      <c r="D463" s="364"/>
      <c r="E463" s="387"/>
      <c r="F463" s="387"/>
      <c r="G463" s="387"/>
      <c r="H463" s="387"/>
      <c r="I463" s="387"/>
      <c r="J463" s="387"/>
      <c r="K463" s="387"/>
      <c r="L463" s="364"/>
      <c r="M463" s="364"/>
      <c r="N463" s="387"/>
      <c r="O463" s="387"/>
      <c r="P463" s="387"/>
      <c r="Q463" s="387"/>
      <c r="R463" s="387"/>
      <c r="S463" s="387"/>
      <c r="T463" s="387"/>
      <c r="U463" s="387"/>
      <c r="V463" s="387"/>
      <c r="W463" s="387"/>
      <c r="X463" s="387"/>
      <c r="Y463" s="387"/>
      <c r="Z463" s="387"/>
      <c r="AA463" s="387"/>
      <c r="AB463" s="387"/>
    </row>
    <row r="464">
      <c r="A464" s="364"/>
      <c r="B464" s="387"/>
      <c r="C464" s="387"/>
      <c r="D464" s="364"/>
      <c r="E464" s="387"/>
      <c r="F464" s="387"/>
      <c r="G464" s="387"/>
      <c r="H464" s="387"/>
      <c r="I464" s="387"/>
      <c r="J464" s="387"/>
      <c r="K464" s="387"/>
      <c r="L464" s="364"/>
      <c r="M464" s="364"/>
      <c r="N464" s="387"/>
      <c r="O464" s="387"/>
      <c r="P464" s="387"/>
      <c r="Q464" s="387"/>
      <c r="R464" s="387"/>
      <c r="S464" s="387"/>
      <c r="T464" s="387"/>
      <c r="U464" s="387"/>
      <c r="V464" s="387"/>
      <c r="W464" s="387"/>
      <c r="X464" s="387"/>
      <c r="Y464" s="387"/>
      <c r="Z464" s="387"/>
      <c r="AA464" s="387"/>
      <c r="AB464" s="387"/>
    </row>
    <row r="465">
      <c r="A465" s="364"/>
      <c r="B465" s="387"/>
      <c r="C465" s="387"/>
      <c r="D465" s="364"/>
      <c r="E465" s="387"/>
      <c r="F465" s="387"/>
      <c r="G465" s="387"/>
      <c r="H465" s="387"/>
      <c r="I465" s="387"/>
      <c r="J465" s="387"/>
      <c r="K465" s="387"/>
      <c r="L465" s="364"/>
      <c r="M465" s="364"/>
      <c r="N465" s="387"/>
      <c r="O465" s="387"/>
      <c r="P465" s="387"/>
      <c r="Q465" s="387"/>
      <c r="R465" s="387"/>
      <c r="S465" s="387"/>
      <c r="T465" s="387"/>
      <c r="U465" s="387"/>
      <c r="V465" s="387"/>
      <c r="W465" s="387"/>
      <c r="X465" s="387"/>
      <c r="Y465" s="387"/>
      <c r="Z465" s="387"/>
      <c r="AA465" s="387"/>
      <c r="AB465" s="387"/>
    </row>
    <row r="466">
      <c r="A466" s="364"/>
      <c r="B466" s="387"/>
      <c r="C466" s="387"/>
      <c r="D466" s="364"/>
      <c r="E466" s="387"/>
      <c r="F466" s="387"/>
      <c r="G466" s="387"/>
      <c r="H466" s="387"/>
      <c r="I466" s="387"/>
      <c r="J466" s="387"/>
      <c r="K466" s="387"/>
      <c r="L466" s="364"/>
      <c r="M466" s="364"/>
      <c r="N466" s="387"/>
      <c r="O466" s="387"/>
      <c r="P466" s="387"/>
      <c r="Q466" s="387"/>
      <c r="R466" s="387"/>
      <c r="S466" s="387"/>
      <c r="T466" s="387"/>
      <c r="U466" s="387"/>
      <c r="V466" s="387"/>
      <c r="W466" s="387"/>
      <c r="X466" s="387"/>
      <c r="Y466" s="387"/>
      <c r="Z466" s="387"/>
      <c r="AA466" s="387"/>
      <c r="AB466" s="387"/>
    </row>
    <row r="467">
      <c r="A467" s="364"/>
      <c r="B467" s="387"/>
      <c r="C467" s="387"/>
      <c r="D467" s="364"/>
      <c r="E467" s="387"/>
      <c r="F467" s="387"/>
      <c r="G467" s="387"/>
      <c r="H467" s="387"/>
      <c r="I467" s="387"/>
      <c r="J467" s="387"/>
      <c r="K467" s="387"/>
      <c r="L467" s="364"/>
      <c r="M467" s="364"/>
      <c r="N467" s="387"/>
      <c r="O467" s="387"/>
      <c r="P467" s="387"/>
      <c r="Q467" s="387"/>
      <c r="R467" s="387"/>
      <c r="S467" s="387"/>
      <c r="T467" s="387"/>
      <c r="U467" s="387"/>
      <c r="V467" s="387"/>
      <c r="W467" s="387"/>
      <c r="X467" s="387"/>
      <c r="Y467" s="387"/>
      <c r="Z467" s="387"/>
      <c r="AA467" s="387"/>
      <c r="AB467" s="387"/>
    </row>
    <row r="468">
      <c r="A468" s="364"/>
      <c r="B468" s="387"/>
      <c r="C468" s="387"/>
      <c r="D468" s="364"/>
      <c r="E468" s="387"/>
      <c r="F468" s="387"/>
      <c r="G468" s="387"/>
      <c r="H468" s="387"/>
      <c r="I468" s="387"/>
      <c r="J468" s="387"/>
      <c r="K468" s="387"/>
      <c r="L468" s="364"/>
      <c r="M468" s="364"/>
      <c r="N468" s="387"/>
      <c r="O468" s="387"/>
      <c r="P468" s="387"/>
      <c r="Q468" s="387"/>
      <c r="R468" s="387"/>
      <c r="S468" s="387"/>
      <c r="T468" s="387"/>
      <c r="U468" s="387"/>
      <c r="V468" s="387"/>
      <c r="W468" s="387"/>
      <c r="X468" s="387"/>
      <c r="Y468" s="387"/>
      <c r="Z468" s="387"/>
      <c r="AA468" s="387"/>
      <c r="AB468" s="387"/>
    </row>
    <row r="469">
      <c r="A469" s="364"/>
      <c r="B469" s="387"/>
      <c r="C469" s="387"/>
      <c r="D469" s="364"/>
      <c r="E469" s="387"/>
      <c r="F469" s="387"/>
      <c r="G469" s="387"/>
      <c r="H469" s="387"/>
      <c r="I469" s="387"/>
      <c r="J469" s="387"/>
      <c r="K469" s="387"/>
      <c r="L469" s="364"/>
      <c r="M469" s="364"/>
      <c r="N469" s="387"/>
      <c r="O469" s="387"/>
      <c r="P469" s="387"/>
      <c r="Q469" s="387"/>
      <c r="R469" s="387"/>
      <c r="S469" s="387"/>
      <c r="T469" s="387"/>
      <c r="U469" s="387"/>
      <c r="V469" s="387"/>
      <c r="W469" s="387"/>
      <c r="X469" s="387"/>
      <c r="Y469" s="387"/>
      <c r="Z469" s="387"/>
      <c r="AA469" s="387"/>
      <c r="AB469" s="387"/>
    </row>
    <row r="470">
      <c r="A470" s="364"/>
      <c r="B470" s="387"/>
      <c r="C470" s="387"/>
      <c r="D470" s="364"/>
      <c r="E470" s="387"/>
      <c r="F470" s="387"/>
      <c r="G470" s="387"/>
      <c r="H470" s="387"/>
      <c r="I470" s="387"/>
      <c r="J470" s="387"/>
      <c r="K470" s="387"/>
      <c r="L470" s="364"/>
      <c r="M470" s="364"/>
      <c r="N470" s="387"/>
      <c r="O470" s="387"/>
      <c r="P470" s="387"/>
      <c r="Q470" s="387"/>
      <c r="R470" s="387"/>
      <c r="S470" s="387"/>
      <c r="T470" s="387"/>
      <c r="U470" s="387"/>
      <c r="V470" s="387"/>
      <c r="W470" s="387"/>
      <c r="X470" s="387"/>
      <c r="Y470" s="387"/>
      <c r="Z470" s="387"/>
      <c r="AA470" s="387"/>
      <c r="AB470" s="387"/>
    </row>
    <row r="471">
      <c r="A471" s="364"/>
      <c r="B471" s="387"/>
      <c r="C471" s="387"/>
      <c r="D471" s="364"/>
      <c r="E471" s="387"/>
      <c r="F471" s="387"/>
      <c r="G471" s="387"/>
      <c r="H471" s="387"/>
      <c r="I471" s="387"/>
      <c r="J471" s="387"/>
      <c r="K471" s="387"/>
      <c r="L471" s="364"/>
      <c r="M471" s="364"/>
      <c r="N471" s="387"/>
      <c r="O471" s="387"/>
      <c r="P471" s="387"/>
      <c r="Q471" s="387"/>
      <c r="R471" s="387"/>
      <c r="S471" s="387"/>
      <c r="T471" s="387"/>
      <c r="U471" s="387"/>
      <c r="V471" s="387"/>
      <c r="W471" s="387"/>
      <c r="X471" s="387"/>
      <c r="Y471" s="387"/>
      <c r="Z471" s="387"/>
      <c r="AA471" s="387"/>
      <c r="AB471" s="387"/>
    </row>
    <row r="472">
      <c r="A472" s="364"/>
      <c r="B472" s="387"/>
      <c r="C472" s="387"/>
      <c r="D472" s="364"/>
      <c r="E472" s="387"/>
      <c r="F472" s="387"/>
      <c r="G472" s="387"/>
      <c r="H472" s="387"/>
      <c r="I472" s="387"/>
      <c r="J472" s="387"/>
      <c r="K472" s="387"/>
      <c r="L472" s="364"/>
      <c r="M472" s="364"/>
      <c r="N472" s="387"/>
      <c r="O472" s="387"/>
      <c r="P472" s="387"/>
      <c r="Q472" s="387"/>
      <c r="R472" s="387"/>
      <c r="S472" s="387"/>
      <c r="T472" s="387"/>
      <c r="U472" s="387"/>
      <c r="V472" s="387"/>
      <c r="W472" s="387"/>
      <c r="X472" s="387"/>
      <c r="Y472" s="387"/>
      <c r="Z472" s="387"/>
      <c r="AA472" s="387"/>
      <c r="AB472" s="387"/>
    </row>
    <row r="473">
      <c r="A473" s="364"/>
      <c r="B473" s="387"/>
      <c r="C473" s="387"/>
      <c r="D473" s="364"/>
      <c r="E473" s="387"/>
      <c r="F473" s="387"/>
      <c r="G473" s="387"/>
      <c r="H473" s="387"/>
      <c r="I473" s="387"/>
      <c r="J473" s="387"/>
      <c r="K473" s="387"/>
      <c r="L473" s="364"/>
      <c r="M473" s="364"/>
      <c r="N473" s="387"/>
      <c r="O473" s="387"/>
      <c r="P473" s="387"/>
      <c r="Q473" s="387"/>
      <c r="R473" s="387"/>
      <c r="S473" s="387"/>
      <c r="T473" s="387"/>
      <c r="U473" s="387"/>
      <c r="V473" s="387"/>
      <c r="W473" s="387"/>
      <c r="X473" s="387"/>
      <c r="Y473" s="387"/>
      <c r="Z473" s="387"/>
      <c r="AA473" s="387"/>
      <c r="AB473" s="387"/>
    </row>
    <row r="474">
      <c r="A474" s="364"/>
      <c r="B474" s="387"/>
      <c r="C474" s="387"/>
      <c r="D474" s="364"/>
      <c r="E474" s="387"/>
      <c r="F474" s="387"/>
      <c r="G474" s="387"/>
      <c r="H474" s="387"/>
      <c r="I474" s="387"/>
      <c r="J474" s="387"/>
      <c r="K474" s="387"/>
      <c r="L474" s="364"/>
      <c r="M474" s="364"/>
      <c r="N474" s="387"/>
      <c r="O474" s="387"/>
      <c r="P474" s="387"/>
      <c r="Q474" s="387"/>
      <c r="R474" s="387"/>
      <c r="S474" s="387"/>
      <c r="T474" s="387"/>
      <c r="U474" s="387"/>
      <c r="V474" s="387"/>
      <c r="W474" s="387"/>
      <c r="X474" s="387"/>
      <c r="Y474" s="387"/>
      <c r="Z474" s="387"/>
      <c r="AA474" s="387"/>
      <c r="AB474" s="387"/>
    </row>
    <row r="475">
      <c r="A475" s="364"/>
      <c r="B475" s="387"/>
      <c r="C475" s="387"/>
      <c r="D475" s="364"/>
      <c r="E475" s="387"/>
      <c r="F475" s="387"/>
      <c r="G475" s="387"/>
      <c r="H475" s="387"/>
      <c r="I475" s="387"/>
      <c r="J475" s="387"/>
      <c r="K475" s="387"/>
      <c r="L475" s="364"/>
      <c r="M475" s="364"/>
      <c r="N475" s="387"/>
      <c r="O475" s="387"/>
      <c r="P475" s="387"/>
      <c r="Q475" s="387"/>
      <c r="R475" s="387"/>
      <c r="S475" s="387"/>
      <c r="T475" s="387"/>
      <c r="U475" s="387"/>
      <c r="V475" s="387"/>
      <c r="W475" s="387"/>
      <c r="X475" s="387"/>
      <c r="Y475" s="387"/>
      <c r="Z475" s="387"/>
      <c r="AA475" s="387"/>
      <c r="AB475" s="387"/>
    </row>
    <row r="476">
      <c r="A476" s="364"/>
      <c r="B476" s="387"/>
      <c r="C476" s="387"/>
      <c r="D476" s="364"/>
      <c r="E476" s="387"/>
      <c r="F476" s="387"/>
      <c r="G476" s="387"/>
      <c r="H476" s="387"/>
      <c r="I476" s="387"/>
      <c r="J476" s="387"/>
      <c r="K476" s="387"/>
      <c r="L476" s="364"/>
      <c r="M476" s="364"/>
      <c r="N476" s="387"/>
      <c r="O476" s="387"/>
      <c r="P476" s="387"/>
      <c r="Q476" s="387"/>
      <c r="R476" s="387"/>
      <c r="S476" s="387"/>
      <c r="T476" s="387"/>
      <c r="U476" s="387"/>
      <c r="V476" s="387"/>
      <c r="W476" s="387"/>
      <c r="X476" s="387"/>
      <c r="Y476" s="387"/>
      <c r="Z476" s="387"/>
      <c r="AA476" s="387"/>
      <c r="AB476" s="387"/>
    </row>
    <row r="477">
      <c r="A477" s="364"/>
      <c r="B477" s="387"/>
      <c r="C477" s="387"/>
      <c r="D477" s="364"/>
      <c r="E477" s="387"/>
      <c r="F477" s="387"/>
      <c r="G477" s="387"/>
      <c r="H477" s="387"/>
      <c r="I477" s="387"/>
      <c r="J477" s="387"/>
      <c r="K477" s="387"/>
      <c r="L477" s="364"/>
      <c r="M477" s="364"/>
      <c r="N477" s="387"/>
      <c r="O477" s="387"/>
      <c r="P477" s="387"/>
      <c r="Q477" s="387"/>
      <c r="R477" s="387"/>
      <c r="S477" s="387"/>
      <c r="T477" s="387"/>
      <c r="U477" s="387"/>
      <c r="V477" s="387"/>
      <c r="W477" s="387"/>
      <c r="X477" s="387"/>
      <c r="Y477" s="387"/>
      <c r="Z477" s="387"/>
      <c r="AA477" s="387"/>
      <c r="AB477" s="387"/>
    </row>
    <row r="478">
      <c r="A478" s="364"/>
      <c r="B478" s="387"/>
      <c r="C478" s="387"/>
      <c r="D478" s="364"/>
      <c r="E478" s="387"/>
      <c r="F478" s="387"/>
      <c r="G478" s="387"/>
      <c r="H478" s="387"/>
      <c r="I478" s="387"/>
      <c r="J478" s="387"/>
      <c r="K478" s="387"/>
      <c r="L478" s="364"/>
      <c r="M478" s="364"/>
      <c r="N478" s="387"/>
      <c r="O478" s="387"/>
      <c r="P478" s="387"/>
      <c r="Q478" s="387"/>
      <c r="R478" s="387"/>
      <c r="S478" s="387"/>
      <c r="T478" s="387"/>
      <c r="U478" s="387"/>
      <c r="V478" s="387"/>
      <c r="W478" s="387"/>
      <c r="X478" s="387"/>
      <c r="Y478" s="387"/>
      <c r="Z478" s="387"/>
      <c r="AA478" s="387"/>
      <c r="AB478" s="387"/>
    </row>
    <row r="479">
      <c r="A479" s="364"/>
      <c r="B479" s="387"/>
      <c r="C479" s="387"/>
      <c r="D479" s="364"/>
      <c r="E479" s="387"/>
      <c r="F479" s="387"/>
      <c r="G479" s="387"/>
      <c r="H479" s="387"/>
      <c r="I479" s="387"/>
      <c r="J479" s="387"/>
      <c r="K479" s="387"/>
      <c r="L479" s="364"/>
      <c r="M479" s="364"/>
      <c r="N479" s="387"/>
      <c r="O479" s="387"/>
      <c r="P479" s="387"/>
      <c r="Q479" s="387"/>
      <c r="R479" s="387"/>
      <c r="S479" s="387"/>
      <c r="T479" s="387"/>
      <c r="U479" s="387"/>
      <c r="V479" s="387"/>
      <c r="W479" s="387"/>
      <c r="X479" s="387"/>
      <c r="Y479" s="387"/>
      <c r="Z479" s="387"/>
      <c r="AA479" s="387"/>
      <c r="AB479" s="387"/>
    </row>
    <row r="480">
      <c r="A480" s="364"/>
      <c r="B480" s="387"/>
      <c r="C480" s="387"/>
      <c r="D480" s="364"/>
      <c r="E480" s="387"/>
      <c r="F480" s="387"/>
      <c r="G480" s="387"/>
      <c r="H480" s="387"/>
      <c r="I480" s="387"/>
      <c r="J480" s="387"/>
      <c r="K480" s="387"/>
      <c r="L480" s="364"/>
      <c r="M480" s="364"/>
      <c r="N480" s="387"/>
      <c r="O480" s="387"/>
      <c r="P480" s="387"/>
      <c r="Q480" s="387"/>
      <c r="R480" s="387"/>
      <c r="S480" s="387"/>
      <c r="T480" s="387"/>
      <c r="U480" s="387"/>
      <c r="V480" s="387"/>
      <c r="W480" s="387"/>
      <c r="X480" s="387"/>
      <c r="Y480" s="387"/>
      <c r="Z480" s="387"/>
      <c r="AA480" s="387"/>
      <c r="AB480" s="387"/>
    </row>
    <row r="481">
      <c r="A481" s="364"/>
      <c r="B481" s="387"/>
      <c r="C481" s="387"/>
      <c r="D481" s="364"/>
      <c r="E481" s="387"/>
      <c r="F481" s="387"/>
      <c r="G481" s="387"/>
      <c r="H481" s="387"/>
      <c r="I481" s="387"/>
      <c r="J481" s="387"/>
      <c r="K481" s="387"/>
      <c r="L481" s="364"/>
      <c r="M481" s="364"/>
      <c r="N481" s="387"/>
      <c r="O481" s="387"/>
      <c r="P481" s="387"/>
      <c r="Q481" s="387"/>
      <c r="R481" s="387"/>
      <c r="S481" s="387"/>
      <c r="T481" s="387"/>
      <c r="U481" s="387"/>
      <c r="V481" s="387"/>
      <c r="W481" s="387"/>
      <c r="X481" s="387"/>
      <c r="Y481" s="387"/>
      <c r="Z481" s="387"/>
      <c r="AA481" s="387"/>
      <c r="AB481" s="387"/>
    </row>
    <row r="482">
      <c r="A482" s="364"/>
      <c r="B482" s="387"/>
      <c r="C482" s="387"/>
      <c r="D482" s="364"/>
      <c r="E482" s="387"/>
      <c r="F482" s="387"/>
      <c r="G482" s="387"/>
      <c r="H482" s="387"/>
      <c r="I482" s="387"/>
      <c r="J482" s="387"/>
      <c r="K482" s="387"/>
      <c r="L482" s="364"/>
      <c r="M482" s="364"/>
      <c r="N482" s="387"/>
      <c r="O482" s="387"/>
      <c r="P482" s="387"/>
      <c r="Q482" s="387"/>
      <c r="R482" s="387"/>
      <c r="S482" s="387"/>
      <c r="T482" s="387"/>
      <c r="U482" s="387"/>
      <c r="V482" s="387"/>
      <c r="W482" s="387"/>
      <c r="X482" s="387"/>
      <c r="Y482" s="387"/>
      <c r="Z482" s="387"/>
      <c r="AA482" s="387"/>
      <c r="AB482" s="387"/>
    </row>
    <row r="483">
      <c r="A483" s="364"/>
      <c r="B483" s="387"/>
      <c r="C483" s="387"/>
      <c r="D483" s="364"/>
      <c r="E483" s="387"/>
      <c r="F483" s="387"/>
      <c r="G483" s="387"/>
      <c r="H483" s="387"/>
      <c r="I483" s="387"/>
      <c r="J483" s="387"/>
      <c r="K483" s="387"/>
      <c r="L483" s="364"/>
      <c r="M483" s="364"/>
      <c r="N483" s="387"/>
      <c r="O483" s="387"/>
      <c r="P483" s="387"/>
      <c r="Q483" s="387"/>
      <c r="R483" s="387"/>
      <c r="S483" s="387"/>
      <c r="T483" s="387"/>
      <c r="U483" s="387"/>
      <c r="V483" s="387"/>
      <c r="W483" s="387"/>
      <c r="X483" s="387"/>
      <c r="Y483" s="387"/>
      <c r="Z483" s="387"/>
      <c r="AA483" s="387"/>
      <c r="AB483" s="387"/>
    </row>
    <row r="484">
      <c r="A484" s="364"/>
      <c r="B484" s="387"/>
      <c r="C484" s="387"/>
      <c r="D484" s="364"/>
      <c r="E484" s="387"/>
      <c r="F484" s="387"/>
      <c r="G484" s="387"/>
      <c r="H484" s="387"/>
      <c r="I484" s="387"/>
      <c r="J484" s="387"/>
      <c r="K484" s="387"/>
      <c r="L484" s="364"/>
      <c r="M484" s="364"/>
      <c r="N484" s="387"/>
      <c r="O484" s="387"/>
      <c r="P484" s="387"/>
      <c r="Q484" s="387"/>
      <c r="R484" s="387"/>
      <c r="S484" s="387"/>
      <c r="T484" s="387"/>
      <c r="U484" s="387"/>
      <c r="V484" s="387"/>
      <c r="W484" s="387"/>
      <c r="X484" s="387"/>
      <c r="Y484" s="387"/>
      <c r="Z484" s="387"/>
      <c r="AA484" s="387"/>
      <c r="AB484" s="387"/>
    </row>
    <row r="485">
      <c r="A485" s="364"/>
      <c r="B485" s="387"/>
      <c r="C485" s="387"/>
      <c r="D485" s="364"/>
      <c r="E485" s="387"/>
      <c r="F485" s="387"/>
      <c r="G485" s="387"/>
      <c r="H485" s="387"/>
      <c r="I485" s="387"/>
      <c r="J485" s="387"/>
      <c r="K485" s="387"/>
      <c r="L485" s="364"/>
      <c r="M485" s="364"/>
      <c r="N485" s="387"/>
      <c r="O485" s="387"/>
      <c r="P485" s="387"/>
      <c r="Q485" s="387"/>
      <c r="R485" s="387"/>
      <c r="S485" s="387"/>
      <c r="T485" s="387"/>
      <c r="U485" s="387"/>
      <c r="V485" s="387"/>
      <c r="W485" s="387"/>
      <c r="X485" s="387"/>
      <c r="Y485" s="387"/>
      <c r="Z485" s="387"/>
      <c r="AA485" s="387"/>
      <c r="AB485" s="387"/>
    </row>
    <row r="486">
      <c r="A486" s="364"/>
      <c r="B486" s="387"/>
      <c r="C486" s="387"/>
      <c r="D486" s="364"/>
      <c r="E486" s="387"/>
      <c r="F486" s="387"/>
      <c r="G486" s="387"/>
      <c r="H486" s="387"/>
      <c r="I486" s="387"/>
      <c r="J486" s="387"/>
      <c r="K486" s="387"/>
      <c r="L486" s="364"/>
      <c r="M486" s="364"/>
      <c r="N486" s="387"/>
      <c r="O486" s="387"/>
      <c r="P486" s="387"/>
      <c r="Q486" s="387"/>
      <c r="R486" s="387"/>
      <c r="S486" s="387"/>
      <c r="T486" s="387"/>
      <c r="U486" s="387"/>
      <c r="V486" s="387"/>
      <c r="W486" s="387"/>
      <c r="X486" s="387"/>
      <c r="Y486" s="387"/>
      <c r="Z486" s="387"/>
      <c r="AA486" s="387"/>
      <c r="AB486" s="387"/>
    </row>
    <row r="487">
      <c r="A487" s="364"/>
      <c r="B487" s="387"/>
      <c r="C487" s="387"/>
      <c r="D487" s="364"/>
      <c r="E487" s="387"/>
      <c r="F487" s="387"/>
      <c r="G487" s="387"/>
      <c r="H487" s="387"/>
      <c r="I487" s="387"/>
      <c r="J487" s="387"/>
      <c r="K487" s="387"/>
      <c r="L487" s="364"/>
      <c r="M487" s="364"/>
      <c r="N487" s="387"/>
      <c r="O487" s="387"/>
      <c r="P487" s="387"/>
      <c r="Q487" s="387"/>
      <c r="R487" s="387"/>
      <c r="S487" s="387"/>
      <c r="T487" s="387"/>
      <c r="U487" s="387"/>
      <c r="V487" s="387"/>
      <c r="W487" s="387"/>
      <c r="X487" s="387"/>
      <c r="Y487" s="387"/>
      <c r="Z487" s="387"/>
      <c r="AA487" s="387"/>
      <c r="AB487" s="387"/>
    </row>
    <row r="488">
      <c r="A488" s="364"/>
      <c r="B488" s="387"/>
      <c r="C488" s="387"/>
      <c r="D488" s="364"/>
      <c r="E488" s="387"/>
      <c r="F488" s="387"/>
      <c r="G488" s="387"/>
      <c r="H488" s="387"/>
      <c r="I488" s="387"/>
      <c r="J488" s="387"/>
      <c r="K488" s="387"/>
      <c r="L488" s="364"/>
      <c r="M488" s="364"/>
      <c r="N488" s="387"/>
      <c r="O488" s="387"/>
      <c r="P488" s="387"/>
      <c r="Q488" s="387"/>
      <c r="R488" s="387"/>
      <c r="S488" s="387"/>
      <c r="T488" s="387"/>
      <c r="U488" s="387"/>
      <c r="V488" s="387"/>
      <c r="W488" s="387"/>
      <c r="X488" s="387"/>
      <c r="Y488" s="387"/>
      <c r="Z488" s="387"/>
      <c r="AA488" s="387"/>
      <c r="AB488" s="387"/>
    </row>
    <row r="489">
      <c r="A489" s="364"/>
      <c r="B489" s="387"/>
      <c r="C489" s="387"/>
      <c r="D489" s="364"/>
      <c r="E489" s="387"/>
      <c r="F489" s="387"/>
      <c r="G489" s="387"/>
      <c r="H489" s="387"/>
      <c r="I489" s="387"/>
      <c r="J489" s="387"/>
      <c r="K489" s="387"/>
      <c r="L489" s="364"/>
      <c r="M489" s="364"/>
      <c r="N489" s="387"/>
      <c r="O489" s="387"/>
      <c r="P489" s="387"/>
      <c r="Q489" s="387"/>
      <c r="R489" s="387"/>
      <c r="S489" s="387"/>
      <c r="T489" s="387"/>
      <c r="U489" s="387"/>
      <c r="V489" s="387"/>
      <c r="W489" s="387"/>
      <c r="X489" s="387"/>
      <c r="Y489" s="387"/>
      <c r="Z489" s="387"/>
      <c r="AA489" s="387"/>
      <c r="AB489" s="387"/>
    </row>
    <row r="490">
      <c r="A490" s="364"/>
      <c r="B490" s="387"/>
      <c r="C490" s="387"/>
      <c r="D490" s="364"/>
      <c r="E490" s="387"/>
      <c r="F490" s="387"/>
      <c r="G490" s="387"/>
      <c r="H490" s="387"/>
      <c r="I490" s="387"/>
      <c r="J490" s="387"/>
      <c r="K490" s="387"/>
      <c r="L490" s="364"/>
      <c r="M490" s="364"/>
      <c r="N490" s="387"/>
      <c r="O490" s="387"/>
      <c r="P490" s="387"/>
      <c r="Q490" s="387"/>
      <c r="R490" s="387"/>
      <c r="S490" s="387"/>
      <c r="T490" s="387"/>
      <c r="U490" s="387"/>
      <c r="V490" s="387"/>
      <c r="W490" s="387"/>
      <c r="X490" s="387"/>
      <c r="Y490" s="387"/>
      <c r="Z490" s="387"/>
      <c r="AA490" s="387"/>
      <c r="AB490" s="387"/>
    </row>
    <row r="491">
      <c r="A491" s="364"/>
      <c r="B491" s="387"/>
      <c r="C491" s="387"/>
      <c r="D491" s="364"/>
      <c r="E491" s="387"/>
      <c r="F491" s="387"/>
      <c r="G491" s="387"/>
      <c r="H491" s="387"/>
      <c r="I491" s="387"/>
      <c r="J491" s="387"/>
      <c r="K491" s="387"/>
      <c r="L491" s="364"/>
      <c r="M491" s="364"/>
      <c r="N491" s="387"/>
      <c r="O491" s="387"/>
      <c r="P491" s="387"/>
      <c r="Q491" s="387"/>
      <c r="R491" s="387"/>
      <c r="S491" s="387"/>
      <c r="T491" s="387"/>
      <c r="U491" s="387"/>
      <c r="V491" s="387"/>
      <c r="W491" s="387"/>
      <c r="X491" s="387"/>
      <c r="Y491" s="387"/>
      <c r="Z491" s="387"/>
      <c r="AA491" s="387"/>
      <c r="AB491" s="387"/>
    </row>
    <row r="492">
      <c r="A492" s="364"/>
      <c r="B492" s="387"/>
      <c r="C492" s="387"/>
      <c r="D492" s="364"/>
      <c r="E492" s="387"/>
      <c r="F492" s="387"/>
      <c r="G492" s="387"/>
      <c r="H492" s="387"/>
      <c r="I492" s="387"/>
      <c r="J492" s="387"/>
      <c r="K492" s="387"/>
      <c r="L492" s="364"/>
      <c r="M492" s="364"/>
      <c r="N492" s="387"/>
      <c r="O492" s="387"/>
      <c r="P492" s="387"/>
      <c r="Q492" s="387"/>
      <c r="R492" s="387"/>
      <c r="S492" s="387"/>
      <c r="T492" s="387"/>
      <c r="U492" s="387"/>
      <c r="V492" s="387"/>
      <c r="W492" s="387"/>
      <c r="X492" s="387"/>
      <c r="Y492" s="387"/>
      <c r="Z492" s="387"/>
      <c r="AA492" s="387"/>
      <c r="AB492" s="387"/>
    </row>
    <row r="493">
      <c r="A493" s="364"/>
      <c r="B493" s="387"/>
      <c r="C493" s="387"/>
      <c r="D493" s="364"/>
      <c r="E493" s="387"/>
      <c r="F493" s="387"/>
      <c r="G493" s="387"/>
      <c r="H493" s="387"/>
      <c r="I493" s="387"/>
      <c r="J493" s="387"/>
      <c r="K493" s="387"/>
      <c r="L493" s="364"/>
      <c r="M493" s="364"/>
      <c r="N493" s="387"/>
      <c r="O493" s="387"/>
      <c r="P493" s="387"/>
      <c r="Q493" s="387"/>
      <c r="R493" s="387"/>
      <c r="S493" s="387"/>
      <c r="T493" s="387"/>
      <c r="U493" s="387"/>
      <c r="V493" s="387"/>
      <c r="W493" s="387"/>
      <c r="X493" s="387"/>
      <c r="Y493" s="387"/>
      <c r="Z493" s="387"/>
      <c r="AA493" s="387"/>
      <c r="AB493" s="387"/>
    </row>
    <row r="494">
      <c r="A494" s="364"/>
      <c r="B494" s="387"/>
      <c r="C494" s="387"/>
      <c r="D494" s="364"/>
      <c r="E494" s="387"/>
      <c r="F494" s="387"/>
      <c r="G494" s="387"/>
      <c r="H494" s="387"/>
      <c r="I494" s="387"/>
      <c r="J494" s="387"/>
      <c r="K494" s="387"/>
      <c r="L494" s="364"/>
      <c r="M494" s="364"/>
      <c r="N494" s="387"/>
      <c r="O494" s="387"/>
      <c r="P494" s="387"/>
      <c r="Q494" s="387"/>
      <c r="R494" s="387"/>
      <c r="S494" s="387"/>
      <c r="T494" s="387"/>
      <c r="U494" s="387"/>
      <c r="V494" s="387"/>
      <c r="W494" s="387"/>
      <c r="X494" s="387"/>
      <c r="Y494" s="387"/>
      <c r="Z494" s="387"/>
      <c r="AA494" s="387"/>
      <c r="AB494" s="387"/>
    </row>
    <row r="495">
      <c r="A495" s="364"/>
      <c r="B495" s="387"/>
      <c r="C495" s="387"/>
      <c r="D495" s="364"/>
      <c r="E495" s="387"/>
      <c r="F495" s="387"/>
      <c r="G495" s="387"/>
      <c r="H495" s="387"/>
      <c r="I495" s="387"/>
      <c r="J495" s="387"/>
      <c r="K495" s="387"/>
      <c r="L495" s="364"/>
      <c r="M495" s="364"/>
      <c r="N495" s="387"/>
      <c r="O495" s="387"/>
      <c r="P495" s="387"/>
      <c r="Q495" s="387"/>
      <c r="R495" s="387"/>
      <c r="S495" s="387"/>
      <c r="T495" s="387"/>
      <c r="U495" s="387"/>
      <c r="V495" s="387"/>
      <c r="W495" s="387"/>
      <c r="X495" s="387"/>
      <c r="Y495" s="387"/>
      <c r="Z495" s="387"/>
      <c r="AA495" s="387"/>
      <c r="AB495" s="387"/>
    </row>
    <row r="496">
      <c r="A496" s="364"/>
      <c r="B496" s="387"/>
      <c r="C496" s="387"/>
      <c r="D496" s="364"/>
      <c r="E496" s="387"/>
      <c r="F496" s="387"/>
      <c r="G496" s="387"/>
      <c r="H496" s="387"/>
      <c r="I496" s="387"/>
      <c r="J496" s="387"/>
      <c r="K496" s="387"/>
      <c r="L496" s="364"/>
      <c r="M496" s="364"/>
      <c r="N496" s="387"/>
      <c r="O496" s="387"/>
      <c r="P496" s="387"/>
      <c r="Q496" s="387"/>
      <c r="R496" s="387"/>
      <c r="S496" s="387"/>
      <c r="T496" s="387"/>
      <c r="U496" s="387"/>
      <c r="V496" s="387"/>
      <c r="W496" s="387"/>
      <c r="X496" s="387"/>
      <c r="Y496" s="387"/>
      <c r="Z496" s="387"/>
      <c r="AA496" s="387"/>
      <c r="AB496" s="387"/>
    </row>
    <row r="497">
      <c r="A497" s="364"/>
      <c r="B497" s="387"/>
      <c r="C497" s="387"/>
      <c r="D497" s="364"/>
      <c r="E497" s="387"/>
      <c r="F497" s="387"/>
      <c r="G497" s="387"/>
      <c r="H497" s="387"/>
      <c r="I497" s="387"/>
      <c r="J497" s="387"/>
      <c r="K497" s="387"/>
      <c r="L497" s="364"/>
      <c r="M497" s="364"/>
      <c r="N497" s="387"/>
      <c r="O497" s="387"/>
      <c r="P497" s="387"/>
      <c r="Q497" s="387"/>
      <c r="R497" s="387"/>
      <c r="S497" s="387"/>
      <c r="T497" s="387"/>
      <c r="U497" s="387"/>
      <c r="V497" s="387"/>
      <c r="W497" s="387"/>
      <c r="X497" s="387"/>
      <c r="Y497" s="387"/>
      <c r="Z497" s="387"/>
      <c r="AA497" s="387"/>
      <c r="AB497" s="387"/>
    </row>
    <row r="498">
      <c r="A498" s="364"/>
      <c r="B498" s="387"/>
      <c r="C498" s="387"/>
      <c r="D498" s="364"/>
      <c r="E498" s="387"/>
      <c r="F498" s="387"/>
      <c r="G498" s="387"/>
      <c r="H498" s="387"/>
      <c r="I498" s="387"/>
      <c r="J498" s="387"/>
      <c r="K498" s="387"/>
      <c r="L498" s="364"/>
      <c r="M498" s="364"/>
      <c r="N498" s="387"/>
      <c r="O498" s="387"/>
      <c r="P498" s="387"/>
      <c r="Q498" s="387"/>
      <c r="R498" s="387"/>
      <c r="S498" s="387"/>
      <c r="T498" s="387"/>
      <c r="U498" s="387"/>
      <c r="V498" s="387"/>
      <c r="W498" s="387"/>
      <c r="X498" s="387"/>
      <c r="Y498" s="387"/>
      <c r="Z498" s="387"/>
      <c r="AA498" s="387"/>
      <c r="AB498" s="387"/>
    </row>
    <row r="499">
      <c r="A499" s="364"/>
      <c r="B499" s="387"/>
      <c r="C499" s="387"/>
      <c r="D499" s="364"/>
      <c r="E499" s="387"/>
      <c r="F499" s="387"/>
      <c r="G499" s="387"/>
      <c r="H499" s="387"/>
      <c r="I499" s="387"/>
      <c r="J499" s="387"/>
      <c r="K499" s="387"/>
      <c r="L499" s="364"/>
      <c r="M499" s="364"/>
      <c r="N499" s="387"/>
      <c r="O499" s="387"/>
      <c r="P499" s="387"/>
      <c r="Q499" s="387"/>
      <c r="R499" s="387"/>
      <c r="S499" s="387"/>
      <c r="T499" s="387"/>
      <c r="U499" s="387"/>
      <c r="V499" s="387"/>
      <c r="W499" s="387"/>
      <c r="X499" s="387"/>
      <c r="Y499" s="387"/>
      <c r="Z499" s="387"/>
      <c r="AA499" s="387"/>
      <c r="AB499" s="387"/>
    </row>
    <row r="500">
      <c r="A500" s="364"/>
      <c r="B500" s="387"/>
      <c r="C500" s="387"/>
      <c r="D500" s="364"/>
      <c r="E500" s="387"/>
      <c r="F500" s="387"/>
      <c r="G500" s="387"/>
      <c r="H500" s="387"/>
      <c r="I500" s="387"/>
      <c r="J500" s="387"/>
      <c r="K500" s="387"/>
      <c r="L500" s="364"/>
      <c r="M500" s="364"/>
      <c r="N500" s="387"/>
      <c r="O500" s="387"/>
      <c r="P500" s="387"/>
      <c r="Q500" s="387"/>
      <c r="R500" s="387"/>
      <c r="S500" s="387"/>
      <c r="T500" s="387"/>
      <c r="U500" s="387"/>
      <c r="V500" s="387"/>
      <c r="W500" s="387"/>
      <c r="X500" s="387"/>
      <c r="Y500" s="387"/>
      <c r="Z500" s="387"/>
      <c r="AA500" s="387"/>
      <c r="AB500" s="387"/>
    </row>
    <row r="501">
      <c r="A501" s="364"/>
      <c r="B501" s="387"/>
      <c r="C501" s="387"/>
      <c r="D501" s="364"/>
      <c r="E501" s="387"/>
      <c r="F501" s="387"/>
      <c r="G501" s="387"/>
      <c r="H501" s="387"/>
      <c r="I501" s="387"/>
      <c r="J501" s="387"/>
      <c r="K501" s="387"/>
      <c r="L501" s="364"/>
      <c r="M501" s="364"/>
      <c r="N501" s="387"/>
      <c r="O501" s="387"/>
      <c r="P501" s="387"/>
      <c r="Q501" s="387"/>
      <c r="R501" s="387"/>
      <c r="S501" s="387"/>
      <c r="T501" s="387"/>
      <c r="U501" s="387"/>
      <c r="V501" s="387"/>
      <c r="W501" s="387"/>
      <c r="X501" s="387"/>
      <c r="Y501" s="387"/>
      <c r="Z501" s="387"/>
      <c r="AA501" s="387"/>
      <c r="AB501" s="387"/>
    </row>
    <row r="502">
      <c r="A502" s="364"/>
      <c r="B502" s="387"/>
      <c r="C502" s="387"/>
      <c r="D502" s="364"/>
      <c r="E502" s="387"/>
      <c r="F502" s="387"/>
      <c r="G502" s="387"/>
      <c r="H502" s="387"/>
      <c r="I502" s="387"/>
      <c r="J502" s="387"/>
      <c r="K502" s="387"/>
      <c r="L502" s="364"/>
      <c r="M502" s="364"/>
      <c r="N502" s="387"/>
      <c r="O502" s="387"/>
      <c r="P502" s="387"/>
      <c r="Q502" s="387"/>
      <c r="R502" s="387"/>
      <c r="S502" s="387"/>
      <c r="T502" s="387"/>
      <c r="U502" s="387"/>
      <c r="V502" s="387"/>
      <c r="W502" s="387"/>
      <c r="X502" s="387"/>
      <c r="Y502" s="387"/>
      <c r="Z502" s="387"/>
      <c r="AA502" s="387"/>
      <c r="AB502" s="387"/>
    </row>
    <row r="503">
      <c r="A503" s="364"/>
      <c r="B503" s="387"/>
      <c r="C503" s="387"/>
      <c r="D503" s="364"/>
      <c r="E503" s="387"/>
      <c r="F503" s="387"/>
      <c r="G503" s="387"/>
      <c r="H503" s="387"/>
      <c r="I503" s="387"/>
      <c r="J503" s="387"/>
      <c r="K503" s="387"/>
      <c r="L503" s="364"/>
      <c r="M503" s="364"/>
      <c r="N503" s="387"/>
      <c r="O503" s="387"/>
      <c r="P503" s="387"/>
      <c r="Q503" s="387"/>
      <c r="R503" s="387"/>
      <c r="S503" s="387"/>
      <c r="T503" s="387"/>
      <c r="U503" s="387"/>
      <c r="V503" s="387"/>
      <c r="W503" s="387"/>
      <c r="X503" s="387"/>
      <c r="Y503" s="387"/>
      <c r="Z503" s="387"/>
      <c r="AA503" s="387"/>
      <c r="AB503" s="387"/>
    </row>
    <row r="504">
      <c r="A504" s="364"/>
      <c r="B504" s="387"/>
      <c r="C504" s="387"/>
      <c r="D504" s="364"/>
      <c r="E504" s="387"/>
      <c r="F504" s="387"/>
      <c r="G504" s="387"/>
      <c r="H504" s="387"/>
      <c r="I504" s="387"/>
      <c r="J504" s="387"/>
      <c r="K504" s="387"/>
      <c r="L504" s="364"/>
      <c r="M504" s="364"/>
      <c r="N504" s="387"/>
      <c r="O504" s="387"/>
      <c r="P504" s="387"/>
      <c r="Q504" s="387"/>
      <c r="R504" s="387"/>
      <c r="S504" s="387"/>
      <c r="T504" s="387"/>
      <c r="U504" s="387"/>
      <c r="V504" s="387"/>
      <c r="W504" s="387"/>
      <c r="X504" s="387"/>
      <c r="Y504" s="387"/>
      <c r="Z504" s="387"/>
      <c r="AA504" s="387"/>
      <c r="AB504" s="387"/>
    </row>
    <row r="505">
      <c r="A505" s="364"/>
      <c r="B505" s="387"/>
      <c r="C505" s="387"/>
      <c r="D505" s="364"/>
      <c r="E505" s="387"/>
      <c r="F505" s="387"/>
      <c r="G505" s="387"/>
      <c r="H505" s="387"/>
      <c r="I505" s="387"/>
      <c r="J505" s="387"/>
      <c r="K505" s="387"/>
      <c r="L505" s="364"/>
      <c r="M505" s="364"/>
      <c r="N505" s="387"/>
      <c r="O505" s="387"/>
      <c r="P505" s="387"/>
      <c r="Q505" s="387"/>
      <c r="R505" s="387"/>
      <c r="S505" s="387"/>
      <c r="T505" s="387"/>
      <c r="U505" s="387"/>
      <c r="V505" s="387"/>
      <c r="W505" s="387"/>
      <c r="X505" s="387"/>
      <c r="Y505" s="387"/>
      <c r="Z505" s="387"/>
      <c r="AA505" s="387"/>
      <c r="AB505" s="387"/>
    </row>
    <row r="506">
      <c r="A506" s="364"/>
      <c r="B506" s="387"/>
      <c r="C506" s="387"/>
      <c r="D506" s="364"/>
      <c r="E506" s="387"/>
      <c r="F506" s="387"/>
      <c r="G506" s="387"/>
      <c r="H506" s="387"/>
      <c r="I506" s="387"/>
      <c r="J506" s="387"/>
      <c r="K506" s="387"/>
      <c r="L506" s="364"/>
      <c r="M506" s="364"/>
      <c r="N506" s="387"/>
      <c r="O506" s="387"/>
      <c r="P506" s="387"/>
      <c r="Q506" s="387"/>
      <c r="R506" s="387"/>
      <c r="S506" s="387"/>
      <c r="T506" s="387"/>
      <c r="U506" s="387"/>
      <c r="V506" s="387"/>
      <c r="W506" s="387"/>
      <c r="X506" s="387"/>
      <c r="Y506" s="387"/>
      <c r="Z506" s="387"/>
      <c r="AA506" s="387"/>
      <c r="AB506" s="387"/>
    </row>
    <row r="507">
      <c r="A507" s="364"/>
      <c r="B507" s="387"/>
      <c r="C507" s="387"/>
      <c r="D507" s="364"/>
      <c r="E507" s="387"/>
      <c r="F507" s="387"/>
      <c r="G507" s="387"/>
      <c r="H507" s="387"/>
      <c r="I507" s="387"/>
      <c r="J507" s="387"/>
      <c r="K507" s="387"/>
      <c r="L507" s="364"/>
      <c r="M507" s="364"/>
      <c r="N507" s="387"/>
      <c r="O507" s="387"/>
      <c r="P507" s="387"/>
      <c r="Q507" s="387"/>
      <c r="R507" s="387"/>
      <c r="S507" s="387"/>
      <c r="T507" s="387"/>
      <c r="U507" s="387"/>
      <c r="V507" s="387"/>
      <c r="W507" s="387"/>
      <c r="X507" s="387"/>
      <c r="Y507" s="387"/>
      <c r="Z507" s="387"/>
      <c r="AA507" s="387"/>
      <c r="AB507" s="387"/>
    </row>
    <row r="508">
      <c r="A508" s="364"/>
      <c r="B508" s="387"/>
      <c r="C508" s="387"/>
      <c r="D508" s="364"/>
      <c r="E508" s="387"/>
      <c r="F508" s="387"/>
      <c r="G508" s="387"/>
      <c r="H508" s="387"/>
      <c r="I508" s="387"/>
      <c r="J508" s="387"/>
      <c r="K508" s="387"/>
      <c r="L508" s="364"/>
      <c r="M508" s="364"/>
      <c r="N508" s="387"/>
      <c r="O508" s="387"/>
      <c r="P508" s="387"/>
      <c r="Q508" s="387"/>
      <c r="R508" s="387"/>
      <c r="S508" s="387"/>
      <c r="T508" s="387"/>
      <c r="U508" s="387"/>
      <c r="V508" s="387"/>
      <c r="W508" s="387"/>
      <c r="X508" s="387"/>
      <c r="Y508" s="387"/>
      <c r="Z508" s="387"/>
      <c r="AA508" s="387"/>
      <c r="AB508" s="387"/>
    </row>
    <row r="509">
      <c r="A509" s="364"/>
      <c r="B509" s="387"/>
      <c r="C509" s="387"/>
      <c r="D509" s="364"/>
      <c r="E509" s="387"/>
      <c r="F509" s="387"/>
      <c r="G509" s="387"/>
      <c r="H509" s="387"/>
      <c r="I509" s="387"/>
      <c r="J509" s="387"/>
      <c r="K509" s="387"/>
      <c r="L509" s="364"/>
      <c r="M509" s="364"/>
      <c r="N509" s="387"/>
      <c r="O509" s="387"/>
      <c r="P509" s="387"/>
      <c r="Q509" s="387"/>
      <c r="R509" s="387"/>
      <c r="S509" s="387"/>
      <c r="T509" s="387"/>
      <c r="U509" s="387"/>
      <c r="V509" s="387"/>
      <c r="W509" s="387"/>
      <c r="X509" s="387"/>
      <c r="Y509" s="387"/>
      <c r="Z509" s="387"/>
      <c r="AA509" s="387"/>
      <c r="AB509" s="387"/>
    </row>
    <row r="510">
      <c r="A510" s="364"/>
      <c r="B510" s="387"/>
      <c r="C510" s="387"/>
      <c r="D510" s="364"/>
      <c r="E510" s="387"/>
      <c r="F510" s="387"/>
      <c r="G510" s="387"/>
      <c r="H510" s="387"/>
      <c r="I510" s="387"/>
      <c r="J510" s="387"/>
      <c r="K510" s="387"/>
      <c r="L510" s="364"/>
      <c r="M510" s="364"/>
      <c r="N510" s="387"/>
      <c r="O510" s="387"/>
      <c r="P510" s="387"/>
      <c r="Q510" s="387"/>
      <c r="R510" s="387"/>
      <c r="S510" s="387"/>
      <c r="T510" s="387"/>
      <c r="U510" s="387"/>
      <c r="V510" s="387"/>
      <c r="W510" s="387"/>
      <c r="X510" s="387"/>
      <c r="Y510" s="387"/>
      <c r="Z510" s="387"/>
      <c r="AA510" s="387"/>
      <c r="AB510" s="387"/>
    </row>
    <row r="511">
      <c r="A511" s="364"/>
      <c r="B511" s="387"/>
      <c r="C511" s="387"/>
      <c r="D511" s="364"/>
      <c r="E511" s="387"/>
      <c r="F511" s="387"/>
      <c r="G511" s="387"/>
      <c r="H511" s="387"/>
      <c r="I511" s="387"/>
      <c r="J511" s="387"/>
      <c r="K511" s="387"/>
      <c r="L511" s="364"/>
      <c r="M511" s="364"/>
      <c r="N511" s="387"/>
      <c r="O511" s="387"/>
      <c r="P511" s="387"/>
      <c r="Q511" s="387"/>
      <c r="R511" s="387"/>
      <c r="S511" s="387"/>
      <c r="T511" s="387"/>
      <c r="U511" s="387"/>
      <c r="V511" s="387"/>
      <c r="W511" s="387"/>
      <c r="X511" s="387"/>
      <c r="Y511" s="387"/>
      <c r="Z511" s="387"/>
      <c r="AA511" s="387"/>
      <c r="AB511" s="387"/>
    </row>
    <row r="512">
      <c r="A512" s="364"/>
      <c r="B512" s="387"/>
      <c r="C512" s="387"/>
      <c r="D512" s="364"/>
      <c r="E512" s="387"/>
      <c r="F512" s="387"/>
      <c r="G512" s="387"/>
      <c r="H512" s="387"/>
      <c r="I512" s="387"/>
      <c r="J512" s="387"/>
      <c r="K512" s="387"/>
      <c r="L512" s="364"/>
      <c r="M512" s="364"/>
      <c r="N512" s="387"/>
      <c r="O512" s="387"/>
      <c r="P512" s="387"/>
      <c r="Q512" s="387"/>
      <c r="R512" s="387"/>
      <c r="S512" s="387"/>
      <c r="T512" s="387"/>
      <c r="U512" s="387"/>
      <c r="V512" s="387"/>
      <c r="W512" s="387"/>
      <c r="X512" s="387"/>
      <c r="Y512" s="387"/>
      <c r="Z512" s="387"/>
      <c r="AA512" s="387"/>
      <c r="AB512" s="387"/>
    </row>
    <row r="513">
      <c r="A513" s="364"/>
      <c r="B513" s="387"/>
      <c r="C513" s="387"/>
      <c r="D513" s="364"/>
      <c r="E513" s="387"/>
      <c r="F513" s="387"/>
      <c r="G513" s="387"/>
      <c r="H513" s="387"/>
      <c r="I513" s="387"/>
      <c r="J513" s="387"/>
      <c r="K513" s="387"/>
      <c r="L513" s="364"/>
      <c r="M513" s="364"/>
      <c r="N513" s="387"/>
      <c r="O513" s="387"/>
      <c r="P513" s="387"/>
      <c r="Q513" s="387"/>
      <c r="R513" s="387"/>
      <c r="S513" s="387"/>
      <c r="T513" s="387"/>
      <c r="U513" s="387"/>
      <c r="V513" s="387"/>
      <c r="W513" s="387"/>
      <c r="X513" s="387"/>
      <c r="Y513" s="387"/>
      <c r="Z513" s="387"/>
      <c r="AA513" s="387"/>
      <c r="AB513" s="387"/>
    </row>
    <row r="514">
      <c r="A514" s="364"/>
      <c r="B514" s="387"/>
      <c r="C514" s="387"/>
      <c r="D514" s="364"/>
      <c r="E514" s="387"/>
      <c r="F514" s="387"/>
      <c r="G514" s="387"/>
      <c r="H514" s="387"/>
      <c r="I514" s="387"/>
      <c r="J514" s="387"/>
      <c r="K514" s="387"/>
      <c r="L514" s="364"/>
      <c r="M514" s="364"/>
      <c r="N514" s="387"/>
      <c r="O514" s="387"/>
      <c r="P514" s="387"/>
      <c r="Q514" s="387"/>
      <c r="R514" s="387"/>
      <c r="S514" s="387"/>
      <c r="T514" s="387"/>
      <c r="U514" s="387"/>
      <c r="V514" s="387"/>
      <c r="W514" s="387"/>
      <c r="X514" s="387"/>
      <c r="Y514" s="387"/>
      <c r="Z514" s="387"/>
      <c r="AA514" s="387"/>
      <c r="AB514" s="387"/>
    </row>
    <row r="515">
      <c r="A515" s="364"/>
      <c r="B515" s="387"/>
      <c r="C515" s="387"/>
      <c r="D515" s="364"/>
      <c r="E515" s="387"/>
      <c r="F515" s="387"/>
      <c r="G515" s="387"/>
      <c r="H515" s="387"/>
      <c r="I515" s="387"/>
      <c r="J515" s="387"/>
      <c r="K515" s="387"/>
      <c r="L515" s="364"/>
      <c r="M515" s="364"/>
      <c r="N515" s="387"/>
      <c r="O515" s="387"/>
      <c r="P515" s="387"/>
      <c r="Q515" s="387"/>
      <c r="R515" s="387"/>
      <c r="S515" s="387"/>
      <c r="T515" s="387"/>
      <c r="U515" s="387"/>
      <c r="V515" s="387"/>
      <c r="W515" s="387"/>
      <c r="X515" s="387"/>
      <c r="Y515" s="387"/>
      <c r="Z515" s="387"/>
      <c r="AA515" s="387"/>
      <c r="AB515" s="387"/>
    </row>
    <row r="516">
      <c r="A516" s="364"/>
      <c r="B516" s="387"/>
      <c r="C516" s="387"/>
      <c r="D516" s="364"/>
      <c r="E516" s="387"/>
      <c r="F516" s="387"/>
      <c r="G516" s="387"/>
      <c r="H516" s="387"/>
      <c r="I516" s="387"/>
      <c r="J516" s="387"/>
      <c r="K516" s="387"/>
      <c r="L516" s="364"/>
      <c r="M516" s="364"/>
      <c r="N516" s="387"/>
      <c r="O516" s="387"/>
      <c r="P516" s="387"/>
      <c r="Q516" s="387"/>
      <c r="R516" s="387"/>
      <c r="S516" s="387"/>
      <c r="T516" s="387"/>
      <c r="U516" s="387"/>
      <c r="V516" s="387"/>
      <c r="W516" s="387"/>
      <c r="X516" s="387"/>
      <c r="Y516" s="387"/>
      <c r="Z516" s="387"/>
      <c r="AA516" s="387"/>
      <c r="AB516" s="387"/>
    </row>
    <row r="517">
      <c r="A517" s="364"/>
      <c r="B517" s="387"/>
      <c r="C517" s="387"/>
      <c r="D517" s="364"/>
      <c r="E517" s="387"/>
      <c r="F517" s="387"/>
      <c r="G517" s="387"/>
      <c r="H517" s="387"/>
      <c r="I517" s="387"/>
      <c r="J517" s="387"/>
      <c r="K517" s="387"/>
      <c r="L517" s="364"/>
      <c r="M517" s="364"/>
      <c r="N517" s="387"/>
      <c r="O517" s="387"/>
      <c r="P517" s="387"/>
      <c r="Q517" s="387"/>
      <c r="R517" s="387"/>
      <c r="S517" s="387"/>
      <c r="T517" s="387"/>
      <c r="U517" s="387"/>
      <c r="V517" s="387"/>
      <c r="W517" s="387"/>
      <c r="X517" s="387"/>
      <c r="Y517" s="387"/>
      <c r="Z517" s="387"/>
      <c r="AA517" s="387"/>
      <c r="AB517" s="387"/>
    </row>
    <row r="518">
      <c r="A518" s="364"/>
      <c r="B518" s="387"/>
      <c r="C518" s="387"/>
      <c r="D518" s="364"/>
      <c r="E518" s="387"/>
      <c r="F518" s="387"/>
      <c r="G518" s="387"/>
      <c r="H518" s="387"/>
      <c r="I518" s="387"/>
      <c r="J518" s="387"/>
      <c r="K518" s="387"/>
      <c r="L518" s="364"/>
      <c r="M518" s="364"/>
      <c r="N518" s="387"/>
      <c r="O518" s="387"/>
      <c r="P518" s="387"/>
      <c r="Q518" s="387"/>
      <c r="R518" s="387"/>
      <c r="S518" s="387"/>
      <c r="T518" s="387"/>
      <c r="U518" s="387"/>
      <c r="V518" s="387"/>
      <c r="W518" s="387"/>
      <c r="X518" s="387"/>
      <c r="Y518" s="387"/>
      <c r="Z518" s="387"/>
      <c r="AA518" s="387"/>
      <c r="AB518" s="387"/>
    </row>
    <row r="519">
      <c r="A519" s="364"/>
      <c r="B519" s="387"/>
      <c r="C519" s="387"/>
      <c r="D519" s="364"/>
      <c r="E519" s="387"/>
      <c r="F519" s="387"/>
      <c r="G519" s="387"/>
      <c r="H519" s="387"/>
      <c r="I519" s="387"/>
      <c r="J519" s="387"/>
      <c r="K519" s="387"/>
      <c r="L519" s="364"/>
      <c r="M519" s="364"/>
      <c r="N519" s="387"/>
      <c r="O519" s="387"/>
      <c r="P519" s="387"/>
      <c r="Q519" s="387"/>
      <c r="R519" s="387"/>
      <c r="S519" s="387"/>
      <c r="T519" s="387"/>
      <c r="U519" s="387"/>
      <c r="V519" s="387"/>
      <c r="W519" s="387"/>
      <c r="X519" s="387"/>
      <c r="Y519" s="387"/>
      <c r="Z519" s="387"/>
      <c r="AA519" s="387"/>
      <c r="AB519" s="387"/>
    </row>
    <row r="520">
      <c r="A520" s="364"/>
      <c r="B520" s="387"/>
      <c r="C520" s="387"/>
      <c r="D520" s="364"/>
      <c r="E520" s="387"/>
      <c r="F520" s="387"/>
      <c r="G520" s="387"/>
      <c r="H520" s="387"/>
      <c r="I520" s="387"/>
      <c r="J520" s="387"/>
      <c r="K520" s="387"/>
      <c r="L520" s="364"/>
      <c r="M520" s="364"/>
      <c r="N520" s="387"/>
      <c r="O520" s="387"/>
      <c r="P520" s="387"/>
      <c r="Q520" s="387"/>
      <c r="R520" s="387"/>
      <c r="S520" s="387"/>
      <c r="T520" s="387"/>
      <c r="U520" s="387"/>
      <c r="V520" s="387"/>
      <c r="W520" s="387"/>
      <c r="X520" s="387"/>
      <c r="Y520" s="387"/>
      <c r="Z520" s="387"/>
      <c r="AA520" s="387"/>
      <c r="AB520" s="387"/>
    </row>
    <row r="521">
      <c r="A521" s="364"/>
      <c r="B521" s="387"/>
      <c r="C521" s="387"/>
      <c r="D521" s="364"/>
      <c r="E521" s="387"/>
      <c r="F521" s="387"/>
      <c r="G521" s="387"/>
      <c r="H521" s="387"/>
      <c r="I521" s="387"/>
      <c r="J521" s="387"/>
      <c r="K521" s="387"/>
      <c r="L521" s="364"/>
      <c r="M521" s="364"/>
      <c r="N521" s="387"/>
      <c r="O521" s="387"/>
      <c r="P521" s="387"/>
      <c r="Q521" s="387"/>
      <c r="R521" s="387"/>
      <c r="S521" s="387"/>
      <c r="T521" s="387"/>
      <c r="U521" s="387"/>
      <c r="V521" s="387"/>
      <c r="W521" s="387"/>
      <c r="X521" s="387"/>
      <c r="Y521" s="387"/>
      <c r="Z521" s="387"/>
      <c r="AA521" s="387"/>
      <c r="AB521" s="387"/>
    </row>
    <row r="522">
      <c r="A522" s="364"/>
      <c r="B522" s="387"/>
      <c r="C522" s="387"/>
      <c r="D522" s="364"/>
      <c r="E522" s="387"/>
      <c r="F522" s="387"/>
      <c r="G522" s="387"/>
      <c r="H522" s="387"/>
      <c r="I522" s="387"/>
      <c r="J522" s="387"/>
      <c r="K522" s="387"/>
      <c r="L522" s="364"/>
      <c r="M522" s="364"/>
      <c r="N522" s="387"/>
      <c r="O522" s="387"/>
      <c r="P522" s="387"/>
      <c r="Q522" s="387"/>
      <c r="R522" s="387"/>
      <c r="S522" s="387"/>
      <c r="T522" s="387"/>
      <c r="U522" s="387"/>
      <c r="V522" s="387"/>
      <c r="W522" s="387"/>
      <c r="X522" s="387"/>
      <c r="Y522" s="387"/>
      <c r="Z522" s="387"/>
      <c r="AA522" s="387"/>
      <c r="AB522" s="387"/>
    </row>
    <row r="523">
      <c r="A523" s="364"/>
      <c r="B523" s="387"/>
      <c r="C523" s="387"/>
      <c r="D523" s="364"/>
      <c r="E523" s="387"/>
      <c r="F523" s="387"/>
      <c r="G523" s="387"/>
      <c r="H523" s="387"/>
      <c r="I523" s="387"/>
      <c r="J523" s="387"/>
      <c r="K523" s="387"/>
      <c r="L523" s="364"/>
      <c r="M523" s="364"/>
      <c r="N523" s="387"/>
      <c r="O523" s="387"/>
      <c r="P523" s="387"/>
      <c r="Q523" s="387"/>
      <c r="R523" s="387"/>
      <c r="S523" s="387"/>
      <c r="T523" s="387"/>
      <c r="U523" s="387"/>
      <c r="V523" s="387"/>
      <c r="W523" s="387"/>
      <c r="X523" s="387"/>
      <c r="Y523" s="387"/>
      <c r="Z523" s="387"/>
      <c r="AA523" s="387"/>
      <c r="AB523" s="387"/>
    </row>
    <row r="524">
      <c r="A524" s="364"/>
      <c r="B524" s="387"/>
      <c r="C524" s="387"/>
      <c r="D524" s="364"/>
      <c r="E524" s="387"/>
      <c r="F524" s="387"/>
      <c r="G524" s="387"/>
      <c r="H524" s="387"/>
      <c r="I524" s="387"/>
      <c r="J524" s="387"/>
      <c r="K524" s="387"/>
      <c r="L524" s="364"/>
      <c r="M524" s="364"/>
      <c r="N524" s="387"/>
      <c r="O524" s="387"/>
      <c r="P524" s="387"/>
      <c r="Q524" s="387"/>
      <c r="R524" s="387"/>
      <c r="S524" s="387"/>
      <c r="T524" s="387"/>
      <c r="U524" s="387"/>
      <c r="V524" s="387"/>
      <c r="W524" s="387"/>
      <c r="X524" s="387"/>
      <c r="Y524" s="387"/>
      <c r="Z524" s="387"/>
      <c r="AA524" s="387"/>
      <c r="AB524" s="387"/>
    </row>
    <row r="525">
      <c r="A525" s="364"/>
      <c r="B525" s="387"/>
      <c r="C525" s="387"/>
      <c r="D525" s="364"/>
      <c r="E525" s="387"/>
      <c r="F525" s="387"/>
      <c r="G525" s="387"/>
      <c r="H525" s="387"/>
      <c r="I525" s="387"/>
      <c r="J525" s="387"/>
      <c r="K525" s="387"/>
      <c r="L525" s="364"/>
      <c r="M525" s="364"/>
      <c r="N525" s="387"/>
      <c r="O525" s="387"/>
      <c r="P525" s="387"/>
      <c r="Q525" s="387"/>
      <c r="R525" s="387"/>
      <c r="S525" s="387"/>
      <c r="T525" s="387"/>
      <c r="U525" s="387"/>
      <c r="V525" s="387"/>
      <c r="W525" s="387"/>
      <c r="X525" s="387"/>
      <c r="Y525" s="387"/>
      <c r="Z525" s="387"/>
      <c r="AA525" s="387"/>
      <c r="AB525" s="387"/>
    </row>
    <row r="526">
      <c r="A526" s="364"/>
      <c r="B526" s="387"/>
      <c r="C526" s="387"/>
      <c r="D526" s="364"/>
      <c r="E526" s="387"/>
      <c r="F526" s="387"/>
      <c r="G526" s="387"/>
      <c r="H526" s="387"/>
      <c r="I526" s="387"/>
      <c r="J526" s="387"/>
      <c r="K526" s="387"/>
      <c r="L526" s="364"/>
      <c r="M526" s="364"/>
      <c r="N526" s="387"/>
      <c r="O526" s="387"/>
      <c r="P526" s="387"/>
      <c r="Q526" s="387"/>
      <c r="R526" s="387"/>
      <c r="S526" s="387"/>
      <c r="T526" s="387"/>
      <c r="U526" s="387"/>
      <c r="V526" s="387"/>
      <c r="W526" s="387"/>
      <c r="X526" s="387"/>
      <c r="Y526" s="387"/>
      <c r="Z526" s="387"/>
      <c r="AA526" s="387"/>
      <c r="AB526" s="387"/>
    </row>
    <row r="527">
      <c r="A527" s="364"/>
      <c r="B527" s="387"/>
      <c r="C527" s="387"/>
      <c r="D527" s="364"/>
      <c r="E527" s="387"/>
      <c r="F527" s="387"/>
      <c r="G527" s="387"/>
      <c r="H527" s="387"/>
      <c r="I527" s="387"/>
      <c r="J527" s="387"/>
      <c r="K527" s="387"/>
      <c r="L527" s="364"/>
      <c r="M527" s="364"/>
      <c r="N527" s="387"/>
      <c r="O527" s="387"/>
      <c r="P527" s="387"/>
      <c r="Q527" s="387"/>
      <c r="R527" s="387"/>
      <c r="S527" s="387"/>
      <c r="T527" s="387"/>
      <c r="U527" s="387"/>
      <c r="V527" s="387"/>
      <c r="W527" s="387"/>
      <c r="X527" s="387"/>
      <c r="Y527" s="387"/>
      <c r="Z527" s="387"/>
      <c r="AA527" s="387"/>
      <c r="AB527" s="387"/>
    </row>
    <row r="528">
      <c r="A528" s="364"/>
      <c r="B528" s="387"/>
      <c r="C528" s="387"/>
      <c r="D528" s="364"/>
      <c r="E528" s="387"/>
      <c r="F528" s="387"/>
      <c r="G528" s="387"/>
      <c r="H528" s="387"/>
      <c r="I528" s="387"/>
      <c r="J528" s="387"/>
      <c r="K528" s="387"/>
      <c r="L528" s="364"/>
      <c r="M528" s="364"/>
      <c r="N528" s="387"/>
      <c r="O528" s="387"/>
      <c r="P528" s="387"/>
      <c r="Q528" s="387"/>
      <c r="R528" s="387"/>
      <c r="S528" s="387"/>
      <c r="T528" s="387"/>
      <c r="U528" s="387"/>
      <c r="V528" s="387"/>
      <c r="W528" s="387"/>
      <c r="X528" s="387"/>
      <c r="Y528" s="387"/>
      <c r="Z528" s="387"/>
      <c r="AA528" s="387"/>
      <c r="AB528" s="387"/>
    </row>
    <row r="529">
      <c r="A529" s="364"/>
      <c r="B529" s="387"/>
      <c r="C529" s="387"/>
      <c r="D529" s="364"/>
      <c r="E529" s="387"/>
      <c r="F529" s="387"/>
      <c r="G529" s="387"/>
      <c r="H529" s="387"/>
      <c r="I529" s="387"/>
      <c r="J529" s="387"/>
      <c r="K529" s="387"/>
      <c r="L529" s="364"/>
      <c r="M529" s="364"/>
      <c r="N529" s="387"/>
      <c r="O529" s="387"/>
      <c r="P529" s="387"/>
      <c r="Q529" s="387"/>
      <c r="R529" s="387"/>
      <c r="S529" s="387"/>
      <c r="T529" s="387"/>
      <c r="U529" s="387"/>
      <c r="V529" s="387"/>
      <c r="W529" s="387"/>
      <c r="X529" s="387"/>
      <c r="Y529" s="387"/>
      <c r="Z529" s="387"/>
      <c r="AA529" s="387"/>
      <c r="AB529" s="387"/>
    </row>
    <row r="530">
      <c r="A530" s="364"/>
      <c r="B530" s="387"/>
      <c r="C530" s="387"/>
      <c r="D530" s="364"/>
      <c r="E530" s="387"/>
      <c r="F530" s="387"/>
      <c r="G530" s="387"/>
      <c r="H530" s="387"/>
      <c r="I530" s="387"/>
      <c r="J530" s="387"/>
      <c r="K530" s="387"/>
      <c r="L530" s="364"/>
      <c r="M530" s="364"/>
      <c r="N530" s="387"/>
      <c r="O530" s="387"/>
      <c r="P530" s="387"/>
      <c r="Q530" s="387"/>
      <c r="R530" s="387"/>
      <c r="S530" s="387"/>
      <c r="T530" s="387"/>
      <c r="U530" s="387"/>
      <c r="V530" s="387"/>
      <c r="W530" s="387"/>
      <c r="X530" s="387"/>
      <c r="Y530" s="387"/>
      <c r="Z530" s="387"/>
      <c r="AA530" s="387"/>
      <c r="AB530" s="387"/>
    </row>
    <row r="531">
      <c r="A531" s="364"/>
      <c r="B531" s="387"/>
      <c r="C531" s="387"/>
      <c r="D531" s="364"/>
      <c r="E531" s="387"/>
      <c r="F531" s="387"/>
      <c r="G531" s="387"/>
      <c r="H531" s="387"/>
      <c r="I531" s="387"/>
      <c r="J531" s="387"/>
      <c r="K531" s="387"/>
      <c r="L531" s="364"/>
      <c r="M531" s="364"/>
      <c r="N531" s="387"/>
      <c r="O531" s="387"/>
      <c r="P531" s="387"/>
      <c r="Q531" s="387"/>
      <c r="R531" s="387"/>
      <c r="S531" s="387"/>
      <c r="T531" s="387"/>
      <c r="U531" s="387"/>
      <c r="V531" s="387"/>
      <c r="W531" s="387"/>
      <c r="X531" s="387"/>
      <c r="Y531" s="387"/>
      <c r="Z531" s="387"/>
      <c r="AA531" s="387"/>
      <c r="AB531" s="387"/>
    </row>
    <row r="532">
      <c r="A532" s="364"/>
      <c r="B532" s="387"/>
      <c r="C532" s="387"/>
      <c r="D532" s="364"/>
      <c r="E532" s="387"/>
      <c r="F532" s="387"/>
      <c r="G532" s="387"/>
      <c r="H532" s="387"/>
      <c r="I532" s="387"/>
      <c r="J532" s="387"/>
      <c r="K532" s="387"/>
      <c r="L532" s="364"/>
      <c r="M532" s="364"/>
      <c r="N532" s="387"/>
      <c r="O532" s="387"/>
      <c r="P532" s="387"/>
      <c r="Q532" s="387"/>
      <c r="R532" s="387"/>
      <c r="S532" s="387"/>
      <c r="T532" s="387"/>
      <c r="U532" s="387"/>
      <c r="V532" s="387"/>
      <c r="W532" s="387"/>
      <c r="X532" s="387"/>
      <c r="Y532" s="387"/>
      <c r="Z532" s="387"/>
      <c r="AA532" s="387"/>
      <c r="AB532" s="387"/>
    </row>
    <row r="533">
      <c r="A533" s="364"/>
      <c r="B533" s="387"/>
      <c r="C533" s="387"/>
      <c r="D533" s="364"/>
      <c r="E533" s="387"/>
      <c r="F533" s="387"/>
      <c r="G533" s="387"/>
      <c r="H533" s="387"/>
      <c r="I533" s="387"/>
      <c r="J533" s="387"/>
      <c r="K533" s="387"/>
      <c r="L533" s="364"/>
      <c r="M533" s="364"/>
      <c r="N533" s="387"/>
      <c r="O533" s="387"/>
      <c r="P533" s="387"/>
      <c r="Q533" s="387"/>
      <c r="R533" s="387"/>
      <c r="S533" s="387"/>
      <c r="T533" s="387"/>
      <c r="U533" s="387"/>
      <c r="V533" s="387"/>
      <c r="W533" s="387"/>
      <c r="X533" s="387"/>
      <c r="Y533" s="387"/>
      <c r="Z533" s="387"/>
      <c r="AA533" s="387"/>
      <c r="AB533" s="387"/>
    </row>
    <row r="534">
      <c r="A534" s="364"/>
      <c r="B534" s="387"/>
      <c r="C534" s="387"/>
      <c r="D534" s="364"/>
      <c r="E534" s="387"/>
      <c r="F534" s="387"/>
      <c r="G534" s="387"/>
      <c r="H534" s="387"/>
      <c r="I534" s="387"/>
      <c r="J534" s="387"/>
      <c r="K534" s="387"/>
      <c r="L534" s="364"/>
      <c r="M534" s="364"/>
      <c r="N534" s="387"/>
      <c r="O534" s="387"/>
      <c r="P534" s="387"/>
      <c r="Q534" s="387"/>
      <c r="R534" s="387"/>
      <c r="S534" s="387"/>
      <c r="T534" s="387"/>
      <c r="U534" s="387"/>
      <c r="V534" s="387"/>
      <c r="W534" s="387"/>
      <c r="X534" s="387"/>
      <c r="Y534" s="387"/>
      <c r="Z534" s="387"/>
      <c r="AA534" s="387"/>
      <c r="AB534" s="387"/>
    </row>
    <row r="535">
      <c r="A535" s="364"/>
      <c r="B535" s="387"/>
      <c r="C535" s="387"/>
      <c r="D535" s="364"/>
      <c r="E535" s="387"/>
      <c r="F535" s="387"/>
      <c r="G535" s="387"/>
      <c r="H535" s="387"/>
      <c r="I535" s="387"/>
      <c r="J535" s="387"/>
      <c r="K535" s="387"/>
      <c r="L535" s="364"/>
      <c r="M535" s="364"/>
      <c r="N535" s="387"/>
      <c r="O535" s="387"/>
      <c r="P535" s="387"/>
      <c r="Q535" s="387"/>
      <c r="R535" s="387"/>
      <c r="S535" s="387"/>
      <c r="T535" s="387"/>
      <c r="U535" s="387"/>
      <c r="V535" s="387"/>
      <c r="W535" s="387"/>
      <c r="X535" s="387"/>
      <c r="Y535" s="387"/>
      <c r="Z535" s="387"/>
      <c r="AA535" s="387"/>
      <c r="AB535" s="387"/>
    </row>
    <row r="536">
      <c r="A536" s="364"/>
      <c r="B536" s="387"/>
      <c r="C536" s="387"/>
      <c r="D536" s="364"/>
      <c r="E536" s="387"/>
      <c r="F536" s="387"/>
      <c r="G536" s="387"/>
      <c r="H536" s="387"/>
      <c r="I536" s="387"/>
      <c r="J536" s="387"/>
      <c r="K536" s="387"/>
      <c r="L536" s="364"/>
      <c r="M536" s="364"/>
      <c r="N536" s="387"/>
      <c r="O536" s="387"/>
      <c r="P536" s="387"/>
      <c r="Q536" s="387"/>
      <c r="R536" s="387"/>
      <c r="S536" s="387"/>
      <c r="T536" s="387"/>
      <c r="U536" s="387"/>
      <c r="V536" s="387"/>
      <c r="W536" s="387"/>
      <c r="X536" s="387"/>
      <c r="Y536" s="387"/>
      <c r="Z536" s="387"/>
      <c r="AA536" s="387"/>
      <c r="AB536" s="387"/>
    </row>
    <row r="537">
      <c r="A537" s="364"/>
      <c r="B537" s="387"/>
      <c r="C537" s="387"/>
      <c r="D537" s="364"/>
      <c r="E537" s="387"/>
      <c r="F537" s="387"/>
      <c r="G537" s="387"/>
      <c r="H537" s="387"/>
      <c r="I537" s="387"/>
      <c r="J537" s="387"/>
      <c r="K537" s="387"/>
      <c r="L537" s="364"/>
      <c r="M537" s="364"/>
      <c r="N537" s="387"/>
      <c r="O537" s="387"/>
      <c r="P537" s="387"/>
      <c r="Q537" s="387"/>
      <c r="R537" s="387"/>
      <c r="S537" s="387"/>
      <c r="T537" s="387"/>
      <c r="U537" s="387"/>
      <c r="V537" s="387"/>
      <c r="W537" s="387"/>
      <c r="X537" s="387"/>
      <c r="Y537" s="387"/>
      <c r="Z537" s="387"/>
      <c r="AA537" s="387"/>
      <c r="AB537" s="387"/>
    </row>
    <row r="538">
      <c r="A538" s="364"/>
      <c r="B538" s="387"/>
      <c r="C538" s="387"/>
      <c r="D538" s="364"/>
      <c r="E538" s="387"/>
      <c r="F538" s="387"/>
      <c r="G538" s="387"/>
      <c r="H538" s="387"/>
      <c r="I538" s="387"/>
      <c r="J538" s="387"/>
      <c r="K538" s="387"/>
      <c r="L538" s="364"/>
      <c r="M538" s="364"/>
      <c r="N538" s="387"/>
      <c r="O538" s="387"/>
      <c r="P538" s="387"/>
      <c r="Q538" s="387"/>
      <c r="R538" s="387"/>
      <c r="S538" s="387"/>
      <c r="T538" s="387"/>
      <c r="U538" s="387"/>
      <c r="V538" s="387"/>
      <c r="W538" s="387"/>
      <c r="X538" s="387"/>
      <c r="Y538" s="387"/>
      <c r="Z538" s="387"/>
      <c r="AA538" s="387"/>
      <c r="AB538" s="387"/>
    </row>
    <row r="539">
      <c r="A539" s="364"/>
      <c r="B539" s="387"/>
      <c r="C539" s="387"/>
      <c r="D539" s="364"/>
      <c r="E539" s="387"/>
      <c r="F539" s="387"/>
      <c r="G539" s="387"/>
      <c r="H539" s="387"/>
      <c r="I539" s="387"/>
      <c r="J539" s="387"/>
      <c r="K539" s="387"/>
      <c r="L539" s="364"/>
      <c r="M539" s="364"/>
      <c r="N539" s="387"/>
      <c r="O539" s="387"/>
      <c r="P539" s="387"/>
      <c r="Q539" s="387"/>
      <c r="R539" s="387"/>
      <c r="S539" s="387"/>
      <c r="T539" s="387"/>
      <c r="U539" s="387"/>
      <c r="V539" s="387"/>
      <c r="W539" s="387"/>
      <c r="X539" s="387"/>
      <c r="Y539" s="387"/>
      <c r="Z539" s="387"/>
      <c r="AA539" s="387"/>
      <c r="AB539" s="387"/>
    </row>
    <row r="540">
      <c r="A540" s="364"/>
      <c r="B540" s="387"/>
      <c r="C540" s="387"/>
      <c r="D540" s="364"/>
      <c r="E540" s="387"/>
      <c r="F540" s="387"/>
      <c r="G540" s="387"/>
      <c r="H540" s="387"/>
      <c r="I540" s="387"/>
      <c r="J540" s="387"/>
      <c r="K540" s="387"/>
      <c r="L540" s="364"/>
      <c r="M540" s="364"/>
      <c r="N540" s="387"/>
      <c r="O540" s="387"/>
      <c r="P540" s="387"/>
      <c r="Q540" s="387"/>
      <c r="R540" s="387"/>
      <c r="S540" s="387"/>
      <c r="T540" s="387"/>
      <c r="U540" s="387"/>
      <c r="V540" s="387"/>
      <c r="W540" s="387"/>
      <c r="X540" s="387"/>
      <c r="Y540" s="387"/>
      <c r="Z540" s="387"/>
      <c r="AA540" s="387"/>
      <c r="AB540" s="387"/>
    </row>
    <row r="541">
      <c r="A541" s="364"/>
      <c r="B541" s="387"/>
      <c r="C541" s="387"/>
      <c r="D541" s="364"/>
      <c r="E541" s="387"/>
      <c r="F541" s="387"/>
      <c r="G541" s="387"/>
      <c r="H541" s="387"/>
      <c r="I541" s="387"/>
      <c r="J541" s="387"/>
      <c r="K541" s="387"/>
      <c r="L541" s="364"/>
      <c r="M541" s="364"/>
      <c r="N541" s="387"/>
      <c r="O541" s="387"/>
      <c r="P541" s="387"/>
      <c r="Q541" s="387"/>
      <c r="R541" s="387"/>
      <c r="S541" s="387"/>
      <c r="T541" s="387"/>
      <c r="U541" s="387"/>
      <c r="V541" s="387"/>
      <c r="W541" s="387"/>
      <c r="X541" s="387"/>
      <c r="Y541" s="387"/>
      <c r="Z541" s="387"/>
      <c r="AA541" s="387"/>
      <c r="AB541" s="387"/>
    </row>
    <row r="542">
      <c r="A542" s="364"/>
      <c r="B542" s="387"/>
      <c r="C542" s="387"/>
      <c r="D542" s="364"/>
      <c r="E542" s="387"/>
      <c r="F542" s="387"/>
      <c r="G542" s="387"/>
      <c r="H542" s="387"/>
      <c r="I542" s="387"/>
      <c r="J542" s="387"/>
      <c r="K542" s="387"/>
      <c r="L542" s="364"/>
      <c r="M542" s="364"/>
      <c r="N542" s="387"/>
      <c r="O542" s="387"/>
      <c r="P542" s="387"/>
      <c r="Q542" s="387"/>
      <c r="R542" s="387"/>
      <c r="S542" s="387"/>
      <c r="T542" s="387"/>
      <c r="U542" s="387"/>
      <c r="V542" s="387"/>
      <c r="W542" s="387"/>
      <c r="X542" s="387"/>
      <c r="Y542" s="387"/>
      <c r="Z542" s="387"/>
      <c r="AA542" s="387"/>
      <c r="AB542" s="387"/>
    </row>
    <row r="543">
      <c r="A543" s="364"/>
      <c r="B543" s="387"/>
      <c r="C543" s="387"/>
      <c r="D543" s="364"/>
      <c r="E543" s="387"/>
      <c r="F543" s="387"/>
      <c r="G543" s="387"/>
      <c r="H543" s="387"/>
      <c r="I543" s="387"/>
      <c r="J543" s="387"/>
      <c r="K543" s="387"/>
      <c r="L543" s="364"/>
      <c r="M543" s="364"/>
      <c r="N543" s="387"/>
      <c r="O543" s="387"/>
      <c r="P543" s="387"/>
      <c r="Q543" s="387"/>
      <c r="R543" s="387"/>
      <c r="S543" s="387"/>
      <c r="T543" s="387"/>
      <c r="U543" s="387"/>
      <c r="V543" s="387"/>
      <c r="W543" s="387"/>
      <c r="X543" s="387"/>
      <c r="Y543" s="387"/>
      <c r="Z543" s="387"/>
      <c r="AA543" s="387"/>
      <c r="AB543" s="387"/>
    </row>
    <row r="544">
      <c r="A544" s="364"/>
      <c r="B544" s="387"/>
      <c r="C544" s="387"/>
      <c r="D544" s="364"/>
      <c r="E544" s="387"/>
      <c r="F544" s="387"/>
      <c r="G544" s="387"/>
      <c r="H544" s="387"/>
      <c r="I544" s="387"/>
      <c r="J544" s="387"/>
      <c r="K544" s="387"/>
      <c r="L544" s="364"/>
      <c r="M544" s="364"/>
      <c r="N544" s="387"/>
      <c r="O544" s="387"/>
      <c r="P544" s="387"/>
      <c r="Q544" s="387"/>
      <c r="R544" s="387"/>
      <c r="S544" s="387"/>
      <c r="T544" s="387"/>
      <c r="U544" s="387"/>
      <c r="V544" s="387"/>
      <c r="W544" s="387"/>
      <c r="X544" s="387"/>
      <c r="Y544" s="387"/>
      <c r="Z544" s="387"/>
      <c r="AA544" s="387"/>
      <c r="AB544" s="387"/>
    </row>
    <row r="545">
      <c r="A545" s="364"/>
      <c r="B545" s="387"/>
      <c r="C545" s="387"/>
      <c r="D545" s="364"/>
      <c r="E545" s="387"/>
      <c r="F545" s="387"/>
      <c r="G545" s="387"/>
      <c r="H545" s="387"/>
      <c r="I545" s="387"/>
      <c r="J545" s="387"/>
      <c r="K545" s="387"/>
      <c r="L545" s="364"/>
      <c r="M545" s="364"/>
      <c r="N545" s="387"/>
      <c r="O545" s="387"/>
      <c r="P545" s="387"/>
      <c r="Q545" s="387"/>
      <c r="R545" s="387"/>
      <c r="S545" s="387"/>
      <c r="T545" s="387"/>
      <c r="U545" s="387"/>
      <c r="V545" s="387"/>
      <c r="W545" s="387"/>
      <c r="X545" s="387"/>
      <c r="Y545" s="387"/>
      <c r="Z545" s="387"/>
      <c r="AA545" s="387"/>
      <c r="AB545" s="387"/>
    </row>
    <row r="546">
      <c r="A546" s="364"/>
      <c r="B546" s="387"/>
      <c r="C546" s="387"/>
      <c r="D546" s="364"/>
      <c r="E546" s="387"/>
      <c r="F546" s="387"/>
      <c r="G546" s="387"/>
      <c r="H546" s="387"/>
      <c r="I546" s="387"/>
      <c r="J546" s="387"/>
      <c r="K546" s="387"/>
      <c r="L546" s="364"/>
      <c r="M546" s="364"/>
      <c r="N546" s="387"/>
      <c r="O546" s="387"/>
      <c r="P546" s="387"/>
      <c r="Q546" s="387"/>
      <c r="R546" s="387"/>
      <c r="S546" s="387"/>
      <c r="T546" s="387"/>
      <c r="U546" s="387"/>
      <c r="V546" s="387"/>
      <c r="W546" s="387"/>
      <c r="X546" s="387"/>
      <c r="Y546" s="387"/>
      <c r="Z546" s="387"/>
      <c r="AA546" s="387"/>
      <c r="AB546" s="387"/>
    </row>
    <row r="547">
      <c r="A547" s="364"/>
      <c r="B547" s="387"/>
      <c r="C547" s="387"/>
      <c r="D547" s="364"/>
      <c r="E547" s="387"/>
      <c r="F547" s="387"/>
      <c r="G547" s="387"/>
      <c r="H547" s="387"/>
      <c r="I547" s="387"/>
      <c r="J547" s="387"/>
      <c r="K547" s="387"/>
      <c r="L547" s="364"/>
      <c r="M547" s="364"/>
      <c r="N547" s="387"/>
      <c r="O547" s="387"/>
      <c r="P547" s="387"/>
      <c r="Q547" s="387"/>
      <c r="R547" s="387"/>
      <c r="S547" s="387"/>
      <c r="T547" s="387"/>
      <c r="U547" s="387"/>
      <c r="V547" s="387"/>
      <c r="W547" s="387"/>
      <c r="X547" s="387"/>
      <c r="Y547" s="387"/>
      <c r="Z547" s="387"/>
      <c r="AA547" s="387"/>
      <c r="AB547" s="387"/>
    </row>
    <row r="548">
      <c r="A548" s="364"/>
      <c r="B548" s="387"/>
      <c r="C548" s="387"/>
      <c r="D548" s="364"/>
      <c r="E548" s="387"/>
      <c r="F548" s="387"/>
      <c r="G548" s="387"/>
      <c r="H548" s="387"/>
      <c r="I548" s="387"/>
      <c r="J548" s="387"/>
      <c r="K548" s="387"/>
      <c r="L548" s="364"/>
      <c r="M548" s="364"/>
      <c r="N548" s="387"/>
      <c r="O548" s="387"/>
      <c r="P548" s="387"/>
      <c r="Q548" s="387"/>
      <c r="R548" s="387"/>
      <c r="S548" s="387"/>
      <c r="T548" s="387"/>
      <c r="U548" s="387"/>
      <c r="V548" s="387"/>
      <c r="W548" s="387"/>
      <c r="X548" s="387"/>
      <c r="Y548" s="387"/>
      <c r="Z548" s="387"/>
      <c r="AA548" s="387"/>
      <c r="AB548" s="387"/>
    </row>
    <row r="549">
      <c r="A549" s="364"/>
      <c r="B549" s="387"/>
      <c r="C549" s="387"/>
      <c r="D549" s="364"/>
      <c r="E549" s="387"/>
      <c r="F549" s="387"/>
      <c r="G549" s="387"/>
      <c r="H549" s="387"/>
      <c r="I549" s="387"/>
      <c r="J549" s="387"/>
      <c r="K549" s="387"/>
      <c r="L549" s="364"/>
      <c r="M549" s="364"/>
      <c r="N549" s="387"/>
      <c r="O549" s="387"/>
      <c r="P549" s="387"/>
      <c r="Q549" s="387"/>
      <c r="R549" s="387"/>
      <c r="S549" s="387"/>
      <c r="T549" s="387"/>
      <c r="U549" s="387"/>
      <c r="V549" s="387"/>
      <c r="W549" s="387"/>
      <c r="X549" s="387"/>
      <c r="Y549" s="387"/>
      <c r="Z549" s="387"/>
      <c r="AA549" s="387"/>
      <c r="AB549" s="387"/>
    </row>
    <row r="550">
      <c r="A550" s="364"/>
      <c r="B550" s="387"/>
      <c r="C550" s="387"/>
      <c r="D550" s="364"/>
      <c r="E550" s="387"/>
      <c r="F550" s="387"/>
      <c r="G550" s="387"/>
      <c r="H550" s="387"/>
      <c r="I550" s="387"/>
      <c r="J550" s="387"/>
      <c r="K550" s="387"/>
      <c r="L550" s="364"/>
      <c r="M550" s="364"/>
      <c r="N550" s="387"/>
      <c r="O550" s="387"/>
      <c r="P550" s="387"/>
      <c r="Q550" s="387"/>
      <c r="R550" s="387"/>
      <c r="S550" s="387"/>
      <c r="T550" s="387"/>
      <c r="U550" s="387"/>
      <c r="V550" s="387"/>
      <c r="W550" s="387"/>
      <c r="X550" s="387"/>
      <c r="Y550" s="387"/>
      <c r="Z550" s="387"/>
      <c r="AA550" s="387"/>
      <c r="AB550" s="387"/>
    </row>
    <row r="551">
      <c r="A551" s="364"/>
      <c r="B551" s="387"/>
      <c r="C551" s="387"/>
      <c r="D551" s="364"/>
      <c r="E551" s="387"/>
      <c r="F551" s="387"/>
      <c r="G551" s="387"/>
      <c r="H551" s="387"/>
      <c r="I551" s="387"/>
      <c r="J551" s="387"/>
      <c r="K551" s="387"/>
      <c r="L551" s="364"/>
      <c r="M551" s="364"/>
      <c r="N551" s="387"/>
      <c r="O551" s="387"/>
      <c r="P551" s="387"/>
      <c r="Q551" s="387"/>
      <c r="R551" s="387"/>
      <c r="S551" s="387"/>
      <c r="T551" s="387"/>
      <c r="U551" s="387"/>
      <c r="V551" s="387"/>
      <c r="W551" s="387"/>
      <c r="X551" s="387"/>
      <c r="Y551" s="387"/>
      <c r="Z551" s="387"/>
      <c r="AA551" s="387"/>
      <c r="AB551" s="387"/>
    </row>
    <row r="552">
      <c r="A552" s="364"/>
      <c r="B552" s="387"/>
      <c r="C552" s="387"/>
      <c r="D552" s="364"/>
      <c r="E552" s="387"/>
      <c r="F552" s="387"/>
      <c r="G552" s="387"/>
      <c r="H552" s="387"/>
      <c r="I552" s="387"/>
      <c r="J552" s="387"/>
      <c r="K552" s="387"/>
      <c r="L552" s="364"/>
      <c r="M552" s="364"/>
      <c r="N552" s="387"/>
      <c r="O552" s="387"/>
      <c r="P552" s="387"/>
      <c r="Q552" s="387"/>
      <c r="R552" s="387"/>
      <c r="S552" s="387"/>
      <c r="T552" s="387"/>
      <c r="U552" s="387"/>
      <c r="V552" s="387"/>
      <c r="W552" s="387"/>
      <c r="X552" s="387"/>
      <c r="Y552" s="387"/>
      <c r="Z552" s="387"/>
      <c r="AA552" s="387"/>
      <c r="AB552" s="387"/>
    </row>
    <row r="553">
      <c r="A553" s="364"/>
      <c r="B553" s="387"/>
      <c r="C553" s="387"/>
      <c r="D553" s="364"/>
      <c r="E553" s="387"/>
      <c r="F553" s="387"/>
      <c r="G553" s="387"/>
      <c r="H553" s="387"/>
      <c r="I553" s="387"/>
      <c r="J553" s="387"/>
      <c r="K553" s="387"/>
      <c r="L553" s="364"/>
      <c r="M553" s="364"/>
      <c r="N553" s="387"/>
      <c r="O553" s="387"/>
      <c r="P553" s="387"/>
      <c r="Q553" s="387"/>
      <c r="R553" s="387"/>
      <c r="S553" s="387"/>
      <c r="T553" s="387"/>
      <c r="U553" s="387"/>
      <c r="V553" s="387"/>
      <c r="W553" s="387"/>
      <c r="X553" s="387"/>
      <c r="Y553" s="387"/>
      <c r="Z553" s="387"/>
      <c r="AA553" s="387"/>
      <c r="AB553" s="387"/>
    </row>
    <row r="554">
      <c r="A554" s="364"/>
      <c r="B554" s="387"/>
      <c r="C554" s="387"/>
      <c r="D554" s="364"/>
      <c r="E554" s="387"/>
      <c r="F554" s="387"/>
      <c r="G554" s="387"/>
      <c r="H554" s="387"/>
      <c r="I554" s="387"/>
      <c r="J554" s="387"/>
      <c r="K554" s="387"/>
      <c r="L554" s="364"/>
      <c r="M554" s="364"/>
      <c r="N554" s="387"/>
      <c r="O554" s="387"/>
      <c r="P554" s="387"/>
      <c r="Q554" s="387"/>
      <c r="R554" s="387"/>
      <c r="S554" s="387"/>
      <c r="T554" s="387"/>
      <c r="U554" s="387"/>
      <c r="V554" s="387"/>
      <c r="W554" s="387"/>
      <c r="X554" s="387"/>
      <c r="Y554" s="387"/>
      <c r="Z554" s="387"/>
      <c r="AA554" s="387"/>
      <c r="AB554" s="387"/>
    </row>
    <row r="555">
      <c r="A555" s="364"/>
      <c r="B555" s="387"/>
      <c r="C555" s="387"/>
      <c r="D555" s="364"/>
      <c r="E555" s="387"/>
      <c r="F555" s="387"/>
      <c r="G555" s="387"/>
      <c r="H555" s="387"/>
      <c r="I555" s="387"/>
      <c r="J555" s="387"/>
      <c r="K555" s="387"/>
      <c r="L555" s="364"/>
      <c r="M555" s="364"/>
      <c r="N555" s="387"/>
      <c r="O555" s="387"/>
      <c r="P555" s="387"/>
      <c r="Q555" s="387"/>
      <c r="R555" s="387"/>
      <c r="S555" s="387"/>
      <c r="T555" s="387"/>
      <c r="U555" s="387"/>
      <c r="V555" s="387"/>
      <c r="W555" s="387"/>
      <c r="X555" s="387"/>
      <c r="Y555" s="387"/>
      <c r="Z555" s="387"/>
      <c r="AA555" s="387"/>
      <c r="AB555" s="387"/>
    </row>
    <row r="556">
      <c r="A556" s="364"/>
      <c r="B556" s="387"/>
      <c r="C556" s="387"/>
      <c r="D556" s="364"/>
      <c r="E556" s="387"/>
      <c r="F556" s="387"/>
      <c r="G556" s="387"/>
      <c r="H556" s="387"/>
      <c r="I556" s="387"/>
      <c r="J556" s="387"/>
      <c r="K556" s="387"/>
      <c r="L556" s="364"/>
      <c r="M556" s="364"/>
      <c r="N556" s="387"/>
      <c r="O556" s="387"/>
      <c r="P556" s="387"/>
      <c r="Q556" s="387"/>
      <c r="R556" s="387"/>
      <c r="S556" s="387"/>
      <c r="T556" s="387"/>
      <c r="U556" s="387"/>
      <c r="V556" s="387"/>
      <c r="W556" s="387"/>
      <c r="X556" s="387"/>
      <c r="Y556" s="387"/>
      <c r="Z556" s="387"/>
      <c r="AA556" s="387"/>
      <c r="AB556" s="387"/>
    </row>
    <row r="557">
      <c r="A557" s="364"/>
      <c r="B557" s="387"/>
      <c r="C557" s="387"/>
      <c r="D557" s="364"/>
      <c r="E557" s="387"/>
      <c r="F557" s="387"/>
      <c r="G557" s="387"/>
      <c r="H557" s="387"/>
      <c r="I557" s="387"/>
      <c r="J557" s="387"/>
      <c r="K557" s="387"/>
      <c r="L557" s="364"/>
      <c r="M557" s="364"/>
      <c r="N557" s="387"/>
      <c r="O557" s="387"/>
      <c r="P557" s="387"/>
      <c r="Q557" s="387"/>
      <c r="R557" s="387"/>
      <c r="S557" s="387"/>
      <c r="T557" s="387"/>
      <c r="U557" s="387"/>
      <c r="V557" s="387"/>
      <c r="W557" s="387"/>
      <c r="X557" s="387"/>
      <c r="Y557" s="387"/>
      <c r="Z557" s="387"/>
      <c r="AA557" s="387"/>
      <c r="AB557" s="387"/>
    </row>
    <row r="558">
      <c r="A558" s="364"/>
      <c r="B558" s="387"/>
      <c r="C558" s="387"/>
      <c r="D558" s="364"/>
      <c r="E558" s="387"/>
      <c r="F558" s="387"/>
      <c r="G558" s="387"/>
      <c r="H558" s="387"/>
      <c r="I558" s="387"/>
      <c r="J558" s="387"/>
      <c r="K558" s="387"/>
      <c r="L558" s="364"/>
      <c r="M558" s="364"/>
      <c r="N558" s="387"/>
      <c r="O558" s="387"/>
      <c r="P558" s="387"/>
      <c r="Q558" s="387"/>
      <c r="R558" s="387"/>
      <c r="S558" s="387"/>
      <c r="T558" s="387"/>
      <c r="U558" s="387"/>
      <c r="V558" s="387"/>
      <c r="W558" s="387"/>
      <c r="X558" s="387"/>
      <c r="Y558" s="387"/>
      <c r="Z558" s="387"/>
      <c r="AA558" s="387"/>
      <c r="AB558" s="387"/>
    </row>
    <row r="559">
      <c r="A559" s="364"/>
      <c r="B559" s="387"/>
      <c r="C559" s="387"/>
      <c r="D559" s="364"/>
      <c r="E559" s="387"/>
      <c r="F559" s="387"/>
      <c r="G559" s="387"/>
      <c r="H559" s="387"/>
      <c r="I559" s="387"/>
      <c r="J559" s="387"/>
      <c r="K559" s="387"/>
      <c r="L559" s="364"/>
      <c r="M559" s="364"/>
      <c r="N559" s="387"/>
      <c r="O559" s="387"/>
      <c r="P559" s="387"/>
      <c r="Q559" s="387"/>
      <c r="R559" s="387"/>
      <c r="S559" s="387"/>
      <c r="T559" s="387"/>
      <c r="U559" s="387"/>
      <c r="V559" s="387"/>
      <c r="W559" s="387"/>
      <c r="X559" s="387"/>
      <c r="Y559" s="387"/>
      <c r="Z559" s="387"/>
      <c r="AA559" s="387"/>
      <c r="AB559" s="387"/>
    </row>
    <row r="560">
      <c r="A560" s="364"/>
      <c r="B560" s="387"/>
      <c r="C560" s="387"/>
      <c r="D560" s="364"/>
      <c r="E560" s="387"/>
      <c r="F560" s="387"/>
      <c r="G560" s="387"/>
      <c r="H560" s="387"/>
      <c r="I560" s="387"/>
      <c r="J560" s="387"/>
      <c r="K560" s="387"/>
      <c r="L560" s="364"/>
      <c r="M560" s="364"/>
      <c r="N560" s="387"/>
      <c r="O560" s="387"/>
      <c r="P560" s="387"/>
      <c r="Q560" s="387"/>
      <c r="R560" s="387"/>
      <c r="S560" s="387"/>
      <c r="T560" s="387"/>
      <c r="U560" s="387"/>
      <c r="V560" s="387"/>
      <c r="W560" s="387"/>
      <c r="X560" s="387"/>
      <c r="Y560" s="387"/>
      <c r="Z560" s="387"/>
      <c r="AA560" s="387"/>
      <c r="AB560" s="387"/>
    </row>
    <row r="561">
      <c r="A561" s="364"/>
      <c r="B561" s="387"/>
      <c r="C561" s="387"/>
      <c r="D561" s="364"/>
      <c r="E561" s="387"/>
      <c r="F561" s="387"/>
      <c r="G561" s="387"/>
      <c r="H561" s="387"/>
      <c r="I561" s="387"/>
      <c r="J561" s="387"/>
      <c r="K561" s="387"/>
      <c r="L561" s="364"/>
      <c r="M561" s="364"/>
      <c r="N561" s="387"/>
      <c r="O561" s="387"/>
      <c r="P561" s="387"/>
      <c r="Q561" s="387"/>
      <c r="R561" s="387"/>
      <c r="S561" s="387"/>
      <c r="T561" s="387"/>
      <c r="U561" s="387"/>
      <c r="V561" s="387"/>
      <c r="W561" s="387"/>
      <c r="X561" s="387"/>
      <c r="Y561" s="387"/>
      <c r="Z561" s="387"/>
      <c r="AA561" s="387"/>
      <c r="AB561" s="387"/>
    </row>
    <row r="562">
      <c r="A562" s="364"/>
      <c r="B562" s="387"/>
      <c r="C562" s="387"/>
      <c r="D562" s="364"/>
      <c r="E562" s="387"/>
      <c r="F562" s="387"/>
      <c r="G562" s="387"/>
      <c r="H562" s="387"/>
      <c r="I562" s="387"/>
      <c r="J562" s="387"/>
      <c r="K562" s="387"/>
      <c r="L562" s="364"/>
      <c r="M562" s="364"/>
      <c r="N562" s="387"/>
      <c r="O562" s="387"/>
      <c r="P562" s="387"/>
      <c r="Q562" s="387"/>
      <c r="R562" s="387"/>
      <c r="S562" s="387"/>
      <c r="T562" s="387"/>
      <c r="U562" s="387"/>
      <c r="V562" s="387"/>
      <c r="W562" s="387"/>
      <c r="X562" s="387"/>
      <c r="Y562" s="387"/>
      <c r="Z562" s="387"/>
      <c r="AA562" s="387"/>
      <c r="AB562" s="387"/>
    </row>
    <row r="563">
      <c r="A563" s="364"/>
      <c r="B563" s="387"/>
      <c r="C563" s="387"/>
      <c r="D563" s="364"/>
      <c r="E563" s="387"/>
      <c r="F563" s="387"/>
      <c r="G563" s="387"/>
      <c r="H563" s="387"/>
      <c r="I563" s="387"/>
      <c r="J563" s="387"/>
      <c r="K563" s="387"/>
      <c r="L563" s="364"/>
      <c r="M563" s="364"/>
      <c r="N563" s="387"/>
      <c r="O563" s="387"/>
      <c r="P563" s="387"/>
      <c r="Q563" s="387"/>
      <c r="R563" s="387"/>
      <c r="S563" s="387"/>
      <c r="T563" s="387"/>
      <c r="U563" s="387"/>
      <c r="V563" s="387"/>
      <c r="W563" s="387"/>
      <c r="X563" s="387"/>
      <c r="Y563" s="387"/>
      <c r="Z563" s="387"/>
      <c r="AA563" s="387"/>
      <c r="AB563" s="387"/>
    </row>
    <row r="564">
      <c r="A564" s="364"/>
      <c r="B564" s="387"/>
      <c r="C564" s="387"/>
      <c r="D564" s="364"/>
      <c r="E564" s="387"/>
      <c r="F564" s="387"/>
      <c r="G564" s="387"/>
      <c r="H564" s="387"/>
      <c r="I564" s="387"/>
      <c r="J564" s="387"/>
      <c r="K564" s="387"/>
      <c r="L564" s="364"/>
      <c r="M564" s="364"/>
      <c r="N564" s="387"/>
      <c r="O564" s="387"/>
      <c r="P564" s="387"/>
      <c r="Q564" s="387"/>
      <c r="R564" s="387"/>
      <c r="S564" s="387"/>
      <c r="T564" s="387"/>
      <c r="U564" s="387"/>
      <c r="V564" s="387"/>
      <c r="W564" s="387"/>
      <c r="X564" s="387"/>
      <c r="Y564" s="387"/>
      <c r="Z564" s="387"/>
      <c r="AA564" s="387"/>
      <c r="AB564" s="387"/>
    </row>
    <row r="565">
      <c r="A565" s="364"/>
      <c r="B565" s="387"/>
      <c r="C565" s="387"/>
      <c r="D565" s="364"/>
      <c r="E565" s="387"/>
      <c r="F565" s="387"/>
      <c r="G565" s="387"/>
      <c r="H565" s="387"/>
      <c r="I565" s="387"/>
      <c r="J565" s="387"/>
      <c r="K565" s="387"/>
      <c r="L565" s="364"/>
      <c r="M565" s="364"/>
      <c r="N565" s="387"/>
      <c r="O565" s="387"/>
      <c r="P565" s="387"/>
      <c r="Q565" s="387"/>
      <c r="R565" s="387"/>
      <c r="S565" s="387"/>
      <c r="T565" s="387"/>
      <c r="U565" s="387"/>
      <c r="V565" s="387"/>
      <c r="W565" s="387"/>
      <c r="X565" s="387"/>
      <c r="Y565" s="387"/>
      <c r="Z565" s="387"/>
      <c r="AA565" s="387"/>
      <c r="AB565" s="387"/>
    </row>
    <row r="566">
      <c r="A566" s="364"/>
      <c r="B566" s="387"/>
      <c r="C566" s="387"/>
      <c r="D566" s="364"/>
      <c r="E566" s="387"/>
      <c r="F566" s="387"/>
      <c r="G566" s="387"/>
      <c r="H566" s="387"/>
      <c r="I566" s="387"/>
      <c r="J566" s="387"/>
      <c r="K566" s="387"/>
      <c r="L566" s="364"/>
      <c r="M566" s="364"/>
      <c r="N566" s="387"/>
      <c r="O566" s="387"/>
      <c r="P566" s="387"/>
      <c r="Q566" s="387"/>
      <c r="R566" s="387"/>
      <c r="S566" s="387"/>
      <c r="T566" s="387"/>
      <c r="U566" s="387"/>
      <c r="V566" s="387"/>
      <c r="W566" s="387"/>
      <c r="X566" s="387"/>
      <c r="Y566" s="387"/>
      <c r="Z566" s="387"/>
      <c r="AA566" s="387"/>
      <c r="AB566" s="387"/>
    </row>
    <row r="567">
      <c r="A567" s="364"/>
      <c r="B567" s="387"/>
      <c r="C567" s="387"/>
      <c r="D567" s="364"/>
      <c r="E567" s="387"/>
      <c r="F567" s="387"/>
      <c r="G567" s="387"/>
      <c r="H567" s="387"/>
      <c r="I567" s="387"/>
      <c r="J567" s="387"/>
      <c r="K567" s="387"/>
      <c r="L567" s="364"/>
      <c r="M567" s="364"/>
      <c r="N567" s="387"/>
      <c r="O567" s="387"/>
      <c r="P567" s="387"/>
      <c r="Q567" s="387"/>
      <c r="R567" s="387"/>
      <c r="S567" s="387"/>
      <c r="T567" s="387"/>
      <c r="U567" s="387"/>
      <c r="V567" s="387"/>
      <c r="W567" s="387"/>
      <c r="X567" s="387"/>
      <c r="Y567" s="387"/>
      <c r="Z567" s="387"/>
      <c r="AA567" s="387"/>
      <c r="AB567" s="387"/>
    </row>
    <row r="568">
      <c r="A568" s="364"/>
      <c r="B568" s="387"/>
      <c r="C568" s="387"/>
      <c r="D568" s="364"/>
      <c r="E568" s="387"/>
      <c r="F568" s="387"/>
      <c r="G568" s="387"/>
      <c r="H568" s="387"/>
      <c r="I568" s="387"/>
      <c r="J568" s="387"/>
      <c r="K568" s="387"/>
      <c r="L568" s="364"/>
      <c r="M568" s="364"/>
      <c r="N568" s="387"/>
      <c r="O568" s="387"/>
      <c r="P568" s="387"/>
      <c r="Q568" s="387"/>
      <c r="R568" s="387"/>
      <c r="S568" s="387"/>
      <c r="T568" s="387"/>
      <c r="U568" s="387"/>
      <c r="V568" s="387"/>
      <c r="W568" s="387"/>
      <c r="X568" s="387"/>
      <c r="Y568" s="387"/>
      <c r="Z568" s="387"/>
      <c r="AA568" s="387"/>
      <c r="AB568" s="387"/>
    </row>
    <row r="569">
      <c r="A569" s="364"/>
      <c r="B569" s="387"/>
      <c r="C569" s="387"/>
      <c r="D569" s="364"/>
      <c r="E569" s="387"/>
      <c r="F569" s="387"/>
      <c r="G569" s="387"/>
      <c r="H569" s="387"/>
      <c r="I569" s="387"/>
      <c r="J569" s="387"/>
      <c r="K569" s="387"/>
      <c r="L569" s="364"/>
      <c r="M569" s="364"/>
      <c r="N569" s="387"/>
      <c r="O569" s="387"/>
      <c r="P569" s="387"/>
      <c r="Q569" s="387"/>
      <c r="R569" s="387"/>
      <c r="S569" s="387"/>
      <c r="T569" s="387"/>
      <c r="U569" s="387"/>
      <c r="V569" s="387"/>
      <c r="W569" s="387"/>
      <c r="X569" s="387"/>
      <c r="Y569" s="387"/>
      <c r="Z569" s="387"/>
      <c r="AA569" s="387"/>
      <c r="AB569" s="387"/>
    </row>
    <row r="570">
      <c r="A570" s="364"/>
      <c r="B570" s="387"/>
      <c r="C570" s="387"/>
      <c r="D570" s="364"/>
      <c r="E570" s="387"/>
      <c r="F570" s="387"/>
      <c r="G570" s="387"/>
      <c r="H570" s="387"/>
      <c r="I570" s="387"/>
      <c r="J570" s="387"/>
      <c r="K570" s="387"/>
      <c r="L570" s="364"/>
      <c r="M570" s="364"/>
      <c r="N570" s="387"/>
      <c r="O570" s="387"/>
      <c r="P570" s="387"/>
      <c r="Q570" s="387"/>
      <c r="R570" s="387"/>
      <c r="S570" s="387"/>
      <c r="T570" s="387"/>
      <c r="U570" s="387"/>
      <c r="V570" s="387"/>
      <c r="W570" s="387"/>
      <c r="X570" s="387"/>
      <c r="Y570" s="387"/>
      <c r="Z570" s="387"/>
      <c r="AA570" s="387"/>
      <c r="AB570" s="387"/>
    </row>
    <row r="571">
      <c r="A571" s="364"/>
      <c r="B571" s="387"/>
      <c r="C571" s="387"/>
      <c r="D571" s="364"/>
      <c r="E571" s="387"/>
      <c r="F571" s="387"/>
      <c r="G571" s="387"/>
      <c r="H571" s="387"/>
      <c r="I571" s="387"/>
      <c r="J571" s="387"/>
      <c r="K571" s="387"/>
      <c r="L571" s="364"/>
      <c r="M571" s="364"/>
      <c r="N571" s="387"/>
      <c r="O571" s="387"/>
      <c r="P571" s="387"/>
      <c r="Q571" s="387"/>
      <c r="R571" s="387"/>
      <c r="S571" s="387"/>
      <c r="T571" s="387"/>
      <c r="U571" s="387"/>
      <c r="V571" s="387"/>
      <c r="W571" s="387"/>
      <c r="X571" s="387"/>
      <c r="Y571" s="387"/>
      <c r="Z571" s="387"/>
      <c r="AA571" s="387"/>
      <c r="AB571" s="387"/>
    </row>
    <row r="572">
      <c r="A572" s="364"/>
      <c r="B572" s="387"/>
      <c r="C572" s="387"/>
      <c r="D572" s="364"/>
      <c r="E572" s="387"/>
      <c r="F572" s="387"/>
      <c r="G572" s="387"/>
      <c r="H572" s="387"/>
      <c r="I572" s="387"/>
      <c r="J572" s="387"/>
      <c r="K572" s="387"/>
      <c r="L572" s="364"/>
      <c r="M572" s="364"/>
      <c r="N572" s="387"/>
      <c r="O572" s="387"/>
      <c r="P572" s="387"/>
      <c r="Q572" s="387"/>
      <c r="R572" s="387"/>
      <c r="S572" s="387"/>
      <c r="T572" s="387"/>
      <c r="U572" s="387"/>
      <c r="V572" s="387"/>
      <c r="W572" s="387"/>
      <c r="X572" s="387"/>
      <c r="Y572" s="387"/>
      <c r="Z572" s="387"/>
      <c r="AA572" s="387"/>
      <c r="AB572" s="387"/>
    </row>
    <row r="573">
      <c r="A573" s="364"/>
      <c r="B573" s="387"/>
      <c r="C573" s="387"/>
      <c r="D573" s="364"/>
      <c r="E573" s="387"/>
      <c r="F573" s="387"/>
      <c r="G573" s="387"/>
      <c r="H573" s="387"/>
      <c r="I573" s="387"/>
      <c r="J573" s="387"/>
      <c r="K573" s="387"/>
      <c r="L573" s="364"/>
      <c r="M573" s="364"/>
      <c r="N573" s="387"/>
      <c r="O573" s="387"/>
      <c r="P573" s="387"/>
      <c r="Q573" s="387"/>
      <c r="R573" s="387"/>
      <c r="S573" s="387"/>
      <c r="T573" s="387"/>
      <c r="U573" s="387"/>
      <c r="V573" s="387"/>
      <c r="W573" s="387"/>
      <c r="X573" s="387"/>
      <c r="Y573" s="387"/>
      <c r="Z573" s="387"/>
      <c r="AA573" s="387"/>
      <c r="AB573" s="387"/>
    </row>
    <row r="574">
      <c r="A574" s="364"/>
      <c r="B574" s="387"/>
      <c r="C574" s="387"/>
      <c r="D574" s="364"/>
      <c r="E574" s="387"/>
      <c r="F574" s="387"/>
      <c r="G574" s="387"/>
      <c r="H574" s="387"/>
      <c r="I574" s="387"/>
      <c r="J574" s="387"/>
      <c r="K574" s="387"/>
      <c r="L574" s="364"/>
      <c r="M574" s="364"/>
      <c r="N574" s="387"/>
      <c r="O574" s="387"/>
      <c r="P574" s="387"/>
      <c r="Q574" s="387"/>
      <c r="R574" s="387"/>
      <c r="S574" s="387"/>
      <c r="T574" s="387"/>
      <c r="U574" s="387"/>
      <c r="V574" s="387"/>
      <c r="W574" s="387"/>
      <c r="X574" s="387"/>
      <c r="Y574" s="387"/>
      <c r="Z574" s="387"/>
      <c r="AA574" s="387"/>
      <c r="AB574" s="387"/>
    </row>
    <row r="575">
      <c r="A575" s="364"/>
      <c r="B575" s="387"/>
      <c r="C575" s="387"/>
      <c r="D575" s="364"/>
      <c r="E575" s="387"/>
      <c r="F575" s="387"/>
      <c r="G575" s="387"/>
      <c r="H575" s="387"/>
      <c r="I575" s="387"/>
      <c r="J575" s="387"/>
      <c r="K575" s="387"/>
      <c r="L575" s="364"/>
      <c r="M575" s="364"/>
      <c r="N575" s="387"/>
      <c r="O575" s="387"/>
      <c r="P575" s="387"/>
      <c r="Q575" s="387"/>
      <c r="R575" s="387"/>
      <c r="S575" s="387"/>
      <c r="T575" s="387"/>
      <c r="U575" s="387"/>
      <c r="V575" s="387"/>
      <c r="W575" s="387"/>
      <c r="X575" s="387"/>
      <c r="Y575" s="387"/>
      <c r="Z575" s="387"/>
      <c r="AA575" s="387"/>
      <c r="AB575" s="387"/>
    </row>
    <row r="576">
      <c r="A576" s="364"/>
      <c r="B576" s="387"/>
      <c r="C576" s="387"/>
      <c r="D576" s="364"/>
      <c r="E576" s="387"/>
      <c r="F576" s="387"/>
      <c r="G576" s="387"/>
      <c r="H576" s="387"/>
      <c r="I576" s="387"/>
      <c r="J576" s="387"/>
      <c r="K576" s="387"/>
      <c r="L576" s="364"/>
      <c r="M576" s="364"/>
      <c r="N576" s="387"/>
      <c r="O576" s="387"/>
      <c r="P576" s="387"/>
      <c r="Q576" s="387"/>
      <c r="R576" s="387"/>
      <c r="S576" s="387"/>
      <c r="T576" s="387"/>
      <c r="U576" s="387"/>
      <c r="V576" s="387"/>
      <c r="W576" s="387"/>
      <c r="X576" s="387"/>
      <c r="Y576" s="387"/>
      <c r="Z576" s="387"/>
      <c r="AA576" s="387"/>
      <c r="AB576" s="387"/>
    </row>
    <row r="577">
      <c r="A577" s="364"/>
      <c r="B577" s="387"/>
      <c r="C577" s="387"/>
      <c r="D577" s="364"/>
      <c r="E577" s="387"/>
      <c r="F577" s="387"/>
      <c r="G577" s="387"/>
      <c r="H577" s="387"/>
      <c r="I577" s="387"/>
      <c r="J577" s="387"/>
      <c r="K577" s="387"/>
      <c r="L577" s="364"/>
      <c r="M577" s="364"/>
      <c r="N577" s="387"/>
      <c r="O577" s="387"/>
      <c r="P577" s="387"/>
      <c r="Q577" s="387"/>
      <c r="R577" s="387"/>
      <c r="S577" s="387"/>
      <c r="T577" s="387"/>
      <c r="U577" s="387"/>
      <c r="V577" s="387"/>
      <c r="W577" s="387"/>
      <c r="X577" s="387"/>
      <c r="Y577" s="387"/>
      <c r="Z577" s="387"/>
      <c r="AA577" s="387"/>
      <c r="AB577" s="387"/>
    </row>
    <row r="578">
      <c r="A578" s="364"/>
      <c r="B578" s="387"/>
      <c r="C578" s="387"/>
      <c r="D578" s="364"/>
      <c r="E578" s="387"/>
      <c r="F578" s="387"/>
      <c r="G578" s="387"/>
      <c r="H578" s="387"/>
      <c r="I578" s="387"/>
      <c r="J578" s="387"/>
      <c r="K578" s="387"/>
      <c r="L578" s="364"/>
      <c r="M578" s="364"/>
      <c r="N578" s="387"/>
      <c r="O578" s="387"/>
      <c r="P578" s="387"/>
      <c r="Q578" s="387"/>
      <c r="R578" s="387"/>
      <c r="S578" s="387"/>
      <c r="T578" s="387"/>
      <c r="U578" s="387"/>
      <c r="V578" s="387"/>
      <c r="W578" s="387"/>
      <c r="X578" s="387"/>
      <c r="Y578" s="387"/>
      <c r="Z578" s="387"/>
      <c r="AA578" s="387"/>
      <c r="AB578" s="387"/>
    </row>
    <row r="579">
      <c r="A579" s="364"/>
      <c r="B579" s="387"/>
      <c r="C579" s="387"/>
      <c r="D579" s="364"/>
      <c r="E579" s="387"/>
      <c r="F579" s="387"/>
      <c r="G579" s="387"/>
      <c r="H579" s="387"/>
      <c r="I579" s="387"/>
      <c r="J579" s="387"/>
      <c r="K579" s="387"/>
      <c r="L579" s="364"/>
      <c r="M579" s="364"/>
      <c r="N579" s="387"/>
      <c r="O579" s="387"/>
      <c r="P579" s="387"/>
      <c r="Q579" s="387"/>
      <c r="R579" s="387"/>
      <c r="S579" s="387"/>
      <c r="T579" s="387"/>
      <c r="U579" s="387"/>
      <c r="V579" s="387"/>
      <c r="W579" s="387"/>
      <c r="X579" s="387"/>
      <c r="Y579" s="387"/>
      <c r="Z579" s="387"/>
      <c r="AA579" s="387"/>
      <c r="AB579" s="387"/>
    </row>
    <row r="580">
      <c r="A580" s="364"/>
      <c r="B580" s="387"/>
      <c r="C580" s="387"/>
      <c r="D580" s="364"/>
      <c r="E580" s="387"/>
      <c r="F580" s="387"/>
      <c r="G580" s="387"/>
      <c r="H580" s="387"/>
      <c r="I580" s="387"/>
      <c r="J580" s="387"/>
      <c r="K580" s="387"/>
      <c r="L580" s="364"/>
      <c r="M580" s="364"/>
      <c r="N580" s="387"/>
      <c r="O580" s="387"/>
      <c r="P580" s="387"/>
      <c r="Q580" s="387"/>
      <c r="R580" s="387"/>
      <c r="S580" s="387"/>
      <c r="T580" s="387"/>
      <c r="U580" s="387"/>
      <c r="V580" s="387"/>
      <c r="W580" s="387"/>
      <c r="X580" s="387"/>
      <c r="Y580" s="387"/>
      <c r="Z580" s="387"/>
      <c r="AA580" s="387"/>
      <c r="AB580" s="387"/>
    </row>
    <row r="581">
      <c r="A581" s="364"/>
      <c r="B581" s="387"/>
      <c r="C581" s="387"/>
      <c r="D581" s="364"/>
      <c r="E581" s="387"/>
      <c r="F581" s="387"/>
      <c r="G581" s="387"/>
      <c r="H581" s="387"/>
      <c r="I581" s="387"/>
      <c r="J581" s="387"/>
      <c r="K581" s="387"/>
      <c r="L581" s="364"/>
      <c r="M581" s="364"/>
      <c r="N581" s="387"/>
      <c r="O581" s="387"/>
      <c r="P581" s="387"/>
      <c r="Q581" s="387"/>
      <c r="R581" s="387"/>
      <c r="S581" s="387"/>
      <c r="T581" s="387"/>
      <c r="U581" s="387"/>
      <c r="V581" s="387"/>
      <c r="W581" s="387"/>
      <c r="X581" s="387"/>
      <c r="Y581" s="387"/>
      <c r="Z581" s="387"/>
      <c r="AA581" s="387"/>
      <c r="AB581" s="387"/>
    </row>
    <row r="582">
      <c r="A582" s="364"/>
      <c r="B582" s="387"/>
      <c r="C582" s="387"/>
      <c r="D582" s="364"/>
      <c r="E582" s="387"/>
      <c r="F582" s="387"/>
      <c r="G582" s="387"/>
      <c r="H582" s="387"/>
      <c r="I582" s="387"/>
      <c r="J582" s="387"/>
      <c r="K582" s="387"/>
      <c r="L582" s="364"/>
      <c r="M582" s="364"/>
      <c r="N582" s="387"/>
      <c r="O582" s="387"/>
      <c r="P582" s="387"/>
      <c r="Q582" s="387"/>
      <c r="R582" s="387"/>
      <c r="S582" s="387"/>
      <c r="T582" s="387"/>
      <c r="U582" s="387"/>
      <c r="V582" s="387"/>
      <c r="W582" s="387"/>
      <c r="X582" s="387"/>
      <c r="Y582" s="387"/>
      <c r="Z582" s="387"/>
      <c r="AA582" s="387"/>
      <c r="AB582" s="387"/>
    </row>
    <row r="583">
      <c r="A583" s="364"/>
      <c r="B583" s="387"/>
      <c r="C583" s="387"/>
      <c r="D583" s="364"/>
      <c r="E583" s="387"/>
      <c r="F583" s="387"/>
      <c r="G583" s="387"/>
      <c r="H583" s="387"/>
      <c r="I583" s="387"/>
      <c r="J583" s="387"/>
      <c r="K583" s="387"/>
      <c r="L583" s="364"/>
      <c r="M583" s="364"/>
      <c r="N583" s="387"/>
      <c r="O583" s="387"/>
      <c r="P583" s="387"/>
      <c r="Q583" s="387"/>
      <c r="R583" s="387"/>
      <c r="S583" s="387"/>
      <c r="T583" s="387"/>
      <c r="U583" s="387"/>
      <c r="V583" s="387"/>
      <c r="W583" s="387"/>
      <c r="X583" s="387"/>
      <c r="Y583" s="387"/>
      <c r="Z583" s="387"/>
      <c r="AA583" s="387"/>
      <c r="AB583" s="387"/>
    </row>
    <row r="584">
      <c r="A584" s="364"/>
      <c r="B584" s="387"/>
      <c r="C584" s="387"/>
      <c r="D584" s="364"/>
      <c r="E584" s="387"/>
      <c r="F584" s="387"/>
      <c r="G584" s="387"/>
      <c r="H584" s="387"/>
      <c r="I584" s="387"/>
      <c r="J584" s="387"/>
      <c r="K584" s="387"/>
      <c r="L584" s="364"/>
      <c r="M584" s="364"/>
      <c r="N584" s="387"/>
      <c r="O584" s="387"/>
      <c r="P584" s="387"/>
      <c r="Q584" s="387"/>
      <c r="R584" s="387"/>
      <c r="S584" s="387"/>
      <c r="T584" s="387"/>
      <c r="U584" s="387"/>
      <c r="V584" s="387"/>
      <c r="W584" s="387"/>
      <c r="X584" s="387"/>
      <c r="Y584" s="387"/>
      <c r="Z584" s="387"/>
      <c r="AA584" s="387"/>
      <c r="AB584" s="387"/>
    </row>
    <row r="585">
      <c r="A585" s="364"/>
      <c r="B585" s="387"/>
      <c r="C585" s="387"/>
      <c r="D585" s="364"/>
      <c r="E585" s="387"/>
      <c r="F585" s="387"/>
      <c r="G585" s="387"/>
      <c r="H585" s="387"/>
      <c r="I585" s="387"/>
      <c r="J585" s="387"/>
      <c r="K585" s="387"/>
      <c r="L585" s="364"/>
      <c r="M585" s="364"/>
      <c r="N585" s="387"/>
      <c r="O585" s="387"/>
      <c r="P585" s="387"/>
      <c r="Q585" s="387"/>
      <c r="R585" s="387"/>
      <c r="S585" s="387"/>
      <c r="T585" s="387"/>
      <c r="U585" s="387"/>
      <c r="V585" s="387"/>
      <c r="W585" s="387"/>
      <c r="X585" s="387"/>
      <c r="Y585" s="387"/>
      <c r="Z585" s="387"/>
      <c r="AA585" s="387"/>
      <c r="AB585" s="387"/>
    </row>
    <row r="586">
      <c r="A586" s="364"/>
      <c r="B586" s="387"/>
      <c r="C586" s="387"/>
      <c r="D586" s="364"/>
      <c r="E586" s="387"/>
      <c r="F586" s="387"/>
      <c r="G586" s="387"/>
      <c r="H586" s="387"/>
      <c r="I586" s="387"/>
      <c r="J586" s="387"/>
      <c r="K586" s="387"/>
      <c r="L586" s="364"/>
      <c r="M586" s="364"/>
      <c r="N586" s="387"/>
      <c r="O586" s="387"/>
      <c r="P586" s="387"/>
      <c r="Q586" s="387"/>
      <c r="R586" s="387"/>
      <c r="S586" s="387"/>
      <c r="T586" s="387"/>
      <c r="U586" s="387"/>
      <c r="V586" s="387"/>
      <c r="W586" s="387"/>
      <c r="X586" s="387"/>
      <c r="Y586" s="387"/>
      <c r="Z586" s="387"/>
      <c r="AA586" s="387"/>
      <c r="AB586" s="387"/>
    </row>
    <row r="587">
      <c r="A587" s="364"/>
      <c r="B587" s="387"/>
      <c r="C587" s="387"/>
      <c r="D587" s="364"/>
      <c r="E587" s="387"/>
      <c r="F587" s="387"/>
      <c r="G587" s="387"/>
      <c r="H587" s="387"/>
      <c r="I587" s="387"/>
      <c r="J587" s="387"/>
      <c r="K587" s="387"/>
      <c r="L587" s="364"/>
      <c r="M587" s="364"/>
      <c r="N587" s="387"/>
      <c r="O587" s="387"/>
      <c r="P587" s="387"/>
      <c r="Q587" s="387"/>
      <c r="R587" s="387"/>
      <c r="S587" s="387"/>
      <c r="T587" s="387"/>
      <c r="U587" s="387"/>
      <c r="V587" s="387"/>
      <c r="W587" s="387"/>
      <c r="X587" s="387"/>
      <c r="Y587" s="387"/>
      <c r="Z587" s="387"/>
      <c r="AA587" s="387"/>
      <c r="AB587" s="387"/>
    </row>
    <row r="588">
      <c r="A588" s="364"/>
      <c r="B588" s="387"/>
      <c r="C588" s="387"/>
      <c r="D588" s="364"/>
      <c r="E588" s="387"/>
      <c r="F588" s="387"/>
      <c r="G588" s="387"/>
      <c r="H588" s="387"/>
      <c r="I588" s="387"/>
      <c r="J588" s="387"/>
      <c r="K588" s="387"/>
      <c r="L588" s="364"/>
      <c r="M588" s="364"/>
      <c r="N588" s="387"/>
      <c r="O588" s="387"/>
      <c r="P588" s="387"/>
      <c r="Q588" s="387"/>
      <c r="R588" s="387"/>
      <c r="S588" s="387"/>
      <c r="T588" s="387"/>
      <c r="U588" s="387"/>
      <c r="V588" s="387"/>
      <c r="W588" s="387"/>
      <c r="X588" s="387"/>
      <c r="Y588" s="387"/>
      <c r="Z588" s="387"/>
      <c r="AA588" s="387"/>
      <c r="AB588" s="387"/>
    </row>
    <row r="589">
      <c r="A589" s="364"/>
      <c r="B589" s="387"/>
      <c r="C589" s="387"/>
      <c r="D589" s="364"/>
      <c r="E589" s="387"/>
      <c r="F589" s="387"/>
      <c r="G589" s="387"/>
      <c r="H589" s="387"/>
      <c r="I589" s="387"/>
      <c r="J589" s="387"/>
      <c r="K589" s="387"/>
      <c r="L589" s="364"/>
      <c r="M589" s="364"/>
      <c r="N589" s="387"/>
      <c r="O589" s="387"/>
      <c r="P589" s="387"/>
      <c r="Q589" s="387"/>
      <c r="R589" s="387"/>
      <c r="S589" s="387"/>
      <c r="T589" s="387"/>
      <c r="U589" s="387"/>
      <c r="V589" s="387"/>
      <c r="W589" s="387"/>
      <c r="X589" s="387"/>
      <c r="Y589" s="387"/>
      <c r="Z589" s="387"/>
      <c r="AA589" s="387"/>
      <c r="AB589" s="387"/>
    </row>
    <row r="590">
      <c r="A590" s="364"/>
      <c r="B590" s="387"/>
      <c r="C590" s="387"/>
      <c r="D590" s="364"/>
      <c r="E590" s="387"/>
      <c r="F590" s="387"/>
      <c r="G590" s="387"/>
      <c r="H590" s="387"/>
      <c r="I590" s="387"/>
      <c r="J590" s="387"/>
      <c r="K590" s="387"/>
      <c r="L590" s="364"/>
      <c r="M590" s="364"/>
      <c r="N590" s="387"/>
      <c r="O590" s="387"/>
      <c r="P590" s="387"/>
      <c r="Q590" s="387"/>
      <c r="R590" s="387"/>
      <c r="S590" s="387"/>
      <c r="T590" s="387"/>
      <c r="U590" s="387"/>
      <c r="V590" s="387"/>
      <c r="W590" s="387"/>
      <c r="X590" s="387"/>
      <c r="Y590" s="387"/>
      <c r="Z590" s="387"/>
      <c r="AA590" s="387"/>
      <c r="AB590" s="387"/>
    </row>
    <row r="591">
      <c r="A591" s="364"/>
      <c r="B591" s="387"/>
      <c r="C591" s="387"/>
      <c r="D591" s="364"/>
      <c r="E591" s="387"/>
      <c r="F591" s="387"/>
      <c r="G591" s="387"/>
      <c r="H591" s="387"/>
      <c r="I591" s="387"/>
      <c r="J591" s="387"/>
      <c r="K591" s="387"/>
      <c r="L591" s="364"/>
      <c r="M591" s="364"/>
      <c r="N591" s="387"/>
      <c r="O591" s="387"/>
      <c r="P591" s="387"/>
      <c r="Q591" s="387"/>
      <c r="R591" s="387"/>
      <c r="S591" s="387"/>
      <c r="T591" s="387"/>
      <c r="U591" s="387"/>
      <c r="V591" s="387"/>
      <c r="W591" s="387"/>
      <c r="X591" s="387"/>
      <c r="Y591" s="387"/>
      <c r="Z591" s="387"/>
      <c r="AA591" s="387"/>
      <c r="AB591" s="387"/>
    </row>
    <row r="592">
      <c r="A592" s="364"/>
      <c r="B592" s="387"/>
      <c r="C592" s="387"/>
      <c r="D592" s="364"/>
      <c r="E592" s="387"/>
      <c r="F592" s="387"/>
      <c r="G592" s="387"/>
      <c r="H592" s="387"/>
      <c r="I592" s="387"/>
      <c r="J592" s="387"/>
      <c r="K592" s="387"/>
      <c r="L592" s="364"/>
      <c r="M592" s="364"/>
      <c r="N592" s="387"/>
      <c r="O592" s="387"/>
      <c r="P592" s="387"/>
      <c r="Q592" s="387"/>
      <c r="R592" s="387"/>
      <c r="S592" s="387"/>
      <c r="T592" s="387"/>
      <c r="U592" s="387"/>
      <c r="V592" s="387"/>
      <c r="W592" s="387"/>
      <c r="X592" s="387"/>
      <c r="Y592" s="387"/>
      <c r="Z592" s="387"/>
      <c r="AA592" s="387"/>
      <c r="AB592" s="387"/>
    </row>
    <row r="593">
      <c r="A593" s="364"/>
      <c r="B593" s="387"/>
      <c r="C593" s="387"/>
      <c r="D593" s="364"/>
      <c r="E593" s="387"/>
      <c r="F593" s="387"/>
      <c r="G593" s="387"/>
      <c r="H593" s="387"/>
      <c r="I593" s="387"/>
      <c r="J593" s="387"/>
      <c r="K593" s="387"/>
      <c r="L593" s="364"/>
      <c r="M593" s="364"/>
      <c r="N593" s="387"/>
      <c r="O593" s="387"/>
      <c r="P593" s="387"/>
      <c r="Q593" s="387"/>
      <c r="R593" s="387"/>
      <c r="S593" s="387"/>
      <c r="T593" s="387"/>
      <c r="U593" s="387"/>
      <c r="V593" s="387"/>
      <c r="W593" s="387"/>
      <c r="X593" s="387"/>
      <c r="Y593" s="387"/>
      <c r="Z593" s="387"/>
      <c r="AA593" s="387"/>
      <c r="AB593" s="387"/>
    </row>
    <row r="594">
      <c r="A594" s="364"/>
      <c r="B594" s="387"/>
      <c r="C594" s="387"/>
      <c r="D594" s="364"/>
      <c r="E594" s="387"/>
      <c r="F594" s="387"/>
      <c r="G594" s="387"/>
      <c r="H594" s="387"/>
      <c r="I594" s="387"/>
      <c r="J594" s="387"/>
      <c r="K594" s="387"/>
      <c r="L594" s="364"/>
      <c r="M594" s="364"/>
      <c r="N594" s="387"/>
      <c r="O594" s="387"/>
      <c r="P594" s="387"/>
      <c r="Q594" s="387"/>
      <c r="R594" s="387"/>
      <c r="S594" s="387"/>
      <c r="T594" s="387"/>
      <c r="U594" s="387"/>
      <c r="V594" s="387"/>
      <c r="W594" s="387"/>
      <c r="X594" s="387"/>
      <c r="Y594" s="387"/>
      <c r="Z594" s="387"/>
      <c r="AA594" s="387"/>
      <c r="AB594" s="387"/>
    </row>
    <row r="595">
      <c r="A595" s="364"/>
      <c r="B595" s="387"/>
      <c r="C595" s="387"/>
      <c r="D595" s="364"/>
      <c r="E595" s="387"/>
      <c r="F595" s="387"/>
      <c r="G595" s="387"/>
      <c r="H595" s="387"/>
      <c r="I595" s="387"/>
      <c r="J595" s="387"/>
      <c r="K595" s="387"/>
      <c r="L595" s="364"/>
      <c r="M595" s="364"/>
      <c r="N595" s="387"/>
      <c r="O595" s="387"/>
      <c r="P595" s="387"/>
      <c r="Q595" s="387"/>
      <c r="R595" s="387"/>
      <c r="S595" s="387"/>
      <c r="T595" s="387"/>
      <c r="U595" s="387"/>
      <c r="V595" s="387"/>
      <c r="W595" s="387"/>
      <c r="X595" s="387"/>
      <c r="Y595" s="387"/>
      <c r="Z595" s="387"/>
      <c r="AA595" s="387"/>
      <c r="AB595" s="387"/>
    </row>
    <row r="596">
      <c r="A596" s="364"/>
      <c r="B596" s="387"/>
      <c r="C596" s="387"/>
      <c r="D596" s="364"/>
      <c r="E596" s="387"/>
      <c r="F596" s="387"/>
      <c r="G596" s="387"/>
      <c r="H596" s="387"/>
      <c r="I596" s="387"/>
      <c r="J596" s="387"/>
      <c r="K596" s="387"/>
      <c r="L596" s="364"/>
      <c r="M596" s="364"/>
      <c r="N596" s="387"/>
      <c r="O596" s="387"/>
      <c r="P596" s="387"/>
      <c r="Q596" s="387"/>
      <c r="R596" s="387"/>
      <c r="S596" s="387"/>
      <c r="T596" s="387"/>
      <c r="U596" s="387"/>
      <c r="V596" s="387"/>
      <c r="W596" s="387"/>
      <c r="X596" s="387"/>
      <c r="Y596" s="387"/>
      <c r="Z596" s="387"/>
      <c r="AA596" s="387"/>
      <c r="AB596" s="387"/>
    </row>
    <row r="597">
      <c r="A597" s="364"/>
      <c r="B597" s="387"/>
      <c r="C597" s="387"/>
      <c r="D597" s="364"/>
      <c r="E597" s="387"/>
      <c r="F597" s="387"/>
      <c r="G597" s="387"/>
      <c r="H597" s="387"/>
      <c r="I597" s="387"/>
      <c r="J597" s="387"/>
      <c r="K597" s="387"/>
      <c r="L597" s="364"/>
      <c r="M597" s="364"/>
      <c r="N597" s="387"/>
      <c r="O597" s="387"/>
      <c r="P597" s="387"/>
      <c r="Q597" s="387"/>
      <c r="R597" s="387"/>
      <c r="S597" s="387"/>
      <c r="T597" s="387"/>
      <c r="U597" s="387"/>
      <c r="V597" s="387"/>
      <c r="W597" s="387"/>
      <c r="X597" s="387"/>
      <c r="Y597" s="387"/>
      <c r="Z597" s="387"/>
      <c r="AA597" s="387"/>
      <c r="AB597" s="387"/>
    </row>
    <row r="598">
      <c r="A598" s="364"/>
      <c r="B598" s="387"/>
      <c r="C598" s="387"/>
      <c r="D598" s="364"/>
      <c r="E598" s="387"/>
      <c r="F598" s="387"/>
      <c r="G598" s="387"/>
      <c r="H598" s="387"/>
      <c r="I598" s="387"/>
      <c r="J598" s="387"/>
      <c r="K598" s="387"/>
      <c r="L598" s="364"/>
      <c r="M598" s="364"/>
      <c r="N598" s="387"/>
      <c r="O598" s="387"/>
      <c r="P598" s="387"/>
      <c r="Q598" s="387"/>
      <c r="R598" s="387"/>
      <c r="S598" s="387"/>
      <c r="T598" s="387"/>
      <c r="U598" s="387"/>
      <c r="V598" s="387"/>
      <c r="W598" s="387"/>
      <c r="X598" s="387"/>
      <c r="Y598" s="387"/>
      <c r="Z598" s="387"/>
      <c r="AA598" s="387"/>
      <c r="AB598" s="387"/>
    </row>
    <row r="599">
      <c r="A599" s="364"/>
      <c r="B599" s="387"/>
      <c r="C599" s="387"/>
      <c r="D599" s="364"/>
      <c r="E599" s="387"/>
      <c r="F599" s="387"/>
      <c r="G599" s="387"/>
      <c r="H599" s="387"/>
      <c r="I599" s="387"/>
      <c r="J599" s="387"/>
      <c r="K599" s="387"/>
      <c r="L599" s="364"/>
      <c r="M599" s="364"/>
      <c r="N599" s="387"/>
      <c r="O599" s="387"/>
      <c r="P599" s="387"/>
      <c r="Q599" s="387"/>
      <c r="R599" s="387"/>
      <c r="S599" s="387"/>
      <c r="T599" s="387"/>
      <c r="U599" s="387"/>
      <c r="V599" s="387"/>
      <c r="W599" s="387"/>
      <c r="X599" s="387"/>
      <c r="Y599" s="387"/>
      <c r="Z599" s="387"/>
      <c r="AA599" s="387"/>
      <c r="AB599" s="387"/>
    </row>
    <row r="600">
      <c r="A600" s="364"/>
      <c r="B600" s="387"/>
      <c r="C600" s="387"/>
      <c r="D600" s="364"/>
      <c r="E600" s="387"/>
      <c r="F600" s="387"/>
      <c r="G600" s="387"/>
      <c r="H600" s="387"/>
      <c r="I600" s="387"/>
      <c r="J600" s="387"/>
      <c r="K600" s="387"/>
      <c r="L600" s="364"/>
      <c r="M600" s="364"/>
      <c r="N600" s="387"/>
      <c r="O600" s="387"/>
      <c r="P600" s="387"/>
      <c r="Q600" s="387"/>
      <c r="R600" s="387"/>
      <c r="S600" s="387"/>
      <c r="T600" s="387"/>
      <c r="U600" s="387"/>
      <c r="V600" s="387"/>
      <c r="W600" s="387"/>
      <c r="X600" s="387"/>
      <c r="Y600" s="387"/>
      <c r="Z600" s="387"/>
      <c r="AA600" s="387"/>
      <c r="AB600" s="387"/>
    </row>
    <row r="601">
      <c r="A601" s="364"/>
      <c r="B601" s="387"/>
      <c r="C601" s="387"/>
      <c r="D601" s="364"/>
      <c r="E601" s="387"/>
      <c r="F601" s="387"/>
      <c r="G601" s="387"/>
      <c r="H601" s="387"/>
      <c r="I601" s="387"/>
      <c r="J601" s="387"/>
      <c r="K601" s="387"/>
      <c r="L601" s="364"/>
      <c r="M601" s="364"/>
      <c r="N601" s="387"/>
      <c r="O601" s="387"/>
      <c r="P601" s="387"/>
      <c r="Q601" s="387"/>
      <c r="R601" s="387"/>
      <c r="S601" s="387"/>
      <c r="T601" s="387"/>
      <c r="U601" s="387"/>
      <c r="V601" s="387"/>
      <c r="W601" s="387"/>
      <c r="X601" s="387"/>
      <c r="Y601" s="387"/>
      <c r="Z601" s="387"/>
      <c r="AA601" s="387"/>
      <c r="AB601" s="387"/>
    </row>
    <row r="602">
      <c r="A602" s="364"/>
      <c r="B602" s="387"/>
      <c r="C602" s="387"/>
      <c r="D602" s="364"/>
      <c r="E602" s="387"/>
      <c r="F602" s="387"/>
      <c r="G602" s="387"/>
      <c r="H602" s="387"/>
      <c r="I602" s="387"/>
      <c r="J602" s="387"/>
      <c r="K602" s="387"/>
      <c r="L602" s="364"/>
      <c r="M602" s="364"/>
      <c r="N602" s="387"/>
      <c r="O602" s="387"/>
      <c r="P602" s="387"/>
      <c r="Q602" s="387"/>
      <c r="R602" s="387"/>
      <c r="S602" s="387"/>
      <c r="T602" s="387"/>
      <c r="U602" s="387"/>
      <c r="V602" s="387"/>
      <c r="W602" s="387"/>
      <c r="X602" s="387"/>
      <c r="Y602" s="387"/>
      <c r="Z602" s="387"/>
      <c r="AA602" s="387"/>
      <c r="AB602" s="387"/>
    </row>
    <row r="603">
      <c r="A603" s="364"/>
      <c r="B603" s="387"/>
      <c r="C603" s="387"/>
      <c r="D603" s="364"/>
      <c r="E603" s="387"/>
      <c r="F603" s="387"/>
      <c r="G603" s="387"/>
      <c r="H603" s="387"/>
      <c r="I603" s="387"/>
      <c r="J603" s="387"/>
      <c r="K603" s="387"/>
      <c r="L603" s="364"/>
      <c r="M603" s="364"/>
      <c r="N603" s="387"/>
      <c r="O603" s="387"/>
      <c r="P603" s="387"/>
      <c r="Q603" s="387"/>
      <c r="R603" s="387"/>
      <c r="S603" s="387"/>
      <c r="T603" s="387"/>
      <c r="U603" s="387"/>
      <c r="V603" s="387"/>
      <c r="W603" s="387"/>
      <c r="X603" s="387"/>
      <c r="Y603" s="387"/>
      <c r="Z603" s="387"/>
      <c r="AA603" s="387"/>
      <c r="AB603" s="387"/>
    </row>
    <row r="604">
      <c r="A604" s="364"/>
      <c r="B604" s="387"/>
      <c r="C604" s="387"/>
      <c r="D604" s="364"/>
      <c r="E604" s="387"/>
      <c r="F604" s="387"/>
      <c r="G604" s="387"/>
      <c r="H604" s="387"/>
      <c r="I604" s="387"/>
      <c r="J604" s="387"/>
      <c r="K604" s="387"/>
      <c r="L604" s="364"/>
      <c r="M604" s="364"/>
      <c r="N604" s="387"/>
      <c r="O604" s="387"/>
      <c r="P604" s="387"/>
      <c r="Q604" s="387"/>
      <c r="R604" s="387"/>
      <c r="S604" s="387"/>
      <c r="T604" s="387"/>
      <c r="U604" s="387"/>
      <c r="V604" s="387"/>
      <c r="W604" s="387"/>
      <c r="X604" s="387"/>
      <c r="Y604" s="387"/>
      <c r="Z604" s="387"/>
      <c r="AA604" s="387"/>
      <c r="AB604" s="387"/>
    </row>
    <row r="605">
      <c r="A605" s="364"/>
      <c r="B605" s="387"/>
      <c r="C605" s="387"/>
      <c r="D605" s="364"/>
      <c r="E605" s="387"/>
      <c r="F605" s="387"/>
      <c r="G605" s="387"/>
      <c r="H605" s="387"/>
      <c r="I605" s="387"/>
      <c r="J605" s="387"/>
      <c r="K605" s="387"/>
      <c r="L605" s="364"/>
      <c r="M605" s="364"/>
      <c r="N605" s="387"/>
      <c r="O605" s="387"/>
      <c r="P605" s="387"/>
      <c r="Q605" s="387"/>
      <c r="R605" s="387"/>
      <c r="S605" s="387"/>
      <c r="T605" s="387"/>
      <c r="U605" s="387"/>
      <c r="V605" s="387"/>
      <c r="W605" s="387"/>
      <c r="X605" s="387"/>
      <c r="Y605" s="387"/>
      <c r="Z605" s="387"/>
      <c r="AA605" s="387"/>
      <c r="AB605" s="387"/>
    </row>
    <row r="606">
      <c r="A606" s="364"/>
      <c r="B606" s="387"/>
      <c r="C606" s="387"/>
      <c r="D606" s="364"/>
      <c r="E606" s="387"/>
      <c r="F606" s="387"/>
      <c r="G606" s="387"/>
      <c r="H606" s="387"/>
      <c r="I606" s="387"/>
      <c r="J606" s="387"/>
      <c r="K606" s="387"/>
      <c r="L606" s="364"/>
      <c r="M606" s="364"/>
      <c r="N606" s="387"/>
      <c r="O606" s="387"/>
      <c r="P606" s="387"/>
      <c r="Q606" s="387"/>
      <c r="R606" s="387"/>
      <c r="S606" s="387"/>
      <c r="T606" s="387"/>
      <c r="U606" s="387"/>
      <c r="V606" s="387"/>
      <c r="W606" s="387"/>
      <c r="X606" s="387"/>
      <c r="Y606" s="387"/>
      <c r="Z606" s="387"/>
      <c r="AA606" s="387"/>
      <c r="AB606" s="387"/>
    </row>
    <row r="607">
      <c r="A607" s="364"/>
      <c r="B607" s="387"/>
      <c r="C607" s="387"/>
      <c r="D607" s="364"/>
      <c r="E607" s="387"/>
      <c r="F607" s="387"/>
      <c r="G607" s="387"/>
      <c r="H607" s="387"/>
      <c r="I607" s="387"/>
      <c r="J607" s="387"/>
      <c r="K607" s="387"/>
      <c r="L607" s="364"/>
      <c r="M607" s="364"/>
      <c r="N607" s="387"/>
      <c r="O607" s="387"/>
      <c r="P607" s="387"/>
      <c r="Q607" s="387"/>
      <c r="R607" s="387"/>
      <c r="S607" s="387"/>
      <c r="T607" s="387"/>
      <c r="U607" s="387"/>
      <c r="V607" s="387"/>
      <c r="W607" s="387"/>
      <c r="X607" s="387"/>
      <c r="Y607" s="387"/>
      <c r="Z607" s="387"/>
      <c r="AA607" s="387"/>
      <c r="AB607" s="387"/>
    </row>
    <row r="608">
      <c r="A608" s="364"/>
      <c r="B608" s="387"/>
      <c r="C608" s="387"/>
      <c r="D608" s="364"/>
      <c r="E608" s="387"/>
      <c r="F608" s="387"/>
      <c r="G608" s="387"/>
      <c r="H608" s="387"/>
      <c r="I608" s="387"/>
      <c r="J608" s="387"/>
      <c r="K608" s="387"/>
      <c r="L608" s="364"/>
      <c r="M608" s="364"/>
      <c r="N608" s="387"/>
      <c r="O608" s="387"/>
      <c r="P608" s="387"/>
      <c r="Q608" s="387"/>
      <c r="R608" s="387"/>
      <c r="S608" s="387"/>
      <c r="T608" s="387"/>
      <c r="U608" s="387"/>
      <c r="V608" s="387"/>
      <c r="W608" s="387"/>
      <c r="X608" s="387"/>
      <c r="Y608" s="387"/>
      <c r="Z608" s="387"/>
      <c r="AA608" s="387"/>
      <c r="AB608" s="387"/>
    </row>
    <row r="609">
      <c r="A609" s="364"/>
      <c r="B609" s="387"/>
      <c r="C609" s="387"/>
      <c r="D609" s="364"/>
      <c r="E609" s="387"/>
      <c r="F609" s="387"/>
      <c r="G609" s="387"/>
      <c r="H609" s="387"/>
      <c r="I609" s="387"/>
      <c r="J609" s="387"/>
      <c r="K609" s="387"/>
      <c r="L609" s="364"/>
      <c r="M609" s="364"/>
      <c r="N609" s="387"/>
      <c r="O609" s="387"/>
      <c r="P609" s="387"/>
      <c r="Q609" s="387"/>
      <c r="R609" s="387"/>
      <c r="S609" s="387"/>
      <c r="T609" s="387"/>
      <c r="U609" s="387"/>
      <c r="V609" s="387"/>
      <c r="W609" s="387"/>
      <c r="X609" s="387"/>
      <c r="Y609" s="387"/>
      <c r="Z609" s="387"/>
      <c r="AA609" s="387"/>
      <c r="AB609" s="387"/>
    </row>
    <row r="610">
      <c r="A610" s="364"/>
      <c r="B610" s="387"/>
      <c r="C610" s="387"/>
      <c r="D610" s="364"/>
      <c r="E610" s="387"/>
      <c r="F610" s="387"/>
      <c r="G610" s="387"/>
      <c r="H610" s="387"/>
      <c r="I610" s="387"/>
      <c r="J610" s="387"/>
      <c r="K610" s="387"/>
      <c r="L610" s="364"/>
      <c r="M610" s="364"/>
      <c r="N610" s="387"/>
      <c r="O610" s="387"/>
      <c r="P610" s="387"/>
      <c r="Q610" s="387"/>
      <c r="R610" s="387"/>
      <c r="S610" s="387"/>
      <c r="T610" s="387"/>
      <c r="U610" s="387"/>
      <c r="V610" s="387"/>
      <c r="W610" s="387"/>
      <c r="X610" s="387"/>
      <c r="Y610" s="387"/>
      <c r="Z610" s="387"/>
      <c r="AA610" s="387"/>
      <c r="AB610" s="387"/>
    </row>
    <row r="611">
      <c r="A611" s="364"/>
      <c r="B611" s="387"/>
      <c r="C611" s="387"/>
      <c r="D611" s="364"/>
      <c r="E611" s="387"/>
      <c r="F611" s="387"/>
      <c r="G611" s="387"/>
      <c r="H611" s="387"/>
      <c r="I611" s="387"/>
      <c r="J611" s="387"/>
      <c r="K611" s="387"/>
      <c r="L611" s="364"/>
      <c r="M611" s="364"/>
      <c r="N611" s="387"/>
      <c r="O611" s="387"/>
      <c r="P611" s="387"/>
      <c r="Q611" s="387"/>
      <c r="R611" s="387"/>
      <c r="S611" s="387"/>
      <c r="T611" s="387"/>
      <c r="U611" s="387"/>
      <c r="V611" s="387"/>
      <c r="W611" s="387"/>
      <c r="X611" s="387"/>
      <c r="Y611" s="387"/>
      <c r="Z611" s="387"/>
      <c r="AA611" s="387"/>
      <c r="AB611" s="387"/>
    </row>
    <row r="612">
      <c r="A612" s="364"/>
      <c r="B612" s="387"/>
      <c r="C612" s="387"/>
      <c r="D612" s="364"/>
      <c r="E612" s="387"/>
      <c r="F612" s="387"/>
      <c r="G612" s="387"/>
      <c r="H612" s="387"/>
      <c r="I612" s="387"/>
      <c r="J612" s="387"/>
      <c r="K612" s="387"/>
      <c r="L612" s="364"/>
      <c r="M612" s="364"/>
      <c r="N612" s="387"/>
      <c r="O612" s="387"/>
      <c r="P612" s="387"/>
      <c r="Q612" s="387"/>
      <c r="R612" s="387"/>
      <c r="S612" s="387"/>
      <c r="T612" s="387"/>
      <c r="U612" s="387"/>
      <c r="V612" s="387"/>
      <c r="W612" s="387"/>
      <c r="X612" s="387"/>
      <c r="Y612" s="387"/>
      <c r="Z612" s="387"/>
      <c r="AA612" s="387"/>
      <c r="AB612" s="387"/>
    </row>
    <row r="613">
      <c r="A613" s="364"/>
      <c r="B613" s="387"/>
      <c r="C613" s="387"/>
      <c r="D613" s="364"/>
      <c r="E613" s="387"/>
      <c r="F613" s="387"/>
      <c r="G613" s="387"/>
      <c r="H613" s="387"/>
      <c r="I613" s="387"/>
      <c r="J613" s="387"/>
      <c r="K613" s="387"/>
      <c r="L613" s="364"/>
      <c r="M613" s="364"/>
      <c r="N613" s="387"/>
      <c r="O613" s="387"/>
      <c r="P613" s="387"/>
      <c r="Q613" s="387"/>
      <c r="R613" s="387"/>
      <c r="S613" s="387"/>
      <c r="T613" s="387"/>
      <c r="U613" s="387"/>
      <c r="V613" s="387"/>
      <c r="W613" s="387"/>
      <c r="X613" s="387"/>
      <c r="Y613" s="387"/>
      <c r="Z613" s="387"/>
      <c r="AA613" s="387"/>
      <c r="AB613" s="387"/>
    </row>
    <row r="614">
      <c r="A614" s="364"/>
      <c r="B614" s="387"/>
      <c r="C614" s="387"/>
      <c r="D614" s="364"/>
      <c r="E614" s="387"/>
      <c r="F614" s="387"/>
      <c r="G614" s="387"/>
      <c r="H614" s="387"/>
      <c r="I614" s="387"/>
      <c r="J614" s="387"/>
      <c r="K614" s="387"/>
      <c r="L614" s="364"/>
      <c r="M614" s="364"/>
      <c r="N614" s="387"/>
      <c r="O614" s="387"/>
      <c r="P614" s="387"/>
      <c r="Q614" s="387"/>
      <c r="R614" s="387"/>
      <c r="S614" s="387"/>
      <c r="T614" s="387"/>
      <c r="U614" s="387"/>
      <c r="V614" s="387"/>
      <c r="W614" s="387"/>
      <c r="X614" s="387"/>
      <c r="Y614" s="387"/>
      <c r="Z614" s="387"/>
      <c r="AA614" s="387"/>
      <c r="AB614" s="387"/>
    </row>
    <row r="615">
      <c r="A615" s="364"/>
      <c r="B615" s="387"/>
      <c r="C615" s="387"/>
      <c r="D615" s="364"/>
      <c r="E615" s="387"/>
      <c r="F615" s="387"/>
      <c r="G615" s="387"/>
      <c r="H615" s="387"/>
      <c r="I615" s="387"/>
      <c r="J615" s="387"/>
      <c r="K615" s="387"/>
      <c r="L615" s="364"/>
      <c r="M615" s="364"/>
      <c r="N615" s="387"/>
      <c r="O615" s="387"/>
      <c r="P615" s="387"/>
      <c r="Q615" s="387"/>
      <c r="R615" s="387"/>
      <c r="S615" s="387"/>
      <c r="T615" s="387"/>
      <c r="U615" s="387"/>
      <c r="V615" s="387"/>
      <c r="W615" s="387"/>
      <c r="X615" s="387"/>
      <c r="Y615" s="387"/>
      <c r="Z615" s="387"/>
      <c r="AA615" s="387"/>
      <c r="AB615" s="387"/>
    </row>
    <row r="616">
      <c r="A616" s="364"/>
      <c r="B616" s="387"/>
      <c r="C616" s="387"/>
      <c r="D616" s="364"/>
      <c r="E616" s="387"/>
      <c r="F616" s="387"/>
      <c r="G616" s="387"/>
      <c r="H616" s="387"/>
      <c r="I616" s="387"/>
      <c r="J616" s="387"/>
      <c r="K616" s="387"/>
      <c r="L616" s="364"/>
      <c r="M616" s="364"/>
      <c r="N616" s="387"/>
      <c r="O616" s="387"/>
      <c r="P616" s="387"/>
      <c r="Q616" s="387"/>
      <c r="R616" s="387"/>
      <c r="S616" s="387"/>
      <c r="T616" s="387"/>
      <c r="U616" s="387"/>
      <c r="V616" s="387"/>
      <c r="W616" s="387"/>
      <c r="X616" s="387"/>
      <c r="Y616" s="387"/>
      <c r="Z616" s="387"/>
      <c r="AA616" s="387"/>
      <c r="AB616" s="387"/>
    </row>
    <row r="617">
      <c r="A617" s="364"/>
      <c r="B617" s="387"/>
      <c r="C617" s="387"/>
      <c r="D617" s="364"/>
      <c r="E617" s="387"/>
      <c r="F617" s="387"/>
      <c r="G617" s="387"/>
      <c r="H617" s="387"/>
      <c r="I617" s="387"/>
      <c r="J617" s="387"/>
      <c r="K617" s="387"/>
      <c r="L617" s="364"/>
      <c r="M617" s="364"/>
      <c r="N617" s="387"/>
      <c r="O617" s="387"/>
      <c r="P617" s="387"/>
      <c r="Q617" s="387"/>
      <c r="R617" s="387"/>
      <c r="S617" s="387"/>
      <c r="T617" s="387"/>
      <c r="U617" s="387"/>
      <c r="V617" s="387"/>
      <c r="W617" s="387"/>
      <c r="X617" s="387"/>
      <c r="Y617" s="387"/>
      <c r="Z617" s="387"/>
      <c r="AA617" s="387"/>
      <c r="AB617" s="387"/>
    </row>
    <row r="618">
      <c r="A618" s="364"/>
      <c r="B618" s="387"/>
      <c r="C618" s="387"/>
      <c r="D618" s="364"/>
      <c r="E618" s="387"/>
      <c r="F618" s="387"/>
      <c r="G618" s="387"/>
      <c r="H618" s="387"/>
      <c r="I618" s="387"/>
      <c r="J618" s="387"/>
      <c r="K618" s="387"/>
      <c r="L618" s="364"/>
      <c r="M618" s="364"/>
      <c r="N618" s="387"/>
      <c r="O618" s="387"/>
      <c r="P618" s="387"/>
      <c r="Q618" s="387"/>
      <c r="R618" s="387"/>
      <c r="S618" s="387"/>
      <c r="T618" s="387"/>
      <c r="U618" s="387"/>
      <c r="V618" s="387"/>
      <c r="W618" s="387"/>
      <c r="X618" s="387"/>
      <c r="Y618" s="387"/>
      <c r="Z618" s="387"/>
      <c r="AA618" s="387"/>
      <c r="AB618" s="387"/>
    </row>
    <row r="619">
      <c r="A619" s="364"/>
      <c r="B619" s="387"/>
      <c r="C619" s="387"/>
      <c r="D619" s="364"/>
      <c r="E619" s="387"/>
      <c r="F619" s="387"/>
      <c r="G619" s="387"/>
      <c r="H619" s="387"/>
      <c r="I619" s="387"/>
      <c r="J619" s="387"/>
      <c r="K619" s="387"/>
      <c r="L619" s="364"/>
      <c r="M619" s="364"/>
      <c r="N619" s="387"/>
      <c r="O619" s="387"/>
      <c r="P619" s="387"/>
      <c r="Q619" s="387"/>
      <c r="R619" s="387"/>
      <c r="S619" s="387"/>
      <c r="T619" s="387"/>
      <c r="U619" s="387"/>
      <c r="V619" s="387"/>
      <c r="W619" s="387"/>
      <c r="X619" s="387"/>
      <c r="Y619" s="387"/>
      <c r="Z619" s="387"/>
      <c r="AA619" s="387"/>
      <c r="AB619" s="387"/>
    </row>
    <row r="620">
      <c r="A620" s="364"/>
      <c r="B620" s="387"/>
      <c r="C620" s="387"/>
      <c r="D620" s="364"/>
      <c r="E620" s="387"/>
      <c r="F620" s="387"/>
      <c r="G620" s="387"/>
      <c r="H620" s="387"/>
      <c r="I620" s="387"/>
      <c r="J620" s="387"/>
      <c r="K620" s="387"/>
      <c r="L620" s="364"/>
      <c r="M620" s="364"/>
      <c r="N620" s="387"/>
      <c r="O620" s="387"/>
      <c r="P620" s="387"/>
      <c r="Q620" s="387"/>
      <c r="R620" s="387"/>
      <c r="S620" s="387"/>
      <c r="T620" s="387"/>
      <c r="U620" s="387"/>
      <c r="V620" s="387"/>
      <c r="W620" s="387"/>
      <c r="X620" s="387"/>
      <c r="Y620" s="387"/>
      <c r="Z620" s="387"/>
      <c r="AA620" s="387"/>
      <c r="AB620" s="387"/>
    </row>
    <row r="621">
      <c r="A621" s="364"/>
      <c r="B621" s="387"/>
      <c r="C621" s="387"/>
      <c r="D621" s="364"/>
      <c r="E621" s="387"/>
      <c r="F621" s="387"/>
      <c r="G621" s="387"/>
      <c r="H621" s="387"/>
      <c r="I621" s="387"/>
      <c r="J621" s="387"/>
      <c r="K621" s="387"/>
      <c r="L621" s="364"/>
      <c r="M621" s="364"/>
      <c r="N621" s="387"/>
      <c r="O621" s="387"/>
      <c r="P621" s="387"/>
      <c r="Q621" s="387"/>
      <c r="R621" s="387"/>
      <c r="S621" s="387"/>
      <c r="T621" s="387"/>
      <c r="U621" s="387"/>
      <c r="V621" s="387"/>
      <c r="W621" s="387"/>
      <c r="X621" s="387"/>
      <c r="Y621" s="387"/>
      <c r="Z621" s="387"/>
      <c r="AA621" s="387"/>
      <c r="AB621" s="387"/>
    </row>
    <row r="622">
      <c r="A622" s="364"/>
      <c r="B622" s="387"/>
      <c r="C622" s="387"/>
      <c r="D622" s="364"/>
      <c r="E622" s="387"/>
      <c r="F622" s="387"/>
      <c r="G622" s="387"/>
      <c r="H622" s="387"/>
      <c r="I622" s="387"/>
      <c r="J622" s="387"/>
      <c r="K622" s="387"/>
      <c r="L622" s="364"/>
      <c r="M622" s="364"/>
      <c r="N622" s="387"/>
      <c r="O622" s="387"/>
      <c r="P622" s="387"/>
      <c r="Q622" s="387"/>
      <c r="R622" s="387"/>
      <c r="S622" s="387"/>
      <c r="T622" s="387"/>
      <c r="U622" s="387"/>
      <c r="V622" s="387"/>
      <c r="W622" s="387"/>
      <c r="X622" s="387"/>
      <c r="Y622" s="387"/>
      <c r="Z622" s="387"/>
      <c r="AA622" s="387"/>
      <c r="AB622" s="387"/>
    </row>
    <row r="623">
      <c r="A623" s="364"/>
      <c r="B623" s="387"/>
      <c r="C623" s="387"/>
      <c r="D623" s="364"/>
      <c r="E623" s="387"/>
      <c r="F623" s="387"/>
      <c r="G623" s="387"/>
      <c r="H623" s="387"/>
      <c r="I623" s="387"/>
      <c r="J623" s="387"/>
      <c r="K623" s="387"/>
      <c r="L623" s="364"/>
      <c r="M623" s="364"/>
      <c r="N623" s="387"/>
      <c r="O623" s="387"/>
      <c r="P623" s="387"/>
      <c r="Q623" s="387"/>
      <c r="R623" s="387"/>
      <c r="S623" s="387"/>
      <c r="T623" s="387"/>
      <c r="U623" s="387"/>
      <c r="V623" s="387"/>
      <c r="W623" s="387"/>
      <c r="X623" s="387"/>
      <c r="Y623" s="387"/>
      <c r="Z623" s="387"/>
      <c r="AA623" s="387"/>
      <c r="AB623" s="387"/>
    </row>
    <row r="624">
      <c r="A624" s="364"/>
      <c r="B624" s="387"/>
      <c r="C624" s="387"/>
      <c r="D624" s="364"/>
      <c r="E624" s="387"/>
      <c r="F624" s="387"/>
      <c r="G624" s="387"/>
      <c r="H624" s="387"/>
      <c r="I624" s="387"/>
      <c r="J624" s="387"/>
      <c r="K624" s="387"/>
      <c r="L624" s="364"/>
      <c r="M624" s="364"/>
      <c r="N624" s="387"/>
      <c r="O624" s="387"/>
      <c r="P624" s="387"/>
      <c r="Q624" s="387"/>
      <c r="R624" s="387"/>
      <c r="S624" s="387"/>
      <c r="T624" s="387"/>
      <c r="U624" s="387"/>
      <c r="V624" s="387"/>
      <c r="W624" s="387"/>
      <c r="X624" s="387"/>
      <c r="Y624" s="387"/>
      <c r="Z624" s="387"/>
      <c r="AA624" s="387"/>
      <c r="AB624" s="387"/>
    </row>
    <row r="625">
      <c r="A625" s="364"/>
      <c r="B625" s="387"/>
      <c r="C625" s="387"/>
      <c r="D625" s="364"/>
      <c r="E625" s="387"/>
      <c r="F625" s="387"/>
      <c r="G625" s="387"/>
      <c r="H625" s="387"/>
      <c r="I625" s="387"/>
      <c r="J625" s="387"/>
      <c r="K625" s="387"/>
      <c r="L625" s="364"/>
      <c r="M625" s="364"/>
      <c r="N625" s="387"/>
      <c r="O625" s="387"/>
      <c r="P625" s="387"/>
      <c r="Q625" s="387"/>
      <c r="R625" s="387"/>
      <c r="S625" s="387"/>
      <c r="T625" s="387"/>
      <c r="U625" s="387"/>
      <c r="V625" s="387"/>
      <c r="W625" s="387"/>
      <c r="X625" s="387"/>
      <c r="Y625" s="387"/>
      <c r="Z625" s="387"/>
      <c r="AA625" s="387"/>
      <c r="AB625" s="387"/>
    </row>
    <row r="626">
      <c r="A626" s="364"/>
      <c r="B626" s="387"/>
      <c r="C626" s="387"/>
      <c r="D626" s="364"/>
      <c r="E626" s="387"/>
      <c r="F626" s="387"/>
      <c r="G626" s="387"/>
      <c r="H626" s="387"/>
      <c r="I626" s="387"/>
      <c r="J626" s="387"/>
      <c r="K626" s="387"/>
      <c r="L626" s="364"/>
      <c r="M626" s="364"/>
      <c r="N626" s="387"/>
      <c r="O626" s="387"/>
      <c r="P626" s="387"/>
      <c r="Q626" s="387"/>
      <c r="R626" s="387"/>
      <c r="S626" s="387"/>
      <c r="T626" s="387"/>
      <c r="U626" s="387"/>
      <c r="V626" s="387"/>
      <c r="W626" s="387"/>
      <c r="X626" s="387"/>
      <c r="Y626" s="387"/>
      <c r="Z626" s="387"/>
      <c r="AA626" s="387"/>
      <c r="AB626" s="387"/>
    </row>
    <row r="627">
      <c r="A627" s="364"/>
      <c r="B627" s="387"/>
      <c r="C627" s="387"/>
      <c r="D627" s="364"/>
      <c r="E627" s="387"/>
      <c r="F627" s="387"/>
      <c r="G627" s="387"/>
      <c r="H627" s="387"/>
      <c r="I627" s="387"/>
      <c r="J627" s="387"/>
      <c r="K627" s="387"/>
      <c r="L627" s="364"/>
      <c r="M627" s="364"/>
      <c r="N627" s="387"/>
      <c r="O627" s="387"/>
      <c r="P627" s="387"/>
      <c r="Q627" s="387"/>
      <c r="R627" s="387"/>
      <c r="S627" s="387"/>
      <c r="T627" s="387"/>
      <c r="U627" s="387"/>
      <c r="V627" s="387"/>
      <c r="W627" s="387"/>
      <c r="X627" s="387"/>
      <c r="Y627" s="387"/>
      <c r="Z627" s="387"/>
      <c r="AA627" s="387"/>
      <c r="AB627" s="387"/>
    </row>
    <row r="628">
      <c r="A628" s="364"/>
      <c r="B628" s="387"/>
      <c r="C628" s="387"/>
      <c r="D628" s="364"/>
      <c r="E628" s="387"/>
      <c r="F628" s="387"/>
      <c r="G628" s="387"/>
      <c r="H628" s="387"/>
      <c r="I628" s="387"/>
      <c r="J628" s="387"/>
      <c r="K628" s="387"/>
      <c r="L628" s="364"/>
      <c r="M628" s="364"/>
      <c r="N628" s="387"/>
      <c r="O628" s="387"/>
      <c r="P628" s="387"/>
      <c r="Q628" s="387"/>
      <c r="R628" s="387"/>
      <c r="S628" s="387"/>
      <c r="T628" s="387"/>
      <c r="U628" s="387"/>
      <c r="V628" s="387"/>
      <c r="W628" s="387"/>
      <c r="X628" s="387"/>
      <c r="Y628" s="387"/>
      <c r="Z628" s="387"/>
      <c r="AA628" s="387"/>
      <c r="AB628" s="387"/>
    </row>
    <row r="629">
      <c r="A629" s="364"/>
      <c r="B629" s="387"/>
      <c r="C629" s="387"/>
      <c r="D629" s="364"/>
      <c r="E629" s="387"/>
      <c r="F629" s="387"/>
      <c r="G629" s="387"/>
      <c r="H629" s="387"/>
      <c r="I629" s="387"/>
      <c r="J629" s="387"/>
      <c r="K629" s="387"/>
      <c r="L629" s="364"/>
      <c r="M629" s="364"/>
      <c r="N629" s="387"/>
      <c r="O629" s="387"/>
      <c r="P629" s="387"/>
      <c r="Q629" s="387"/>
      <c r="R629" s="387"/>
      <c r="S629" s="387"/>
      <c r="T629" s="387"/>
      <c r="U629" s="387"/>
      <c r="V629" s="387"/>
      <c r="W629" s="387"/>
      <c r="X629" s="387"/>
      <c r="Y629" s="387"/>
      <c r="Z629" s="387"/>
      <c r="AA629" s="387"/>
      <c r="AB629" s="387"/>
    </row>
    <row r="630">
      <c r="A630" s="364"/>
      <c r="B630" s="387"/>
      <c r="C630" s="387"/>
      <c r="D630" s="364"/>
      <c r="E630" s="387"/>
      <c r="F630" s="387"/>
      <c r="G630" s="387"/>
      <c r="H630" s="387"/>
      <c r="I630" s="387"/>
      <c r="J630" s="387"/>
      <c r="K630" s="387"/>
      <c r="L630" s="364"/>
      <c r="M630" s="364"/>
      <c r="N630" s="387"/>
      <c r="O630" s="387"/>
      <c r="P630" s="387"/>
      <c r="Q630" s="387"/>
      <c r="R630" s="387"/>
      <c r="S630" s="387"/>
      <c r="T630" s="387"/>
      <c r="U630" s="387"/>
      <c r="V630" s="387"/>
      <c r="W630" s="387"/>
      <c r="X630" s="387"/>
      <c r="Y630" s="387"/>
      <c r="Z630" s="387"/>
      <c r="AA630" s="387"/>
      <c r="AB630" s="387"/>
    </row>
    <row r="631">
      <c r="A631" s="364"/>
      <c r="B631" s="387"/>
      <c r="C631" s="387"/>
      <c r="D631" s="364"/>
      <c r="E631" s="387"/>
      <c r="F631" s="387"/>
      <c r="G631" s="387"/>
      <c r="H631" s="387"/>
      <c r="I631" s="387"/>
      <c r="J631" s="387"/>
      <c r="K631" s="387"/>
      <c r="L631" s="364"/>
      <c r="M631" s="364"/>
      <c r="N631" s="387"/>
      <c r="O631" s="387"/>
      <c r="P631" s="387"/>
      <c r="Q631" s="387"/>
      <c r="R631" s="387"/>
      <c r="S631" s="387"/>
      <c r="T631" s="387"/>
      <c r="U631" s="387"/>
      <c r="V631" s="387"/>
      <c r="W631" s="387"/>
      <c r="X631" s="387"/>
      <c r="Y631" s="387"/>
      <c r="Z631" s="387"/>
      <c r="AA631" s="387"/>
      <c r="AB631" s="387"/>
    </row>
    <row r="632">
      <c r="A632" s="364"/>
      <c r="B632" s="387"/>
      <c r="C632" s="387"/>
      <c r="D632" s="364"/>
      <c r="E632" s="387"/>
      <c r="F632" s="387"/>
      <c r="G632" s="387"/>
      <c r="H632" s="387"/>
      <c r="I632" s="387"/>
      <c r="J632" s="387"/>
      <c r="K632" s="387"/>
      <c r="L632" s="364"/>
      <c r="M632" s="364"/>
      <c r="N632" s="387"/>
      <c r="O632" s="387"/>
      <c r="P632" s="387"/>
      <c r="Q632" s="387"/>
      <c r="R632" s="387"/>
      <c r="S632" s="387"/>
      <c r="T632" s="387"/>
      <c r="U632" s="387"/>
      <c r="V632" s="387"/>
      <c r="W632" s="387"/>
      <c r="X632" s="387"/>
      <c r="Y632" s="387"/>
      <c r="Z632" s="387"/>
      <c r="AA632" s="387"/>
      <c r="AB632" s="387"/>
    </row>
    <row r="633">
      <c r="A633" s="364"/>
      <c r="B633" s="387"/>
      <c r="C633" s="387"/>
      <c r="D633" s="364"/>
      <c r="E633" s="387"/>
      <c r="F633" s="387"/>
      <c r="G633" s="387"/>
      <c r="H633" s="387"/>
      <c r="I633" s="387"/>
      <c r="J633" s="387"/>
      <c r="K633" s="387"/>
      <c r="L633" s="364"/>
      <c r="M633" s="364"/>
      <c r="N633" s="387"/>
      <c r="O633" s="387"/>
      <c r="P633" s="387"/>
      <c r="Q633" s="387"/>
      <c r="R633" s="387"/>
      <c r="S633" s="387"/>
      <c r="T633" s="387"/>
      <c r="U633" s="387"/>
      <c r="V633" s="387"/>
      <c r="W633" s="387"/>
      <c r="X633" s="387"/>
      <c r="Y633" s="387"/>
      <c r="Z633" s="387"/>
      <c r="AA633" s="387"/>
      <c r="AB633" s="387"/>
    </row>
    <row r="634">
      <c r="A634" s="364"/>
      <c r="B634" s="387"/>
      <c r="C634" s="387"/>
      <c r="D634" s="364"/>
      <c r="E634" s="387"/>
      <c r="F634" s="387"/>
      <c r="G634" s="387"/>
      <c r="H634" s="387"/>
      <c r="I634" s="387"/>
      <c r="J634" s="387"/>
      <c r="K634" s="387"/>
      <c r="L634" s="364"/>
      <c r="M634" s="364"/>
      <c r="N634" s="387"/>
      <c r="O634" s="387"/>
      <c r="P634" s="387"/>
      <c r="Q634" s="387"/>
      <c r="R634" s="387"/>
      <c r="S634" s="387"/>
      <c r="T634" s="387"/>
      <c r="U634" s="387"/>
      <c r="V634" s="387"/>
      <c r="W634" s="387"/>
      <c r="X634" s="387"/>
      <c r="Y634" s="387"/>
      <c r="Z634" s="387"/>
      <c r="AA634" s="387"/>
      <c r="AB634" s="387"/>
    </row>
    <row r="635">
      <c r="A635" s="364"/>
      <c r="B635" s="387"/>
      <c r="C635" s="387"/>
      <c r="D635" s="364"/>
      <c r="E635" s="387"/>
      <c r="F635" s="387"/>
      <c r="G635" s="387"/>
      <c r="H635" s="387"/>
      <c r="I635" s="387"/>
      <c r="J635" s="387"/>
      <c r="K635" s="387"/>
      <c r="L635" s="364"/>
      <c r="M635" s="364"/>
      <c r="N635" s="387"/>
      <c r="O635" s="387"/>
      <c r="P635" s="387"/>
      <c r="Q635" s="387"/>
      <c r="R635" s="387"/>
      <c r="S635" s="387"/>
      <c r="T635" s="387"/>
      <c r="U635" s="387"/>
      <c r="V635" s="387"/>
      <c r="W635" s="387"/>
      <c r="X635" s="387"/>
      <c r="Y635" s="387"/>
      <c r="Z635" s="387"/>
      <c r="AA635" s="387"/>
      <c r="AB635" s="387"/>
    </row>
    <row r="636">
      <c r="A636" s="364"/>
      <c r="B636" s="387"/>
      <c r="C636" s="387"/>
      <c r="D636" s="364"/>
      <c r="E636" s="387"/>
      <c r="F636" s="387"/>
      <c r="G636" s="387"/>
      <c r="H636" s="387"/>
      <c r="I636" s="387"/>
      <c r="J636" s="387"/>
      <c r="K636" s="387"/>
      <c r="L636" s="364"/>
      <c r="M636" s="364"/>
      <c r="N636" s="387"/>
      <c r="O636" s="387"/>
      <c r="P636" s="387"/>
      <c r="Q636" s="387"/>
      <c r="R636" s="387"/>
      <c r="S636" s="387"/>
      <c r="T636" s="387"/>
      <c r="U636" s="387"/>
      <c r="V636" s="387"/>
      <c r="W636" s="387"/>
      <c r="X636" s="387"/>
      <c r="Y636" s="387"/>
      <c r="Z636" s="387"/>
      <c r="AA636" s="387"/>
      <c r="AB636" s="387"/>
    </row>
    <row r="637">
      <c r="A637" s="364"/>
      <c r="B637" s="387"/>
      <c r="C637" s="387"/>
      <c r="D637" s="364"/>
      <c r="E637" s="387"/>
      <c r="F637" s="387"/>
      <c r="G637" s="387"/>
      <c r="H637" s="387"/>
      <c r="I637" s="387"/>
      <c r="J637" s="387"/>
      <c r="K637" s="387"/>
      <c r="L637" s="364"/>
      <c r="M637" s="364"/>
      <c r="N637" s="387"/>
      <c r="O637" s="387"/>
      <c r="P637" s="387"/>
      <c r="Q637" s="387"/>
      <c r="R637" s="387"/>
      <c r="S637" s="387"/>
      <c r="T637" s="387"/>
      <c r="U637" s="387"/>
      <c r="V637" s="387"/>
      <c r="W637" s="387"/>
      <c r="X637" s="387"/>
      <c r="Y637" s="387"/>
      <c r="Z637" s="387"/>
      <c r="AA637" s="387"/>
      <c r="AB637" s="387"/>
    </row>
    <row r="638">
      <c r="A638" s="364"/>
      <c r="B638" s="387"/>
      <c r="C638" s="387"/>
      <c r="D638" s="364"/>
      <c r="E638" s="387"/>
      <c r="F638" s="387"/>
      <c r="G638" s="387"/>
      <c r="H638" s="387"/>
      <c r="I638" s="387"/>
      <c r="J638" s="387"/>
      <c r="K638" s="387"/>
      <c r="L638" s="364"/>
      <c r="M638" s="364"/>
      <c r="N638" s="387"/>
      <c r="O638" s="387"/>
      <c r="P638" s="387"/>
      <c r="Q638" s="387"/>
      <c r="R638" s="387"/>
      <c r="S638" s="387"/>
      <c r="T638" s="387"/>
      <c r="U638" s="387"/>
      <c r="V638" s="387"/>
      <c r="W638" s="387"/>
      <c r="X638" s="387"/>
      <c r="Y638" s="387"/>
      <c r="Z638" s="387"/>
      <c r="AA638" s="387"/>
      <c r="AB638" s="387"/>
    </row>
    <row r="639">
      <c r="A639" s="364"/>
      <c r="B639" s="387"/>
      <c r="C639" s="387"/>
      <c r="D639" s="364"/>
      <c r="E639" s="387"/>
      <c r="F639" s="387"/>
      <c r="G639" s="387"/>
      <c r="H639" s="387"/>
      <c r="I639" s="387"/>
      <c r="J639" s="387"/>
      <c r="K639" s="387"/>
      <c r="L639" s="364"/>
      <c r="M639" s="364"/>
      <c r="N639" s="387"/>
      <c r="O639" s="387"/>
      <c r="P639" s="387"/>
      <c r="Q639" s="387"/>
      <c r="R639" s="387"/>
      <c r="S639" s="387"/>
      <c r="T639" s="387"/>
      <c r="U639" s="387"/>
      <c r="V639" s="387"/>
      <c r="W639" s="387"/>
      <c r="X639" s="387"/>
      <c r="Y639" s="387"/>
      <c r="Z639" s="387"/>
      <c r="AA639" s="387"/>
      <c r="AB639" s="387"/>
    </row>
    <row r="640">
      <c r="A640" s="364"/>
      <c r="B640" s="387"/>
      <c r="C640" s="387"/>
      <c r="D640" s="364"/>
      <c r="E640" s="387"/>
      <c r="F640" s="387"/>
      <c r="G640" s="387"/>
      <c r="H640" s="387"/>
      <c r="I640" s="387"/>
      <c r="J640" s="387"/>
      <c r="K640" s="387"/>
      <c r="L640" s="364"/>
      <c r="M640" s="364"/>
      <c r="N640" s="387"/>
      <c r="O640" s="387"/>
      <c r="P640" s="387"/>
      <c r="Q640" s="387"/>
      <c r="R640" s="387"/>
      <c r="S640" s="387"/>
      <c r="T640" s="387"/>
      <c r="U640" s="387"/>
      <c r="V640" s="387"/>
      <c r="W640" s="387"/>
      <c r="X640" s="387"/>
      <c r="Y640" s="387"/>
      <c r="Z640" s="387"/>
      <c r="AA640" s="387"/>
      <c r="AB640" s="387"/>
    </row>
    <row r="641">
      <c r="A641" s="364"/>
      <c r="B641" s="387"/>
      <c r="C641" s="387"/>
      <c r="D641" s="364"/>
      <c r="E641" s="387"/>
      <c r="F641" s="387"/>
      <c r="G641" s="387"/>
      <c r="H641" s="387"/>
      <c r="I641" s="387"/>
      <c r="J641" s="387"/>
      <c r="K641" s="387"/>
      <c r="L641" s="364"/>
      <c r="M641" s="364"/>
      <c r="N641" s="387"/>
      <c r="O641" s="387"/>
      <c r="P641" s="387"/>
      <c r="Q641" s="387"/>
      <c r="R641" s="387"/>
      <c r="S641" s="387"/>
      <c r="T641" s="387"/>
      <c r="U641" s="387"/>
      <c r="V641" s="387"/>
      <c r="W641" s="387"/>
      <c r="X641" s="387"/>
      <c r="Y641" s="387"/>
      <c r="Z641" s="387"/>
      <c r="AA641" s="387"/>
      <c r="AB641" s="387"/>
    </row>
    <row r="642">
      <c r="A642" s="364"/>
      <c r="B642" s="387"/>
      <c r="C642" s="387"/>
      <c r="D642" s="364"/>
      <c r="E642" s="387"/>
      <c r="F642" s="387"/>
      <c r="G642" s="387"/>
      <c r="H642" s="387"/>
      <c r="I642" s="387"/>
      <c r="J642" s="387"/>
      <c r="K642" s="387"/>
      <c r="L642" s="364"/>
      <c r="M642" s="364"/>
      <c r="N642" s="387"/>
      <c r="O642" s="387"/>
      <c r="P642" s="387"/>
      <c r="Q642" s="387"/>
      <c r="R642" s="387"/>
      <c r="S642" s="387"/>
      <c r="T642" s="387"/>
      <c r="U642" s="387"/>
      <c r="V642" s="387"/>
      <c r="W642" s="387"/>
      <c r="X642" s="387"/>
      <c r="Y642" s="387"/>
      <c r="Z642" s="387"/>
      <c r="AA642" s="387"/>
      <c r="AB642" s="387"/>
    </row>
    <row r="643">
      <c r="A643" s="364"/>
      <c r="B643" s="387"/>
      <c r="C643" s="387"/>
      <c r="D643" s="364"/>
      <c r="E643" s="387"/>
      <c r="F643" s="387"/>
      <c r="G643" s="387"/>
      <c r="H643" s="387"/>
      <c r="I643" s="387"/>
      <c r="J643" s="387"/>
      <c r="K643" s="387"/>
      <c r="L643" s="364"/>
      <c r="M643" s="364"/>
      <c r="N643" s="387"/>
      <c r="O643" s="387"/>
      <c r="P643" s="387"/>
      <c r="Q643" s="387"/>
      <c r="R643" s="387"/>
      <c r="S643" s="387"/>
      <c r="T643" s="387"/>
      <c r="U643" s="387"/>
      <c r="V643" s="387"/>
      <c r="W643" s="387"/>
      <c r="X643" s="387"/>
      <c r="Y643" s="387"/>
      <c r="Z643" s="387"/>
      <c r="AA643" s="387"/>
      <c r="AB643" s="387"/>
    </row>
    <row r="644">
      <c r="A644" s="364"/>
      <c r="B644" s="387"/>
      <c r="C644" s="387"/>
      <c r="D644" s="364"/>
      <c r="E644" s="387"/>
      <c r="F644" s="387"/>
      <c r="G644" s="387"/>
      <c r="H644" s="387"/>
      <c r="I644" s="387"/>
      <c r="J644" s="387"/>
      <c r="K644" s="387"/>
      <c r="L644" s="364"/>
      <c r="M644" s="364"/>
      <c r="N644" s="387"/>
      <c r="O644" s="387"/>
      <c r="P644" s="387"/>
      <c r="Q644" s="387"/>
      <c r="R644" s="387"/>
      <c r="S644" s="387"/>
      <c r="T644" s="387"/>
      <c r="U644" s="387"/>
      <c r="V644" s="387"/>
      <c r="W644" s="387"/>
      <c r="X644" s="387"/>
      <c r="Y644" s="387"/>
      <c r="Z644" s="387"/>
      <c r="AA644" s="387"/>
      <c r="AB644" s="387"/>
    </row>
    <row r="645">
      <c r="A645" s="364"/>
      <c r="B645" s="387"/>
      <c r="C645" s="387"/>
      <c r="D645" s="364"/>
      <c r="E645" s="387"/>
      <c r="F645" s="387"/>
      <c r="G645" s="387"/>
      <c r="H645" s="387"/>
      <c r="I645" s="387"/>
      <c r="J645" s="387"/>
      <c r="K645" s="387"/>
      <c r="L645" s="364"/>
      <c r="M645" s="364"/>
      <c r="N645" s="387"/>
      <c r="O645" s="387"/>
      <c r="P645" s="387"/>
      <c r="Q645" s="387"/>
      <c r="R645" s="387"/>
      <c r="S645" s="387"/>
      <c r="T645" s="387"/>
      <c r="U645" s="387"/>
      <c r="V645" s="387"/>
      <c r="W645" s="387"/>
      <c r="X645" s="387"/>
      <c r="Y645" s="387"/>
      <c r="Z645" s="387"/>
      <c r="AA645" s="387"/>
      <c r="AB645" s="387"/>
    </row>
    <row r="646">
      <c r="A646" s="364"/>
      <c r="B646" s="387"/>
      <c r="C646" s="387"/>
      <c r="D646" s="364"/>
      <c r="E646" s="387"/>
      <c r="F646" s="387"/>
      <c r="G646" s="387"/>
      <c r="H646" s="387"/>
      <c r="I646" s="387"/>
      <c r="J646" s="387"/>
      <c r="K646" s="387"/>
      <c r="L646" s="364"/>
      <c r="M646" s="364"/>
      <c r="N646" s="387"/>
      <c r="O646" s="387"/>
      <c r="P646" s="387"/>
      <c r="Q646" s="387"/>
      <c r="R646" s="387"/>
      <c r="S646" s="387"/>
      <c r="T646" s="387"/>
      <c r="U646" s="387"/>
      <c r="V646" s="387"/>
      <c r="W646" s="387"/>
      <c r="X646" s="387"/>
      <c r="Y646" s="387"/>
      <c r="Z646" s="387"/>
      <c r="AA646" s="387"/>
      <c r="AB646" s="387"/>
    </row>
    <row r="647">
      <c r="A647" s="364"/>
      <c r="B647" s="387"/>
      <c r="C647" s="387"/>
      <c r="D647" s="364"/>
      <c r="E647" s="387"/>
      <c r="F647" s="387"/>
      <c r="G647" s="387"/>
      <c r="H647" s="387"/>
      <c r="I647" s="387"/>
      <c r="J647" s="387"/>
      <c r="K647" s="387"/>
      <c r="L647" s="364"/>
      <c r="M647" s="364"/>
      <c r="N647" s="387"/>
      <c r="O647" s="387"/>
      <c r="P647" s="387"/>
      <c r="Q647" s="387"/>
      <c r="R647" s="387"/>
      <c r="S647" s="387"/>
      <c r="T647" s="387"/>
      <c r="U647" s="387"/>
      <c r="V647" s="387"/>
      <c r="W647" s="387"/>
      <c r="X647" s="387"/>
      <c r="Y647" s="387"/>
      <c r="Z647" s="387"/>
      <c r="AA647" s="387"/>
      <c r="AB647" s="387"/>
    </row>
    <row r="648">
      <c r="A648" s="364"/>
      <c r="B648" s="387"/>
      <c r="C648" s="387"/>
      <c r="D648" s="364"/>
      <c r="E648" s="387"/>
      <c r="F648" s="387"/>
      <c r="G648" s="387"/>
      <c r="H648" s="387"/>
      <c r="I648" s="387"/>
      <c r="J648" s="387"/>
      <c r="K648" s="387"/>
      <c r="L648" s="364"/>
      <c r="M648" s="364"/>
      <c r="N648" s="387"/>
      <c r="O648" s="387"/>
      <c r="P648" s="387"/>
      <c r="Q648" s="387"/>
      <c r="R648" s="387"/>
      <c r="S648" s="387"/>
      <c r="T648" s="387"/>
      <c r="U648" s="387"/>
      <c r="V648" s="387"/>
      <c r="W648" s="387"/>
      <c r="X648" s="387"/>
      <c r="Y648" s="387"/>
      <c r="Z648" s="387"/>
      <c r="AA648" s="387"/>
      <c r="AB648" s="387"/>
    </row>
    <row r="649">
      <c r="A649" s="364"/>
      <c r="B649" s="387"/>
      <c r="C649" s="387"/>
      <c r="D649" s="364"/>
      <c r="E649" s="387"/>
      <c r="F649" s="387"/>
      <c r="G649" s="387"/>
      <c r="H649" s="387"/>
      <c r="I649" s="387"/>
      <c r="J649" s="387"/>
      <c r="K649" s="387"/>
      <c r="L649" s="364"/>
      <c r="M649" s="364"/>
      <c r="N649" s="387"/>
      <c r="O649" s="387"/>
      <c r="P649" s="387"/>
      <c r="Q649" s="387"/>
      <c r="R649" s="387"/>
      <c r="S649" s="387"/>
      <c r="T649" s="387"/>
      <c r="U649" s="387"/>
      <c r="V649" s="387"/>
      <c r="W649" s="387"/>
      <c r="X649" s="387"/>
      <c r="Y649" s="387"/>
      <c r="Z649" s="387"/>
      <c r="AA649" s="387"/>
      <c r="AB649" s="387"/>
    </row>
    <row r="650">
      <c r="A650" s="364"/>
      <c r="B650" s="387"/>
      <c r="C650" s="387"/>
      <c r="D650" s="364"/>
      <c r="E650" s="387"/>
      <c r="F650" s="387"/>
      <c r="G650" s="387"/>
      <c r="H650" s="387"/>
      <c r="I650" s="387"/>
      <c r="J650" s="387"/>
      <c r="K650" s="387"/>
      <c r="L650" s="364"/>
      <c r="M650" s="364"/>
      <c r="N650" s="387"/>
      <c r="O650" s="387"/>
      <c r="P650" s="387"/>
      <c r="Q650" s="387"/>
      <c r="R650" s="387"/>
      <c r="S650" s="387"/>
      <c r="T650" s="387"/>
      <c r="U650" s="387"/>
      <c r="V650" s="387"/>
      <c r="W650" s="387"/>
      <c r="X650" s="387"/>
      <c r="Y650" s="387"/>
      <c r="Z650" s="387"/>
      <c r="AA650" s="387"/>
      <c r="AB650" s="387"/>
    </row>
    <row r="651">
      <c r="A651" s="364"/>
      <c r="B651" s="387"/>
      <c r="C651" s="387"/>
      <c r="D651" s="364"/>
      <c r="E651" s="387"/>
      <c r="F651" s="387"/>
      <c r="G651" s="387"/>
      <c r="H651" s="387"/>
      <c r="I651" s="387"/>
      <c r="J651" s="387"/>
      <c r="K651" s="387"/>
      <c r="L651" s="364"/>
      <c r="M651" s="364"/>
      <c r="N651" s="387"/>
      <c r="O651" s="387"/>
      <c r="P651" s="387"/>
      <c r="Q651" s="387"/>
      <c r="R651" s="387"/>
      <c r="S651" s="387"/>
      <c r="T651" s="387"/>
      <c r="U651" s="387"/>
      <c r="V651" s="387"/>
      <c r="W651" s="387"/>
      <c r="X651" s="387"/>
      <c r="Y651" s="387"/>
      <c r="Z651" s="387"/>
      <c r="AA651" s="387"/>
      <c r="AB651" s="387"/>
    </row>
    <row r="652">
      <c r="A652" s="364"/>
      <c r="B652" s="387"/>
      <c r="C652" s="387"/>
      <c r="D652" s="364"/>
      <c r="E652" s="387"/>
      <c r="F652" s="387"/>
      <c r="G652" s="387"/>
      <c r="H652" s="387"/>
      <c r="I652" s="387"/>
      <c r="J652" s="387"/>
      <c r="K652" s="387"/>
      <c r="L652" s="364"/>
      <c r="M652" s="364"/>
      <c r="N652" s="387"/>
      <c r="O652" s="387"/>
      <c r="P652" s="387"/>
      <c r="Q652" s="387"/>
      <c r="R652" s="387"/>
      <c r="S652" s="387"/>
      <c r="T652" s="387"/>
      <c r="U652" s="387"/>
      <c r="V652" s="387"/>
      <c r="W652" s="387"/>
      <c r="X652" s="387"/>
      <c r="Y652" s="387"/>
      <c r="Z652" s="387"/>
      <c r="AA652" s="387"/>
      <c r="AB652" s="387"/>
    </row>
    <row r="653">
      <c r="A653" s="364"/>
      <c r="B653" s="387"/>
      <c r="C653" s="387"/>
      <c r="D653" s="364"/>
      <c r="E653" s="387"/>
      <c r="F653" s="387"/>
      <c r="G653" s="387"/>
      <c r="H653" s="387"/>
      <c r="I653" s="387"/>
      <c r="J653" s="387"/>
      <c r="K653" s="387"/>
      <c r="L653" s="364"/>
      <c r="M653" s="364"/>
      <c r="N653" s="387"/>
      <c r="O653" s="387"/>
      <c r="P653" s="387"/>
      <c r="Q653" s="387"/>
      <c r="R653" s="387"/>
      <c r="S653" s="387"/>
      <c r="T653" s="387"/>
      <c r="U653" s="387"/>
      <c r="V653" s="387"/>
      <c r="W653" s="387"/>
      <c r="X653" s="387"/>
      <c r="Y653" s="387"/>
      <c r="Z653" s="387"/>
      <c r="AA653" s="387"/>
      <c r="AB653" s="387"/>
    </row>
    <row r="654">
      <c r="A654" s="364"/>
      <c r="B654" s="387"/>
      <c r="C654" s="387"/>
      <c r="D654" s="364"/>
      <c r="E654" s="387"/>
      <c r="F654" s="387"/>
      <c r="G654" s="387"/>
      <c r="H654" s="387"/>
      <c r="I654" s="387"/>
      <c r="J654" s="387"/>
      <c r="K654" s="387"/>
      <c r="L654" s="364"/>
      <c r="M654" s="364"/>
      <c r="N654" s="387"/>
      <c r="O654" s="387"/>
      <c r="P654" s="387"/>
      <c r="Q654" s="387"/>
      <c r="R654" s="387"/>
      <c r="S654" s="387"/>
      <c r="T654" s="387"/>
      <c r="U654" s="387"/>
      <c r="V654" s="387"/>
      <c r="W654" s="387"/>
      <c r="X654" s="387"/>
      <c r="Y654" s="387"/>
      <c r="Z654" s="387"/>
      <c r="AA654" s="387"/>
      <c r="AB654" s="387"/>
    </row>
    <row r="655">
      <c r="A655" s="364"/>
      <c r="B655" s="387"/>
      <c r="C655" s="387"/>
      <c r="D655" s="364"/>
      <c r="E655" s="387"/>
      <c r="F655" s="387"/>
      <c r="G655" s="387"/>
      <c r="H655" s="387"/>
      <c r="I655" s="387"/>
      <c r="J655" s="387"/>
      <c r="K655" s="387"/>
      <c r="L655" s="364"/>
      <c r="M655" s="364"/>
      <c r="N655" s="387"/>
      <c r="O655" s="387"/>
      <c r="P655" s="387"/>
      <c r="Q655" s="387"/>
      <c r="R655" s="387"/>
      <c r="S655" s="387"/>
      <c r="T655" s="387"/>
      <c r="U655" s="387"/>
      <c r="V655" s="387"/>
      <c r="W655" s="387"/>
      <c r="X655" s="387"/>
      <c r="Y655" s="387"/>
      <c r="Z655" s="387"/>
      <c r="AA655" s="387"/>
      <c r="AB655" s="387"/>
    </row>
    <row r="656">
      <c r="A656" s="364"/>
      <c r="B656" s="387"/>
      <c r="C656" s="387"/>
      <c r="D656" s="364"/>
      <c r="E656" s="387"/>
      <c r="F656" s="387"/>
      <c r="G656" s="387"/>
      <c r="H656" s="387"/>
      <c r="I656" s="387"/>
      <c r="J656" s="387"/>
      <c r="K656" s="387"/>
      <c r="L656" s="364"/>
      <c r="M656" s="364"/>
      <c r="N656" s="387"/>
      <c r="O656" s="387"/>
      <c r="P656" s="387"/>
      <c r="Q656" s="387"/>
      <c r="R656" s="387"/>
      <c r="S656" s="387"/>
      <c r="T656" s="387"/>
      <c r="U656" s="387"/>
      <c r="V656" s="387"/>
      <c r="W656" s="387"/>
      <c r="X656" s="387"/>
      <c r="Y656" s="387"/>
      <c r="Z656" s="387"/>
      <c r="AA656" s="387"/>
      <c r="AB656" s="387"/>
    </row>
    <row r="657">
      <c r="A657" s="364"/>
      <c r="B657" s="387"/>
      <c r="C657" s="387"/>
      <c r="D657" s="364"/>
      <c r="E657" s="387"/>
      <c r="F657" s="387"/>
      <c r="G657" s="387"/>
      <c r="H657" s="387"/>
      <c r="I657" s="387"/>
      <c r="J657" s="387"/>
      <c r="K657" s="387"/>
      <c r="L657" s="364"/>
      <c r="M657" s="364"/>
      <c r="N657" s="387"/>
      <c r="O657" s="387"/>
      <c r="P657" s="387"/>
      <c r="Q657" s="387"/>
      <c r="R657" s="387"/>
      <c r="S657" s="387"/>
      <c r="T657" s="387"/>
      <c r="U657" s="387"/>
      <c r="V657" s="387"/>
      <c r="W657" s="387"/>
      <c r="X657" s="387"/>
      <c r="Y657" s="387"/>
      <c r="Z657" s="387"/>
      <c r="AA657" s="387"/>
      <c r="AB657" s="387"/>
    </row>
    <row r="658">
      <c r="A658" s="364"/>
      <c r="B658" s="387"/>
      <c r="C658" s="387"/>
      <c r="D658" s="364"/>
      <c r="E658" s="387"/>
      <c r="F658" s="387"/>
      <c r="G658" s="387"/>
      <c r="H658" s="387"/>
      <c r="I658" s="387"/>
      <c r="J658" s="387"/>
      <c r="K658" s="387"/>
      <c r="L658" s="364"/>
      <c r="M658" s="364"/>
      <c r="N658" s="387"/>
      <c r="O658" s="387"/>
      <c r="P658" s="387"/>
      <c r="Q658" s="387"/>
      <c r="R658" s="387"/>
      <c r="S658" s="387"/>
      <c r="T658" s="387"/>
      <c r="U658" s="387"/>
      <c r="V658" s="387"/>
      <c r="W658" s="387"/>
      <c r="X658" s="387"/>
      <c r="Y658" s="387"/>
      <c r="Z658" s="387"/>
      <c r="AA658" s="387"/>
      <c r="AB658" s="387"/>
    </row>
    <row r="659">
      <c r="A659" s="364"/>
      <c r="B659" s="387"/>
      <c r="C659" s="387"/>
      <c r="D659" s="364"/>
      <c r="E659" s="387"/>
      <c r="F659" s="387"/>
      <c r="G659" s="387"/>
      <c r="H659" s="387"/>
      <c r="I659" s="387"/>
      <c r="J659" s="387"/>
      <c r="K659" s="387"/>
      <c r="L659" s="364"/>
      <c r="M659" s="364"/>
      <c r="N659" s="387"/>
      <c r="O659" s="387"/>
      <c r="P659" s="387"/>
      <c r="Q659" s="387"/>
      <c r="R659" s="387"/>
      <c r="S659" s="387"/>
      <c r="T659" s="387"/>
      <c r="U659" s="387"/>
      <c r="V659" s="387"/>
      <c r="W659" s="387"/>
      <c r="X659" s="387"/>
      <c r="Y659" s="387"/>
      <c r="Z659" s="387"/>
      <c r="AA659" s="387"/>
      <c r="AB659" s="387"/>
    </row>
    <row r="660">
      <c r="A660" s="364"/>
      <c r="B660" s="387"/>
      <c r="C660" s="387"/>
      <c r="D660" s="364"/>
      <c r="E660" s="387"/>
      <c r="F660" s="387"/>
      <c r="G660" s="387"/>
      <c r="H660" s="387"/>
      <c r="I660" s="387"/>
      <c r="J660" s="387"/>
      <c r="K660" s="387"/>
      <c r="L660" s="364"/>
      <c r="M660" s="364"/>
      <c r="N660" s="387"/>
      <c r="O660" s="387"/>
      <c r="P660" s="387"/>
      <c r="Q660" s="387"/>
      <c r="R660" s="387"/>
      <c r="S660" s="387"/>
      <c r="T660" s="387"/>
      <c r="U660" s="387"/>
      <c r="V660" s="387"/>
      <c r="W660" s="387"/>
      <c r="X660" s="387"/>
      <c r="Y660" s="387"/>
      <c r="Z660" s="387"/>
      <c r="AA660" s="387"/>
      <c r="AB660" s="387"/>
    </row>
    <row r="661">
      <c r="A661" s="364"/>
      <c r="B661" s="387"/>
      <c r="C661" s="387"/>
      <c r="D661" s="364"/>
      <c r="E661" s="387"/>
      <c r="F661" s="387"/>
      <c r="G661" s="387"/>
      <c r="H661" s="387"/>
      <c r="I661" s="387"/>
      <c r="J661" s="387"/>
      <c r="K661" s="387"/>
      <c r="L661" s="364"/>
      <c r="M661" s="364"/>
      <c r="N661" s="387"/>
      <c r="O661" s="387"/>
      <c r="P661" s="387"/>
      <c r="Q661" s="387"/>
      <c r="R661" s="387"/>
      <c r="S661" s="387"/>
      <c r="T661" s="387"/>
      <c r="U661" s="387"/>
      <c r="V661" s="387"/>
      <c r="W661" s="387"/>
      <c r="X661" s="387"/>
      <c r="Y661" s="387"/>
      <c r="Z661" s="387"/>
      <c r="AA661" s="387"/>
      <c r="AB661" s="387"/>
    </row>
    <row r="662">
      <c r="A662" s="364"/>
      <c r="B662" s="387"/>
      <c r="C662" s="387"/>
      <c r="D662" s="364"/>
      <c r="E662" s="387"/>
      <c r="F662" s="387"/>
      <c r="G662" s="387"/>
      <c r="H662" s="387"/>
      <c r="I662" s="387"/>
      <c r="J662" s="387"/>
      <c r="K662" s="387"/>
      <c r="L662" s="364"/>
      <c r="M662" s="364"/>
      <c r="N662" s="387"/>
      <c r="O662" s="387"/>
      <c r="P662" s="387"/>
      <c r="Q662" s="387"/>
      <c r="R662" s="387"/>
      <c r="S662" s="387"/>
      <c r="T662" s="387"/>
      <c r="U662" s="387"/>
      <c r="V662" s="387"/>
      <c r="W662" s="387"/>
      <c r="X662" s="387"/>
      <c r="Y662" s="387"/>
      <c r="Z662" s="387"/>
      <c r="AA662" s="387"/>
      <c r="AB662" s="387"/>
    </row>
    <row r="663">
      <c r="A663" s="364"/>
      <c r="B663" s="387"/>
      <c r="C663" s="387"/>
      <c r="D663" s="364"/>
      <c r="E663" s="387"/>
      <c r="F663" s="387"/>
      <c r="G663" s="387"/>
      <c r="H663" s="387"/>
      <c r="I663" s="387"/>
      <c r="J663" s="387"/>
      <c r="K663" s="387"/>
      <c r="L663" s="364"/>
      <c r="M663" s="364"/>
      <c r="N663" s="387"/>
      <c r="O663" s="387"/>
      <c r="P663" s="387"/>
      <c r="Q663" s="387"/>
      <c r="R663" s="387"/>
      <c r="S663" s="387"/>
      <c r="T663" s="387"/>
      <c r="U663" s="387"/>
      <c r="V663" s="387"/>
      <c r="W663" s="387"/>
      <c r="X663" s="387"/>
      <c r="Y663" s="387"/>
      <c r="Z663" s="387"/>
      <c r="AA663" s="387"/>
      <c r="AB663" s="387"/>
    </row>
    <row r="664">
      <c r="A664" s="364"/>
      <c r="B664" s="387"/>
      <c r="C664" s="387"/>
      <c r="D664" s="364"/>
      <c r="E664" s="387"/>
      <c r="F664" s="387"/>
      <c r="G664" s="387"/>
      <c r="H664" s="387"/>
      <c r="I664" s="387"/>
      <c r="J664" s="387"/>
      <c r="K664" s="387"/>
      <c r="L664" s="364"/>
      <c r="M664" s="364"/>
      <c r="N664" s="387"/>
      <c r="O664" s="387"/>
      <c r="P664" s="387"/>
      <c r="Q664" s="387"/>
      <c r="R664" s="387"/>
      <c r="S664" s="387"/>
      <c r="T664" s="387"/>
      <c r="U664" s="387"/>
      <c r="V664" s="387"/>
      <c r="W664" s="387"/>
      <c r="X664" s="387"/>
      <c r="Y664" s="387"/>
      <c r="Z664" s="387"/>
      <c r="AA664" s="387"/>
      <c r="AB664" s="387"/>
    </row>
    <row r="665">
      <c r="A665" s="364"/>
      <c r="B665" s="387"/>
      <c r="C665" s="387"/>
      <c r="D665" s="364"/>
      <c r="E665" s="387"/>
      <c r="F665" s="387"/>
      <c r="G665" s="387"/>
      <c r="H665" s="387"/>
      <c r="I665" s="387"/>
      <c r="J665" s="387"/>
      <c r="K665" s="387"/>
      <c r="L665" s="364"/>
      <c r="M665" s="364"/>
      <c r="N665" s="387"/>
      <c r="O665" s="387"/>
      <c r="P665" s="387"/>
      <c r="Q665" s="387"/>
      <c r="R665" s="387"/>
      <c r="S665" s="387"/>
      <c r="T665" s="387"/>
      <c r="U665" s="387"/>
      <c r="V665" s="387"/>
      <c r="W665" s="387"/>
      <c r="X665" s="387"/>
      <c r="Y665" s="387"/>
      <c r="Z665" s="387"/>
      <c r="AA665" s="387"/>
      <c r="AB665" s="387"/>
    </row>
    <row r="666">
      <c r="A666" s="364"/>
      <c r="B666" s="387"/>
      <c r="C666" s="387"/>
      <c r="D666" s="364"/>
      <c r="E666" s="387"/>
      <c r="F666" s="387"/>
      <c r="G666" s="387"/>
      <c r="H666" s="387"/>
      <c r="I666" s="387"/>
      <c r="J666" s="387"/>
      <c r="K666" s="387"/>
      <c r="L666" s="364"/>
      <c r="M666" s="364"/>
      <c r="N666" s="387"/>
      <c r="O666" s="387"/>
      <c r="P666" s="387"/>
      <c r="Q666" s="387"/>
      <c r="R666" s="387"/>
      <c r="S666" s="387"/>
      <c r="T666" s="387"/>
      <c r="U666" s="387"/>
      <c r="V666" s="387"/>
      <c r="W666" s="387"/>
      <c r="X666" s="387"/>
      <c r="Y666" s="387"/>
      <c r="Z666" s="387"/>
      <c r="AA666" s="387"/>
      <c r="AB666" s="387"/>
    </row>
    <row r="667">
      <c r="A667" s="364"/>
      <c r="B667" s="387"/>
      <c r="C667" s="387"/>
      <c r="D667" s="364"/>
      <c r="E667" s="387"/>
      <c r="F667" s="387"/>
      <c r="G667" s="387"/>
      <c r="H667" s="387"/>
      <c r="I667" s="387"/>
      <c r="J667" s="387"/>
      <c r="K667" s="387"/>
      <c r="L667" s="364"/>
      <c r="M667" s="364"/>
      <c r="N667" s="387"/>
      <c r="O667" s="387"/>
      <c r="P667" s="387"/>
      <c r="Q667" s="387"/>
      <c r="R667" s="387"/>
      <c r="S667" s="387"/>
      <c r="T667" s="387"/>
      <c r="U667" s="387"/>
      <c r="V667" s="387"/>
      <c r="W667" s="387"/>
      <c r="X667" s="387"/>
      <c r="Y667" s="387"/>
      <c r="Z667" s="387"/>
      <c r="AA667" s="387"/>
      <c r="AB667" s="387"/>
    </row>
    <row r="668">
      <c r="A668" s="364"/>
      <c r="B668" s="387"/>
      <c r="C668" s="387"/>
      <c r="D668" s="364"/>
      <c r="E668" s="387"/>
      <c r="F668" s="387"/>
      <c r="G668" s="387"/>
      <c r="H668" s="387"/>
      <c r="I668" s="387"/>
      <c r="J668" s="387"/>
      <c r="K668" s="387"/>
      <c r="L668" s="364"/>
      <c r="M668" s="364"/>
      <c r="N668" s="387"/>
      <c r="O668" s="387"/>
      <c r="P668" s="387"/>
      <c r="Q668" s="387"/>
      <c r="R668" s="387"/>
      <c r="S668" s="387"/>
      <c r="T668" s="387"/>
      <c r="U668" s="387"/>
      <c r="V668" s="387"/>
      <c r="W668" s="387"/>
      <c r="X668" s="387"/>
      <c r="Y668" s="387"/>
      <c r="Z668" s="387"/>
      <c r="AA668" s="387"/>
      <c r="AB668" s="387"/>
    </row>
    <row r="669">
      <c r="A669" s="364"/>
      <c r="B669" s="387"/>
      <c r="C669" s="387"/>
      <c r="D669" s="364"/>
      <c r="E669" s="387"/>
      <c r="F669" s="387"/>
      <c r="G669" s="387"/>
      <c r="H669" s="387"/>
      <c r="I669" s="387"/>
      <c r="J669" s="387"/>
      <c r="K669" s="387"/>
      <c r="L669" s="364"/>
      <c r="M669" s="364"/>
      <c r="N669" s="387"/>
      <c r="O669" s="387"/>
      <c r="P669" s="387"/>
      <c r="Q669" s="387"/>
      <c r="R669" s="387"/>
      <c r="S669" s="387"/>
      <c r="T669" s="387"/>
      <c r="U669" s="387"/>
      <c r="V669" s="387"/>
      <c r="W669" s="387"/>
      <c r="X669" s="387"/>
      <c r="Y669" s="387"/>
      <c r="Z669" s="387"/>
      <c r="AA669" s="387"/>
      <c r="AB669" s="387"/>
    </row>
    <row r="670">
      <c r="A670" s="364"/>
      <c r="B670" s="387"/>
      <c r="C670" s="387"/>
      <c r="D670" s="364"/>
      <c r="E670" s="387"/>
      <c r="F670" s="387"/>
      <c r="G670" s="387"/>
      <c r="H670" s="387"/>
      <c r="I670" s="387"/>
      <c r="J670" s="387"/>
      <c r="K670" s="387"/>
      <c r="L670" s="364"/>
      <c r="M670" s="364"/>
      <c r="N670" s="387"/>
      <c r="O670" s="387"/>
      <c r="P670" s="387"/>
      <c r="Q670" s="387"/>
      <c r="R670" s="387"/>
      <c r="S670" s="387"/>
      <c r="T670" s="387"/>
      <c r="U670" s="387"/>
      <c r="V670" s="387"/>
      <c r="W670" s="387"/>
      <c r="X670" s="387"/>
      <c r="Y670" s="387"/>
      <c r="Z670" s="387"/>
      <c r="AA670" s="387"/>
      <c r="AB670" s="387"/>
    </row>
    <row r="671">
      <c r="A671" s="364"/>
      <c r="B671" s="387"/>
      <c r="C671" s="387"/>
      <c r="D671" s="364"/>
      <c r="E671" s="387"/>
      <c r="F671" s="387"/>
      <c r="G671" s="387"/>
      <c r="H671" s="387"/>
      <c r="I671" s="387"/>
      <c r="J671" s="387"/>
      <c r="K671" s="387"/>
      <c r="L671" s="364"/>
      <c r="M671" s="364"/>
      <c r="N671" s="387"/>
      <c r="O671" s="387"/>
      <c r="P671" s="387"/>
      <c r="Q671" s="387"/>
      <c r="R671" s="387"/>
      <c r="S671" s="387"/>
      <c r="T671" s="387"/>
      <c r="U671" s="387"/>
      <c r="V671" s="387"/>
      <c r="W671" s="387"/>
      <c r="X671" s="387"/>
      <c r="Y671" s="387"/>
      <c r="Z671" s="387"/>
      <c r="AA671" s="387"/>
      <c r="AB671" s="387"/>
    </row>
    <row r="672">
      <c r="A672" s="364"/>
      <c r="B672" s="387"/>
      <c r="C672" s="387"/>
      <c r="D672" s="364"/>
      <c r="E672" s="387"/>
      <c r="F672" s="387"/>
      <c r="G672" s="387"/>
      <c r="H672" s="387"/>
      <c r="I672" s="387"/>
      <c r="J672" s="387"/>
      <c r="K672" s="387"/>
      <c r="L672" s="364"/>
      <c r="M672" s="364"/>
      <c r="N672" s="387"/>
      <c r="O672" s="387"/>
      <c r="P672" s="387"/>
      <c r="Q672" s="387"/>
      <c r="R672" s="387"/>
      <c r="S672" s="387"/>
      <c r="T672" s="387"/>
      <c r="U672" s="387"/>
      <c r="V672" s="387"/>
      <c r="W672" s="387"/>
      <c r="X672" s="387"/>
      <c r="Y672" s="387"/>
      <c r="Z672" s="387"/>
      <c r="AA672" s="387"/>
      <c r="AB672" s="387"/>
    </row>
    <row r="673">
      <c r="A673" s="364"/>
      <c r="B673" s="387"/>
      <c r="C673" s="387"/>
      <c r="D673" s="364"/>
      <c r="E673" s="387"/>
      <c r="F673" s="387"/>
      <c r="G673" s="387"/>
      <c r="H673" s="387"/>
      <c r="I673" s="387"/>
      <c r="J673" s="387"/>
      <c r="K673" s="387"/>
      <c r="L673" s="364"/>
      <c r="M673" s="364"/>
      <c r="N673" s="387"/>
      <c r="O673" s="387"/>
      <c r="P673" s="387"/>
      <c r="Q673" s="387"/>
      <c r="R673" s="387"/>
      <c r="S673" s="387"/>
      <c r="T673" s="387"/>
      <c r="U673" s="387"/>
      <c r="V673" s="387"/>
      <c r="W673" s="387"/>
      <c r="X673" s="387"/>
      <c r="Y673" s="387"/>
      <c r="Z673" s="387"/>
      <c r="AA673" s="387"/>
      <c r="AB673" s="387"/>
    </row>
    <row r="674">
      <c r="A674" s="364"/>
      <c r="B674" s="387"/>
      <c r="C674" s="387"/>
      <c r="D674" s="364"/>
      <c r="E674" s="387"/>
      <c r="F674" s="387"/>
      <c r="G674" s="387"/>
      <c r="H674" s="387"/>
      <c r="I674" s="387"/>
      <c r="J674" s="387"/>
      <c r="K674" s="387"/>
      <c r="L674" s="364"/>
      <c r="M674" s="364"/>
      <c r="N674" s="387"/>
      <c r="O674" s="387"/>
      <c r="P674" s="387"/>
      <c r="Q674" s="387"/>
      <c r="R674" s="387"/>
      <c r="S674" s="387"/>
      <c r="T674" s="387"/>
      <c r="U674" s="387"/>
      <c r="V674" s="387"/>
      <c r="W674" s="387"/>
      <c r="X674" s="387"/>
      <c r="Y674" s="387"/>
      <c r="Z674" s="387"/>
      <c r="AA674" s="387"/>
      <c r="AB674" s="387"/>
    </row>
    <row r="675">
      <c r="A675" s="364"/>
      <c r="B675" s="387"/>
      <c r="C675" s="387"/>
      <c r="D675" s="364"/>
      <c r="E675" s="387"/>
      <c r="F675" s="387"/>
      <c r="G675" s="387"/>
      <c r="H675" s="387"/>
      <c r="I675" s="387"/>
      <c r="J675" s="387"/>
      <c r="K675" s="387"/>
      <c r="L675" s="364"/>
      <c r="M675" s="364"/>
      <c r="N675" s="387"/>
      <c r="O675" s="387"/>
      <c r="P675" s="387"/>
      <c r="Q675" s="387"/>
      <c r="R675" s="387"/>
      <c r="S675" s="387"/>
      <c r="T675" s="387"/>
      <c r="U675" s="387"/>
      <c r="V675" s="387"/>
      <c r="W675" s="387"/>
      <c r="X675" s="387"/>
      <c r="Y675" s="387"/>
      <c r="Z675" s="387"/>
      <c r="AA675" s="387"/>
      <c r="AB675" s="387"/>
    </row>
    <row r="676">
      <c r="A676" s="364"/>
      <c r="B676" s="387"/>
      <c r="C676" s="387"/>
      <c r="D676" s="364"/>
      <c r="E676" s="387"/>
      <c r="F676" s="387"/>
      <c r="G676" s="387"/>
      <c r="H676" s="387"/>
      <c r="I676" s="387"/>
      <c r="J676" s="387"/>
      <c r="K676" s="387"/>
      <c r="L676" s="364"/>
      <c r="M676" s="364"/>
      <c r="N676" s="387"/>
      <c r="O676" s="387"/>
      <c r="P676" s="387"/>
      <c r="Q676" s="387"/>
      <c r="R676" s="387"/>
      <c r="S676" s="387"/>
      <c r="T676" s="387"/>
      <c r="U676" s="387"/>
      <c r="V676" s="387"/>
      <c r="W676" s="387"/>
      <c r="X676" s="387"/>
      <c r="Y676" s="387"/>
      <c r="Z676" s="387"/>
      <c r="AA676" s="387"/>
      <c r="AB676" s="387"/>
    </row>
    <row r="677">
      <c r="A677" s="364"/>
      <c r="B677" s="387"/>
      <c r="C677" s="387"/>
      <c r="D677" s="364"/>
      <c r="E677" s="387"/>
      <c r="F677" s="387"/>
      <c r="G677" s="387"/>
      <c r="H677" s="387"/>
      <c r="I677" s="387"/>
      <c r="J677" s="387"/>
      <c r="K677" s="387"/>
      <c r="L677" s="364"/>
      <c r="M677" s="364"/>
      <c r="N677" s="387"/>
      <c r="O677" s="387"/>
      <c r="P677" s="387"/>
      <c r="Q677" s="387"/>
      <c r="R677" s="387"/>
      <c r="S677" s="387"/>
      <c r="T677" s="387"/>
      <c r="U677" s="387"/>
      <c r="V677" s="387"/>
      <c r="W677" s="387"/>
      <c r="X677" s="387"/>
      <c r="Y677" s="387"/>
      <c r="Z677" s="387"/>
      <c r="AA677" s="387"/>
      <c r="AB677" s="387"/>
    </row>
    <row r="678">
      <c r="A678" s="364"/>
      <c r="B678" s="387"/>
      <c r="C678" s="387"/>
      <c r="D678" s="364"/>
      <c r="E678" s="387"/>
      <c r="F678" s="387"/>
      <c r="G678" s="387"/>
      <c r="H678" s="387"/>
      <c r="I678" s="387"/>
      <c r="J678" s="387"/>
      <c r="K678" s="387"/>
      <c r="L678" s="364"/>
      <c r="M678" s="364"/>
      <c r="N678" s="387"/>
      <c r="O678" s="387"/>
      <c r="P678" s="387"/>
      <c r="Q678" s="387"/>
      <c r="R678" s="387"/>
      <c r="S678" s="387"/>
      <c r="T678" s="387"/>
      <c r="U678" s="387"/>
      <c r="V678" s="387"/>
      <c r="W678" s="387"/>
      <c r="X678" s="387"/>
      <c r="Y678" s="387"/>
      <c r="Z678" s="387"/>
      <c r="AA678" s="387"/>
      <c r="AB678" s="387"/>
    </row>
    <row r="679">
      <c r="A679" s="364"/>
      <c r="B679" s="387"/>
      <c r="C679" s="387"/>
      <c r="D679" s="364"/>
      <c r="E679" s="387"/>
      <c r="F679" s="387"/>
      <c r="G679" s="387"/>
      <c r="H679" s="387"/>
      <c r="I679" s="387"/>
      <c r="J679" s="387"/>
      <c r="K679" s="387"/>
      <c r="L679" s="364"/>
      <c r="M679" s="364"/>
      <c r="N679" s="387"/>
      <c r="O679" s="387"/>
      <c r="P679" s="387"/>
      <c r="Q679" s="387"/>
      <c r="R679" s="387"/>
      <c r="S679" s="387"/>
      <c r="T679" s="387"/>
      <c r="U679" s="387"/>
      <c r="V679" s="387"/>
      <c r="W679" s="387"/>
      <c r="X679" s="387"/>
      <c r="Y679" s="387"/>
      <c r="Z679" s="387"/>
      <c r="AA679" s="387"/>
      <c r="AB679" s="387"/>
    </row>
    <row r="680">
      <c r="A680" s="364"/>
      <c r="B680" s="387"/>
      <c r="C680" s="387"/>
      <c r="D680" s="364"/>
      <c r="E680" s="387"/>
      <c r="F680" s="387"/>
      <c r="G680" s="387"/>
      <c r="H680" s="387"/>
      <c r="I680" s="387"/>
      <c r="J680" s="387"/>
      <c r="K680" s="387"/>
      <c r="L680" s="364"/>
      <c r="M680" s="364"/>
      <c r="N680" s="387"/>
      <c r="O680" s="387"/>
      <c r="P680" s="387"/>
      <c r="Q680" s="387"/>
      <c r="R680" s="387"/>
      <c r="S680" s="387"/>
      <c r="T680" s="387"/>
      <c r="U680" s="387"/>
      <c r="V680" s="387"/>
      <c r="W680" s="387"/>
      <c r="X680" s="387"/>
      <c r="Y680" s="387"/>
      <c r="Z680" s="387"/>
      <c r="AA680" s="387"/>
      <c r="AB680" s="387"/>
    </row>
    <row r="681">
      <c r="A681" s="364"/>
      <c r="B681" s="387"/>
      <c r="C681" s="387"/>
      <c r="D681" s="364"/>
      <c r="E681" s="387"/>
      <c r="F681" s="387"/>
      <c r="G681" s="387"/>
      <c r="H681" s="387"/>
      <c r="I681" s="387"/>
      <c r="J681" s="387"/>
      <c r="K681" s="387"/>
      <c r="L681" s="364"/>
      <c r="M681" s="364"/>
      <c r="N681" s="387"/>
      <c r="O681" s="387"/>
      <c r="P681" s="387"/>
      <c r="Q681" s="387"/>
      <c r="R681" s="387"/>
      <c r="S681" s="387"/>
      <c r="T681" s="387"/>
      <c r="U681" s="387"/>
      <c r="V681" s="387"/>
      <c r="W681" s="387"/>
      <c r="X681" s="387"/>
      <c r="Y681" s="387"/>
      <c r="Z681" s="387"/>
      <c r="AA681" s="387"/>
      <c r="AB681" s="387"/>
    </row>
    <row r="682">
      <c r="A682" s="364"/>
      <c r="B682" s="387"/>
      <c r="C682" s="387"/>
      <c r="D682" s="364"/>
      <c r="E682" s="387"/>
      <c r="F682" s="387"/>
      <c r="G682" s="387"/>
      <c r="H682" s="387"/>
      <c r="I682" s="387"/>
      <c r="J682" s="387"/>
      <c r="K682" s="387"/>
      <c r="L682" s="364"/>
      <c r="M682" s="364"/>
      <c r="N682" s="387"/>
      <c r="O682" s="387"/>
      <c r="P682" s="387"/>
      <c r="Q682" s="387"/>
      <c r="R682" s="387"/>
      <c r="S682" s="387"/>
      <c r="T682" s="387"/>
      <c r="U682" s="387"/>
      <c r="V682" s="387"/>
      <c r="W682" s="387"/>
      <c r="X682" s="387"/>
      <c r="Y682" s="387"/>
      <c r="Z682" s="387"/>
      <c r="AA682" s="387"/>
      <c r="AB682" s="387"/>
    </row>
    <row r="683">
      <c r="A683" s="364"/>
      <c r="B683" s="387"/>
      <c r="C683" s="387"/>
      <c r="D683" s="364"/>
      <c r="E683" s="387"/>
      <c r="F683" s="387"/>
      <c r="G683" s="387"/>
      <c r="H683" s="387"/>
      <c r="I683" s="387"/>
      <c r="J683" s="387"/>
      <c r="K683" s="387"/>
      <c r="L683" s="364"/>
      <c r="M683" s="364"/>
      <c r="N683" s="387"/>
      <c r="O683" s="387"/>
      <c r="P683" s="387"/>
      <c r="Q683" s="387"/>
      <c r="R683" s="387"/>
      <c r="S683" s="387"/>
      <c r="T683" s="387"/>
      <c r="U683" s="387"/>
      <c r="V683" s="387"/>
      <c r="W683" s="387"/>
      <c r="X683" s="387"/>
      <c r="Y683" s="387"/>
      <c r="Z683" s="387"/>
      <c r="AA683" s="387"/>
      <c r="AB683" s="387"/>
    </row>
    <row r="684">
      <c r="A684" s="364"/>
      <c r="B684" s="387"/>
      <c r="C684" s="387"/>
      <c r="D684" s="364"/>
      <c r="E684" s="387"/>
      <c r="F684" s="387"/>
      <c r="G684" s="387"/>
      <c r="H684" s="387"/>
      <c r="I684" s="387"/>
      <c r="J684" s="387"/>
      <c r="K684" s="387"/>
      <c r="L684" s="364"/>
      <c r="M684" s="364"/>
      <c r="N684" s="387"/>
      <c r="O684" s="387"/>
      <c r="P684" s="387"/>
      <c r="Q684" s="387"/>
      <c r="R684" s="387"/>
      <c r="S684" s="387"/>
      <c r="T684" s="387"/>
      <c r="U684" s="387"/>
      <c r="V684" s="387"/>
      <c r="W684" s="387"/>
      <c r="X684" s="387"/>
      <c r="Y684" s="387"/>
      <c r="Z684" s="387"/>
      <c r="AA684" s="387"/>
      <c r="AB684" s="387"/>
    </row>
    <row r="685">
      <c r="A685" s="364"/>
      <c r="B685" s="387"/>
      <c r="C685" s="387"/>
      <c r="D685" s="364"/>
      <c r="E685" s="387"/>
      <c r="F685" s="387"/>
      <c r="G685" s="387"/>
      <c r="H685" s="387"/>
      <c r="I685" s="387"/>
      <c r="J685" s="387"/>
      <c r="K685" s="387"/>
      <c r="L685" s="364"/>
      <c r="M685" s="364"/>
      <c r="N685" s="387"/>
      <c r="O685" s="387"/>
      <c r="P685" s="387"/>
      <c r="Q685" s="387"/>
      <c r="R685" s="387"/>
      <c r="S685" s="387"/>
      <c r="T685" s="387"/>
      <c r="U685" s="387"/>
      <c r="V685" s="387"/>
      <c r="W685" s="387"/>
      <c r="X685" s="387"/>
      <c r="Y685" s="387"/>
      <c r="Z685" s="387"/>
      <c r="AA685" s="387"/>
      <c r="AB685" s="387"/>
    </row>
    <row r="686">
      <c r="A686" s="364"/>
      <c r="B686" s="387"/>
      <c r="C686" s="387"/>
      <c r="D686" s="364"/>
      <c r="E686" s="387"/>
      <c r="F686" s="387"/>
      <c r="G686" s="387"/>
      <c r="H686" s="387"/>
      <c r="I686" s="387"/>
      <c r="J686" s="387"/>
      <c r="K686" s="387"/>
      <c r="L686" s="364"/>
      <c r="M686" s="364"/>
      <c r="N686" s="387"/>
      <c r="O686" s="387"/>
      <c r="P686" s="387"/>
      <c r="Q686" s="387"/>
      <c r="R686" s="387"/>
      <c r="S686" s="387"/>
      <c r="T686" s="387"/>
      <c r="U686" s="387"/>
      <c r="V686" s="387"/>
      <c r="W686" s="387"/>
      <c r="X686" s="387"/>
      <c r="Y686" s="387"/>
      <c r="Z686" s="387"/>
      <c r="AA686" s="387"/>
      <c r="AB686" s="387"/>
    </row>
    <row r="687">
      <c r="A687" s="364"/>
      <c r="B687" s="387"/>
      <c r="C687" s="387"/>
      <c r="D687" s="364"/>
      <c r="E687" s="387"/>
      <c r="F687" s="387"/>
      <c r="G687" s="387"/>
      <c r="H687" s="387"/>
      <c r="I687" s="387"/>
      <c r="J687" s="387"/>
      <c r="K687" s="387"/>
      <c r="L687" s="364"/>
      <c r="M687" s="364"/>
      <c r="N687" s="387"/>
      <c r="O687" s="387"/>
      <c r="P687" s="387"/>
      <c r="Q687" s="387"/>
      <c r="R687" s="387"/>
      <c r="S687" s="387"/>
      <c r="T687" s="387"/>
      <c r="U687" s="387"/>
      <c r="V687" s="387"/>
      <c r="W687" s="387"/>
      <c r="X687" s="387"/>
      <c r="Y687" s="387"/>
      <c r="Z687" s="387"/>
      <c r="AA687" s="387"/>
      <c r="AB687" s="387"/>
    </row>
    <row r="688">
      <c r="A688" s="364"/>
      <c r="B688" s="387"/>
      <c r="C688" s="387"/>
      <c r="D688" s="364"/>
      <c r="E688" s="387"/>
      <c r="F688" s="387"/>
      <c r="G688" s="387"/>
      <c r="H688" s="387"/>
      <c r="I688" s="387"/>
      <c r="J688" s="387"/>
      <c r="K688" s="387"/>
      <c r="L688" s="364"/>
      <c r="M688" s="364"/>
      <c r="N688" s="387"/>
      <c r="O688" s="387"/>
      <c r="P688" s="387"/>
      <c r="Q688" s="387"/>
      <c r="R688" s="387"/>
      <c r="S688" s="387"/>
      <c r="T688" s="387"/>
      <c r="U688" s="387"/>
      <c r="V688" s="387"/>
      <c r="W688" s="387"/>
      <c r="X688" s="387"/>
      <c r="Y688" s="387"/>
      <c r="Z688" s="387"/>
      <c r="AA688" s="387"/>
      <c r="AB688" s="387"/>
    </row>
    <row r="689">
      <c r="A689" s="364"/>
      <c r="B689" s="387"/>
      <c r="C689" s="387"/>
      <c r="D689" s="364"/>
      <c r="E689" s="387"/>
      <c r="F689" s="387"/>
      <c r="G689" s="387"/>
      <c r="H689" s="387"/>
      <c r="I689" s="387"/>
      <c r="J689" s="387"/>
      <c r="K689" s="387"/>
      <c r="L689" s="364"/>
      <c r="M689" s="364"/>
      <c r="N689" s="387"/>
      <c r="O689" s="387"/>
      <c r="P689" s="387"/>
      <c r="Q689" s="387"/>
      <c r="R689" s="387"/>
      <c r="S689" s="387"/>
      <c r="T689" s="387"/>
      <c r="U689" s="387"/>
      <c r="V689" s="387"/>
      <c r="W689" s="387"/>
      <c r="X689" s="387"/>
      <c r="Y689" s="387"/>
      <c r="Z689" s="387"/>
      <c r="AA689" s="387"/>
      <c r="AB689" s="387"/>
    </row>
    <row r="690">
      <c r="A690" s="364"/>
      <c r="B690" s="387"/>
      <c r="C690" s="387"/>
      <c r="D690" s="364"/>
      <c r="E690" s="387"/>
      <c r="F690" s="387"/>
      <c r="G690" s="387"/>
      <c r="H690" s="387"/>
      <c r="I690" s="387"/>
      <c r="J690" s="387"/>
      <c r="K690" s="387"/>
      <c r="L690" s="364"/>
      <c r="M690" s="364"/>
      <c r="N690" s="387"/>
      <c r="O690" s="387"/>
      <c r="P690" s="387"/>
      <c r="Q690" s="387"/>
      <c r="R690" s="387"/>
      <c r="S690" s="387"/>
      <c r="T690" s="387"/>
      <c r="U690" s="387"/>
      <c r="V690" s="387"/>
      <c r="W690" s="387"/>
      <c r="X690" s="387"/>
      <c r="Y690" s="387"/>
      <c r="Z690" s="387"/>
      <c r="AA690" s="387"/>
      <c r="AB690" s="387"/>
    </row>
    <row r="691">
      <c r="A691" s="364"/>
      <c r="B691" s="387"/>
      <c r="C691" s="387"/>
      <c r="D691" s="364"/>
      <c r="E691" s="387"/>
      <c r="F691" s="387"/>
      <c r="G691" s="387"/>
      <c r="H691" s="387"/>
      <c r="I691" s="387"/>
      <c r="J691" s="387"/>
      <c r="K691" s="387"/>
      <c r="L691" s="364"/>
      <c r="M691" s="364"/>
      <c r="N691" s="387"/>
      <c r="O691" s="387"/>
      <c r="P691" s="387"/>
      <c r="Q691" s="387"/>
      <c r="R691" s="387"/>
      <c r="S691" s="387"/>
      <c r="T691" s="387"/>
      <c r="U691" s="387"/>
      <c r="V691" s="387"/>
      <c r="W691" s="387"/>
      <c r="X691" s="387"/>
      <c r="Y691" s="387"/>
      <c r="Z691" s="387"/>
      <c r="AA691" s="387"/>
      <c r="AB691" s="387"/>
    </row>
    <row r="692">
      <c r="A692" s="364"/>
      <c r="B692" s="387"/>
      <c r="C692" s="387"/>
      <c r="D692" s="364"/>
      <c r="E692" s="387"/>
      <c r="F692" s="387"/>
      <c r="G692" s="387"/>
      <c r="H692" s="387"/>
      <c r="I692" s="387"/>
      <c r="J692" s="387"/>
      <c r="K692" s="387"/>
      <c r="L692" s="364"/>
      <c r="M692" s="364"/>
      <c r="N692" s="387"/>
      <c r="O692" s="387"/>
      <c r="P692" s="387"/>
      <c r="Q692" s="387"/>
      <c r="R692" s="387"/>
      <c r="S692" s="387"/>
      <c r="T692" s="387"/>
      <c r="U692" s="387"/>
      <c r="V692" s="387"/>
      <c r="W692" s="387"/>
      <c r="X692" s="387"/>
      <c r="Y692" s="387"/>
      <c r="Z692" s="387"/>
      <c r="AA692" s="387"/>
      <c r="AB692" s="387"/>
    </row>
    <row r="693">
      <c r="A693" s="364"/>
      <c r="B693" s="387"/>
      <c r="C693" s="387"/>
      <c r="D693" s="364"/>
      <c r="E693" s="387"/>
      <c r="F693" s="387"/>
      <c r="G693" s="387"/>
      <c r="H693" s="387"/>
      <c r="I693" s="387"/>
      <c r="J693" s="387"/>
      <c r="K693" s="387"/>
      <c r="L693" s="364"/>
      <c r="M693" s="364"/>
      <c r="N693" s="387"/>
      <c r="O693" s="387"/>
      <c r="P693" s="387"/>
      <c r="Q693" s="387"/>
      <c r="R693" s="387"/>
      <c r="S693" s="387"/>
      <c r="T693" s="387"/>
      <c r="U693" s="387"/>
      <c r="V693" s="387"/>
      <c r="W693" s="387"/>
      <c r="X693" s="387"/>
      <c r="Y693" s="387"/>
      <c r="Z693" s="387"/>
      <c r="AA693" s="387"/>
      <c r="AB693" s="387"/>
    </row>
    <row r="694">
      <c r="A694" s="364"/>
      <c r="B694" s="387"/>
      <c r="C694" s="387"/>
      <c r="D694" s="364"/>
      <c r="E694" s="387"/>
      <c r="F694" s="387"/>
      <c r="G694" s="387"/>
      <c r="H694" s="387"/>
      <c r="I694" s="387"/>
      <c r="J694" s="387"/>
      <c r="K694" s="387"/>
      <c r="L694" s="364"/>
      <c r="M694" s="364"/>
      <c r="N694" s="387"/>
      <c r="O694" s="387"/>
      <c r="P694" s="387"/>
      <c r="Q694" s="387"/>
      <c r="R694" s="387"/>
      <c r="S694" s="387"/>
      <c r="T694" s="387"/>
      <c r="U694" s="387"/>
      <c r="V694" s="387"/>
      <c r="W694" s="387"/>
      <c r="X694" s="387"/>
      <c r="Y694" s="387"/>
      <c r="Z694" s="387"/>
      <c r="AA694" s="387"/>
      <c r="AB694" s="387"/>
    </row>
    <row r="695">
      <c r="A695" s="364"/>
      <c r="B695" s="387"/>
      <c r="C695" s="387"/>
      <c r="D695" s="364"/>
      <c r="E695" s="387"/>
      <c r="F695" s="387"/>
      <c r="G695" s="387"/>
      <c r="H695" s="387"/>
      <c r="I695" s="387"/>
      <c r="J695" s="387"/>
      <c r="K695" s="387"/>
      <c r="L695" s="364"/>
      <c r="M695" s="364"/>
      <c r="N695" s="387"/>
      <c r="O695" s="387"/>
      <c r="P695" s="387"/>
      <c r="Q695" s="387"/>
      <c r="R695" s="387"/>
      <c r="S695" s="387"/>
      <c r="T695" s="387"/>
      <c r="U695" s="387"/>
      <c r="V695" s="387"/>
      <c r="W695" s="387"/>
      <c r="X695" s="387"/>
      <c r="Y695" s="387"/>
      <c r="Z695" s="387"/>
      <c r="AA695" s="387"/>
      <c r="AB695" s="387"/>
    </row>
    <row r="696">
      <c r="A696" s="364"/>
      <c r="B696" s="387"/>
      <c r="C696" s="387"/>
      <c r="D696" s="364"/>
      <c r="E696" s="387"/>
      <c r="F696" s="387"/>
      <c r="G696" s="387"/>
      <c r="H696" s="387"/>
      <c r="I696" s="387"/>
      <c r="J696" s="387"/>
      <c r="K696" s="387"/>
      <c r="L696" s="364"/>
      <c r="M696" s="364"/>
      <c r="N696" s="387"/>
      <c r="O696" s="387"/>
      <c r="P696" s="387"/>
      <c r="Q696" s="387"/>
      <c r="R696" s="387"/>
      <c r="S696" s="387"/>
      <c r="T696" s="387"/>
      <c r="U696" s="387"/>
      <c r="V696" s="387"/>
      <c r="W696" s="387"/>
      <c r="X696" s="387"/>
      <c r="Y696" s="387"/>
      <c r="Z696" s="387"/>
      <c r="AA696" s="387"/>
      <c r="AB696" s="387"/>
    </row>
    <row r="697">
      <c r="A697" s="364"/>
      <c r="B697" s="387"/>
      <c r="C697" s="387"/>
      <c r="D697" s="364"/>
      <c r="E697" s="387"/>
      <c r="F697" s="387"/>
      <c r="G697" s="387"/>
      <c r="H697" s="387"/>
      <c r="I697" s="387"/>
      <c r="J697" s="387"/>
      <c r="K697" s="387"/>
      <c r="L697" s="364"/>
      <c r="M697" s="364"/>
      <c r="N697" s="387"/>
      <c r="O697" s="387"/>
      <c r="P697" s="387"/>
      <c r="Q697" s="387"/>
      <c r="R697" s="387"/>
      <c r="S697" s="387"/>
      <c r="T697" s="387"/>
      <c r="U697" s="387"/>
      <c r="V697" s="387"/>
      <c r="W697" s="387"/>
      <c r="X697" s="387"/>
      <c r="Y697" s="387"/>
      <c r="Z697" s="387"/>
      <c r="AA697" s="387"/>
      <c r="AB697" s="387"/>
    </row>
    <row r="698">
      <c r="A698" s="364"/>
      <c r="B698" s="387"/>
      <c r="C698" s="387"/>
      <c r="D698" s="364"/>
      <c r="E698" s="387"/>
      <c r="F698" s="387"/>
      <c r="G698" s="387"/>
      <c r="H698" s="387"/>
      <c r="I698" s="387"/>
      <c r="J698" s="387"/>
      <c r="K698" s="387"/>
      <c r="L698" s="364"/>
      <c r="M698" s="364"/>
      <c r="N698" s="387"/>
      <c r="O698" s="387"/>
      <c r="P698" s="387"/>
      <c r="Q698" s="387"/>
      <c r="R698" s="387"/>
      <c r="S698" s="387"/>
      <c r="T698" s="387"/>
      <c r="U698" s="387"/>
      <c r="V698" s="387"/>
      <c r="W698" s="387"/>
      <c r="X698" s="387"/>
      <c r="Y698" s="387"/>
      <c r="Z698" s="387"/>
      <c r="AA698" s="387"/>
      <c r="AB698" s="387"/>
    </row>
    <row r="699">
      <c r="A699" s="364"/>
      <c r="B699" s="387"/>
      <c r="C699" s="387"/>
      <c r="D699" s="364"/>
      <c r="E699" s="387"/>
      <c r="F699" s="387"/>
      <c r="G699" s="387"/>
      <c r="H699" s="387"/>
      <c r="I699" s="387"/>
      <c r="J699" s="387"/>
      <c r="K699" s="387"/>
      <c r="L699" s="364"/>
      <c r="M699" s="364"/>
      <c r="N699" s="387"/>
      <c r="O699" s="387"/>
      <c r="P699" s="387"/>
      <c r="Q699" s="387"/>
      <c r="R699" s="387"/>
      <c r="S699" s="387"/>
      <c r="T699" s="387"/>
      <c r="U699" s="387"/>
      <c r="V699" s="387"/>
      <c r="W699" s="387"/>
      <c r="X699" s="387"/>
      <c r="Y699" s="387"/>
      <c r="Z699" s="387"/>
      <c r="AA699" s="387"/>
      <c r="AB699" s="387"/>
    </row>
    <row r="700">
      <c r="A700" s="364"/>
      <c r="B700" s="387"/>
      <c r="C700" s="387"/>
      <c r="D700" s="364"/>
      <c r="E700" s="387"/>
      <c r="F700" s="387"/>
      <c r="G700" s="387"/>
      <c r="H700" s="387"/>
      <c r="I700" s="387"/>
      <c r="J700" s="387"/>
      <c r="K700" s="387"/>
      <c r="L700" s="364"/>
      <c r="M700" s="364"/>
      <c r="N700" s="387"/>
      <c r="O700" s="387"/>
      <c r="P700" s="387"/>
      <c r="Q700" s="387"/>
      <c r="R700" s="387"/>
      <c r="S700" s="387"/>
      <c r="T700" s="387"/>
      <c r="U700" s="387"/>
      <c r="V700" s="387"/>
      <c r="W700" s="387"/>
      <c r="X700" s="387"/>
      <c r="Y700" s="387"/>
      <c r="Z700" s="387"/>
      <c r="AA700" s="387"/>
      <c r="AB700" s="387"/>
    </row>
    <row r="701">
      <c r="A701" s="364"/>
      <c r="B701" s="387"/>
      <c r="C701" s="387"/>
      <c r="D701" s="364"/>
      <c r="E701" s="387"/>
      <c r="F701" s="387"/>
      <c r="G701" s="387"/>
      <c r="H701" s="387"/>
      <c r="I701" s="387"/>
      <c r="J701" s="387"/>
      <c r="K701" s="387"/>
      <c r="L701" s="364"/>
      <c r="M701" s="364"/>
      <c r="N701" s="387"/>
      <c r="O701" s="387"/>
      <c r="P701" s="387"/>
      <c r="Q701" s="387"/>
      <c r="R701" s="387"/>
      <c r="S701" s="387"/>
      <c r="T701" s="387"/>
      <c r="U701" s="387"/>
      <c r="V701" s="387"/>
      <c r="W701" s="387"/>
      <c r="X701" s="387"/>
      <c r="Y701" s="387"/>
      <c r="Z701" s="387"/>
      <c r="AA701" s="387"/>
      <c r="AB701" s="387"/>
    </row>
    <row r="702">
      <c r="A702" s="364"/>
      <c r="B702" s="387"/>
      <c r="C702" s="387"/>
      <c r="D702" s="364"/>
      <c r="E702" s="387"/>
      <c r="F702" s="387"/>
      <c r="G702" s="387"/>
      <c r="H702" s="387"/>
      <c r="I702" s="387"/>
      <c r="J702" s="387"/>
      <c r="K702" s="387"/>
      <c r="L702" s="364"/>
      <c r="M702" s="364"/>
      <c r="N702" s="387"/>
      <c r="O702" s="387"/>
      <c r="P702" s="387"/>
      <c r="Q702" s="387"/>
      <c r="R702" s="387"/>
      <c r="S702" s="387"/>
      <c r="T702" s="387"/>
      <c r="U702" s="387"/>
      <c r="V702" s="387"/>
      <c r="W702" s="387"/>
      <c r="X702" s="387"/>
      <c r="Y702" s="387"/>
      <c r="Z702" s="387"/>
      <c r="AA702" s="387"/>
      <c r="AB702" s="387"/>
    </row>
    <row r="703">
      <c r="A703" s="364"/>
      <c r="B703" s="387"/>
      <c r="C703" s="387"/>
      <c r="D703" s="364"/>
      <c r="E703" s="387"/>
      <c r="F703" s="387"/>
      <c r="G703" s="387"/>
      <c r="H703" s="387"/>
      <c r="I703" s="387"/>
      <c r="J703" s="387"/>
      <c r="K703" s="387"/>
      <c r="L703" s="364"/>
      <c r="M703" s="364"/>
      <c r="N703" s="387"/>
      <c r="O703" s="387"/>
      <c r="P703" s="387"/>
      <c r="Q703" s="387"/>
      <c r="R703" s="387"/>
      <c r="S703" s="387"/>
      <c r="T703" s="387"/>
      <c r="U703" s="387"/>
      <c r="V703" s="387"/>
      <c r="W703" s="387"/>
      <c r="X703" s="387"/>
      <c r="Y703" s="387"/>
      <c r="Z703" s="387"/>
      <c r="AA703" s="387"/>
      <c r="AB703" s="387"/>
    </row>
    <row r="704">
      <c r="A704" s="364"/>
      <c r="B704" s="387"/>
      <c r="C704" s="387"/>
      <c r="D704" s="364"/>
      <c r="E704" s="387"/>
      <c r="F704" s="387"/>
      <c r="G704" s="387"/>
      <c r="H704" s="387"/>
      <c r="I704" s="387"/>
      <c r="J704" s="387"/>
      <c r="K704" s="387"/>
      <c r="L704" s="364"/>
      <c r="M704" s="364"/>
      <c r="N704" s="387"/>
      <c r="O704" s="387"/>
      <c r="P704" s="387"/>
      <c r="Q704" s="387"/>
      <c r="R704" s="387"/>
      <c r="S704" s="387"/>
      <c r="T704" s="387"/>
      <c r="U704" s="387"/>
      <c r="V704" s="387"/>
      <c r="W704" s="387"/>
      <c r="X704" s="387"/>
      <c r="Y704" s="387"/>
      <c r="Z704" s="387"/>
      <c r="AA704" s="387"/>
      <c r="AB704" s="387"/>
    </row>
    <row r="705">
      <c r="A705" s="364"/>
      <c r="B705" s="387"/>
      <c r="C705" s="387"/>
      <c r="D705" s="364"/>
      <c r="E705" s="387"/>
      <c r="F705" s="387"/>
      <c r="G705" s="387"/>
      <c r="H705" s="387"/>
      <c r="I705" s="387"/>
      <c r="J705" s="387"/>
      <c r="K705" s="387"/>
      <c r="L705" s="364"/>
      <c r="M705" s="364"/>
      <c r="N705" s="387"/>
      <c r="O705" s="387"/>
      <c r="P705" s="387"/>
      <c r="Q705" s="387"/>
      <c r="R705" s="387"/>
      <c r="S705" s="387"/>
      <c r="T705" s="387"/>
      <c r="U705" s="387"/>
      <c r="V705" s="387"/>
      <c r="W705" s="387"/>
      <c r="X705" s="387"/>
      <c r="Y705" s="387"/>
      <c r="Z705" s="387"/>
      <c r="AA705" s="387"/>
      <c r="AB705" s="387"/>
    </row>
    <row r="706">
      <c r="A706" s="364"/>
      <c r="B706" s="387"/>
      <c r="C706" s="387"/>
      <c r="D706" s="364"/>
      <c r="E706" s="387"/>
      <c r="F706" s="387"/>
      <c r="G706" s="387"/>
      <c r="H706" s="387"/>
      <c r="I706" s="387"/>
      <c r="J706" s="387"/>
      <c r="K706" s="387"/>
      <c r="L706" s="364"/>
      <c r="M706" s="364"/>
      <c r="N706" s="387"/>
      <c r="O706" s="387"/>
      <c r="P706" s="387"/>
      <c r="Q706" s="387"/>
      <c r="R706" s="387"/>
      <c r="S706" s="387"/>
      <c r="T706" s="387"/>
      <c r="U706" s="387"/>
      <c r="V706" s="387"/>
      <c r="W706" s="387"/>
      <c r="X706" s="387"/>
      <c r="Y706" s="387"/>
      <c r="Z706" s="387"/>
      <c r="AA706" s="387"/>
      <c r="AB706" s="387"/>
    </row>
    <row r="707">
      <c r="A707" s="364"/>
      <c r="B707" s="387"/>
      <c r="C707" s="387"/>
      <c r="D707" s="364"/>
      <c r="E707" s="387"/>
      <c r="F707" s="387"/>
      <c r="G707" s="387"/>
      <c r="H707" s="387"/>
      <c r="I707" s="387"/>
      <c r="J707" s="387"/>
      <c r="K707" s="387"/>
      <c r="L707" s="364"/>
      <c r="M707" s="364"/>
      <c r="N707" s="387"/>
      <c r="O707" s="387"/>
      <c r="P707" s="387"/>
      <c r="Q707" s="387"/>
      <c r="R707" s="387"/>
      <c r="S707" s="387"/>
      <c r="T707" s="387"/>
      <c r="U707" s="387"/>
      <c r="V707" s="387"/>
      <c r="W707" s="387"/>
      <c r="X707" s="387"/>
      <c r="Y707" s="387"/>
      <c r="Z707" s="387"/>
      <c r="AA707" s="387"/>
      <c r="AB707" s="387"/>
    </row>
    <row r="708">
      <c r="A708" s="364"/>
      <c r="B708" s="387"/>
      <c r="C708" s="387"/>
      <c r="D708" s="364"/>
      <c r="E708" s="387"/>
      <c r="F708" s="387"/>
      <c r="G708" s="387"/>
      <c r="H708" s="387"/>
      <c r="I708" s="387"/>
      <c r="J708" s="387"/>
      <c r="K708" s="387"/>
      <c r="L708" s="364"/>
      <c r="M708" s="364"/>
      <c r="N708" s="387"/>
      <c r="O708" s="387"/>
      <c r="P708" s="387"/>
      <c r="Q708" s="387"/>
      <c r="R708" s="387"/>
      <c r="S708" s="387"/>
      <c r="T708" s="387"/>
      <c r="U708" s="387"/>
      <c r="V708" s="387"/>
      <c r="W708" s="387"/>
      <c r="X708" s="387"/>
      <c r="Y708" s="387"/>
      <c r="Z708" s="387"/>
      <c r="AA708" s="387"/>
      <c r="AB708" s="387"/>
    </row>
    <row r="709">
      <c r="A709" s="364"/>
      <c r="B709" s="387"/>
      <c r="C709" s="387"/>
      <c r="D709" s="364"/>
      <c r="E709" s="387"/>
      <c r="F709" s="387"/>
      <c r="G709" s="387"/>
      <c r="H709" s="387"/>
      <c r="I709" s="387"/>
      <c r="J709" s="387"/>
      <c r="K709" s="387"/>
      <c r="L709" s="364"/>
      <c r="M709" s="364"/>
      <c r="N709" s="387"/>
      <c r="O709" s="387"/>
      <c r="P709" s="387"/>
      <c r="Q709" s="387"/>
      <c r="R709" s="387"/>
      <c r="S709" s="387"/>
      <c r="T709" s="387"/>
      <c r="U709" s="387"/>
      <c r="V709" s="387"/>
      <c r="W709" s="387"/>
      <c r="X709" s="387"/>
      <c r="Y709" s="387"/>
      <c r="Z709" s="387"/>
      <c r="AA709" s="387"/>
      <c r="AB709" s="387"/>
    </row>
    <row r="710">
      <c r="A710" s="364"/>
      <c r="B710" s="387"/>
      <c r="C710" s="387"/>
      <c r="D710" s="364"/>
      <c r="E710" s="387"/>
      <c r="F710" s="387"/>
      <c r="G710" s="387"/>
      <c r="H710" s="387"/>
      <c r="I710" s="387"/>
      <c r="J710" s="387"/>
      <c r="K710" s="387"/>
      <c r="L710" s="364"/>
      <c r="M710" s="364"/>
      <c r="N710" s="387"/>
      <c r="O710" s="387"/>
      <c r="P710" s="387"/>
      <c r="Q710" s="387"/>
      <c r="R710" s="387"/>
      <c r="S710" s="387"/>
      <c r="T710" s="387"/>
      <c r="U710" s="387"/>
      <c r="V710" s="387"/>
      <c r="W710" s="387"/>
      <c r="X710" s="387"/>
      <c r="Y710" s="387"/>
      <c r="Z710" s="387"/>
      <c r="AA710" s="387"/>
      <c r="AB710" s="387"/>
    </row>
    <row r="711">
      <c r="A711" s="364"/>
      <c r="B711" s="387"/>
      <c r="C711" s="387"/>
      <c r="D711" s="364"/>
      <c r="E711" s="387"/>
      <c r="F711" s="387"/>
      <c r="G711" s="387"/>
      <c r="H711" s="387"/>
      <c r="I711" s="387"/>
      <c r="J711" s="387"/>
      <c r="K711" s="387"/>
      <c r="L711" s="364"/>
      <c r="M711" s="364"/>
      <c r="N711" s="387"/>
      <c r="O711" s="387"/>
      <c r="P711" s="387"/>
      <c r="Q711" s="387"/>
      <c r="R711" s="387"/>
      <c r="S711" s="387"/>
      <c r="T711" s="387"/>
      <c r="U711" s="387"/>
      <c r="V711" s="387"/>
      <c r="W711" s="387"/>
      <c r="X711" s="387"/>
      <c r="Y711" s="387"/>
      <c r="Z711" s="387"/>
      <c r="AA711" s="387"/>
      <c r="AB711" s="387"/>
    </row>
    <row r="712">
      <c r="A712" s="364"/>
      <c r="B712" s="387"/>
      <c r="C712" s="387"/>
      <c r="D712" s="364"/>
      <c r="E712" s="387"/>
      <c r="F712" s="387"/>
      <c r="G712" s="387"/>
      <c r="H712" s="387"/>
      <c r="I712" s="387"/>
      <c r="J712" s="387"/>
      <c r="K712" s="387"/>
      <c r="L712" s="364"/>
      <c r="M712" s="364"/>
      <c r="N712" s="387"/>
      <c r="O712" s="387"/>
      <c r="P712" s="387"/>
      <c r="Q712" s="387"/>
      <c r="R712" s="387"/>
      <c r="S712" s="387"/>
      <c r="T712" s="387"/>
      <c r="U712" s="387"/>
      <c r="V712" s="387"/>
      <c r="W712" s="387"/>
      <c r="X712" s="387"/>
      <c r="Y712" s="387"/>
      <c r="Z712" s="387"/>
      <c r="AA712" s="387"/>
      <c r="AB712" s="387"/>
    </row>
    <row r="713">
      <c r="A713" s="364"/>
      <c r="B713" s="387"/>
      <c r="C713" s="387"/>
      <c r="D713" s="364"/>
      <c r="E713" s="387"/>
      <c r="F713" s="387"/>
      <c r="G713" s="387"/>
      <c r="H713" s="387"/>
      <c r="I713" s="387"/>
      <c r="J713" s="387"/>
      <c r="K713" s="387"/>
      <c r="L713" s="364"/>
      <c r="M713" s="364"/>
      <c r="N713" s="387"/>
      <c r="O713" s="387"/>
      <c r="P713" s="387"/>
      <c r="Q713" s="387"/>
      <c r="R713" s="387"/>
      <c r="S713" s="387"/>
      <c r="T713" s="387"/>
      <c r="U713" s="387"/>
      <c r="V713" s="387"/>
      <c r="W713" s="387"/>
      <c r="X713" s="387"/>
      <c r="Y713" s="387"/>
      <c r="Z713" s="387"/>
      <c r="AA713" s="387"/>
      <c r="AB713" s="387"/>
    </row>
    <row r="714">
      <c r="A714" s="364"/>
      <c r="B714" s="387"/>
      <c r="C714" s="387"/>
      <c r="D714" s="364"/>
      <c r="E714" s="387"/>
      <c r="F714" s="387"/>
      <c r="G714" s="387"/>
      <c r="H714" s="387"/>
      <c r="I714" s="387"/>
      <c r="J714" s="387"/>
      <c r="K714" s="387"/>
      <c r="L714" s="364"/>
      <c r="M714" s="364"/>
      <c r="N714" s="387"/>
      <c r="O714" s="387"/>
      <c r="P714" s="387"/>
      <c r="Q714" s="387"/>
      <c r="R714" s="387"/>
      <c r="S714" s="387"/>
      <c r="T714" s="387"/>
      <c r="U714" s="387"/>
      <c r="V714" s="387"/>
      <c r="W714" s="387"/>
      <c r="X714" s="387"/>
      <c r="Y714" s="387"/>
      <c r="Z714" s="387"/>
      <c r="AA714" s="387"/>
      <c r="AB714" s="387"/>
    </row>
    <row r="715">
      <c r="A715" s="364"/>
      <c r="B715" s="387"/>
      <c r="C715" s="387"/>
      <c r="D715" s="364"/>
      <c r="E715" s="387"/>
      <c r="F715" s="387"/>
      <c r="G715" s="387"/>
      <c r="H715" s="387"/>
      <c r="I715" s="387"/>
      <c r="J715" s="387"/>
      <c r="K715" s="387"/>
      <c r="L715" s="364"/>
      <c r="M715" s="364"/>
      <c r="N715" s="387"/>
      <c r="O715" s="387"/>
      <c r="P715" s="387"/>
      <c r="Q715" s="387"/>
      <c r="R715" s="387"/>
      <c r="S715" s="387"/>
      <c r="T715" s="387"/>
      <c r="U715" s="387"/>
      <c r="V715" s="387"/>
      <c r="W715" s="387"/>
      <c r="X715" s="387"/>
      <c r="Y715" s="387"/>
      <c r="Z715" s="387"/>
      <c r="AA715" s="387"/>
      <c r="AB715" s="387"/>
    </row>
    <row r="716">
      <c r="A716" s="364"/>
      <c r="B716" s="387"/>
      <c r="C716" s="387"/>
      <c r="D716" s="364"/>
      <c r="E716" s="387"/>
      <c r="F716" s="387"/>
      <c r="G716" s="387"/>
      <c r="H716" s="387"/>
      <c r="I716" s="387"/>
      <c r="J716" s="387"/>
      <c r="K716" s="387"/>
      <c r="L716" s="364"/>
      <c r="M716" s="364"/>
      <c r="N716" s="387"/>
      <c r="O716" s="387"/>
      <c r="P716" s="387"/>
      <c r="Q716" s="387"/>
      <c r="R716" s="387"/>
      <c r="S716" s="387"/>
      <c r="T716" s="387"/>
      <c r="U716" s="387"/>
      <c r="V716" s="387"/>
      <c r="W716" s="387"/>
      <c r="X716" s="387"/>
      <c r="Y716" s="387"/>
      <c r="Z716" s="387"/>
      <c r="AA716" s="387"/>
      <c r="AB716" s="387"/>
    </row>
    <row r="717">
      <c r="A717" s="364"/>
      <c r="B717" s="387"/>
      <c r="C717" s="387"/>
      <c r="D717" s="364"/>
      <c r="E717" s="387"/>
      <c r="F717" s="387"/>
      <c r="G717" s="387"/>
      <c r="H717" s="387"/>
      <c r="I717" s="387"/>
      <c r="J717" s="387"/>
      <c r="K717" s="387"/>
      <c r="L717" s="364"/>
      <c r="M717" s="364"/>
      <c r="N717" s="387"/>
      <c r="O717" s="387"/>
      <c r="P717" s="387"/>
      <c r="Q717" s="387"/>
      <c r="R717" s="387"/>
      <c r="S717" s="387"/>
      <c r="T717" s="387"/>
      <c r="U717" s="387"/>
      <c r="V717" s="387"/>
      <c r="W717" s="387"/>
      <c r="X717" s="387"/>
      <c r="Y717" s="387"/>
      <c r="Z717" s="387"/>
      <c r="AA717" s="387"/>
      <c r="AB717" s="387"/>
    </row>
    <row r="718">
      <c r="A718" s="364"/>
      <c r="B718" s="387"/>
      <c r="C718" s="387"/>
      <c r="D718" s="364"/>
      <c r="E718" s="387"/>
      <c r="F718" s="387"/>
      <c r="G718" s="387"/>
      <c r="H718" s="387"/>
      <c r="I718" s="387"/>
      <c r="J718" s="387"/>
      <c r="K718" s="387"/>
      <c r="L718" s="364"/>
      <c r="M718" s="364"/>
      <c r="N718" s="387"/>
      <c r="O718" s="387"/>
      <c r="P718" s="387"/>
      <c r="Q718" s="387"/>
      <c r="R718" s="387"/>
      <c r="S718" s="387"/>
      <c r="T718" s="387"/>
      <c r="U718" s="387"/>
      <c r="V718" s="387"/>
      <c r="W718" s="387"/>
      <c r="X718" s="387"/>
      <c r="Y718" s="387"/>
      <c r="Z718" s="387"/>
      <c r="AA718" s="387"/>
      <c r="AB718" s="387"/>
    </row>
    <row r="719">
      <c r="A719" s="364"/>
      <c r="B719" s="387"/>
      <c r="C719" s="387"/>
      <c r="D719" s="364"/>
      <c r="E719" s="387"/>
      <c r="F719" s="387"/>
      <c r="G719" s="387"/>
      <c r="H719" s="387"/>
      <c r="I719" s="387"/>
      <c r="J719" s="387"/>
      <c r="K719" s="387"/>
      <c r="L719" s="364"/>
      <c r="M719" s="364"/>
      <c r="N719" s="387"/>
      <c r="O719" s="387"/>
      <c r="P719" s="387"/>
      <c r="Q719" s="387"/>
      <c r="R719" s="387"/>
      <c r="S719" s="387"/>
      <c r="T719" s="387"/>
      <c r="U719" s="387"/>
      <c r="V719" s="387"/>
      <c r="W719" s="387"/>
      <c r="X719" s="387"/>
      <c r="Y719" s="387"/>
      <c r="Z719" s="387"/>
      <c r="AA719" s="387"/>
      <c r="AB719" s="387"/>
    </row>
    <row r="720">
      <c r="A720" s="364"/>
      <c r="B720" s="387"/>
      <c r="C720" s="387"/>
      <c r="D720" s="364"/>
      <c r="E720" s="387"/>
      <c r="F720" s="387"/>
      <c r="G720" s="387"/>
      <c r="H720" s="387"/>
      <c r="I720" s="387"/>
      <c r="J720" s="387"/>
      <c r="K720" s="387"/>
      <c r="L720" s="364"/>
      <c r="M720" s="364"/>
      <c r="N720" s="387"/>
      <c r="O720" s="387"/>
      <c r="P720" s="387"/>
      <c r="Q720" s="387"/>
      <c r="R720" s="387"/>
      <c r="S720" s="387"/>
      <c r="T720" s="387"/>
      <c r="U720" s="387"/>
      <c r="V720" s="387"/>
      <c r="W720" s="387"/>
      <c r="X720" s="387"/>
      <c r="Y720" s="387"/>
      <c r="Z720" s="387"/>
      <c r="AA720" s="387"/>
      <c r="AB720" s="387"/>
    </row>
    <row r="721">
      <c r="A721" s="364"/>
      <c r="B721" s="387"/>
      <c r="C721" s="387"/>
      <c r="D721" s="364"/>
      <c r="E721" s="387"/>
      <c r="F721" s="387"/>
      <c r="G721" s="387"/>
      <c r="H721" s="387"/>
      <c r="I721" s="387"/>
      <c r="J721" s="387"/>
      <c r="K721" s="387"/>
      <c r="L721" s="364"/>
      <c r="M721" s="364"/>
      <c r="N721" s="387"/>
      <c r="O721" s="387"/>
      <c r="P721" s="387"/>
      <c r="Q721" s="387"/>
      <c r="R721" s="387"/>
      <c r="S721" s="387"/>
      <c r="T721" s="387"/>
      <c r="U721" s="387"/>
      <c r="V721" s="387"/>
      <c r="W721" s="387"/>
      <c r="X721" s="387"/>
      <c r="Y721" s="387"/>
      <c r="Z721" s="387"/>
      <c r="AA721" s="387"/>
      <c r="AB721" s="387"/>
    </row>
    <row r="722">
      <c r="A722" s="364"/>
      <c r="B722" s="387"/>
      <c r="C722" s="387"/>
      <c r="D722" s="364"/>
      <c r="E722" s="387"/>
      <c r="F722" s="387"/>
      <c r="G722" s="387"/>
      <c r="H722" s="387"/>
      <c r="I722" s="387"/>
      <c r="J722" s="387"/>
      <c r="K722" s="387"/>
      <c r="L722" s="364"/>
      <c r="M722" s="364"/>
      <c r="N722" s="387"/>
      <c r="O722" s="387"/>
      <c r="P722" s="387"/>
      <c r="Q722" s="387"/>
      <c r="R722" s="387"/>
      <c r="S722" s="387"/>
      <c r="T722" s="387"/>
      <c r="U722" s="387"/>
      <c r="V722" s="387"/>
      <c r="W722" s="387"/>
      <c r="X722" s="387"/>
      <c r="Y722" s="387"/>
      <c r="Z722" s="387"/>
      <c r="AA722" s="387"/>
      <c r="AB722" s="387"/>
    </row>
    <row r="723">
      <c r="A723" s="364"/>
      <c r="B723" s="387"/>
      <c r="C723" s="387"/>
      <c r="D723" s="364"/>
      <c r="E723" s="387"/>
      <c r="F723" s="387"/>
      <c r="G723" s="387"/>
      <c r="H723" s="387"/>
      <c r="I723" s="387"/>
      <c r="J723" s="387"/>
      <c r="K723" s="387"/>
      <c r="L723" s="364"/>
      <c r="M723" s="364"/>
      <c r="N723" s="387"/>
      <c r="O723" s="387"/>
      <c r="P723" s="387"/>
      <c r="Q723" s="387"/>
      <c r="R723" s="387"/>
      <c r="S723" s="387"/>
      <c r="T723" s="387"/>
      <c r="U723" s="387"/>
      <c r="V723" s="387"/>
      <c r="W723" s="387"/>
      <c r="X723" s="387"/>
      <c r="Y723" s="387"/>
      <c r="Z723" s="387"/>
      <c r="AA723" s="387"/>
      <c r="AB723" s="387"/>
    </row>
    <row r="724">
      <c r="A724" s="364"/>
      <c r="B724" s="387"/>
      <c r="C724" s="387"/>
      <c r="D724" s="364"/>
      <c r="E724" s="387"/>
      <c r="F724" s="387"/>
      <c r="G724" s="387"/>
      <c r="H724" s="387"/>
      <c r="I724" s="387"/>
      <c r="J724" s="387"/>
      <c r="K724" s="387"/>
      <c r="L724" s="364"/>
      <c r="M724" s="364"/>
      <c r="N724" s="387"/>
      <c r="O724" s="387"/>
      <c r="P724" s="387"/>
      <c r="Q724" s="387"/>
      <c r="R724" s="387"/>
      <c r="S724" s="387"/>
      <c r="T724" s="387"/>
      <c r="U724" s="387"/>
      <c r="V724" s="387"/>
      <c r="W724" s="387"/>
      <c r="X724" s="387"/>
      <c r="Y724" s="387"/>
      <c r="Z724" s="387"/>
      <c r="AA724" s="387"/>
      <c r="AB724" s="387"/>
    </row>
    <row r="725">
      <c r="A725" s="364"/>
      <c r="B725" s="387"/>
      <c r="C725" s="387"/>
      <c r="D725" s="364"/>
      <c r="E725" s="387"/>
      <c r="F725" s="387"/>
      <c r="G725" s="387"/>
      <c r="H725" s="387"/>
      <c r="I725" s="387"/>
      <c r="J725" s="387"/>
      <c r="K725" s="387"/>
      <c r="L725" s="364"/>
      <c r="M725" s="364"/>
      <c r="N725" s="387"/>
      <c r="O725" s="387"/>
      <c r="P725" s="387"/>
      <c r="Q725" s="387"/>
      <c r="R725" s="387"/>
      <c r="S725" s="387"/>
      <c r="T725" s="387"/>
      <c r="U725" s="387"/>
      <c r="V725" s="387"/>
      <c r="W725" s="387"/>
      <c r="X725" s="387"/>
      <c r="Y725" s="387"/>
      <c r="Z725" s="387"/>
      <c r="AA725" s="387"/>
      <c r="AB725" s="387"/>
    </row>
    <row r="726">
      <c r="A726" s="364"/>
      <c r="B726" s="387"/>
      <c r="C726" s="387"/>
      <c r="D726" s="364"/>
      <c r="E726" s="387"/>
      <c r="F726" s="387"/>
      <c r="G726" s="387"/>
      <c r="H726" s="387"/>
      <c r="I726" s="387"/>
      <c r="J726" s="387"/>
      <c r="K726" s="387"/>
      <c r="L726" s="364"/>
      <c r="M726" s="364"/>
      <c r="N726" s="387"/>
      <c r="O726" s="387"/>
      <c r="P726" s="387"/>
      <c r="Q726" s="387"/>
      <c r="R726" s="387"/>
      <c r="S726" s="387"/>
      <c r="T726" s="387"/>
      <c r="U726" s="387"/>
      <c r="V726" s="387"/>
      <c r="W726" s="387"/>
      <c r="X726" s="387"/>
      <c r="Y726" s="387"/>
      <c r="Z726" s="387"/>
      <c r="AA726" s="387"/>
      <c r="AB726" s="387"/>
    </row>
    <row r="727">
      <c r="A727" s="364"/>
      <c r="B727" s="387"/>
      <c r="C727" s="387"/>
      <c r="D727" s="364"/>
      <c r="E727" s="387"/>
      <c r="F727" s="387"/>
      <c r="G727" s="387"/>
      <c r="H727" s="387"/>
      <c r="I727" s="387"/>
      <c r="J727" s="387"/>
      <c r="K727" s="387"/>
      <c r="L727" s="364"/>
      <c r="M727" s="364"/>
      <c r="N727" s="387"/>
      <c r="O727" s="387"/>
      <c r="P727" s="387"/>
      <c r="Q727" s="387"/>
      <c r="R727" s="387"/>
      <c r="S727" s="387"/>
      <c r="T727" s="387"/>
      <c r="U727" s="387"/>
      <c r="V727" s="387"/>
      <c r="W727" s="387"/>
      <c r="X727" s="387"/>
      <c r="Y727" s="387"/>
      <c r="Z727" s="387"/>
      <c r="AA727" s="387"/>
      <c r="AB727" s="387"/>
    </row>
    <row r="728">
      <c r="A728" s="364"/>
      <c r="B728" s="387"/>
      <c r="C728" s="387"/>
      <c r="D728" s="364"/>
      <c r="E728" s="387"/>
      <c r="F728" s="387"/>
      <c r="G728" s="387"/>
      <c r="H728" s="387"/>
      <c r="I728" s="387"/>
      <c r="J728" s="387"/>
      <c r="K728" s="387"/>
      <c r="L728" s="364"/>
      <c r="M728" s="364"/>
      <c r="N728" s="387"/>
      <c r="O728" s="387"/>
      <c r="P728" s="387"/>
      <c r="Q728" s="387"/>
      <c r="R728" s="387"/>
      <c r="S728" s="387"/>
      <c r="T728" s="387"/>
      <c r="U728" s="387"/>
      <c r="V728" s="387"/>
      <c r="W728" s="387"/>
      <c r="X728" s="387"/>
      <c r="Y728" s="387"/>
      <c r="Z728" s="387"/>
      <c r="AA728" s="387"/>
      <c r="AB728" s="387"/>
    </row>
    <row r="729">
      <c r="A729" s="364"/>
      <c r="B729" s="387"/>
      <c r="C729" s="387"/>
      <c r="D729" s="364"/>
      <c r="E729" s="387"/>
      <c r="F729" s="387"/>
      <c r="G729" s="387"/>
      <c r="H729" s="387"/>
      <c r="I729" s="387"/>
      <c r="J729" s="387"/>
      <c r="K729" s="387"/>
      <c r="L729" s="364"/>
      <c r="M729" s="364"/>
      <c r="N729" s="387"/>
      <c r="O729" s="387"/>
      <c r="P729" s="387"/>
      <c r="Q729" s="387"/>
      <c r="R729" s="387"/>
      <c r="S729" s="387"/>
      <c r="T729" s="387"/>
      <c r="U729" s="387"/>
      <c r="V729" s="387"/>
      <c r="W729" s="387"/>
      <c r="X729" s="387"/>
      <c r="Y729" s="387"/>
      <c r="Z729" s="387"/>
      <c r="AA729" s="387"/>
      <c r="AB729" s="387"/>
    </row>
    <row r="730">
      <c r="A730" s="364"/>
      <c r="B730" s="387"/>
      <c r="C730" s="387"/>
      <c r="D730" s="364"/>
      <c r="E730" s="387"/>
      <c r="F730" s="387"/>
      <c r="G730" s="387"/>
      <c r="H730" s="387"/>
      <c r="I730" s="387"/>
      <c r="J730" s="387"/>
      <c r="K730" s="387"/>
      <c r="L730" s="364"/>
      <c r="M730" s="364"/>
      <c r="N730" s="387"/>
      <c r="O730" s="387"/>
      <c r="P730" s="387"/>
      <c r="Q730" s="387"/>
      <c r="R730" s="387"/>
      <c r="S730" s="387"/>
      <c r="T730" s="387"/>
      <c r="U730" s="387"/>
      <c r="V730" s="387"/>
      <c r="W730" s="387"/>
      <c r="X730" s="387"/>
      <c r="Y730" s="387"/>
      <c r="Z730" s="387"/>
      <c r="AA730" s="387"/>
      <c r="AB730" s="387"/>
    </row>
    <row r="731">
      <c r="A731" s="364"/>
      <c r="B731" s="387"/>
      <c r="C731" s="387"/>
      <c r="D731" s="364"/>
      <c r="E731" s="387"/>
      <c r="F731" s="387"/>
      <c r="G731" s="387"/>
      <c r="H731" s="387"/>
      <c r="I731" s="387"/>
      <c r="J731" s="387"/>
      <c r="K731" s="387"/>
      <c r="L731" s="364"/>
      <c r="M731" s="364"/>
      <c r="N731" s="387"/>
      <c r="O731" s="387"/>
      <c r="P731" s="387"/>
      <c r="Q731" s="387"/>
      <c r="R731" s="387"/>
      <c r="S731" s="387"/>
      <c r="T731" s="387"/>
      <c r="U731" s="387"/>
      <c r="V731" s="387"/>
      <c r="W731" s="387"/>
      <c r="X731" s="387"/>
      <c r="Y731" s="387"/>
      <c r="Z731" s="387"/>
      <c r="AA731" s="387"/>
      <c r="AB731" s="387"/>
    </row>
    <row r="732">
      <c r="A732" s="364"/>
      <c r="B732" s="387"/>
      <c r="C732" s="387"/>
      <c r="D732" s="364"/>
      <c r="E732" s="387"/>
      <c r="F732" s="387"/>
      <c r="G732" s="387"/>
      <c r="H732" s="387"/>
      <c r="I732" s="387"/>
      <c r="J732" s="387"/>
      <c r="K732" s="387"/>
      <c r="L732" s="364"/>
      <c r="M732" s="364"/>
      <c r="N732" s="387"/>
      <c r="O732" s="387"/>
      <c r="P732" s="387"/>
      <c r="Q732" s="387"/>
      <c r="R732" s="387"/>
      <c r="S732" s="387"/>
      <c r="T732" s="387"/>
      <c r="U732" s="387"/>
      <c r="V732" s="387"/>
      <c r="W732" s="387"/>
      <c r="X732" s="387"/>
      <c r="Y732" s="387"/>
      <c r="Z732" s="387"/>
      <c r="AA732" s="387"/>
      <c r="AB732" s="387"/>
    </row>
    <row r="733">
      <c r="A733" s="364"/>
      <c r="B733" s="387"/>
      <c r="C733" s="387"/>
      <c r="D733" s="364"/>
      <c r="E733" s="387"/>
      <c r="F733" s="387"/>
      <c r="G733" s="387"/>
      <c r="H733" s="387"/>
      <c r="I733" s="387"/>
      <c r="J733" s="387"/>
      <c r="K733" s="387"/>
      <c r="L733" s="364"/>
      <c r="M733" s="364"/>
      <c r="N733" s="387"/>
      <c r="O733" s="387"/>
      <c r="P733" s="387"/>
      <c r="Q733" s="387"/>
      <c r="R733" s="387"/>
      <c r="S733" s="387"/>
      <c r="T733" s="387"/>
      <c r="U733" s="387"/>
      <c r="V733" s="387"/>
      <c r="W733" s="387"/>
      <c r="X733" s="387"/>
      <c r="Y733" s="387"/>
      <c r="Z733" s="387"/>
      <c r="AA733" s="387"/>
      <c r="AB733" s="387"/>
    </row>
    <row r="734">
      <c r="A734" s="364"/>
      <c r="B734" s="387"/>
      <c r="C734" s="387"/>
      <c r="D734" s="364"/>
      <c r="E734" s="387"/>
      <c r="F734" s="387"/>
      <c r="G734" s="387"/>
      <c r="H734" s="387"/>
      <c r="I734" s="387"/>
      <c r="J734" s="387"/>
      <c r="K734" s="387"/>
      <c r="L734" s="364"/>
      <c r="M734" s="364"/>
      <c r="N734" s="387"/>
      <c r="O734" s="387"/>
      <c r="P734" s="387"/>
      <c r="Q734" s="387"/>
      <c r="R734" s="387"/>
      <c r="S734" s="387"/>
      <c r="T734" s="387"/>
      <c r="U734" s="387"/>
      <c r="V734" s="387"/>
      <c r="W734" s="387"/>
      <c r="X734" s="387"/>
      <c r="Y734" s="387"/>
      <c r="Z734" s="387"/>
      <c r="AA734" s="387"/>
      <c r="AB734" s="387"/>
    </row>
    <row r="735">
      <c r="A735" s="364"/>
      <c r="B735" s="387"/>
      <c r="C735" s="387"/>
      <c r="D735" s="364"/>
      <c r="E735" s="387"/>
      <c r="F735" s="387"/>
      <c r="G735" s="387"/>
      <c r="H735" s="387"/>
      <c r="I735" s="387"/>
      <c r="J735" s="387"/>
      <c r="K735" s="387"/>
      <c r="L735" s="364"/>
      <c r="M735" s="364"/>
      <c r="N735" s="387"/>
      <c r="O735" s="387"/>
      <c r="P735" s="387"/>
      <c r="Q735" s="387"/>
      <c r="R735" s="387"/>
      <c r="S735" s="387"/>
      <c r="T735" s="387"/>
      <c r="U735" s="387"/>
      <c r="V735" s="387"/>
      <c r="W735" s="387"/>
      <c r="X735" s="387"/>
      <c r="Y735" s="387"/>
      <c r="Z735" s="387"/>
      <c r="AA735" s="387"/>
      <c r="AB735" s="387"/>
    </row>
    <row r="736">
      <c r="A736" s="364"/>
      <c r="B736" s="387"/>
      <c r="C736" s="387"/>
      <c r="D736" s="364"/>
      <c r="E736" s="387"/>
      <c r="F736" s="387"/>
      <c r="G736" s="387"/>
      <c r="H736" s="387"/>
      <c r="I736" s="387"/>
      <c r="J736" s="387"/>
      <c r="K736" s="387"/>
      <c r="L736" s="364"/>
      <c r="M736" s="364"/>
      <c r="N736" s="387"/>
      <c r="O736" s="387"/>
      <c r="P736" s="387"/>
      <c r="Q736" s="387"/>
      <c r="R736" s="387"/>
      <c r="S736" s="387"/>
      <c r="T736" s="387"/>
      <c r="U736" s="387"/>
      <c r="V736" s="387"/>
      <c r="W736" s="387"/>
      <c r="X736" s="387"/>
      <c r="Y736" s="387"/>
      <c r="Z736" s="387"/>
      <c r="AA736" s="387"/>
      <c r="AB736" s="387"/>
    </row>
    <row r="737">
      <c r="A737" s="364"/>
      <c r="B737" s="387"/>
      <c r="C737" s="387"/>
      <c r="D737" s="364"/>
      <c r="E737" s="387"/>
      <c r="F737" s="387"/>
      <c r="G737" s="387"/>
      <c r="H737" s="387"/>
      <c r="I737" s="387"/>
      <c r="J737" s="387"/>
      <c r="K737" s="387"/>
      <c r="L737" s="364"/>
      <c r="M737" s="364"/>
      <c r="N737" s="387"/>
      <c r="O737" s="387"/>
      <c r="P737" s="387"/>
      <c r="Q737" s="387"/>
      <c r="R737" s="387"/>
      <c r="S737" s="387"/>
      <c r="T737" s="387"/>
      <c r="U737" s="387"/>
      <c r="V737" s="387"/>
      <c r="W737" s="387"/>
      <c r="X737" s="387"/>
      <c r="Y737" s="387"/>
      <c r="Z737" s="387"/>
      <c r="AA737" s="387"/>
      <c r="AB737" s="387"/>
    </row>
    <row r="738">
      <c r="A738" s="364"/>
      <c r="B738" s="387"/>
      <c r="C738" s="387"/>
      <c r="D738" s="364"/>
      <c r="E738" s="387"/>
      <c r="F738" s="387"/>
      <c r="G738" s="387"/>
      <c r="H738" s="387"/>
      <c r="I738" s="387"/>
      <c r="J738" s="387"/>
      <c r="K738" s="387"/>
      <c r="L738" s="364"/>
      <c r="M738" s="364"/>
      <c r="N738" s="387"/>
      <c r="O738" s="387"/>
      <c r="P738" s="387"/>
      <c r="Q738" s="387"/>
      <c r="R738" s="387"/>
      <c r="S738" s="387"/>
      <c r="T738" s="387"/>
      <c r="U738" s="387"/>
      <c r="V738" s="387"/>
      <c r="W738" s="387"/>
      <c r="X738" s="387"/>
      <c r="Y738" s="387"/>
      <c r="Z738" s="387"/>
      <c r="AA738" s="387"/>
      <c r="AB738" s="387"/>
    </row>
    <row r="739">
      <c r="A739" s="364"/>
      <c r="B739" s="387"/>
      <c r="C739" s="387"/>
      <c r="D739" s="364"/>
      <c r="E739" s="387"/>
      <c r="F739" s="387"/>
      <c r="G739" s="387"/>
      <c r="H739" s="387"/>
      <c r="I739" s="387"/>
      <c r="J739" s="387"/>
      <c r="K739" s="387"/>
      <c r="L739" s="364"/>
      <c r="M739" s="364"/>
      <c r="N739" s="387"/>
      <c r="O739" s="387"/>
      <c r="P739" s="387"/>
      <c r="Q739" s="387"/>
      <c r="R739" s="387"/>
      <c r="S739" s="387"/>
      <c r="T739" s="387"/>
      <c r="U739" s="387"/>
      <c r="V739" s="387"/>
      <c r="W739" s="387"/>
      <c r="X739" s="387"/>
      <c r="Y739" s="387"/>
      <c r="Z739" s="387"/>
      <c r="AA739" s="387"/>
      <c r="AB739" s="387"/>
    </row>
    <row r="740">
      <c r="A740" s="364"/>
      <c r="B740" s="387"/>
      <c r="C740" s="387"/>
      <c r="D740" s="364"/>
      <c r="E740" s="387"/>
      <c r="F740" s="387"/>
      <c r="G740" s="387"/>
      <c r="H740" s="387"/>
      <c r="I740" s="387"/>
      <c r="J740" s="387"/>
      <c r="K740" s="387"/>
      <c r="L740" s="364"/>
      <c r="M740" s="364"/>
      <c r="N740" s="387"/>
      <c r="O740" s="387"/>
      <c r="P740" s="387"/>
      <c r="Q740" s="387"/>
      <c r="R740" s="387"/>
      <c r="S740" s="387"/>
      <c r="T740" s="387"/>
      <c r="U740" s="387"/>
      <c r="V740" s="387"/>
      <c r="W740" s="387"/>
      <c r="X740" s="387"/>
      <c r="Y740" s="387"/>
      <c r="Z740" s="387"/>
      <c r="AA740" s="387"/>
      <c r="AB740" s="387"/>
    </row>
    <row r="741">
      <c r="A741" s="364"/>
      <c r="B741" s="387"/>
      <c r="C741" s="387"/>
      <c r="D741" s="364"/>
      <c r="E741" s="387"/>
      <c r="F741" s="387"/>
      <c r="G741" s="387"/>
      <c r="H741" s="387"/>
      <c r="I741" s="387"/>
      <c r="J741" s="387"/>
      <c r="K741" s="387"/>
      <c r="L741" s="364"/>
      <c r="M741" s="364"/>
      <c r="N741" s="387"/>
      <c r="O741" s="387"/>
      <c r="P741" s="387"/>
      <c r="Q741" s="387"/>
      <c r="R741" s="387"/>
      <c r="S741" s="387"/>
      <c r="T741" s="387"/>
      <c r="U741" s="387"/>
      <c r="V741" s="387"/>
      <c r="W741" s="387"/>
      <c r="X741" s="387"/>
      <c r="Y741" s="387"/>
      <c r="Z741" s="387"/>
      <c r="AA741" s="387"/>
      <c r="AB741" s="387"/>
    </row>
    <row r="742">
      <c r="A742" s="364"/>
      <c r="B742" s="387"/>
      <c r="C742" s="387"/>
      <c r="D742" s="364"/>
      <c r="E742" s="387"/>
      <c r="F742" s="387"/>
      <c r="G742" s="387"/>
      <c r="H742" s="387"/>
      <c r="I742" s="387"/>
      <c r="J742" s="387"/>
      <c r="K742" s="387"/>
      <c r="L742" s="364"/>
      <c r="M742" s="364"/>
      <c r="N742" s="387"/>
      <c r="O742" s="387"/>
      <c r="P742" s="387"/>
      <c r="Q742" s="387"/>
      <c r="R742" s="387"/>
      <c r="S742" s="387"/>
      <c r="T742" s="387"/>
      <c r="U742" s="387"/>
      <c r="V742" s="387"/>
      <c r="W742" s="387"/>
      <c r="X742" s="387"/>
      <c r="Y742" s="387"/>
      <c r="Z742" s="387"/>
      <c r="AA742" s="387"/>
      <c r="AB742" s="387"/>
    </row>
    <row r="743">
      <c r="A743" s="364"/>
      <c r="B743" s="387"/>
      <c r="C743" s="387"/>
      <c r="D743" s="364"/>
      <c r="E743" s="387"/>
      <c r="F743" s="387"/>
      <c r="G743" s="387"/>
      <c r="H743" s="387"/>
      <c r="I743" s="387"/>
      <c r="J743" s="387"/>
      <c r="K743" s="387"/>
      <c r="L743" s="364"/>
      <c r="M743" s="364"/>
      <c r="N743" s="387"/>
      <c r="O743" s="387"/>
      <c r="P743" s="387"/>
      <c r="Q743" s="387"/>
      <c r="R743" s="387"/>
      <c r="S743" s="387"/>
      <c r="T743" s="387"/>
      <c r="U743" s="387"/>
      <c r="V743" s="387"/>
      <c r="W743" s="387"/>
      <c r="X743" s="387"/>
      <c r="Y743" s="387"/>
      <c r="Z743" s="387"/>
      <c r="AA743" s="387"/>
      <c r="AB743" s="387"/>
    </row>
    <row r="744">
      <c r="A744" s="364"/>
      <c r="B744" s="387"/>
      <c r="C744" s="387"/>
      <c r="D744" s="364"/>
      <c r="E744" s="387"/>
      <c r="F744" s="387"/>
      <c r="G744" s="387"/>
      <c r="H744" s="387"/>
      <c r="I744" s="387"/>
      <c r="J744" s="387"/>
      <c r="K744" s="387"/>
      <c r="L744" s="364"/>
      <c r="M744" s="364"/>
      <c r="N744" s="387"/>
      <c r="O744" s="387"/>
      <c r="P744" s="387"/>
      <c r="Q744" s="387"/>
      <c r="R744" s="387"/>
      <c r="S744" s="387"/>
      <c r="T744" s="387"/>
      <c r="U744" s="387"/>
      <c r="V744" s="387"/>
      <c r="W744" s="387"/>
      <c r="X744" s="387"/>
      <c r="Y744" s="387"/>
      <c r="Z744" s="387"/>
      <c r="AA744" s="387"/>
      <c r="AB744" s="387"/>
    </row>
    <row r="745">
      <c r="A745" s="364"/>
      <c r="B745" s="387"/>
      <c r="C745" s="387"/>
      <c r="D745" s="364"/>
      <c r="E745" s="387"/>
      <c r="F745" s="387"/>
      <c r="G745" s="387"/>
      <c r="H745" s="387"/>
      <c r="I745" s="387"/>
      <c r="J745" s="387"/>
      <c r="K745" s="387"/>
      <c r="L745" s="364"/>
      <c r="M745" s="364"/>
      <c r="N745" s="387"/>
      <c r="O745" s="387"/>
      <c r="P745" s="387"/>
      <c r="Q745" s="387"/>
      <c r="R745" s="387"/>
      <c r="S745" s="387"/>
      <c r="T745" s="387"/>
      <c r="U745" s="387"/>
      <c r="V745" s="387"/>
      <c r="W745" s="387"/>
      <c r="X745" s="387"/>
      <c r="Y745" s="387"/>
      <c r="Z745" s="387"/>
      <c r="AA745" s="387"/>
      <c r="AB745" s="387"/>
    </row>
    <row r="746">
      <c r="A746" s="364"/>
      <c r="B746" s="387"/>
      <c r="C746" s="387"/>
      <c r="D746" s="364"/>
      <c r="E746" s="387"/>
      <c r="F746" s="387"/>
      <c r="G746" s="387"/>
      <c r="H746" s="387"/>
      <c r="I746" s="387"/>
      <c r="J746" s="387"/>
      <c r="K746" s="387"/>
      <c r="L746" s="364"/>
      <c r="M746" s="364"/>
      <c r="N746" s="387"/>
      <c r="O746" s="387"/>
      <c r="P746" s="387"/>
      <c r="Q746" s="387"/>
      <c r="R746" s="387"/>
      <c r="S746" s="387"/>
      <c r="T746" s="387"/>
      <c r="U746" s="387"/>
      <c r="V746" s="387"/>
      <c r="W746" s="387"/>
      <c r="X746" s="387"/>
      <c r="Y746" s="387"/>
      <c r="Z746" s="387"/>
      <c r="AA746" s="387"/>
      <c r="AB746" s="387"/>
    </row>
    <row r="747">
      <c r="A747" s="364"/>
      <c r="B747" s="387"/>
      <c r="C747" s="387"/>
      <c r="D747" s="364"/>
      <c r="E747" s="387"/>
      <c r="F747" s="387"/>
      <c r="G747" s="387"/>
      <c r="H747" s="387"/>
      <c r="I747" s="387"/>
      <c r="J747" s="387"/>
      <c r="K747" s="387"/>
      <c r="L747" s="364"/>
      <c r="M747" s="364"/>
      <c r="N747" s="387"/>
      <c r="O747" s="387"/>
      <c r="P747" s="387"/>
      <c r="Q747" s="387"/>
      <c r="R747" s="387"/>
      <c r="S747" s="387"/>
      <c r="T747" s="387"/>
      <c r="U747" s="387"/>
      <c r="V747" s="387"/>
      <c r="W747" s="387"/>
      <c r="X747" s="387"/>
      <c r="Y747" s="387"/>
      <c r="Z747" s="387"/>
      <c r="AA747" s="387"/>
      <c r="AB747" s="387"/>
    </row>
    <row r="748">
      <c r="A748" s="364"/>
      <c r="B748" s="387"/>
      <c r="C748" s="387"/>
      <c r="D748" s="364"/>
      <c r="E748" s="387"/>
      <c r="F748" s="387"/>
      <c r="G748" s="387"/>
      <c r="H748" s="387"/>
      <c r="I748" s="387"/>
      <c r="J748" s="387"/>
      <c r="K748" s="387"/>
      <c r="L748" s="364"/>
      <c r="M748" s="364"/>
      <c r="N748" s="387"/>
      <c r="O748" s="387"/>
      <c r="P748" s="387"/>
      <c r="Q748" s="387"/>
      <c r="R748" s="387"/>
      <c r="S748" s="387"/>
      <c r="T748" s="387"/>
      <c r="U748" s="387"/>
      <c r="V748" s="387"/>
      <c r="W748" s="387"/>
      <c r="X748" s="387"/>
      <c r="Y748" s="387"/>
      <c r="Z748" s="387"/>
      <c r="AA748" s="387"/>
      <c r="AB748" s="387"/>
    </row>
    <row r="749">
      <c r="A749" s="364"/>
      <c r="B749" s="387"/>
      <c r="C749" s="387"/>
      <c r="D749" s="364"/>
      <c r="E749" s="387"/>
      <c r="F749" s="387"/>
      <c r="G749" s="387"/>
      <c r="H749" s="387"/>
      <c r="I749" s="387"/>
      <c r="J749" s="387"/>
      <c r="K749" s="387"/>
      <c r="L749" s="364"/>
      <c r="M749" s="364"/>
      <c r="N749" s="387"/>
      <c r="O749" s="387"/>
      <c r="P749" s="387"/>
      <c r="Q749" s="387"/>
      <c r="R749" s="387"/>
      <c r="S749" s="387"/>
      <c r="T749" s="387"/>
      <c r="U749" s="387"/>
      <c r="V749" s="387"/>
      <c r="W749" s="387"/>
      <c r="X749" s="387"/>
      <c r="Y749" s="387"/>
      <c r="Z749" s="387"/>
      <c r="AA749" s="387"/>
      <c r="AB749" s="387"/>
    </row>
    <row r="750">
      <c r="A750" s="364"/>
      <c r="B750" s="387"/>
      <c r="C750" s="387"/>
      <c r="D750" s="364"/>
      <c r="E750" s="387"/>
      <c r="F750" s="387"/>
      <c r="G750" s="387"/>
      <c r="H750" s="387"/>
      <c r="I750" s="387"/>
      <c r="J750" s="387"/>
      <c r="K750" s="387"/>
      <c r="L750" s="364"/>
      <c r="M750" s="364"/>
      <c r="N750" s="387"/>
      <c r="O750" s="387"/>
      <c r="P750" s="387"/>
      <c r="Q750" s="387"/>
      <c r="R750" s="387"/>
      <c r="S750" s="387"/>
      <c r="T750" s="387"/>
      <c r="U750" s="387"/>
      <c r="V750" s="387"/>
      <c r="W750" s="387"/>
      <c r="X750" s="387"/>
      <c r="Y750" s="387"/>
      <c r="Z750" s="387"/>
      <c r="AA750" s="387"/>
      <c r="AB750" s="387"/>
    </row>
    <row r="751">
      <c r="A751" s="364"/>
      <c r="B751" s="387"/>
      <c r="C751" s="387"/>
      <c r="D751" s="364"/>
      <c r="E751" s="387"/>
      <c r="F751" s="387"/>
      <c r="G751" s="387"/>
      <c r="H751" s="387"/>
      <c r="I751" s="387"/>
      <c r="J751" s="387"/>
      <c r="K751" s="387"/>
      <c r="L751" s="364"/>
      <c r="M751" s="364"/>
      <c r="N751" s="387"/>
      <c r="O751" s="387"/>
      <c r="P751" s="387"/>
      <c r="Q751" s="387"/>
      <c r="R751" s="387"/>
      <c r="S751" s="387"/>
      <c r="T751" s="387"/>
      <c r="U751" s="387"/>
      <c r="V751" s="387"/>
      <c r="W751" s="387"/>
      <c r="X751" s="387"/>
      <c r="Y751" s="387"/>
      <c r="Z751" s="387"/>
      <c r="AA751" s="387"/>
      <c r="AB751" s="387"/>
    </row>
    <row r="752">
      <c r="A752" s="364"/>
      <c r="B752" s="387"/>
      <c r="C752" s="387"/>
      <c r="D752" s="364"/>
      <c r="E752" s="387"/>
      <c r="F752" s="387"/>
      <c r="G752" s="387"/>
      <c r="H752" s="387"/>
      <c r="I752" s="387"/>
      <c r="J752" s="387"/>
      <c r="K752" s="387"/>
      <c r="L752" s="364"/>
      <c r="M752" s="364"/>
      <c r="N752" s="387"/>
      <c r="O752" s="387"/>
      <c r="P752" s="387"/>
      <c r="Q752" s="387"/>
      <c r="R752" s="387"/>
      <c r="S752" s="387"/>
      <c r="T752" s="387"/>
      <c r="U752" s="387"/>
      <c r="V752" s="387"/>
      <c r="W752" s="387"/>
      <c r="X752" s="387"/>
      <c r="Y752" s="387"/>
      <c r="Z752" s="387"/>
      <c r="AA752" s="387"/>
      <c r="AB752" s="387"/>
    </row>
    <row r="753">
      <c r="A753" s="364"/>
      <c r="B753" s="387"/>
      <c r="C753" s="387"/>
      <c r="D753" s="364"/>
      <c r="E753" s="387"/>
      <c r="F753" s="387"/>
      <c r="G753" s="387"/>
      <c r="H753" s="387"/>
      <c r="I753" s="387"/>
      <c r="J753" s="387"/>
      <c r="K753" s="387"/>
      <c r="L753" s="364"/>
      <c r="M753" s="364"/>
      <c r="N753" s="387"/>
      <c r="O753" s="387"/>
      <c r="P753" s="387"/>
      <c r="Q753" s="387"/>
      <c r="R753" s="387"/>
      <c r="S753" s="387"/>
      <c r="T753" s="387"/>
      <c r="U753" s="387"/>
      <c r="V753" s="387"/>
      <c r="W753" s="387"/>
      <c r="X753" s="387"/>
      <c r="Y753" s="387"/>
      <c r="Z753" s="387"/>
      <c r="AA753" s="387"/>
      <c r="AB753" s="387"/>
    </row>
    <row r="754">
      <c r="A754" s="364"/>
      <c r="B754" s="387"/>
      <c r="C754" s="387"/>
      <c r="D754" s="364"/>
      <c r="E754" s="387"/>
      <c r="F754" s="387"/>
      <c r="G754" s="387"/>
      <c r="H754" s="387"/>
      <c r="I754" s="387"/>
      <c r="J754" s="387"/>
      <c r="K754" s="387"/>
      <c r="L754" s="364"/>
      <c r="M754" s="364"/>
      <c r="N754" s="387"/>
      <c r="O754" s="387"/>
      <c r="P754" s="387"/>
      <c r="Q754" s="387"/>
      <c r="R754" s="387"/>
      <c r="S754" s="387"/>
      <c r="T754" s="387"/>
      <c r="U754" s="387"/>
      <c r="V754" s="387"/>
      <c r="W754" s="387"/>
      <c r="X754" s="387"/>
      <c r="Y754" s="387"/>
      <c r="Z754" s="387"/>
      <c r="AA754" s="387"/>
      <c r="AB754" s="387"/>
    </row>
    <row r="755">
      <c r="A755" s="364"/>
      <c r="B755" s="387"/>
      <c r="C755" s="387"/>
      <c r="D755" s="364"/>
      <c r="E755" s="387"/>
      <c r="F755" s="387"/>
      <c r="G755" s="387"/>
      <c r="H755" s="387"/>
      <c r="I755" s="387"/>
      <c r="J755" s="387"/>
      <c r="K755" s="387"/>
      <c r="L755" s="364"/>
      <c r="M755" s="364"/>
      <c r="N755" s="387"/>
      <c r="O755" s="387"/>
      <c r="P755" s="387"/>
      <c r="Q755" s="387"/>
      <c r="R755" s="387"/>
      <c r="S755" s="387"/>
      <c r="T755" s="387"/>
      <c r="U755" s="387"/>
      <c r="V755" s="387"/>
      <c r="W755" s="387"/>
      <c r="X755" s="387"/>
      <c r="Y755" s="387"/>
      <c r="Z755" s="387"/>
      <c r="AA755" s="387"/>
      <c r="AB755" s="387"/>
    </row>
    <row r="756">
      <c r="A756" s="364"/>
      <c r="B756" s="387"/>
      <c r="C756" s="387"/>
      <c r="D756" s="364"/>
      <c r="E756" s="387"/>
      <c r="F756" s="387"/>
      <c r="G756" s="387"/>
      <c r="H756" s="387"/>
      <c r="I756" s="387"/>
      <c r="J756" s="387"/>
      <c r="K756" s="387"/>
      <c r="L756" s="364"/>
      <c r="M756" s="364"/>
      <c r="N756" s="387"/>
      <c r="O756" s="387"/>
      <c r="P756" s="387"/>
      <c r="Q756" s="387"/>
      <c r="R756" s="387"/>
      <c r="S756" s="387"/>
      <c r="T756" s="387"/>
      <c r="U756" s="387"/>
      <c r="V756" s="387"/>
      <c r="W756" s="387"/>
      <c r="X756" s="387"/>
      <c r="Y756" s="387"/>
      <c r="Z756" s="387"/>
      <c r="AA756" s="387"/>
      <c r="AB756" s="387"/>
    </row>
    <row r="757">
      <c r="A757" s="364"/>
      <c r="B757" s="387"/>
      <c r="C757" s="387"/>
      <c r="D757" s="364"/>
      <c r="E757" s="387"/>
      <c r="F757" s="387"/>
      <c r="G757" s="387"/>
      <c r="H757" s="387"/>
      <c r="I757" s="387"/>
      <c r="J757" s="387"/>
      <c r="K757" s="387"/>
      <c r="L757" s="364"/>
      <c r="M757" s="364"/>
      <c r="N757" s="387"/>
      <c r="O757" s="387"/>
      <c r="P757" s="387"/>
      <c r="Q757" s="387"/>
      <c r="R757" s="387"/>
      <c r="S757" s="387"/>
      <c r="T757" s="387"/>
      <c r="U757" s="387"/>
      <c r="V757" s="387"/>
      <c r="W757" s="387"/>
      <c r="X757" s="387"/>
      <c r="Y757" s="387"/>
      <c r="Z757" s="387"/>
      <c r="AA757" s="387"/>
      <c r="AB757" s="387"/>
    </row>
    <row r="758">
      <c r="A758" s="364"/>
      <c r="B758" s="387"/>
      <c r="C758" s="387"/>
      <c r="D758" s="364"/>
      <c r="E758" s="387"/>
      <c r="F758" s="387"/>
      <c r="G758" s="387"/>
      <c r="H758" s="387"/>
      <c r="I758" s="387"/>
      <c r="J758" s="387"/>
      <c r="K758" s="387"/>
      <c r="L758" s="364"/>
      <c r="M758" s="364"/>
      <c r="N758" s="387"/>
      <c r="O758" s="387"/>
      <c r="P758" s="387"/>
      <c r="Q758" s="387"/>
      <c r="R758" s="387"/>
      <c r="S758" s="387"/>
      <c r="T758" s="387"/>
      <c r="U758" s="387"/>
      <c r="V758" s="387"/>
      <c r="W758" s="387"/>
      <c r="X758" s="387"/>
      <c r="Y758" s="387"/>
      <c r="Z758" s="387"/>
      <c r="AA758" s="387"/>
      <c r="AB758" s="387"/>
    </row>
    <row r="759">
      <c r="A759" s="364"/>
      <c r="B759" s="387"/>
      <c r="C759" s="387"/>
      <c r="D759" s="364"/>
      <c r="E759" s="387"/>
      <c r="F759" s="387"/>
      <c r="G759" s="387"/>
      <c r="H759" s="387"/>
      <c r="I759" s="387"/>
      <c r="J759" s="387"/>
      <c r="K759" s="387"/>
      <c r="L759" s="364"/>
      <c r="M759" s="364"/>
      <c r="N759" s="387"/>
      <c r="O759" s="387"/>
      <c r="P759" s="387"/>
      <c r="Q759" s="387"/>
      <c r="R759" s="387"/>
      <c r="S759" s="387"/>
      <c r="T759" s="387"/>
      <c r="U759" s="387"/>
      <c r="V759" s="387"/>
      <c r="W759" s="387"/>
      <c r="X759" s="387"/>
      <c r="Y759" s="387"/>
      <c r="Z759" s="387"/>
      <c r="AA759" s="387"/>
      <c r="AB759" s="387"/>
    </row>
    <row r="760">
      <c r="A760" s="364"/>
      <c r="B760" s="387"/>
      <c r="C760" s="387"/>
      <c r="D760" s="364"/>
      <c r="E760" s="387"/>
      <c r="F760" s="387"/>
      <c r="G760" s="387"/>
      <c r="H760" s="387"/>
      <c r="I760" s="387"/>
      <c r="J760" s="387"/>
      <c r="K760" s="387"/>
      <c r="L760" s="364"/>
      <c r="M760" s="364"/>
      <c r="N760" s="387"/>
      <c r="O760" s="387"/>
      <c r="P760" s="387"/>
      <c r="Q760" s="387"/>
      <c r="R760" s="387"/>
      <c r="S760" s="387"/>
      <c r="T760" s="387"/>
      <c r="U760" s="387"/>
      <c r="V760" s="387"/>
      <c r="W760" s="387"/>
      <c r="X760" s="387"/>
      <c r="Y760" s="387"/>
      <c r="Z760" s="387"/>
      <c r="AA760" s="387"/>
      <c r="AB760" s="387"/>
    </row>
    <row r="761">
      <c r="A761" s="364"/>
      <c r="B761" s="387"/>
      <c r="C761" s="387"/>
      <c r="D761" s="364"/>
      <c r="E761" s="387"/>
      <c r="F761" s="387"/>
      <c r="G761" s="387"/>
      <c r="H761" s="387"/>
      <c r="I761" s="387"/>
      <c r="J761" s="387"/>
      <c r="K761" s="387"/>
      <c r="L761" s="364"/>
      <c r="M761" s="364"/>
      <c r="N761" s="387"/>
      <c r="O761" s="387"/>
      <c r="P761" s="387"/>
      <c r="Q761" s="387"/>
      <c r="R761" s="387"/>
      <c r="S761" s="387"/>
      <c r="T761" s="387"/>
      <c r="U761" s="387"/>
      <c r="V761" s="387"/>
      <c r="W761" s="387"/>
      <c r="X761" s="387"/>
      <c r="Y761" s="387"/>
      <c r="Z761" s="387"/>
      <c r="AA761" s="387"/>
      <c r="AB761" s="387"/>
    </row>
    <row r="762">
      <c r="A762" s="364"/>
      <c r="B762" s="387"/>
      <c r="C762" s="387"/>
      <c r="D762" s="364"/>
      <c r="E762" s="387"/>
      <c r="F762" s="387"/>
      <c r="G762" s="387"/>
      <c r="H762" s="387"/>
      <c r="I762" s="387"/>
      <c r="J762" s="387"/>
      <c r="K762" s="387"/>
      <c r="L762" s="364"/>
      <c r="M762" s="364"/>
      <c r="N762" s="387"/>
      <c r="O762" s="387"/>
      <c r="P762" s="387"/>
      <c r="Q762" s="387"/>
      <c r="R762" s="387"/>
      <c r="S762" s="387"/>
      <c r="T762" s="387"/>
      <c r="U762" s="387"/>
      <c r="V762" s="387"/>
      <c r="W762" s="387"/>
      <c r="X762" s="387"/>
      <c r="Y762" s="387"/>
      <c r="Z762" s="387"/>
      <c r="AA762" s="387"/>
      <c r="AB762" s="387"/>
    </row>
    <row r="763">
      <c r="A763" s="364"/>
      <c r="B763" s="387"/>
      <c r="C763" s="387"/>
      <c r="D763" s="364"/>
      <c r="E763" s="387"/>
      <c r="F763" s="387"/>
      <c r="G763" s="387"/>
      <c r="H763" s="387"/>
      <c r="I763" s="387"/>
      <c r="J763" s="387"/>
      <c r="K763" s="387"/>
      <c r="L763" s="364"/>
      <c r="M763" s="364"/>
      <c r="N763" s="387"/>
      <c r="O763" s="387"/>
      <c r="P763" s="387"/>
      <c r="Q763" s="387"/>
      <c r="R763" s="387"/>
      <c r="S763" s="387"/>
      <c r="T763" s="387"/>
      <c r="U763" s="387"/>
      <c r="V763" s="387"/>
      <c r="W763" s="387"/>
      <c r="X763" s="387"/>
      <c r="Y763" s="387"/>
      <c r="Z763" s="387"/>
      <c r="AA763" s="387"/>
      <c r="AB763" s="387"/>
    </row>
    <row r="764">
      <c r="A764" s="364"/>
      <c r="B764" s="387"/>
      <c r="C764" s="387"/>
      <c r="D764" s="364"/>
      <c r="E764" s="387"/>
      <c r="F764" s="387"/>
      <c r="G764" s="387"/>
      <c r="H764" s="387"/>
      <c r="I764" s="387"/>
      <c r="J764" s="387"/>
      <c r="K764" s="387"/>
      <c r="L764" s="364"/>
      <c r="M764" s="364"/>
      <c r="N764" s="387"/>
      <c r="O764" s="387"/>
      <c r="P764" s="387"/>
      <c r="Q764" s="387"/>
      <c r="R764" s="387"/>
      <c r="S764" s="387"/>
      <c r="T764" s="387"/>
      <c r="U764" s="387"/>
      <c r="V764" s="387"/>
      <c r="W764" s="387"/>
      <c r="X764" s="387"/>
      <c r="Y764" s="387"/>
      <c r="Z764" s="387"/>
      <c r="AA764" s="387"/>
      <c r="AB764" s="387"/>
    </row>
    <row r="765">
      <c r="A765" s="364"/>
      <c r="B765" s="387"/>
      <c r="C765" s="387"/>
      <c r="D765" s="364"/>
      <c r="E765" s="387"/>
      <c r="F765" s="387"/>
      <c r="G765" s="387"/>
      <c r="H765" s="387"/>
      <c r="I765" s="387"/>
      <c r="J765" s="387"/>
      <c r="K765" s="387"/>
      <c r="L765" s="364"/>
      <c r="M765" s="364"/>
      <c r="N765" s="387"/>
      <c r="O765" s="387"/>
      <c r="P765" s="387"/>
      <c r="Q765" s="387"/>
      <c r="R765" s="387"/>
      <c r="S765" s="387"/>
      <c r="T765" s="387"/>
      <c r="U765" s="387"/>
      <c r="V765" s="387"/>
      <c r="W765" s="387"/>
      <c r="X765" s="387"/>
      <c r="Y765" s="387"/>
      <c r="Z765" s="387"/>
      <c r="AA765" s="387"/>
      <c r="AB765" s="387"/>
    </row>
    <row r="766">
      <c r="A766" s="364"/>
      <c r="B766" s="387"/>
      <c r="C766" s="387"/>
      <c r="D766" s="364"/>
      <c r="E766" s="387"/>
      <c r="F766" s="387"/>
      <c r="G766" s="387"/>
      <c r="H766" s="387"/>
      <c r="I766" s="387"/>
      <c r="J766" s="387"/>
      <c r="K766" s="387"/>
      <c r="L766" s="364"/>
      <c r="M766" s="364"/>
      <c r="N766" s="387"/>
      <c r="O766" s="387"/>
      <c r="P766" s="387"/>
      <c r="Q766" s="387"/>
      <c r="R766" s="387"/>
      <c r="S766" s="387"/>
      <c r="T766" s="387"/>
      <c r="U766" s="387"/>
      <c r="V766" s="387"/>
      <c r="W766" s="387"/>
      <c r="X766" s="387"/>
      <c r="Y766" s="387"/>
      <c r="Z766" s="387"/>
      <c r="AA766" s="387"/>
      <c r="AB766" s="387"/>
    </row>
    <row r="767">
      <c r="A767" s="364"/>
      <c r="B767" s="387"/>
      <c r="C767" s="387"/>
      <c r="D767" s="364"/>
      <c r="E767" s="387"/>
      <c r="F767" s="387"/>
      <c r="G767" s="387"/>
      <c r="H767" s="387"/>
      <c r="I767" s="387"/>
      <c r="J767" s="387"/>
      <c r="K767" s="387"/>
      <c r="L767" s="364"/>
      <c r="M767" s="364"/>
      <c r="N767" s="387"/>
      <c r="O767" s="387"/>
      <c r="P767" s="387"/>
      <c r="Q767" s="387"/>
      <c r="R767" s="387"/>
      <c r="S767" s="387"/>
      <c r="T767" s="387"/>
      <c r="U767" s="387"/>
      <c r="V767" s="387"/>
      <c r="W767" s="387"/>
      <c r="X767" s="387"/>
      <c r="Y767" s="387"/>
      <c r="Z767" s="387"/>
      <c r="AA767" s="387"/>
      <c r="AB767" s="387"/>
    </row>
    <row r="768">
      <c r="A768" s="364"/>
      <c r="B768" s="387"/>
      <c r="C768" s="387"/>
      <c r="D768" s="364"/>
      <c r="E768" s="387"/>
      <c r="F768" s="387"/>
      <c r="G768" s="387"/>
      <c r="H768" s="387"/>
      <c r="I768" s="387"/>
      <c r="J768" s="387"/>
      <c r="K768" s="387"/>
      <c r="L768" s="364"/>
      <c r="M768" s="364"/>
      <c r="N768" s="387"/>
      <c r="O768" s="387"/>
      <c r="P768" s="387"/>
      <c r="Q768" s="387"/>
      <c r="R768" s="387"/>
      <c r="S768" s="387"/>
      <c r="T768" s="387"/>
      <c r="U768" s="387"/>
      <c r="V768" s="387"/>
      <c r="W768" s="387"/>
      <c r="X768" s="387"/>
      <c r="Y768" s="387"/>
      <c r="Z768" s="387"/>
      <c r="AA768" s="387"/>
      <c r="AB768" s="387"/>
    </row>
    <row r="769">
      <c r="A769" s="364"/>
      <c r="B769" s="387"/>
      <c r="C769" s="387"/>
      <c r="D769" s="364"/>
      <c r="E769" s="387"/>
      <c r="F769" s="387"/>
      <c r="G769" s="387"/>
      <c r="H769" s="387"/>
      <c r="I769" s="387"/>
      <c r="J769" s="387"/>
      <c r="K769" s="387"/>
      <c r="L769" s="364"/>
      <c r="M769" s="364"/>
      <c r="N769" s="387"/>
      <c r="O769" s="387"/>
      <c r="P769" s="387"/>
      <c r="Q769" s="387"/>
      <c r="R769" s="387"/>
      <c r="S769" s="387"/>
      <c r="T769" s="387"/>
      <c r="U769" s="387"/>
      <c r="V769" s="387"/>
      <c r="W769" s="387"/>
      <c r="X769" s="387"/>
      <c r="Y769" s="387"/>
      <c r="Z769" s="387"/>
      <c r="AA769" s="387"/>
      <c r="AB769" s="387"/>
    </row>
    <row r="770">
      <c r="A770" s="364"/>
      <c r="B770" s="387"/>
      <c r="C770" s="387"/>
      <c r="D770" s="364"/>
      <c r="E770" s="387"/>
      <c r="F770" s="387"/>
      <c r="G770" s="387"/>
      <c r="H770" s="387"/>
      <c r="I770" s="387"/>
      <c r="J770" s="387"/>
      <c r="K770" s="387"/>
      <c r="L770" s="364"/>
      <c r="M770" s="364"/>
      <c r="N770" s="387"/>
      <c r="O770" s="387"/>
      <c r="P770" s="387"/>
      <c r="Q770" s="387"/>
      <c r="R770" s="387"/>
      <c r="S770" s="387"/>
      <c r="T770" s="387"/>
      <c r="U770" s="387"/>
      <c r="V770" s="387"/>
      <c r="W770" s="387"/>
      <c r="X770" s="387"/>
      <c r="Y770" s="387"/>
      <c r="Z770" s="387"/>
      <c r="AA770" s="387"/>
      <c r="AB770" s="387"/>
    </row>
    <row r="771">
      <c r="A771" s="364"/>
      <c r="B771" s="387"/>
      <c r="C771" s="387"/>
      <c r="D771" s="364"/>
      <c r="E771" s="387"/>
      <c r="F771" s="387"/>
      <c r="G771" s="387"/>
      <c r="H771" s="387"/>
      <c r="I771" s="387"/>
      <c r="J771" s="387"/>
      <c r="K771" s="387"/>
      <c r="L771" s="364"/>
      <c r="M771" s="364"/>
      <c r="N771" s="387"/>
      <c r="O771" s="387"/>
      <c r="P771" s="387"/>
      <c r="Q771" s="387"/>
      <c r="R771" s="387"/>
      <c r="S771" s="387"/>
      <c r="T771" s="387"/>
      <c r="U771" s="387"/>
      <c r="V771" s="387"/>
      <c r="W771" s="387"/>
      <c r="X771" s="387"/>
      <c r="Y771" s="387"/>
      <c r="Z771" s="387"/>
      <c r="AA771" s="387"/>
      <c r="AB771" s="387"/>
    </row>
    <row r="772">
      <c r="A772" s="364"/>
      <c r="B772" s="387"/>
      <c r="C772" s="387"/>
      <c r="D772" s="364"/>
      <c r="E772" s="387"/>
      <c r="F772" s="387"/>
      <c r="G772" s="387"/>
      <c r="H772" s="387"/>
      <c r="I772" s="387"/>
      <c r="J772" s="387"/>
      <c r="K772" s="387"/>
      <c r="L772" s="364"/>
      <c r="M772" s="364"/>
      <c r="N772" s="387"/>
      <c r="O772" s="387"/>
      <c r="P772" s="387"/>
      <c r="Q772" s="387"/>
      <c r="R772" s="387"/>
      <c r="S772" s="387"/>
      <c r="T772" s="387"/>
      <c r="U772" s="387"/>
      <c r="V772" s="387"/>
      <c r="W772" s="387"/>
      <c r="X772" s="387"/>
      <c r="Y772" s="387"/>
      <c r="Z772" s="387"/>
      <c r="AA772" s="387"/>
      <c r="AB772" s="387"/>
    </row>
    <row r="773">
      <c r="A773" s="364"/>
      <c r="B773" s="387"/>
      <c r="C773" s="387"/>
      <c r="D773" s="364"/>
      <c r="E773" s="387"/>
      <c r="F773" s="387"/>
      <c r="G773" s="387"/>
      <c r="H773" s="387"/>
      <c r="I773" s="387"/>
      <c r="J773" s="387"/>
      <c r="K773" s="387"/>
      <c r="L773" s="364"/>
      <c r="M773" s="364"/>
      <c r="N773" s="387"/>
      <c r="O773" s="387"/>
      <c r="P773" s="387"/>
      <c r="Q773" s="387"/>
      <c r="R773" s="387"/>
      <c r="S773" s="387"/>
      <c r="T773" s="387"/>
      <c r="U773" s="387"/>
      <c r="V773" s="387"/>
      <c r="W773" s="387"/>
      <c r="X773" s="387"/>
      <c r="Y773" s="387"/>
      <c r="Z773" s="387"/>
      <c r="AA773" s="387"/>
      <c r="AB773" s="387"/>
    </row>
    <row r="774">
      <c r="A774" s="364"/>
      <c r="B774" s="387"/>
      <c r="C774" s="387"/>
      <c r="D774" s="364"/>
      <c r="E774" s="387"/>
      <c r="F774" s="387"/>
      <c r="G774" s="387"/>
      <c r="H774" s="387"/>
      <c r="I774" s="387"/>
      <c r="J774" s="387"/>
      <c r="K774" s="387"/>
      <c r="L774" s="364"/>
      <c r="M774" s="364"/>
      <c r="N774" s="387"/>
      <c r="O774" s="387"/>
      <c r="P774" s="387"/>
      <c r="Q774" s="387"/>
      <c r="R774" s="387"/>
      <c r="S774" s="387"/>
      <c r="T774" s="387"/>
      <c r="U774" s="387"/>
      <c r="V774" s="387"/>
      <c r="W774" s="387"/>
      <c r="X774" s="387"/>
      <c r="Y774" s="387"/>
      <c r="Z774" s="387"/>
      <c r="AA774" s="387"/>
      <c r="AB774" s="387"/>
    </row>
    <row r="775">
      <c r="A775" s="364"/>
      <c r="B775" s="387"/>
      <c r="C775" s="387"/>
      <c r="D775" s="364"/>
      <c r="E775" s="387"/>
      <c r="F775" s="387"/>
      <c r="G775" s="387"/>
      <c r="H775" s="387"/>
      <c r="I775" s="387"/>
      <c r="J775" s="387"/>
      <c r="K775" s="387"/>
      <c r="L775" s="364"/>
      <c r="M775" s="364"/>
      <c r="N775" s="387"/>
      <c r="O775" s="387"/>
      <c r="P775" s="387"/>
      <c r="Q775" s="387"/>
      <c r="R775" s="387"/>
      <c r="S775" s="387"/>
      <c r="T775" s="387"/>
      <c r="U775" s="387"/>
      <c r="V775" s="387"/>
      <c r="W775" s="387"/>
      <c r="X775" s="387"/>
      <c r="Y775" s="387"/>
      <c r="Z775" s="387"/>
      <c r="AA775" s="387"/>
      <c r="AB775" s="387"/>
    </row>
    <row r="776">
      <c r="A776" s="364"/>
      <c r="B776" s="387"/>
      <c r="C776" s="387"/>
      <c r="D776" s="364"/>
      <c r="E776" s="387"/>
      <c r="F776" s="387"/>
      <c r="G776" s="387"/>
      <c r="H776" s="387"/>
      <c r="I776" s="387"/>
      <c r="J776" s="387"/>
      <c r="K776" s="387"/>
      <c r="L776" s="364"/>
      <c r="M776" s="364"/>
      <c r="N776" s="387"/>
      <c r="O776" s="387"/>
      <c r="P776" s="387"/>
      <c r="Q776" s="387"/>
      <c r="R776" s="387"/>
      <c r="S776" s="387"/>
      <c r="T776" s="387"/>
      <c r="U776" s="387"/>
      <c r="V776" s="387"/>
      <c r="W776" s="387"/>
      <c r="X776" s="387"/>
      <c r="Y776" s="387"/>
      <c r="Z776" s="387"/>
      <c r="AA776" s="387"/>
      <c r="AB776" s="387"/>
    </row>
    <row r="777">
      <c r="A777" s="364"/>
      <c r="B777" s="387"/>
      <c r="C777" s="387"/>
      <c r="D777" s="364"/>
      <c r="E777" s="387"/>
      <c r="F777" s="387"/>
      <c r="G777" s="387"/>
      <c r="H777" s="387"/>
      <c r="I777" s="387"/>
      <c r="J777" s="387"/>
      <c r="K777" s="387"/>
      <c r="L777" s="364"/>
      <c r="M777" s="364"/>
      <c r="N777" s="387"/>
      <c r="O777" s="387"/>
      <c r="P777" s="387"/>
      <c r="Q777" s="387"/>
      <c r="R777" s="387"/>
      <c r="S777" s="387"/>
      <c r="T777" s="387"/>
      <c r="U777" s="387"/>
      <c r="V777" s="387"/>
      <c r="W777" s="387"/>
      <c r="X777" s="387"/>
      <c r="Y777" s="387"/>
      <c r="Z777" s="387"/>
      <c r="AA777" s="387"/>
      <c r="AB777" s="387"/>
    </row>
    <row r="778">
      <c r="A778" s="364"/>
      <c r="B778" s="387"/>
      <c r="C778" s="387"/>
      <c r="D778" s="364"/>
      <c r="E778" s="387"/>
      <c r="F778" s="387"/>
      <c r="G778" s="387"/>
      <c r="H778" s="387"/>
      <c r="I778" s="387"/>
      <c r="J778" s="387"/>
      <c r="K778" s="387"/>
      <c r="L778" s="364"/>
      <c r="M778" s="364"/>
      <c r="N778" s="387"/>
      <c r="O778" s="387"/>
      <c r="P778" s="387"/>
      <c r="Q778" s="387"/>
      <c r="R778" s="387"/>
      <c r="S778" s="387"/>
      <c r="T778" s="387"/>
      <c r="U778" s="387"/>
      <c r="V778" s="387"/>
      <c r="W778" s="387"/>
      <c r="X778" s="387"/>
      <c r="Y778" s="387"/>
      <c r="Z778" s="387"/>
      <c r="AA778" s="387"/>
      <c r="AB778" s="387"/>
    </row>
    <row r="779">
      <c r="A779" s="364"/>
      <c r="B779" s="387"/>
      <c r="C779" s="387"/>
      <c r="D779" s="364"/>
      <c r="E779" s="387"/>
      <c r="F779" s="387"/>
      <c r="G779" s="387"/>
      <c r="H779" s="387"/>
      <c r="I779" s="387"/>
      <c r="J779" s="387"/>
      <c r="K779" s="387"/>
      <c r="L779" s="364"/>
      <c r="M779" s="364"/>
      <c r="N779" s="387"/>
      <c r="O779" s="387"/>
      <c r="P779" s="387"/>
      <c r="Q779" s="387"/>
      <c r="R779" s="387"/>
      <c r="S779" s="387"/>
      <c r="T779" s="387"/>
      <c r="U779" s="387"/>
      <c r="V779" s="387"/>
      <c r="W779" s="387"/>
      <c r="X779" s="387"/>
      <c r="Y779" s="387"/>
      <c r="Z779" s="387"/>
      <c r="AA779" s="387"/>
      <c r="AB779" s="387"/>
    </row>
    <row r="780">
      <c r="A780" s="364"/>
      <c r="B780" s="387"/>
      <c r="C780" s="387"/>
      <c r="D780" s="364"/>
      <c r="E780" s="387"/>
      <c r="F780" s="387"/>
      <c r="G780" s="387"/>
      <c r="H780" s="387"/>
      <c r="I780" s="387"/>
      <c r="J780" s="387"/>
      <c r="K780" s="387"/>
      <c r="L780" s="364"/>
      <c r="M780" s="364"/>
      <c r="N780" s="387"/>
      <c r="O780" s="387"/>
      <c r="P780" s="387"/>
      <c r="Q780" s="387"/>
      <c r="R780" s="387"/>
      <c r="S780" s="387"/>
      <c r="T780" s="387"/>
      <c r="U780" s="387"/>
      <c r="V780" s="387"/>
      <c r="W780" s="387"/>
      <c r="X780" s="387"/>
      <c r="Y780" s="387"/>
      <c r="Z780" s="387"/>
      <c r="AA780" s="387"/>
      <c r="AB780" s="387"/>
    </row>
    <row r="781">
      <c r="A781" s="364"/>
      <c r="B781" s="387"/>
      <c r="C781" s="387"/>
      <c r="D781" s="364"/>
      <c r="E781" s="387"/>
      <c r="F781" s="387"/>
      <c r="G781" s="387"/>
      <c r="H781" s="387"/>
      <c r="I781" s="387"/>
      <c r="J781" s="387"/>
      <c r="K781" s="387"/>
      <c r="L781" s="364"/>
      <c r="M781" s="364"/>
      <c r="N781" s="387"/>
      <c r="O781" s="387"/>
      <c r="P781" s="387"/>
      <c r="Q781" s="387"/>
      <c r="R781" s="387"/>
      <c r="S781" s="387"/>
      <c r="T781" s="387"/>
      <c r="U781" s="387"/>
      <c r="V781" s="387"/>
      <c r="W781" s="387"/>
      <c r="X781" s="387"/>
      <c r="Y781" s="387"/>
      <c r="Z781" s="387"/>
      <c r="AA781" s="387"/>
      <c r="AB781" s="387"/>
    </row>
    <row r="782">
      <c r="A782" s="364"/>
      <c r="B782" s="387"/>
      <c r="C782" s="387"/>
      <c r="D782" s="364"/>
      <c r="E782" s="387"/>
      <c r="F782" s="387"/>
      <c r="G782" s="387"/>
      <c r="H782" s="387"/>
      <c r="I782" s="387"/>
      <c r="J782" s="387"/>
      <c r="K782" s="387"/>
      <c r="L782" s="364"/>
      <c r="M782" s="364"/>
      <c r="N782" s="387"/>
      <c r="O782" s="387"/>
      <c r="P782" s="387"/>
      <c r="Q782" s="387"/>
      <c r="R782" s="387"/>
      <c r="S782" s="387"/>
      <c r="T782" s="387"/>
      <c r="U782" s="387"/>
      <c r="V782" s="387"/>
      <c r="W782" s="387"/>
      <c r="X782" s="387"/>
      <c r="Y782" s="387"/>
      <c r="Z782" s="387"/>
      <c r="AA782" s="387"/>
      <c r="AB782" s="387"/>
    </row>
    <row r="783">
      <c r="A783" s="364"/>
      <c r="B783" s="387"/>
      <c r="C783" s="387"/>
      <c r="D783" s="364"/>
      <c r="E783" s="387"/>
      <c r="F783" s="387"/>
      <c r="G783" s="387"/>
      <c r="H783" s="387"/>
      <c r="I783" s="387"/>
      <c r="J783" s="387"/>
      <c r="K783" s="387"/>
      <c r="L783" s="364"/>
      <c r="M783" s="364"/>
      <c r="N783" s="387"/>
      <c r="O783" s="387"/>
      <c r="P783" s="387"/>
      <c r="Q783" s="387"/>
      <c r="R783" s="387"/>
      <c r="S783" s="387"/>
      <c r="T783" s="387"/>
      <c r="U783" s="387"/>
      <c r="V783" s="387"/>
      <c r="W783" s="387"/>
      <c r="X783" s="387"/>
      <c r="Y783" s="387"/>
      <c r="Z783" s="387"/>
      <c r="AA783" s="387"/>
      <c r="AB783" s="387"/>
    </row>
    <row r="784">
      <c r="A784" s="364"/>
      <c r="B784" s="387"/>
      <c r="C784" s="387"/>
      <c r="D784" s="364"/>
      <c r="E784" s="387"/>
      <c r="F784" s="387"/>
      <c r="G784" s="387"/>
      <c r="H784" s="387"/>
      <c r="I784" s="387"/>
      <c r="J784" s="387"/>
      <c r="K784" s="387"/>
      <c r="L784" s="364"/>
      <c r="M784" s="364"/>
      <c r="N784" s="387"/>
      <c r="O784" s="387"/>
      <c r="P784" s="387"/>
      <c r="Q784" s="387"/>
      <c r="R784" s="387"/>
      <c r="S784" s="387"/>
      <c r="T784" s="387"/>
      <c r="U784" s="387"/>
      <c r="V784" s="387"/>
      <c r="W784" s="387"/>
      <c r="X784" s="387"/>
      <c r="Y784" s="387"/>
      <c r="Z784" s="387"/>
      <c r="AA784" s="387"/>
      <c r="AB784" s="387"/>
    </row>
    <row r="785">
      <c r="A785" s="364"/>
      <c r="B785" s="387"/>
      <c r="C785" s="387"/>
      <c r="D785" s="364"/>
      <c r="E785" s="387"/>
      <c r="F785" s="387"/>
      <c r="G785" s="387"/>
      <c r="H785" s="387"/>
      <c r="I785" s="387"/>
      <c r="J785" s="387"/>
      <c r="K785" s="387"/>
      <c r="L785" s="364"/>
      <c r="M785" s="364"/>
      <c r="N785" s="387"/>
      <c r="O785" s="387"/>
      <c r="P785" s="387"/>
      <c r="Q785" s="387"/>
      <c r="R785" s="387"/>
      <c r="S785" s="387"/>
      <c r="T785" s="387"/>
      <c r="U785" s="387"/>
      <c r="V785" s="387"/>
      <c r="W785" s="387"/>
      <c r="X785" s="387"/>
      <c r="Y785" s="387"/>
      <c r="Z785" s="387"/>
      <c r="AA785" s="387"/>
      <c r="AB785" s="387"/>
    </row>
    <row r="786">
      <c r="A786" s="364"/>
      <c r="B786" s="387"/>
      <c r="C786" s="387"/>
      <c r="D786" s="364"/>
      <c r="E786" s="387"/>
      <c r="F786" s="387"/>
      <c r="G786" s="387"/>
      <c r="H786" s="387"/>
      <c r="I786" s="387"/>
      <c r="J786" s="387"/>
      <c r="K786" s="387"/>
      <c r="L786" s="364"/>
      <c r="M786" s="364"/>
      <c r="N786" s="387"/>
      <c r="O786" s="387"/>
      <c r="P786" s="387"/>
      <c r="Q786" s="387"/>
      <c r="R786" s="387"/>
      <c r="S786" s="387"/>
      <c r="T786" s="387"/>
      <c r="U786" s="387"/>
      <c r="V786" s="387"/>
      <c r="W786" s="387"/>
      <c r="X786" s="387"/>
      <c r="Y786" s="387"/>
      <c r="Z786" s="387"/>
      <c r="AA786" s="387"/>
      <c r="AB786" s="387"/>
    </row>
    <row r="787">
      <c r="A787" s="364"/>
      <c r="B787" s="387"/>
      <c r="C787" s="387"/>
      <c r="D787" s="364"/>
      <c r="E787" s="387"/>
      <c r="F787" s="387"/>
      <c r="G787" s="387"/>
      <c r="H787" s="387"/>
      <c r="I787" s="387"/>
      <c r="J787" s="387"/>
      <c r="K787" s="387"/>
      <c r="L787" s="364"/>
      <c r="M787" s="364"/>
      <c r="N787" s="387"/>
      <c r="O787" s="387"/>
      <c r="P787" s="387"/>
      <c r="Q787" s="387"/>
      <c r="R787" s="387"/>
      <c r="S787" s="387"/>
      <c r="T787" s="387"/>
      <c r="U787" s="387"/>
      <c r="V787" s="387"/>
      <c r="W787" s="387"/>
      <c r="X787" s="387"/>
      <c r="Y787" s="387"/>
      <c r="Z787" s="387"/>
      <c r="AA787" s="387"/>
      <c r="AB787" s="387"/>
    </row>
    <row r="788">
      <c r="A788" s="364"/>
      <c r="B788" s="387"/>
      <c r="C788" s="387"/>
      <c r="D788" s="364"/>
      <c r="E788" s="387"/>
      <c r="F788" s="387"/>
      <c r="G788" s="387"/>
      <c r="H788" s="387"/>
      <c r="I788" s="387"/>
      <c r="J788" s="387"/>
      <c r="K788" s="387"/>
      <c r="L788" s="364"/>
      <c r="M788" s="364"/>
      <c r="N788" s="387"/>
      <c r="O788" s="387"/>
      <c r="P788" s="387"/>
      <c r="Q788" s="387"/>
      <c r="R788" s="387"/>
      <c r="S788" s="387"/>
      <c r="T788" s="387"/>
      <c r="U788" s="387"/>
      <c r="V788" s="387"/>
      <c r="W788" s="387"/>
      <c r="X788" s="387"/>
      <c r="Y788" s="387"/>
      <c r="Z788" s="387"/>
      <c r="AA788" s="387"/>
      <c r="AB788" s="387"/>
    </row>
    <row r="789">
      <c r="A789" s="364"/>
      <c r="B789" s="387"/>
      <c r="C789" s="387"/>
      <c r="D789" s="364"/>
      <c r="E789" s="387"/>
      <c r="F789" s="387"/>
      <c r="G789" s="387"/>
      <c r="H789" s="387"/>
      <c r="I789" s="387"/>
      <c r="J789" s="387"/>
      <c r="K789" s="387"/>
      <c r="L789" s="364"/>
      <c r="M789" s="364"/>
      <c r="N789" s="387"/>
      <c r="O789" s="387"/>
      <c r="P789" s="387"/>
      <c r="Q789" s="387"/>
      <c r="R789" s="387"/>
      <c r="S789" s="387"/>
      <c r="T789" s="387"/>
      <c r="U789" s="387"/>
      <c r="V789" s="387"/>
      <c r="W789" s="387"/>
      <c r="X789" s="387"/>
      <c r="Y789" s="387"/>
      <c r="Z789" s="387"/>
      <c r="AA789" s="387"/>
      <c r="AB789" s="387"/>
    </row>
    <row r="790">
      <c r="A790" s="364"/>
      <c r="B790" s="387"/>
      <c r="C790" s="387"/>
      <c r="D790" s="364"/>
      <c r="E790" s="387"/>
      <c r="F790" s="387"/>
      <c r="G790" s="387"/>
      <c r="H790" s="387"/>
      <c r="I790" s="387"/>
      <c r="J790" s="387"/>
      <c r="K790" s="387"/>
      <c r="L790" s="364"/>
      <c r="M790" s="364"/>
      <c r="N790" s="387"/>
      <c r="O790" s="387"/>
      <c r="P790" s="387"/>
      <c r="Q790" s="387"/>
      <c r="R790" s="387"/>
      <c r="S790" s="387"/>
      <c r="T790" s="387"/>
      <c r="U790" s="387"/>
      <c r="V790" s="387"/>
      <c r="W790" s="387"/>
      <c r="X790" s="387"/>
      <c r="Y790" s="387"/>
      <c r="Z790" s="387"/>
      <c r="AA790" s="387"/>
      <c r="AB790" s="387"/>
    </row>
    <row r="791">
      <c r="A791" s="364"/>
      <c r="B791" s="387"/>
      <c r="C791" s="387"/>
      <c r="D791" s="364"/>
      <c r="E791" s="387"/>
      <c r="F791" s="387"/>
      <c r="G791" s="387"/>
      <c r="H791" s="387"/>
      <c r="I791" s="387"/>
      <c r="J791" s="387"/>
      <c r="K791" s="387"/>
      <c r="L791" s="364"/>
      <c r="M791" s="364"/>
      <c r="N791" s="387"/>
      <c r="O791" s="387"/>
      <c r="P791" s="387"/>
      <c r="Q791" s="387"/>
      <c r="R791" s="387"/>
      <c r="S791" s="387"/>
      <c r="T791" s="387"/>
      <c r="U791" s="387"/>
      <c r="V791" s="387"/>
      <c r="W791" s="387"/>
      <c r="X791" s="387"/>
      <c r="Y791" s="387"/>
      <c r="Z791" s="387"/>
      <c r="AA791" s="387"/>
      <c r="AB791" s="387"/>
    </row>
    <row r="792">
      <c r="A792" s="364"/>
      <c r="B792" s="387"/>
      <c r="C792" s="387"/>
      <c r="D792" s="364"/>
      <c r="E792" s="387"/>
      <c r="F792" s="387"/>
      <c r="G792" s="387"/>
      <c r="H792" s="387"/>
      <c r="I792" s="387"/>
      <c r="J792" s="387"/>
      <c r="K792" s="387"/>
      <c r="L792" s="364"/>
      <c r="M792" s="364"/>
      <c r="N792" s="387"/>
      <c r="O792" s="387"/>
      <c r="P792" s="387"/>
      <c r="Q792" s="387"/>
      <c r="R792" s="387"/>
      <c r="S792" s="387"/>
      <c r="T792" s="387"/>
      <c r="U792" s="387"/>
      <c r="V792" s="387"/>
      <c r="W792" s="387"/>
      <c r="X792" s="387"/>
      <c r="Y792" s="387"/>
      <c r="Z792" s="387"/>
      <c r="AA792" s="387"/>
      <c r="AB792" s="387"/>
    </row>
    <row r="793">
      <c r="A793" s="364"/>
      <c r="B793" s="387"/>
      <c r="C793" s="387"/>
      <c r="D793" s="364"/>
      <c r="E793" s="387"/>
      <c r="F793" s="387"/>
      <c r="G793" s="387"/>
      <c r="H793" s="387"/>
      <c r="I793" s="387"/>
      <c r="J793" s="387"/>
      <c r="K793" s="387"/>
      <c r="L793" s="364"/>
      <c r="M793" s="364"/>
      <c r="N793" s="387"/>
      <c r="O793" s="387"/>
      <c r="P793" s="387"/>
      <c r="Q793" s="387"/>
      <c r="R793" s="387"/>
      <c r="S793" s="387"/>
      <c r="T793" s="387"/>
      <c r="U793" s="387"/>
      <c r="V793" s="387"/>
      <c r="W793" s="387"/>
      <c r="X793" s="387"/>
      <c r="Y793" s="387"/>
      <c r="Z793" s="387"/>
      <c r="AA793" s="387"/>
      <c r="AB793" s="387"/>
    </row>
    <row r="794">
      <c r="A794" s="364"/>
      <c r="B794" s="387"/>
      <c r="C794" s="387"/>
      <c r="D794" s="364"/>
      <c r="E794" s="387"/>
      <c r="F794" s="387"/>
      <c r="G794" s="387"/>
      <c r="H794" s="387"/>
      <c r="I794" s="387"/>
      <c r="J794" s="387"/>
      <c r="K794" s="387"/>
      <c r="L794" s="364"/>
      <c r="M794" s="364"/>
      <c r="N794" s="387"/>
      <c r="O794" s="387"/>
      <c r="P794" s="387"/>
      <c r="Q794" s="387"/>
      <c r="R794" s="387"/>
      <c r="S794" s="387"/>
      <c r="T794" s="387"/>
      <c r="U794" s="387"/>
      <c r="V794" s="387"/>
      <c r="W794" s="387"/>
      <c r="X794" s="387"/>
      <c r="Y794" s="387"/>
      <c r="Z794" s="387"/>
      <c r="AA794" s="387"/>
      <c r="AB794" s="387"/>
    </row>
    <row r="795">
      <c r="A795" s="364"/>
      <c r="B795" s="387"/>
      <c r="C795" s="387"/>
      <c r="D795" s="364"/>
      <c r="E795" s="387"/>
      <c r="F795" s="387"/>
      <c r="G795" s="387"/>
      <c r="H795" s="387"/>
      <c r="I795" s="387"/>
      <c r="J795" s="387"/>
      <c r="K795" s="387"/>
      <c r="L795" s="364"/>
      <c r="M795" s="364"/>
      <c r="N795" s="387"/>
      <c r="O795" s="387"/>
      <c r="P795" s="387"/>
      <c r="Q795" s="387"/>
      <c r="R795" s="387"/>
      <c r="S795" s="387"/>
      <c r="T795" s="387"/>
      <c r="U795" s="387"/>
      <c r="V795" s="387"/>
      <c r="W795" s="387"/>
      <c r="X795" s="387"/>
      <c r="Y795" s="387"/>
      <c r="Z795" s="387"/>
      <c r="AA795" s="387"/>
      <c r="AB795" s="387"/>
    </row>
    <row r="796">
      <c r="A796" s="364"/>
      <c r="B796" s="387"/>
      <c r="C796" s="387"/>
      <c r="D796" s="364"/>
      <c r="E796" s="387"/>
      <c r="F796" s="387"/>
      <c r="G796" s="387"/>
      <c r="H796" s="387"/>
      <c r="I796" s="387"/>
      <c r="J796" s="387"/>
      <c r="K796" s="387"/>
      <c r="L796" s="364"/>
      <c r="M796" s="364"/>
      <c r="N796" s="387"/>
      <c r="O796" s="387"/>
      <c r="P796" s="387"/>
      <c r="Q796" s="387"/>
      <c r="R796" s="387"/>
      <c r="S796" s="387"/>
      <c r="T796" s="387"/>
      <c r="U796" s="387"/>
      <c r="V796" s="387"/>
      <c r="W796" s="387"/>
      <c r="X796" s="387"/>
      <c r="Y796" s="387"/>
      <c r="Z796" s="387"/>
      <c r="AA796" s="387"/>
      <c r="AB796" s="387"/>
    </row>
    <row r="797">
      <c r="A797" s="364"/>
      <c r="B797" s="387"/>
      <c r="C797" s="387"/>
      <c r="D797" s="364"/>
      <c r="E797" s="387"/>
      <c r="F797" s="387"/>
      <c r="G797" s="387"/>
      <c r="H797" s="387"/>
      <c r="I797" s="387"/>
      <c r="J797" s="387"/>
      <c r="K797" s="387"/>
      <c r="L797" s="364"/>
      <c r="M797" s="364"/>
      <c r="N797" s="387"/>
      <c r="O797" s="387"/>
      <c r="P797" s="387"/>
      <c r="Q797" s="387"/>
      <c r="R797" s="387"/>
      <c r="S797" s="387"/>
      <c r="T797" s="387"/>
      <c r="U797" s="387"/>
      <c r="V797" s="387"/>
      <c r="W797" s="387"/>
      <c r="X797" s="387"/>
      <c r="Y797" s="387"/>
      <c r="Z797" s="387"/>
      <c r="AA797" s="387"/>
      <c r="AB797" s="387"/>
    </row>
    <row r="798">
      <c r="A798" s="364"/>
      <c r="B798" s="387"/>
      <c r="C798" s="387"/>
      <c r="D798" s="364"/>
      <c r="E798" s="387"/>
      <c r="F798" s="387"/>
      <c r="G798" s="387"/>
      <c r="H798" s="387"/>
      <c r="I798" s="387"/>
      <c r="J798" s="387"/>
      <c r="K798" s="387"/>
      <c r="L798" s="364"/>
      <c r="M798" s="364"/>
      <c r="N798" s="387"/>
      <c r="O798" s="387"/>
      <c r="P798" s="387"/>
      <c r="Q798" s="387"/>
      <c r="R798" s="387"/>
      <c r="S798" s="387"/>
      <c r="T798" s="387"/>
      <c r="U798" s="387"/>
      <c r="V798" s="387"/>
      <c r="W798" s="387"/>
      <c r="X798" s="387"/>
      <c r="Y798" s="387"/>
      <c r="Z798" s="387"/>
      <c r="AA798" s="387"/>
      <c r="AB798" s="387"/>
    </row>
    <row r="799">
      <c r="A799" s="364"/>
      <c r="B799" s="387"/>
      <c r="C799" s="387"/>
      <c r="D799" s="364"/>
      <c r="E799" s="387"/>
      <c r="F799" s="387"/>
      <c r="G799" s="387"/>
      <c r="H799" s="387"/>
      <c r="I799" s="387"/>
      <c r="J799" s="387"/>
      <c r="K799" s="387"/>
      <c r="L799" s="364"/>
      <c r="M799" s="364"/>
      <c r="N799" s="387"/>
      <c r="O799" s="387"/>
      <c r="P799" s="387"/>
      <c r="Q799" s="387"/>
      <c r="R799" s="387"/>
      <c r="S799" s="387"/>
      <c r="T799" s="387"/>
      <c r="U799" s="387"/>
      <c r="V799" s="387"/>
      <c r="W799" s="387"/>
      <c r="X799" s="387"/>
      <c r="Y799" s="387"/>
      <c r="Z799" s="387"/>
      <c r="AA799" s="387"/>
      <c r="AB799" s="387"/>
    </row>
    <row r="800">
      <c r="A800" s="364"/>
      <c r="B800" s="387"/>
      <c r="C800" s="387"/>
      <c r="D800" s="364"/>
      <c r="E800" s="387"/>
      <c r="F800" s="387"/>
      <c r="G800" s="387"/>
      <c r="H800" s="387"/>
      <c r="I800" s="387"/>
      <c r="J800" s="387"/>
      <c r="K800" s="387"/>
      <c r="L800" s="364"/>
      <c r="M800" s="364"/>
      <c r="N800" s="387"/>
      <c r="O800" s="387"/>
      <c r="P800" s="387"/>
      <c r="Q800" s="387"/>
      <c r="R800" s="387"/>
      <c r="S800" s="387"/>
      <c r="T800" s="387"/>
      <c r="U800" s="387"/>
      <c r="V800" s="387"/>
      <c r="W800" s="387"/>
      <c r="X800" s="387"/>
      <c r="Y800" s="387"/>
      <c r="Z800" s="387"/>
      <c r="AA800" s="387"/>
      <c r="AB800" s="387"/>
    </row>
    <row r="801">
      <c r="A801" s="364"/>
      <c r="B801" s="387"/>
      <c r="C801" s="387"/>
      <c r="D801" s="364"/>
      <c r="E801" s="387"/>
      <c r="F801" s="387"/>
      <c r="G801" s="387"/>
      <c r="H801" s="387"/>
      <c r="I801" s="387"/>
      <c r="J801" s="387"/>
      <c r="K801" s="387"/>
      <c r="L801" s="364"/>
      <c r="M801" s="364"/>
      <c r="N801" s="387"/>
      <c r="O801" s="387"/>
      <c r="P801" s="387"/>
      <c r="Q801" s="387"/>
      <c r="R801" s="387"/>
      <c r="S801" s="387"/>
      <c r="T801" s="387"/>
      <c r="U801" s="387"/>
      <c r="V801" s="387"/>
      <c r="W801" s="387"/>
      <c r="X801" s="387"/>
      <c r="Y801" s="387"/>
      <c r="Z801" s="387"/>
      <c r="AA801" s="387"/>
      <c r="AB801" s="387"/>
    </row>
    <row r="802">
      <c r="A802" s="364"/>
      <c r="B802" s="387"/>
      <c r="C802" s="387"/>
      <c r="D802" s="364"/>
      <c r="E802" s="387"/>
      <c r="F802" s="387"/>
      <c r="G802" s="387"/>
      <c r="H802" s="387"/>
      <c r="I802" s="387"/>
      <c r="J802" s="387"/>
      <c r="K802" s="387"/>
      <c r="L802" s="364"/>
      <c r="M802" s="364"/>
      <c r="N802" s="387"/>
      <c r="O802" s="387"/>
      <c r="P802" s="387"/>
      <c r="Q802" s="387"/>
      <c r="R802" s="387"/>
      <c r="S802" s="387"/>
      <c r="T802" s="387"/>
      <c r="U802" s="387"/>
      <c r="V802" s="387"/>
      <c r="W802" s="387"/>
      <c r="X802" s="387"/>
      <c r="Y802" s="387"/>
      <c r="Z802" s="387"/>
      <c r="AA802" s="387"/>
      <c r="AB802" s="387"/>
    </row>
    <row r="803">
      <c r="A803" s="364"/>
      <c r="B803" s="387"/>
      <c r="C803" s="387"/>
      <c r="D803" s="364"/>
      <c r="E803" s="387"/>
      <c r="F803" s="387"/>
      <c r="G803" s="387"/>
      <c r="H803" s="387"/>
      <c r="I803" s="387"/>
      <c r="J803" s="387"/>
      <c r="K803" s="387"/>
      <c r="L803" s="364"/>
      <c r="M803" s="364"/>
      <c r="N803" s="387"/>
      <c r="O803" s="387"/>
      <c r="P803" s="387"/>
      <c r="Q803" s="387"/>
      <c r="R803" s="387"/>
      <c r="S803" s="387"/>
      <c r="T803" s="387"/>
      <c r="U803" s="387"/>
      <c r="V803" s="387"/>
      <c r="W803" s="387"/>
      <c r="X803" s="387"/>
      <c r="Y803" s="387"/>
      <c r="Z803" s="387"/>
      <c r="AA803" s="387"/>
      <c r="AB803" s="387"/>
    </row>
    <row r="804">
      <c r="A804" s="364"/>
      <c r="B804" s="387"/>
      <c r="C804" s="387"/>
      <c r="D804" s="364"/>
      <c r="E804" s="387"/>
      <c r="F804" s="387"/>
      <c r="G804" s="387"/>
      <c r="H804" s="387"/>
      <c r="I804" s="387"/>
      <c r="J804" s="387"/>
      <c r="K804" s="387"/>
      <c r="L804" s="364"/>
      <c r="M804" s="364"/>
      <c r="N804" s="387"/>
      <c r="O804" s="387"/>
      <c r="P804" s="387"/>
      <c r="Q804" s="387"/>
      <c r="R804" s="387"/>
      <c r="S804" s="387"/>
      <c r="T804" s="387"/>
      <c r="U804" s="387"/>
      <c r="V804" s="387"/>
      <c r="W804" s="387"/>
      <c r="X804" s="387"/>
      <c r="Y804" s="387"/>
      <c r="Z804" s="387"/>
      <c r="AA804" s="387"/>
      <c r="AB804" s="387"/>
    </row>
    <row r="805">
      <c r="A805" s="364"/>
      <c r="B805" s="387"/>
      <c r="C805" s="387"/>
      <c r="D805" s="364"/>
      <c r="E805" s="387"/>
      <c r="F805" s="387"/>
      <c r="G805" s="387"/>
      <c r="H805" s="387"/>
      <c r="I805" s="387"/>
      <c r="J805" s="387"/>
      <c r="K805" s="387"/>
      <c r="L805" s="364"/>
      <c r="M805" s="364"/>
      <c r="N805" s="387"/>
      <c r="O805" s="387"/>
      <c r="P805" s="387"/>
      <c r="Q805" s="387"/>
      <c r="R805" s="387"/>
      <c r="S805" s="387"/>
      <c r="T805" s="387"/>
      <c r="U805" s="387"/>
      <c r="V805" s="387"/>
      <c r="W805" s="387"/>
      <c r="X805" s="387"/>
      <c r="Y805" s="387"/>
      <c r="Z805" s="387"/>
      <c r="AA805" s="387"/>
      <c r="AB805" s="387"/>
    </row>
    <row r="806">
      <c r="A806" s="364"/>
      <c r="B806" s="387"/>
      <c r="C806" s="387"/>
      <c r="D806" s="364"/>
      <c r="E806" s="387"/>
      <c r="F806" s="387"/>
      <c r="G806" s="387"/>
      <c r="H806" s="387"/>
      <c r="I806" s="387"/>
      <c r="J806" s="387"/>
      <c r="K806" s="387"/>
      <c r="L806" s="364"/>
      <c r="M806" s="364"/>
      <c r="N806" s="387"/>
      <c r="O806" s="387"/>
      <c r="P806" s="387"/>
      <c r="Q806" s="387"/>
      <c r="R806" s="387"/>
      <c r="S806" s="387"/>
      <c r="T806" s="387"/>
      <c r="U806" s="387"/>
      <c r="V806" s="387"/>
      <c r="W806" s="387"/>
      <c r="X806" s="387"/>
      <c r="Y806" s="387"/>
      <c r="Z806" s="387"/>
      <c r="AA806" s="387"/>
      <c r="AB806" s="387"/>
    </row>
    <row r="807">
      <c r="A807" s="364"/>
      <c r="B807" s="387"/>
      <c r="C807" s="387"/>
      <c r="D807" s="364"/>
      <c r="E807" s="387"/>
      <c r="F807" s="387"/>
      <c r="G807" s="387"/>
      <c r="H807" s="387"/>
      <c r="I807" s="387"/>
      <c r="J807" s="387"/>
      <c r="K807" s="387"/>
      <c r="L807" s="364"/>
      <c r="M807" s="364"/>
      <c r="N807" s="387"/>
      <c r="O807" s="387"/>
      <c r="P807" s="387"/>
      <c r="Q807" s="387"/>
      <c r="R807" s="387"/>
      <c r="S807" s="387"/>
      <c r="T807" s="387"/>
      <c r="U807" s="387"/>
      <c r="V807" s="387"/>
      <c r="W807" s="387"/>
      <c r="X807" s="387"/>
      <c r="Y807" s="387"/>
      <c r="Z807" s="387"/>
      <c r="AA807" s="387"/>
      <c r="AB807" s="387"/>
    </row>
    <row r="808">
      <c r="A808" s="364"/>
      <c r="B808" s="387"/>
      <c r="C808" s="387"/>
      <c r="D808" s="364"/>
      <c r="E808" s="387"/>
      <c r="F808" s="387"/>
      <c r="G808" s="387"/>
      <c r="H808" s="387"/>
      <c r="I808" s="387"/>
      <c r="J808" s="387"/>
      <c r="K808" s="387"/>
      <c r="L808" s="364"/>
      <c r="M808" s="364"/>
      <c r="N808" s="387"/>
      <c r="O808" s="387"/>
      <c r="P808" s="387"/>
      <c r="Q808" s="387"/>
      <c r="R808" s="387"/>
      <c r="S808" s="387"/>
      <c r="T808" s="387"/>
      <c r="U808" s="387"/>
      <c r="V808" s="387"/>
      <c r="W808" s="387"/>
      <c r="X808" s="387"/>
      <c r="Y808" s="387"/>
      <c r="Z808" s="387"/>
      <c r="AA808" s="387"/>
      <c r="AB808" s="387"/>
    </row>
    <row r="809">
      <c r="A809" s="364"/>
      <c r="B809" s="387"/>
      <c r="C809" s="387"/>
      <c r="D809" s="364"/>
      <c r="E809" s="387"/>
      <c r="F809" s="387"/>
      <c r="G809" s="387"/>
      <c r="H809" s="387"/>
      <c r="I809" s="387"/>
      <c r="J809" s="387"/>
      <c r="K809" s="387"/>
      <c r="L809" s="364"/>
      <c r="M809" s="364"/>
      <c r="N809" s="387"/>
      <c r="O809" s="387"/>
      <c r="P809" s="387"/>
      <c r="Q809" s="387"/>
      <c r="R809" s="387"/>
      <c r="S809" s="387"/>
      <c r="T809" s="387"/>
      <c r="U809" s="387"/>
      <c r="V809" s="387"/>
      <c r="W809" s="387"/>
      <c r="X809" s="387"/>
      <c r="Y809" s="387"/>
      <c r="Z809" s="387"/>
      <c r="AA809" s="387"/>
      <c r="AB809" s="387"/>
    </row>
    <row r="810">
      <c r="A810" s="364"/>
      <c r="B810" s="387"/>
      <c r="C810" s="387"/>
      <c r="D810" s="364"/>
      <c r="E810" s="387"/>
      <c r="F810" s="387"/>
      <c r="G810" s="387"/>
      <c r="H810" s="387"/>
      <c r="I810" s="387"/>
      <c r="J810" s="387"/>
      <c r="K810" s="387"/>
      <c r="L810" s="364"/>
      <c r="M810" s="364"/>
      <c r="N810" s="387"/>
      <c r="O810" s="387"/>
      <c r="P810" s="387"/>
      <c r="Q810" s="387"/>
      <c r="R810" s="387"/>
      <c r="S810" s="387"/>
      <c r="T810" s="387"/>
      <c r="U810" s="387"/>
      <c r="V810" s="387"/>
      <c r="W810" s="387"/>
      <c r="X810" s="387"/>
      <c r="Y810" s="387"/>
      <c r="Z810" s="387"/>
      <c r="AA810" s="387"/>
      <c r="AB810" s="387"/>
    </row>
    <row r="811">
      <c r="A811" s="364"/>
      <c r="B811" s="387"/>
      <c r="C811" s="387"/>
      <c r="D811" s="364"/>
      <c r="E811" s="387"/>
      <c r="F811" s="387"/>
      <c r="G811" s="387"/>
      <c r="H811" s="387"/>
      <c r="I811" s="387"/>
      <c r="J811" s="387"/>
      <c r="K811" s="387"/>
      <c r="L811" s="364"/>
      <c r="M811" s="364"/>
      <c r="N811" s="387"/>
      <c r="O811" s="387"/>
      <c r="P811" s="387"/>
      <c r="Q811" s="387"/>
      <c r="R811" s="387"/>
      <c r="S811" s="387"/>
      <c r="T811" s="387"/>
      <c r="U811" s="387"/>
      <c r="V811" s="387"/>
      <c r="W811" s="387"/>
      <c r="X811" s="387"/>
      <c r="Y811" s="387"/>
      <c r="Z811" s="387"/>
      <c r="AA811" s="387"/>
      <c r="AB811" s="387"/>
    </row>
    <row r="812">
      <c r="A812" s="364"/>
      <c r="B812" s="387"/>
      <c r="C812" s="387"/>
      <c r="D812" s="364"/>
      <c r="E812" s="387"/>
      <c r="F812" s="387"/>
      <c r="G812" s="387"/>
      <c r="H812" s="387"/>
      <c r="I812" s="387"/>
      <c r="J812" s="387"/>
      <c r="K812" s="387"/>
      <c r="L812" s="364"/>
      <c r="M812" s="364"/>
      <c r="N812" s="387"/>
      <c r="O812" s="387"/>
      <c r="P812" s="387"/>
      <c r="Q812" s="387"/>
      <c r="R812" s="387"/>
      <c r="S812" s="387"/>
      <c r="T812" s="387"/>
      <c r="U812" s="387"/>
      <c r="V812" s="387"/>
      <c r="W812" s="387"/>
      <c r="X812" s="387"/>
      <c r="Y812" s="387"/>
      <c r="Z812" s="387"/>
      <c r="AA812" s="387"/>
      <c r="AB812" s="387"/>
    </row>
    <row r="813">
      <c r="A813" s="364"/>
      <c r="B813" s="387"/>
      <c r="C813" s="387"/>
      <c r="D813" s="364"/>
      <c r="E813" s="387"/>
      <c r="F813" s="387"/>
      <c r="G813" s="387"/>
      <c r="H813" s="387"/>
      <c r="I813" s="387"/>
      <c r="J813" s="387"/>
      <c r="K813" s="387"/>
      <c r="L813" s="364"/>
      <c r="M813" s="364"/>
      <c r="N813" s="387"/>
      <c r="O813" s="387"/>
      <c r="P813" s="387"/>
      <c r="Q813" s="387"/>
      <c r="R813" s="387"/>
      <c r="S813" s="387"/>
      <c r="T813" s="387"/>
      <c r="U813" s="387"/>
      <c r="V813" s="387"/>
      <c r="W813" s="387"/>
      <c r="X813" s="387"/>
      <c r="Y813" s="387"/>
      <c r="Z813" s="387"/>
      <c r="AA813" s="387"/>
      <c r="AB813" s="387"/>
    </row>
    <row r="814">
      <c r="A814" s="364"/>
      <c r="B814" s="387"/>
      <c r="C814" s="387"/>
      <c r="D814" s="364"/>
      <c r="E814" s="387"/>
      <c r="F814" s="387"/>
      <c r="G814" s="387"/>
      <c r="H814" s="387"/>
      <c r="I814" s="387"/>
      <c r="J814" s="387"/>
      <c r="K814" s="387"/>
      <c r="L814" s="364"/>
      <c r="M814" s="364"/>
      <c r="N814" s="387"/>
      <c r="O814" s="387"/>
      <c r="P814" s="387"/>
      <c r="Q814" s="387"/>
      <c r="R814" s="387"/>
      <c r="S814" s="387"/>
      <c r="T814" s="387"/>
      <c r="U814" s="387"/>
      <c r="V814" s="387"/>
      <c r="W814" s="387"/>
      <c r="X814" s="387"/>
      <c r="Y814" s="387"/>
      <c r="Z814" s="387"/>
      <c r="AA814" s="387"/>
      <c r="AB814" s="387"/>
    </row>
    <row r="815">
      <c r="A815" s="364"/>
      <c r="B815" s="387"/>
      <c r="C815" s="387"/>
      <c r="D815" s="364"/>
      <c r="E815" s="387"/>
      <c r="F815" s="387"/>
      <c r="G815" s="387"/>
      <c r="H815" s="387"/>
      <c r="I815" s="387"/>
      <c r="J815" s="387"/>
      <c r="K815" s="387"/>
      <c r="L815" s="364"/>
      <c r="M815" s="364"/>
      <c r="N815" s="387"/>
      <c r="O815" s="387"/>
      <c r="P815" s="387"/>
      <c r="Q815" s="387"/>
      <c r="R815" s="387"/>
      <c r="S815" s="387"/>
      <c r="T815" s="387"/>
      <c r="U815" s="387"/>
      <c r="V815" s="387"/>
      <c r="W815" s="387"/>
      <c r="X815" s="387"/>
      <c r="Y815" s="387"/>
      <c r="Z815" s="387"/>
      <c r="AA815" s="387"/>
      <c r="AB815" s="387"/>
    </row>
    <row r="816">
      <c r="A816" s="364"/>
      <c r="B816" s="387"/>
      <c r="C816" s="387"/>
      <c r="D816" s="364"/>
      <c r="E816" s="387"/>
      <c r="F816" s="387"/>
      <c r="G816" s="387"/>
      <c r="H816" s="387"/>
      <c r="I816" s="387"/>
      <c r="J816" s="387"/>
      <c r="K816" s="387"/>
      <c r="L816" s="364"/>
      <c r="M816" s="364"/>
      <c r="N816" s="387"/>
      <c r="O816" s="387"/>
      <c r="P816" s="387"/>
      <c r="Q816" s="387"/>
      <c r="R816" s="387"/>
      <c r="S816" s="387"/>
      <c r="T816" s="387"/>
      <c r="U816" s="387"/>
      <c r="V816" s="387"/>
      <c r="W816" s="387"/>
      <c r="X816" s="387"/>
      <c r="Y816" s="387"/>
      <c r="Z816" s="387"/>
      <c r="AA816" s="387"/>
      <c r="AB816" s="387"/>
    </row>
    <row r="817">
      <c r="A817" s="364"/>
      <c r="B817" s="387"/>
      <c r="C817" s="387"/>
      <c r="D817" s="364"/>
      <c r="E817" s="387"/>
      <c r="F817" s="387"/>
      <c r="G817" s="387"/>
      <c r="H817" s="387"/>
      <c r="I817" s="387"/>
      <c r="J817" s="387"/>
      <c r="K817" s="387"/>
      <c r="L817" s="364"/>
      <c r="M817" s="364"/>
      <c r="N817" s="387"/>
      <c r="O817" s="387"/>
      <c r="P817" s="387"/>
      <c r="Q817" s="387"/>
      <c r="R817" s="387"/>
      <c r="S817" s="387"/>
      <c r="T817" s="387"/>
      <c r="U817" s="387"/>
      <c r="V817" s="387"/>
      <c r="W817" s="387"/>
      <c r="X817" s="387"/>
      <c r="Y817" s="387"/>
      <c r="Z817" s="387"/>
      <c r="AA817" s="387"/>
      <c r="AB817" s="387"/>
    </row>
    <row r="818">
      <c r="A818" s="364"/>
      <c r="B818" s="387"/>
      <c r="C818" s="387"/>
      <c r="D818" s="364"/>
      <c r="E818" s="387"/>
      <c r="F818" s="387"/>
      <c r="G818" s="387"/>
      <c r="H818" s="387"/>
      <c r="I818" s="387"/>
      <c r="J818" s="387"/>
      <c r="K818" s="387"/>
      <c r="L818" s="364"/>
      <c r="M818" s="364"/>
      <c r="N818" s="387"/>
      <c r="O818" s="387"/>
      <c r="P818" s="387"/>
      <c r="Q818" s="387"/>
      <c r="R818" s="387"/>
      <c r="S818" s="387"/>
      <c r="T818" s="387"/>
      <c r="U818" s="387"/>
      <c r="V818" s="387"/>
      <c r="W818" s="387"/>
      <c r="X818" s="387"/>
      <c r="Y818" s="387"/>
      <c r="Z818" s="387"/>
      <c r="AA818" s="387"/>
      <c r="AB818" s="387"/>
    </row>
    <row r="819">
      <c r="A819" s="364"/>
      <c r="B819" s="387"/>
      <c r="C819" s="387"/>
      <c r="D819" s="364"/>
      <c r="E819" s="387"/>
      <c r="F819" s="387"/>
      <c r="G819" s="387"/>
      <c r="H819" s="387"/>
      <c r="I819" s="387"/>
      <c r="J819" s="387"/>
      <c r="K819" s="387"/>
      <c r="L819" s="364"/>
      <c r="M819" s="364"/>
      <c r="N819" s="387"/>
      <c r="O819" s="387"/>
      <c r="P819" s="387"/>
      <c r="Q819" s="387"/>
      <c r="R819" s="387"/>
      <c r="S819" s="387"/>
      <c r="T819" s="387"/>
      <c r="U819" s="387"/>
      <c r="V819" s="387"/>
      <c r="W819" s="387"/>
      <c r="X819" s="387"/>
      <c r="Y819" s="387"/>
      <c r="Z819" s="387"/>
      <c r="AA819" s="387"/>
      <c r="AB819" s="387"/>
    </row>
    <row r="820">
      <c r="A820" s="364"/>
      <c r="B820" s="387"/>
      <c r="C820" s="387"/>
      <c r="D820" s="364"/>
      <c r="E820" s="387"/>
      <c r="F820" s="387"/>
      <c r="G820" s="387"/>
      <c r="H820" s="387"/>
      <c r="I820" s="387"/>
      <c r="J820" s="387"/>
      <c r="K820" s="387"/>
      <c r="L820" s="364"/>
      <c r="M820" s="364"/>
      <c r="N820" s="387"/>
      <c r="O820" s="387"/>
      <c r="P820" s="387"/>
      <c r="Q820" s="387"/>
      <c r="R820" s="387"/>
      <c r="S820" s="387"/>
      <c r="T820" s="387"/>
      <c r="U820" s="387"/>
      <c r="V820" s="387"/>
      <c r="W820" s="387"/>
      <c r="X820" s="387"/>
      <c r="Y820" s="387"/>
      <c r="Z820" s="387"/>
      <c r="AA820" s="387"/>
      <c r="AB820" s="387"/>
    </row>
    <row r="821">
      <c r="A821" s="364"/>
      <c r="B821" s="387"/>
      <c r="C821" s="387"/>
      <c r="D821" s="364"/>
      <c r="E821" s="387"/>
      <c r="F821" s="387"/>
      <c r="G821" s="387"/>
      <c r="H821" s="387"/>
      <c r="I821" s="387"/>
      <c r="J821" s="387"/>
      <c r="K821" s="387"/>
      <c r="L821" s="364"/>
      <c r="M821" s="364"/>
      <c r="N821" s="387"/>
      <c r="O821" s="387"/>
      <c r="P821" s="387"/>
      <c r="Q821" s="387"/>
      <c r="R821" s="387"/>
      <c r="S821" s="387"/>
      <c r="T821" s="387"/>
      <c r="U821" s="387"/>
      <c r="V821" s="387"/>
      <c r="W821" s="387"/>
      <c r="X821" s="387"/>
      <c r="Y821" s="387"/>
      <c r="Z821" s="387"/>
      <c r="AA821" s="387"/>
      <c r="AB821" s="387"/>
    </row>
    <row r="822">
      <c r="A822" s="364"/>
      <c r="B822" s="387"/>
      <c r="C822" s="387"/>
      <c r="D822" s="364"/>
      <c r="E822" s="387"/>
      <c r="F822" s="387"/>
      <c r="G822" s="387"/>
      <c r="H822" s="387"/>
      <c r="I822" s="387"/>
      <c r="J822" s="387"/>
      <c r="K822" s="387"/>
      <c r="L822" s="364"/>
      <c r="M822" s="364"/>
      <c r="N822" s="387"/>
      <c r="O822" s="387"/>
      <c r="P822" s="387"/>
      <c r="Q822" s="387"/>
      <c r="R822" s="387"/>
      <c r="S822" s="387"/>
      <c r="T822" s="387"/>
      <c r="U822" s="387"/>
      <c r="V822" s="387"/>
      <c r="W822" s="387"/>
      <c r="X822" s="387"/>
      <c r="Y822" s="387"/>
      <c r="Z822" s="387"/>
      <c r="AA822" s="387"/>
      <c r="AB822" s="387"/>
    </row>
    <row r="823">
      <c r="A823" s="364"/>
      <c r="B823" s="387"/>
      <c r="C823" s="387"/>
      <c r="D823" s="364"/>
      <c r="E823" s="387"/>
      <c r="F823" s="387"/>
      <c r="G823" s="387"/>
      <c r="H823" s="387"/>
      <c r="I823" s="387"/>
      <c r="J823" s="387"/>
      <c r="K823" s="387"/>
      <c r="L823" s="364"/>
      <c r="M823" s="364"/>
      <c r="N823" s="387"/>
      <c r="O823" s="387"/>
      <c r="P823" s="387"/>
      <c r="Q823" s="387"/>
      <c r="R823" s="387"/>
      <c r="S823" s="387"/>
      <c r="T823" s="387"/>
      <c r="U823" s="387"/>
      <c r="V823" s="387"/>
      <c r="W823" s="387"/>
      <c r="X823" s="387"/>
      <c r="Y823" s="387"/>
      <c r="Z823" s="387"/>
      <c r="AA823" s="387"/>
      <c r="AB823" s="387"/>
    </row>
    <row r="824">
      <c r="A824" s="364"/>
      <c r="B824" s="387"/>
      <c r="C824" s="387"/>
      <c r="D824" s="364"/>
      <c r="E824" s="387"/>
      <c r="F824" s="387"/>
      <c r="G824" s="387"/>
      <c r="H824" s="387"/>
      <c r="I824" s="387"/>
      <c r="J824" s="387"/>
      <c r="K824" s="387"/>
      <c r="L824" s="364"/>
      <c r="M824" s="364"/>
      <c r="N824" s="387"/>
      <c r="O824" s="387"/>
      <c r="P824" s="387"/>
      <c r="Q824" s="387"/>
      <c r="R824" s="387"/>
      <c r="S824" s="387"/>
      <c r="T824" s="387"/>
      <c r="U824" s="387"/>
      <c r="V824" s="387"/>
      <c r="W824" s="387"/>
      <c r="X824" s="387"/>
      <c r="Y824" s="387"/>
      <c r="Z824" s="387"/>
      <c r="AA824" s="387"/>
      <c r="AB824" s="387"/>
    </row>
    <row r="825">
      <c r="A825" s="364"/>
      <c r="B825" s="387"/>
      <c r="C825" s="387"/>
      <c r="D825" s="364"/>
      <c r="E825" s="387"/>
      <c r="F825" s="387"/>
      <c r="G825" s="387"/>
      <c r="H825" s="387"/>
      <c r="I825" s="387"/>
      <c r="J825" s="387"/>
      <c r="K825" s="387"/>
      <c r="L825" s="364"/>
      <c r="M825" s="364"/>
      <c r="N825" s="387"/>
      <c r="O825" s="387"/>
      <c r="P825" s="387"/>
      <c r="Q825" s="387"/>
      <c r="R825" s="387"/>
      <c r="S825" s="387"/>
      <c r="T825" s="387"/>
      <c r="U825" s="387"/>
      <c r="V825" s="387"/>
      <c r="W825" s="387"/>
      <c r="X825" s="387"/>
      <c r="Y825" s="387"/>
      <c r="Z825" s="387"/>
      <c r="AA825" s="387"/>
      <c r="AB825" s="387"/>
    </row>
    <row r="826">
      <c r="A826" s="364"/>
      <c r="B826" s="387"/>
      <c r="C826" s="387"/>
      <c r="D826" s="364"/>
      <c r="E826" s="387"/>
      <c r="F826" s="387"/>
      <c r="G826" s="387"/>
      <c r="H826" s="387"/>
      <c r="I826" s="387"/>
      <c r="J826" s="387"/>
      <c r="K826" s="387"/>
      <c r="L826" s="364"/>
      <c r="M826" s="364"/>
      <c r="N826" s="387"/>
      <c r="O826" s="387"/>
      <c r="P826" s="387"/>
      <c r="Q826" s="387"/>
      <c r="R826" s="387"/>
      <c r="S826" s="387"/>
      <c r="T826" s="387"/>
      <c r="U826" s="387"/>
      <c r="V826" s="387"/>
      <c r="W826" s="387"/>
      <c r="X826" s="387"/>
      <c r="Y826" s="387"/>
      <c r="Z826" s="387"/>
      <c r="AA826" s="387"/>
      <c r="AB826" s="387"/>
    </row>
    <row r="827">
      <c r="A827" s="364"/>
      <c r="B827" s="387"/>
      <c r="C827" s="387"/>
      <c r="D827" s="364"/>
      <c r="E827" s="387"/>
      <c r="F827" s="387"/>
      <c r="G827" s="387"/>
      <c r="H827" s="387"/>
      <c r="I827" s="387"/>
      <c r="J827" s="387"/>
      <c r="K827" s="387"/>
      <c r="L827" s="364"/>
      <c r="M827" s="364"/>
      <c r="N827" s="387"/>
      <c r="O827" s="387"/>
      <c r="P827" s="387"/>
      <c r="Q827" s="387"/>
      <c r="R827" s="387"/>
      <c r="S827" s="387"/>
      <c r="T827" s="387"/>
      <c r="U827" s="387"/>
      <c r="V827" s="387"/>
      <c r="W827" s="387"/>
      <c r="X827" s="387"/>
      <c r="Y827" s="387"/>
      <c r="Z827" s="387"/>
      <c r="AA827" s="387"/>
      <c r="AB827" s="387"/>
    </row>
    <row r="828">
      <c r="A828" s="364"/>
      <c r="B828" s="387"/>
      <c r="C828" s="387"/>
      <c r="D828" s="364"/>
      <c r="E828" s="387"/>
      <c r="F828" s="387"/>
      <c r="G828" s="387"/>
      <c r="H828" s="387"/>
      <c r="I828" s="387"/>
      <c r="J828" s="387"/>
      <c r="K828" s="387"/>
      <c r="L828" s="364"/>
      <c r="M828" s="364"/>
      <c r="N828" s="387"/>
      <c r="O828" s="387"/>
      <c r="P828" s="387"/>
      <c r="Q828" s="387"/>
      <c r="R828" s="387"/>
      <c r="S828" s="387"/>
      <c r="T828" s="387"/>
      <c r="U828" s="387"/>
      <c r="V828" s="387"/>
      <c r="W828" s="387"/>
      <c r="X828" s="387"/>
      <c r="Y828" s="387"/>
      <c r="Z828" s="387"/>
      <c r="AA828" s="387"/>
      <c r="AB828" s="387"/>
    </row>
    <row r="829">
      <c r="A829" s="364"/>
      <c r="B829" s="387"/>
      <c r="C829" s="387"/>
      <c r="D829" s="364"/>
      <c r="E829" s="387"/>
      <c r="F829" s="387"/>
      <c r="G829" s="387"/>
      <c r="H829" s="387"/>
      <c r="I829" s="387"/>
      <c r="J829" s="387"/>
      <c r="K829" s="387"/>
      <c r="L829" s="364"/>
      <c r="M829" s="364"/>
      <c r="N829" s="387"/>
      <c r="O829" s="387"/>
      <c r="P829" s="387"/>
      <c r="Q829" s="387"/>
      <c r="R829" s="387"/>
      <c r="S829" s="387"/>
      <c r="T829" s="387"/>
      <c r="U829" s="387"/>
      <c r="V829" s="387"/>
      <c r="W829" s="387"/>
      <c r="X829" s="387"/>
      <c r="Y829" s="387"/>
      <c r="Z829" s="387"/>
      <c r="AA829" s="387"/>
      <c r="AB829" s="387"/>
    </row>
    <row r="830">
      <c r="A830" s="364"/>
      <c r="B830" s="387"/>
      <c r="C830" s="387"/>
      <c r="D830" s="364"/>
      <c r="E830" s="387"/>
      <c r="F830" s="387"/>
      <c r="G830" s="387"/>
      <c r="H830" s="387"/>
      <c r="I830" s="387"/>
      <c r="J830" s="387"/>
      <c r="K830" s="387"/>
      <c r="L830" s="364"/>
      <c r="M830" s="364"/>
      <c r="N830" s="387"/>
      <c r="O830" s="387"/>
      <c r="P830" s="387"/>
      <c r="Q830" s="387"/>
      <c r="R830" s="387"/>
      <c r="S830" s="387"/>
      <c r="T830" s="387"/>
      <c r="U830" s="387"/>
      <c r="V830" s="387"/>
      <c r="W830" s="387"/>
      <c r="X830" s="387"/>
      <c r="Y830" s="387"/>
      <c r="Z830" s="387"/>
      <c r="AA830" s="387"/>
      <c r="AB830" s="387"/>
    </row>
    <row r="831">
      <c r="A831" s="364"/>
      <c r="B831" s="387"/>
      <c r="C831" s="387"/>
      <c r="D831" s="364"/>
      <c r="E831" s="387"/>
      <c r="F831" s="387"/>
      <c r="G831" s="387"/>
      <c r="H831" s="387"/>
      <c r="I831" s="387"/>
      <c r="J831" s="387"/>
      <c r="K831" s="387"/>
      <c r="L831" s="364"/>
      <c r="M831" s="364"/>
      <c r="N831" s="387"/>
      <c r="O831" s="387"/>
      <c r="P831" s="387"/>
      <c r="Q831" s="387"/>
      <c r="R831" s="387"/>
      <c r="S831" s="387"/>
      <c r="T831" s="387"/>
      <c r="U831" s="387"/>
      <c r="V831" s="387"/>
      <c r="W831" s="387"/>
      <c r="X831" s="387"/>
      <c r="Y831" s="387"/>
      <c r="Z831" s="387"/>
      <c r="AA831" s="387"/>
      <c r="AB831" s="387"/>
    </row>
    <row r="832">
      <c r="A832" s="364"/>
      <c r="B832" s="387"/>
      <c r="C832" s="387"/>
      <c r="D832" s="364"/>
      <c r="E832" s="387"/>
      <c r="F832" s="387"/>
      <c r="G832" s="387"/>
      <c r="H832" s="387"/>
      <c r="I832" s="387"/>
      <c r="J832" s="387"/>
      <c r="K832" s="387"/>
      <c r="L832" s="364"/>
      <c r="M832" s="364"/>
      <c r="N832" s="387"/>
      <c r="O832" s="387"/>
      <c r="P832" s="387"/>
      <c r="Q832" s="387"/>
      <c r="R832" s="387"/>
      <c r="S832" s="387"/>
      <c r="T832" s="387"/>
      <c r="U832" s="387"/>
      <c r="V832" s="387"/>
      <c r="W832" s="387"/>
      <c r="X832" s="387"/>
      <c r="Y832" s="387"/>
      <c r="Z832" s="387"/>
      <c r="AA832" s="387"/>
      <c r="AB832" s="387"/>
    </row>
    <row r="833">
      <c r="A833" s="364"/>
      <c r="B833" s="387"/>
      <c r="C833" s="387"/>
      <c r="D833" s="364"/>
      <c r="E833" s="387"/>
      <c r="F833" s="387"/>
      <c r="G833" s="387"/>
      <c r="H833" s="387"/>
      <c r="I833" s="387"/>
      <c r="J833" s="387"/>
      <c r="K833" s="387"/>
      <c r="L833" s="364"/>
      <c r="M833" s="364"/>
      <c r="N833" s="387"/>
      <c r="O833" s="387"/>
      <c r="P833" s="387"/>
      <c r="Q833" s="387"/>
      <c r="R833" s="387"/>
      <c r="S833" s="387"/>
      <c r="T833" s="387"/>
      <c r="U833" s="387"/>
      <c r="V833" s="387"/>
      <c r="W833" s="387"/>
      <c r="X833" s="387"/>
      <c r="Y833" s="387"/>
      <c r="Z833" s="387"/>
      <c r="AA833" s="387"/>
      <c r="AB833" s="387"/>
    </row>
    <row r="834">
      <c r="A834" s="364"/>
      <c r="B834" s="387"/>
      <c r="C834" s="387"/>
      <c r="D834" s="364"/>
      <c r="E834" s="387"/>
      <c r="F834" s="387"/>
      <c r="G834" s="387"/>
      <c r="H834" s="387"/>
      <c r="I834" s="387"/>
      <c r="J834" s="387"/>
      <c r="K834" s="387"/>
      <c r="L834" s="364"/>
      <c r="M834" s="364"/>
      <c r="N834" s="387"/>
      <c r="O834" s="387"/>
      <c r="P834" s="387"/>
      <c r="Q834" s="387"/>
      <c r="R834" s="387"/>
      <c r="S834" s="387"/>
      <c r="T834" s="387"/>
      <c r="U834" s="387"/>
      <c r="V834" s="387"/>
      <c r="W834" s="387"/>
      <c r="X834" s="387"/>
      <c r="Y834" s="387"/>
      <c r="Z834" s="387"/>
      <c r="AA834" s="387"/>
      <c r="AB834" s="387"/>
    </row>
    <row r="835">
      <c r="A835" s="364"/>
      <c r="B835" s="387"/>
      <c r="C835" s="387"/>
      <c r="D835" s="364"/>
      <c r="E835" s="387"/>
      <c r="F835" s="387"/>
      <c r="G835" s="387"/>
      <c r="H835" s="387"/>
      <c r="I835" s="387"/>
      <c r="J835" s="387"/>
      <c r="K835" s="387"/>
      <c r="L835" s="364"/>
      <c r="M835" s="364"/>
      <c r="N835" s="387"/>
      <c r="O835" s="387"/>
      <c r="P835" s="387"/>
      <c r="Q835" s="387"/>
      <c r="R835" s="387"/>
      <c r="S835" s="387"/>
      <c r="T835" s="387"/>
      <c r="U835" s="387"/>
      <c r="V835" s="387"/>
      <c r="W835" s="387"/>
      <c r="X835" s="387"/>
      <c r="Y835" s="387"/>
      <c r="Z835" s="387"/>
      <c r="AA835" s="387"/>
      <c r="AB835" s="387"/>
    </row>
    <row r="836">
      <c r="A836" s="364"/>
      <c r="B836" s="387"/>
      <c r="C836" s="387"/>
      <c r="D836" s="364"/>
      <c r="E836" s="387"/>
      <c r="F836" s="387"/>
      <c r="G836" s="387"/>
      <c r="H836" s="387"/>
      <c r="I836" s="387"/>
      <c r="J836" s="387"/>
      <c r="K836" s="387"/>
      <c r="L836" s="364"/>
      <c r="M836" s="364"/>
      <c r="N836" s="387"/>
      <c r="O836" s="387"/>
      <c r="P836" s="387"/>
      <c r="Q836" s="387"/>
      <c r="R836" s="387"/>
      <c r="S836" s="387"/>
      <c r="T836" s="387"/>
      <c r="U836" s="387"/>
      <c r="V836" s="387"/>
      <c r="W836" s="387"/>
      <c r="X836" s="387"/>
      <c r="Y836" s="387"/>
      <c r="Z836" s="387"/>
      <c r="AA836" s="387"/>
      <c r="AB836" s="387"/>
    </row>
    <row r="837">
      <c r="A837" s="364"/>
      <c r="B837" s="387"/>
      <c r="C837" s="387"/>
      <c r="D837" s="364"/>
      <c r="E837" s="387"/>
      <c r="F837" s="387"/>
      <c r="G837" s="387"/>
      <c r="H837" s="387"/>
      <c r="I837" s="387"/>
      <c r="J837" s="387"/>
      <c r="K837" s="387"/>
      <c r="L837" s="364"/>
      <c r="M837" s="364"/>
      <c r="N837" s="387"/>
      <c r="O837" s="387"/>
      <c r="P837" s="387"/>
      <c r="Q837" s="387"/>
      <c r="R837" s="387"/>
      <c r="S837" s="387"/>
      <c r="T837" s="387"/>
      <c r="U837" s="387"/>
      <c r="V837" s="387"/>
      <c r="W837" s="387"/>
      <c r="X837" s="387"/>
      <c r="Y837" s="387"/>
      <c r="Z837" s="387"/>
      <c r="AA837" s="387"/>
      <c r="AB837" s="387"/>
    </row>
    <row r="838">
      <c r="A838" s="364"/>
      <c r="B838" s="387"/>
      <c r="C838" s="387"/>
      <c r="D838" s="364"/>
      <c r="E838" s="387"/>
      <c r="F838" s="387"/>
      <c r="G838" s="387"/>
      <c r="H838" s="387"/>
      <c r="I838" s="387"/>
      <c r="J838" s="387"/>
      <c r="K838" s="387"/>
      <c r="L838" s="364"/>
      <c r="M838" s="364"/>
      <c r="N838" s="387"/>
      <c r="O838" s="387"/>
      <c r="P838" s="387"/>
      <c r="Q838" s="387"/>
      <c r="R838" s="387"/>
      <c r="S838" s="387"/>
      <c r="T838" s="387"/>
      <c r="U838" s="387"/>
      <c r="V838" s="387"/>
      <c r="W838" s="387"/>
      <c r="X838" s="387"/>
      <c r="Y838" s="387"/>
      <c r="Z838" s="387"/>
      <c r="AA838" s="387"/>
      <c r="AB838" s="387"/>
    </row>
    <row r="839">
      <c r="A839" s="364"/>
      <c r="B839" s="387"/>
      <c r="C839" s="387"/>
      <c r="D839" s="364"/>
      <c r="E839" s="387"/>
      <c r="F839" s="387"/>
      <c r="G839" s="387"/>
      <c r="H839" s="387"/>
      <c r="I839" s="387"/>
      <c r="J839" s="387"/>
      <c r="K839" s="387"/>
      <c r="L839" s="364"/>
      <c r="M839" s="364"/>
      <c r="N839" s="387"/>
      <c r="O839" s="387"/>
      <c r="P839" s="387"/>
      <c r="Q839" s="387"/>
      <c r="R839" s="387"/>
      <c r="S839" s="387"/>
      <c r="T839" s="387"/>
      <c r="U839" s="387"/>
      <c r="V839" s="387"/>
      <c r="W839" s="387"/>
      <c r="X839" s="387"/>
      <c r="Y839" s="387"/>
      <c r="Z839" s="387"/>
      <c r="AA839" s="387"/>
      <c r="AB839" s="387"/>
    </row>
    <row r="840">
      <c r="A840" s="364"/>
      <c r="B840" s="387"/>
      <c r="C840" s="387"/>
      <c r="D840" s="364"/>
      <c r="E840" s="387"/>
      <c r="F840" s="387"/>
      <c r="G840" s="387"/>
      <c r="H840" s="387"/>
      <c r="I840" s="387"/>
      <c r="J840" s="387"/>
      <c r="K840" s="387"/>
      <c r="L840" s="364"/>
      <c r="M840" s="364"/>
      <c r="N840" s="387"/>
      <c r="O840" s="387"/>
      <c r="P840" s="387"/>
      <c r="Q840" s="387"/>
      <c r="R840" s="387"/>
      <c r="S840" s="387"/>
      <c r="T840" s="387"/>
      <c r="U840" s="387"/>
      <c r="V840" s="387"/>
      <c r="W840" s="387"/>
      <c r="X840" s="387"/>
      <c r="Y840" s="387"/>
      <c r="Z840" s="387"/>
      <c r="AA840" s="387"/>
      <c r="AB840" s="387"/>
    </row>
    <row r="841">
      <c r="A841" s="364"/>
      <c r="B841" s="387"/>
      <c r="C841" s="387"/>
      <c r="D841" s="364"/>
      <c r="E841" s="387"/>
      <c r="F841" s="387"/>
      <c r="G841" s="387"/>
      <c r="H841" s="387"/>
      <c r="I841" s="387"/>
      <c r="J841" s="387"/>
      <c r="K841" s="387"/>
      <c r="L841" s="364"/>
      <c r="M841" s="364"/>
      <c r="N841" s="387"/>
      <c r="O841" s="387"/>
      <c r="P841" s="387"/>
      <c r="Q841" s="387"/>
      <c r="R841" s="387"/>
      <c r="S841" s="387"/>
      <c r="T841" s="387"/>
      <c r="U841" s="387"/>
      <c r="V841" s="387"/>
      <c r="W841" s="387"/>
      <c r="X841" s="387"/>
      <c r="Y841" s="387"/>
      <c r="Z841" s="387"/>
      <c r="AA841" s="387"/>
      <c r="AB841" s="387"/>
    </row>
    <row r="842">
      <c r="A842" s="364"/>
      <c r="B842" s="387"/>
      <c r="C842" s="387"/>
      <c r="D842" s="364"/>
      <c r="E842" s="387"/>
      <c r="F842" s="387"/>
      <c r="G842" s="387"/>
      <c r="H842" s="387"/>
      <c r="I842" s="387"/>
      <c r="J842" s="387"/>
      <c r="K842" s="387"/>
      <c r="L842" s="364"/>
      <c r="M842" s="364"/>
      <c r="N842" s="387"/>
      <c r="O842" s="387"/>
      <c r="P842" s="387"/>
      <c r="Q842" s="387"/>
      <c r="R842" s="387"/>
      <c r="S842" s="387"/>
      <c r="T842" s="387"/>
      <c r="U842" s="387"/>
      <c r="V842" s="387"/>
      <c r="W842" s="387"/>
      <c r="X842" s="387"/>
      <c r="Y842" s="387"/>
      <c r="Z842" s="387"/>
      <c r="AA842" s="387"/>
      <c r="AB842" s="387"/>
    </row>
    <row r="843">
      <c r="A843" s="364"/>
      <c r="B843" s="387"/>
      <c r="C843" s="387"/>
      <c r="D843" s="364"/>
      <c r="E843" s="387"/>
      <c r="F843" s="387"/>
      <c r="G843" s="387"/>
      <c r="H843" s="387"/>
      <c r="I843" s="387"/>
      <c r="J843" s="387"/>
      <c r="K843" s="387"/>
      <c r="L843" s="364"/>
      <c r="M843" s="364"/>
      <c r="N843" s="387"/>
      <c r="O843" s="387"/>
      <c r="P843" s="387"/>
      <c r="Q843" s="387"/>
      <c r="R843" s="387"/>
      <c r="S843" s="387"/>
      <c r="T843" s="387"/>
      <c r="U843" s="387"/>
      <c r="V843" s="387"/>
      <c r="W843" s="387"/>
      <c r="X843" s="387"/>
      <c r="Y843" s="387"/>
      <c r="Z843" s="387"/>
      <c r="AA843" s="387"/>
      <c r="AB843" s="387"/>
    </row>
    <row r="844">
      <c r="A844" s="364"/>
      <c r="B844" s="387"/>
      <c r="C844" s="387"/>
      <c r="D844" s="364"/>
      <c r="E844" s="387"/>
      <c r="F844" s="387"/>
      <c r="G844" s="387"/>
      <c r="H844" s="387"/>
      <c r="I844" s="387"/>
      <c r="J844" s="387"/>
      <c r="K844" s="387"/>
      <c r="L844" s="364"/>
      <c r="M844" s="364"/>
      <c r="N844" s="387"/>
      <c r="O844" s="387"/>
      <c r="P844" s="387"/>
      <c r="Q844" s="387"/>
      <c r="R844" s="387"/>
      <c r="S844" s="387"/>
      <c r="T844" s="387"/>
      <c r="U844" s="387"/>
      <c r="V844" s="387"/>
      <c r="W844" s="387"/>
      <c r="X844" s="387"/>
      <c r="Y844" s="387"/>
      <c r="Z844" s="387"/>
      <c r="AA844" s="387"/>
      <c r="AB844" s="387"/>
    </row>
    <row r="845">
      <c r="A845" s="364"/>
      <c r="B845" s="387"/>
      <c r="C845" s="387"/>
      <c r="D845" s="364"/>
      <c r="E845" s="387"/>
      <c r="F845" s="387"/>
      <c r="G845" s="387"/>
      <c r="H845" s="387"/>
      <c r="I845" s="387"/>
      <c r="J845" s="387"/>
      <c r="K845" s="387"/>
      <c r="L845" s="364"/>
      <c r="M845" s="364"/>
      <c r="N845" s="387"/>
      <c r="O845" s="387"/>
      <c r="P845" s="387"/>
      <c r="Q845" s="387"/>
      <c r="R845" s="387"/>
      <c r="S845" s="387"/>
      <c r="T845" s="387"/>
      <c r="U845" s="387"/>
      <c r="V845" s="387"/>
      <c r="W845" s="387"/>
      <c r="X845" s="387"/>
      <c r="Y845" s="387"/>
      <c r="Z845" s="387"/>
      <c r="AA845" s="387"/>
      <c r="AB845" s="387"/>
    </row>
    <row r="846">
      <c r="A846" s="364"/>
      <c r="B846" s="387"/>
      <c r="C846" s="387"/>
      <c r="D846" s="364"/>
      <c r="E846" s="387"/>
      <c r="F846" s="387"/>
      <c r="G846" s="387"/>
      <c r="H846" s="387"/>
      <c r="I846" s="387"/>
      <c r="J846" s="387"/>
      <c r="K846" s="387"/>
      <c r="L846" s="364"/>
      <c r="M846" s="364"/>
      <c r="N846" s="387"/>
      <c r="O846" s="387"/>
      <c r="P846" s="387"/>
      <c r="Q846" s="387"/>
      <c r="R846" s="387"/>
      <c r="S846" s="387"/>
      <c r="T846" s="387"/>
      <c r="U846" s="387"/>
      <c r="V846" s="387"/>
      <c r="W846" s="387"/>
      <c r="X846" s="387"/>
      <c r="Y846" s="387"/>
      <c r="Z846" s="387"/>
      <c r="AA846" s="387"/>
      <c r="AB846" s="387"/>
    </row>
    <row r="847">
      <c r="A847" s="364"/>
      <c r="B847" s="387"/>
      <c r="C847" s="387"/>
      <c r="D847" s="364"/>
      <c r="E847" s="387"/>
      <c r="F847" s="387"/>
      <c r="G847" s="387"/>
      <c r="H847" s="387"/>
      <c r="I847" s="387"/>
      <c r="J847" s="387"/>
      <c r="K847" s="387"/>
      <c r="L847" s="364"/>
      <c r="M847" s="364"/>
      <c r="N847" s="387"/>
      <c r="O847" s="387"/>
      <c r="P847" s="387"/>
      <c r="Q847" s="387"/>
      <c r="R847" s="387"/>
      <c r="S847" s="387"/>
      <c r="T847" s="387"/>
      <c r="U847" s="387"/>
      <c r="V847" s="387"/>
      <c r="W847" s="387"/>
      <c r="X847" s="387"/>
      <c r="Y847" s="387"/>
      <c r="Z847" s="387"/>
      <c r="AA847" s="387"/>
      <c r="AB847" s="387"/>
    </row>
    <row r="848">
      <c r="A848" s="364"/>
      <c r="B848" s="387"/>
      <c r="C848" s="387"/>
      <c r="D848" s="364"/>
      <c r="E848" s="387"/>
      <c r="F848" s="387"/>
      <c r="G848" s="387"/>
      <c r="H848" s="387"/>
      <c r="I848" s="387"/>
      <c r="J848" s="387"/>
      <c r="K848" s="387"/>
      <c r="L848" s="364"/>
      <c r="M848" s="364"/>
      <c r="N848" s="387"/>
      <c r="O848" s="387"/>
      <c r="P848" s="387"/>
      <c r="Q848" s="387"/>
      <c r="R848" s="387"/>
      <c r="S848" s="387"/>
      <c r="T848" s="387"/>
      <c r="U848" s="387"/>
      <c r="V848" s="387"/>
      <c r="W848" s="387"/>
      <c r="X848" s="387"/>
      <c r="Y848" s="387"/>
      <c r="Z848" s="387"/>
      <c r="AA848" s="387"/>
      <c r="AB848" s="387"/>
    </row>
    <row r="849">
      <c r="A849" s="364"/>
      <c r="B849" s="387"/>
      <c r="C849" s="387"/>
      <c r="D849" s="364"/>
      <c r="E849" s="387"/>
      <c r="F849" s="387"/>
      <c r="G849" s="387"/>
      <c r="H849" s="387"/>
      <c r="I849" s="387"/>
      <c r="J849" s="387"/>
      <c r="K849" s="387"/>
      <c r="L849" s="364"/>
      <c r="M849" s="364"/>
      <c r="N849" s="387"/>
      <c r="O849" s="387"/>
      <c r="P849" s="387"/>
      <c r="Q849" s="387"/>
      <c r="R849" s="387"/>
      <c r="S849" s="387"/>
      <c r="T849" s="387"/>
      <c r="U849" s="387"/>
      <c r="V849" s="387"/>
      <c r="W849" s="387"/>
      <c r="X849" s="387"/>
      <c r="Y849" s="387"/>
      <c r="Z849" s="387"/>
      <c r="AA849" s="387"/>
      <c r="AB849" s="387"/>
    </row>
    <row r="850">
      <c r="A850" s="364"/>
      <c r="B850" s="387"/>
      <c r="C850" s="387"/>
      <c r="D850" s="364"/>
      <c r="E850" s="387"/>
      <c r="F850" s="387"/>
      <c r="G850" s="387"/>
      <c r="H850" s="387"/>
      <c r="I850" s="387"/>
      <c r="J850" s="387"/>
      <c r="K850" s="387"/>
      <c r="L850" s="364"/>
      <c r="M850" s="364"/>
      <c r="N850" s="387"/>
      <c r="O850" s="387"/>
      <c r="P850" s="387"/>
      <c r="Q850" s="387"/>
      <c r="R850" s="387"/>
      <c r="S850" s="387"/>
      <c r="T850" s="387"/>
      <c r="U850" s="387"/>
      <c r="V850" s="387"/>
      <c r="W850" s="387"/>
      <c r="X850" s="387"/>
      <c r="Y850" s="387"/>
      <c r="Z850" s="387"/>
      <c r="AA850" s="387"/>
      <c r="AB850" s="387"/>
    </row>
    <row r="851">
      <c r="A851" s="364"/>
      <c r="B851" s="387"/>
      <c r="C851" s="387"/>
      <c r="D851" s="364"/>
      <c r="E851" s="387"/>
      <c r="F851" s="387"/>
      <c r="G851" s="387"/>
      <c r="H851" s="387"/>
      <c r="I851" s="387"/>
      <c r="J851" s="387"/>
      <c r="K851" s="387"/>
      <c r="L851" s="364"/>
      <c r="M851" s="364"/>
      <c r="N851" s="387"/>
      <c r="O851" s="387"/>
      <c r="P851" s="387"/>
      <c r="Q851" s="387"/>
      <c r="R851" s="387"/>
      <c r="S851" s="387"/>
      <c r="T851" s="387"/>
      <c r="U851" s="387"/>
      <c r="V851" s="387"/>
      <c r="W851" s="387"/>
      <c r="X851" s="387"/>
      <c r="Y851" s="387"/>
      <c r="Z851" s="387"/>
      <c r="AA851" s="387"/>
      <c r="AB851" s="387"/>
    </row>
    <row r="852">
      <c r="A852" s="364"/>
      <c r="B852" s="387"/>
      <c r="C852" s="387"/>
      <c r="D852" s="364"/>
      <c r="E852" s="387"/>
      <c r="F852" s="387"/>
      <c r="G852" s="387"/>
      <c r="H852" s="387"/>
      <c r="I852" s="387"/>
      <c r="J852" s="387"/>
      <c r="K852" s="387"/>
      <c r="L852" s="364"/>
      <c r="M852" s="364"/>
      <c r="N852" s="387"/>
      <c r="O852" s="387"/>
      <c r="P852" s="387"/>
      <c r="Q852" s="387"/>
      <c r="R852" s="387"/>
      <c r="S852" s="387"/>
      <c r="T852" s="387"/>
      <c r="U852" s="387"/>
      <c r="V852" s="387"/>
      <c r="W852" s="387"/>
      <c r="X852" s="387"/>
      <c r="Y852" s="387"/>
      <c r="Z852" s="387"/>
      <c r="AA852" s="387"/>
      <c r="AB852" s="387"/>
    </row>
    <row r="853">
      <c r="A853" s="364"/>
      <c r="B853" s="387"/>
      <c r="C853" s="387"/>
      <c r="D853" s="364"/>
      <c r="E853" s="387"/>
      <c r="F853" s="387"/>
      <c r="G853" s="387"/>
      <c r="H853" s="387"/>
      <c r="I853" s="387"/>
      <c r="J853" s="387"/>
      <c r="K853" s="387"/>
      <c r="L853" s="364"/>
      <c r="M853" s="364"/>
      <c r="N853" s="387"/>
      <c r="O853" s="387"/>
      <c r="P853" s="387"/>
      <c r="Q853" s="387"/>
      <c r="R853" s="387"/>
      <c r="S853" s="387"/>
      <c r="T853" s="387"/>
      <c r="U853" s="387"/>
      <c r="V853" s="387"/>
      <c r="W853" s="387"/>
      <c r="X853" s="387"/>
      <c r="Y853" s="387"/>
      <c r="Z853" s="387"/>
      <c r="AA853" s="387"/>
      <c r="AB853" s="387"/>
    </row>
    <row r="854">
      <c r="A854" s="364"/>
      <c r="B854" s="387"/>
      <c r="C854" s="387"/>
      <c r="D854" s="364"/>
      <c r="E854" s="387"/>
      <c r="F854" s="387"/>
      <c r="G854" s="387"/>
      <c r="H854" s="387"/>
      <c r="I854" s="387"/>
      <c r="J854" s="387"/>
      <c r="K854" s="387"/>
      <c r="L854" s="364"/>
      <c r="M854" s="364"/>
      <c r="N854" s="387"/>
      <c r="O854" s="387"/>
      <c r="P854" s="387"/>
      <c r="Q854" s="387"/>
      <c r="R854" s="387"/>
      <c r="S854" s="387"/>
      <c r="T854" s="387"/>
      <c r="U854" s="387"/>
      <c r="V854" s="387"/>
      <c r="W854" s="387"/>
      <c r="X854" s="387"/>
      <c r="Y854" s="387"/>
      <c r="Z854" s="387"/>
      <c r="AA854" s="387"/>
      <c r="AB854" s="387"/>
    </row>
    <row r="855">
      <c r="A855" s="364"/>
      <c r="B855" s="387"/>
      <c r="C855" s="387"/>
      <c r="D855" s="364"/>
      <c r="E855" s="387"/>
      <c r="F855" s="387"/>
      <c r="G855" s="387"/>
      <c r="H855" s="387"/>
      <c r="I855" s="387"/>
      <c r="J855" s="387"/>
      <c r="K855" s="387"/>
      <c r="L855" s="364"/>
      <c r="M855" s="364"/>
      <c r="N855" s="387"/>
      <c r="O855" s="387"/>
      <c r="P855" s="387"/>
      <c r="Q855" s="387"/>
      <c r="R855" s="387"/>
      <c r="S855" s="387"/>
      <c r="T855" s="387"/>
      <c r="U855" s="387"/>
      <c r="V855" s="387"/>
      <c r="W855" s="387"/>
      <c r="X855" s="387"/>
      <c r="Y855" s="387"/>
      <c r="Z855" s="387"/>
      <c r="AA855" s="387"/>
      <c r="AB855" s="387"/>
    </row>
    <row r="856">
      <c r="A856" s="364"/>
      <c r="B856" s="387"/>
      <c r="C856" s="387"/>
      <c r="D856" s="364"/>
      <c r="E856" s="387"/>
      <c r="F856" s="387"/>
      <c r="G856" s="387"/>
      <c r="H856" s="387"/>
      <c r="I856" s="387"/>
      <c r="J856" s="387"/>
      <c r="K856" s="387"/>
      <c r="L856" s="364"/>
      <c r="M856" s="364"/>
      <c r="N856" s="387"/>
      <c r="O856" s="387"/>
      <c r="P856" s="387"/>
      <c r="Q856" s="387"/>
      <c r="R856" s="387"/>
      <c r="S856" s="387"/>
      <c r="T856" s="387"/>
      <c r="U856" s="387"/>
      <c r="V856" s="387"/>
      <c r="W856" s="387"/>
      <c r="X856" s="387"/>
      <c r="Y856" s="387"/>
      <c r="Z856" s="387"/>
      <c r="AA856" s="387"/>
      <c r="AB856" s="387"/>
    </row>
    <row r="857">
      <c r="A857" s="364"/>
      <c r="B857" s="387"/>
      <c r="C857" s="387"/>
      <c r="D857" s="364"/>
      <c r="E857" s="387"/>
      <c r="F857" s="387"/>
      <c r="G857" s="387"/>
      <c r="H857" s="387"/>
      <c r="I857" s="387"/>
      <c r="J857" s="387"/>
      <c r="K857" s="387"/>
      <c r="L857" s="364"/>
      <c r="M857" s="364"/>
      <c r="N857" s="387"/>
      <c r="O857" s="387"/>
      <c r="P857" s="387"/>
      <c r="Q857" s="387"/>
      <c r="R857" s="387"/>
      <c r="S857" s="387"/>
      <c r="T857" s="387"/>
      <c r="U857" s="387"/>
      <c r="V857" s="387"/>
      <c r="W857" s="387"/>
      <c r="X857" s="387"/>
      <c r="Y857" s="387"/>
      <c r="Z857" s="387"/>
      <c r="AA857" s="387"/>
      <c r="AB857" s="387"/>
    </row>
    <row r="858">
      <c r="A858" s="364"/>
      <c r="B858" s="387"/>
      <c r="C858" s="387"/>
      <c r="D858" s="364"/>
      <c r="E858" s="387"/>
      <c r="F858" s="387"/>
      <c r="G858" s="387"/>
      <c r="H858" s="387"/>
      <c r="I858" s="387"/>
      <c r="J858" s="387"/>
      <c r="K858" s="387"/>
      <c r="L858" s="364"/>
      <c r="M858" s="364"/>
      <c r="N858" s="387"/>
      <c r="O858" s="387"/>
      <c r="P858" s="387"/>
      <c r="Q858" s="387"/>
      <c r="R858" s="387"/>
      <c r="S858" s="387"/>
      <c r="T858" s="387"/>
      <c r="U858" s="387"/>
      <c r="V858" s="387"/>
      <c r="W858" s="387"/>
      <c r="X858" s="387"/>
      <c r="Y858" s="387"/>
      <c r="Z858" s="387"/>
      <c r="AA858" s="387"/>
      <c r="AB858" s="387"/>
    </row>
    <row r="859">
      <c r="A859" s="364"/>
      <c r="B859" s="387"/>
      <c r="C859" s="387"/>
      <c r="D859" s="364"/>
      <c r="E859" s="387"/>
      <c r="F859" s="387"/>
      <c r="G859" s="387"/>
      <c r="H859" s="387"/>
      <c r="I859" s="387"/>
      <c r="J859" s="387"/>
      <c r="K859" s="387"/>
      <c r="L859" s="364"/>
      <c r="M859" s="364"/>
      <c r="N859" s="387"/>
      <c r="O859" s="387"/>
      <c r="P859" s="387"/>
      <c r="Q859" s="387"/>
      <c r="R859" s="387"/>
      <c r="S859" s="387"/>
      <c r="T859" s="387"/>
      <c r="U859" s="387"/>
      <c r="V859" s="387"/>
      <c r="W859" s="387"/>
      <c r="X859" s="387"/>
      <c r="Y859" s="387"/>
      <c r="Z859" s="387"/>
      <c r="AA859" s="387"/>
      <c r="AB859" s="387"/>
    </row>
    <row r="860">
      <c r="A860" s="364"/>
      <c r="B860" s="387"/>
      <c r="C860" s="387"/>
      <c r="D860" s="364"/>
      <c r="E860" s="387"/>
      <c r="F860" s="387"/>
      <c r="G860" s="387"/>
      <c r="H860" s="387"/>
      <c r="I860" s="387"/>
      <c r="J860" s="387"/>
      <c r="K860" s="387"/>
      <c r="L860" s="364"/>
      <c r="M860" s="364"/>
      <c r="N860" s="387"/>
      <c r="O860" s="387"/>
      <c r="P860" s="387"/>
      <c r="Q860" s="387"/>
      <c r="R860" s="387"/>
      <c r="S860" s="387"/>
      <c r="T860" s="387"/>
      <c r="U860" s="387"/>
      <c r="V860" s="387"/>
      <c r="W860" s="387"/>
      <c r="X860" s="387"/>
      <c r="Y860" s="387"/>
      <c r="Z860" s="387"/>
      <c r="AA860" s="387"/>
      <c r="AB860" s="387"/>
    </row>
    <row r="861">
      <c r="A861" s="364"/>
      <c r="B861" s="387"/>
      <c r="C861" s="387"/>
      <c r="D861" s="364"/>
      <c r="E861" s="387"/>
      <c r="F861" s="387"/>
      <c r="G861" s="387"/>
      <c r="H861" s="387"/>
      <c r="I861" s="387"/>
      <c r="J861" s="387"/>
      <c r="K861" s="387"/>
      <c r="L861" s="364"/>
      <c r="M861" s="364"/>
      <c r="N861" s="387"/>
      <c r="O861" s="387"/>
      <c r="P861" s="387"/>
      <c r="Q861" s="387"/>
      <c r="R861" s="387"/>
      <c r="S861" s="387"/>
      <c r="T861" s="387"/>
      <c r="U861" s="387"/>
      <c r="V861" s="387"/>
      <c r="W861" s="387"/>
      <c r="X861" s="387"/>
      <c r="Y861" s="387"/>
      <c r="Z861" s="387"/>
      <c r="AA861" s="387"/>
      <c r="AB861" s="387"/>
    </row>
    <row r="862">
      <c r="A862" s="364"/>
      <c r="B862" s="387"/>
      <c r="C862" s="387"/>
      <c r="D862" s="364"/>
      <c r="E862" s="387"/>
      <c r="F862" s="387"/>
      <c r="G862" s="387"/>
      <c r="H862" s="387"/>
      <c r="I862" s="387"/>
      <c r="J862" s="387"/>
      <c r="K862" s="387"/>
      <c r="L862" s="364"/>
      <c r="M862" s="364"/>
      <c r="N862" s="387"/>
      <c r="O862" s="387"/>
      <c r="P862" s="387"/>
      <c r="Q862" s="387"/>
      <c r="R862" s="387"/>
      <c r="S862" s="387"/>
      <c r="T862" s="387"/>
      <c r="U862" s="387"/>
      <c r="V862" s="387"/>
      <c r="W862" s="387"/>
      <c r="X862" s="387"/>
      <c r="Y862" s="387"/>
      <c r="Z862" s="387"/>
      <c r="AA862" s="387"/>
      <c r="AB862" s="387"/>
    </row>
    <row r="863">
      <c r="A863" s="364"/>
      <c r="B863" s="387"/>
      <c r="C863" s="387"/>
      <c r="D863" s="364"/>
      <c r="E863" s="387"/>
      <c r="F863" s="387"/>
      <c r="G863" s="387"/>
      <c r="H863" s="387"/>
      <c r="I863" s="387"/>
      <c r="J863" s="387"/>
      <c r="K863" s="387"/>
      <c r="L863" s="364"/>
      <c r="M863" s="364"/>
      <c r="N863" s="387"/>
      <c r="O863" s="387"/>
      <c r="P863" s="387"/>
      <c r="Q863" s="387"/>
      <c r="R863" s="387"/>
      <c r="S863" s="387"/>
      <c r="T863" s="387"/>
      <c r="U863" s="387"/>
      <c r="V863" s="387"/>
      <c r="W863" s="387"/>
      <c r="X863" s="387"/>
      <c r="Y863" s="387"/>
      <c r="Z863" s="387"/>
      <c r="AA863" s="387"/>
      <c r="AB863" s="387"/>
    </row>
    <row r="864">
      <c r="A864" s="364"/>
      <c r="B864" s="387"/>
      <c r="C864" s="387"/>
      <c r="D864" s="364"/>
      <c r="E864" s="387"/>
      <c r="F864" s="387"/>
      <c r="G864" s="387"/>
      <c r="H864" s="387"/>
      <c r="I864" s="387"/>
      <c r="J864" s="387"/>
      <c r="K864" s="387"/>
      <c r="L864" s="364"/>
      <c r="M864" s="364"/>
      <c r="N864" s="387"/>
      <c r="O864" s="387"/>
      <c r="P864" s="387"/>
      <c r="Q864" s="387"/>
      <c r="R864" s="387"/>
      <c r="S864" s="387"/>
      <c r="T864" s="387"/>
      <c r="U864" s="387"/>
      <c r="V864" s="387"/>
      <c r="W864" s="387"/>
      <c r="X864" s="387"/>
      <c r="Y864" s="387"/>
      <c r="Z864" s="387"/>
      <c r="AA864" s="387"/>
      <c r="AB864" s="387"/>
    </row>
    <row r="865">
      <c r="A865" s="364"/>
      <c r="B865" s="387"/>
      <c r="C865" s="387"/>
      <c r="D865" s="364"/>
      <c r="E865" s="387"/>
      <c r="F865" s="387"/>
      <c r="G865" s="387"/>
      <c r="H865" s="387"/>
      <c r="I865" s="387"/>
      <c r="J865" s="387"/>
      <c r="K865" s="387"/>
      <c r="L865" s="364"/>
      <c r="M865" s="364"/>
      <c r="N865" s="387"/>
      <c r="O865" s="387"/>
      <c r="P865" s="387"/>
      <c r="Q865" s="387"/>
      <c r="R865" s="387"/>
      <c r="S865" s="387"/>
      <c r="T865" s="387"/>
      <c r="U865" s="387"/>
      <c r="V865" s="387"/>
      <c r="W865" s="387"/>
      <c r="X865" s="387"/>
      <c r="Y865" s="387"/>
      <c r="Z865" s="387"/>
      <c r="AA865" s="387"/>
      <c r="AB865" s="387"/>
    </row>
    <row r="866">
      <c r="A866" s="364"/>
      <c r="B866" s="387"/>
      <c r="C866" s="387"/>
      <c r="D866" s="364"/>
      <c r="E866" s="387"/>
      <c r="F866" s="387"/>
      <c r="G866" s="387"/>
      <c r="H866" s="387"/>
      <c r="I866" s="387"/>
      <c r="J866" s="387"/>
      <c r="K866" s="387"/>
      <c r="L866" s="364"/>
      <c r="M866" s="364"/>
      <c r="N866" s="387"/>
      <c r="O866" s="387"/>
      <c r="P866" s="387"/>
      <c r="Q866" s="387"/>
      <c r="R866" s="387"/>
      <c r="S866" s="387"/>
      <c r="T866" s="387"/>
      <c r="U866" s="387"/>
      <c r="V866" s="387"/>
      <c r="W866" s="387"/>
      <c r="X866" s="387"/>
      <c r="Y866" s="387"/>
      <c r="Z866" s="387"/>
      <c r="AA866" s="387"/>
      <c r="AB866" s="387"/>
    </row>
    <row r="867">
      <c r="A867" s="364"/>
      <c r="B867" s="387"/>
      <c r="C867" s="387"/>
      <c r="D867" s="364"/>
      <c r="E867" s="387"/>
      <c r="F867" s="387"/>
      <c r="G867" s="387"/>
      <c r="H867" s="387"/>
      <c r="I867" s="387"/>
      <c r="J867" s="387"/>
      <c r="K867" s="387"/>
      <c r="L867" s="364"/>
      <c r="M867" s="364"/>
      <c r="N867" s="387"/>
      <c r="O867" s="387"/>
      <c r="P867" s="387"/>
      <c r="Q867" s="387"/>
      <c r="R867" s="387"/>
      <c r="S867" s="387"/>
      <c r="T867" s="387"/>
      <c r="U867" s="387"/>
      <c r="V867" s="387"/>
      <c r="W867" s="387"/>
      <c r="X867" s="387"/>
      <c r="Y867" s="387"/>
      <c r="Z867" s="387"/>
      <c r="AA867" s="387"/>
      <c r="AB867" s="387"/>
    </row>
    <row r="868">
      <c r="A868" s="364"/>
      <c r="B868" s="387"/>
      <c r="C868" s="387"/>
      <c r="D868" s="364"/>
      <c r="E868" s="387"/>
      <c r="F868" s="387"/>
      <c r="G868" s="387"/>
      <c r="H868" s="387"/>
      <c r="I868" s="387"/>
      <c r="J868" s="387"/>
      <c r="K868" s="387"/>
      <c r="L868" s="364"/>
      <c r="M868" s="364"/>
      <c r="N868" s="387"/>
      <c r="O868" s="387"/>
      <c r="P868" s="387"/>
      <c r="Q868" s="387"/>
      <c r="R868" s="387"/>
      <c r="S868" s="387"/>
      <c r="T868" s="387"/>
      <c r="U868" s="387"/>
      <c r="V868" s="387"/>
      <c r="W868" s="387"/>
      <c r="X868" s="387"/>
      <c r="Y868" s="387"/>
      <c r="Z868" s="387"/>
      <c r="AA868" s="387"/>
      <c r="AB868" s="387"/>
    </row>
    <row r="869">
      <c r="A869" s="364"/>
      <c r="B869" s="387"/>
      <c r="C869" s="387"/>
      <c r="D869" s="364"/>
      <c r="E869" s="387"/>
      <c r="F869" s="387"/>
      <c r="G869" s="387"/>
      <c r="H869" s="387"/>
      <c r="I869" s="387"/>
      <c r="J869" s="387"/>
      <c r="K869" s="387"/>
      <c r="L869" s="364"/>
      <c r="M869" s="364"/>
      <c r="N869" s="387"/>
      <c r="O869" s="387"/>
      <c r="P869" s="387"/>
      <c r="Q869" s="387"/>
      <c r="R869" s="387"/>
      <c r="S869" s="387"/>
      <c r="T869" s="387"/>
      <c r="U869" s="387"/>
      <c r="V869" s="387"/>
      <c r="W869" s="387"/>
      <c r="X869" s="387"/>
      <c r="Y869" s="387"/>
      <c r="Z869" s="387"/>
      <c r="AA869" s="387"/>
      <c r="AB869" s="387"/>
    </row>
    <row r="870">
      <c r="A870" s="364"/>
      <c r="B870" s="387"/>
      <c r="C870" s="387"/>
      <c r="D870" s="364"/>
      <c r="E870" s="387"/>
      <c r="F870" s="387"/>
      <c r="G870" s="387"/>
      <c r="H870" s="387"/>
      <c r="I870" s="387"/>
      <c r="J870" s="387"/>
      <c r="K870" s="387"/>
      <c r="L870" s="364"/>
      <c r="M870" s="364"/>
      <c r="N870" s="387"/>
      <c r="O870" s="387"/>
      <c r="P870" s="387"/>
      <c r="Q870" s="387"/>
      <c r="R870" s="387"/>
      <c r="S870" s="387"/>
      <c r="T870" s="387"/>
      <c r="U870" s="387"/>
      <c r="V870" s="387"/>
      <c r="W870" s="387"/>
      <c r="X870" s="387"/>
      <c r="Y870" s="387"/>
      <c r="Z870" s="387"/>
      <c r="AA870" s="387"/>
      <c r="AB870" s="387"/>
    </row>
    <row r="871">
      <c r="A871" s="364"/>
      <c r="B871" s="387"/>
      <c r="C871" s="387"/>
      <c r="D871" s="364"/>
      <c r="E871" s="387"/>
      <c r="F871" s="387"/>
      <c r="G871" s="387"/>
      <c r="H871" s="387"/>
      <c r="I871" s="387"/>
      <c r="J871" s="387"/>
      <c r="K871" s="387"/>
      <c r="L871" s="364"/>
      <c r="M871" s="364"/>
      <c r="N871" s="387"/>
      <c r="O871" s="387"/>
      <c r="P871" s="387"/>
      <c r="Q871" s="387"/>
      <c r="R871" s="387"/>
      <c r="S871" s="387"/>
      <c r="T871" s="387"/>
      <c r="U871" s="387"/>
      <c r="V871" s="387"/>
      <c r="W871" s="387"/>
      <c r="X871" s="387"/>
      <c r="Y871" s="387"/>
      <c r="Z871" s="387"/>
      <c r="AA871" s="387"/>
      <c r="AB871" s="387"/>
    </row>
    <row r="872">
      <c r="A872" s="364"/>
      <c r="B872" s="387"/>
      <c r="C872" s="387"/>
      <c r="D872" s="364"/>
      <c r="E872" s="387"/>
      <c r="F872" s="387"/>
      <c r="G872" s="387"/>
      <c r="H872" s="387"/>
      <c r="I872" s="387"/>
      <c r="J872" s="387"/>
      <c r="K872" s="387"/>
      <c r="L872" s="364"/>
      <c r="M872" s="364"/>
      <c r="N872" s="387"/>
      <c r="O872" s="387"/>
      <c r="P872" s="387"/>
      <c r="Q872" s="387"/>
      <c r="R872" s="387"/>
      <c r="S872" s="387"/>
      <c r="T872" s="387"/>
      <c r="U872" s="387"/>
      <c r="V872" s="387"/>
      <c r="W872" s="387"/>
      <c r="X872" s="387"/>
      <c r="Y872" s="387"/>
      <c r="Z872" s="387"/>
      <c r="AA872" s="387"/>
      <c r="AB872" s="387"/>
    </row>
    <row r="873">
      <c r="A873" s="364"/>
      <c r="B873" s="387"/>
      <c r="C873" s="387"/>
      <c r="D873" s="364"/>
      <c r="E873" s="387"/>
      <c r="F873" s="387"/>
      <c r="G873" s="387"/>
      <c r="H873" s="387"/>
      <c r="I873" s="387"/>
      <c r="J873" s="387"/>
      <c r="K873" s="387"/>
      <c r="L873" s="364"/>
      <c r="M873" s="364"/>
      <c r="N873" s="387"/>
      <c r="O873" s="387"/>
      <c r="P873" s="387"/>
      <c r="Q873" s="387"/>
      <c r="R873" s="387"/>
      <c r="S873" s="387"/>
      <c r="T873" s="387"/>
      <c r="U873" s="387"/>
      <c r="V873" s="387"/>
      <c r="W873" s="387"/>
      <c r="X873" s="387"/>
      <c r="Y873" s="387"/>
      <c r="Z873" s="387"/>
      <c r="AA873" s="387"/>
      <c r="AB873" s="387"/>
    </row>
    <row r="874">
      <c r="A874" s="364"/>
      <c r="B874" s="387"/>
      <c r="C874" s="387"/>
      <c r="D874" s="364"/>
      <c r="E874" s="387"/>
      <c r="F874" s="387"/>
      <c r="G874" s="387"/>
      <c r="H874" s="387"/>
      <c r="I874" s="387"/>
      <c r="J874" s="387"/>
      <c r="K874" s="387"/>
      <c r="L874" s="364"/>
      <c r="M874" s="364"/>
      <c r="N874" s="387"/>
      <c r="O874" s="387"/>
      <c r="P874" s="387"/>
      <c r="Q874" s="387"/>
      <c r="R874" s="387"/>
      <c r="S874" s="387"/>
      <c r="T874" s="387"/>
      <c r="U874" s="387"/>
      <c r="V874" s="387"/>
      <c r="W874" s="387"/>
      <c r="X874" s="387"/>
      <c r="Y874" s="387"/>
      <c r="Z874" s="387"/>
      <c r="AA874" s="387"/>
      <c r="AB874" s="387"/>
    </row>
    <row r="875">
      <c r="A875" s="364"/>
      <c r="B875" s="387"/>
      <c r="C875" s="387"/>
      <c r="D875" s="364"/>
      <c r="E875" s="387"/>
      <c r="F875" s="387"/>
      <c r="G875" s="387"/>
      <c r="H875" s="387"/>
      <c r="I875" s="387"/>
      <c r="J875" s="387"/>
      <c r="K875" s="387"/>
      <c r="L875" s="364"/>
      <c r="M875" s="364"/>
      <c r="N875" s="387"/>
      <c r="O875" s="387"/>
      <c r="P875" s="387"/>
      <c r="Q875" s="387"/>
      <c r="R875" s="387"/>
      <c r="S875" s="387"/>
      <c r="T875" s="387"/>
      <c r="U875" s="387"/>
      <c r="V875" s="387"/>
      <c r="W875" s="387"/>
      <c r="X875" s="387"/>
      <c r="Y875" s="387"/>
      <c r="Z875" s="387"/>
      <c r="AA875" s="387"/>
      <c r="AB875" s="387"/>
    </row>
    <row r="876">
      <c r="A876" s="364"/>
      <c r="B876" s="387"/>
      <c r="C876" s="387"/>
      <c r="D876" s="364"/>
      <c r="E876" s="387"/>
      <c r="F876" s="387"/>
      <c r="G876" s="387"/>
      <c r="H876" s="387"/>
      <c r="I876" s="387"/>
      <c r="J876" s="387"/>
      <c r="K876" s="387"/>
      <c r="L876" s="364"/>
      <c r="M876" s="364"/>
      <c r="N876" s="387"/>
      <c r="O876" s="387"/>
      <c r="P876" s="387"/>
      <c r="Q876" s="387"/>
      <c r="R876" s="387"/>
      <c r="S876" s="387"/>
      <c r="T876" s="387"/>
      <c r="U876" s="387"/>
      <c r="V876" s="387"/>
      <c r="W876" s="387"/>
      <c r="X876" s="387"/>
      <c r="Y876" s="387"/>
      <c r="Z876" s="387"/>
      <c r="AA876" s="387"/>
      <c r="AB876" s="387"/>
    </row>
    <row r="877">
      <c r="A877" s="364"/>
      <c r="B877" s="387"/>
      <c r="C877" s="387"/>
      <c r="D877" s="364"/>
      <c r="E877" s="387"/>
      <c r="F877" s="387"/>
      <c r="G877" s="387"/>
      <c r="H877" s="387"/>
      <c r="I877" s="387"/>
      <c r="J877" s="387"/>
      <c r="K877" s="387"/>
      <c r="L877" s="364"/>
      <c r="M877" s="364"/>
      <c r="N877" s="387"/>
      <c r="O877" s="387"/>
      <c r="P877" s="387"/>
      <c r="Q877" s="387"/>
      <c r="R877" s="387"/>
      <c r="S877" s="387"/>
      <c r="T877" s="387"/>
      <c r="U877" s="387"/>
      <c r="V877" s="387"/>
      <c r="W877" s="387"/>
      <c r="X877" s="387"/>
      <c r="Y877" s="387"/>
      <c r="Z877" s="387"/>
      <c r="AA877" s="387"/>
      <c r="AB877" s="387"/>
    </row>
    <row r="878">
      <c r="A878" s="364"/>
      <c r="B878" s="387"/>
      <c r="C878" s="387"/>
      <c r="D878" s="364"/>
      <c r="E878" s="387"/>
      <c r="F878" s="387"/>
      <c r="G878" s="387"/>
      <c r="H878" s="387"/>
      <c r="I878" s="387"/>
      <c r="J878" s="387"/>
      <c r="K878" s="387"/>
      <c r="L878" s="364"/>
      <c r="M878" s="364"/>
      <c r="N878" s="387"/>
      <c r="O878" s="387"/>
      <c r="P878" s="387"/>
      <c r="Q878" s="387"/>
      <c r="R878" s="387"/>
      <c r="S878" s="387"/>
      <c r="T878" s="387"/>
      <c r="U878" s="387"/>
      <c r="V878" s="387"/>
      <c r="W878" s="387"/>
      <c r="X878" s="387"/>
      <c r="Y878" s="387"/>
      <c r="Z878" s="387"/>
      <c r="AA878" s="387"/>
      <c r="AB878" s="387"/>
    </row>
    <row r="879">
      <c r="A879" s="364"/>
      <c r="B879" s="387"/>
      <c r="C879" s="387"/>
      <c r="D879" s="364"/>
      <c r="E879" s="387"/>
      <c r="F879" s="387"/>
      <c r="G879" s="387"/>
      <c r="H879" s="387"/>
      <c r="I879" s="387"/>
      <c r="J879" s="387"/>
      <c r="K879" s="387"/>
      <c r="L879" s="364"/>
      <c r="M879" s="364"/>
      <c r="N879" s="387"/>
      <c r="O879" s="387"/>
      <c r="P879" s="387"/>
      <c r="Q879" s="387"/>
      <c r="R879" s="387"/>
      <c r="S879" s="387"/>
      <c r="T879" s="387"/>
      <c r="U879" s="387"/>
      <c r="V879" s="387"/>
      <c r="W879" s="387"/>
      <c r="X879" s="387"/>
      <c r="Y879" s="387"/>
      <c r="Z879" s="387"/>
      <c r="AA879" s="387"/>
      <c r="AB879" s="387"/>
    </row>
    <row r="880">
      <c r="A880" s="364"/>
      <c r="B880" s="387"/>
      <c r="C880" s="387"/>
      <c r="D880" s="364"/>
      <c r="E880" s="387"/>
      <c r="F880" s="387"/>
      <c r="G880" s="387"/>
      <c r="H880" s="387"/>
      <c r="I880" s="387"/>
      <c r="J880" s="387"/>
      <c r="K880" s="387"/>
      <c r="L880" s="364"/>
      <c r="M880" s="364"/>
      <c r="N880" s="387"/>
      <c r="O880" s="387"/>
      <c r="P880" s="387"/>
      <c r="Q880" s="387"/>
      <c r="R880" s="387"/>
      <c r="S880" s="387"/>
      <c r="T880" s="387"/>
      <c r="U880" s="387"/>
      <c r="V880" s="387"/>
      <c r="W880" s="387"/>
      <c r="X880" s="387"/>
      <c r="Y880" s="387"/>
      <c r="Z880" s="387"/>
      <c r="AA880" s="387"/>
      <c r="AB880" s="387"/>
    </row>
    <row r="881">
      <c r="A881" s="364"/>
      <c r="B881" s="387"/>
      <c r="C881" s="387"/>
      <c r="D881" s="364"/>
      <c r="E881" s="387"/>
      <c r="F881" s="387"/>
      <c r="G881" s="387"/>
      <c r="H881" s="387"/>
      <c r="I881" s="387"/>
      <c r="J881" s="387"/>
      <c r="K881" s="387"/>
      <c r="L881" s="364"/>
      <c r="M881" s="364"/>
      <c r="N881" s="387"/>
      <c r="O881" s="387"/>
      <c r="P881" s="387"/>
      <c r="Q881" s="387"/>
      <c r="R881" s="387"/>
      <c r="S881" s="387"/>
      <c r="T881" s="387"/>
      <c r="U881" s="387"/>
      <c r="V881" s="387"/>
      <c r="W881" s="387"/>
      <c r="X881" s="387"/>
      <c r="Y881" s="387"/>
      <c r="Z881" s="387"/>
      <c r="AA881" s="387"/>
      <c r="AB881" s="387"/>
    </row>
    <row r="882">
      <c r="A882" s="364"/>
      <c r="B882" s="387"/>
      <c r="C882" s="387"/>
      <c r="D882" s="364"/>
      <c r="E882" s="387"/>
      <c r="F882" s="387"/>
      <c r="G882" s="387"/>
      <c r="H882" s="387"/>
      <c r="I882" s="387"/>
      <c r="J882" s="387"/>
      <c r="K882" s="387"/>
      <c r="L882" s="364"/>
      <c r="M882" s="364"/>
      <c r="N882" s="387"/>
      <c r="O882" s="387"/>
      <c r="P882" s="387"/>
      <c r="Q882" s="387"/>
      <c r="R882" s="387"/>
      <c r="S882" s="387"/>
      <c r="T882" s="387"/>
      <c r="U882" s="387"/>
      <c r="V882" s="387"/>
      <c r="W882" s="387"/>
      <c r="X882" s="387"/>
      <c r="Y882" s="387"/>
      <c r="Z882" s="387"/>
      <c r="AA882" s="387"/>
      <c r="AB882" s="387"/>
    </row>
    <row r="883">
      <c r="A883" s="364"/>
      <c r="B883" s="387"/>
      <c r="C883" s="387"/>
      <c r="D883" s="364"/>
      <c r="E883" s="387"/>
      <c r="F883" s="387"/>
      <c r="G883" s="387"/>
      <c r="H883" s="387"/>
      <c r="I883" s="387"/>
      <c r="J883" s="387"/>
      <c r="K883" s="387"/>
      <c r="L883" s="364"/>
      <c r="M883" s="364"/>
      <c r="N883" s="387"/>
      <c r="O883" s="387"/>
      <c r="P883" s="387"/>
      <c r="Q883" s="387"/>
      <c r="R883" s="387"/>
      <c r="S883" s="387"/>
      <c r="T883" s="387"/>
      <c r="U883" s="387"/>
      <c r="V883" s="387"/>
      <c r="W883" s="387"/>
      <c r="X883" s="387"/>
      <c r="Y883" s="387"/>
      <c r="Z883" s="387"/>
      <c r="AA883" s="387"/>
      <c r="AB883" s="387"/>
    </row>
    <row r="884">
      <c r="A884" s="364"/>
      <c r="B884" s="387"/>
      <c r="C884" s="387"/>
      <c r="D884" s="364"/>
      <c r="E884" s="387"/>
      <c r="F884" s="387"/>
      <c r="G884" s="387"/>
      <c r="H884" s="387"/>
      <c r="I884" s="387"/>
      <c r="J884" s="387"/>
      <c r="K884" s="387"/>
      <c r="L884" s="364"/>
      <c r="M884" s="364"/>
      <c r="N884" s="387"/>
      <c r="O884" s="387"/>
      <c r="P884" s="387"/>
      <c r="Q884" s="387"/>
      <c r="R884" s="387"/>
      <c r="S884" s="387"/>
      <c r="T884" s="387"/>
      <c r="U884" s="387"/>
      <c r="V884" s="387"/>
      <c r="W884" s="387"/>
      <c r="X884" s="387"/>
      <c r="Y884" s="387"/>
      <c r="Z884" s="387"/>
      <c r="AA884" s="387"/>
      <c r="AB884" s="387"/>
    </row>
    <row r="885">
      <c r="A885" s="364"/>
      <c r="B885" s="387"/>
      <c r="C885" s="387"/>
      <c r="D885" s="364"/>
      <c r="E885" s="387"/>
      <c r="F885" s="387"/>
      <c r="G885" s="387"/>
      <c r="H885" s="387"/>
      <c r="I885" s="387"/>
      <c r="J885" s="387"/>
      <c r="K885" s="387"/>
      <c r="L885" s="364"/>
      <c r="M885" s="364"/>
      <c r="N885" s="387"/>
      <c r="O885" s="387"/>
      <c r="P885" s="387"/>
      <c r="Q885" s="387"/>
      <c r="R885" s="387"/>
      <c r="S885" s="387"/>
      <c r="T885" s="387"/>
      <c r="U885" s="387"/>
      <c r="V885" s="387"/>
      <c r="W885" s="387"/>
      <c r="X885" s="387"/>
      <c r="Y885" s="387"/>
      <c r="Z885" s="387"/>
      <c r="AA885" s="387"/>
      <c r="AB885" s="387"/>
    </row>
    <row r="886">
      <c r="A886" s="364"/>
      <c r="B886" s="387"/>
      <c r="C886" s="387"/>
      <c r="D886" s="364"/>
      <c r="E886" s="387"/>
      <c r="F886" s="387"/>
      <c r="G886" s="387"/>
      <c r="H886" s="387"/>
      <c r="I886" s="387"/>
      <c r="J886" s="387"/>
      <c r="K886" s="387"/>
      <c r="L886" s="364"/>
      <c r="M886" s="364"/>
      <c r="N886" s="387"/>
      <c r="O886" s="387"/>
      <c r="P886" s="387"/>
      <c r="Q886" s="387"/>
      <c r="R886" s="387"/>
      <c r="S886" s="387"/>
      <c r="T886" s="387"/>
      <c r="U886" s="387"/>
      <c r="V886" s="387"/>
      <c r="W886" s="387"/>
      <c r="X886" s="387"/>
      <c r="Y886" s="387"/>
      <c r="Z886" s="387"/>
      <c r="AA886" s="387"/>
      <c r="AB886" s="387"/>
    </row>
    <row r="887">
      <c r="A887" s="364"/>
      <c r="B887" s="387"/>
      <c r="C887" s="387"/>
      <c r="D887" s="364"/>
      <c r="E887" s="387"/>
      <c r="F887" s="387"/>
      <c r="G887" s="387"/>
      <c r="H887" s="387"/>
      <c r="I887" s="387"/>
      <c r="J887" s="387"/>
      <c r="K887" s="387"/>
      <c r="L887" s="364"/>
      <c r="M887" s="364"/>
      <c r="N887" s="387"/>
      <c r="O887" s="387"/>
      <c r="P887" s="387"/>
      <c r="Q887" s="387"/>
      <c r="R887" s="387"/>
      <c r="S887" s="387"/>
      <c r="T887" s="387"/>
      <c r="U887" s="387"/>
      <c r="V887" s="387"/>
      <c r="W887" s="387"/>
      <c r="X887" s="387"/>
      <c r="Y887" s="387"/>
      <c r="Z887" s="387"/>
      <c r="AA887" s="387"/>
      <c r="AB887" s="387"/>
    </row>
    <row r="888">
      <c r="A888" s="364"/>
      <c r="B888" s="387"/>
      <c r="C888" s="387"/>
      <c r="D888" s="364"/>
      <c r="E888" s="387"/>
      <c r="F888" s="387"/>
      <c r="G888" s="387"/>
      <c r="H888" s="387"/>
      <c r="I888" s="387"/>
      <c r="J888" s="387"/>
      <c r="K888" s="387"/>
      <c r="L888" s="364"/>
      <c r="M888" s="364"/>
      <c r="N888" s="387"/>
      <c r="O888" s="387"/>
      <c r="P888" s="387"/>
      <c r="Q888" s="387"/>
      <c r="R888" s="387"/>
      <c r="S888" s="387"/>
      <c r="T888" s="387"/>
      <c r="U888" s="387"/>
      <c r="V888" s="387"/>
      <c r="W888" s="387"/>
      <c r="X888" s="387"/>
      <c r="Y888" s="387"/>
      <c r="Z888" s="387"/>
      <c r="AA888" s="387"/>
      <c r="AB888" s="387"/>
    </row>
    <row r="889">
      <c r="A889" s="364"/>
      <c r="B889" s="387"/>
      <c r="C889" s="387"/>
      <c r="D889" s="364"/>
      <c r="E889" s="387"/>
      <c r="F889" s="387"/>
      <c r="G889" s="387"/>
      <c r="H889" s="387"/>
      <c r="I889" s="387"/>
      <c r="J889" s="387"/>
      <c r="K889" s="387"/>
      <c r="L889" s="364"/>
      <c r="M889" s="364"/>
      <c r="N889" s="387"/>
      <c r="O889" s="387"/>
      <c r="P889" s="387"/>
      <c r="Q889" s="387"/>
      <c r="R889" s="387"/>
      <c r="S889" s="387"/>
      <c r="T889" s="387"/>
      <c r="U889" s="387"/>
      <c r="V889" s="387"/>
      <c r="W889" s="387"/>
      <c r="X889" s="387"/>
      <c r="Y889" s="387"/>
      <c r="Z889" s="387"/>
      <c r="AA889" s="387"/>
      <c r="AB889" s="387"/>
    </row>
    <row r="890">
      <c r="A890" s="364"/>
      <c r="B890" s="387"/>
      <c r="C890" s="387"/>
      <c r="D890" s="364"/>
      <c r="E890" s="387"/>
      <c r="F890" s="387"/>
      <c r="G890" s="387"/>
      <c r="H890" s="387"/>
      <c r="I890" s="387"/>
      <c r="J890" s="387"/>
      <c r="K890" s="387"/>
      <c r="L890" s="364"/>
      <c r="M890" s="364"/>
      <c r="N890" s="387"/>
      <c r="O890" s="387"/>
      <c r="P890" s="387"/>
      <c r="Q890" s="387"/>
      <c r="R890" s="387"/>
      <c r="S890" s="387"/>
      <c r="T890" s="387"/>
      <c r="U890" s="387"/>
      <c r="V890" s="387"/>
      <c r="W890" s="387"/>
      <c r="X890" s="387"/>
      <c r="Y890" s="387"/>
      <c r="Z890" s="387"/>
      <c r="AA890" s="387"/>
      <c r="AB890" s="387"/>
    </row>
    <row r="891">
      <c r="A891" s="364"/>
      <c r="B891" s="387"/>
      <c r="C891" s="387"/>
      <c r="D891" s="364"/>
      <c r="E891" s="387"/>
      <c r="F891" s="387"/>
      <c r="G891" s="387"/>
      <c r="H891" s="387"/>
      <c r="I891" s="387"/>
      <c r="J891" s="387"/>
      <c r="K891" s="387"/>
      <c r="L891" s="364"/>
      <c r="M891" s="364"/>
      <c r="N891" s="387"/>
      <c r="O891" s="387"/>
      <c r="P891" s="387"/>
      <c r="Q891" s="387"/>
      <c r="R891" s="387"/>
      <c r="S891" s="387"/>
      <c r="T891" s="387"/>
      <c r="U891" s="387"/>
      <c r="V891" s="387"/>
      <c r="W891" s="387"/>
      <c r="X891" s="387"/>
      <c r="Y891" s="387"/>
      <c r="Z891" s="387"/>
      <c r="AA891" s="387"/>
      <c r="AB891" s="387"/>
    </row>
    <row r="892">
      <c r="A892" s="364"/>
      <c r="B892" s="387"/>
      <c r="C892" s="387"/>
      <c r="D892" s="364"/>
      <c r="E892" s="387"/>
      <c r="F892" s="387"/>
      <c r="G892" s="387"/>
      <c r="H892" s="387"/>
      <c r="I892" s="387"/>
      <c r="J892" s="387"/>
      <c r="K892" s="387"/>
      <c r="L892" s="364"/>
      <c r="M892" s="364"/>
      <c r="N892" s="387"/>
      <c r="O892" s="387"/>
      <c r="P892" s="387"/>
      <c r="Q892" s="387"/>
      <c r="R892" s="387"/>
      <c r="S892" s="387"/>
      <c r="T892" s="387"/>
      <c r="U892" s="387"/>
      <c r="V892" s="387"/>
      <c r="W892" s="387"/>
      <c r="X892" s="387"/>
      <c r="Y892" s="387"/>
      <c r="Z892" s="387"/>
      <c r="AA892" s="387"/>
      <c r="AB892" s="387"/>
    </row>
    <row r="893">
      <c r="A893" s="364"/>
      <c r="B893" s="387"/>
      <c r="C893" s="387"/>
      <c r="D893" s="364"/>
      <c r="E893" s="387"/>
      <c r="F893" s="387"/>
      <c r="G893" s="387"/>
      <c r="H893" s="387"/>
      <c r="I893" s="387"/>
      <c r="J893" s="387"/>
      <c r="K893" s="387"/>
      <c r="L893" s="364"/>
      <c r="M893" s="364"/>
      <c r="N893" s="387"/>
      <c r="O893" s="387"/>
      <c r="P893" s="387"/>
      <c r="Q893" s="387"/>
      <c r="R893" s="387"/>
      <c r="S893" s="387"/>
      <c r="T893" s="387"/>
      <c r="U893" s="387"/>
      <c r="V893" s="387"/>
      <c r="W893" s="387"/>
      <c r="X893" s="387"/>
      <c r="Y893" s="387"/>
      <c r="Z893" s="387"/>
      <c r="AA893" s="387"/>
      <c r="AB893" s="387"/>
    </row>
    <row r="894">
      <c r="A894" s="364"/>
      <c r="B894" s="387"/>
      <c r="C894" s="387"/>
      <c r="D894" s="364"/>
      <c r="E894" s="387"/>
      <c r="F894" s="387"/>
      <c r="G894" s="387"/>
      <c r="H894" s="387"/>
      <c r="I894" s="387"/>
      <c r="J894" s="387"/>
      <c r="K894" s="387"/>
      <c r="L894" s="364"/>
      <c r="M894" s="364"/>
      <c r="N894" s="387"/>
      <c r="O894" s="387"/>
      <c r="P894" s="387"/>
      <c r="Q894" s="387"/>
      <c r="R894" s="387"/>
      <c r="S894" s="387"/>
      <c r="T894" s="387"/>
      <c r="U894" s="387"/>
      <c r="V894" s="387"/>
      <c r="W894" s="387"/>
      <c r="X894" s="387"/>
      <c r="Y894" s="387"/>
      <c r="Z894" s="387"/>
      <c r="AA894" s="387"/>
      <c r="AB894" s="387"/>
    </row>
    <row r="895">
      <c r="A895" s="364"/>
      <c r="B895" s="387"/>
      <c r="C895" s="387"/>
      <c r="D895" s="364"/>
      <c r="E895" s="387"/>
      <c r="F895" s="387"/>
      <c r="G895" s="387"/>
      <c r="H895" s="387"/>
      <c r="I895" s="387"/>
      <c r="J895" s="387"/>
      <c r="K895" s="387"/>
      <c r="L895" s="364"/>
      <c r="M895" s="364"/>
      <c r="N895" s="387"/>
      <c r="O895" s="387"/>
      <c r="P895" s="387"/>
      <c r="Q895" s="387"/>
      <c r="R895" s="387"/>
      <c r="S895" s="387"/>
      <c r="T895" s="387"/>
      <c r="U895" s="387"/>
      <c r="V895" s="387"/>
      <c r="W895" s="387"/>
      <c r="X895" s="387"/>
      <c r="Y895" s="387"/>
      <c r="Z895" s="387"/>
      <c r="AA895" s="387"/>
      <c r="AB895" s="387"/>
    </row>
    <row r="896">
      <c r="A896" s="364"/>
      <c r="B896" s="387"/>
      <c r="C896" s="387"/>
      <c r="D896" s="364"/>
      <c r="E896" s="387"/>
      <c r="F896" s="387"/>
      <c r="G896" s="387"/>
      <c r="H896" s="387"/>
      <c r="I896" s="387"/>
      <c r="J896" s="387"/>
      <c r="K896" s="387"/>
      <c r="L896" s="364"/>
      <c r="M896" s="364"/>
      <c r="N896" s="387"/>
      <c r="O896" s="387"/>
      <c r="P896" s="387"/>
      <c r="Q896" s="387"/>
      <c r="R896" s="387"/>
      <c r="S896" s="387"/>
      <c r="T896" s="387"/>
      <c r="U896" s="387"/>
      <c r="V896" s="387"/>
      <c r="W896" s="387"/>
      <c r="X896" s="387"/>
      <c r="Y896" s="387"/>
      <c r="Z896" s="387"/>
      <c r="AA896" s="387"/>
      <c r="AB896" s="387"/>
    </row>
    <row r="897">
      <c r="A897" s="364"/>
      <c r="B897" s="387"/>
      <c r="C897" s="387"/>
      <c r="D897" s="364"/>
      <c r="E897" s="387"/>
      <c r="F897" s="387"/>
      <c r="G897" s="387"/>
      <c r="H897" s="387"/>
      <c r="I897" s="387"/>
      <c r="J897" s="387"/>
      <c r="K897" s="387"/>
      <c r="L897" s="364"/>
      <c r="M897" s="364"/>
      <c r="N897" s="387"/>
      <c r="O897" s="387"/>
      <c r="P897" s="387"/>
      <c r="Q897" s="387"/>
      <c r="R897" s="387"/>
      <c r="S897" s="387"/>
      <c r="T897" s="387"/>
      <c r="U897" s="387"/>
      <c r="V897" s="387"/>
      <c r="W897" s="387"/>
      <c r="X897" s="387"/>
      <c r="Y897" s="387"/>
      <c r="Z897" s="387"/>
      <c r="AA897" s="387"/>
      <c r="AB897" s="387"/>
    </row>
    <row r="898">
      <c r="A898" s="364"/>
      <c r="B898" s="387"/>
      <c r="C898" s="387"/>
      <c r="D898" s="364"/>
      <c r="E898" s="387"/>
      <c r="F898" s="387"/>
      <c r="G898" s="387"/>
      <c r="H898" s="387"/>
      <c r="I898" s="387"/>
      <c r="J898" s="387"/>
      <c r="K898" s="387"/>
      <c r="L898" s="364"/>
      <c r="M898" s="364"/>
      <c r="N898" s="387"/>
      <c r="O898" s="387"/>
      <c r="P898" s="387"/>
      <c r="Q898" s="387"/>
      <c r="R898" s="387"/>
      <c r="S898" s="387"/>
      <c r="T898" s="387"/>
      <c r="U898" s="387"/>
      <c r="V898" s="387"/>
      <c r="W898" s="387"/>
      <c r="X898" s="387"/>
      <c r="Y898" s="387"/>
      <c r="Z898" s="387"/>
      <c r="AA898" s="387"/>
      <c r="AB898" s="387"/>
    </row>
    <row r="899">
      <c r="A899" s="364"/>
      <c r="B899" s="387"/>
      <c r="C899" s="387"/>
      <c r="D899" s="364"/>
      <c r="E899" s="387"/>
      <c r="F899" s="387"/>
      <c r="G899" s="387"/>
      <c r="H899" s="387"/>
      <c r="I899" s="387"/>
      <c r="J899" s="387"/>
      <c r="K899" s="387"/>
      <c r="L899" s="364"/>
      <c r="M899" s="364"/>
      <c r="N899" s="387"/>
      <c r="O899" s="387"/>
      <c r="P899" s="387"/>
      <c r="Q899" s="387"/>
      <c r="R899" s="387"/>
      <c r="S899" s="387"/>
      <c r="T899" s="387"/>
      <c r="U899" s="387"/>
      <c r="V899" s="387"/>
      <c r="W899" s="387"/>
      <c r="X899" s="387"/>
      <c r="Y899" s="387"/>
      <c r="Z899" s="387"/>
      <c r="AA899" s="387"/>
      <c r="AB899" s="387"/>
    </row>
    <row r="900">
      <c r="A900" s="364"/>
      <c r="B900" s="387"/>
      <c r="C900" s="387"/>
      <c r="D900" s="364"/>
      <c r="E900" s="387"/>
      <c r="F900" s="387"/>
      <c r="G900" s="387"/>
      <c r="H900" s="387"/>
      <c r="I900" s="387"/>
      <c r="J900" s="387"/>
      <c r="K900" s="387"/>
      <c r="L900" s="364"/>
      <c r="M900" s="364"/>
      <c r="N900" s="387"/>
      <c r="O900" s="387"/>
      <c r="P900" s="387"/>
      <c r="Q900" s="387"/>
      <c r="R900" s="387"/>
      <c r="S900" s="387"/>
      <c r="T900" s="387"/>
      <c r="U900" s="387"/>
      <c r="V900" s="387"/>
      <c r="W900" s="387"/>
      <c r="X900" s="387"/>
      <c r="Y900" s="387"/>
      <c r="Z900" s="387"/>
      <c r="AA900" s="387"/>
      <c r="AB900" s="387"/>
    </row>
    <row r="901">
      <c r="A901" s="364"/>
      <c r="B901" s="387"/>
      <c r="C901" s="387"/>
      <c r="D901" s="364"/>
      <c r="E901" s="387"/>
      <c r="F901" s="387"/>
      <c r="G901" s="387"/>
      <c r="H901" s="387"/>
      <c r="I901" s="387"/>
      <c r="J901" s="387"/>
      <c r="K901" s="387"/>
      <c r="L901" s="364"/>
      <c r="M901" s="364"/>
      <c r="N901" s="387"/>
      <c r="O901" s="387"/>
      <c r="P901" s="387"/>
      <c r="Q901" s="387"/>
      <c r="R901" s="387"/>
      <c r="S901" s="387"/>
      <c r="T901" s="387"/>
      <c r="U901" s="387"/>
      <c r="V901" s="387"/>
      <c r="W901" s="387"/>
      <c r="X901" s="387"/>
      <c r="Y901" s="387"/>
      <c r="Z901" s="387"/>
      <c r="AA901" s="387"/>
      <c r="AB901" s="387"/>
    </row>
    <row r="902">
      <c r="A902" s="364"/>
      <c r="B902" s="387"/>
      <c r="C902" s="387"/>
      <c r="D902" s="364"/>
      <c r="E902" s="387"/>
      <c r="F902" s="387"/>
      <c r="G902" s="387"/>
      <c r="H902" s="387"/>
      <c r="I902" s="387"/>
      <c r="J902" s="387"/>
      <c r="K902" s="387"/>
      <c r="L902" s="364"/>
      <c r="M902" s="364"/>
      <c r="N902" s="387"/>
      <c r="O902" s="387"/>
      <c r="P902" s="387"/>
      <c r="Q902" s="387"/>
      <c r="R902" s="387"/>
      <c r="S902" s="387"/>
      <c r="T902" s="387"/>
      <c r="U902" s="387"/>
      <c r="V902" s="387"/>
      <c r="W902" s="387"/>
      <c r="X902" s="387"/>
      <c r="Y902" s="387"/>
      <c r="Z902" s="387"/>
      <c r="AA902" s="387"/>
      <c r="AB902" s="387"/>
    </row>
    <row r="903">
      <c r="A903" s="364"/>
      <c r="B903" s="387"/>
      <c r="C903" s="387"/>
      <c r="D903" s="364"/>
      <c r="E903" s="387"/>
      <c r="F903" s="387"/>
      <c r="G903" s="387"/>
      <c r="H903" s="387"/>
      <c r="I903" s="387"/>
      <c r="J903" s="387"/>
      <c r="K903" s="387"/>
      <c r="L903" s="364"/>
      <c r="M903" s="364"/>
      <c r="N903" s="387"/>
      <c r="O903" s="387"/>
      <c r="P903" s="387"/>
      <c r="Q903" s="387"/>
      <c r="R903" s="387"/>
      <c r="S903" s="387"/>
      <c r="T903" s="387"/>
      <c r="U903" s="387"/>
      <c r="V903" s="387"/>
      <c r="W903" s="387"/>
      <c r="X903" s="387"/>
      <c r="Y903" s="387"/>
      <c r="Z903" s="387"/>
      <c r="AA903" s="387"/>
      <c r="AB903" s="387"/>
    </row>
    <row r="904">
      <c r="A904" s="364"/>
      <c r="B904" s="387"/>
      <c r="C904" s="387"/>
      <c r="D904" s="364"/>
      <c r="E904" s="387"/>
      <c r="F904" s="387"/>
      <c r="G904" s="387"/>
      <c r="H904" s="387"/>
      <c r="I904" s="387"/>
      <c r="J904" s="387"/>
      <c r="K904" s="387"/>
      <c r="L904" s="364"/>
      <c r="M904" s="364"/>
      <c r="N904" s="387"/>
      <c r="O904" s="387"/>
      <c r="P904" s="387"/>
      <c r="Q904" s="387"/>
      <c r="R904" s="387"/>
      <c r="S904" s="387"/>
      <c r="T904" s="387"/>
      <c r="U904" s="387"/>
      <c r="V904" s="387"/>
      <c r="W904" s="387"/>
      <c r="X904" s="387"/>
      <c r="Y904" s="387"/>
      <c r="Z904" s="387"/>
      <c r="AA904" s="387"/>
      <c r="AB904" s="387"/>
    </row>
    <row r="905">
      <c r="A905" s="364"/>
      <c r="B905" s="387"/>
      <c r="C905" s="387"/>
      <c r="D905" s="364"/>
      <c r="E905" s="387"/>
      <c r="F905" s="387"/>
      <c r="G905" s="387"/>
      <c r="H905" s="387"/>
      <c r="I905" s="387"/>
      <c r="J905" s="387"/>
      <c r="K905" s="387"/>
      <c r="L905" s="364"/>
      <c r="M905" s="364"/>
      <c r="N905" s="387"/>
      <c r="O905" s="387"/>
      <c r="P905" s="387"/>
      <c r="Q905" s="387"/>
      <c r="R905" s="387"/>
      <c r="S905" s="387"/>
      <c r="T905" s="387"/>
      <c r="U905" s="387"/>
      <c r="V905" s="387"/>
      <c r="W905" s="387"/>
      <c r="X905" s="387"/>
      <c r="Y905" s="387"/>
      <c r="Z905" s="387"/>
      <c r="AA905" s="387"/>
      <c r="AB905" s="387"/>
    </row>
    <row r="906">
      <c r="A906" s="364"/>
      <c r="B906" s="387"/>
      <c r="C906" s="387"/>
      <c r="D906" s="364"/>
      <c r="E906" s="387"/>
      <c r="F906" s="387"/>
      <c r="G906" s="387"/>
      <c r="H906" s="387"/>
      <c r="I906" s="387"/>
      <c r="J906" s="387"/>
      <c r="K906" s="387"/>
      <c r="L906" s="364"/>
      <c r="M906" s="364"/>
      <c r="N906" s="387"/>
      <c r="O906" s="387"/>
      <c r="P906" s="387"/>
      <c r="Q906" s="387"/>
      <c r="R906" s="387"/>
      <c r="S906" s="387"/>
      <c r="T906" s="387"/>
      <c r="U906" s="387"/>
      <c r="V906" s="387"/>
      <c r="W906" s="387"/>
      <c r="X906" s="387"/>
      <c r="Y906" s="387"/>
      <c r="Z906" s="387"/>
      <c r="AA906" s="387"/>
      <c r="AB906" s="387"/>
    </row>
    <row r="907">
      <c r="A907" s="364"/>
      <c r="B907" s="387"/>
      <c r="C907" s="387"/>
      <c r="D907" s="364"/>
      <c r="E907" s="387"/>
      <c r="F907" s="387"/>
      <c r="G907" s="387"/>
      <c r="H907" s="387"/>
      <c r="I907" s="387"/>
      <c r="J907" s="387"/>
      <c r="K907" s="387"/>
      <c r="L907" s="364"/>
      <c r="M907" s="364"/>
      <c r="N907" s="387"/>
      <c r="O907" s="387"/>
      <c r="P907" s="387"/>
      <c r="Q907" s="387"/>
      <c r="R907" s="387"/>
      <c r="S907" s="387"/>
      <c r="T907" s="387"/>
      <c r="U907" s="387"/>
      <c r="V907" s="387"/>
      <c r="W907" s="387"/>
      <c r="X907" s="387"/>
      <c r="Y907" s="387"/>
      <c r="Z907" s="387"/>
      <c r="AA907" s="387"/>
      <c r="AB907" s="387"/>
    </row>
    <row r="908">
      <c r="A908" s="364"/>
      <c r="B908" s="387"/>
      <c r="C908" s="387"/>
      <c r="D908" s="364"/>
      <c r="E908" s="387"/>
      <c r="F908" s="387"/>
      <c r="G908" s="387"/>
      <c r="H908" s="387"/>
      <c r="I908" s="387"/>
      <c r="J908" s="387"/>
      <c r="K908" s="387"/>
      <c r="L908" s="364"/>
      <c r="M908" s="364"/>
      <c r="N908" s="387"/>
      <c r="O908" s="387"/>
      <c r="P908" s="387"/>
      <c r="Q908" s="387"/>
      <c r="R908" s="387"/>
      <c r="S908" s="387"/>
      <c r="T908" s="387"/>
      <c r="U908" s="387"/>
      <c r="V908" s="387"/>
      <c r="W908" s="387"/>
      <c r="X908" s="387"/>
      <c r="Y908" s="387"/>
      <c r="Z908" s="387"/>
      <c r="AA908" s="387"/>
      <c r="AB908" s="387"/>
    </row>
    <row r="909">
      <c r="A909" s="364"/>
      <c r="B909" s="387"/>
      <c r="C909" s="387"/>
      <c r="D909" s="364"/>
      <c r="E909" s="387"/>
      <c r="F909" s="387"/>
      <c r="G909" s="387"/>
      <c r="H909" s="387"/>
      <c r="I909" s="387"/>
      <c r="J909" s="387"/>
      <c r="K909" s="387"/>
      <c r="L909" s="364"/>
      <c r="M909" s="364"/>
      <c r="N909" s="387"/>
      <c r="O909" s="387"/>
      <c r="P909" s="387"/>
      <c r="Q909" s="387"/>
      <c r="R909" s="387"/>
      <c r="S909" s="387"/>
      <c r="T909" s="387"/>
      <c r="U909" s="387"/>
      <c r="V909" s="387"/>
      <c r="W909" s="387"/>
      <c r="X909" s="387"/>
      <c r="Y909" s="387"/>
      <c r="Z909" s="387"/>
      <c r="AA909" s="387"/>
      <c r="AB909" s="387"/>
    </row>
    <row r="910">
      <c r="A910" s="364"/>
      <c r="B910" s="387"/>
      <c r="C910" s="387"/>
      <c r="D910" s="364"/>
      <c r="E910" s="387"/>
      <c r="F910" s="387"/>
      <c r="G910" s="387"/>
      <c r="H910" s="387"/>
      <c r="I910" s="387"/>
      <c r="J910" s="387"/>
      <c r="K910" s="387"/>
      <c r="L910" s="364"/>
      <c r="M910" s="364"/>
      <c r="N910" s="387"/>
      <c r="O910" s="387"/>
      <c r="P910" s="387"/>
      <c r="Q910" s="387"/>
      <c r="R910" s="387"/>
      <c r="S910" s="387"/>
      <c r="T910" s="387"/>
      <c r="U910" s="387"/>
      <c r="V910" s="387"/>
      <c r="W910" s="387"/>
      <c r="X910" s="387"/>
      <c r="Y910" s="387"/>
      <c r="Z910" s="387"/>
      <c r="AA910" s="387"/>
      <c r="AB910" s="387"/>
    </row>
    <row r="911">
      <c r="A911" s="364"/>
      <c r="B911" s="387"/>
      <c r="C911" s="387"/>
      <c r="D911" s="364"/>
      <c r="E911" s="387"/>
      <c r="F911" s="387"/>
      <c r="G911" s="387"/>
      <c r="H911" s="387"/>
      <c r="I911" s="387"/>
      <c r="J911" s="387"/>
      <c r="K911" s="387"/>
      <c r="L911" s="364"/>
      <c r="M911" s="364"/>
      <c r="N911" s="387"/>
      <c r="O911" s="387"/>
      <c r="P911" s="387"/>
      <c r="Q911" s="387"/>
      <c r="R911" s="387"/>
      <c r="S911" s="387"/>
      <c r="T911" s="387"/>
      <c r="U911" s="387"/>
      <c r="V911" s="387"/>
      <c r="W911" s="387"/>
      <c r="X911" s="387"/>
      <c r="Y911" s="387"/>
      <c r="Z911" s="387"/>
      <c r="AA911" s="387"/>
      <c r="AB911" s="387"/>
    </row>
    <row r="912">
      <c r="A912" s="364"/>
      <c r="B912" s="387"/>
      <c r="C912" s="387"/>
      <c r="D912" s="364"/>
      <c r="E912" s="387"/>
      <c r="F912" s="387"/>
      <c r="G912" s="387"/>
      <c r="H912" s="387"/>
      <c r="I912" s="387"/>
      <c r="J912" s="387"/>
      <c r="K912" s="387"/>
      <c r="L912" s="364"/>
      <c r="M912" s="364"/>
      <c r="N912" s="387"/>
      <c r="O912" s="387"/>
      <c r="P912" s="387"/>
      <c r="Q912" s="387"/>
      <c r="R912" s="387"/>
      <c r="S912" s="387"/>
      <c r="T912" s="387"/>
      <c r="U912" s="387"/>
      <c r="V912" s="387"/>
      <c r="W912" s="387"/>
      <c r="X912" s="387"/>
      <c r="Y912" s="387"/>
      <c r="Z912" s="387"/>
      <c r="AA912" s="387"/>
      <c r="AB912" s="387"/>
    </row>
    <row r="913">
      <c r="A913" s="364"/>
      <c r="B913" s="387"/>
      <c r="C913" s="387"/>
      <c r="D913" s="364"/>
      <c r="E913" s="387"/>
      <c r="F913" s="387"/>
      <c r="G913" s="387"/>
      <c r="H913" s="387"/>
      <c r="I913" s="387"/>
      <c r="J913" s="387"/>
      <c r="K913" s="387"/>
      <c r="L913" s="364"/>
      <c r="M913" s="364"/>
      <c r="N913" s="387"/>
      <c r="O913" s="387"/>
      <c r="P913" s="387"/>
      <c r="Q913" s="387"/>
      <c r="R913" s="387"/>
      <c r="S913" s="387"/>
      <c r="T913" s="387"/>
      <c r="U913" s="387"/>
      <c r="V913" s="387"/>
      <c r="W913" s="387"/>
      <c r="X913" s="387"/>
      <c r="Y913" s="387"/>
      <c r="Z913" s="387"/>
      <c r="AA913" s="387"/>
      <c r="AB913" s="387"/>
    </row>
    <row r="914">
      <c r="A914" s="364"/>
      <c r="B914" s="387"/>
      <c r="C914" s="387"/>
      <c r="D914" s="364"/>
      <c r="E914" s="387"/>
      <c r="F914" s="387"/>
      <c r="G914" s="387"/>
      <c r="H914" s="387"/>
      <c r="I914" s="387"/>
      <c r="J914" s="387"/>
      <c r="K914" s="387"/>
      <c r="L914" s="364"/>
      <c r="M914" s="364"/>
      <c r="N914" s="387"/>
      <c r="O914" s="387"/>
      <c r="P914" s="387"/>
      <c r="Q914" s="387"/>
      <c r="R914" s="387"/>
      <c r="S914" s="387"/>
      <c r="T914" s="387"/>
      <c r="U914" s="387"/>
      <c r="V914" s="387"/>
      <c r="W914" s="387"/>
      <c r="X914" s="387"/>
      <c r="Y914" s="387"/>
      <c r="Z914" s="387"/>
      <c r="AA914" s="387"/>
      <c r="AB914" s="387"/>
    </row>
    <row r="915">
      <c r="A915" s="364"/>
      <c r="B915" s="387"/>
      <c r="C915" s="387"/>
      <c r="D915" s="364"/>
      <c r="E915" s="387"/>
      <c r="F915" s="387"/>
      <c r="G915" s="387"/>
      <c r="H915" s="387"/>
      <c r="I915" s="387"/>
      <c r="J915" s="387"/>
      <c r="K915" s="387"/>
      <c r="L915" s="364"/>
      <c r="M915" s="364"/>
      <c r="N915" s="387"/>
      <c r="O915" s="387"/>
      <c r="P915" s="387"/>
      <c r="Q915" s="387"/>
      <c r="R915" s="387"/>
      <c r="S915" s="387"/>
      <c r="T915" s="387"/>
      <c r="U915" s="387"/>
      <c r="V915" s="387"/>
      <c r="W915" s="387"/>
      <c r="X915" s="387"/>
      <c r="Y915" s="387"/>
      <c r="Z915" s="387"/>
      <c r="AA915" s="387"/>
      <c r="AB915" s="387"/>
    </row>
    <row r="916">
      <c r="A916" s="364"/>
      <c r="B916" s="387"/>
      <c r="C916" s="387"/>
      <c r="D916" s="364"/>
      <c r="E916" s="387"/>
      <c r="F916" s="387"/>
      <c r="G916" s="387"/>
      <c r="H916" s="387"/>
      <c r="I916" s="387"/>
      <c r="J916" s="387"/>
      <c r="K916" s="387"/>
      <c r="L916" s="364"/>
      <c r="M916" s="364"/>
      <c r="N916" s="387"/>
      <c r="O916" s="387"/>
      <c r="P916" s="387"/>
      <c r="Q916" s="387"/>
      <c r="R916" s="387"/>
      <c r="S916" s="387"/>
      <c r="T916" s="387"/>
      <c r="U916" s="387"/>
      <c r="V916" s="387"/>
      <c r="W916" s="387"/>
      <c r="X916" s="387"/>
      <c r="Y916" s="387"/>
      <c r="Z916" s="387"/>
      <c r="AA916" s="387"/>
      <c r="AB916" s="387"/>
    </row>
    <row r="917">
      <c r="A917" s="364"/>
      <c r="B917" s="387"/>
      <c r="C917" s="387"/>
      <c r="D917" s="364"/>
      <c r="E917" s="387"/>
      <c r="F917" s="387"/>
      <c r="G917" s="387"/>
      <c r="H917" s="387"/>
      <c r="I917" s="387"/>
      <c r="J917" s="387"/>
      <c r="K917" s="387"/>
      <c r="L917" s="364"/>
      <c r="M917" s="364"/>
      <c r="N917" s="387"/>
      <c r="O917" s="387"/>
      <c r="P917" s="387"/>
      <c r="Q917" s="387"/>
      <c r="R917" s="387"/>
      <c r="S917" s="387"/>
      <c r="T917" s="387"/>
      <c r="U917" s="387"/>
      <c r="V917" s="387"/>
      <c r="W917" s="387"/>
      <c r="X917" s="387"/>
      <c r="Y917" s="387"/>
      <c r="Z917" s="387"/>
      <c r="AA917" s="387"/>
      <c r="AB917" s="387"/>
    </row>
    <row r="918">
      <c r="A918" s="364"/>
      <c r="B918" s="387"/>
      <c r="C918" s="387"/>
      <c r="D918" s="364"/>
      <c r="E918" s="387"/>
      <c r="F918" s="387"/>
      <c r="G918" s="387"/>
      <c r="H918" s="387"/>
      <c r="I918" s="387"/>
      <c r="J918" s="387"/>
      <c r="K918" s="387"/>
      <c r="L918" s="364"/>
      <c r="M918" s="364"/>
      <c r="N918" s="387"/>
      <c r="O918" s="387"/>
      <c r="P918" s="387"/>
      <c r="Q918" s="387"/>
      <c r="R918" s="387"/>
      <c r="S918" s="387"/>
      <c r="T918" s="387"/>
      <c r="U918" s="387"/>
      <c r="V918" s="387"/>
      <c r="W918" s="387"/>
      <c r="X918" s="387"/>
      <c r="Y918" s="387"/>
      <c r="Z918" s="387"/>
      <c r="AA918" s="387"/>
      <c r="AB918" s="387"/>
    </row>
    <row r="919">
      <c r="A919" s="364"/>
      <c r="B919" s="387"/>
      <c r="C919" s="387"/>
      <c r="D919" s="364"/>
      <c r="E919" s="387"/>
      <c r="F919" s="387"/>
      <c r="G919" s="387"/>
      <c r="H919" s="387"/>
      <c r="I919" s="387"/>
      <c r="J919" s="387"/>
      <c r="K919" s="387"/>
      <c r="L919" s="364"/>
      <c r="M919" s="364"/>
      <c r="N919" s="387"/>
      <c r="O919" s="387"/>
      <c r="P919" s="387"/>
      <c r="Q919" s="387"/>
      <c r="R919" s="387"/>
      <c r="S919" s="387"/>
      <c r="T919" s="387"/>
      <c r="U919" s="387"/>
      <c r="V919" s="387"/>
      <c r="W919" s="387"/>
      <c r="X919" s="387"/>
      <c r="Y919" s="387"/>
      <c r="Z919" s="387"/>
      <c r="AA919" s="387"/>
      <c r="AB919" s="387"/>
    </row>
    <row r="920">
      <c r="A920" s="364"/>
      <c r="B920" s="387"/>
      <c r="C920" s="387"/>
      <c r="D920" s="364"/>
      <c r="E920" s="387"/>
      <c r="F920" s="387"/>
      <c r="G920" s="387"/>
      <c r="H920" s="387"/>
      <c r="I920" s="387"/>
      <c r="J920" s="387"/>
      <c r="K920" s="387"/>
      <c r="L920" s="364"/>
      <c r="M920" s="364"/>
      <c r="N920" s="387"/>
      <c r="O920" s="387"/>
      <c r="P920" s="387"/>
      <c r="Q920" s="387"/>
      <c r="R920" s="387"/>
      <c r="S920" s="387"/>
      <c r="T920" s="387"/>
      <c r="U920" s="387"/>
      <c r="V920" s="387"/>
      <c r="W920" s="387"/>
      <c r="X920" s="387"/>
      <c r="Y920" s="387"/>
      <c r="Z920" s="387"/>
      <c r="AA920" s="387"/>
      <c r="AB920" s="387"/>
    </row>
    <row r="921">
      <c r="A921" s="364"/>
      <c r="B921" s="387"/>
      <c r="C921" s="387"/>
      <c r="D921" s="364"/>
      <c r="E921" s="387"/>
      <c r="F921" s="387"/>
      <c r="G921" s="387"/>
      <c r="H921" s="387"/>
      <c r="I921" s="387"/>
      <c r="J921" s="387"/>
      <c r="K921" s="387"/>
      <c r="L921" s="364"/>
      <c r="M921" s="364"/>
      <c r="N921" s="387"/>
      <c r="O921" s="387"/>
      <c r="P921" s="387"/>
      <c r="Q921" s="387"/>
      <c r="R921" s="387"/>
      <c r="S921" s="387"/>
      <c r="T921" s="387"/>
      <c r="U921" s="387"/>
      <c r="V921" s="387"/>
      <c r="W921" s="387"/>
      <c r="X921" s="387"/>
      <c r="Y921" s="387"/>
      <c r="Z921" s="387"/>
      <c r="AA921" s="387"/>
      <c r="AB921" s="387"/>
    </row>
    <row r="922">
      <c r="A922" s="364"/>
      <c r="B922" s="387"/>
      <c r="C922" s="387"/>
      <c r="D922" s="364"/>
      <c r="E922" s="387"/>
      <c r="F922" s="387"/>
      <c r="G922" s="387"/>
      <c r="H922" s="387"/>
      <c r="I922" s="387"/>
      <c r="J922" s="387"/>
      <c r="K922" s="387"/>
      <c r="L922" s="364"/>
      <c r="M922" s="364"/>
      <c r="N922" s="387"/>
      <c r="O922" s="387"/>
      <c r="P922" s="387"/>
      <c r="Q922" s="387"/>
      <c r="R922" s="387"/>
      <c r="S922" s="387"/>
      <c r="T922" s="387"/>
      <c r="U922" s="387"/>
      <c r="V922" s="387"/>
      <c r="W922" s="387"/>
      <c r="X922" s="387"/>
      <c r="Y922" s="387"/>
      <c r="Z922" s="387"/>
      <c r="AA922" s="387"/>
      <c r="AB922" s="387"/>
    </row>
    <row r="923">
      <c r="A923" s="364"/>
      <c r="B923" s="387"/>
      <c r="C923" s="387"/>
      <c r="D923" s="364"/>
      <c r="E923" s="387"/>
      <c r="F923" s="387"/>
      <c r="G923" s="387"/>
      <c r="H923" s="387"/>
      <c r="I923" s="387"/>
      <c r="J923" s="387"/>
      <c r="K923" s="387"/>
      <c r="L923" s="364"/>
      <c r="M923" s="364"/>
      <c r="N923" s="387"/>
      <c r="O923" s="387"/>
      <c r="P923" s="387"/>
      <c r="Q923" s="387"/>
      <c r="R923" s="387"/>
      <c r="S923" s="387"/>
      <c r="T923" s="387"/>
      <c r="U923" s="387"/>
      <c r="V923" s="387"/>
      <c r="W923" s="387"/>
      <c r="X923" s="387"/>
      <c r="Y923" s="387"/>
      <c r="Z923" s="387"/>
      <c r="AA923" s="387"/>
      <c r="AB923" s="387"/>
    </row>
    <row r="924">
      <c r="A924" s="364"/>
      <c r="B924" s="387"/>
      <c r="C924" s="387"/>
      <c r="D924" s="364"/>
      <c r="E924" s="387"/>
      <c r="F924" s="387"/>
      <c r="G924" s="387"/>
      <c r="H924" s="387"/>
      <c r="I924" s="387"/>
      <c r="J924" s="387"/>
      <c r="K924" s="387"/>
      <c r="L924" s="364"/>
      <c r="M924" s="364"/>
      <c r="N924" s="387"/>
      <c r="O924" s="387"/>
      <c r="P924" s="387"/>
      <c r="Q924" s="387"/>
      <c r="R924" s="387"/>
      <c r="S924" s="387"/>
      <c r="T924" s="387"/>
      <c r="U924" s="387"/>
      <c r="V924" s="387"/>
      <c r="W924" s="387"/>
      <c r="X924" s="387"/>
      <c r="Y924" s="387"/>
      <c r="Z924" s="387"/>
      <c r="AA924" s="387"/>
      <c r="AB924" s="387"/>
    </row>
    <row r="925">
      <c r="A925" s="364"/>
      <c r="B925" s="387"/>
      <c r="C925" s="387"/>
      <c r="D925" s="364"/>
      <c r="E925" s="387"/>
      <c r="F925" s="387"/>
      <c r="G925" s="387"/>
      <c r="H925" s="387"/>
      <c r="I925" s="387"/>
      <c r="J925" s="387"/>
      <c r="K925" s="387"/>
      <c r="L925" s="364"/>
      <c r="M925" s="364"/>
      <c r="N925" s="387"/>
      <c r="O925" s="387"/>
      <c r="P925" s="387"/>
      <c r="Q925" s="387"/>
      <c r="R925" s="387"/>
      <c r="S925" s="387"/>
      <c r="T925" s="387"/>
      <c r="U925" s="387"/>
      <c r="V925" s="387"/>
      <c r="W925" s="387"/>
      <c r="X925" s="387"/>
      <c r="Y925" s="387"/>
      <c r="Z925" s="387"/>
      <c r="AA925" s="387"/>
      <c r="AB925" s="387"/>
    </row>
    <row r="926">
      <c r="A926" s="364"/>
      <c r="B926" s="387"/>
      <c r="C926" s="387"/>
      <c r="D926" s="364"/>
      <c r="E926" s="387"/>
      <c r="F926" s="387"/>
      <c r="G926" s="387"/>
      <c r="H926" s="387"/>
      <c r="I926" s="387"/>
      <c r="J926" s="387"/>
      <c r="K926" s="387"/>
      <c r="L926" s="364"/>
      <c r="M926" s="364"/>
      <c r="N926" s="387"/>
      <c r="O926" s="387"/>
      <c r="P926" s="387"/>
      <c r="Q926" s="387"/>
      <c r="R926" s="387"/>
      <c r="S926" s="387"/>
      <c r="T926" s="387"/>
      <c r="U926" s="387"/>
      <c r="V926" s="387"/>
      <c r="W926" s="387"/>
      <c r="X926" s="387"/>
      <c r="Y926" s="387"/>
      <c r="Z926" s="387"/>
      <c r="AA926" s="387"/>
      <c r="AB926" s="387"/>
    </row>
    <row r="927">
      <c r="A927" s="364"/>
      <c r="B927" s="387"/>
      <c r="C927" s="387"/>
      <c r="D927" s="364"/>
      <c r="E927" s="387"/>
      <c r="F927" s="387"/>
      <c r="G927" s="387"/>
      <c r="H927" s="387"/>
      <c r="I927" s="387"/>
      <c r="J927" s="387"/>
      <c r="K927" s="387"/>
      <c r="L927" s="364"/>
      <c r="M927" s="364"/>
      <c r="N927" s="387"/>
      <c r="O927" s="387"/>
      <c r="P927" s="387"/>
      <c r="Q927" s="387"/>
      <c r="R927" s="387"/>
      <c r="S927" s="387"/>
      <c r="T927" s="387"/>
      <c r="U927" s="387"/>
      <c r="V927" s="387"/>
      <c r="W927" s="387"/>
      <c r="X927" s="387"/>
      <c r="Y927" s="387"/>
      <c r="Z927" s="387"/>
      <c r="AA927" s="387"/>
      <c r="AB927" s="387"/>
    </row>
    <row r="928">
      <c r="A928" s="364"/>
      <c r="B928" s="387"/>
      <c r="C928" s="387"/>
      <c r="D928" s="364"/>
      <c r="E928" s="387"/>
      <c r="F928" s="387"/>
      <c r="G928" s="387"/>
      <c r="H928" s="387"/>
      <c r="I928" s="387"/>
      <c r="J928" s="387"/>
      <c r="K928" s="387"/>
      <c r="L928" s="364"/>
      <c r="M928" s="364"/>
      <c r="N928" s="387"/>
      <c r="O928" s="387"/>
      <c r="P928" s="387"/>
      <c r="Q928" s="387"/>
      <c r="R928" s="387"/>
      <c r="S928" s="387"/>
      <c r="T928" s="387"/>
      <c r="U928" s="387"/>
      <c r="V928" s="387"/>
      <c r="W928" s="387"/>
      <c r="X928" s="387"/>
      <c r="Y928" s="387"/>
      <c r="Z928" s="387"/>
      <c r="AA928" s="387"/>
      <c r="AB928" s="387"/>
    </row>
    <row r="929">
      <c r="A929" s="364"/>
      <c r="B929" s="387"/>
      <c r="C929" s="387"/>
      <c r="D929" s="364"/>
      <c r="E929" s="387"/>
      <c r="F929" s="387"/>
      <c r="G929" s="387"/>
      <c r="H929" s="387"/>
      <c r="I929" s="387"/>
      <c r="J929" s="387"/>
      <c r="K929" s="387"/>
      <c r="L929" s="364"/>
      <c r="M929" s="364"/>
      <c r="N929" s="387"/>
      <c r="O929" s="387"/>
      <c r="P929" s="387"/>
      <c r="Q929" s="387"/>
      <c r="R929" s="387"/>
      <c r="S929" s="387"/>
      <c r="T929" s="387"/>
      <c r="U929" s="387"/>
      <c r="V929" s="387"/>
      <c r="W929" s="387"/>
      <c r="X929" s="387"/>
      <c r="Y929" s="387"/>
      <c r="Z929" s="387"/>
      <c r="AA929" s="387"/>
      <c r="AB929" s="387"/>
    </row>
    <row r="930">
      <c r="A930" s="364"/>
      <c r="B930" s="387"/>
      <c r="C930" s="387"/>
      <c r="D930" s="364"/>
      <c r="E930" s="387"/>
      <c r="F930" s="387"/>
      <c r="G930" s="387"/>
      <c r="H930" s="387"/>
      <c r="I930" s="387"/>
      <c r="J930" s="387"/>
      <c r="K930" s="387"/>
      <c r="L930" s="364"/>
      <c r="M930" s="364"/>
      <c r="N930" s="387"/>
      <c r="O930" s="387"/>
      <c r="P930" s="387"/>
      <c r="Q930" s="387"/>
      <c r="R930" s="387"/>
      <c r="S930" s="387"/>
      <c r="T930" s="387"/>
      <c r="U930" s="387"/>
      <c r="V930" s="387"/>
      <c r="W930" s="387"/>
      <c r="X930" s="387"/>
      <c r="Y930" s="387"/>
      <c r="Z930" s="387"/>
      <c r="AA930" s="387"/>
      <c r="AB930" s="387"/>
    </row>
    <row r="931">
      <c r="A931" s="364"/>
      <c r="B931" s="387"/>
      <c r="C931" s="387"/>
      <c r="D931" s="364"/>
      <c r="E931" s="387"/>
      <c r="F931" s="387"/>
      <c r="G931" s="387"/>
      <c r="H931" s="387"/>
      <c r="I931" s="387"/>
      <c r="J931" s="387"/>
      <c r="K931" s="387"/>
      <c r="L931" s="364"/>
      <c r="M931" s="364"/>
      <c r="N931" s="387"/>
      <c r="O931" s="387"/>
      <c r="P931" s="387"/>
      <c r="Q931" s="387"/>
      <c r="R931" s="387"/>
      <c r="S931" s="387"/>
      <c r="T931" s="387"/>
      <c r="U931" s="387"/>
      <c r="V931" s="387"/>
      <c r="W931" s="387"/>
      <c r="X931" s="387"/>
      <c r="Y931" s="387"/>
      <c r="Z931" s="387"/>
      <c r="AA931" s="387"/>
      <c r="AB931" s="387"/>
    </row>
    <row r="932">
      <c r="A932" s="364"/>
      <c r="B932" s="387"/>
      <c r="C932" s="387"/>
      <c r="D932" s="364"/>
      <c r="E932" s="387"/>
      <c r="F932" s="387"/>
      <c r="G932" s="387"/>
      <c r="H932" s="387"/>
      <c r="I932" s="387"/>
      <c r="J932" s="387"/>
      <c r="K932" s="387"/>
      <c r="L932" s="364"/>
      <c r="M932" s="364"/>
      <c r="N932" s="387"/>
      <c r="O932" s="387"/>
      <c r="P932" s="387"/>
      <c r="Q932" s="387"/>
      <c r="R932" s="387"/>
      <c r="S932" s="387"/>
      <c r="T932" s="387"/>
      <c r="U932" s="387"/>
      <c r="V932" s="387"/>
      <c r="W932" s="387"/>
      <c r="X932" s="387"/>
      <c r="Y932" s="387"/>
      <c r="Z932" s="387"/>
      <c r="AA932" s="387"/>
      <c r="AB932" s="387"/>
    </row>
    <row r="933">
      <c r="A933" s="364"/>
      <c r="B933" s="387"/>
      <c r="C933" s="387"/>
      <c r="D933" s="364"/>
      <c r="E933" s="387"/>
      <c r="F933" s="387"/>
      <c r="G933" s="387"/>
      <c r="H933" s="387"/>
      <c r="I933" s="387"/>
      <c r="J933" s="387"/>
      <c r="K933" s="387"/>
      <c r="L933" s="364"/>
      <c r="M933" s="364"/>
      <c r="N933" s="387"/>
      <c r="O933" s="387"/>
      <c r="P933" s="387"/>
      <c r="Q933" s="387"/>
      <c r="R933" s="387"/>
      <c r="S933" s="387"/>
      <c r="T933" s="387"/>
      <c r="U933" s="387"/>
      <c r="V933" s="387"/>
      <c r="W933" s="387"/>
      <c r="X933" s="387"/>
      <c r="Y933" s="387"/>
      <c r="Z933" s="387"/>
      <c r="AA933" s="387"/>
      <c r="AB933" s="387"/>
    </row>
    <row r="934">
      <c r="A934" s="364"/>
      <c r="B934" s="387"/>
      <c r="C934" s="387"/>
      <c r="D934" s="364"/>
      <c r="E934" s="387"/>
      <c r="F934" s="387"/>
      <c r="G934" s="387"/>
      <c r="H934" s="387"/>
      <c r="I934" s="387"/>
      <c r="J934" s="387"/>
      <c r="K934" s="387"/>
      <c r="L934" s="364"/>
      <c r="M934" s="364"/>
      <c r="N934" s="387"/>
      <c r="O934" s="387"/>
      <c r="P934" s="387"/>
      <c r="Q934" s="387"/>
      <c r="R934" s="387"/>
      <c r="S934" s="387"/>
      <c r="T934" s="387"/>
      <c r="U934" s="387"/>
      <c r="V934" s="387"/>
      <c r="W934" s="387"/>
      <c r="X934" s="387"/>
      <c r="Y934" s="387"/>
      <c r="Z934" s="387"/>
      <c r="AA934" s="387"/>
      <c r="AB934" s="387"/>
    </row>
    <row r="935">
      <c r="A935" s="364"/>
      <c r="B935" s="387"/>
      <c r="C935" s="387"/>
      <c r="D935" s="364"/>
      <c r="E935" s="387"/>
      <c r="F935" s="387"/>
      <c r="G935" s="387"/>
      <c r="H935" s="387"/>
      <c r="I935" s="387"/>
      <c r="J935" s="387"/>
      <c r="K935" s="387"/>
      <c r="L935" s="364"/>
      <c r="M935" s="364"/>
      <c r="N935" s="387"/>
      <c r="O935" s="387"/>
      <c r="P935" s="387"/>
      <c r="Q935" s="387"/>
      <c r="R935" s="387"/>
      <c r="S935" s="387"/>
      <c r="T935" s="387"/>
      <c r="U935" s="387"/>
      <c r="V935" s="387"/>
      <c r="W935" s="387"/>
      <c r="X935" s="387"/>
      <c r="Y935" s="387"/>
      <c r="Z935" s="387"/>
      <c r="AA935" s="387"/>
      <c r="AB935" s="387"/>
    </row>
    <row r="936">
      <c r="A936" s="364"/>
      <c r="B936" s="387"/>
      <c r="C936" s="387"/>
      <c r="D936" s="364"/>
      <c r="E936" s="387"/>
      <c r="F936" s="387"/>
      <c r="G936" s="387"/>
      <c r="H936" s="387"/>
      <c r="I936" s="387"/>
      <c r="J936" s="387"/>
      <c r="K936" s="387"/>
      <c r="L936" s="364"/>
      <c r="M936" s="364"/>
      <c r="N936" s="387"/>
      <c r="O936" s="387"/>
      <c r="P936" s="387"/>
      <c r="Q936" s="387"/>
      <c r="R936" s="387"/>
      <c r="S936" s="387"/>
      <c r="T936" s="387"/>
      <c r="U936" s="387"/>
      <c r="V936" s="387"/>
      <c r="W936" s="387"/>
      <c r="X936" s="387"/>
      <c r="Y936" s="387"/>
      <c r="Z936" s="387"/>
      <c r="AA936" s="387"/>
      <c r="AB936" s="387"/>
    </row>
    <row r="937">
      <c r="A937" s="364"/>
      <c r="B937" s="387"/>
      <c r="C937" s="387"/>
      <c r="D937" s="364"/>
      <c r="E937" s="387"/>
      <c r="F937" s="387"/>
      <c r="G937" s="387"/>
      <c r="H937" s="387"/>
      <c r="I937" s="387"/>
      <c r="J937" s="387"/>
      <c r="K937" s="387"/>
      <c r="L937" s="364"/>
      <c r="M937" s="364"/>
      <c r="N937" s="387"/>
      <c r="O937" s="387"/>
      <c r="P937" s="387"/>
      <c r="Q937" s="387"/>
      <c r="R937" s="387"/>
      <c r="S937" s="387"/>
      <c r="T937" s="387"/>
      <c r="U937" s="387"/>
      <c r="V937" s="387"/>
      <c r="W937" s="387"/>
      <c r="X937" s="387"/>
      <c r="Y937" s="387"/>
      <c r="Z937" s="387"/>
      <c r="AA937" s="387"/>
      <c r="AB937" s="387"/>
    </row>
    <row r="938">
      <c r="A938" s="364"/>
      <c r="B938" s="387"/>
      <c r="C938" s="387"/>
      <c r="D938" s="364"/>
      <c r="E938" s="387"/>
      <c r="F938" s="387"/>
      <c r="G938" s="387"/>
      <c r="H938" s="387"/>
      <c r="I938" s="387"/>
      <c r="J938" s="387"/>
      <c r="K938" s="387"/>
      <c r="L938" s="364"/>
      <c r="M938" s="364"/>
      <c r="N938" s="387"/>
      <c r="O938" s="387"/>
      <c r="P938" s="387"/>
      <c r="Q938" s="387"/>
      <c r="R938" s="387"/>
      <c r="S938" s="387"/>
      <c r="T938" s="387"/>
      <c r="U938" s="387"/>
      <c r="V938" s="387"/>
      <c r="W938" s="387"/>
      <c r="X938" s="387"/>
      <c r="Y938" s="387"/>
      <c r="Z938" s="387"/>
      <c r="AA938" s="387"/>
      <c r="AB938" s="387"/>
    </row>
    <row r="939">
      <c r="A939" s="364"/>
      <c r="B939" s="387"/>
      <c r="C939" s="387"/>
      <c r="D939" s="364"/>
      <c r="E939" s="387"/>
      <c r="F939" s="387"/>
      <c r="G939" s="387"/>
      <c r="H939" s="387"/>
      <c r="I939" s="387"/>
      <c r="J939" s="387"/>
      <c r="K939" s="387"/>
      <c r="L939" s="364"/>
      <c r="M939" s="364"/>
      <c r="N939" s="387"/>
      <c r="O939" s="387"/>
      <c r="P939" s="387"/>
      <c r="Q939" s="387"/>
      <c r="R939" s="387"/>
      <c r="S939" s="387"/>
      <c r="T939" s="387"/>
      <c r="U939" s="387"/>
      <c r="V939" s="387"/>
      <c r="W939" s="387"/>
      <c r="X939" s="387"/>
      <c r="Y939" s="387"/>
      <c r="Z939" s="387"/>
      <c r="AA939" s="387"/>
      <c r="AB939" s="387"/>
    </row>
    <row r="940">
      <c r="A940" s="364"/>
      <c r="B940" s="387"/>
      <c r="C940" s="387"/>
      <c r="D940" s="364"/>
      <c r="E940" s="387"/>
      <c r="F940" s="387"/>
      <c r="G940" s="387"/>
      <c r="H940" s="387"/>
      <c r="I940" s="387"/>
      <c r="J940" s="387"/>
      <c r="K940" s="387"/>
      <c r="L940" s="364"/>
      <c r="M940" s="364"/>
      <c r="N940" s="387"/>
      <c r="O940" s="387"/>
      <c r="P940" s="387"/>
      <c r="Q940" s="387"/>
      <c r="R940" s="387"/>
      <c r="S940" s="387"/>
      <c r="T940" s="387"/>
      <c r="U940" s="387"/>
      <c r="V940" s="387"/>
      <c r="W940" s="387"/>
      <c r="X940" s="387"/>
      <c r="Y940" s="387"/>
      <c r="Z940" s="387"/>
      <c r="AA940" s="387"/>
      <c r="AB940" s="387"/>
    </row>
    <row r="941">
      <c r="A941" s="364"/>
      <c r="B941" s="387"/>
      <c r="C941" s="387"/>
      <c r="D941" s="364"/>
      <c r="E941" s="387"/>
      <c r="F941" s="387"/>
      <c r="G941" s="387"/>
      <c r="H941" s="387"/>
      <c r="I941" s="387"/>
      <c r="J941" s="387"/>
      <c r="K941" s="387"/>
      <c r="L941" s="364"/>
      <c r="M941" s="364"/>
      <c r="N941" s="387"/>
      <c r="O941" s="387"/>
      <c r="P941" s="387"/>
      <c r="Q941" s="387"/>
      <c r="R941" s="387"/>
      <c r="S941" s="387"/>
      <c r="T941" s="387"/>
      <c r="U941" s="387"/>
      <c r="V941" s="387"/>
      <c r="W941" s="387"/>
      <c r="X941" s="387"/>
      <c r="Y941" s="387"/>
      <c r="Z941" s="387"/>
      <c r="AA941" s="387"/>
      <c r="AB941" s="387"/>
    </row>
    <row r="942">
      <c r="A942" s="364"/>
      <c r="B942" s="387"/>
      <c r="C942" s="387"/>
      <c r="D942" s="364"/>
      <c r="E942" s="387"/>
      <c r="F942" s="387"/>
      <c r="G942" s="387"/>
      <c r="H942" s="387"/>
      <c r="I942" s="387"/>
      <c r="J942" s="387"/>
      <c r="K942" s="387"/>
      <c r="L942" s="364"/>
      <c r="M942" s="364"/>
      <c r="N942" s="387"/>
      <c r="O942" s="387"/>
      <c r="P942" s="387"/>
      <c r="Q942" s="387"/>
      <c r="R942" s="387"/>
      <c r="S942" s="387"/>
      <c r="T942" s="387"/>
      <c r="U942" s="387"/>
      <c r="V942" s="387"/>
      <c r="W942" s="387"/>
      <c r="X942" s="387"/>
      <c r="Y942" s="387"/>
      <c r="Z942" s="387"/>
      <c r="AA942" s="387"/>
      <c r="AB942" s="387"/>
    </row>
    <row r="943">
      <c r="A943" s="364"/>
      <c r="B943" s="387"/>
      <c r="C943" s="387"/>
      <c r="D943" s="364"/>
      <c r="E943" s="387"/>
      <c r="F943" s="387"/>
      <c r="G943" s="387"/>
      <c r="H943" s="387"/>
      <c r="I943" s="387"/>
      <c r="J943" s="387"/>
      <c r="K943" s="387"/>
      <c r="L943" s="364"/>
      <c r="M943" s="364"/>
      <c r="N943" s="387"/>
      <c r="O943" s="387"/>
      <c r="P943" s="387"/>
      <c r="Q943" s="387"/>
      <c r="R943" s="387"/>
      <c r="S943" s="387"/>
      <c r="T943" s="387"/>
      <c r="U943" s="387"/>
      <c r="V943" s="387"/>
      <c r="W943" s="387"/>
      <c r="X943" s="387"/>
      <c r="Y943" s="387"/>
      <c r="Z943" s="387"/>
      <c r="AA943" s="387"/>
      <c r="AB943" s="387"/>
    </row>
    <row r="944">
      <c r="A944" s="364"/>
      <c r="B944" s="387"/>
      <c r="C944" s="387"/>
      <c r="D944" s="364"/>
      <c r="E944" s="387"/>
      <c r="F944" s="387"/>
      <c r="G944" s="387"/>
      <c r="H944" s="387"/>
      <c r="I944" s="387"/>
      <c r="J944" s="387"/>
      <c r="K944" s="387"/>
      <c r="L944" s="364"/>
      <c r="M944" s="364"/>
      <c r="N944" s="387"/>
      <c r="O944" s="387"/>
      <c r="P944" s="387"/>
      <c r="Q944" s="387"/>
      <c r="R944" s="387"/>
      <c r="S944" s="387"/>
      <c r="T944" s="387"/>
      <c r="U944" s="387"/>
      <c r="V944" s="387"/>
      <c r="W944" s="387"/>
      <c r="X944" s="387"/>
      <c r="Y944" s="387"/>
      <c r="Z944" s="387"/>
      <c r="AA944" s="387"/>
      <c r="AB944" s="387"/>
    </row>
    <row r="945">
      <c r="A945" s="364"/>
      <c r="B945" s="387"/>
      <c r="C945" s="387"/>
      <c r="D945" s="364"/>
      <c r="E945" s="387"/>
      <c r="F945" s="387"/>
      <c r="G945" s="387"/>
      <c r="H945" s="387"/>
      <c r="I945" s="387"/>
      <c r="J945" s="387"/>
      <c r="K945" s="387"/>
      <c r="L945" s="364"/>
      <c r="M945" s="364"/>
      <c r="N945" s="387"/>
      <c r="O945" s="387"/>
      <c r="P945" s="387"/>
      <c r="Q945" s="387"/>
      <c r="R945" s="387"/>
      <c r="S945" s="387"/>
      <c r="T945" s="387"/>
      <c r="U945" s="387"/>
      <c r="V945" s="387"/>
      <c r="W945" s="387"/>
      <c r="X945" s="387"/>
      <c r="Y945" s="387"/>
      <c r="Z945" s="387"/>
      <c r="AA945" s="387"/>
      <c r="AB945" s="387"/>
    </row>
    <row r="946">
      <c r="A946" s="364"/>
      <c r="B946" s="387"/>
      <c r="C946" s="387"/>
      <c r="D946" s="364"/>
      <c r="E946" s="387"/>
      <c r="F946" s="387"/>
      <c r="G946" s="387"/>
      <c r="H946" s="387"/>
      <c r="I946" s="387"/>
      <c r="J946" s="387"/>
      <c r="K946" s="387"/>
      <c r="L946" s="364"/>
      <c r="M946" s="364"/>
      <c r="N946" s="387"/>
      <c r="O946" s="387"/>
      <c r="P946" s="387"/>
      <c r="Q946" s="387"/>
      <c r="R946" s="387"/>
      <c r="S946" s="387"/>
      <c r="T946" s="387"/>
      <c r="U946" s="387"/>
      <c r="V946" s="387"/>
      <c r="W946" s="387"/>
      <c r="X946" s="387"/>
      <c r="Y946" s="387"/>
      <c r="Z946" s="387"/>
      <c r="AA946" s="387"/>
      <c r="AB946" s="387"/>
    </row>
    <row r="947">
      <c r="A947" s="364"/>
      <c r="B947" s="387"/>
      <c r="C947" s="387"/>
      <c r="D947" s="364"/>
      <c r="E947" s="387"/>
      <c r="F947" s="387"/>
      <c r="G947" s="387"/>
      <c r="H947" s="387"/>
      <c r="I947" s="387"/>
      <c r="J947" s="387"/>
      <c r="K947" s="387"/>
      <c r="L947" s="364"/>
      <c r="M947" s="364"/>
      <c r="N947" s="387"/>
      <c r="O947" s="387"/>
      <c r="P947" s="387"/>
      <c r="Q947" s="387"/>
      <c r="R947" s="387"/>
      <c r="S947" s="387"/>
      <c r="T947" s="387"/>
      <c r="U947" s="387"/>
      <c r="V947" s="387"/>
      <c r="W947" s="387"/>
      <c r="X947" s="387"/>
      <c r="Y947" s="387"/>
      <c r="Z947" s="387"/>
      <c r="AA947" s="387"/>
      <c r="AB947" s="387"/>
    </row>
    <row r="948">
      <c r="A948" s="364"/>
      <c r="B948" s="387"/>
      <c r="C948" s="387"/>
      <c r="D948" s="364"/>
      <c r="E948" s="387"/>
      <c r="F948" s="387"/>
      <c r="G948" s="387"/>
      <c r="H948" s="387"/>
      <c r="I948" s="387"/>
      <c r="J948" s="387"/>
      <c r="K948" s="387"/>
      <c r="L948" s="364"/>
      <c r="M948" s="364"/>
      <c r="N948" s="387"/>
      <c r="O948" s="387"/>
      <c r="P948" s="387"/>
      <c r="Q948" s="387"/>
      <c r="R948" s="387"/>
      <c r="S948" s="387"/>
      <c r="T948" s="387"/>
      <c r="U948" s="387"/>
      <c r="V948" s="387"/>
      <c r="W948" s="387"/>
      <c r="X948" s="387"/>
      <c r="Y948" s="387"/>
      <c r="Z948" s="387"/>
      <c r="AA948" s="387"/>
      <c r="AB948" s="387"/>
    </row>
    <row r="949">
      <c r="A949" s="364"/>
      <c r="B949" s="387"/>
      <c r="C949" s="387"/>
      <c r="D949" s="364"/>
      <c r="E949" s="387"/>
      <c r="F949" s="387"/>
      <c r="G949" s="387"/>
      <c r="H949" s="387"/>
      <c r="I949" s="387"/>
      <c r="J949" s="387"/>
      <c r="K949" s="387"/>
      <c r="L949" s="364"/>
      <c r="M949" s="364"/>
      <c r="N949" s="387"/>
      <c r="O949" s="387"/>
      <c r="P949" s="387"/>
      <c r="Q949" s="387"/>
      <c r="R949" s="387"/>
      <c r="S949" s="387"/>
      <c r="T949" s="387"/>
      <c r="U949" s="387"/>
      <c r="V949" s="387"/>
      <c r="W949" s="387"/>
      <c r="X949" s="387"/>
      <c r="Y949" s="387"/>
      <c r="Z949" s="387"/>
      <c r="AA949" s="387"/>
      <c r="AB949" s="387"/>
    </row>
    <row r="950">
      <c r="A950" s="364"/>
      <c r="B950" s="387"/>
      <c r="C950" s="387"/>
      <c r="D950" s="364"/>
      <c r="E950" s="387"/>
      <c r="F950" s="387"/>
      <c r="G950" s="387"/>
      <c r="H950" s="387"/>
      <c r="I950" s="387"/>
      <c r="J950" s="387"/>
      <c r="K950" s="387"/>
      <c r="L950" s="364"/>
      <c r="M950" s="364"/>
      <c r="N950" s="387"/>
      <c r="O950" s="387"/>
      <c r="P950" s="387"/>
      <c r="Q950" s="387"/>
      <c r="R950" s="387"/>
      <c r="S950" s="387"/>
      <c r="T950" s="387"/>
      <c r="U950" s="387"/>
      <c r="V950" s="387"/>
      <c r="W950" s="387"/>
      <c r="X950" s="387"/>
      <c r="Y950" s="387"/>
      <c r="Z950" s="387"/>
      <c r="AA950" s="387"/>
      <c r="AB950" s="387"/>
    </row>
    <row r="951">
      <c r="A951" s="364"/>
      <c r="B951" s="387"/>
      <c r="C951" s="387"/>
      <c r="D951" s="364"/>
      <c r="E951" s="387"/>
      <c r="F951" s="387"/>
      <c r="G951" s="387"/>
      <c r="H951" s="387"/>
      <c r="I951" s="387"/>
      <c r="J951" s="387"/>
      <c r="K951" s="387"/>
      <c r="L951" s="364"/>
      <c r="M951" s="364"/>
      <c r="N951" s="387"/>
      <c r="O951" s="387"/>
      <c r="P951" s="387"/>
      <c r="Q951" s="387"/>
      <c r="R951" s="387"/>
      <c r="S951" s="387"/>
      <c r="T951" s="387"/>
      <c r="U951" s="387"/>
      <c r="V951" s="387"/>
      <c r="W951" s="387"/>
      <c r="X951" s="387"/>
      <c r="Y951" s="387"/>
      <c r="Z951" s="387"/>
      <c r="AA951" s="387"/>
      <c r="AB951" s="387"/>
    </row>
    <row r="952">
      <c r="A952" s="364"/>
      <c r="B952" s="387"/>
      <c r="C952" s="387"/>
      <c r="D952" s="364"/>
      <c r="E952" s="387"/>
      <c r="F952" s="387"/>
      <c r="G952" s="387"/>
      <c r="H952" s="387"/>
      <c r="I952" s="387"/>
      <c r="J952" s="387"/>
      <c r="K952" s="387"/>
      <c r="L952" s="364"/>
      <c r="M952" s="364"/>
      <c r="N952" s="387"/>
      <c r="O952" s="387"/>
      <c r="P952" s="387"/>
      <c r="Q952" s="387"/>
      <c r="R952" s="387"/>
      <c r="S952" s="387"/>
      <c r="T952" s="387"/>
      <c r="U952" s="387"/>
      <c r="V952" s="387"/>
      <c r="W952" s="387"/>
      <c r="X952" s="387"/>
      <c r="Y952" s="387"/>
      <c r="Z952" s="387"/>
      <c r="AA952" s="387"/>
      <c r="AB952" s="387"/>
    </row>
    <row r="953">
      <c r="A953" s="364"/>
      <c r="B953" s="387"/>
      <c r="C953" s="387"/>
      <c r="D953" s="364"/>
      <c r="E953" s="387"/>
      <c r="F953" s="387"/>
      <c r="G953" s="387"/>
      <c r="H953" s="387"/>
      <c r="I953" s="387"/>
      <c r="J953" s="387"/>
      <c r="K953" s="387"/>
      <c r="L953" s="364"/>
      <c r="M953" s="364"/>
      <c r="N953" s="387"/>
      <c r="O953" s="387"/>
      <c r="P953" s="387"/>
      <c r="Q953" s="387"/>
      <c r="R953" s="387"/>
      <c r="S953" s="387"/>
      <c r="T953" s="387"/>
      <c r="U953" s="387"/>
      <c r="V953" s="387"/>
      <c r="W953" s="387"/>
      <c r="X953" s="387"/>
      <c r="Y953" s="387"/>
      <c r="Z953" s="387"/>
      <c r="AA953" s="387"/>
      <c r="AB953" s="387"/>
    </row>
    <row r="954">
      <c r="A954" s="364"/>
      <c r="B954" s="387"/>
      <c r="C954" s="387"/>
      <c r="D954" s="364"/>
      <c r="E954" s="387"/>
      <c r="F954" s="387"/>
      <c r="G954" s="387"/>
      <c r="H954" s="387"/>
      <c r="I954" s="387"/>
      <c r="J954" s="387"/>
      <c r="K954" s="387"/>
      <c r="L954" s="364"/>
      <c r="M954" s="364"/>
      <c r="N954" s="387"/>
      <c r="O954" s="387"/>
      <c r="P954" s="387"/>
      <c r="Q954" s="387"/>
      <c r="R954" s="387"/>
      <c r="S954" s="387"/>
      <c r="T954" s="387"/>
      <c r="U954" s="387"/>
      <c r="V954" s="387"/>
      <c r="W954" s="387"/>
      <c r="X954" s="387"/>
      <c r="Y954" s="387"/>
      <c r="Z954" s="387"/>
      <c r="AA954" s="387"/>
      <c r="AB954" s="387"/>
    </row>
    <row r="955">
      <c r="A955" s="364"/>
      <c r="B955" s="387"/>
      <c r="C955" s="387"/>
      <c r="D955" s="364"/>
      <c r="E955" s="387"/>
      <c r="F955" s="387"/>
      <c r="G955" s="387"/>
      <c r="H955" s="387"/>
      <c r="I955" s="387"/>
      <c r="J955" s="387"/>
      <c r="K955" s="387"/>
      <c r="L955" s="364"/>
      <c r="M955" s="364"/>
      <c r="N955" s="387"/>
      <c r="O955" s="387"/>
      <c r="P955" s="387"/>
      <c r="Q955" s="387"/>
      <c r="R955" s="387"/>
      <c r="S955" s="387"/>
      <c r="T955" s="387"/>
      <c r="U955" s="387"/>
      <c r="V955" s="387"/>
      <c r="W955" s="387"/>
      <c r="X955" s="387"/>
      <c r="Y955" s="387"/>
      <c r="Z955" s="387"/>
      <c r="AA955" s="387"/>
      <c r="AB955" s="387"/>
    </row>
    <row r="956">
      <c r="A956" s="364"/>
      <c r="B956" s="387"/>
      <c r="C956" s="387"/>
      <c r="D956" s="364"/>
      <c r="E956" s="387"/>
      <c r="F956" s="387"/>
      <c r="G956" s="387"/>
      <c r="H956" s="387"/>
      <c r="I956" s="387"/>
      <c r="J956" s="387"/>
      <c r="K956" s="387"/>
      <c r="L956" s="364"/>
      <c r="M956" s="364"/>
      <c r="N956" s="387"/>
      <c r="O956" s="387"/>
      <c r="P956" s="387"/>
      <c r="Q956" s="387"/>
      <c r="R956" s="387"/>
      <c r="S956" s="387"/>
      <c r="T956" s="387"/>
      <c r="U956" s="387"/>
      <c r="V956" s="387"/>
      <c r="W956" s="387"/>
      <c r="X956" s="387"/>
      <c r="Y956" s="387"/>
      <c r="Z956" s="387"/>
      <c r="AA956" s="387"/>
      <c r="AB956" s="387"/>
    </row>
    <row r="957">
      <c r="A957" s="364"/>
      <c r="B957" s="387"/>
      <c r="C957" s="387"/>
      <c r="D957" s="364"/>
      <c r="E957" s="387"/>
      <c r="F957" s="387"/>
      <c r="G957" s="387"/>
      <c r="H957" s="387"/>
      <c r="I957" s="387"/>
      <c r="J957" s="387"/>
      <c r="K957" s="387"/>
      <c r="L957" s="364"/>
      <c r="M957" s="364"/>
      <c r="N957" s="387"/>
      <c r="O957" s="387"/>
      <c r="P957" s="387"/>
      <c r="Q957" s="387"/>
      <c r="R957" s="387"/>
      <c r="S957" s="387"/>
      <c r="T957" s="387"/>
      <c r="U957" s="387"/>
      <c r="V957" s="387"/>
      <c r="W957" s="387"/>
      <c r="X957" s="387"/>
      <c r="Y957" s="387"/>
      <c r="Z957" s="387"/>
      <c r="AA957" s="387"/>
      <c r="AB957" s="387"/>
    </row>
    <row r="958">
      <c r="A958" s="364"/>
      <c r="B958" s="387"/>
      <c r="C958" s="387"/>
      <c r="D958" s="364"/>
      <c r="E958" s="387"/>
      <c r="F958" s="387"/>
      <c r="G958" s="387"/>
      <c r="H958" s="387"/>
      <c r="I958" s="387"/>
      <c r="J958" s="387"/>
      <c r="K958" s="387"/>
      <c r="L958" s="364"/>
      <c r="M958" s="364"/>
      <c r="N958" s="387"/>
      <c r="O958" s="387"/>
      <c r="P958" s="387"/>
      <c r="Q958" s="387"/>
      <c r="R958" s="387"/>
      <c r="S958" s="387"/>
      <c r="T958" s="387"/>
      <c r="U958" s="387"/>
      <c r="V958" s="387"/>
      <c r="W958" s="387"/>
      <c r="X958" s="387"/>
      <c r="Y958" s="387"/>
      <c r="Z958" s="387"/>
      <c r="AA958" s="387"/>
      <c r="AB958" s="387"/>
    </row>
    <row r="959">
      <c r="A959" s="364"/>
      <c r="B959" s="387"/>
      <c r="C959" s="387"/>
      <c r="D959" s="364"/>
      <c r="E959" s="387"/>
      <c r="F959" s="387"/>
      <c r="G959" s="387"/>
      <c r="H959" s="387"/>
      <c r="I959" s="387"/>
      <c r="J959" s="387"/>
      <c r="K959" s="387"/>
      <c r="L959" s="364"/>
      <c r="M959" s="364"/>
      <c r="N959" s="387"/>
      <c r="O959" s="387"/>
      <c r="P959" s="387"/>
      <c r="Q959" s="387"/>
      <c r="R959" s="387"/>
      <c r="S959" s="387"/>
      <c r="T959" s="387"/>
      <c r="U959" s="387"/>
      <c r="V959" s="387"/>
      <c r="W959" s="387"/>
      <c r="X959" s="387"/>
      <c r="Y959" s="387"/>
      <c r="Z959" s="387"/>
      <c r="AA959" s="387"/>
      <c r="AB959" s="387"/>
    </row>
    <row r="960">
      <c r="A960" s="364"/>
      <c r="B960" s="387"/>
      <c r="C960" s="387"/>
      <c r="D960" s="364"/>
      <c r="E960" s="387"/>
      <c r="F960" s="387"/>
      <c r="G960" s="387"/>
      <c r="H960" s="387"/>
      <c r="I960" s="387"/>
      <c r="J960" s="387"/>
      <c r="K960" s="387"/>
      <c r="L960" s="364"/>
      <c r="M960" s="364"/>
      <c r="N960" s="387"/>
      <c r="O960" s="387"/>
      <c r="P960" s="387"/>
      <c r="Q960" s="387"/>
      <c r="R960" s="387"/>
      <c r="S960" s="387"/>
      <c r="T960" s="387"/>
      <c r="U960" s="387"/>
      <c r="V960" s="387"/>
      <c r="W960" s="387"/>
      <c r="X960" s="387"/>
      <c r="Y960" s="387"/>
      <c r="Z960" s="387"/>
      <c r="AA960" s="387"/>
      <c r="AB960" s="387"/>
    </row>
    <row r="961">
      <c r="A961" s="364"/>
      <c r="B961" s="387"/>
      <c r="C961" s="387"/>
      <c r="D961" s="364"/>
      <c r="E961" s="387"/>
      <c r="F961" s="387"/>
      <c r="G961" s="387"/>
      <c r="H961" s="387"/>
      <c r="I961" s="387"/>
      <c r="J961" s="387"/>
      <c r="K961" s="387"/>
      <c r="L961" s="364"/>
      <c r="M961" s="364"/>
      <c r="N961" s="387"/>
      <c r="O961" s="387"/>
      <c r="P961" s="387"/>
      <c r="Q961" s="387"/>
      <c r="R961" s="387"/>
      <c r="S961" s="387"/>
      <c r="T961" s="387"/>
      <c r="U961" s="387"/>
      <c r="V961" s="387"/>
      <c r="W961" s="387"/>
      <c r="X961" s="387"/>
      <c r="Y961" s="387"/>
      <c r="Z961" s="387"/>
      <c r="AA961" s="387"/>
      <c r="AB961" s="387"/>
    </row>
    <row r="962">
      <c r="A962" s="364"/>
      <c r="B962" s="387"/>
      <c r="C962" s="387"/>
      <c r="D962" s="364"/>
      <c r="E962" s="387"/>
      <c r="F962" s="387"/>
      <c r="G962" s="387"/>
      <c r="H962" s="387"/>
      <c r="I962" s="387"/>
      <c r="J962" s="387"/>
      <c r="K962" s="387"/>
      <c r="L962" s="364"/>
      <c r="M962" s="364"/>
      <c r="N962" s="387"/>
      <c r="O962" s="387"/>
      <c r="P962" s="387"/>
      <c r="Q962" s="387"/>
      <c r="R962" s="387"/>
      <c r="S962" s="387"/>
      <c r="T962" s="387"/>
      <c r="U962" s="387"/>
      <c r="V962" s="387"/>
      <c r="W962" s="387"/>
      <c r="X962" s="387"/>
      <c r="Y962" s="387"/>
      <c r="Z962" s="387"/>
      <c r="AA962" s="387"/>
      <c r="AB962" s="387"/>
    </row>
    <row r="963">
      <c r="A963" s="364"/>
      <c r="B963" s="387"/>
      <c r="C963" s="387"/>
      <c r="D963" s="364"/>
      <c r="E963" s="387"/>
      <c r="F963" s="387"/>
      <c r="G963" s="387"/>
      <c r="H963" s="387"/>
      <c r="I963" s="387"/>
      <c r="J963" s="387"/>
      <c r="K963" s="387"/>
      <c r="L963" s="364"/>
      <c r="M963" s="364"/>
      <c r="N963" s="387"/>
      <c r="O963" s="387"/>
      <c r="P963" s="387"/>
      <c r="Q963" s="387"/>
      <c r="R963" s="387"/>
      <c r="S963" s="387"/>
      <c r="T963" s="387"/>
      <c r="U963" s="387"/>
      <c r="V963" s="387"/>
      <c r="W963" s="387"/>
      <c r="X963" s="387"/>
      <c r="Y963" s="387"/>
      <c r="Z963" s="387"/>
      <c r="AA963" s="387"/>
      <c r="AB963" s="387"/>
    </row>
    <row r="964">
      <c r="A964" s="364"/>
      <c r="B964" s="387"/>
      <c r="C964" s="387"/>
      <c r="D964" s="364"/>
      <c r="E964" s="387"/>
      <c r="F964" s="387"/>
      <c r="G964" s="387"/>
      <c r="H964" s="387"/>
      <c r="I964" s="387"/>
      <c r="J964" s="387"/>
      <c r="K964" s="387"/>
      <c r="L964" s="364"/>
      <c r="M964" s="364"/>
      <c r="N964" s="387"/>
      <c r="O964" s="387"/>
      <c r="P964" s="387"/>
      <c r="Q964" s="387"/>
      <c r="R964" s="387"/>
      <c r="S964" s="387"/>
      <c r="T964" s="387"/>
      <c r="U964" s="387"/>
      <c r="V964" s="387"/>
      <c r="W964" s="387"/>
      <c r="X964" s="387"/>
      <c r="Y964" s="387"/>
      <c r="Z964" s="387"/>
      <c r="AA964" s="387"/>
      <c r="AB964" s="387"/>
    </row>
    <row r="965">
      <c r="A965" s="364"/>
      <c r="B965" s="387"/>
      <c r="C965" s="387"/>
      <c r="D965" s="364"/>
      <c r="E965" s="387"/>
      <c r="F965" s="387"/>
      <c r="G965" s="387"/>
      <c r="H965" s="387"/>
      <c r="I965" s="387"/>
      <c r="J965" s="387"/>
      <c r="K965" s="387"/>
      <c r="L965" s="364"/>
      <c r="M965" s="364"/>
      <c r="N965" s="387"/>
      <c r="O965" s="387"/>
      <c r="P965" s="387"/>
      <c r="Q965" s="387"/>
      <c r="R965" s="387"/>
      <c r="S965" s="387"/>
      <c r="T965" s="387"/>
      <c r="U965" s="387"/>
      <c r="V965" s="387"/>
      <c r="W965" s="387"/>
      <c r="X965" s="387"/>
      <c r="Y965" s="387"/>
      <c r="Z965" s="387"/>
      <c r="AA965" s="387"/>
      <c r="AB965" s="387"/>
    </row>
    <row r="966">
      <c r="A966" s="364"/>
      <c r="B966" s="387"/>
      <c r="C966" s="387"/>
      <c r="D966" s="364"/>
      <c r="E966" s="387"/>
      <c r="F966" s="387"/>
      <c r="G966" s="387"/>
      <c r="H966" s="387"/>
      <c r="I966" s="387"/>
      <c r="J966" s="387"/>
      <c r="K966" s="387"/>
      <c r="L966" s="364"/>
      <c r="M966" s="364"/>
      <c r="N966" s="387"/>
      <c r="O966" s="387"/>
      <c r="P966" s="387"/>
      <c r="Q966" s="387"/>
      <c r="R966" s="387"/>
      <c r="S966" s="387"/>
      <c r="T966" s="387"/>
      <c r="U966" s="387"/>
      <c r="V966" s="387"/>
      <c r="W966" s="387"/>
      <c r="X966" s="387"/>
      <c r="Y966" s="387"/>
      <c r="Z966" s="387"/>
      <c r="AA966" s="387"/>
      <c r="AB966" s="387"/>
    </row>
    <row r="967">
      <c r="A967" s="364"/>
      <c r="B967" s="387"/>
      <c r="C967" s="387"/>
      <c r="D967" s="364"/>
      <c r="E967" s="387"/>
      <c r="F967" s="387"/>
      <c r="G967" s="387"/>
      <c r="H967" s="387"/>
      <c r="I967" s="387"/>
      <c r="J967" s="387"/>
      <c r="K967" s="387"/>
      <c r="L967" s="364"/>
      <c r="M967" s="364"/>
      <c r="N967" s="387"/>
      <c r="O967" s="387"/>
      <c r="P967" s="387"/>
      <c r="Q967" s="387"/>
      <c r="R967" s="387"/>
      <c r="S967" s="387"/>
      <c r="T967" s="387"/>
      <c r="U967" s="387"/>
      <c r="V967" s="387"/>
      <c r="W967" s="387"/>
      <c r="X967" s="387"/>
      <c r="Y967" s="387"/>
      <c r="Z967" s="387"/>
      <c r="AA967" s="387"/>
      <c r="AB967" s="387"/>
    </row>
    <row r="968">
      <c r="A968" s="364"/>
      <c r="B968" s="387"/>
      <c r="C968" s="387"/>
      <c r="D968" s="364"/>
      <c r="E968" s="387"/>
      <c r="F968" s="387"/>
      <c r="G968" s="387"/>
      <c r="H968" s="387"/>
      <c r="I968" s="387"/>
      <c r="J968" s="387"/>
      <c r="K968" s="387"/>
      <c r="L968" s="364"/>
      <c r="M968" s="364"/>
      <c r="N968" s="387"/>
      <c r="O968" s="387"/>
      <c r="P968" s="387"/>
      <c r="Q968" s="387"/>
      <c r="R968" s="387"/>
      <c r="S968" s="387"/>
      <c r="T968" s="387"/>
      <c r="U968" s="387"/>
      <c r="V968" s="387"/>
      <c r="W968" s="387"/>
      <c r="X968" s="387"/>
      <c r="Y968" s="387"/>
      <c r="Z968" s="387"/>
      <c r="AA968" s="387"/>
      <c r="AB968" s="387"/>
    </row>
    <row r="969">
      <c r="A969" s="364"/>
      <c r="B969" s="387"/>
      <c r="C969" s="387"/>
      <c r="D969" s="364"/>
      <c r="E969" s="387"/>
      <c r="F969" s="387"/>
      <c r="G969" s="387"/>
      <c r="H969" s="387"/>
      <c r="I969" s="387"/>
      <c r="J969" s="387"/>
      <c r="K969" s="387"/>
      <c r="L969" s="364"/>
      <c r="M969" s="364"/>
      <c r="N969" s="387"/>
      <c r="O969" s="387"/>
      <c r="P969" s="387"/>
      <c r="Q969" s="387"/>
      <c r="R969" s="387"/>
      <c r="S969" s="387"/>
      <c r="T969" s="387"/>
      <c r="U969" s="387"/>
      <c r="V969" s="387"/>
      <c r="W969" s="387"/>
      <c r="X969" s="387"/>
      <c r="Y969" s="387"/>
      <c r="Z969" s="387"/>
      <c r="AA969" s="387"/>
      <c r="AB969" s="387"/>
    </row>
    <row r="970">
      <c r="A970" s="364"/>
      <c r="B970" s="387"/>
      <c r="C970" s="387"/>
      <c r="D970" s="364"/>
      <c r="E970" s="387"/>
      <c r="F970" s="387"/>
      <c r="G970" s="387"/>
      <c r="H970" s="387"/>
      <c r="I970" s="387"/>
      <c r="J970" s="387"/>
      <c r="K970" s="387"/>
      <c r="L970" s="364"/>
      <c r="M970" s="364"/>
      <c r="N970" s="387"/>
      <c r="O970" s="387"/>
      <c r="P970" s="387"/>
      <c r="Q970" s="387"/>
      <c r="R970" s="387"/>
      <c r="S970" s="387"/>
      <c r="T970" s="387"/>
      <c r="U970" s="387"/>
      <c r="V970" s="387"/>
      <c r="W970" s="387"/>
      <c r="X970" s="387"/>
      <c r="Y970" s="387"/>
      <c r="Z970" s="387"/>
      <c r="AA970" s="387"/>
      <c r="AB970" s="387"/>
    </row>
    <row r="971">
      <c r="A971" s="364"/>
      <c r="B971" s="387"/>
      <c r="C971" s="387"/>
      <c r="D971" s="364"/>
      <c r="E971" s="387"/>
      <c r="F971" s="387"/>
      <c r="G971" s="387"/>
      <c r="H971" s="387"/>
      <c r="I971" s="387"/>
      <c r="J971" s="387"/>
      <c r="K971" s="387"/>
      <c r="L971" s="364"/>
      <c r="M971" s="364"/>
      <c r="N971" s="387"/>
      <c r="O971" s="387"/>
      <c r="P971" s="387"/>
      <c r="Q971" s="387"/>
      <c r="R971" s="387"/>
      <c r="S971" s="387"/>
      <c r="T971" s="387"/>
      <c r="U971" s="387"/>
      <c r="V971" s="387"/>
      <c r="W971" s="387"/>
      <c r="X971" s="387"/>
      <c r="Y971" s="387"/>
      <c r="Z971" s="387"/>
      <c r="AA971" s="387"/>
      <c r="AB971" s="387"/>
    </row>
    <row r="972">
      <c r="A972" s="364"/>
      <c r="B972" s="387"/>
      <c r="C972" s="387"/>
      <c r="D972" s="364"/>
      <c r="E972" s="387"/>
      <c r="F972" s="387"/>
      <c r="G972" s="387"/>
      <c r="H972" s="387"/>
      <c r="I972" s="387"/>
      <c r="J972" s="387"/>
      <c r="K972" s="387"/>
      <c r="L972" s="364"/>
      <c r="M972" s="364"/>
      <c r="N972" s="387"/>
      <c r="O972" s="387"/>
      <c r="P972" s="387"/>
      <c r="Q972" s="387"/>
      <c r="R972" s="387"/>
      <c r="S972" s="387"/>
      <c r="T972" s="387"/>
      <c r="U972" s="387"/>
      <c r="V972" s="387"/>
      <c r="W972" s="387"/>
      <c r="X972" s="387"/>
      <c r="Y972" s="387"/>
      <c r="Z972" s="387"/>
      <c r="AA972" s="387"/>
      <c r="AB972" s="387"/>
    </row>
    <row r="973">
      <c r="A973" s="364"/>
      <c r="B973" s="387"/>
      <c r="C973" s="387"/>
      <c r="D973" s="364"/>
      <c r="E973" s="387"/>
      <c r="F973" s="387"/>
      <c r="G973" s="387"/>
      <c r="H973" s="387"/>
      <c r="I973" s="387"/>
      <c r="J973" s="387"/>
      <c r="K973" s="387"/>
      <c r="L973" s="364"/>
      <c r="M973" s="364"/>
      <c r="N973" s="387"/>
      <c r="O973" s="387"/>
      <c r="P973" s="387"/>
      <c r="Q973" s="387"/>
      <c r="R973" s="387"/>
      <c r="S973" s="387"/>
      <c r="T973" s="387"/>
      <c r="U973" s="387"/>
      <c r="V973" s="387"/>
      <c r="W973" s="387"/>
      <c r="X973" s="387"/>
      <c r="Y973" s="387"/>
      <c r="Z973" s="387"/>
      <c r="AA973" s="387"/>
      <c r="AB973" s="387"/>
    </row>
    <row r="974">
      <c r="A974" s="364"/>
      <c r="B974" s="387"/>
      <c r="C974" s="387"/>
      <c r="D974" s="364"/>
      <c r="E974" s="387"/>
      <c r="F974" s="387"/>
      <c r="G974" s="387"/>
      <c r="H974" s="387"/>
      <c r="I974" s="387"/>
      <c r="J974" s="387"/>
      <c r="K974" s="387"/>
      <c r="L974" s="364"/>
      <c r="M974" s="364"/>
      <c r="N974" s="387"/>
      <c r="O974" s="387"/>
      <c r="P974" s="387"/>
      <c r="Q974" s="387"/>
      <c r="R974" s="387"/>
      <c r="S974" s="387"/>
      <c r="T974" s="387"/>
      <c r="U974" s="387"/>
      <c r="V974" s="387"/>
      <c r="W974" s="387"/>
      <c r="X974" s="387"/>
      <c r="Y974" s="387"/>
      <c r="Z974" s="387"/>
      <c r="AA974" s="387"/>
      <c r="AB974" s="387"/>
    </row>
    <row r="975">
      <c r="A975" s="364"/>
      <c r="B975" s="387"/>
      <c r="C975" s="387"/>
      <c r="D975" s="364"/>
      <c r="E975" s="387"/>
      <c r="F975" s="387"/>
      <c r="G975" s="387"/>
      <c r="H975" s="387"/>
      <c r="I975" s="387"/>
      <c r="J975" s="387"/>
      <c r="K975" s="387"/>
      <c r="L975" s="364"/>
      <c r="M975" s="364"/>
      <c r="N975" s="387"/>
      <c r="O975" s="387"/>
      <c r="P975" s="387"/>
      <c r="Q975" s="387"/>
      <c r="R975" s="387"/>
      <c r="S975" s="387"/>
      <c r="T975" s="387"/>
      <c r="U975" s="387"/>
      <c r="V975" s="387"/>
      <c r="W975" s="387"/>
      <c r="X975" s="387"/>
      <c r="Y975" s="387"/>
      <c r="Z975" s="387"/>
      <c r="AA975" s="387"/>
      <c r="AB975" s="387"/>
    </row>
    <row r="976">
      <c r="A976" s="364"/>
      <c r="B976" s="387"/>
      <c r="C976" s="387"/>
      <c r="D976" s="364"/>
      <c r="E976" s="387"/>
      <c r="F976" s="387"/>
      <c r="G976" s="387"/>
      <c r="H976" s="387"/>
      <c r="I976" s="387"/>
      <c r="J976" s="387"/>
      <c r="K976" s="387"/>
      <c r="L976" s="364"/>
      <c r="M976" s="364"/>
      <c r="N976" s="387"/>
      <c r="O976" s="387"/>
      <c r="P976" s="387"/>
      <c r="Q976" s="387"/>
      <c r="R976" s="387"/>
      <c r="S976" s="387"/>
      <c r="T976" s="387"/>
      <c r="U976" s="387"/>
      <c r="V976" s="387"/>
      <c r="W976" s="387"/>
      <c r="X976" s="387"/>
      <c r="Y976" s="387"/>
      <c r="Z976" s="387"/>
      <c r="AA976" s="387"/>
      <c r="AB976" s="387"/>
    </row>
    <row r="977">
      <c r="A977" s="364"/>
      <c r="B977" s="387"/>
      <c r="C977" s="387"/>
      <c r="D977" s="364"/>
      <c r="E977" s="387"/>
      <c r="F977" s="387"/>
      <c r="G977" s="387"/>
      <c r="H977" s="387"/>
      <c r="I977" s="387"/>
      <c r="J977" s="387"/>
      <c r="K977" s="387"/>
      <c r="L977" s="364"/>
      <c r="M977" s="364"/>
      <c r="N977" s="387"/>
      <c r="O977" s="387"/>
      <c r="P977" s="387"/>
      <c r="Q977" s="387"/>
      <c r="R977" s="387"/>
      <c r="S977" s="387"/>
      <c r="T977" s="387"/>
      <c r="U977" s="387"/>
      <c r="V977" s="387"/>
      <c r="W977" s="387"/>
      <c r="X977" s="387"/>
      <c r="Y977" s="387"/>
      <c r="Z977" s="387"/>
      <c r="AA977" s="387"/>
      <c r="AB977" s="387"/>
    </row>
    <row r="978">
      <c r="A978" s="364"/>
      <c r="B978" s="387"/>
      <c r="C978" s="387"/>
      <c r="D978" s="364"/>
      <c r="E978" s="387"/>
      <c r="F978" s="387"/>
      <c r="G978" s="387"/>
      <c r="H978" s="387"/>
      <c r="I978" s="387"/>
      <c r="J978" s="387"/>
      <c r="K978" s="387"/>
      <c r="L978" s="364"/>
      <c r="M978" s="364"/>
      <c r="N978" s="387"/>
      <c r="O978" s="387"/>
      <c r="P978" s="387"/>
      <c r="Q978" s="387"/>
      <c r="R978" s="387"/>
      <c r="S978" s="387"/>
      <c r="T978" s="387"/>
      <c r="U978" s="387"/>
      <c r="V978" s="387"/>
      <c r="W978" s="387"/>
      <c r="X978" s="387"/>
      <c r="Y978" s="387"/>
      <c r="Z978" s="387"/>
      <c r="AA978" s="387"/>
      <c r="AB978" s="387"/>
    </row>
    <row r="979">
      <c r="A979" s="364"/>
      <c r="B979" s="387"/>
      <c r="C979" s="387"/>
      <c r="D979" s="364"/>
      <c r="E979" s="387"/>
      <c r="F979" s="387"/>
      <c r="G979" s="387"/>
      <c r="H979" s="387"/>
      <c r="I979" s="387"/>
      <c r="J979" s="387"/>
      <c r="K979" s="387"/>
      <c r="L979" s="364"/>
      <c r="M979" s="364"/>
      <c r="N979" s="387"/>
      <c r="O979" s="387"/>
      <c r="P979" s="387"/>
      <c r="Q979" s="387"/>
      <c r="R979" s="387"/>
      <c r="S979" s="387"/>
      <c r="T979" s="387"/>
      <c r="U979" s="387"/>
      <c r="V979" s="387"/>
      <c r="W979" s="387"/>
      <c r="X979" s="387"/>
      <c r="Y979" s="387"/>
      <c r="Z979" s="387"/>
      <c r="AA979" s="387"/>
      <c r="AB979" s="387"/>
    </row>
    <row r="980">
      <c r="A980" s="364"/>
      <c r="B980" s="387"/>
      <c r="C980" s="387"/>
      <c r="D980" s="364"/>
      <c r="E980" s="387"/>
      <c r="F980" s="387"/>
      <c r="G980" s="387"/>
      <c r="H980" s="387"/>
      <c r="I980" s="387"/>
      <c r="J980" s="387"/>
      <c r="K980" s="387"/>
      <c r="L980" s="364"/>
      <c r="M980" s="364"/>
      <c r="N980" s="387"/>
      <c r="O980" s="387"/>
      <c r="P980" s="387"/>
      <c r="Q980" s="387"/>
      <c r="R980" s="387"/>
      <c r="S980" s="387"/>
      <c r="T980" s="387"/>
      <c r="U980" s="387"/>
      <c r="V980" s="387"/>
      <c r="W980" s="387"/>
      <c r="X980" s="387"/>
      <c r="Y980" s="387"/>
      <c r="Z980" s="387"/>
      <c r="AA980" s="387"/>
      <c r="AB980" s="387"/>
    </row>
    <row r="981">
      <c r="A981" s="364"/>
      <c r="B981" s="387"/>
      <c r="C981" s="387"/>
      <c r="D981" s="364"/>
      <c r="E981" s="387"/>
      <c r="F981" s="387"/>
      <c r="G981" s="387"/>
      <c r="H981" s="387"/>
      <c r="I981" s="387"/>
      <c r="J981" s="387"/>
      <c r="K981" s="387"/>
      <c r="L981" s="364"/>
      <c r="M981" s="364"/>
      <c r="N981" s="387"/>
      <c r="O981" s="387"/>
      <c r="P981" s="387"/>
      <c r="Q981" s="387"/>
      <c r="R981" s="387"/>
      <c r="S981" s="387"/>
      <c r="T981" s="387"/>
      <c r="U981" s="387"/>
      <c r="V981" s="387"/>
      <c r="W981" s="387"/>
      <c r="X981" s="387"/>
      <c r="Y981" s="387"/>
      <c r="Z981" s="387"/>
      <c r="AA981" s="387"/>
      <c r="AB981" s="387"/>
    </row>
    <row r="982">
      <c r="A982" s="364"/>
      <c r="B982" s="387"/>
      <c r="C982" s="387"/>
      <c r="D982" s="364"/>
      <c r="E982" s="387"/>
      <c r="F982" s="387"/>
      <c r="G982" s="387"/>
      <c r="H982" s="387"/>
      <c r="I982" s="387"/>
      <c r="J982" s="387"/>
      <c r="K982" s="387"/>
      <c r="L982" s="364"/>
      <c r="M982" s="364"/>
      <c r="N982" s="387"/>
      <c r="O982" s="387"/>
      <c r="P982" s="387"/>
      <c r="Q982" s="387"/>
      <c r="R982" s="387"/>
      <c r="S982" s="387"/>
      <c r="T982" s="387"/>
      <c r="U982" s="387"/>
      <c r="V982" s="387"/>
      <c r="W982" s="387"/>
      <c r="X982" s="387"/>
      <c r="Y982" s="387"/>
      <c r="Z982" s="387"/>
      <c r="AA982" s="387"/>
      <c r="AB982" s="387"/>
    </row>
    <row r="983">
      <c r="A983" s="364"/>
      <c r="B983" s="387"/>
      <c r="C983" s="387"/>
      <c r="D983" s="364"/>
      <c r="E983" s="387"/>
      <c r="F983" s="387"/>
      <c r="G983" s="387"/>
      <c r="H983" s="387"/>
      <c r="I983" s="387"/>
      <c r="J983" s="387"/>
      <c r="K983" s="387"/>
      <c r="L983" s="364"/>
      <c r="M983" s="364"/>
      <c r="N983" s="387"/>
      <c r="O983" s="387"/>
      <c r="P983" s="387"/>
      <c r="Q983" s="387"/>
      <c r="R983" s="387"/>
      <c r="S983" s="387"/>
      <c r="T983" s="387"/>
      <c r="U983" s="387"/>
      <c r="V983" s="387"/>
      <c r="W983" s="387"/>
      <c r="X983" s="387"/>
      <c r="Y983" s="387"/>
      <c r="Z983" s="387"/>
      <c r="AA983" s="387"/>
      <c r="AB983" s="387"/>
    </row>
    <row r="984">
      <c r="A984" s="364"/>
      <c r="B984" s="387"/>
      <c r="C984" s="387"/>
      <c r="D984" s="364"/>
      <c r="E984" s="387"/>
      <c r="F984" s="387"/>
      <c r="G984" s="387"/>
      <c r="H984" s="387"/>
      <c r="I984" s="387"/>
      <c r="J984" s="387"/>
      <c r="K984" s="387"/>
      <c r="L984" s="364"/>
      <c r="M984" s="364"/>
      <c r="N984" s="387"/>
      <c r="O984" s="387"/>
      <c r="P984" s="387"/>
      <c r="Q984" s="387"/>
      <c r="R984" s="387"/>
      <c r="S984" s="387"/>
      <c r="T984" s="387"/>
      <c r="U984" s="387"/>
      <c r="V984" s="387"/>
      <c r="W984" s="387"/>
      <c r="X984" s="387"/>
      <c r="Y984" s="387"/>
      <c r="Z984" s="387"/>
      <c r="AA984" s="387"/>
      <c r="AB984" s="387"/>
    </row>
    <row r="985">
      <c r="A985" s="364"/>
      <c r="B985" s="387"/>
      <c r="C985" s="387"/>
      <c r="D985" s="364"/>
      <c r="E985" s="387"/>
      <c r="F985" s="387"/>
      <c r="G985" s="387"/>
      <c r="H985" s="387"/>
      <c r="I985" s="387"/>
      <c r="J985" s="387"/>
      <c r="K985" s="387"/>
      <c r="L985" s="364"/>
      <c r="M985" s="364"/>
      <c r="N985" s="387"/>
      <c r="O985" s="387"/>
      <c r="P985" s="387"/>
      <c r="Q985" s="387"/>
      <c r="R985" s="387"/>
      <c r="S985" s="387"/>
      <c r="T985" s="387"/>
      <c r="U985" s="387"/>
      <c r="V985" s="387"/>
      <c r="W985" s="387"/>
      <c r="X985" s="387"/>
      <c r="Y985" s="387"/>
      <c r="Z985" s="387"/>
      <c r="AA985" s="387"/>
      <c r="AB985" s="387"/>
    </row>
    <row r="986">
      <c r="A986" s="364"/>
      <c r="B986" s="387"/>
      <c r="C986" s="387"/>
      <c r="D986" s="364"/>
      <c r="E986" s="387"/>
      <c r="F986" s="387"/>
      <c r="G986" s="387"/>
      <c r="H986" s="387"/>
      <c r="I986" s="387"/>
      <c r="J986" s="387"/>
      <c r="K986" s="387"/>
      <c r="L986" s="364"/>
      <c r="M986" s="364"/>
      <c r="N986" s="387"/>
      <c r="O986" s="387"/>
      <c r="P986" s="387"/>
      <c r="Q986" s="387"/>
      <c r="R986" s="387"/>
      <c r="S986" s="387"/>
      <c r="T986" s="387"/>
      <c r="U986" s="387"/>
      <c r="V986" s="387"/>
      <c r="W986" s="387"/>
      <c r="X986" s="387"/>
      <c r="Y986" s="387"/>
      <c r="Z986" s="387"/>
      <c r="AA986" s="387"/>
      <c r="AB986" s="387"/>
    </row>
    <row r="987">
      <c r="A987" s="364"/>
      <c r="B987" s="387"/>
      <c r="C987" s="387"/>
      <c r="D987" s="364"/>
      <c r="E987" s="387"/>
      <c r="F987" s="387"/>
      <c r="G987" s="387"/>
      <c r="H987" s="387"/>
      <c r="I987" s="387"/>
      <c r="J987" s="387"/>
      <c r="K987" s="387"/>
      <c r="L987" s="364"/>
      <c r="M987" s="364"/>
      <c r="N987" s="387"/>
      <c r="O987" s="387"/>
      <c r="P987" s="387"/>
      <c r="Q987" s="387"/>
      <c r="R987" s="387"/>
      <c r="S987" s="387"/>
      <c r="T987" s="387"/>
      <c r="U987" s="387"/>
      <c r="V987" s="387"/>
      <c r="W987" s="387"/>
      <c r="X987" s="387"/>
      <c r="Y987" s="387"/>
      <c r="Z987" s="387"/>
      <c r="AA987" s="387"/>
      <c r="AB987" s="387"/>
    </row>
    <row r="988">
      <c r="A988" s="364"/>
      <c r="B988" s="387"/>
      <c r="C988" s="387"/>
      <c r="D988" s="364"/>
      <c r="E988" s="387"/>
      <c r="F988" s="387"/>
      <c r="G988" s="387"/>
      <c r="H988" s="387"/>
      <c r="I988" s="387"/>
      <c r="J988" s="387"/>
      <c r="K988" s="387"/>
      <c r="L988" s="364"/>
      <c r="M988" s="364"/>
      <c r="N988" s="387"/>
      <c r="O988" s="387"/>
      <c r="P988" s="387"/>
      <c r="Q988" s="387"/>
      <c r="R988" s="387"/>
      <c r="S988" s="387"/>
      <c r="T988" s="387"/>
      <c r="U988" s="387"/>
      <c r="V988" s="387"/>
      <c r="W988" s="387"/>
      <c r="X988" s="387"/>
      <c r="Y988" s="387"/>
      <c r="Z988" s="387"/>
      <c r="AA988" s="387"/>
      <c r="AB988" s="387"/>
    </row>
    <row r="989">
      <c r="A989" s="364"/>
      <c r="B989" s="387"/>
      <c r="C989" s="387"/>
      <c r="D989" s="364"/>
      <c r="E989" s="387"/>
      <c r="F989" s="387"/>
      <c r="G989" s="387"/>
      <c r="H989" s="387"/>
      <c r="I989" s="387"/>
      <c r="J989" s="387"/>
      <c r="K989" s="387"/>
      <c r="L989" s="364"/>
      <c r="M989" s="364"/>
      <c r="N989" s="387"/>
      <c r="O989" s="387"/>
      <c r="P989" s="387"/>
      <c r="Q989" s="387"/>
      <c r="R989" s="387"/>
      <c r="S989" s="387"/>
      <c r="T989" s="387"/>
      <c r="U989" s="387"/>
      <c r="V989" s="387"/>
      <c r="W989" s="387"/>
      <c r="X989" s="387"/>
      <c r="Y989" s="387"/>
      <c r="Z989" s="387"/>
      <c r="AA989" s="387"/>
      <c r="AB989" s="387"/>
    </row>
    <row r="990">
      <c r="A990" s="364"/>
      <c r="B990" s="387"/>
      <c r="C990" s="387"/>
      <c r="D990" s="364"/>
      <c r="E990" s="387"/>
      <c r="F990" s="387"/>
      <c r="G990" s="387"/>
      <c r="H990" s="387"/>
      <c r="I990" s="387"/>
      <c r="J990" s="387"/>
      <c r="K990" s="387"/>
      <c r="L990" s="364"/>
      <c r="M990" s="364"/>
      <c r="N990" s="387"/>
      <c r="O990" s="387"/>
      <c r="P990" s="387"/>
      <c r="Q990" s="387"/>
      <c r="R990" s="387"/>
      <c r="S990" s="387"/>
      <c r="T990" s="387"/>
      <c r="U990" s="387"/>
      <c r="V990" s="387"/>
      <c r="W990" s="387"/>
      <c r="X990" s="387"/>
      <c r="Y990" s="387"/>
      <c r="Z990" s="387"/>
      <c r="AA990" s="387"/>
      <c r="AB990" s="387"/>
    </row>
    <row r="991">
      <c r="A991" s="364"/>
      <c r="B991" s="387"/>
      <c r="C991" s="387"/>
      <c r="D991" s="364"/>
      <c r="E991" s="387"/>
      <c r="F991" s="387"/>
      <c r="G991" s="387"/>
      <c r="H991" s="387"/>
      <c r="I991" s="387"/>
      <c r="J991" s="387"/>
      <c r="K991" s="387"/>
      <c r="L991" s="364"/>
      <c r="M991" s="364"/>
      <c r="N991" s="387"/>
      <c r="O991" s="387"/>
      <c r="P991" s="387"/>
      <c r="Q991" s="387"/>
      <c r="R991" s="387"/>
      <c r="S991" s="387"/>
      <c r="T991" s="387"/>
      <c r="U991" s="387"/>
      <c r="V991" s="387"/>
      <c r="W991" s="387"/>
      <c r="X991" s="387"/>
      <c r="Y991" s="387"/>
      <c r="Z991" s="387"/>
      <c r="AA991" s="387"/>
      <c r="AB991" s="387"/>
    </row>
    <row r="992">
      <c r="A992" s="364"/>
      <c r="B992" s="387"/>
      <c r="C992" s="387"/>
      <c r="D992" s="364"/>
      <c r="E992" s="387"/>
      <c r="F992" s="387"/>
      <c r="G992" s="387"/>
      <c r="H992" s="387"/>
      <c r="I992" s="387"/>
      <c r="J992" s="387"/>
      <c r="K992" s="387"/>
      <c r="L992" s="364"/>
      <c r="M992" s="364"/>
      <c r="N992" s="387"/>
      <c r="O992" s="387"/>
      <c r="P992" s="387"/>
      <c r="Q992" s="387"/>
      <c r="R992" s="387"/>
      <c r="S992" s="387"/>
      <c r="T992" s="387"/>
      <c r="U992" s="387"/>
      <c r="V992" s="387"/>
      <c r="W992" s="387"/>
      <c r="X992" s="387"/>
      <c r="Y992" s="387"/>
      <c r="Z992" s="387"/>
      <c r="AA992" s="387"/>
      <c r="AB992" s="387"/>
    </row>
    <row r="993">
      <c r="A993" s="364"/>
      <c r="B993" s="387"/>
      <c r="C993" s="387"/>
      <c r="D993" s="364"/>
      <c r="E993" s="387"/>
      <c r="F993" s="387"/>
      <c r="G993" s="387"/>
      <c r="H993" s="387"/>
      <c r="I993" s="387"/>
      <c r="J993" s="387"/>
      <c r="K993" s="387"/>
      <c r="L993" s="364"/>
      <c r="M993" s="364"/>
      <c r="N993" s="387"/>
      <c r="O993" s="387"/>
      <c r="P993" s="387"/>
      <c r="Q993" s="387"/>
      <c r="R993" s="387"/>
      <c r="S993" s="387"/>
      <c r="T993" s="387"/>
      <c r="U993" s="387"/>
      <c r="V993" s="387"/>
      <c r="W993" s="387"/>
      <c r="X993" s="387"/>
      <c r="Y993" s="387"/>
      <c r="Z993" s="387"/>
      <c r="AA993" s="387"/>
      <c r="AB993" s="387"/>
    </row>
    <row r="994">
      <c r="A994" s="364"/>
      <c r="B994" s="387"/>
      <c r="C994" s="387"/>
      <c r="D994" s="364"/>
      <c r="E994" s="387"/>
      <c r="F994" s="387"/>
      <c r="G994" s="387"/>
      <c r="H994" s="387"/>
      <c r="I994" s="387"/>
      <c r="J994" s="387"/>
      <c r="K994" s="387"/>
      <c r="L994" s="364"/>
      <c r="M994" s="364"/>
      <c r="N994" s="387"/>
      <c r="O994" s="387"/>
      <c r="P994" s="387"/>
      <c r="Q994" s="387"/>
      <c r="R994" s="387"/>
      <c r="S994" s="387"/>
      <c r="T994" s="387"/>
      <c r="U994" s="387"/>
      <c r="V994" s="387"/>
      <c r="W994" s="387"/>
      <c r="X994" s="387"/>
      <c r="Y994" s="387"/>
      <c r="Z994" s="387"/>
      <c r="AA994" s="387"/>
      <c r="AB994" s="387"/>
    </row>
    <row r="995">
      <c r="A995" s="364"/>
      <c r="B995" s="387"/>
      <c r="C995" s="387"/>
      <c r="D995" s="364"/>
      <c r="E995" s="387"/>
      <c r="F995" s="387"/>
      <c r="G995" s="387"/>
      <c r="H995" s="387"/>
      <c r="I995" s="387"/>
      <c r="J995" s="387"/>
      <c r="K995" s="387"/>
      <c r="L995" s="364"/>
      <c r="M995" s="364"/>
      <c r="N995" s="387"/>
      <c r="O995" s="387"/>
      <c r="P995" s="387"/>
      <c r="Q995" s="387"/>
      <c r="R995" s="387"/>
      <c r="S995" s="387"/>
      <c r="T995" s="387"/>
      <c r="U995" s="387"/>
      <c r="V995" s="387"/>
      <c r="W995" s="387"/>
      <c r="X995" s="387"/>
      <c r="Y995" s="387"/>
      <c r="Z995" s="387"/>
      <c r="AA995" s="387"/>
      <c r="AB995" s="387"/>
    </row>
    <row r="996">
      <c r="A996" s="364"/>
      <c r="B996" s="387"/>
      <c r="C996" s="387"/>
      <c r="D996" s="364"/>
      <c r="E996" s="387"/>
      <c r="F996" s="387"/>
      <c r="G996" s="387"/>
      <c r="H996" s="387"/>
      <c r="I996" s="387"/>
      <c r="J996" s="387"/>
      <c r="K996" s="387"/>
      <c r="L996" s="364"/>
      <c r="M996" s="364"/>
      <c r="N996" s="387"/>
      <c r="O996" s="387"/>
      <c r="P996" s="387"/>
      <c r="Q996" s="387"/>
      <c r="R996" s="387"/>
      <c r="S996" s="387"/>
      <c r="T996" s="387"/>
      <c r="U996" s="387"/>
      <c r="V996" s="387"/>
      <c r="W996" s="387"/>
      <c r="X996" s="387"/>
      <c r="Y996" s="387"/>
      <c r="Z996" s="387"/>
      <c r="AA996" s="387"/>
      <c r="AB996" s="387"/>
    </row>
    <row r="997">
      <c r="A997" s="364"/>
      <c r="B997" s="387"/>
      <c r="C997" s="387"/>
      <c r="D997" s="364"/>
      <c r="E997" s="387"/>
      <c r="F997" s="387"/>
      <c r="G997" s="387"/>
      <c r="H997" s="387"/>
      <c r="I997" s="387"/>
      <c r="J997" s="387"/>
      <c r="K997" s="387"/>
      <c r="L997" s="364"/>
      <c r="M997" s="364"/>
      <c r="N997" s="387"/>
      <c r="O997" s="387"/>
      <c r="P997" s="387"/>
      <c r="Q997" s="387"/>
      <c r="R997" s="387"/>
      <c r="S997" s="387"/>
      <c r="T997" s="387"/>
      <c r="U997" s="387"/>
      <c r="V997" s="387"/>
      <c r="W997" s="387"/>
      <c r="X997" s="387"/>
      <c r="Y997" s="387"/>
      <c r="Z997" s="387"/>
      <c r="AA997" s="387"/>
      <c r="AB997" s="387"/>
    </row>
  </sheetData>
  <conditionalFormatting sqref="K1:K997">
    <cfRule type="containsText" dxfId="0" priority="1" operator="containsText" text="Hito">
      <formula>NOT(ISERROR(SEARCH(("Hito"),(K1))))</formula>
    </cfRule>
  </conditionalFormatting>
  <conditionalFormatting sqref="K1:K997">
    <cfRule type="containsText" dxfId="1" priority="2" operator="containsText" text="Actividad">
      <formula>NOT(ISERROR(SEARCH(("Actividad"),(K1))))</formula>
    </cfRule>
  </conditionalFormatting>
  <dataValidations>
    <dataValidation type="list" allowBlank="1" showErrorMessage="1" sqref="O2:O291">
      <formula1>"1: Costo Base (Hasta 1.000 UTM),2: Costo Medio (Entre 1.001 y 5.000 UTM),3: Costo Significativo (Entre 5.001 y 10.000 UTM),4: Alto Costo (Entre 10.001 y 15.000 UTM),5: Muy Alto Costo (Más de 15.000 UTM)"</formula1>
    </dataValidation>
    <dataValidation type="list" allowBlank="1" showErrorMessage="1" sqref="N2:N291">
      <formula1>"Administración y Finanzas ,Control de gestión,Fiscalía - jurídica,Gestión de personas,Atención de usuarios - clientes,Oficina de partes,Tecnología,Comunicaciones,Gabinete,Áreas asociadas al mandato institucional"</formula1>
    </dataValidation>
  </dataValidations>
  <drawing r:id="rId2"/>
  <legacyDrawing r:id="rId3"/>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75"/>
    <col customWidth="1" min="2" max="2" width="15.63"/>
    <col customWidth="1" min="3" max="3" width="13.88"/>
    <col customWidth="1" min="4" max="4" width="11.63"/>
    <col customWidth="1" min="5" max="5" width="16.38"/>
    <col customWidth="1" min="6" max="6" width="6.5"/>
    <col customWidth="1" min="7" max="7" width="22.38"/>
    <col customWidth="1" min="8" max="8" width="20.25"/>
    <col customWidth="1" min="9" max="9" width="14.88"/>
    <col customWidth="1" min="10" max="10" width="19.38"/>
    <col customWidth="1" min="11" max="11" width="11.25"/>
    <col customWidth="1" min="12" max="12" width="12.75"/>
    <col customWidth="1" min="13" max="13" width="19.38"/>
    <col customWidth="1" min="14" max="15" width="8.0"/>
    <col customWidth="1" min="16" max="16" width="36.88"/>
    <col customWidth="1" min="17" max="17" width="20.25"/>
  </cols>
  <sheetData>
    <row r="1">
      <c r="A1" s="384" t="s">
        <v>2580</v>
      </c>
      <c r="B1" s="384" t="s">
        <v>2581</v>
      </c>
      <c r="C1" s="363" t="s">
        <v>2584</v>
      </c>
      <c r="D1" s="363" t="s">
        <v>2582</v>
      </c>
      <c r="E1" s="363" t="s">
        <v>2583</v>
      </c>
      <c r="F1" s="363" t="s">
        <v>2585</v>
      </c>
      <c r="G1" s="363" t="s">
        <v>1807</v>
      </c>
      <c r="H1" s="363" t="s">
        <v>2960</v>
      </c>
      <c r="I1" s="363" t="s">
        <v>2586</v>
      </c>
      <c r="J1" s="363" t="s">
        <v>2587</v>
      </c>
      <c r="K1" s="363" t="s">
        <v>1812</v>
      </c>
      <c r="L1" s="363" t="s">
        <v>1813</v>
      </c>
      <c r="M1" s="363" t="s">
        <v>2961</v>
      </c>
      <c r="N1" s="384" t="s">
        <v>2588</v>
      </c>
      <c r="O1" s="384" t="s">
        <v>2283</v>
      </c>
      <c r="P1" s="384" t="s">
        <v>2589</v>
      </c>
      <c r="Q1" s="384" t="s">
        <v>2307</v>
      </c>
      <c r="R1" s="365" t="s">
        <v>2532</v>
      </c>
      <c r="S1" s="365" t="s">
        <v>2533</v>
      </c>
      <c r="T1" s="364"/>
      <c r="U1" s="364"/>
      <c r="V1" s="364"/>
      <c r="W1" s="364"/>
      <c r="X1" s="364"/>
      <c r="Y1" s="364"/>
      <c r="Z1" s="364"/>
      <c r="AA1" s="364"/>
      <c r="AB1" s="364"/>
      <c r="AC1" s="364"/>
      <c r="AD1" s="364"/>
    </row>
    <row r="2">
      <c r="A2" s="365" t="s">
        <v>100</v>
      </c>
      <c r="B2" s="365" t="s">
        <v>101</v>
      </c>
      <c r="C2" s="365" t="s">
        <v>102</v>
      </c>
      <c r="D2" s="365" t="s">
        <v>2962</v>
      </c>
      <c r="E2" s="365" t="s">
        <v>2963</v>
      </c>
      <c r="F2" s="365" t="s">
        <v>2964</v>
      </c>
      <c r="G2" s="365" t="s">
        <v>2965</v>
      </c>
      <c r="H2" s="365" t="s">
        <v>2966</v>
      </c>
      <c r="I2" s="365" t="s">
        <v>2967</v>
      </c>
      <c r="J2" s="365" t="s">
        <v>2968</v>
      </c>
      <c r="K2" s="364"/>
      <c r="L2" s="364"/>
      <c r="M2" s="365" t="s">
        <v>2969</v>
      </c>
      <c r="N2" s="401">
        <v>45658.0</v>
      </c>
      <c r="O2" s="388" t="s">
        <v>2289</v>
      </c>
      <c r="P2" s="365" t="s">
        <v>2970</v>
      </c>
      <c r="Q2" s="365" t="s">
        <v>2964</v>
      </c>
      <c r="R2" s="365" t="s">
        <v>2594</v>
      </c>
      <c r="S2" s="365" t="s">
        <v>2594</v>
      </c>
      <c r="T2" s="364"/>
      <c r="U2" s="364"/>
      <c r="V2" s="364"/>
      <c r="W2" s="364"/>
      <c r="X2" s="364"/>
      <c r="Y2" s="364"/>
      <c r="Z2" s="364"/>
      <c r="AA2" s="364"/>
      <c r="AB2" s="364"/>
      <c r="AC2" s="364"/>
      <c r="AD2" s="364"/>
    </row>
    <row r="3">
      <c r="A3" s="365" t="s">
        <v>100</v>
      </c>
      <c r="B3" s="365" t="s">
        <v>101</v>
      </c>
      <c r="C3" s="365" t="s">
        <v>102</v>
      </c>
      <c r="D3" s="365" t="s">
        <v>2962</v>
      </c>
      <c r="E3" s="365" t="s">
        <v>2963</v>
      </c>
      <c r="F3" s="365" t="s">
        <v>2964</v>
      </c>
      <c r="G3" s="365" t="s">
        <v>2965</v>
      </c>
      <c r="H3" s="365" t="s">
        <v>2966</v>
      </c>
      <c r="I3" s="365" t="s">
        <v>2967</v>
      </c>
      <c r="J3" s="365" t="s">
        <v>2968</v>
      </c>
      <c r="K3" s="364"/>
      <c r="L3" s="364"/>
      <c r="M3" s="365" t="s">
        <v>2969</v>
      </c>
      <c r="N3" s="401">
        <v>45689.0</v>
      </c>
      <c r="O3" s="388" t="s">
        <v>2289</v>
      </c>
      <c r="P3" s="365" t="s">
        <v>2971</v>
      </c>
      <c r="Q3" s="365" t="s">
        <v>2964</v>
      </c>
      <c r="R3" s="365" t="s">
        <v>2594</v>
      </c>
      <c r="S3" s="365" t="s">
        <v>2594</v>
      </c>
      <c r="T3" s="364"/>
      <c r="U3" s="364"/>
      <c r="V3" s="364"/>
      <c r="W3" s="364"/>
      <c r="X3" s="364"/>
      <c r="Y3" s="364"/>
      <c r="Z3" s="364"/>
      <c r="AA3" s="364"/>
      <c r="AB3" s="364"/>
      <c r="AC3" s="364"/>
      <c r="AD3" s="364"/>
    </row>
    <row r="4">
      <c r="A4" s="365" t="s">
        <v>100</v>
      </c>
      <c r="B4" s="365" t="s">
        <v>101</v>
      </c>
      <c r="C4" s="365" t="s">
        <v>102</v>
      </c>
      <c r="D4" s="365" t="s">
        <v>2962</v>
      </c>
      <c r="E4" s="365" t="s">
        <v>2963</v>
      </c>
      <c r="F4" s="365" t="s">
        <v>2964</v>
      </c>
      <c r="G4" s="365" t="s">
        <v>2965</v>
      </c>
      <c r="H4" s="365" t="s">
        <v>2966</v>
      </c>
      <c r="I4" s="365" t="s">
        <v>2967</v>
      </c>
      <c r="J4" s="365" t="s">
        <v>2968</v>
      </c>
      <c r="K4" s="364"/>
      <c r="L4" s="364"/>
      <c r="M4" s="365" t="s">
        <v>2969</v>
      </c>
      <c r="N4" s="401">
        <v>45717.0</v>
      </c>
      <c r="O4" s="388" t="s">
        <v>2289</v>
      </c>
      <c r="P4" s="365" t="s">
        <v>2972</v>
      </c>
      <c r="Q4" s="365" t="s">
        <v>2964</v>
      </c>
      <c r="R4" s="365" t="s">
        <v>2594</v>
      </c>
      <c r="S4" s="365" t="s">
        <v>2594</v>
      </c>
      <c r="T4" s="364"/>
      <c r="U4" s="364"/>
      <c r="V4" s="364"/>
      <c r="W4" s="364"/>
      <c r="X4" s="364"/>
      <c r="Y4" s="364"/>
      <c r="Z4" s="364"/>
      <c r="AA4" s="364"/>
      <c r="AB4" s="364"/>
      <c r="AC4" s="364"/>
      <c r="AD4" s="364"/>
    </row>
    <row r="5">
      <c r="A5" s="365" t="s">
        <v>100</v>
      </c>
      <c r="B5" s="365" t="s">
        <v>101</v>
      </c>
      <c r="C5" s="365" t="s">
        <v>102</v>
      </c>
      <c r="D5" s="365" t="s">
        <v>2962</v>
      </c>
      <c r="E5" s="365" t="s">
        <v>2963</v>
      </c>
      <c r="F5" s="365" t="s">
        <v>2964</v>
      </c>
      <c r="G5" s="365" t="s">
        <v>2965</v>
      </c>
      <c r="H5" s="365" t="s">
        <v>2966</v>
      </c>
      <c r="I5" s="365" t="s">
        <v>2967</v>
      </c>
      <c r="J5" s="365" t="s">
        <v>2968</v>
      </c>
      <c r="K5" s="364"/>
      <c r="L5" s="364"/>
      <c r="M5" s="365" t="s">
        <v>2969</v>
      </c>
      <c r="N5" s="401">
        <v>45748.0</v>
      </c>
      <c r="O5" s="388" t="s">
        <v>2289</v>
      </c>
      <c r="P5" s="365" t="s">
        <v>2973</v>
      </c>
      <c r="Q5" s="365" t="s">
        <v>2964</v>
      </c>
      <c r="R5" s="365" t="s">
        <v>2594</v>
      </c>
      <c r="S5" s="365" t="s">
        <v>2594</v>
      </c>
      <c r="T5" s="364"/>
      <c r="U5" s="364"/>
      <c r="V5" s="364"/>
      <c r="W5" s="364"/>
      <c r="X5" s="364"/>
      <c r="Y5" s="364"/>
      <c r="Z5" s="364"/>
      <c r="AA5" s="364"/>
      <c r="AB5" s="364"/>
      <c r="AC5" s="364"/>
      <c r="AD5" s="364"/>
    </row>
    <row r="6">
      <c r="A6" s="365" t="s">
        <v>100</v>
      </c>
      <c r="B6" s="365" t="s">
        <v>101</v>
      </c>
      <c r="C6" s="365" t="s">
        <v>102</v>
      </c>
      <c r="D6" s="365" t="s">
        <v>2962</v>
      </c>
      <c r="E6" s="365" t="s">
        <v>2963</v>
      </c>
      <c r="F6" s="365" t="s">
        <v>2964</v>
      </c>
      <c r="G6" s="365" t="s">
        <v>2965</v>
      </c>
      <c r="H6" s="365" t="s">
        <v>2966</v>
      </c>
      <c r="I6" s="365" t="s">
        <v>2967</v>
      </c>
      <c r="J6" s="365" t="s">
        <v>2968</v>
      </c>
      <c r="K6" s="364"/>
      <c r="L6" s="364"/>
      <c r="M6" s="365" t="s">
        <v>2969</v>
      </c>
      <c r="N6" s="401">
        <v>45778.0</v>
      </c>
      <c r="O6" s="388" t="s">
        <v>2294</v>
      </c>
      <c r="P6" s="365" t="s">
        <v>2974</v>
      </c>
      <c r="Q6" s="365" t="s">
        <v>2964</v>
      </c>
      <c r="R6" s="365" t="s">
        <v>2594</v>
      </c>
      <c r="S6" s="365" t="s">
        <v>2594</v>
      </c>
      <c r="T6" s="364"/>
      <c r="U6" s="364"/>
      <c r="V6" s="364"/>
      <c r="W6" s="364"/>
      <c r="X6" s="364"/>
      <c r="Y6" s="364"/>
      <c r="Z6" s="364"/>
      <c r="AA6" s="364"/>
      <c r="AB6" s="364"/>
      <c r="AC6" s="364"/>
      <c r="AD6" s="364"/>
    </row>
    <row r="7">
      <c r="A7" s="365" t="s">
        <v>100</v>
      </c>
      <c r="B7" s="365" t="s">
        <v>101</v>
      </c>
      <c r="C7" s="365" t="s">
        <v>60</v>
      </c>
      <c r="D7" s="365" t="s">
        <v>2975</v>
      </c>
      <c r="E7" s="365" t="s">
        <v>2976</v>
      </c>
      <c r="F7" s="365" t="s">
        <v>2964</v>
      </c>
      <c r="G7" s="365" t="s">
        <v>2977</v>
      </c>
      <c r="H7" s="365" t="s">
        <v>2966</v>
      </c>
      <c r="I7" s="365" t="s">
        <v>2967</v>
      </c>
      <c r="J7" s="365" t="s">
        <v>2978</v>
      </c>
      <c r="K7" s="364"/>
      <c r="L7" s="364"/>
      <c r="M7" s="365" t="s">
        <v>2969</v>
      </c>
      <c r="N7" s="401">
        <v>45659.0</v>
      </c>
      <c r="O7" s="388" t="s">
        <v>2289</v>
      </c>
      <c r="P7" s="365" t="s">
        <v>2979</v>
      </c>
      <c r="Q7" s="365" t="s">
        <v>2964</v>
      </c>
      <c r="R7" s="365" t="s">
        <v>2594</v>
      </c>
      <c r="S7" s="365" t="s">
        <v>2594</v>
      </c>
      <c r="T7" s="364"/>
      <c r="U7" s="364"/>
      <c r="V7" s="364"/>
      <c r="W7" s="364"/>
      <c r="X7" s="364"/>
      <c r="Y7" s="364"/>
      <c r="Z7" s="364"/>
      <c r="AA7" s="364"/>
      <c r="AB7" s="364"/>
      <c r="AC7" s="364"/>
      <c r="AD7" s="364"/>
    </row>
    <row r="8">
      <c r="A8" s="365" t="s">
        <v>100</v>
      </c>
      <c r="B8" s="365" t="s">
        <v>101</v>
      </c>
      <c r="C8" s="365" t="s">
        <v>60</v>
      </c>
      <c r="D8" s="365" t="s">
        <v>2975</v>
      </c>
      <c r="E8" s="365" t="s">
        <v>2976</v>
      </c>
      <c r="F8" s="365" t="s">
        <v>2964</v>
      </c>
      <c r="G8" s="365" t="s">
        <v>2977</v>
      </c>
      <c r="H8" s="365" t="s">
        <v>2966</v>
      </c>
      <c r="I8" s="365" t="s">
        <v>2967</v>
      </c>
      <c r="J8" s="365" t="s">
        <v>2978</v>
      </c>
      <c r="K8" s="364"/>
      <c r="L8" s="364"/>
      <c r="M8" s="365" t="s">
        <v>2969</v>
      </c>
      <c r="N8" s="401">
        <v>45690.0</v>
      </c>
      <c r="O8" s="388" t="s">
        <v>2289</v>
      </c>
      <c r="P8" s="365" t="s">
        <v>2980</v>
      </c>
      <c r="Q8" s="365" t="s">
        <v>2964</v>
      </c>
      <c r="R8" s="365" t="s">
        <v>2594</v>
      </c>
      <c r="S8" s="365" t="s">
        <v>2594</v>
      </c>
      <c r="T8" s="364"/>
      <c r="U8" s="364"/>
      <c r="V8" s="364"/>
      <c r="W8" s="364"/>
      <c r="X8" s="364"/>
      <c r="Y8" s="364"/>
      <c r="Z8" s="364"/>
      <c r="AA8" s="364"/>
      <c r="AB8" s="364"/>
      <c r="AC8" s="364"/>
      <c r="AD8" s="364"/>
    </row>
    <row r="9">
      <c r="A9" s="365" t="s">
        <v>100</v>
      </c>
      <c r="B9" s="365" t="s">
        <v>101</v>
      </c>
      <c r="C9" s="365" t="s">
        <v>60</v>
      </c>
      <c r="D9" s="365" t="s">
        <v>2975</v>
      </c>
      <c r="E9" s="365" t="s">
        <v>2976</v>
      </c>
      <c r="F9" s="365" t="s">
        <v>2964</v>
      </c>
      <c r="G9" s="365" t="s">
        <v>2977</v>
      </c>
      <c r="H9" s="365" t="s">
        <v>2966</v>
      </c>
      <c r="I9" s="365" t="s">
        <v>2967</v>
      </c>
      <c r="J9" s="365" t="s">
        <v>2978</v>
      </c>
      <c r="K9" s="364"/>
      <c r="L9" s="364"/>
      <c r="M9" s="365" t="s">
        <v>2969</v>
      </c>
      <c r="N9" s="401">
        <v>45718.0</v>
      </c>
      <c r="O9" s="388" t="s">
        <v>2289</v>
      </c>
      <c r="P9" s="365" t="s">
        <v>2981</v>
      </c>
      <c r="Q9" s="365" t="s">
        <v>2964</v>
      </c>
      <c r="R9" s="365" t="s">
        <v>2594</v>
      </c>
      <c r="S9" s="365" t="s">
        <v>2594</v>
      </c>
      <c r="T9" s="364"/>
      <c r="U9" s="364"/>
      <c r="V9" s="364"/>
      <c r="W9" s="364"/>
      <c r="X9" s="364"/>
      <c r="Y9" s="364"/>
      <c r="Z9" s="364"/>
      <c r="AA9" s="364"/>
      <c r="AB9" s="364"/>
      <c r="AC9" s="364"/>
      <c r="AD9" s="364"/>
    </row>
    <row r="10">
      <c r="A10" s="365" t="s">
        <v>100</v>
      </c>
      <c r="B10" s="365" t="s">
        <v>101</v>
      </c>
      <c r="C10" s="365" t="s">
        <v>60</v>
      </c>
      <c r="D10" s="365" t="s">
        <v>2975</v>
      </c>
      <c r="E10" s="365" t="s">
        <v>2976</v>
      </c>
      <c r="F10" s="365" t="s">
        <v>2964</v>
      </c>
      <c r="G10" s="365" t="s">
        <v>2977</v>
      </c>
      <c r="H10" s="365" t="s">
        <v>2966</v>
      </c>
      <c r="I10" s="365" t="s">
        <v>2967</v>
      </c>
      <c r="J10" s="365" t="s">
        <v>2978</v>
      </c>
      <c r="K10" s="364"/>
      <c r="L10" s="364"/>
      <c r="M10" s="365" t="s">
        <v>2969</v>
      </c>
      <c r="N10" s="401">
        <v>45749.0</v>
      </c>
      <c r="O10" s="388" t="s">
        <v>2289</v>
      </c>
      <c r="P10" s="365" t="s">
        <v>2982</v>
      </c>
      <c r="Q10" s="365" t="s">
        <v>2964</v>
      </c>
      <c r="R10" s="365" t="s">
        <v>2594</v>
      </c>
      <c r="S10" s="365" t="s">
        <v>2594</v>
      </c>
      <c r="T10" s="364"/>
      <c r="U10" s="364"/>
      <c r="V10" s="364"/>
      <c r="W10" s="364"/>
      <c r="X10" s="364"/>
      <c r="Y10" s="364"/>
      <c r="Z10" s="364"/>
      <c r="AA10" s="364"/>
      <c r="AB10" s="364"/>
      <c r="AC10" s="364"/>
      <c r="AD10" s="364"/>
    </row>
    <row r="11">
      <c r="A11" s="365" t="s">
        <v>100</v>
      </c>
      <c r="B11" s="365" t="s">
        <v>101</v>
      </c>
      <c r="C11" s="365" t="s">
        <v>60</v>
      </c>
      <c r="D11" s="365" t="s">
        <v>2975</v>
      </c>
      <c r="E11" s="365" t="s">
        <v>2976</v>
      </c>
      <c r="F11" s="365" t="s">
        <v>2964</v>
      </c>
      <c r="G11" s="365" t="s">
        <v>2977</v>
      </c>
      <c r="H11" s="365" t="s">
        <v>2966</v>
      </c>
      <c r="I11" s="365" t="s">
        <v>2967</v>
      </c>
      <c r="J11" s="365" t="s">
        <v>2978</v>
      </c>
      <c r="K11" s="364"/>
      <c r="L11" s="364"/>
      <c r="M11" s="365" t="s">
        <v>2969</v>
      </c>
      <c r="N11" s="401">
        <v>45779.0</v>
      </c>
      <c r="O11" s="388" t="s">
        <v>2294</v>
      </c>
      <c r="P11" s="365" t="s">
        <v>2983</v>
      </c>
      <c r="Q11" s="365" t="s">
        <v>2964</v>
      </c>
      <c r="R11" s="365" t="s">
        <v>2594</v>
      </c>
      <c r="S11" s="365" t="s">
        <v>2594</v>
      </c>
      <c r="T11" s="364"/>
      <c r="U11" s="364"/>
      <c r="V11" s="364"/>
      <c r="W11" s="364"/>
      <c r="X11" s="364"/>
      <c r="Y11" s="364"/>
      <c r="Z11" s="364"/>
      <c r="AA11" s="364"/>
      <c r="AB11" s="364"/>
      <c r="AC11" s="364"/>
      <c r="AD11" s="364"/>
    </row>
    <row r="12">
      <c r="A12" s="365" t="s">
        <v>100</v>
      </c>
      <c r="B12" s="365" t="s">
        <v>101</v>
      </c>
      <c r="C12" s="365" t="s">
        <v>2984</v>
      </c>
      <c r="D12" s="365" t="s">
        <v>2985</v>
      </c>
      <c r="E12" s="365" t="s">
        <v>2986</v>
      </c>
      <c r="F12" s="365" t="s">
        <v>2964</v>
      </c>
      <c r="G12" s="365" t="s">
        <v>2987</v>
      </c>
      <c r="H12" s="365" t="s">
        <v>2966</v>
      </c>
      <c r="I12" s="365" t="s">
        <v>2967</v>
      </c>
      <c r="J12" s="365" t="s">
        <v>2988</v>
      </c>
      <c r="K12" s="364"/>
      <c r="L12" s="364"/>
      <c r="M12" s="365" t="s">
        <v>2969</v>
      </c>
      <c r="N12" s="401">
        <v>45660.0</v>
      </c>
      <c r="O12" s="388" t="s">
        <v>2289</v>
      </c>
      <c r="P12" s="365" t="s">
        <v>2989</v>
      </c>
      <c r="Q12" s="365" t="s">
        <v>2964</v>
      </c>
      <c r="R12" s="365" t="s">
        <v>2594</v>
      </c>
      <c r="S12" s="365" t="s">
        <v>2594</v>
      </c>
      <c r="T12" s="364"/>
      <c r="U12" s="364"/>
      <c r="V12" s="364"/>
      <c r="W12" s="364"/>
      <c r="X12" s="364"/>
      <c r="Y12" s="364"/>
      <c r="Z12" s="364"/>
      <c r="AA12" s="364"/>
      <c r="AB12" s="364"/>
      <c r="AC12" s="364"/>
      <c r="AD12" s="364"/>
    </row>
    <row r="13">
      <c r="A13" s="365" t="s">
        <v>100</v>
      </c>
      <c r="B13" s="365" t="s">
        <v>101</v>
      </c>
      <c r="C13" s="365" t="s">
        <v>2984</v>
      </c>
      <c r="D13" s="365" t="s">
        <v>2985</v>
      </c>
      <c r="E13" s="365" t="s">
        <v>2986</v>
      </c>
      <c r="F13" s="365" t="s">
        <v>2964</v>
      </c>
      <c r="G13" s="365" t="s">
        <v>2987</v>
      </c>
      <c r="H13" s="365" t="s">
        <v>2966</v>
      </c>
      <c r="I13" s="365" t="s">
        <v>2967</v>
      </c>
      <c r="J13" s="365" t="s">
        <v>2988</v>
      </c>
      <c r="K13" s="364"/>
      <c r="L13" s="364"/>
      <c r="M13" s="365" t="s">
        <v>2969</v>
      </c>
      <c r="N13" s="401">
        <v>45691.0</v>
      </c>
      <c r="O13" s="388" t="s">
        <v>2289</v>
      </c>
      <c r="P13" s="365" t="s">
        <v>2990</v>
      </c>
      <c r="Q13" s="365" t="s">
        <v>2964</v>
      </c>
      <c r="R13" s="365" t="s">
        <v>2594</v>
      </c>
      <c r="S13" s="365" t="s">
        <v>2594</v>
      </c>
      <c r="T13" s="364"/>
      <c r="U13" s="364"/>
      <c r="V13" s="364"/>
      <c r="W13" s="364"/>
      <c r="X13" s="364"/>
      <c r="Y13" s="364"/>
      <c r="Z13" s="364"/>
      <c r="AA13" s="364"/>
      <c r="AB13" s="364"/>
      <c r="AC13" s="364"/>
      <c r="AD13" s="364"/>
    </row>
    <row r="14">
      <c r="A14" s="365" t="s">
        <v>100</v>
      </c>
      <c r="B14" s="365" t="s">
        <v>101</v>
      </c>
      <c r="C14" s="365" t="s">
        <v>2984</v>
      </c>
      <c r="D14" s="365" t="s">
        <v>2985</v>
      </c>
      <c r="E14" s="365" t="s">
        <v>2986</v>
      </c>
      <c r="F14" s="365" t="s">
        <v>2964</v>
      </c>
      <c r="G14" s="365" t="s">
        <v>2987</v>
      </c>
      <c r="H14" s="365" t="s">
        <v>2966</v>
      </c>
      <c r="I14" s="365" t="s">
        <v>2967</v>
      </c>
      <c r="J14" s="365" t="s">
        <v>2988</v>
      </c>
      <c r="K14" s="364"/>
      <c r="L14" s="364"/>
      <c r="M14" s="365" t="s">
        <v>2969</v>
      </c>
      <c r="N14" s="401">
        <v>45719.0</v>
      </c>
      <c r="O14" s="388" t="s">
        <v>2289</v>
      </c>
      <c r="P14" s="365" t="s">
        <v>2991</v>
      </c>
      <c r="Q14" s="365" t="s">
        <v>2964</v>
      </c>
      <c r="R14" s="365" t="s">
        <v>2594</v>
      </c>
      <c r="S14" s="365" t="s">
        <v>2594</v>
      </c>
      <c r="T14" s="364"/>
      <c r="U14" s="364"/>
      <c r="V14" s="364"/>
      <c r="W14" s="364"/>
      <c r="X14" s="364"/>
      <c r="Y14" s="364"/>
      <c r="Z14" s="364"/>
      <c r="AA14" s="364"/>
      <c r="AB14" s="364"/>
      <c r="AC14" s="364"/>
      <c r="AD14" s="364"/>
    </row>
    <row r="15">
      <c r="A15" s="365" t="s">
        <v>100</v>
      </c>
      <c r="B15" s="365" t="s">
        <v>101</v>
      </c>
      <c r="C15" s="365" t="s">
        <v>2984</v>
      </c>
      <c r="D15" s="365" t="s">
        <v>2985</v>
      </c>
      <c r="E15" s="365" t="s">
        <v>2986</v>
      </c>
      <c r="F15" s="365" t="s">
        <v>2964</v>
      </c>
      <c r="G15" s="365" t="s">
        <v>2987</v>
      </c>
      <c r="H15" s="365" t="s">
        <v>2966</v>
      </c>
      <c r="I15" s="365" t="s">
        <v>2967</v>
      </c>
      <c r="J15" s="365" t="s">
        <v>2988</v>
      </c>
      <c r="K15" s="364"/>
      <c r="L15" s="364"/>
      <c r="M15" s="365" t="s">
        <v>2969</v>
      </c>
      <c r="N15" s="401">
        <v>45750.0</v>
      </c>
      <c r="O15" s="388" t="s">
        <v>2289</v>
      </c>
      <c r="P15" s="365" t="s">
        <v>2992</v>
      </c>
      <c r="Q15" s="365" t="s">
        <v>2964</v>
      </c>
      <c r="R15" s="365" t="s">
        <v>2594</v>
      </c>
      <c r="S15" s="365" t="s">
        <v>2594</v>
      </c>
      <c r="T15" s="364"/>
      <c r="U15" s="364"/>
      <c r="V15" s="364"/>
      <c r="W15" s="364"/>
      <c r="X15" s="364"/>
      <c r="Y15" s="364"/>
      <c r="Z15" s="364"/>
      <c r="AA15" s="364"/>
      <c r="AB15" s="364"/>
      <c r="AC15" s="364"/>
      <c r="AD15" s="364"/>
    </row>
    <row r="16">
      <c r="A16" s="365" t="s">
        <v>100</v>
      </c>
      <c r="B16" s="365" t="s">
        <v>101</v>
      </c>
      <c r="C16" s="365" t="s">
        <v>2984</v>
      </c>
      <c r="D16" s="365" t="s">
        <v>2985</v>
      </c>
      <c r="E16" s="365" t="s">
        <v>2986</v>
      </c>
      <c r="F16" s="365" t="s">
        <v>2964</v>
      </c>
      <c r="G16" s="365" t="s">
        <v>2987</v>
      </c>
      <c r="H16" s="365" t="s">
        <v>2966</v>
      </c>
      <c r="I16" s="365" t="s">
        <v>2967</v>
      </c>
      <c r="J16" s="365" t="s">
        <v>2988</v>
      </c>
      <c r="K16" s="364"/>
      <c r="L16" s="364"/>
      <c r="M16" s="365" t="s">
        <v>2969</v>
      </c>
      <c r="N16" s="401">
        <v>45780.0</v>
      </c>
      <c r="O16" s="388" t="s">
        <v>2294</v>
      </c>
      <c r="P16" s="365" t="s">
        <v>2993</v>
      </c>
      <c r="Q16" s="365" t="s">
        <v>2964</v>
      </c>
      <c r="R16" s="365" t="s">
        <v>2594</v>
      </c>
      <c r="S16" s="365" t="s">
        <v>2594</v>
      </c>
      <c r="T16" s="364"/>
      <c r="U16" s="364"/>
      <c r="V16" s="364"/>
      <c r="W16" s="364"/>
      <c r="X16" s="364"/>
      <c r="Y16" s="364"/>
      <c r="Z16" s="364"/>
      <c r="AA16" s="364"/>
      <c r="AB16" s="364"/>
      <c r="AC16" s="364"/>
      <c r="AD16" s="364"/>
    </row>
    <row r="17">
      <c r="A17" s="365" t="s">
        <v>100</v>
      </c>
      <c r="B17" s="365" t="s">
        <v>101</v>
      </c>
      <c r="C17" s="365" t="s">
        <v>2994</v>
      </c>
      <c r="D17" s="365" t="s">
        <v>2995</v>
      </c>
      <c r="E17" s="365" t="s">
        <v>2996</v>
      </c>
      <c r="F17" s="365" t="s">
        <v>2964</v>
      </c>
      <c r="G17" s="365" t="s">
        <v>2997</v>
      </c>
      <c r="H17" s="365" t="s">
        <v>2966</v>
      </c>
      <c r="I17" s="365" t="s">
        <v>2967</v>
      </c>
      <c r="J17" s="365" t="s">
        <v>2998</v>
      </c>
      <c r="K17" s="364"/>
      <c r="L17" s="364"/>
      <c r="M17" s="365" t="s">
        <v>2969</v>
      </c>
      <c r="N17" s="401">
        <v>45661.0</v>
      </c>
      <c r="O17" s="388" t="s">
        <v>2289</v>
      </c>
      <c r="P17" s="365" t="s">
        <v>2999</v>
      </c>
      <c r="Q17" s="365" t="s">
        <v>2964</v>
      </c>
      <c r="R17" s="365" t="s">
        <v>2594</v>
      </c>
      <c r="S17" s="365" t="s">
        <v>2594</v>
      </c>
      <c r="T17" s="364"/>
      <c r="U17" s="364"/>
      <c r="V17" s="364"/>
      <c r="W17" s="364"/>
      <c r="X17" s="364"/>
      <c r="Y17" s="364"/>
      <c r="Z17" s="364"/>
      <c r="AA17" s="364"/>
      <c r="AB17" s="364"/>
      <c r="AC17" s="364"/>
      <c r="AD17" s="364"/>
    </row>
    <row r="18">
      <c r="A18" s="365" t="s">
        <v>100</v>
      </c>
      <c r="B18" s="365" t="s">
        <v>101</v>
      </c>
      <c r="C18" s="365" t="s">
        <v>2994</v>
      </c>
      <c r="D18" s="365" t="s">
        <v>2995</v>
      </c>
      <c r="E18" s="365" t="s">
        <v>2996</v>
      </c>
      <c r="F18" s="365" t="s">
        <v>2964</v>
      </c>
      <c r="G18" s="365" t="s">
        <v>2997</v>
      </c>
      <c r="H18" s="365" t="s">
        <v>2966</v>
      </c>
      <c r="I18" s="365" t="s">
        <v>2967</v>
      </c>
      <c r="J18" s="365" t="s">
        <v>2998</v>
      </c>
      <c r="K18" s="364"/>
      <c r="L18" s="364"/>
      <c r="M18" s="365" t="s">
        <v>2969</v>
      </c>
      <c r="N18" s="401">
        <v>45692.0</v>
      </c>
      <c r="O18" s="388" t="s">
        <v>2289</v>
      </c>
      <c r="P18" s="365" t="s">
        <v>3000</v>
      </c>
      <c r="Q18" s="365" t="s">
        <v>2964</v>
      </c>
      <c r="R18" s="365" t="s">
        <v>2594</v>
      </c>
      <c r="S18" s="365" t="s">
        <v>2594</v>
      </c>
      <c r="T18" s="364"/>
      <c r="U18" s="364"/>
      <c r="V18" s="364"/>
      <c r="W18" s="364"/>
      <c r="X18" s="364"/>
      <c r="Y18" s="364"/>
      <c r="Z18" s="364"/>
      <c r="AA18" s="364"/>
      <c r="AB18" s="364"/>
      <c r="AC18" s="364"/>
      <c r="AD18" s="364"/>
    </row>
    <row r="19">
      <c r="A19" s="365" t="s">
        <v>100</v>
      </c>
      <c r="B19" s="365" t="s">
        <v>101</v>
      </c>
      <c r="C19" s="365" t="s">
        <v>2994</v>
      </c>
      <c r="D19" s="365" t="s">
        <v>2995</v>
      </c>
      <c r="E19" s="365" t="s">
        <v>2996</v>
      </c>
      <c r="F19" s="365" t="s">
        <v>2964</v>
      </c>
      <c r="G19" s="365" t="s">
        <v>2997</v>
      </c>
      <c r="H19" s="365" t="s">
        <v>2966</v>
      </c>
      <c r="I19" s="365" t="s">
        <v>2967</v>
      </c>
      <c r="J19" s="365" t="s">
        <v>2998</v>
      </c>
      <c r="K19" s="364"/>
      <c r="L19" s="364"/>
      <c r="M19" s="365" t="s">
        <v>2969</v>
      </c>
      <c r="N19" s="401">
        <v>45720.0</v>
      </c>
      <c r="O19" s="388" t="s">
        <v>2289</v>
      </c>
      <c r="P19" s="365" t="s">
        <v>3001</v>
      </c>
      <c r="Q19" s="365" t="s">
        <v>2964</v>
      </c>
      <c r="R19" s="365" t="s">
        <v>2594</v>
      </c>
      <c r="S19" s="365" t="s">
        <v>2594</v>
      </c>
      <c r="T19" s="364"/>
      <c r="U19" s="364"/>
      <c r="V19" s="364"/>
      <c r="W19" s="364"/>
      <c r="X19" s="364"/>
      <c r="Y19" s="364"/>
      <c r="Z19" s="364"/>
      <c r="AA19" s="364"/>
      <c r="AB19" s="364"/>
      <c r="AC19" s="364"/>
      <c r="AD19" s="364"/>
    </row>
    <row r="20">
      <c r="A20" s="365" t="s">
        <v>100</v>
      </c>
      <c r="B20" s="365" t="s">
        <v>101</v>
      </c>
      <c r="C20" s="365" t="s">
        <v>2994</v>
      </c>
      <c r="D20" s="365" t="s">
        <v>2995</v>
      </c>
      <c r="E20" s="365" t="s">
        <v>2996</v>
      </c>
      <c r="F20" s="365" t="s">
        <v>2964</v>
      </c>
      <c r="G20" s="365" t="s">
        <v>2997</v>
      </c>
      <c r="H20" s="365" t="s">
        <v>2966</v>
      </c>
      <c r="I20" s="365" t="s">
        <v>2967</v>
      </c>
      <c r="J20" s="365" t="s">
        <v>2998</v>
      </c>
      <c r="K20" s="364"/>
      <c r="L20" s="364"/>
      <c r="M20" s="365" t="s">
        <v>2969</v>
      </c>
      <c r="N20" s="401">
        <v>45751.0</v>
      </c>
      <c r="O20" s="388" t="s">
        <v>2289</v>
      </c>
      <c r="P20" s="365" t="s">
        <v>3002</v>
      </c>
      <c r="Q20" s="365" t="s">
        <v>2964</v>
      </c>
      <c r="R20" s="365" t="s">
        <v>2594</v>
      </c>
      <c r="S20" s="365" t="s">
        <v>2594</v>
      </c>
      <c r="T20" s="364"/>
      <c r="U20" s="364"/>
      <c r="V20" s="364"/>
      <c r="W20" s="364"/>
      <c r="X20" s="364"/>
      <c r="Y20" s="364"/>
      <c r="Z20" s="364"/>
      <c r="AA20" s="364"/>
      <c r="AB20" s="364"/>
      <c r="AC20" s="364"/>
      <c r="AD20" s="364"/>
    </row>
    <row r="21">
      <c r="A21" s="365" t="s">
        <v>100</v>
      </c>
      <c r="B21" s="365" t="s">
        <v>101</v>
      </c>
      <c r="C21" s="365" t="s">
        <v>2994</v>
      </c>
      <c r="D21" s="365" t="s">
        <v>2995</v>
      </c>
      <c r="E21" s="365" t="s">
        <v>2996</v>
      </c>
      <c r="F21" s="365" t="s">
        <v>2964</v>
      </c>
      <c r="G21" s="365" t="s">
        <v>2997</v>
      </c>
      <c r="H21" s="365" t="s">
        <v>2966</v>
      </c>
      <c r="I21" s="365" t="s">
        <v>2967</v>
      </c>
      <c r="J21" s="365" t="s">
        <v>2998</v>
      </c>
      <c r="K21" s="364"/>
      <c r="L21" s="364"/>
      <c r="M21" s="365" t="s">
        <v>2969</v>
      </c>
      <c r="N21" s="401">
        <v>45781.0</v>
      </c>
      <c r="O21" s="388" t="s">
        <v>2294</v>
      </c>
      <c r="P21" s="365" t="s">
        <v>3003</v>
      </c>
      <c r="Q21" s="365" t="s">
        <v>2964</v>
      </c>
      <c r="R21" s="365" t="s">
        <v>2594</v>
      </c>
      <c r="S21" s="365" t="s">
        <v>2594</v>
      </c>
      <c r="T21" s="364"/>
      <c r="U21" s="364"/>
      <c r="V21" s="364"/>
      <c r="W21" s="364"/>
      <c r="X21" s="364"/>
      <c r="Y21" s="364"/>
      <c r="Z21" s="364"/>
      <c r="AA21" s="364"/>
      <c r="AB21" s="364"/>
      <c r="AC21" s="364"/>
      <c r="AD21" s="364"/>
    </row>
    <row r="22">
      <c r="A22" s="365" t="s">
        <v>100</v>
      </c>
      <c r="B22" s="365" t="s">
        <v>101</v>
      </c>
      <c r="C22" s="365" t="s">
        <v>119</v>
      </c>
      <c r="D22" s="365" t="s">
        <v>3004</v>
      </c>
      <c r="E22" s="365" t="s">
        <v>3005</v>
      </c>
      <c r="F22" s="365" t="s">
        <v>2964</v>
      </c>
      <c r="G22" s="365" t="s">
        <v>3006</v>
      </c>
      <c r="H22" s="365" t="s">
        <v>2966</v>
      </c>
      <c r="I22" s="365" t="s">
        <v>2967</v>
      </c>
      <c r="J22" s="365" t="s">
        <v>3007</v>
      </c>
      <c r="K22" s="364"/>
      <c r="L22" s="364"/>
      <c r="M22" s="365" t="s">
        <v>2969</v>
      </c>
      <c r="N22" s="401">
        <v>45662.0</v>
      </c>
      <c r="O22" s="388" t="s">
        <v>2289</v>
      </c>
      <c r="P22" s="365" t="s">
        <v>3008</v>
      </c>
      <c r="Q22" s="365" t="s">
        <v>2964</v>
      </c>
      <c r="R22" s="365" t="s">
        <v>2594</v>
      </c>
      <c r="S22" s="365" t="s">
        <v>2594</v>
      </c>
      <c r="T22" s="364"/>
      <c r="U22" s="364"/>
      <c r="V22" s="364"/>
      <c r="W22" s="364"/>
      <c r="X22" s="364"/>
      <c r="Y22" s="364"/>
      <c r="Z22" s="364"/>
      <c r="AA22" s="364"/>
      <c r="AB22" s="364"/>
      <c r="AC22" s="364"/>
      <c r="AD22" s="364"/>
    </row>
    <row r="23">
      <c r="A23" s="365" t="s">
        <v>100</v>
      </c>
      <c r="B23" s="365" t="s">
        <v>101</v>
      </c>
      <c r="C23" s="365" t="s">
        <v>119</v>
      </c>
      <c r="D23" s="365" t="s">
        <v>3004</v>
      </c>
      <c r="E23" s="365" t="s">
        <v>3005</v>
      </c>
      <c r="F23" s="365" t="s">
        <v>2964</v>
      </c>
      <c r="G23" s="365" t="s">
        <v>3006</v>
      </c>
      <c r="H23" s="365" t="s">
        <v>2966</v>
      </c>
      <c r="I23" s="365" t="s">
        <v>2967</v>
      </c>
      <c r="J23" s="365" t="s">
        <v>3007</v>
      </c>
      <c r="K23" s="364"/>
      <c r="L23" s="364"/>
      <c r="M23" s="365" t="s">
        <v>2969</v>
      </c>
      <c r="N23" s="401">
        <v>45693.0</v>
      </c>
      <c r="O23" s="388" t="s">
        <v>2289</v>
      </c>
      <c r="P23" s="365" t="s">
        <v>3009</v>
      </c>
      <c r="Q23" s="365" t="s">
        <v>2964</v>
      </c>
      <c r="R23" s="365" t="s">
        <v>2594</v>
      </c>
      <c r="S23" s="365" t="s">
        <v>2594</v>
      </c>
      <c r="T23" s="364"/>
      <c r="U23" s="364"/>
      <c r="V23" s="364"/>
      <c r="W23" s="364"/>
      <c r="X23" s="364"/>
      <c r="Y23" s="364"/>
      <c r="Z23" s="364"/>
      <c r="AA23" s="364"/>
      <c r="AB23" s="364"/>
      <c r="AC23" s="364"/>
      <c r="AD23" s="364"/>
    </row>
    <row r="24">
      <c r="A24" s="365" t="s">
        <v>100</v>
      </c>
      <c r="B24" s="365" t="s">
        <v>101</v>
      </c>
      <c r="C24" s="365" t="s">
        <v>119</v>
      </c>
      <c r="D24" s="365" t="s">
        <v>3004</v>
      </c>
      <c r="E24" s="365" t="s">
        <v>3005</v>
      </c>
      <c r="F24" s="365" t="s">
        <v>2964</v>
      </c>
      <c r="G24" s="365" t="s">
        <v>3006</v>
      </c>
      <c r="H24" s="365" t="s">
        <v>2966</v>
      </c>
      <c r="I24" s="365" t="s">
        <v>2967</v>
      </c>
      <c r="J24" s="365" t="s">
        <v>3007</v>
      </c>
      <c r="K24" s="364"/>
      <c r="L24" s="364"/>
      <c r="M24" s="365" t="s">
        <v>2969</v>
      </c>
      <c r="N24" s="401">
        <v>45721.0</v>
      </c>
      <c r="O24" s="388" t="s">
        <v>2289</v>
      </c>
      <c r="P24" s="365" t="s">
        <v>3010</v>
      </c>
      <c r="Q24" s="365" t="s">
        <v>2964</v>
      </c>
      <c r="R24" s="365" t="s">
        <v>2594</v>
      </c>
      <c r="S24" s="365" t="s">
        <v>2594</v>
      </c>
      <c r="T24" s="364"/>
      <c r="U24" s="364"/>
      <c r="V24" s="364"/>
      <c r="W24" s="364"/>
      <c r="X24" s="364"/>
      <c r="Y24" s="364"/>
      <c r="Z24" s="364"/>
      <c r="AA24" s="364"/>
      <c r="AB24" s="364"/>
      <c r="AC24" s="364"/>
      <c r="AD24" s="364"/>
    </row>
    <row r="25">
      <c r="A25" s="365" t="s">
        <v>100</v>
      </c>
      <c r="B25" s="365" t="s">
        <v>101</v>
      </c>
      <c r="C25" s="365" t="s">
        <v>119</v>
      </c>
      <c r="D25" s="365" t="s">
        <v>3004</v>
      </c>
      <c r="E25" s="365" t="s">
        <v>3005</v>
      </c>
      <c r="F25" s="365" t="s">
        <v>2964</v>
      </c>
      <c r="G25" s="365" t="s">
        <v>3006</v>
      </c>
      <c r="H25" s="365" t="s">
        <v>2966</v>
      </c>
      <c r="I25" s="365" t="s">
        <v>2967</v>
      </c>
      <c r="J25" s="365" t="s">
        <v>3007</v>
      </c>
      <c r="K25" s="364"/>
      <c r="L25" s="364"/>
      <c r="M25" s="365" t="s">
        <v>2969</v>
      </c>
      <c r="N25" s="401">
        <v>45752.0</v>
      </c>
      <c r="O25" s="388" t="s">
        <v>2289</v>
      </c>
      <c r="P25" s="365" t="s">
        <v>3011</v>
      </c>
      <c r="Q25" s="365" t="s">
        <v>2964</v>
      </c>
      <c r="R25" s="365" t="s">
        <v>2594</v>
      </c>
      <c r="S25" s="365" t="s">
        <v>2594</v>
      </c>
      <c r="T25" s="364"/>
      <c r="U25" s="364"/>
      <c r="V25" s="364"/>
      <c r="W25" s="364"/>
      <c r="X25" s="364"/>
      <c r="Y25" s="364"/>
      <c r="Z25" s="364"/>
      <c r="AA25" s="364"/>
      <c r="AB25" s="364"/>
      <c r="AC25" s="364"/>
      <c r="AD25" s="364"/>
    </row>
    <row r="26">
      <c r="A26" s="365" t="s">
        <v>100</v>
      </c>
      <c r="B26" s="365" t="s">
        <v>101</v>
      </c>
      <c r="C26" s="365" t="s">
        <v>119</v>
      </c>
      <c r="D26" s="365" t="s">
        <v>3004</v>
      </c>
      <c r="E26" s="365" t="s">
        <v>3005</v>
      </c>
      <c r="F26" s="365" t="s">
        <v>2964</v>
      </c>
      <c r="G26" s="365" t="s">
        <v>3006</v>
      </c>
      <c r="H26" s="365" t="s">
        <v>2966</v>
      </c>
      <c r="I26" s="365" t="s">
        <v>2967</v>
      </c>
      <c r="J26" s="365" t="s">
        <v>3007</v>
      </c>
      <c r="K26" s="364"/>
      <c r="L26" s="364"/>
      <c r="M26" s="365" t="s">
        <v>2969</v>
      </c>
      <c r="N26" s="401">
        <v>45782.0</v>
      </c>
      <c r="O26" s="388" t="s">
        <v>2294</v>
      </c>
      <c r="P26" s="365" t="s">
        <v>3012</v>
      </c>
      <c r="Q26" s="365" t="s">
        <v>2964</v>
      </c>
      <c r="R26" s="365" t="s">
        <v>2594</v>
      </c>
      <c r="S26" s="365" t="s">
        <v>2594</v>
      </c>
      <c r="T26" s="364"/>
      <c r="U26" s="364"/>
      <c r="V26" s="364"/>
      <c r="W26" s="364"/>
      <c r="X26" s="364"/>
      <c r="Y26" s="364"/>
      <c r="Z26" s="364"/>
      <c r="AA26" s="364"/>
      <c r="AB26" s="364"/>
      <c r="AC26" s="364"/>
      <c r="AD26" s="364"/>
    </row>
    <row r="27">
      <c r="A27" s="365" t="s">
        <v>100</v>
      </c>
      <c r="B27" s="365" t="s">
        <v>101</v>
      </c>
      <c r="C27" s="365" t="s">
        <v>123</v>
      </c>
      <c r="D27" s="365" t="s">
        <v>3013</v>
      </c>
      <c r="E27" s="365" t="s">
        <v>3014</v>
      </c>
      <c r="F27" s="365" t="s">
        <v>2964</v>
      </c>
      <c r="G27" s="365" t="s">
        <v>3015</v>
      </c>
      <c r="H27" s="365" t="s">
        <v>2966</v>
      </c>
      <c r="I27" s="365" t="s">
        <v>2967</v>
      </c>
      <c r="J27" s="365" t="s">
        <v>3016</v>
      </c>
      <c r="K27" s="364"/>
      <c r="L27" s="364"/>
      <c r="M27" s="365" t="s">
        <v>2969</v>
      </c>
      <c r="N27" s="401">
        <v>45663.0</v>
      </c>
      <c r="O27" s="388" t="s">
        <v>2289</v>
      </c>
      <c r="P27" s="365" t="s">
        <v>3017</v>
      </c>
      <c r="Q27" s="365" t="s">
        <v>2964</v>
      </c>
      <c r="R27" s="365" t="s">
        <v>2594</v>
      </c>
      <c r="S27" s="365" t="s">
        <v>2594</v>
      </c>
      <c r="T27" s="364"/>
      <c r="U27" s="364"/>
      <c r="V27" s="364"/>
      <c r="W27" s="364"/>
      <c r="X27" s="364"/>
      <c r="Y27" s="364"/>
      <c r="Z27" s="364"/>
      <c r="AA27" s="364"/>
      <c r="AB27" s="364"/>
      <c r="AC27" s="364"/>
      <c r="AD27" s="364"/>
    </row>
    <row r="28">
      <c r="A28" s="365" t="s">
        <v>100</v>
      </c>
      <c r="B28" s="365" t="s">
        <v>101</v>
      </c>
      <c r="C28" s="365" t="s">
        <v>123</v>
      </c>
      <c r="D28" s="365" t="s">
        <v>3013</v>
      </c>
      <c r="E28" s="365" t="s">
        <v>3014</v>
      </c>
      <c r="F28" s="365" t="s">
        <v>2964</v>
      </c>
      <c r="G28" s="365" t="s">
        <v>3015</v>
      </c>
      <c r="H28" s="365" t="s">
        <v>2966</v>
      </c>
      <c r="I28" s="365" t="s">
        <v>2967</v>
      </c>
      <c r="J28" s="365" t="s">
        <v>3016</v>
      </c>
      <c r="K28" s="364"/>
      <c r="L28" s="364"/>
      <c r="M28" s="365" t="s">
        <v>2969</v>
      </c>
      <c r="N28" s="401">
        <v>45694.0</v>
      </c>
      <c r="O28" s="388" t="s">
        <v>2289</v>
      </c>
      <c r="P28" s="365" t="s">
        <v>3018</v>
      </c>
      <c r="Q28" s="365" t="s">
        <v>2964</v>
      </c>
      <c r="R28" s="365" t="s">
        <v>2594</v>
      </c>
      <c r="S28" s="365" t="s">
        <v>2594</v>
      </c>
      <c r="T28" s="364"/>
      <c r="U28" s="364"/>
      <c r="V28" s="364"/>
      <c r="W28" s="364"/>
      <c r="X28" s="364"/>
      <c r="Y28" s="364"/>
      <c r="Z28" s="364"/>
      <c r="AA28" s="364"/>
      <c r="AB28" s="364"/>
      <c r="AC28" s="364"/>
      <c r="AD28" s="364"/>
    </row>
    <row r="29">
      <c r="A29" s="365" t="s">
        <v>100</v>
      </c>
      <c r="B29" s="365" t="s">
        <v>101</v>
      </c>
      <c r="C29" s="365" t="s">
        <v>123</v>
      </c>
      <c r="D29" s="365" t="s">
        <v>3013</v>
      </c>
      <c r="E29" s="365" t="s">
        <v>3014</v>
      </c>
      <c r="F29" s="365" t="s">
        <v>2964</v>
      </c>
      <c r="G29" s="365" t="s">
        <v>3015</v>
      </c>
      <c r="H29" s="365" t="s">
        <v>2966</v>
      </c>
      <c r="I29" s="365" t="s">
        <v>2967</v>
      </c>
      <c r="J29" s="365" t="s">
        <v>3016</v>
      </c>
      <c r="K29" s="364"/>
      <c r="L29" s="364"/>
      <c r="M29" s="365" t="s">
        <v>2969</v>
      </c>
      <c r="N29" s="401">
        <v>45722.0</v>
      </c>
      <c r="O29" s="388" t="s">
        <v>2289</v>
      </c>
      <c r="P29" s="365" t="s">
        <v>3019</v>
      </c>
      <c r="Q29" s="365" t="s">
        <v>2964</v>
      </c>
      <c r="R29" s="365" t="s">
        <v>2594</v>
      </c>
      <c r="S29" s="365" t="s">
        <v>2594</v>
      </c>
      <c r="T29" s="364"/>
      <c r="U29" s="364"/>
      <c r="V29" s="364"/>
      <c r="W29" s="364"/>
      <c r="X29" s="364"/>
      <c r="Y29" s="364"/>
      <c r="Z29" s="364"/>
      <c r="AA29" s="364"/>
      <c r="AB29" s="364"/>
      <c r="AC29" s="364"/>
      <c r="AD29" s="364"/>
    </row>
    <row r="30">
      <c r="A30" s="365" t="s">
        <v>100</v>
      </c>
      <c r="B30" s="365" t="s">
        <v>101</v>
      </c>
      <c r="C30" s="365" t="s">
        <v>123</v>
      </c>
      <c r="D30" s="365" t="s">
        <v>3013</v>
      </c>
      <c r="E30" s="365" t="s">
        <v>3014</v>
      </c>
      <c r="F30" s="365" t="s">
        <v>2964</v>
      </c>
      <c r="G30" s="365" t="s">
        <v>3015</v>
      </c>
      <c r="H30" s="365" t="s">
        <v>2966</v>
      </c>
      <c r="I30" s="365" t="s">
        <v>2967</v>
      </c>
      <c r="J30" s="365" t="s">
        <v>3016</v>
      </c>
      <c r="K30" s="364"/>
      <c r="L30" s="364"/>
      <c r="M30" s="365" t="s">
        <v>2969</v>
      </c>
      <c r="N30" s="401">
        <v>45753.0</v>
      </c>
      <c r="O30" s="388" t="s">
        <v>2289</v>
      </c>
      <c r="P30" s="365" t="s">
        <v>3020</v>
      </c>
      <c r="Q30" s="365" t="s">
        <v>2964</v>
      </c>
      <c r="R30" s="365" t="s">
        <v>2594</v>
      </c>
      <c r="S30" s="365" t="s">
        <v>2594</v>
      </c>
      <c r="T30" s="364"/>
      <c r="U30" s="364"/>
      <c r="V30" s="364"/>
      <c r="W30" s="364"/>
      <c r="X30" s="364"/>
      <c r="Y30" s="364"/>
      <c r="Z30" s="364"/>
      <c r="AA30" s="364"/>
      <c r="AB30" s="364"/>
      <c r="AC30" s="364"/>
      <c r="AD30" s="364"/>
    </row>
    <row r="31">
      <c r="A31" s="365" t="s">
        <v>100</v>
      </c>
      <c r="B31" s="365" t="s">
        <v>101</v>
      </c>
      <c r="C31" s="365" t="s">
        <v>123</v>
      </c>
      <c r="D31" s="365" t="s">
        <v>3013</v>
      </c>
      <c r="E31" s="365" t="s">
        <v>3014</v>
      </c>
      <c r="F31" s="365" t="s">
        <v>2964</v>
      </c>
      <c r="G31" s="365" t="s">
        <v>3015</v>
      </c>
      <c r="H31" s="365" t="s">
        <v>2966</v>
      </c>
      <c r="I31" s="365" t="s">
        <v>2967</v>
      </c>
      <c r="J31" s="365" t="s">
        <v>3016</v>
      </c>
      <c r="K31" s="364"/>
      <c r="L31" s="364"/>
      <c r="M31" s="365" t="s">
        <v>2969</v>
      </c>
      <c r="N31" s="401">
        <v>45783.0</v>
      </c>
      <c r="O31" s="388" t="s">
        <v>2294</v>
      </c>
      <c r="P31" s="365" t="s">
        <v>3021</v>
      </c>
      <c r="Q31" s="365" t="s">
        <v>2964</v>
      </c>
      <c r="R31" s="365" t="s">
        <v>2594</v>
      </c>
      <c r="S31" s="365" t="s">
        <v>2594</v>
      </c>
      <c r="T31" s="364"/>
      <c r="U31" s="364"/>
      <c r="V31" s="364"/>
      <c r="W31" s="364"/>
      <c r="X31" s="364"/>
      <c r="Y31" s="364"/>
      <c r="Z31" s="364"/>
      <c r="AA31" s="364"/>
      <c r="AB31" s="364"/>
      <c r="AC31" s="364"/>
      <c r="AD31" s="364"/>
    </row>
    <row r="32">
      <c r="A32" s="365" t="s">
        <v>660</v>
      </c>
      <c r="B32" s="365" t="s">
        <v>1540</v>
      </c>
      <c r="C32" s="365" t="s">
        <v>3022</v>
      </c>
      <c r="D32" s="365" t="s">
        <v>3023</v>
      </c>
      <c r="E32" s="365" t="s">
        <v>3024</v>
      </c>
      <c r="F32" s="365" t="s">
        <v>2964</v>
      </c>
      <c r="G32" s="365" t="s">
        <v>3025</v>
      </c>
      <c r="H32" s="365" t="s">
        <v>3026</v>
      </c>
      <c r="I32" s="365" t="s">
        <v>3027</v>
      </c>
      <c r="J32" s="365" t="s">
        <v>3028</v>
      </c>
      <c r="K32" s="364"/>
      <c r="L32" s="364"/>
      <c r="M32" s="365" t="s">
        <v>2969</v>
      </c>
      <c r="N32" s="401">
        <v>45658.0</v>
      </c>
      <c r="O32" s="388" t="s">
        <v>2289</v>
      </c>
      <c r="P32" s="365" t="s">
        <v>3029</v>
      </c>
      <c r="Q32" s="365" t="s">
        <v>2964</v>
      </c>
      <c r="R32" s="365" t="s">
        <v>2594</v>
      </c>
      <c r="S32" s="365" t="s">
        <v>2594</v>
      </c>
      <c r="T32" s="364"/>
      <c r="U32" s="364"/>
      <c r="V32" s="364"/>
      <c r="W32" s="364"/>
      <c r="X32" s="364"/>
      <c r="Y32" s="364"/>
      <c r="Z32" s="364"/>
      <c r="AA32" s="364"/>
      <c r="AB32" s="364"/>
      <c r="AC32" s="364"/>
      <c r="AD32" s="364"/>
    </row>
    <row r="33">
      <c r="A33" s="365" t="s">
        <v>660</v>
      </c>
      <c r="B33" s="365" t="s">
        <v>1540</v>
      </c>
      <c r="C33" s="365" t="s">
        <v>3022</v>
      </c>
      <c r="D33" s="365" t="s">
        <v>3023</v>
      </c>
      <c r="E33" s="365" t="s">
        <v>3024</v>
      </c>
      <c r="F33" s="365" t="s">
        <v>2964</v>
      </c>
      <c r="G33" s="365" t="s">
        <v>3025</v>
      </c>
      <c r="H33" s="365" t="s">
        <v>3026</v>
      </c>
      <c r="I33" s="365" t="s">
        <v>3027</v>
      </c>
      <c r="J33" s="365" t="s">
        <v>3028</v>
      </c>
      <c r="K33" s="364"/>
      <c r="L33" s="364"/>
      <c r="M33" s="365" t="s">
        <v>2969</v>
      </c>
      <c r="N33" s="401">
        <v>45689.0</v>
      </c>
      <c r="O33" s="388" t="s">
        <v>2294</v>
      </c>
      <c r="P33" s="365" t="s">
        <v>3030</v>
      </c>
      <c r="Q33" s="365" t="s">
        <v>2964</v>
      </c>
      <c r="R33" s="365" t="s">
        <v>2594</v>
      </c>
      <c r="S33" s="365" t="s">
        <v>2594</v>
      </c>
      <c r="T33" s="364"/>
      <c r="U33" s="364"/>
      <c r="V33" s="364"/>
      <c r="W33" s="364"/>
      <c r="X33" s="364"/>
      <c r="Y33" s="364"/>
      <c r="Z33" s="364"/>
      <c r="AA33" s="364"/>
      <c r="AB33" s="364"/>
      <c r="AC33" s="364"/>
      <c r="AD33" s="364"/>
    </row>
    <row r="34">
      <c r="A34" s="365" t="s">
        <v>660</v>
      </c>
      <c r="B34" s="365" t="s">
        <v>1540</v>
      </c>
      <c r="C34" s="365" t="s">
        <v>3022</v>
      </c>
      <c r="D34" s="365" t="s">
        <v>3023</v>
      </c>
      <c r="E34" s="365" t="s">
        <v>3024</v>
      </c>
      <c r="F34" s="365" t="s">
        <v>2964</v>
      </c>
      <c r="G34" s="365" t="s">
        <v>3025</v>
      </c>
      <c r="H34" s="365" t="s">
        <v>3026</v>
      </c>
      <c r="I34" s="365" t="s">
        <v>3027</v>
      </c>
      <c r="J34" s="365" t="s">
        <v>3028</v>
      </c>
      <c r="K34" s="364"/>
      <c r="L34" s="364"/>
      <c r="M34" s="365" t="s">
        <v>2969</v>
      </c>
      <c r="N34" s="401">
        <v>45717.0</v>
      </c>
      <c r="O34" s="388" t="s">
        <v>2289</v>
      </c>
      <c r="P34" s="365" t="s">
        <v>3031</v>
      </c>
      <c r="Q34" s="365" t="s">
        <v>2964</v>
      </c>
      <c r="R34" s="365" t="s">
        <v>2594</v>
      </c>
      <c r="S34" s="365" t="s">
        <v>2594</v>
      </c>
      <c r="T34" s="364"/>
      <c r="U34" s="364"/>
      <c r="V34" s="364"/>
      <c r="W34" s="364"/>
      <c r="X34" s="364"/>
      <c r="Y34" s="364"/>
      <c r="Z34" s="364"/>
      <c r="AA34" s="364"/>
      <c r="AB34" s="364"/>
      <c r="AC34" s="364"/>
      <c r="AD34" s="364"/>
    </row>
    <row r="35">
      <c r="A35" s="365" t="s">
        <v>660</v>
      </c>
      <c r="B35" s="365" t="s">
        <v>1540</v>
      </c>
      <c r="C35" s="365" t="s">
        <v>3022</v>
      </c>
      <c r="D35" s="365" t="s">
        <v>3023</v>
      </c>
      <c r="E35" s="365" t="s">
        <v>3024</v>
      </c>
      <c r="F35" s="365" t="s">
        <v>2964</v>
      </c>
      <c r="G35" s="365" t="s">
        <v>3025</v>
      </c>
      <c r="H35" s="365" t="s">
        <v>3026</v>
      </c>
      <c r="I35" s="365" t="s">
        <v>3027</v>
      </c>
      <c r="J35" s="365" t="s">
        <v>3028</v>
      </c>
      <c r="K35" s="364"/>
      <c r="L35" s="364"/>
      <c r="M35" s="365" t="s">
        <v>2969</v>
      </c>
      <c r="N35" s="401">
        <v>45748.0</v>
      </c>
      <c r="O35" s="388" t="s">
        <v>2294</v>
      </c>
      <c r="P35" s="365" t="s">
        <v>3032</v>
      </c>
      <c r="Q35" s="365" t="s">
        <v>2964</v>
      </c>
      <c r="R35" s="365" t="s">
        <v>2594</v>
      </c>
      <c r="S35" s="365" t="s">
        <v>2594</v>
      </c>
      <c r="T35" s="364"/>
      <c r="U35" s="364"/>
      <c r="V35" s="364"/>
      <c r="W35" s="364"/>
      <c r="X35" s="364"/>
      <c r="Y35" s="364"/>
      <c r="Z35" s="364"/>
      <c r="AA35" s="364"/>
      <c r="AB35" s="364"/>
      <c r="AC35" s="364"/>
      <c r="AD35" s="364"/>
    </row>
    <row r="36">
      <c r="A36" s="365" t="s">
        <v>660</v>
      </c>
      <c r="B36" s="365" t="s">
        <v>1540</v>
      </c>
      <c r="C36" s="365" t="s">
        <v>3022</v>
      </c>
      <c r="D36" s="365" t="s">
        <v>3023</v>
      </c>
      <c r="E36" s="365" t="s">
        <v>3024</v>
      </c>
      <c r="F36" s="365" t="s">
        <v>2964</v>
      </c>
      <c r="G36" s="365" t="s">
        <v>3025</v>
      </c>
      <c r="H36" s="365" t="s">
        <v>3026</v>
      </c>
      <c r="I36" s="365" t="s">
        <v>3027</v>
      </c>
      <c r="J36" s="365" t="s">
        <v>3028</v>
      </c>
      <c r="K36" s="364"/>
      <c r="L36" s="364"/>
      <c r="M36" s="365" t="s">
        <v>2969</v>
      </c>
      <c r="N36" s="401">
        <v>45778.0</v>
      </c>
      <c r="O36" s="388" t="s">
        <v>2289</v>
      </c>
      <c r="P36" s="365" t="s">
        <v>3033</v>
      </c>
      <c r="Q36" s="365" t="s">
        <v>2964</v>
      </c>
      <c r="R36" s="365" t="s">
        <v>2594</v>
      </c>
      <c r="S36" s="365" t="s">
        <v>2594</v>
      </c>
      <c r="T36" s="364"/>
      <c r="U36" s="364"/>
      <c r="V36" s="364"/>
      <c r="W36" s="364"/>
      <c r="X36" s="364"/>
      <c r="Y36" s="364"/>
      <c r="Z36" s="364"/>
      <c r="AA36" s="364"/>
      <c r="AB36" s="364"/>
      <c r="AC36" s="364"/>
      <c r="AD36" s="364"/>
    </row>
    <row r="37">
      <c r="A37" s="365" t="s">
        <v>660</v>
      </c>
      <c r="B37" s="365" t="s">
        <v>1540</v>
      </c>
      <c r="C37" s="365" t="s">
        <v>3022</v>
      </c>
      <c r="D37" s="365" t="s">
        <v>3023</v>
      </c>
      <c r="E37" s="365" t="s">
        <v>3024</v>
      </c>
      <c r="F37" s="365" t="s">
        <v>2964</v>
      </c>
      <c r="G37" s="365" t="s">
        <v>3025</v>
      </c>
      <c r="H37" s="365" t="s">
        <v>3026</v>
      </c>
      <c r="I37" s="365" t="s">
        <v>3027</v>
      </c>
      <c r="J37" s="365" t="s">
        <v>3028</v>
      </c>
      <c r="K37" s="364"/>
      <c r="L37" s="364"/>
      <c r="M37" s="365" t="s">
        <v>2969</v>
      </c>
      <c r="N37" s="401">
        <v>45809.0</v>
      </c>
      <c r="O37" s="388" t="s">
        <v>2294</v>
      </c>
      <c r="P37" s="365" t="s">
        <v>3034</v>
      </c>
      <c r="Q37" s="365" t="s">
        <v>2964</v>
      </c>
      <c r="R37" s="365" t="s">
        <v>2594</v>
      </c>
      <c r="S37" s="365" t="s">
        <v>2594</v>
      </c>
      <c r="T37" s="364"/>
      <c r="U37" s="364"/>
      <c r="V37" s="364"/>
      <c r="W37" s="364"/>
      <c r="X37" s="364"/>
      <c r="Y37" s="364"/>
      <c r="Z37" s="364"/>
      <c r="AA37" s="364"/>
      <c r="AB37" s="364"/>
      <c r="AC37" s="364"/>
      <c r="AD37" s="364"/>
    </row>
    <row r="38">
      <c r="A38" s="365" t="s">
        <v>660</v>
      </c>
      <c r="B38" s="365" t="s">
        <v>1540</v>
      </c>
      <c r="C38" s="365" t="s">
        <v>3022</v>
      </c>
      <c r="D38" s="365" t="s">
        <v>3023</v>
      </c>
      <c r="E38" s="365" t="s">
        <v>3024</v>
      </c>
      <c r="F38" s="365" t="s">
        <v>2964</v>
      </c>
      <c r="G38" s="365" t="s">
        <v>3025</v>
      </c>
      <c r="H38" s="365" t="s">
        <v>3026</v>
      </c>
      <c r="I38" s="365" t="s">
        <v>3027</v>
      </c>
      <c r="J38" s="365" t="s">
        <v>3028</v>
      </c>
      <c r="K38" s="364"/>
      <c r="L38" s="364"/>
      <c r="M38" s="365" t="s">
        <v>2969</v>
      </c>
      <c r="N38" s="401">
        <v>45839.0</v>
      </c>
      <c r="O38" s="388" t="s">
        <v>2289</v>
      </c>
      <c r="P38" s="365" t="s">
        <v>3035</v>
      </c>
      <c r="Q38" s="365" t="s">
        <v>2964</v>
      </c>
      <c r="R38" s="365" t="s">
        <v>2594</v>
      </c>
      <c r="S38" s="365" t="s">
        <v>2594</v>
      </c>
      <c r="T38" s="364"/>
      <c r="U38" s="364"/>
      <c r="V38" s="364"/>
      <c r="W38" s="364"/>
      <c r="X38" s="364"/>
      <c r="Y38" s="364"/>
      <c r="Z38" s="364"/>
      <c r="AA38" s="364"/>
      <c r="AB38" s="364"/>
      <c r="AC38" s="364"/>
      <c r="AD38" s="364"/>
    </row>
    <row r="39">
      <c r="A39" s="365" t="s">
        <v>660</v>
      </c>
      <c r="B39" s="365" t="s">
        <v>1540</v>
      </c>
      <c r="C39" s="365" t="s">
        <v>3022</v>
      </c>
      <c r="D39" s="365" t="s">
        <v>3023</v>
      </c>
      <c r="E39" s="365" t="s">
        <v>3024</v>
      </c>
      <c r="F39" s="365" t="s">
        <v>2964</v>
      </c>
      <c r="G39" s="365" t="s">
        <v>3025</v>
      </c>
      <c r="H39" s="365" t="s">
        <v>3026</v>
      </c>
      <c r="I39" s="365" t="s">
        <v>3027</v>
      </c>
      <c r="J39" s="365" t="s">
        <v>3028</v>
      </c>
      <c r="K39" s="364"/>
      <c r="L39" s="364"/>
      <c r="M39" s="365" t="s">
        <v>2969</v>
      </c>
      <c r="N39" s="401">
        <v>45870.0</v>
      </c>
      <c r="O39" s="388" t="s">
        <v>2294</v>
      </c>
      <c r="P39" s="365" t="s">
        <v>3036</v>
      </c>
      <c r="Q39" s="365" t="s">
        <v>2964</v>
      </c>
      <c r="R39" s="365" t="s">
        <v>2594</v>
      </c>
      <c r="S39" s="365" t="s">
        <v>2594</v>
      </c>
      <c r="T39" s="364"/>
      <c r="U39" s="364"/>
      <c r="V39" s="364"/>
      <c r="W39" s="364"/>
      <c r="X39" s="364"/>
      <c r="Y39" s="364"/>
      <c r="Z39" s="364"/>
      <c r="AA39" s="364"/>
      <c r="AB39" s="364"/>
      <c r="AC39" s="364"/>
      <c r="AD39" s="364"/>
    </row>
    <row r="40">
      <c r="A40" s="365" t="s">
        <v>660</v>
      </c>
      <c r="B40" s="365" t="s">
        <v>1540</v>
      </c>
      <c r="C40" s="365" t="s">
        <v>3037</v>
      </c>
      <c r="D40" s="365" t="s">
        <v>3038</v>
      </c>
      <c r="E40" s="365" t="s">
        <v>3039</v>
      </c>
      <c r="F40" s="365" t="s">
        <v>2964</v>
      </c>
      <c r="G40" s="365" t="s">
        <v>3040</v>
      </c>
      <c r="H40" s="365" t="s">
        <v>3026</v>
      </c>
      <c r="I40" s="365" t="s">
        <v>3027</v>
      </c>
      <c r="J40" s="365" t="s">
        <v>3041</v>
      </c>
      <c r="K40" s="364"/>
      <c r="L40" s="364"/>
      <c r="M40" s="365" t="s">
        <v>2969</v>
      </c>
      <c r="N40" s="401">
        <v>45659.0</v>
      </c>
      <c r="O40" s="388" t="s">
        <v>2289</v>
      </c>
      <c r="P40" s="365" t="s">
        <v>3042</v>
      </c>
      <c r="Q40" s="365" t="s">
        <v>2964</v>
      </c>
      <c r="R40" s="365" t="s">
        <v>2594</v>
      </c>
      <c r="S40" s="365" t="s">
        <v>2594</v>
      </c>
      <c r="T40" s="364"/>
      <c r="U40" s="364"/>
      <c r="V40" s="364"/>
      <c r="W40" s="364"/>
      <c r="X40" s="364"/>
      <c r="Y40" s="364"/>
      <c r="Z40" s="364"/>
      <c r="AA40" s="364"/>
      <c r="AB40" s="364"/>
      <c r="AC40" s="364"/>
      <c r="AD40" s="364"/>
    </row>
    <row r="41">
      <c r="A41" s="365" t="s">
        <v>660</v>
      </c>
      <c r="B41" s="365" t="s">
        <v>1540</v>
      </c>
      <c r="C41" s="365" t="s">
        <v>3037</v>
      </c>
      <c r="D41" s="365" t="s">
        <v>3038</v>
      </c>
      <c r="E41" s="365" t="s">
        <v>3039</v>
      </c>
      <c r="F41" s="365" t="s">
        <v>2964</v>
      </c>
      <c r="G41" s="365" t="s">
        <v>3040</v>
      </c>
      <c r="H41" s="365" t="s">
        <v>3026</v>
      </c>
      <c r="I41" s="365" t="s">
        <v>3027</v>
      </c>
      <c r="J41" s="365" t="s">
        <v>3041</v>
      </c>
      <c r="K41" s="364"/>
      <c r="L41" s="364"/>
      <c r="M41" s="365" t="s">
        <v>2969</v>
      </c>
      <c r="N41" s="401">
        <v>45690.0</v>
      </c>
      <c r="O41" s="388" t="s">
        <v>2294</v>
      </c>
      <c r="P41" s="365" t="s">
        <v>3043</v>
      </c>
      <c r="Q41" s="365" t="s">
        <v>2964</v>
      </c>
      <c r="R41" s="365" t="s">
        <v>2594</v>
      </c>
      <c r="S41" s="365" t="s">
        <v>2594</v>
      </c>
      <c r="T41" s="364"/>
      <c r="U41" s="364"/>
      <c r="V41" s="364"/>
      <c r="W41" s="364"/>
      <c r="X41" s="364"/>
      <c r="Y41" s="364"/>
      <c r="Z41" s="364"/>
      <c r="AA41" s="364"/>
      <c r="AB41" s="364"/>
      <c r="AC41" s="364"/>
      <c r="AD41" s="364"/>
    </row>
    <row r="42">
      <c r="A42" s="365" t="s">
        <v>660</v>
      </c>
      <c r="B42" s="365" t="s">
        <v>1540</v>
      </c>
      <c r="C42" s="365" t="s">
        <v>3037</v>
      </c>
      <c r="D42" s="365" t="s">
        <v>3038</v>
      </c>
      <c r="E42" s="365" t="s">
        <v>3039</v>
      </c>
      <c r="F42" s="365" t="s">
        <v>2964</v>
      </c>
      <c r="G42" s="365" t="s">
        <v>3040</v>
      </c>
      <c r="H42" s="365" t="s">
        <v>3026</v>
      </c>
      <c r="I42" s="365" t="s">
        <v>3027</v>
      </c>
      <c r="J42" s="365" t="s">
        <v>3041</v>
      </c>
      <c r="K42" s="364"/>
      <c r="L42" s="364"/>
      <c r="M42" s="365" t="s">
        <v>2969</v>
      </c>
      <c r="N42" s="401">
        <v>45718.0</v>
      </c>
      <c r="O42" s="388" t="s">
        <v>2289</v>
      </c>
      <c r="P42" s="365" t="s">
        <v>3044</v>
      </c>
      <c r="Q42" s="365" t="s">
        <v>2964</v>
      </c>
      <c r="R42" s="365" t="s">
        <v>2594</v>
      </c>
      <c r="S42" s="365" t="s">
        <v>2594</v>
      </c>
      <c r="T42" s="364"/>
      <c r="U42" s="364"/>
      <c r="V42" s="364"/>
      <c r="W42" s="364"/>
      <c r="X42" s="364"/>
      <c r="Y42" s="364"/>
      <c r="Z42" s="364"/>
      <c r="AA42" s="364"/>
      <c r="AB42" s="364"/>
      <c r="AC42" s="364"/>
      <c r="AD42" s="364"/>
    </row>
    <row r="43">
      <c r="A43" s="365" t="s">
        <v>660</v>
      </c>
      <c r="B43" s="365" t="s">
        <v>1540</v>
      </c>
      <c r="C43" s="365" t="s">
        <v>3037</v>
      </c>
      <c r="D43" s="365" t="s">
        <v>3038</v>
      </c>
      <c r="E43" s="365" t="s">
        <v>3039</v>
      </c>
      <c r="F43" s="365" t="s">
        <v>2964</v>
      </c>
      <c r="G43" s="365" t="s">
        <v>3040</v>
      </c>
      <c r="H43" s="365" t="s">
        <v>3026</v>
      </c>
      <c r="I43" s="365" t="s">
        <v>3027</v>
      </c>
      <c r="J43" s="365" t="s">
        <v>3041</v>
      </c>
      <c r="K43" s="364"/>
      <c r="L43" s="364"/>
      <c r="M43" s="365" t="s">
        <v>2969</v>
      </c>
      <c r="N43" s="401">
        <v>45749.0</v>
      </c>
      <c r="O43" s="388" t="s">
        <v>2294</v>
      </c>
      <c r="P43" s="365" t="s">
        <v>3045</v>
      </c>
      <c r="Q43" s="365" t="s">
        <v>2964</v>
      </c>
      <c r="R43" s="365" t="s">
        <v>2594</v>
      </c>
      <c r="S43" s="365" t="s">
        <v>2594</v>
      </c>
      <c r="T43" s="364"/>
      <c r="U43" s="364"/>
      <c r="V43" s="364"/>
      <c r="W43" s="364"/>
      <c r="X43" s="364"/>
      <c r="Y43" s="364"/>
      <c r="Z43" s="364"/>
      <c r="AA43" s="364"/>
      <c r="AB43" s="364"/>
      <c r="AC43" s="364"/>
      <c r="AD43" s="364"/>
    </row>
    <row r="44">
      <c r="A44" s="365" t="s">
        <v>660</v>
      </c>
      <c r="B44" s="365" t="s">
        <v>1540</v>
      </c>
      <c r="C44" s="365" t="s">
        <v>3037</v>
      </c>
      <c r="D44" s="365" t="s">
        <v>3038</v>
      </c>
      <c r="E44" s="365" t="s">
        <v>3039</v>
      </c>
      <c r="F44" s="365" t="s">
        <v>2964</v>
      </c>
      <c r="G44" s="365" t="s">
        <v>3040</v>
      </c>
      <c r="H44" s="365" t="s">
        <v>3026</v>
      </c>
      <c r="I44" s="365" t="s">
        <v>3027</v>
      </c>
      <c r="J44" s="365" t="s">
        <v>3041</v>
      </c>
      <c r="K44" s="364"/>
      <c r="L44" s="364"/>
      <c r="M44" s="365" t="s">
        <v>2969</v>
      </c>
      <c r="N44" s="401">
        <v>45779.0</v>
      </c>
      <c r="O44" s="388" t="s">
        <v>2289</v>
      </c>
      <c r="P44" s="365" t="s">
        <v>3046</v>
      </c>
      <c r="Q44" s="365" t="s">
        <v>2964</v>
      </c>
      <c r="R44" s="365" t="s">
        <v>2594</v>
      </c>
      <c r="S44" s="365" t="s">
        <v>2594</v>
      </c>
      <c r="T44" s="364"/>
      <c r="U44" s="364"/>
      <c r="V44" s="364"/>
      <c r="W44" s="364"/>
      <c r="X44" s="364"/>
      <c r="Y44" s="364"/>
      <c r="Z44" s="364"/>
      <c r="AA44" s="364"/>
      <c r="AB44" s="364"/>
      <c r="AC44" s="364"/>
      <c r="AD44" s="364"/>
    </row>
    <row r="45">
      <c r="A45" s="365" t="s">
        <v>660</v>
      </c>
      <c r="B45" s="365" t="s">
        <v>1540</v>
      </c>
      <c r="C45" s="365" t="s">
        <v>3037</v>
      </c>
      <c r="D45" s="365" t="s">
        <v>3038</v>
      </c>
      <c r="E45" s="365" t="s">
        <v>3039</v>
      </c>
      <c r="F45" s="365" t="s">
        <v>2964</v>
      </c>
      <c r="G45" s="365" t="s">
        <v>3040</v>
      </c>
      <c r="H45" s="365" t="s">
        <v>3026</v>
      </c>
      <c r="I45" s="365" t="s">
        <v>3027</v>
      </c>
      <c r="J45" s="365" t="s">
        <v>3041</v>
      </c>
      <c r="K45" s="364"/>
      <c r="L45" s="364"/>
      <c r="M45" s="365" t="s">
        <v>2969</v>
      </c>
      <c r="N45" s="401">
        <v>45810.0</v>
      </c>
      <c r="O45" s="388" t="s">
        <v>2294</v>
      </c>
      <c r="P45" s="365" t="s">
        <v>3047</v>
      </c>
      <c r="Q45" s="365" t="s">
        <v>2964</v>
      </c>
      <c r="R45" s="365" t="s">
        <v>2594</v>
      </c>
      <c r="S45" s="365" t="s">
        <v>2594</v>
      </c>
      <c r="T45" s="364"/>
      <c r="U45" s="364"/>
      <c r="V45" s="364"/>
      <c r="W45" s="364"/>
      <c r="X45" s="364"/>
      <c r="Y45" s="364"/>
      <c r="Z45" s="364"/>
      <c r="AA45" s="364"/>
      <c r="AB45" s="364"/>
      <c r="AC45" s="364"/>
      <c r="AD45" s="364"/>
    </row>
    <row r="46">
      <c r="A46" s="365" t="s">
        <v>660</v>
      </c>
      <c r="B46" s="365" t="s">
        <v>1540</v>
      </c>
      <c r="C46" s="365" t="s">
        <v>3048</v>
      </c>
      <c r="D46" s="365" t="s">
        <v>3049</v>
      </c>
      <c r="E46" s="365" t="s">
        <v>3050</v>
      </c>
      <c r="F46" s="365" t="s">
        <v>2964</v>
      </c>
      <c r="G46" s="365" t="s">
        <v>3051</v>
      </c>
      <c r="H46" s="365" t="s">
        <v>3026</v>
      </c>
      <c r="I46" s="365" t="s">
        <v>3027</v>
      </c>
      <c r="J46" s="365" t="s">
        <v>3052</v>
      </c>
      <c r="K46" s="364"/>
      <c r="L46" s="364"/>
      <c r="M46" s="365" t="s">
        <v>2969</v>
      </c>
      <c r="N46" s="401">
        <v>45660.0</v>
      </c>
      <c r="O46" s="388" t="s">
        <v>2289</v>
      </c>
      <c r="P46" s="365" t="s">
        <v>3053</v>
      </c>
      <c r="Q46" s="365" t="s">
        <v>2964</v>
      </c>
      <c r="R46" s="365" t="s">
        <v>2594</v>
      </c>
      <c r="S46" s="365" t="s">
        <v>2594</v>
      </c>
      <c r="T46" s="364"/>
      <c r="U46" s="364"/>
      <c r="V46" s="364"/>
      <c r="W46" s="364"/>
      <c r="X46" s="364"/>
      <c r="Y46" s="364"/>
      <c r="Z46" s="364"/>
      <c r="AA46" s="364"/>
      <c r="AB46" s="364"/>
      <c r="AC46" s="364"/>
      <c r="AD46" s="364"/>
    </row>
    <row r="47">
      <c r="A47" s="365" t="s">
        <v>660</v>
      </c>
      <c r="B47" s="365" t="s">
        <v>1540</v>
      </c>
      <c r="C47" s="365" t="s">
        <v>3048</v>
      </c>
      <c r="D47" s="365" t="s">
        <v>3049</v>
      </c>
      <c r="E47" s="365" t="s">
        <v>3050</v>
      </c>
      <c r="F47" s="365" t="s">
        <v>2964</v>
      </c>
      <c r="G47" s="365" t="s">
        <v>3051</v>
      </c>
      <c r="H47" s="365" t="s">
        <v>3026</v>
      </c>
      <c r="I47" s="365" t="s">
        <v>3027</v>
      </c>
      <c r="J47" s="365" t="s">
        <v>3052</v>
      </c>
      <c r="K47" s="364"/>
      <c r="L47" s="364"/>
      <c r="M47" s="365" t="s">
        <v>2969</v>
      </c>
      <c r="N47" s="401">
        <v>45691.0</v>
      </c>
      <c r="O47" s="388" t="s">
        <v>2294</v>
      </c>
      <c r="P47" s="365" t="s">
        <v>3054</v>
      </c>
      <c r="Q47" s="365" t="s">
        <v>2964</v>
      </c>
      <c r="R47" s="365" t="s">
        <v>2594</v>
      </c>
      <c r="S47" s="365" t="s">
        <v>2594</v>
      </c>
      <c r="T47" s="364"/>
      <c r="U47" s="364"/>
      <c r="V47" s="364"/>
      <c r="W47" s="364"/>
      <c r="X47" s="364"/>
      <c r="Y47" s="364"/>
      <c r="Z47" s="364"/>
      <c r="AA47" s="364"/>
      <c r="AB47" s="364"/>
      <c r="AC47" s="364"/>
      <c r="AD47" s="364"/>
    </row>
    <row r="48">
      <c r="A48" s="365" t="s">
        <v>660</v>
      </c>
      <c r="B48" s="365" t="s">
        <v>1540</v>
      </c>
      <c r="C48" s="365" t="s">
        <v>3048</v>
      </c>
      <c r="D48" s="365" t="s">
        <v>3049</v>
      </c>
      <c r="E48" s="365" t="s">
        <v>3050</v>
      </c>
      <c r="F48" s="365" t="s">
        <v>2964</v>
      </c>
      <c r="G48" s="365" t="s">
        <v>3051</v>
      </c>
      <c r="H48" s="365" t="s">
        <v>3026</v>
      </c>
      <c r="I48" s="365" t="s">
        <v>3027</v>
      </c>
      <c r="J48" s="365" t="s">
        <v>3052</v>
      </c>
      <c r="K48" s="364"/>
      <c r="L48" s="364"/>
      <c r="M48" s="365" t="s">
        <v>2969</v>
      </c>
      <c r="N48" s="401">
        <v>45719.0</v>
      </c>
      <c r="O48" s="388" t="s">
        <v>2289</v>
      </c>
      <c r="P48" s="365" t="s">
        <v>3055</v>
      </c>
      <c r="Q48" s="365" t="s">
        <v>2964</v>
      </c>
      <c r="R48" s="365" t="s">
        <v>2594</v>
      </c>
      <c r="S48" s="365" t="s">
        <v>2594</v>
      </c>
      <c r="T48" s="364"/>
      <c r="U48" s="364"/>
      <c r="V48" s="364"/>
      <c r="W48" s="364"/>
      <c r="X48" s="364"/>
      <c r="Y48" s="364"/>
      <c r="Z48" s="364"/>
      <c r="AA48" s="364"/>
      <c r="AB48" s="364"/>
      <c r="AC48" s="364"/>
      <c r="AD48" s="364"/>
    </row>
    <row r="49">
      <c r="A49" s="365" t="s">
        <v>660</v>
      </c>
      <c r="B49" s="365" t="s">
        <v>1540</v>
      </c>
      <c r="C49" s="365" t="s">
        <v>3048</v>
      </c>
      <c r="D49" s="365" t="s">
        <v>3049</v>
      </c>
      <c r="E49" s="365" t="s">
        <v>3050</v>
      </c>
      <c r="F49" s="365" t="s">
        <v>2964</v>
      </c>
      <c r="G49" s="365" t="s">
        <v>3051</v>
      </c>
      <c r="H49" s="365" t="s">
        <v>3026</v>
      </c>
      <c r="I49" s="365" t="s">
        <v>3027</v>
      </c>
      <c r="J49" s="365" t="s">
        <v>3052</v>
      </c>
      <c r="K49" s="364"/>
      <c r="L49" s="364"/>
      <c r="M49" s="365" t="s">
        <v>2969</v>
      </c>
      <c r="N49" s="401">
        <v>45750.0</v>
      </c>
      <c r="O49" s="388" t="s">
        <v>2294</v>
      </c>
      <c r="P49" s="365" t="s">
        <v>3056</v>
      </c>
      <c r="Q49" s="365" t="s">
        <v>2964</v>
      </c>
      <c r="R49" s="365" t="s">
        <v>2594</v>
      </c>
      <c r="S49" s="365" t="s">
        <v>2594</v>
      </c>
      <c r="T49" s="364"/>
      <c r="U49" s="364"/>
      <c r="V49" s="364"/>
      <c r="W49" s="364"/>
      <c r="X49" s="364"/>
      <c r="Y49" s="364"/>
      <c r="Z49" s="364"/>
      <c r="AA49" s="364"/>
      <c r="AB49" s="364"/>
      <c r="AC49" s="364"/>
      <c r="AD49" s="364"/>
    </row>
    <row r="50">
      <c r="A50" s="365" t="s">
        <v>660</v>
      </c>
      <c r="B50" s="365" t="s">
        <v>1540</v>
      </c>
      <c r="C50" s="365" t="s">
        <v>3048</v>
      </c>
      <c r="D50" s="365" t="s">
        <v>3049</v>
      </c>
      <c r="E50" s="365" t="s">
        <v>3050</v>
      </c>
      <c r="F50" s="365" t="s">
        <v>2964</v>
      </c>
      <c r="G50" s="365" t="s">
        <v>3051</v>
      </c>
      <c r="H50" s="365" t="s">
        <v>3026</v>
      </c>
      <c r="I50" s="365" t="s">
        <v>3027</v>
      </c>
      <c r="J50" s="365" t="s">
        <v>3052</v>
      </c>
      <c r="K50" s="364"/>
      <c r="L50" s="364"/>
      <c r="M50" s="365" t="s">
        <v>2969</v>
      </c>
      <c r="N50" s="401">
        <v>45780.0</v>
      </c>
      <c r="O50" s="388" t="s">
        <v>2289</v>
      </c>
      <c r="P50" s="365" t="s">
        <v>3057</v>
      </c>
      <c r="Q50" s="365" t="s">
        <v>2964</v>
      </c>
      <c r="R50" s="365" t="s">
        <v>2594</v>
      </c>
      <c r="S50" s="365" t="s">
        <v>2594</v>
      </c>
      <c r="T50" s="364"/>
      <c r="U50" s="364"/>
      <c r="V50" s="364"/>
      <c r="W50" s="364"/>
      <c r="X50" s="364"/>
      <c r="Y50" s="364"/>
      <c r="Z50" s="364"/>
      <c r="AA50" s="364"/>
      <c r="AB50" s="364"/>
      <c r="AC50" s="364"/>
      <c r="AD50" s="364"/>
    </row>
    <row r="51">
      <c r="A51" s="365" t="s">
        <v>660</v>
      </c>
      <c r="B51" s="365" t="s">
        <v>1540</v>
      </c>
      <c r="C51" s="365" t="s">
        <v>3048</v>
      </c>
      <c r="D51" s="365" t="s">
        <v>3049</v>
      </c>
      <c r="E51" s="365" t="s">
        <v>3050</v>
      </c>
      <c r="F51" s="365" t="s">
        <v>2964</v>
      </c>
      <c r="G51" s="365" t="s">
        <v>3051</v>
      </c>
      <c r="H51" s="365" t="s">
        <v>3026</v>
      </c>
      <c r="I51" s="365" t="s">
        <v>3027</v>
      </c>
      <c r="J51" s="365" t="s">
        <v>3052</v>
      </c>
      <c r="K51" s="364"/>
      <c r="L51" s="364"/>
      <c r="M51" s="365" t="s">
        <v>2969</v>
      </c>
      <c r="N51" s="401">
        <v>45811.0</v>
      </c>
      <c r="O51" s="388" t="s">
        <v>2294</v>
      </c>
      <c r="P51" s="365" t="s">
        <v>3058</v>
      </c>
      <c r="Q51" s="365" t="s">
        <v>2964</v>
      </c>
      <c r="R51" s="365" t="s">
        <v>2594</v>
      </c>
      <c r="S51" s="365" t="s">
        <v>2594</v>
      </c>
      <c r="T51" s="364"/>
      <c r="U51" s="364"/>
      <c r="V51" s="364"/>
      <c r="W51" s="364"/>
      <c r="X51" s="364"/>
      <c r="Y51" s="364"/>
      <c r="Z51" s="364"/>
      <c r="AA51" s="364"/>
      <c r="AB51" s="364"/>
      <c r="AC51" s="364"/>
      <c r="AD51" s="364"/>
    </row>
    <row r="52">
      <c r="A52" s="365" t="s">
        <v>660</v>
      </c>
      <c r="B52" s="365" t="s">
        <v>1540</v>
      </c>
      <c r="C52" s="365" t="s">
        <v>3059</v>
      </c>
      <c r="D52" s="365" t="s">
        <v>3060</v>
      </c>
      <c r="E52" s="365" t="s">
        <v>3061</v>
      </c>
      <c r="F52" s="365" t="s">
        <v>2964</v>
      </c>
      <c r="G52" s="365" t="s">
        <v>3062</v>
      </c>
      <c r="H52" s="365" t="s">
        <v>3026</v>
      </c>
      <c r="I52" s="365" t="s">
        <v>3027</v>
      </c>
      <c r="J52" s="365" t="s">
        <v>3063</v>
      </c>
      <c r="K52" s="364"/>
      <c r="L52" s="364"/>
      <c r="M52" s="365" t="s">
        <v>2969</v>
      </c>
      <c r="N52" s="401">
        <v>45661.0</v>
      </c>
      <c r="O52" s="388" t="s">
        <v>2289</v>
      </c>
      <c r="P52" s="365" t="s">
        <v>3064</v>
      </c>
      <c r="Q52" s="365" t="s">
        <v>2964</v>
      </c>
      <c r="R52" s="365" t="s">
        <v>2594</v>
      </c>
      <c r="S52" s="365" t="s">
        <v>2594</v>
      </c>
      <c r="T52" s="364"/>
      <c r="U52" s="364"/>
      <c r="V52" s="364"/>
      <c r="W52" s="364"/>
      <c r="X52" s="364"/>
      <c r="Y52" s="364"/>
      <c r="Z52" s="364"/>
      <c r="AA52" s="364"/>
      <c r="AB52" s="364"/>
      <c r="AC52" s="364"/>
      <c r="AD52" s="364"/>
    </row>
    <row r="53">
      <c r="A53" s="365" t="s">
        <v>660</v>
      </c>
      <c r="B53" s="365" t="s">
        <v>1540</v>
      </c>
      <c r="C53" s="365" t="s">
        <v>3059</v>
      </c>
      <c r="D53" s="365" t="s">
        <v>3060</v>
      </c>
      <c r="E53" s="365" t="s">
        <v>3061</v>
      </c>
      <c r="F53" s="365" t="s">
        <v>2964</v>
      </c>
      <c r="G53" s="365" t="s">
        <v>3062</v>
      </c>
      <c r="H53" s="365" t="s">
        <v>3026</v>
      </c>
      <c r="I53" s="365" t="s">
        <v>3027</v>
      </c>
      <c r="J53" s="365" t="s">
        <v>3063</v>
      </c>
      <c r="K53" s="364"/>
      <c r="L53" s="364"/>
      <c r="M53" s="365" t="s">
        <v>2969</v>
      </c>
      <c r="N53" s="401">
        <v>45692.0</v>
      </c>
      <c r="O53" s="388" t="s">
        <v>2294</v>
      </c>
      <c r="P53" s="365" t="s">
        <v>3065</v>
      </c>
      <c r="Q53" s="365" t="s">
        <v>2964</v>
      </c>
      <c r="R53" s="365" t="s">
        <v>2594</v>
      </c>
      <c r="S53" s="365" t="s">
        <v>2594</v>
      </c>
      <c r="T53" s="364"/>
      <c r="U53" s="364"/>
      <c r="V53" s="364"/>
      <c r="W53" s="364"/>
      <c r="X53" s="364"/>
      <c r="Y53" s="364"/>
      <c r="Z53" s="364"/>
      <c r="AA53" s="364"/>
      <c r="AB53" s="364"/>
      <c r="AC53" s="364"/>
      <c r="AD53" s="364"/>
    </row>
    <row r="54">
      <c r="A54" s="365" t="s">
        <v>660</v>
      </c>
      <c r="B54" s="365" t="s">
        <v>1540</v>
      </c>
      <c r="C54" s="365" t="s">
        <v>3059</v>
      </c>
      <c r="D54" s="365" t="s">
        <v>3060</v>
      </c>
      <c r="E54" s="365" t="s">
        <v>3061</v>
      </c>
      <c r="F54" s="365" t="s">
        <v>2964</v>
      </c>
      <c r="G54" s="365" t="s">
        <v>3062</v>
      </c>
      <c r="H54" s="365" t="s">
        <v>3026</v>
      </c>
      <c r="I54" s="365" t="s">
        <v>3027</v>
      </c>
      <c r="J54" s="365" t="s">
        <v>3063</v>
      </c>
      <c r="K54" s="364"/>
      <c r="L54" s="364"/>
      <c r="M54" s="365" t="s">
        <v>2969</v>
      </c>
      <c r="N54" s="401">
        <v>45720.0</v>
      </c>
      <c r="O54" s="388" t="s">
        <v>2289</v>
      </c>
      <c r="P54" s="365" t="s">
        <v>3066</v>
      </c>
      <c r="Q54" s="365" t="s">
        <v>2964</v>
      </c>
      <c r="R54" s="365" t="s">
        <v>2594</v>
      </c>
      <c r="S54" s="365" t="s">
        <v>2594</v>
      </c>
      <c r="T54" s="364"/>
      <c r="U54" s="364"/>
      <c r="V54" s="364"/>
      <c r="W54" s="364"/>
      <c r="X54" s="364"/>
      <c r="Y54" s="364"/>
      <c r="Z54" s="364"/>
      <c r="AA54" s="364"/>
      <c r="AB54" s="364"/>
      <c r="AC54" s="364"/>
      <c r="AD54" s="364"/>
    </row>
    <row r="55">
      <c r="A55" s="365" t="s">
        <v>660</v>
      </c>
      <c r="B55" s="365" t="s">
        <v>1540</v>
      </c>
      <c r="C55" s="365" t="s">
        <v>3059</v>
      </c>
      <c r="D55" s="365" t="s">
        <v>3060</v>
      </c>
      <c r="E55" s="365" t="s">
        <v>3061</v>
      </c>
      <c r="F55" s="365" t="s">
        <v>2964</v>
      </c>
      <c r="G55" s="365" t="s">
        <v>3062</v>
      </c>
      <c r="H55" s="365" t="s">
        <v>3026</v>
      </c>
      <c r="I55" s="365" t="s">
        <v>3027</v>
      </c>
      <c r="J55" s="365" t="s">
        <v>3063</v>
      </c>
      <c r="K55" s="364"/>
      <c r="L55" s="364"/>
      <c r="M55" s="365" t="s">
        <v>2969</v>
      </c>
      <c r="N55" s="401">
        <v>45751.0</v>
      </c>
      <c r="O55" s="388" t="s">
        <v>2294</v>
      </c>
      <c r="P55" s="365" t="s">
        <v>3067</v>
      </c>
      <c r="Q55" s="365" t="s">
        <v>2964</v>
      </c>
      <c r="R55" s="365" t="s">
        <v>2594</v>
      </c>
      <c r="S55" s="365" t="s">
        <v>2594</v>
      </c>
      <c r="T55" s="364"/>
      <c r="U55" s="364"/>
      <c r="V55" s="364"/>
      <c r="W55" s="364"/>
      <c r="X55" s="364"/>
      <c r="Y55" s="364"/>
      <c r="Z55" s="364"/>
      <c r="AA55" s="364"/>
      <c r="AB55" s="364"/>
      <c r="AC55" s="364"/>
      <c r="AD55" s="364"/>
    </row>
    <row r="56">
      <c r="A56" s="365" t="s">
        <v>660</v>
      </c>
      <c r="B56" s="365" t="s">
        <v>1540</v>
      </c>
      <c r="C56" s="365" t="s">
        <v>3059</v>
      </c>
      <c r="D56" s="365" t="s">
        <v>3060</v>
      </c>
      <c r="E56" s="365" t="s">
        <v>3061</v>
      </c>
      <c r="F56" s="365" t="s">
        <v>2964</v>
      </c>
      <c r="G56" s="365" t="s">
        <v>3062</v>
      </c>
      <c r="H56" s="365" t="s">
        <v>3026</v>
      </c>
      <c r="I56" s="365" t="s">
        <v>3027</v>
      </c>
      <c r="J56" s="365" t="s">
        <v>3063</v>
      </c>
      <c r="K56" s="364"/>
      <c r="L56" s="364"/>
      <c r="M56" s="365" t="s">
        <v>2969</v>
      </c>
      <c r="N56" s="401">
        <v>45781.0</v>
      </c>
      <c r="O56" s="388" t="s">
        <v>2289</v>
      </c>
      <c r="P56" s="365" t="s">
        <v>3068</v>
      </c>
      <c r="Q56" s="365" t="s">
        <v>2964</v>
      </c>
      <c r="R56" s="365" t="s">
        <v>2594</v>
      </c>
      <c r="S56" s="365" t="s">
        <v>2594</v>
      </c>
      <c r="T56" s="364"/>
      <c r="U56" s="364"/>
      <c r="V56" s="364"/>
      <c r="W56" s="364"/>
      <c r="X56" s="364"/>
      <c r="Y56" s="364"/>
      <c r="Z56" s="364"/>
      <c r="AA56" s="364"/>
      <c r="AB56" s="364"/>
      <c r="AC56" s="364"/>
      <c r="AD56" s="364"/>
    </row>
    <row r="57">
      <c r="A57" s="365" t="s">
        <v>660</v>
      </c>
      <c r="B57" s="365" t="s">
        <v>1540</v>
      </c>
      <c r="C57" s="365" t="s">
        <v>3059</v>
      </c>
      <c r="D57" s="365" t="s">
        <v>3060</v>
      </c>
      <c r="E57" s="365" t="s">
        <v>3061</v>
      </c>
      <c r="F57" s="365" t="s">
        <v>2964</v>
      </c>
      <c r="G57" s="365" t="s">
        <v>3062</v>
      </c>
      <c r="H57" s="365" t="s">
        <v>3026</v>
      </c>
      <c r="I57" s="365" t="s">
        <v>3027</v>
      </c>
      <c r="J57" s="365" t="s">
        <v>3063</v>
      </c>
      <c r="K57" s="364"/>
      <c r="L57" s="364"/>
      <c r="M57" s="365" t="s">
        <v>2969</v>
      </c>
      <c r="N57" s="401">
        <v>45812.0</v>
      </c>
      <c r="O57" s="388" t="s">
        <v>2294</v>
      </c>
      <c r="P57" s="365" t="s">
        <v>3069</v>
      </c>
      <c r="Q57" s="365" t="s">
        <v>2964</v>
      </c>
      <c r="R57" s="365" t="s">
        <v>2594</v>
      </c>
      <c r="S57" s="365" t="s">
        <v>2594</v>
      </c>
      <c r="T57" s="364"/>
      <c r="U57" s="364"/>
      <c r="V57" s="364"/>
      <c r="W57" s="364"/>
      <c r="X57" s="364"/>
      <c r="Y57" s="364"/>
      <c r="Z57" s="364"/>
      <c r="AA57" s="364"/>
      <c r="AB57" s="364"/>
      <c r="AC57" s="364"/>
      <c r="AD57" s="364"/>
    </row>
    <row r="58">
      <c r="A58" s="365" t="s">
        <v>660</v>
      </c>
      <c r="B58" s="365" t="s">
        <v>1540</v>
      </c>
      <c r="C58" s="365" t="s">
        <v>3070</v>
      </c>
      <c r="D58" s="365" t="s">
        <v>3071</v>
      </c>
      <c r="E58" s="365" t="s">
        <v>3072</v>
      </c>
      <c r="F58" s="365" t="s">
        <v>2964</v>
      </c>
      <c r="G58" s="365" t="s">
        <v>3073</v>
      </c>
      <c r="H58" s="365" t="s">
        <v>3026</v>
      </c>
      <c r="I58" s="365" t="s">
        <v>3027</v>
      </c>
      <c r="J58" s="365" t="s">
        <v>3074</v>
      </c>
      <c r="K58" s="364"/>
      <c r="L58" s="364"/>
      <c r="M58" s="365" t="s">
        <v>2969</v>
      </c>
      <c r="N58" s="401">
        <v>45662.0</v>
      </c>
      <c r="O58" s="388" t="s">
        <v>2289</v>
      </c>
      <c r="P58" s="365" t="s">
        <v>3075</v>
      </c>
      <c r="Q58" s="365" t="s">
        <v>2964</v>
      </c>
      <c r="R58" s="365" t="s">
        <v>2594</v>
      </c>
      <c r="S58" s="365" t="s">
        <v>2594</v>
      </c>
      <c r="T58" s="364"/>
      <c r="U58" s="364"/>
      <c r="V58" s="364"/>
      <c r="W58" s="364"/>
      <c r="X58" s="364"/>
      <c r="Y58" s="364"/>
      <c r="Z58" s="364"/>
      <c r="AA58" s="364"/>
      <c r="AB58" s="364"/>
      <c r="AC58" s="364"/>
      <c r="AD58" s="364"/>
    </row>
    <row r="59">
      <c r="A59" s="365" t="s">
        <v>660</v>
      </c>
      <c r="B59" s="365" t="s">
        <v>1540</v>
      </c>
      <c r="C59" s="365" t="s">
        <v>3070</v>
      </c>
      <c r="D59" s="365" t="s">
        <v>3071</v>
      </c>
      <c r="E59" s="365" t="s">
        <v>3072</v>
      </c>
      <c r="F59" s="365" t="s">
        <v>2964</v>
      </c>
      <c r="G59" s="365" t="s">
        <v>3073</v>
      </c>
      <c r="H59" s="365" t="s">
        <v>3026</v>
      </c>
      <c r="I59" s="365" t="s">
        <v>3027</v>
      </c>
      <c r="J59" s="365" t="s">
        <v>3074</v>
      </c>
      <c r="K59" s="364"/>
      <c r="L59" s="364"/>
      <c r="M59" s="365" t="s">
        <v>2969</v>
      </c>
      <c r="N59" s="401">
        <v>45693.0</v>
      </c>
      <c r="O59" s="388" t="s">
        <v>2294</v>
      </c>
      <c r="P59" s="365" t="s">
        <v>3076</v>
      </c>
      <c r="Q59" s="365" t="s">
        <v>2964</v>
      </c>
      <c r="R59" s="365" t="s">
        <v>2594</v>
      </c>
      <c r="S59" s="365" t="s">
        <v>2594</v>
      </c>
      <c r="T59" s="364"/>
      <c r="U59" s="364"/>
      <c r="V59" s="364"/>
      <c r="W59" s="364"/>
      <c r="X59" s="364"/>
      <c r="Y59" s="364"/>
      <c r="Z59" s="364"/>
      <c r="AA59" s="364"/>
      <c r="AB59" s="364"/>
      <c r="AC59" s="364"/>
      <c r="AD59" s="364"/>
    </row>
    <row r="60">
      <c r="A60" s="365" t="s">
        <v>660</v>
      </c>
      <c r="B60" s="365" t="s">
        <v>1540</v>
      </c>
      <c r="C60" s="365" t="s">
        <v>3070</v>
      </c>
      <c r="D60" s="365" t="s">
        <v>3071</v>
      </c>
      <c r="E60" s="365" t="s">
        <v>3072</v>
      </c>
      <c r="F60" s="365" t="s">
        <v>2964</v>
      </c>
      <c r="G60" s="365" t="s">
        <v>3073</v>
      </c>
      <c r="H60" s="365" t="s">
        <v>3026</v>
      </c>
      <c r="I60" s="365" t="s">
        <v>3027</v>
      </c>
      <c r="J60" s="365" t="s">
        <v>3074</v>
      </c>
      <c r="K60" s="364"/>
      <c r="L60" s="364"/>
      <c r="M60" s="365" t="s">
        <v>2969</v>
      </c>
      <c r="N60" s="401">
        <v>45721.0</v>
      </c>
      <c r="O60" s="388" t="s">
        <v>2289</v>
      </c>
      <c r="P60" s="365" t="s">
        <v>3077</v>
      </c>
      <c r="Q60" s="365" t="s">
        <v>2964</v>
      </c>
      <c r="R60" s="365" t="s">
        <v>2594</v>
      </c>
      <c r="S60" s="365" t="s">
        <v>2594</v>
      </c>
      <c r="T60" s="364"/>
      <c r="U60" s="364"/>
      <c r="V60" s="364"/>
      <c r="W60" s="364"/>
      <c r="X60" s="364"/>
      <c r="Y60" s="364"/>
      <c r="Z60" s="364"/>
      <c r="AA60" s="364"/>
      <c r="AB60" s="364"/>
      <c r="AC60" s="364"/>
      <c r="AD60" s="364"/>
    </row>
    <row r="61">
      <c r="A61" s="365" t="s">
        <v>660</v>
      </c>
      <c r="B61" s="365" t="s">
        <v>1540</v>
      </c>
      <c r="C61" s="365" t="s">
        <v>3070</v>
      </c>
      <c r="D61" s="365" t="s">
        <v>3071</v>
      </c>
      <c r="E61" s="365" t="s">
        <v>3072</v>
      </c>
      <c r="F61" s="365" t="s">
        <v>2964</v>
      </c>
      <c r="G61" s="365" t="s">
        <v>3073</v>
      </c>
      <c r="H61" s="365" t="s">
        <v>3026</v>
      </c>
      <c r="I61" s="365" t="s">
        <v>3027</v>
      </c>
      <c r="J61" s="365" t="s">
        <v>3074</v>
      </c>
      <c r="K61" s="364"/>
      <c r="L61" s="364"/>
      <c r="M61" s="365" t="s">
        <v>2969</v>
      </c>
      <c r="N61" s="401">
        <v>45752.0</v>
      </c>
      <c r="O61" s="388" t="s">
        <v>2294</v>
      </c>
      <c r="P61" s="365" t="s">
        <v>3078</v>
      </c>
      <c r="Q61" s="365" t="s">
        <v>2964</v>
      </c>
      <c r="R61" s="365" t="s">
        <v>2594</v>
      </c>
      <c r="S61" s="365" t="s">
        <v>2594</v>
      </c>
      <c r="T61" s="364"/>
      <c r="U61" s="364"/>
      <c r="V61" s="364"/>
      <c r="W61" s="364"/>
      <c r="X61" s="364"/>
      <c r="Y61" s="364"/>
      <c r="Z61" s="364"/>
      <c r="AA61" s="364"/>
      <c r="AB61" s="364"/>
      <c r="AC61" s="364"/>
      <c r="AD61" s="364"/>
    </row>
    <row r="62">
      <c r="A62" s="365" t="s">
        <v>660</v>
      </c>
      <c r="B62" s="365" t="s">
        <v>1540</v>
      </c>
      <c r="C62" s="365" t="s">
        <v>3070</v>
      </c>
      <c r="D62" s="365" t="s">
        <v>3071</v>
      </c>
      <c r="E62" s="365" t="s">
        <v>3072</v>
      </c>
      <c r="F62" s="365" t="s">
        <v>2964</v>
      </c>
      <c r="G62" s="365" t="s">
        <v>3073</v>
      </c>
      <c r="H62" s="365" t="s">
        <v>3026</v>
      </c>
      <c r="I62" s="365" t="s">
        <v>3027</v>
      </c>
      <c r="J62" s="365" t="s">
        <v>3074</v>
      </c>
      <c r="K62" s="364"/>
      <c r="L62" s="364"/>
      <c r="M62" s="365" t="s">
        <v>2969</v>
      </c>
      <c r="N62" s="401">
        <v>45782.0</v>
      </c>
      <c r="O62" s="388" t="s">
        <v>2289</v>
      </c>
      <c r="P62" s="365" t="s">
        <v>3079</v>
      </c>
      <c r="Q62" s="365" t="s">
        <v>2964</v>
      </c>
      <c r="R62" s="365" t="s">
        <v>2594</v>
      </c>
      <c r="S62" s="365" t="s">
        <v>2594</v>
      </c>
      <c r="T62" s="364"/>
      <c r="U62" s="364"/>
      <c r="V62" s="364"/>
      <c r="W62" s="364"/>
      <c r="X62" s="364"/>
      <c r="Y62" s="364"/>
      <c r="Z62" s="364"/>
      <c r="AA62" s="364"/>
      <c r="AB62" s="364"/>
      <c r="AC62" s="364"/>
      <c r="AD62" s="364"/>
    </row>
    <row r="63">
      <c r="A63" s="365" t="s">
        <v>660</v>
      </c>
      <c r="B63" s="365" t="s">
        <v>1540</v>
      </c>
      <c r="C63" s="365" t="s">
        <v>3070</v>
      </c>
      <c r="D63" s="365" t="s">
        <v>3071</v>
      </c>
      <c r="E63" s="365" t="s">
        <v>3072</v>
      </c>
      <c r="F63" s="365" t="s">
        <v>2964</v>
      </c>
      <c r="G63" s="365" t="s">
        <v>3073</v>
      </c>
      <c r="H63" s="365" t="s">
        <v>3026</v>
      </c>
      <c r="I63" s="365" t="s">
        <v>3027</v>
      </c>
      <c r="J63" s="365" t="s">
        <v>3074</v>
      </c>
      <c r="K63" s="364"/>
      <c r="L63" s="364"/>
      <c r="M63" s="365" t="s">
        <v>2969</v>
      </c>
      <c r="N63" s="401">
        <v>45813.0</v>
      </c>
      <c r="O63" s="388" t="s">
        <v>2294</v>
      </c>
      <c r="P63" s="365" t="s">
        <v>3080</v>
      </c>
      <c r="Q63" s="365" t="s">
        <v>2964</v>
      </c>
      <c r="R63" s="365" t="s">
        <v>2594</v>
      </c>
      <c r="S63" s="365" t="s">
        <v>2594</v>
      </c>
      <c r="T63" s="364"/>
      <c r="U63" s="364"/>
      <c r="V63" s="364"/>
      <c r="W63" s="364"/>
      <c r="X63" s="364"/>
      <c r="Y63" s="364"/>
      <c r="Z63" s="364"/>
      <c r="AA63" s="364"/>
      <c r="AB63" s="364"/>
      <c r="AC63" s="364"/>
      <c r="AD63" s="364"/>
    </row>
    <row r="64">
      <c r="A64" s="365" t="s">
        <v>660</v>
      </c>
      <c r="B64" s="365" t="s">
        <v>1540</v>
      </c>
      <c r="C64" s="365" t="s">
        <v>3081</v>
      </c>
      <c r="D64" s="365" t="s">
        <v>3082</v>
      </c>
      <c r="E64" s="365" t="s">
        <v>3083</v>
      </c>
      <c r="F64" s="365" t="s">
        <v>2964</v>
      </c>
      <c r="G64" s="365" t="s">
        <v>3084</v>
      </c>
      <c r="H64" s="365" t="s">
        <v>3026</v>
      </c>
      <c r="I64" s="365" t="s">
        <v>3027</v>
      </c>
      <c r="J64" s="365" t="s">
        <v>3085</v>
      </c>
      <c r="K64" s="364"/>
      <c r="L64" s="364"/>
      <c r="M64" s="365" t="s">
        <v>2969</v>
      </c>
      <c r="N64" s="401">
        <v>45663.0</v>
      </c>
      <c r="O64" s="388" t="s">
        <v>2289</v>
      </c>
      <c r="P64" s="365" t="s">
        <v>3086</v>
      </c>
      <c r="Q64" s="365" t="s">
        <v>2964</v>
      </c>
      <c r="R64" s="365" t="s">
        <v>2594</v>
      </c>
      <c r="S64" s="365" t="s">
        <v>2594</v>
      </c>
      <c r="T64" s="364"/>
      <c r="U64" s="364"/>
      <c r="V64" s="364"/>
      <c r="W64" s="364"/>
      <c r="X64" s="364"/>
      <c r="Y64" s="364"/>
      <c r="Z64" s="364"/>
      <c r="AA64" s="364"/>
      <c r="AB64" s="364"/>
      <c r="AC64" s="364"/>
      <c r="AD64" s="364"/>
    </row>
    <row r="65">
      <c r="A65" s="365" t="s">
        <v>660</v>
      </c>
      <c r="B65" s="365" t="s">
        <v>1540</v>
      </c>
      <c r="C65" s="365" t="s">
        <v>3081</v>
      </c>
      <c r="D65" s="365" t="s">
        <v>3082</v>
      </c>
      <c r="E65" s="365" t="s">
        <v>3083</v>
      </c>
      <c r="F65" s="365" t="s">
        <v>2964</v>
      </c>
      <c r="G65" s="365" t="s">
        <v>3084</v>
      </c>
      <c r="H65" s="365" t="s">
        <v>3026</v>
      </c>
      <c r="I65" s="365" t="s">
        <v>3027</v>
      </c>
      <c r="J65" s="365" t="s">
        <v>3085</v>
      </c>
      <c r="K65" s="364"/>
      <c r="L65" s="364"/>
      <c r="M65" s="365" t="s">
        <v>2969</v>
      </c>
      <c r="N65" s="401">
        <v>45694.0</v>
      </c>
      <c r="O65" s="388" t="s">
        <v>2294</v>
      </c>
      <c r="P65" s="365" t="s">
        <v>3087</v>
      </c>
      <c r="Q65" s="365" t="s">
        <v>2964</v>
      </c>
      <c r="R65" s="365" t="s">
        <v>2594</v>
      </c>
      <c r="S65" s="365" t="s">
        <v>2594</v>
      </c>
      <c r="T65" s="364"/>
      <c r="U65" s="364"/>
      <c r="V65" s="364"/>
      <c r="W65" s="364"/>
      <c r="X65" s="364"/>
      <c r="Y65" s="364"/>
      <c r="Z65" s="364"/>
      <c r="AA65" s="364"/>
      <c r="AB65" s="364"/>
      <c r="AC65" s="364"/>
      <c r="AD65" s="364"/>
    </row>
    <row r="66">
      <c r="A66" s="365" t="s">
        <v>660</v>
      </c>
      <c r="B66" s="365" t="s">
        <v>1540</v>
      </c>
      <c r="C66" s="365" t="s">
        <v>3081</v>
      </c>
      <c r="D66" s="365" t="s">
        <v>3082</v>
      </c>
      <c r="E66" s="365" t="s">
        <v>3083</v>
      </c>
      <c r="F66" s="365" t="s">
        <v>2964</v>
      </c>
      <c r="G66" s="365" t="s">
        <v>3084</v>
      </c>
      <c r="H66" s="365" t="s">
        <v>3026</v>
      </c>
      <c r="I66" s="365" t="s">
        <v>3027</v>
      </c>
      <c r="J66" s="365" t="s">
        <v>3085</v>
      </c>
      <c r="K66" s="364"/>
      <c r="L66" s="364"/>
      <c r="M66" s="365" t="s">
        <v>2969</v>
      </c>
      <c r="N66" s="401">
        <v>45722.0</v>
      </c>
      <c r="O66" s="388" t="s">
        <v>2289</v>
      </c>
      <c r="P66" s="365" t="s">
        <v>3088</v>
      </c>
      <c r="Q66" s="365" t="s">
        <v>2964</v>
      </c>
      <c r="R66" s="365" t="s">
        <v>2594</v>
      </c>
      <c r="S66" s="365" t="s">
        <v>2594</v>
      </c>
      <c r="T66" s="364"/>
      <c r="U66" s="364"/>
      <c r="V66" s="364"/>
      <c r="W66" s="364"/>
      <c r="X66" s="364"/>
      <c r="Y66" s="364"/>
      <c r="Z66" s="364"/>
      <c r="AA66" s="364"/>
      <c r="AB66" s="364"/>
      <c r="AC66" s="364"/>
      <c r="AD66" s="364"/>
    </row>
    <row r="67">
      <c r="A67" s="365" t="s">
        <v>660</v>
      </c>
      <c r="B67" s="365" t="s">
        <v>1540</v>
      </c>
      <c r="C67" s="365" t="s">
        <v>3081</v>
      </c>
      <c r="D67" s="365" t="s">
        <v>3082</v>
      </c>
      <c r="E67" s="365" t="s">
        <v>3083</v>
      </c>
      <c r="F67" s="365" t="s">
        <v>2964</v>
      </c>
      <c r="G67" s="365" t="s">
        <v>3084</v>
      </c>
      <c r="H67" s="365" t="s">
        <v>3026</v>
      </c>
      <c r="I67" s="365" t="s">
        <v>3027</v>
      </c>
      <c r="J67" s="365" t="s">
        <v>3085</v>
      </c>
      <c r="K67" s="364"/>
      <c r="L67" s="364"/>
      <c r="M67" s="365" t="s">
        <v>2969</v>
      </c>
      <c r="N67" s="401">
        <v>45753.0</v>
      </c>
      <c r="O67" s="388" t="s">
        <v>2294</v>
      </c>
      <c r="P67" s="365" t="s">
        <v>3089</v>
      </c>
      <c r="Q67" s="365" t="s">
        <v>2964</v>
      </c>
      <c r="R67" s="365" t="s">
        <v>2594</v>
      </c>
      <c r="S67" s="365" t="s">
        <v>2594</v>
      </c>
      <c r="T67" s="364"/>
      <c r="U67" s="364"/>
      <c r="V67" s="364"/>
      <c r="W67" s="364"/>
      <c r="X67" s="364"/>
      <c r="Y67" s="364"/>
      <c r="Z67" s="364"/>
      <c r="AA67" s="364"/>
      <c r="AB67" s="364"/>
      <c r="AC67" s="364"/>
      <c r="AD67" s="364"/>
    </row>
    <row r="68">
      <c r="A68" s="365" t="s">
        <v>660</v>
      </c>
      <c r="B68" s="365" t="s">
        <v>1540</v>
      </c>
      <c r="C68" s="365" t="s">
        <v>3090</v>
      </c>
      <c r="D68" s="365" t="s">
        <v>3091</v>
      </c>
      <c r="E68" s="365" t="s">
        <v>3092</v>
      </c>
      <c r="F68" s="365" t="s">
        <v>2964</v>
      </c>
      <c r="G68" s="365" t="s">
        <v>3093</v>
      </c>
      <c r="H68" s="365" t="s">
        <v>3026</v>
      </c>
      <c r="I68" s="365" t="s">
        <v>3027</v>
      </c>
      <c r="J68" s="365" t="s">
        <v>3094</v>
      </c>
      <c r="K68" s="364"/>
      <c r="L68" s="364"/>
      <c r="M68" s="365" t="s">
        <v>2969</v>
      </c>
      <c r="N68" s="401">
        <v>45664.0</v>
      </c>
      <c r="O68" s="388" t="s">
        <v>2289</v>
      </c>
      <c r="P68" s="365" t="s">
        <v>3095</v>
      </c>
      <c r="Q68" s="365" t="s">
        <v>2964</v>
      </c>
      <c r="R68" s="365" t="s">
        <v>2594</v>
      </c>
      <c r="S68" s="365" t="s">
        <v>2594</v>
      </c>
      <c r="T68" s="364"/>
      <c r="U68" s="364"/>
      <c r="V68" s="364"/>
      <c r="W68" s="364"/>
      <c r="X68" s="364"/>
      <c r="Y68" s="364"/>
      <c r="Z68" s="364"/>
      <c r="AA68" s="364"/>
      <c r="AB68" s="364"/>
      <c r="AC68" s="364"/>
      <c r="AD68" s="364"/>
    </row>
    <row r="69">
      <c r="A69" s="365" t="s">
        <v>660</v>
      </c>
      <c r="B69" s="365" t="s">
        <v>1540</v>
      </c>
      <c r="C69" s="365" t="s">
        <v>3090</v>
      </c>
      <c r="D69" s="365" t="s">
        <v>3091</v>
      </c>
      <c r="E69" s="365" t="s">
        <v>3092</v>
      </c>
      <c r="F69" s="365" t="s">
        <v>2964</v>
      </c>
      <c r="G69" s="365" t="s">
        <v>3093</v>
      </c>
      <c r="H69" s="365" t="s">
        <v>3026</v>
      </c>
      <c r="I69" s="365" t="s">
        <v>3027</v>
      </c>
      <c r="J69" s="365" t="s">
        <v>3094</v>
      </c>
      <c r="K69" s="364"/>
      <c r="L69" s="364"/>
      <c r="M69" s="365" t="s">
        <v>2969</v>
      </c>
      <c r="N69" s="401">
        <v>45695.0</v>
      </c>
      <c r="O69" s="388" t="s">
        <v>2294</v>
      </c>
      <c r="P69" s="365" t="s">
        <v>3096</v>
      </c>
      <c r="Q69" s="365" t="s">
        <v>2964</v>
      </c>
      <c r="R69" s="365" t="s">
        <v>2594</v>
      </c>
      <c r="S69" s="365" t="s">
        <v>2594</v>
      </c>
      <c r="T69" s="364"/>
      <c r="U69" s="364"/>
      <c r="V69" s="364"/>
      <c r="W69" s="364"/>
      <c r="X69" s="364"/>
      <c r="Y69" s="364"/>
      <c r="Z69" s="364"/>
      <c r="AA69" s="364"/>
      <c r="AB69" s="364"/>
      <c r="AC69" s="364"/>
      <c r="AD69" s="364"/>
    </row>
    <row r="70">
      <c r="A70" s="365" t="s">
        <v>660</v>
      </c>
      <c r="B70" s="365" t="s">
        <v>1540</v>
      </c>
      <c r="C70" s="365" t="s">
        <v>3090</v>
      </c>
      <c r="D70" s="365" t="s">
        <v>3091</v>
      </c>
      <c r="E70" s="365" t="s">
        <v>3092</v>
      </c>
      <c r="F70" s="365" t="s">
        <v>2964</v>
      </c>
      <c r="G70" s="365" t="s">
        <v>3093</v>
      </c>
      <c r="H70" s="365" t="s">
        <v>3026</v>
      </c>
      <c r="I70" s="365" t="s">
        <v>3027</v>
      </c>
      <c r="J70" s="365" t="s">
        <v>3094</v>
      </c>
      <c r="K70" s="364"/>
      <c r="L70" s="364"/>
      <c r="M70" s="365" t="s">
        <v>2969</v>
      </c>
      <c r="N70" s="401">
        <v>45723.0</v>
      </c>
      <c r="O70" s="388" t="s">
        <v>2289</v>
      </c>
      <c r="P70" s="365" t="s">
        <v>3097</v>
      </c>
      <c r="Q70" s="365" t="s">
        <v>2964</v>
      </c>
      <c r="R70" s="365" t="s">
        <v>2594</v>
      </c>
      <c r="S70" s="365" t="s">
        <v>2594</v>
      </c>
      <c r="T70" s="364"/>
      <c r="U70" s="364"/>
      <c r="V70" s="364"/>
      <c r="W70" s="364"/>
      <c r="X70" s="364"/>
      <c r="Y70" s="364"/>
      <c r="Z70" s="364"/>
      <c r="AA70" s="364"/>
      <c r="AB70" s="364"/>
      <c r="AC70" s="364"/>
      <c r="AD70" s="364"/>
    </row>
    <row r="71">
      <c r="A71" s="365" t="s">
        <v>660</v>
      </c>
      <c r="B71" s="365" t="s">
        <v>1540</v>
      </c>
      <c r="C71" s="365" t="s">
        <v>3090</v>
      </c>
      <c r="D71" s="365" t="s">
        <v>3091</v>
      </c>
      <c r="E71" s="365" t="s">
        <v>3092</v>
      </c>
      <c r="F71" s="365" t="s">
        <v>2964</v>
      </c>
      <c r="G71" s="365" t="s">
        <v>3093</v>
      </c>
      <c r="H71" s="365" t="s">
        <v>3026</v>
      </c>
      <c r="I71" s="365" t="s">
        <v>3027</v>
      </c>
      <c r="J71" s="365" t="s">
        <v>3094</v>
      </c>
      <c r="K71" s="364"/>
      <c r="L71" s="364"/>
      <c r="M71" s="365" t="s">
        <v>2969</v>
      </c>
      <c r="N71" s="401">
        <v>45754.0</v>
      </c>
      <c r="O71" s="388" t="s">
        <v>2294</v>
      </c>
      <c r="P71" s="365" t="s">
        <v>3098</v>
      </c>
      <c r="Q71" s="365" t="s">
        <v>2964</v>
      </c>
      <c r="R71" s="365" t="s">
        <v>2594</v>
      </c>
      <c r="S71" s="365" t="s">
        <v>2594</v>
      </c>
      <c r="T71" s="364"/>
      <c r="U71" s="364"/>
      <c r="V71" s="364"/>
      <c r="W71" s="364"/>
      <c r="X71" s="364"/>
      <c r="Y71" s="364"/>
      <c r="Z71" s="364"/>
      <c r="AA71" s="364"/>
      <c r="AB71" s="364"/>
      <c r="AC71" s="364"/>
      <c r="AD71" s="364"/>
    </row>
    <row r="72">
      <c r="A72" s="365" t="s">
        <v>660</v>
      </c>
      <c r="B72" s="365" t="s">
        <v>1540</v>
      </c>
      <c r="C72" s="365" t="s">
        <v>3090</v>
      </c>
      <c r="D72" s="365" t="s">
        <v>3091</v>
      </c>
      <c r="E72" s="365" t="s">
        <v>3092</v>
      </c>
      <c r="F72" s="365" t="s">
        <v>2964</v>
      </c>
      <c r="G72" s="365" t="s">
        <v>3093</v>
      </c>
      <c r="H72" s="365" t="s">
        <v>3026</v>
      </c>
      <c r="I72" s="365" t="s">
        <v>3027</v>
      </c>
      <c r="J72" s="365" t="s">
        <v>3094</v>
      </c>
      <c r="K72" s="364"/>
      <c r="L72" s="364"/>
      <c r="M72" s="365" t="s">
        <v>2969</v>
      </c>
      <c r="N72" s="401">
        <v>45784.0</v>
      </c>
      <c r="O72" s="388" t="s">
        <v>2289</v>
      </c>
      <c r="P72" s="365" t="s">
        <v>3099</v>
      </c>
      <c r="Q72" s="365" t="s">
        <v>2964</v>
      </c>
      <c r="R72" s="365" t="s">
        <v>2594</v>
      </c>
      <c r="S72" s="365" t="s">
        <v>2594</v>
      </c>
      <c r="T72" s="364"/>
      <c r="U72" s="364"/>
      <c r="V72" s="364"/>
      <c r="W72" s="364"/>
      <c r="X72" s="364"/>
      <c r="Y72" s="364"/>
      <c r="Z72" s="364"/>
      <c r="AA72" s="364"/>
      <c r="AB72" s="364"/>
      <c r="AC72" s="364"/>
      <c r="AD72" s="364"/>
    </row>
    <row r="73">
      <c r="A73" s="365" t="s">
        <v>660</v>
      </c>
      <c r="B73" s="365" t="s">
        <v>1540</v>
      </c>
      <c r="C73" s="365" t="s">
        <v>3090</v>
      </c>
      <c r="D73" s="365" t="s">
        <v>3091</v>
      </c>
      <c r="E73" s="365" t="s">
        <v>3092</v>
      </c>
      <c r="F73" s="365" t="s">
        <v>2964</v>
      </c>
      <c r="G73" s="365" t="s">
        <v>3093</v>
      </c>
      <c r="H73" s="365" t="s">
        <v>3026</v>
      </c>
      <c r="I73" s="365" t="s">
        <v>3027</v>
      </c>
      <c r="J73" s="365" t="s">
        <v>3094</v>
      </c>
      <c r="K73" s="364"/>
      <c r="L73" s="364"/>
      <c r="M73" s="365" t="s">
        <v>2969</v>
      </c>
      <c r="N73" s="401">
        <v>45815.0</v>
      </c>
      <c r="O73" s="388" t="s">
        <v>2294</v>
      </c>
      <c r="P73" s="365" t="s">
        <v>3100</v>
      </c>
      <c r="Q73" s="365" t="s">
        <v>2964</v>
      </c>
      <c r="R73" s="365" t="s">
        <v>2594</v>
      </c>
      <c r="S73" s="365" t="s">
        <v>2594</v>
      </c>
      <c r="T73" s="364"/>
      <c r="U73" s="364"/>
      <c r="V73" s="364"/>
      <c r="W73" s="364"/>
      <c r="X73" s="364"/>
      <c r="Y73" s="364"/>
      <c r="Z73" s="364"/>
      <c r="AA73" s="364"/>
      <c r="AB73" s="364"/>
      <c r="AC73" s="364"/>
      <c r="AD73" s="364"/>
    </row>
    <row r="74">
      <c r="A74" s="365" t="s">
        <v>660</v>
      </c>
      <c r="B74" s="365" t="s">
        <v>1540</v>
      </c>
      <c r="C74" s="365" t="s">
        <v>3101</v>
      </c>
      <c r="D74" s="365" t="s">
        <v>3102</v>
      </c>
      <c r="E74" s="365" t="s">
        <v>3103</v>
      </c>
      <c r="F74" s="365" t="s">
        <v>2964</v>
      </c>
      <c r="G74" s="365" t="s">
        <v>3104</v>
      </c>
      <c r="H74" s="365" t="s">
        <v>3026</v>
      </c>
      <c r="I74" s="365" t="s">
        <v>3027</v>
      </c>
      <c r="J74" s="365" t="s">
        <v>3105</v>
      </c>
      <c r="K74" s="364"/>
      <c r="L74" s="364"/>
      <c r="M74" s="365" t="s">
        <v>2969</v>
      </c>
      <c r="N74" s="401">
        <v>45665.0</v>
      </c>
      <c r="O74" s="388" t="s">
        <v>2289</v>
      </c>
      <c r="P74" s="365" t="s">
        <v>3106</v>
      </c>
      <c r="Q74" s="365" t="s">
        <v>2964</v>
      </c>
      <c r="R74" s="365" t="s">
        <v>2594</v>
      </c>
      <c r="S74" s="365" t="s">
        <v>2594</v>
      </c>
      <c r="T74" s="364"/>
      <c r="U74" s="364"/>
      <c r="V74" s="364"/>
      <c r="W74" s="364"/>
      <c r="X74" s="364"/>
      <c r="Y74" s="364"/>
      <c r="Z74" s="364"/>
      <c r="AA74" s="364"/>
      <c r="AB74" s="364"/>
      <c r="AC74" s="364"/>
      <c r="AD74" s="364"/>
    </row>
    <row r="75">
      <c r="A75" s="365" t="s">
        <v>660</v>
      </c>
      <c r="B75" s="365" t="s">
        <v>1540</v>
      </c>
      <c r="C75" s="365" t="s">
        <v>3101</v>
      </c>
      <c r="D75" s="365" t="s">
        <v>3102</v>
      </c>
      <c r="E75" s="365" t="s">
        <v>3103</v>
      </c>
      <c r="F75" s="365" t="s">
        <v>2964</v>
      </c>
      <c r="G75" s="365" t="s">
        <v>3104</v>
      </c>
      <c r="H75" s="365" t="s">
        <v>3026</v>
      </c>
      <c r="I75" s="365" t="s">
        <v>3027</v>
      </c>
      <c r="J75" s="365" t="s">
        <v>3105</v>
      </c>
      <c r="K75" s="364"/>
      <c r="L75" s="364"/>
      <c r="M75" s="365" t="s">
        <v>2969</v>
      </c>
      <c r="N75" s="401">
        <v>45696.0</v>
      </c>
      <c r="O75" s="388" t="s">
        <v>2294</v>
      </c>
      <c r="P75" s="365" t="s">
        <v>3107</v>
      </c>
      <c r="Q75" s="365" t="s">
        <v>2964</v>
      </c>
      <c r="R75" s="365" t="s">
        <v>2594</v>
      </c>
      <c r="S75" s="365" t="s">
        <v>2594</v>
      </c>
      <c r="T75" s="364"/>
      <c r="U75" s="364"/>
      <c r="V75" s="364"/>
      <c r="W75" s="364"/>
      <c r="X75" s="364"/>
      <c r="Y75" s="364"/>
      <c r="Z75" s="364"/>
      <c r="AA75" s="364"/>
      <c r="AB75" s="364"/>
      <c r="AC75" s="364"/>
      <c r="AD75" s="364"/>
    </row>
    <row r="76">
      <c r="A76" s="365" t="s">
        <v>660</v>
      </c>
      <c r="B76" s="365" t="s">
        <v>1540</v>
      </c>
      <c r="C76" s="365" t="s">
        <v>3101</v>
      </c>
      <c r="D76" s="365" t="s">
        <v>3102</v>
      </c>
      <c r="E76" s="365" t="s">
        <v>3103</v>
      </c>
      <c r="F76" s="365" t="s">
        <v>2964</v>
      </c>
      <c r="G76" s="365" t="s">
        <v>3104</v>
      </c>
      <c r="H76" s="365" t="s">
        <v>3026</v>
      </c>
      <c r="I76" s="365" t="s">
        <v>3027</v>
      </c>
      <c r="J76" s="365" t="s">
        <v>3105</v>
      </c>
      <c r="K76" s="364"/>
      <c r="L76" s="364"/>
      <c r="M76" s="365" t="s">
        <v>2969</v>
      </c>
      <c r="N76" s="401">
        <v>45724.0</v>
      </c>
      <c r="O76" s="388" t="s">
        <v>2289</v>
      </c>
      <c r="P76" s="365" t="s">
        <v>3108</v>
      </c>
      <c r="Q76" s="365" t="s">
        <v>2964</v>
      </c>
      <c r="R76" s="365" t="s">
        <v>2594</v>
      </c>
      <c r="S76" s="365" t="s">
        <v>2594</v>
      </c>
      <c r="T76" s="364"/>
      <c r="U76" s="364"/>
      <c r="V76" s="364"/>
      <c r="W76" s="364"/>
      <c r="X76" s="364"/>
      <c r="Y76" s="364"/>
      <c r="Z76" s="364"/>
      <c r="AA76" s="364"/>
      <c r="AB76" s="364"/>
      <c r="AC76" s="364"/>
      <c r="AD76" s="364"/>
    </row>
    <row r="77">
      <c r="A77" s="365" t="s">
        <v>660</v>
      </c>
      <c r="B77" s="365" t="s">
        <v>1540</v>
      </c>
      <c r="C77" s="365" t="s">
        <v>3101</v>
      </c>
      <c r="D77" s="365" t="s">
        <v>3102</v>
      </c>
      <c r="E77" s="365" t="s">
        <v>3103</v>
      </c>
      <c r="F77" s="365" t="s">
        <v>2964</v>
      </c>
      <c r="G77" s="365" t="s">
        <v>3104</v>
      </c>
      <c r="H77" s="365" t="s">
        <v>3026</v>
      </c>
      <c r="I77" s="365" t="s">
        <v>3027</v>
      </c>
      <c r="J77" s="365" t="s">
        <v>3105</v>
      </c>
      <c r="K77" s="364"/>
      <c r="L77" s="364"/>
      <c r="M77" s="365" t="s">
        <v>2969</v>
      </c>
      <c r="N77" s="401">
        <v>45755.0</v>
      </c>
      <c r="O77" s="388" t="s">
        <v>2294</v>
      </c>
      <c r="P77" s="365" t="s">
        <v>3109</v>
      </c>
      <c r="Q77" s="365" t="s">
        <v>2964</v>
      </c>
      <c r="R77" s="365" t="s">
        <v>2594</v>
      </c>
      <c r="S77" s="365" t="s">
        <v>2594</v>
      </c>
      <c r="T77" s="364"/>
      <c r="U77" s="364"/>
      <c r="V77" s="364"/>
      <c r="W77" s="364"/>
      <c r="X77" s="364"/>
      <c r="Y77" s="364"/>
      <c r="Z77" s="364"/>
      <c r="AA77" s="364"/>
      <c r="AB77" s="364"/>
      <c r="AC77" s="364"/>
      <c r="AD77" s="364"/>
    </row>
    <row r="78">
      <c r="A78" s="365" t="s">
        <v>660</v>
      </c>
      <c r="B78" s="365" t="s">
        <v>1540</v>
      </c>
      <c r="C78" s="365" t="s">
        <v>3110</v>
      </c>
      <c r="D78" s="365" t="s">
        <v>3111</v>
      </c>
      <c r="E78" s="365" t="s">
        <v>3112</v>
      </c>
      <c r="F78" s="365" t="s">
        <v>2964</v>
      </c>
      <c r="G78" s="365" t="s">
        <v>3113</v>
      </c>
      <c r="H78" s="365" t="s">
        <v>3026</v>
      </c>
      <c r="I78" s="365" t="s">
        <v>3027</v>
      </c>
      <c r="J78" s="365" t="s">
        <v>3114</v>
      </c>
      <c r="K78" s="364"/>
      <c r="L78" s="364"/>
      <c r="M78" s="365" t="s">
        <v>2969</v>
      </c>
      <c r="N78" s="401">
        <v>45666.0</v>
      </c>
      <c r="O78" s="388" t="s">
        <v>2289</v>
      </c>
      <c r="P78" s="365" t="s">
        <v>3115</v>
      </c>
      <c r="Q78" s="365" t="s">
        <v>2964</v>
      </c>
      <c r="R78" s="365" t="s">
        <v>2594</v>
      </c>
      <c r="S78" s="365" t="s">
        <v>2594</v>
      </c>
      <c r="T78" s="364"/>
      <c r="U78" s="364"/>
      <c r="V78" s="364"/>
      <c r="W78" s="364"/>
      <c r="X78" s="364"/>
      <c r="Y78" s="364"/>
      <c r="Z78" s="364"/>
      <c r="AA78" s="364"/>
      <c r="AB78" s="364"/>
      <c r="AC78" s="364"/>
      <c r="AD78" s="364"/>
    </row>
    <row r="79">
      <c r="A79" s="365" t="s">
        <v>660</v>
      </c>
      <c r="B79" s="365" t="s">
        <v>1540</v>
      </c>
      <c r="C79" s="365" t="s">
        <v>3110</v>
      </c>
      <c r="D79" s="365" t="s">
        <v>3111</v>
      </c>
      <c r="E79" s="365" t="s">
        <v>3112</v>
      </c>
      <c r="F79" s="365" t="s">
        <v>2964</v>
      </c>
      <c r="G79" s="365" t="s">
        <v>3113</v>
      </c>
      <c r="H79" s="365" t="s">
        <v>3026</v>
      </c>
      <c r="I79" s="365" t="s">
        <v>3027</v>
      </c>
      <c r="J79" s="365" t="s">
        <v>3114</v>
      </c>
      <c r="K79" s="364"/>
      <c r="L79" s="364"/>
      <c r="M79" s="365" t="s">
        <v>2969</v>
      </c>
      <c r="N79" s="401">
        <v>45697.0</v>
      </c>
      <c r="O79" s="388" t="s">
        <v>2294</v>
      </c>
      <c r="P79" s="365" t="s">
        <v>3116</v>
      </c>
      <c r="Q79" s="365" t="s">
        <v>2964</v>
      </c>
      <c r="R79" s="365" t="s">
        <v>2594</v>
      </c>
      <c r="S79" s="365" t="s">
        <v>2594</v>
      </c>
      <c r="T79" s="364"/>
      <c r="U79" s="364"/>
      <c r="V79" s="364"/>
      <c r="W79" s="364"/>
      <c r="X79" s="364"/>
      <c r="Y79" s="364"/>
      <c r="Z79" s="364"/>
      <c r="AA79" s="364"/>
      <c r="AB79" s="364"/>
      <c r="AC79" s="364"/>
      <c r="AD79" s="364"/>
    </row>
    <row r="80">
      <c r="A80" s="365" t="s">
        <v>660</v>
      </c>
      <c r="B80" s="365" t="s">
        <v>1540</v>
      </c>
      <c r="C80" s="365" t="s">
        <v>3110</v>
      </c>
      <c r="D80" s="365" t="s">
        <v>3111</v>
      </c>
      <c r="E80" s="365" t="s">
        <v>3112</v>
      </c>
      <c r="F80" s="365" t="s">
        <v>2964</v>
      </c>
      <c r="G80" s="365" t="s">
        <v>3113</v>
      </c>
      <c r="H80" s="365" t="s">
        <v>3026</v>
      </c>
      <c r="I80" s="365" t="s">
        <v>3027</v>
      </c>
      <c r="J80" s="365" t="s">
        <v>3114</v>
      </c>
      <c r="K80" s="364"/>
      <c r="L80" s="364"/>
      <c r="M80" s="365" t="s">
        <v>2969</v>
      </c>
      <c r="N80" s="401">
        <v>45725.0</v>
      </c>
      <c r="O80" s="388" t="s">
        <v>2289</v>
      </c>
      <c r="P80" s="365" t="s">
        <v>3117</v>
      </c>
      <c r="Q80" s="365" t="s">
        <v>2964</v>
      </c>
      <c r="R80" s="365" t="s">
        <v>2594</v>
      </c>
      <c r="S80" s="365" t="s">
        <v>2594</v>
      </c>
      <c r="T80" s="364"/>
      <c r="U80" s="364"/>
      <c r="V80" s="364"/>
      <c r="W80" s="364"/>
      <c r="X80" s="364"/>
      <c r="Y80" s="364"/>
      <c r="Z80" s="364"/>
      <c r="AA80" s="364"/>
      <c r="AB80" s="364"/>
      <c r="AC80" s="364"/>
      <c r="AD80" s="364"/>
    </row>
    <row r="81">
      <c r="A81" s="365" t="s">
        <v>660</v>
      </c>
      <c r="B81" s="365" t="s">
        <v>1540</v>
      </c>
      <c r="C81" s="365" t="s">
        <v>3110</v>
      </c>
      <c r="D81" s="365" t="s">
        <v>3111</v>
      </c>
      <c r="E81" s="365" t="s">
        <v>3112</v>
      </c>
      <c r="F81" s="365" t="s">
        <v>2964</v>
      </c>
      <c r="G81" s="365" t="s">
        <v>3113</v>
      </c>
      <c r="H81" s="365" t="s">
        <v>3026</v>
      </c>
      <c r="I81" s="365" t="s">
        <v>3027</v>
      </c>
      <c r="J81" s="365" t="s">
        <v>3114</v>
      </c>
      <c r="K81" s="364"/>
      <c r="L81" s="364"/>
      <c r="M81" s="365" t="s">
        <v>2969</v>
      </c>
      <c r="N81" s="401">
        <v>45756.0</v>
      </c>
      <c r="O81" s="388" t="s">
        <v>2294</v>
      </c>
      <c r="P81" s="365" t="s">
        <v>3118</v>
      </c>
      <c r="Q81" s="365" t="s">
        <v>2964</v>
      </c>
      <c r="R81" s="365" t="s">
        <v>2594</v>
      </c>
      <c r="S81" s="365" t="s">
        <v>2594</v>
      </c>
      <c r="T81" s="364"/>
      <c r="U81" s="364"/>
      <c r="V81" s="364"/>
      <c r="W81" s="364"/>
      <c r="X81" s="364"/>
      <c r="Y81" s="364"/>
      <c r="Z81" s="364"/>
      <c r="AA81" s="364"/>
      <c r="AB81" s="364"/>
      <c r="AC81" s="364"/>
      <c r="AD81" s="364"/>
    </row>
    <row r="82">
      <c r="A82" s="365" t="s">
        <v>660</v>
      </c>
      <c r="B82" s="365" t="s">
        <v>1540</v>
      </c>
      <c r="C82" s="365" t="s">
        <v>21</v>
      </c>
      <c r="D82" s="365" t="s">
        <v>3119</v>
      </c>
      <c r="E82" s="365" t="s">
        <v>3120</v>
      </c>
      <c r="F82" s="365" t="s">
        <v>2964</v>
      </c>
      <c r="G82" s="365" t="s">
        <v>3121</v>
      </c>
      <c r="H82" s="365" t="s">
        <v>3026</v>
      </c>
      <c r="I82" s="365" t="s">
        <v>3027</v>
      </c>
      <c r="J82" s="365" t="s">
        <v>3122</v>
      </c>
      <c r="K82" s="364"/>
      <c r="L82" s="364"/>
      <c r="M82" s="365" t="s">
        <v>2969</v>
      </c>
      <c r="N82" s="401">
        <v>45667.0</v>
      </c>
      <c r="O82" s="388" t="s">
        <v>2289</v>
      </c>
      <c r="P82" s="365" t="s">
        <v>3123</v>
      </c>
      <c r="Q82" s="365" t="s">
        <v>2964</v>
      </c>
      <c r="R82" s="365" t="s">
        <v>2594</v>
      </c>
      <c r="S82" s="365" t="s">
        <v>2594</v>
      </c>
      <c r="T82" s="364"/>
      <c r="U82" s="364"/>
      <c r="V82" s="364"/>
      <c r="W82" s="364"/>
      <c r="X82" s="364"/>
      <c r="Y82" s="364"/>
      <c r="Z82" s="364"/>
      <c r="AA82" s="364"/>
      <c r="AB82" s="364"/>
      <c r="AC82" s="364"/>
      <c r="AD82" s="364"/>
    </row>
    <row r="83">
      <c r="A83" s="365" t="s">
        <v>660</v>
      </c>
      <c r="B83" s="365" t="s">
        <v>1540</v>
      </c>
      <c r="C83" s="365" t="s">
        <v>21</v>
      </c>
      <c r="D83" s="365" t="s">
        <v>3119</v>
      </c>
      <c r="E83" s="365" t="s">
        <v>3120</v>
      </c>
      <c r="F83" s="365" t="s">
        <v>2964</v>
      </c>
      <c r="G83" s="365" t="s">
        <v>3121</v>
      </c>
      <c r="H83" s="365" t="s">
        <v>3026</v>
      </c>
      <c r="I83" s="365" t="s">
        <v>3027</v>
      </c>
      <c r="J83" s="365" t="s">
        <v>3122</v>
      </c>
      <c r="K83" s="364"/>
      <c r="L83" s="364"/>
      <c r="M83" s="365" t="s">
        <v>2969</v>
      </c>
      <c r="N83" s="401">
        <v>45698.0</v>
      </c>
      <c r="O83" s="388" t="s">
        <v>2294</v>
      </c>
      <c r="P83" s="365" t="s">
        <v>3124</v>
      </c>
      <c r="Q83" s="365" t="s">
        <v>2964</v>
      </c>
      <c r="R83" s="365" t="s">
        <v>2594</v>
      </c>
      <c r="S83" s="365" t="s">
        <v>2594</v>
      </c>
      <c r="T83" s="364"/>
      <c r="U83" s="364"/>
      <c r="V83" s="364"/>
      <c r="W83" s="364"/>
      <c r="X83" s="364"/>
      <c r="Y83" s="364"/>
      <c r="Z83" s="364"/>
      <c r="AA83" s="364"/>
      <c r="AB83" s="364"/>
      <c r="AC83" s="364"/>
      <c r="AD83" s="364"/>
    </row>
    <row r="84">
      <c r="A84" s="365" t="s">
        <v>660</v>
      </c>
      <c r="B84" s="365" t="s">
        <v>1540</v>
      </c>
      <c r="C84" s="365" t="s">
        <v>21</v>
      </c>
      <c r="D84" s="365" t="s">
        <v>3119</v>
      </c>
      <c r="E84" s="365" t="s">
        <v>3120</v>
      </c>
      <c r="F84" s="365" t="s">
        <v>2964</v>
      </c>
      <c r="G84" s="365" t="s">
        <v>3121</v>
      </c>
      <c r="H84" s="365" t="s">
        <v>3026</v>
      </c>
      <c r="I84" s="365" t="s">
        <v>3027</v>
      </c>
      <c r="J84" s="365" t="s">
        <v>3122</v>
      </c>
      <c r="K84" s="364"/>
      <c r="L84" s="364"/>
      <c r="M84" s="365" t="s">
        <v>2969</v>
      </c>
      <c r="N84" s="401">
        <v>45726.0</v>
      </c>
      <c r="O84" s="388" t="s">
        <v>2289</v>
      </c>
      <c r="P84" s="365" t="s">
        <v>3125</v>
      </c>
      <c r="Q84" s="365" t="s">
        <v>2964</v>
      </c>
      <c r="R84" s="365" t="s">
        <v>2594</v>
      </c>
      <c r="S84" s="365" t="s">
        <v>2594</v>
      </c>
      <c r="T84" s="364"/>
      <c r="U84" s="364"/>
      <c r="V84" s="364"/>
      <c r="W84" s="364"/>
      <c r="X84" s="364"/>
      <c r="Y84" s="364"/>
      <c r="Z84" s="364"/>
      <c r="AA84" s="364"/>
      <c r="AB84" s="364"/>
      <c r="AC84" s="364"/>
      <c r="AD84" s="364"/>
    </row>
    <row r="85">
      <c r="A85" s="365" t="s">
        <v>660</v>
      </c>
      <c r="B85" s="365" t="s">
        <v>1540</v>
      </c>
      <c r="C85" s="365" t="s">
        <v>21</v>
      </c>
      <c r="D85" s="365" t="s">
        <v>3119</v>
      </c>
      <c r="E85" s="365" t="s">
        <v>3120</v>
      </c>
      <c r="F85" s="365" t="s">
        <v>2964</v>
      </c>
      <c r="G85" s="365" t="s">
        <v>3121</v>
      </c>
      <c r="H85" s="365" t="s">
        <v>3026</v>
      </c>
      <c r="I85" s="365" t="s">
        <v>3027</v>
      </c>
      <c r="J85" s="365" t="s">
        <v>3122</v>
      </c>
      <c r="K85" s="364"/>
      <c r="L85" s="364"/>
      <c r="M85" s="365" t="s">
        <v>2969</v>
      </c>
      <c r="N85" s="401">
        <v>45757.0</v>
      </c>
      <c r="O85" s="388" t="s">
        <v>2294</v>
      </c>
      <c r="P85" s="365" t="s">
        <v>3126</v>
      </c>
      <c r="Q85" s="365" t="s">
        <v>2964</v>
      </c>
      <c r="R85" s="365" t="s">
        <v>2594</v>
      </c>
      <c r="S85" s="365" t="s">
        <v>2594</v>
      </c>
      <c r="T85" s="364"/>
      <c r="U85" s="364"/>
      <c r="V85" s="364"/>
      <c r="W85" s="364"/>
      <c r="X85" s="364"/>
      <c r="Y85" s="364"/>
      <c r="Z85" s="364"/>
      <c r="AA85" s="364"/>
      <c r="AB85" s="364"/>
      <c r="AC85" s="364"/>
      <c r="AD85" s="364"/>
    </row>
    <row r="86">
      <c r="A86" s="365" t="s">
        <v>660</v>
      </c>
      <c r="B86" s="365" t="s">
        <v>1540</v>
      </c>
      <c r="C86" s="365" t="s">
        <v>21</v>
      </c>
      <c r="D86" s="365" t="s">
        <v>3119</v>
      </c>
      <c r="E86" s="365" t="s">
        <v>3120</v>
      </c>
      <c r="F86" s="365" t="s">
        <v>2964</v>
      </c>
      <c r="G86" s="365" t="s">
        <v>3121</v>
      </c>
      <c r="H86" s="365" t="s">
        <v>3026</v>
      </c>
      <c r="I86" s="365" t="s">
        <v>3027</v>
      </c>
      <c r="J86" s="365" t="s">
        <v>3122</v>
      </c>
      <c r="K86" s="364"/>
      <c r="L86" s="364"/>
      <c r="M86" s="365" t="s">
        <v>2969</v>
      </c>
      <c r="N86" s="401">
        <v>45787.0</v>
      </c>
      <c r="O86" s="388" t="s">
        <v>2289</v>
      </c>
      <c r="P86" s="365" t="s">
        <v>3127</v>
      </c>
      <c r="Q86" s="365" t="s">
        <v>2964</v>
      </c>
      <c r="R86" s="365" t="s">
        <v>2594</v>
      </c>
      <c r="S86" s="365" t="s">
        <v>2594</v>
      </c>
      <c r="T86" s="364"/>
      <c r="U86" s="364"/>
      <c r="V86" s="364"/>
      <c r="W86" s="364"/>
      <c r="X86" s="364"/>
      <c r="Y86" s="364"/>
      <c r="Z86" s="364"/>
      <c r="AA86" s="364"/>
      <c r="AB86" s="364"/>
      <c r="AC86" s="364"/>
      <c r="AD86" s="364"/>
    </row>
    <row r="87">
      <c r="A87" s="365" t="s">
        <v>660</v>
      </c>
      <c r="B87" s="365" t="s">
        <v>1540</v>
      </c>
      <c r="C87" s="365" t="s">
        <v>21</v>
      </c>
      <c r="D87" s="365" t="s">
        <v>3119</v>
      </c>
      <c r="E87" s="365" t="s">
        <v>3120</v>
      </c>
      <c r="F87" s="365" t="s">
        <v>2964</v>
      </c>
      <c r="G87" s="365" t="s">
        <v>3121</v>
      </c>
      <c r="H87" s="365" t="s">
        <v>3026</v>
      </c>
      <c r="I87" s="365" t="s">
        <v>3027</v>
      </c>
      <c r="J87" s="365" t="s">
        <v>3122</v>
      </c>
      <c r="K87" s="364"/>
      <c r="L87" s="364"/>
      <c r="M87" s="365" t="s">
        <v>2969</v>
      </c>
      <c r="N87" s="401">
        <v>45818.0</v>
      </c>
      <c r="O87" s="388" t="s">
        <v>2294</v>
      </c>
      <c r="P87" s="365" t="s">
        <v>3128</v>
      </c>
      <c r="Q87" s="365" t="s">
        <v>2964</v>
      </c>
      <c r="R87" s="365" t="s">
        <v>2594</v>
      </c>
      <c r="S87" s="365" t="s">
        <v>2594</v>
      </c>
      <c r="T87" s="364"/>
      <c r="U87" s="364"/>
      <c r="V87" s="364"/>
      <c r="W87" s="364"/>
      <c r="X87" s="364"/>
      <c r="Y87" s="364"/>
      <c r="Z87" s="364"/>
      <c r="AA87" s="364"/>
      <c r="AB87" s="364"/>
      <c r="AC87" s="364"/>
      <c r="AD87" s="364"/>
    </row>
    <row r="88">
      <c r="A88" s="365" t="s">
        <v>660</v>
      </c>
      <c r="B88" s="365" t="s">
        <v>1540</v>
      </c>
      <c r="C88" s="365" t="s">
        <v>3129</v>
      </c>
      <c r="D88" s="365" t="s">
        <v>3130</v>
      </c>
      <c r="E88" s="365" t="s">
        <v>3131</v>
      </c>
      <c r="F88" s="365" t="s">
        <v>2964</v>
      </c>
      <c r="G88" s="365" t="s">
        <v>3132</v>
      </c>
      <c r="H88" s="365" t="s">
        <v>3026</v>
      </c>
      <c r="I88" s="365" t="s">
        <v>3027</v>
      </c>
      <c r="J88" s="365" t="s">
        <v>3133</v>
      </c>
      <c r="K88" s="364"/>
      <c r="L88" s="364"/>
      <c r="M88" s="365" t="s">
        <v>2969</v>
      </c>
      <c r="N88" s="401">
        <v>45668.0</v>
      </c>
      <c r="O88" s="388" t="s">
        <v>2289</v>
      </c>
      <c r="P88" s="365" t="s">
        <v>3134</v>
      </c>
      <c r="Q88" s="365" t="s">
        <v>2964</v>
      </c>
      <c r="R88" s="365" t="s">
        <v>2594</v>
      </c>
      <c r="S88" s="365" t="s">
        <v>2594</v>
      </c>
      <c r="T88" s="364"/>
      <c r="U88" s="364"/>
      <c r="V88" s="364"/>
      <c r="W88" s="364"/>
      <c r="X88" s="364"/>
      <c r="Y88" s="364"/>
      <c r="Z88" s="364"/>
      <c r="AA88" s="364"/>
      <c r="AB88" s="364"/>
      <c r="AC88" s="364"/>
      <c r="AD88" s="364"/>
    </row>
    <row r="89">
      <c r="A89" s="365" t="s">
        <v>660</v>
      </c>
      <c r="B89" s="365" t="s">
        <v>1540</v>
      </c>
      <c r="C89" s="365" t="s">
        <v>3129</v>
      </c>
      <c r="D89" s="365" t="s">
        <v>3130</v>
      </c>
      <c r="E89" s="365" t="s">
        <v>3131</v>
      </c>
      <c r="F89" s="365" t="s">
        <v>2964</v>
      </c>
      <c r="G89" s="365" t="s">
        <v>3132</v>
      </c>
      <c r="H89" s="365" t="s">
        <v>3026</v>
      </c>
      <c r="I89" s="365" t="s">
        <v>3027</v>
      </c>
      <c r="J89" s="365" t="s">
        <v>3133</v>
      </c>
      <c r="K89" s="364"/>
      <c r="L89" s="364"/>
      <c r="M89" s="365" t="s">
        <v>2969</v>
      </c>
      <c r="N89" s="401">
        <v>45699.0</v>
      </c>
      <c r="O89" s="388" t="s">
        <v>2294</v>
      </c>
      <c r="P89" s="365" t="s">
        <v>3135</v>
      </c>
      <c r="Q89" s="365" t="s">
        <v>2964</v>
      </c>
      <c r="R89" s="365" t="s">
        <v>2594</v>
      </c>
      <c r="S89" s="365" t="s">
        <v>2594</v>
      </c>
      <c r="T89" s="364"/>
      <c r="U89" s="364"/>
      <c r="V89" s="364"/>
      <c r="W89" s="364"/>
      <c r="X89" s="364"/>
      <c r="Y89" s="364"/>
      <c r="Z89" s="364"/>
      <c r="AA89" s="364"/>
      <c r="AB89" s="364"/>
      <c r="AC89" s="364"/>
      <c r="AD89" s="364"/>
    </row>
    <row r="90">
      <c r="A90" s="365" t="s">
        <v>660</v>
      </c>
      <c r="B90" s="365" t="s">
        <v>1540</v>
      </c>
      <c r="C90" s="365" t="s">
        <v>3129</v>
      </c>
      <c r="D90" s="365" t="s">
        <v>3130</v>
      </c>
      <c r="E90" s="365" t="s">
        <v>3131</v>
      </c>
      <c r="F90" s="365" t="s">
        <v>2964</v>
      </c>
      <c r="G90" s="365" t="s">
        <v>3132</v>
      </c>
      <c r="H90" s="365" t="s">
        <v>3026</v>
      </c>
      <c r="I90" s="365" t="s">
        <v>3027</v>
      </c>
      <c r="J90" s="365" t="s">
        <v>3133</v>
      </c>
      <c r="K90" s="364"/>
      <c r="L90" s="364"/>
      <c r="M90" s="365" t="s">
        <v>2969</v>
      </c>
      <c r="N90" s="401">
        <v>45727.0</v>
      </c>
      <c r="O90" s="388" t="s">
        <v>2289</v>
      </c>
      <c r="P90" s="365" t="s">
        <v>3136</v>
      </c>
      <c r="Q90" s="365" t="s">
        <v>2964</v>
      </c>
      <c r="R90" s="365" t="s">
        <v>2594</v>
      </c>
      <c r="S90" s="365" t="s">
        <v>2594</v>
      </c>
      <c r="T90" s="364"/>
      <c r="U90" s="364"/>
      <c r="V90" s="364"/>
      <c r="W90" s="364"/>
      <c r="X90" s="364"/>
      <c r="Y90" s="364"/>
      <c r="Z90" s="364"/>
      <c r="AA90" s="364"/>
      <c r="AB90" s="364"/>
      <c r="AC90" s="364"/>
      <c r="AD90" s="364"/>
    </row>
    <row r="91">
      <c r="A91" s="365" t="s">
        <v>660</v>
      </c>
      <c r="B91" s="365" t="s">
        <v>1540</v>
      </c>
      <c r="C91" s="365" t="s">
        <v>3129</v>
      </c>
      <c r="D91" s="365" t="s">
        <v>3130</v>
      </c>
      <c r="E91" s="365" t="s">
        <v>3131</v>
      </c>
      <c r="F91" s="365" t="s">
        <v>2964</v>
      </c>
      <c r="G91" s="365" t="s">
        <v>3132</v>
      </c>
      <c r="H91" s="365" t="s">
        <v>3026</v>
      </c>
      <c r="I91" s="365" t="s">
        <v>3027</v>
      </c>
      <c r="J91" s="365" t="s">
        <v>3133</v>
      </c>
      <c r="K91" s="364"/>
      <c r="L91" s="364"/>
      <c r="M91" s="365" t="s">
        <v>2969</v>
      </c>
      <c r="N91" s="401">
        <v>45758.0</v>
      </c>
      <c r="O91" s="388" t="s">
        <v>2294</v>
      </c>
      <c r="P91" s="365" t="s">
        <v>3137</v>
      </c>
      <c r="Q91" s="365" t="s">
        <v>2964</v>
      </c>
      <c r="R91" s="365" t="s">
        <v>2594</v>
      </c>
      <c r="S91" s="365" t="s">
        <v>2594</v>
      </c>
      <c r="T91" s="364"/>
      <c r="U91" s="364"/>
      <c r="V91" s="364"/>
      <c r="W91" s="364"/>
      <c r="X91" s="364"/>
      <c r="Y91" s="364"/>
      <c r="Z91" s="364"/>
      <c r="AA91" s="364"/>
      <c r="AB91" s="364"/>
      <c r="AC91" s="364"/>
      <c r="AD91" s="364"/>
    </row>
    <row r="92">
      <c r="A92" s="365" t="s">
        <v>660</v>
      </c>
      <c r="B92" s="365" t="s">
        <v>1540</v>
      </c>
      <c r="C92" s="365" t="s">
        <v>3138</v>
      </c>
      <c r="D92" s="365" t="s">
        <v>3139</v>
      </c>
      <c r="E92" s="365" t="s">
        <v>3140</v>
      </c>
      <c r="F92" s="365" t="s">
        <v>2964</v>
      </c>
      <c r="G92" s="365" t="s">
        <v>3141</v>
      </c>
      <c r="H92" s="365" t="s">
        <v>3026</v>
      </c>
      <c r="I92" s="365" t="s">
        <v>3027</v>
      </c>
      <c r="J92" s="365" t="s">
        <v>3142</v>
      </c>
      <c r="K92" s="364"/>
      <c r="L92" s="364"/>
      <c r="M92" s="365" t="s">
        <v>2969</v>
      </c>
      <c r="N92" s="401">
        <v>45669.0</v>
      </c>
      <c r="O92" s="388" t="s">
        <v>2289</v>
      </c>
      <c r="P92" s="365" t="s">
        <v>3143</v>
      </c>
      <c r="Q92" s="365" t="s">
        <v>2964</v>
      </c>
      <c r="R92" s="365" t="s">
        <v>2594</v>
      </c>
      <c r="S92" s="365" t="s">
        <v>2594</v>
      </c>
      <c r="T92" s="364"/>
      <c r="U92" s="364"/>
      <c r="V92" s="364"/>
      <c r="W92" s="364"/>
      <c r="X92" s="364"/>
      <c r="Y92" s="364"/>
      <c r="Z92" s="364"/>
      <c r="AA92" s="364"/>
      <c r="AB92" s="364"/>
      <c r="AC92" s="364"/>
      <c r="AD92" s="364"/>
    </row>
    <row r="93">
      <c r="A93" s="365" t="s">
        <v>660</v>
      </c>
      <c r="B93" s="365" t="s">
        <v>1540</v>
      </c>
      <c r="C93" s="365" t="s">
        <v>3138</v>
      </c>
      <c r="D93" s="365" t="s">
        <v>3139</v>
      </c>
      <c r="E93" s="365" t="s">
        <v>3140</v>
      </c>
      <c r="F93" s="365" t="s">
        <v>2964</v>
      </c>
      <c r="G93" s="365" t="s">
        <v>3141</v>
      </c>
      <c r="H93" s="365" t="s">
        <v>3026</v>
      </c>
      <c r="I93" s="365" t="s">
        <v>3027</v>
      </c>
      <c r="J93" s="365" t="s">
        <v>3142</v>
      </c>
      <c r="K93" s="364"/>
      <c r="L93" s="364"/>
      <c r="M93" s="365" t="s">
        <v>2969</v>
      </c>
      <c r="N93" s="401">
        <v>45700.0</v>
      </c>
      <c r="O93" s="388" t="s">
        <v>2294</v>
      </c>
      <c r="P93" s="365" t="s">
        <v>3144</v>
      </c>
      <c r="Q93" s="365" t="s">
        <v>2964</v>
      </c>
      <c r="R93" s="365" t="s">
        <v>2594</v>
      </c>
      <c r="S93" s="365" t="s">
        <v>2594</v>
      </c>
      <c r="T93" s="364"/>
      <c r="U93" s="364"/>
      <c r="V93" s="364"/>
      <c r="W93" s="364"/>
      <c r="X93" s="364"/>
      <c r="Y93" s="364"/>
      <c r="Z93" s="364"/>
      <c r="AA93" s="364"/>
      <c r="AB93" s="364"/>
      <c r="AC93" s="364"/>
      <c r="AD93" s="364"/>
    </row>
    <row r="94">
      <c r="A94" s="365" t="s">
        <v>660</v>
      </c>
      <c r="B94" s="365" t="s">
        <v>1540</v>
      </c>
      <c r="C94" s="365" t="s">
        <v>3138</v>
      </c>
      <c r="D94" s="365" t="s">
        <v>3139</v>
      </c>
      <c r="E94" s="365" t="s">
        <v>3140</v>
      </c>
      <c r="F94" s="365" t="s">
        <v>2964</v>
      </c>
      <c r="G94" s="365" t="s">
        <v>3141</v>
      </c>
      <c r="H94" s="365" t="s">
        <v>3026</v>
      </c>
      <c r="I94" s="365" t="s">
        <v>3027</v>
      </c>
      <c r="J94" s="365" t="s">
        <v>3142</v>
      </c>
      <c r="K94" s="364"/>
      <c r="L94" s="364"/>
      <c r="M94" s="365" t="s">
        <v>2969</v>
      </c>
      <c r="N94" s="401">
        <v>45728.0</v>
      </c>
      <c r="O94" s="388" t="s">
        <v>2289</v>
      </c>
      <c r="P94" s="365" t="s">
        <v>3145</v>
      </c>
      <c r="Q94" s="365" t="s">
        <v>2964</v>
      </c>
      <c r="R94" s="365" t="s">
        <v>2594</v>
      </c>
      <c r="S94" s="365" t="s">
        <v>2594</v>
      </c>
      <c r="T94" s="364"/>
      <c r="U94" s="364"/>
      <c r="V94" s="364"/>
      <c r="W94" s="364"/>
      <c r="X94" s="364"/>
      <c r="Y94" s="364"/>
      <c r="Z94" s="364"/>
      <c r="AA94" s="364"/>
      <c r="AB94" s="364"/>
      <c r="AC94" s="364"/>
      <c r="AD94" s="364"/>
    </row>
    <row r="95">
      <c r="A95" s="365" t="s">
        <v>660</v>
      </c>
      <c r="B95" s="365" t="s">
        <v>1540</v>
      </c>
      <c r="C95" s="365" t="s">
        <v>3138</v>
      </c>
      <c r="D95" s="365" t="s">
        <v>3139</v>
      </c>
      <c r="E95" s="365" t="s">
        <v>3140</v>
      </c>
      <c r="F95" s="365" t="s">
        <v>2964</v>
      </c>
      <c r="G95" s="365" t="s">
        <v>3141</v>
      </c>
      <c r="H95" s="365" t="s">
        <v>3026</v>
      </c>
      <c r="I95" s="365" t="s">
        <v>3027</v>
      </c>
      <c r="J95" s="365" t="s">
        <v>3142</v>
      </c>
      <c r="K95" s="364"/>
      <c r="L95" s="364"/>
      <c r="M95" s="365" t="s">
        <v>2969</v>
      </c>
      <c r="N95" s="401">
        <v>45759.0</v>
      </c>
      <c r="O95" s="388" t="s">
        <v>2294</v>
      </c>
      <c r="P95" s="365" t="s">
        <v>3146</v>
      </c>
      <c r="Q95" s="365" t="s">
        <v>2964</v>
      </c>
      <c r="R95" s="365" t="s">
        <v>2594</v>
      </c>
      <c r="S95" s="365" t="s">
        <v>2594</v>
      </c>
      <c r="T95" s="364"/>
      <c r="U95" s="364"/>
      <c r="V95" s="364"/>
      <c r="W95" s="364"/>
      <c r="X95" s="364"/>
      <c r="Y95" s="364"/>
      <c r="Z95" s="364"/>
      <c r="AA95" s="364"/>
      <c r="AB95" s="364"/>
      <c r="AC95" s="364"/>
      <c r="AD95" s="364"/>
    </row>
    <row r="96">
      <c r="A96" s="365" t="s">
        <v>660</v>
      </c>
      <c r="B96" s="365" t="s">
        <v>1540</v>
      </c>
      <c r="C96" s="365" t="s">
        <v>34</v>
      </c>
      <c r="D96" s="365" t="s">
        <v>3147</v>
      </c>
      <c r="E96" s="365" t="s">
        <v>3148</v>
      </c>
      <c r="F96" s="365" t="s">
        <v>2964</v>
      </c>
      <c r="G96" s="365" t="s">
        <v>3149</v>
      </c>
      <c r="H96" s="365" t="s">
        <v>3026</v>
      </c>
      <c r="I96" s="365" t="s">
        <v>3027</v>
      </c>
      <c r="J96" s="365" t="s">
        <v>3150</v>
      </c>
      <c r="K96" s="364"/>
      <c r="L96" s="364"/>
      <c r="M96" s="365" t="s">
        <v>2969</v>
      </c>
      <c r="N96" s="401">
        <v>45670.0</v>
      </c>
      <c r="O96" s="388" t="s">
        <v>2289</v>
      </c>
      <c r="P96" s="365" t="s">
        <v>3151</v>
      </c>
      <c r="Q96" s="365" t="s">
        <v>2964</v>
      </c>
      <c r="R96" s="365" t="s">
        <v>2594</v>
      </c>
      <c r="S96" s="365" t="s">
        <v>2594</v>
      </c>
      <c r="T96" s="364"/>
      <c r="U96" s="364"/>
      <c r="V96" s="364"/>
      <c r="W96" s="364"/>
      <c r="X96" s="364"/>
      <c r="Y96" s="364"/>
      <c r="Z96" s="364"/>
      <c r="AA96" s="364"/>
      <c r="AB96" s="364"/>
      <c r="AC96" s="364"/>
      <c r="AD96" s="364"/>
    </row>
    <row r="97">
      <c r="A97" s="365" t="s">
        <v>660</v>
      </c>
      <c r="B97" s="365" t="s">
        <v>1540</v>
      </c>
      <c r="C97" s="365" t="s">
        <v>34</v>
      </c>
      <c r="D97" s="365" t="s">
        <v>3147</v>
      </c>
      <c r="E97" s="365" t="s">
        <v>3148</v>
      </c>
      <c r="F97" s="365" t="s">
        <v>2964</v>
      </c>
      <c r="G97" s="365" t="s">
        <v>3149</v>
      </c>
      <c r="H97" s="365" t="s">
        <v>3026</v>
      </c>
      <c r="I97" s="365" t="s">
        <v>3027</v>
      </c>
      <c r="J97" s="365" t="s">
        <v>3150</v>
      </c>
      <c r="K97" s="364"/>
      <c r="L97" s="364"/>
      <c r="M97" s="365" t="s">
        <v>2969</v>
      </c>
      <c r="N97" s="401">
        <v>45701.0</v>
      </c>
      <c r="O97" s="388" t="s">
        <v>2294</v>
      </c>
      <c r="P97" s="365" t="s">
        <v>3152</v>
      </c>
      <c r="Q97" s="365" t="s">
        <v>2964</v>
      </c>
      <c r="R97" s="365" t="s">
        <v>2594</v>
      </c>
      <c r="S97" s="365" t="s">
        <v>2594</v>
      </c>
      <c r="T97" s="364"/>
      <c r="U97" s="364"/>
      <c r="V97" s="364"/>
      <c r="W97" s="364"/>
      <c r="X97" s="364"/>
      <c r="Y97" s="364"/>
      <c r="Z97" s="364"/>
      <c r="AA97" s="364"/>
      <c r="AB97" s="364"/>
      <c r="AC97" s="364"/>
      <c r="AD97" s="364"/>
    </row>
    <row r="98">
      <c r="A98" s="365" t="s">
        <v>660</v>
      </c>
      <c r="B98" s="365" t="s">
        <v>1540</v>
      </c>
      <c r="C98" s="365" t="s">
        <v>34</v>
      </c>
      <c r="D98" s="365" t="s">
        <v>3147</v>
      </c>
      <c r="E98" s="365" t="s">
        <v>3148</v>
      </c>
      <c r="F98" s="365" t="s">
        <v>2964</v>
      </c>
      <c r="G98" s="365" t="s">
        <v>3149</v>
      </c>
      <c r="H98" s="365" t="s">
        <v>3026</v>
      </c>
      <c r="I98" s="365" t="s">
        <v>3027</v>
      </c>
      <c r="J98" s="365" t="s">
        <v>3150</v>
      </c>
      <c r="K98" s="364"/>
      <c r="L98" s="364"/>
      <c r="M98" s="365" t="s">
        <v>2969</v>
      </c>
      <c r="N98" s="401">
        <v>45729.0</v>
      </c>
      <c r="O98" s="388" t="s">
        <v>2289</v>
      </c>
      <c r="P98" s="365" t="s">
        <v>3153</v>
      </c>
      <c r="Q98" s="365" t="s">
        <v>2964</v>
      </c>
      <c r="R98" s="365" t="s">
        <v>2594</v>
      </c>
      <c r="S98" s="365" t="s">
        <v>2594</v>
      </c>
      <c r="T98" s="364"/>
      <c r="U98" s="364"/>
      <c r="V98" s="364"/>
      <c r="W98" s="364"/>
      <c r="X98" s="364"/>
      <c r="Y98" s="364"/>
      <c r="Z98" s="364"/>
      <c r="AA98" s="364"/>
      <c r="AB98" s="364"/>
      <c r="AC98" s="364"/>
      <c r="AD98" s="364"/>
    </row>
    <row r="99">
      <c r="A99" s="365" t="s">
        <v>660</v>
      </c>
      <c r="B99" s="365" t="s">
        <v>1540</v>
      </c>
      <c r="C99" s="365" t="s">
        <v>34</v>
      </c>
      <c r="D99" s="365" t="s">
        <v>3147</v>
      </c>
      <c r="E99" s="365" t="s">
        <v>3148</v>
      </c>
      <c r="F99" s="365" t="s">
        <v>2964</v>
      </c>
      <c r="G99" s="365" t="s">
        <v>3149</v>
      </c>
      <c r="H99" s="365" t="s">
        <v>3026</v>
      </c>
      <c r="I99" s="365" t="s">
        <v>3027</v>
      </c>
      <c r="J99" s="365" t="s">
        <v>3150</v>
      </c>
      <c r="K99" s="364"/>
      <c r="L99" s="364"/>
      <c r="M99" s="365" t="s">
        <v>2969</v>
      </c>
      <c r="N99" s="401">
        <v>45760.0</v>
      </c>
      <c r="O99" s="388" t="s">
        <v>2294</v>
      </c>
      <c r="P99" s="365" t="s">
        <v>3154</v>
      </c>
      <c r="Q99" s="365" t="s">
        <v>2964</v>
      </c>
      <c r="R99" s="365" t="s">
        <v>2594</v>
      </c>
      <c r="S99" s="365" t="s">
        <v>2594</v>
      </c>
      <c r="T99" s="364"/>
      <c r="U99" s="364"/>
      <c r="V99" s="364"/>
      <c r="W99" s="364"/>
      <c r="X99" s="364"/>
      <c r="Y99" s="364"/>
      <c r="Z99" s="364"/>
      <c r="AA99" s="364"/>
      <c r="AB99" s="364"/>
      <c r="AC99" s="364"/>
      <c r="AD99" s="364"/>
    </row>
    <row r="100">
      <c r="A100" s="365" t="s">
        <v>660</v>
      </c>
      <c r="B100" s="365" t="s">
        <v>1540</v>
      </c>
      <c r="C100" s="365" t="s">
        <v>3155</v>
      </c>
      <c r="D100" s="365" t="s">
        <v>3156</v>
      </c>
      <c r="E100" s="365" t="s">
        <v>3157</v>
      </c>
      <c r="F100" s="365" t="s">
        <v>2964</v>
      </c>
      <c r="G100" s="365" t="s">
        <v>3158</v>
      </c>
      <c r="H100" s="365" t="s">
        <v>3026</v>
      </c>
      <c r="I100" s="365" t="s">
        <v>3027</v>
      </c>
      <c r="J100" s="365" t="s">
        <v>3159</v>
      </c>
      <c r="K100" s="364"/>
      <c r="L100" s="364"/>
      <c r="M100" s="365" t="s">
        <v>2969</v>
      </c>
      <c r="N100" s="401">
        <v>45671.0</v>
      </c>
      <c r="O100" s="388" t="s">
        <v>2289</v>
      </c>
      <c r="P100" s="365" t="s">
        <v>3160</v>
      </c>
      <c r="Q100" s="365" t="s">
        <v>2964</v>
      </c>
      <c r="R100" s="365" t="s">
        <v>2594</v>
      </c>
      <c r="S100" s="365" t="s">
        <v>2594</v>
      </c>
      <c r="T100" s="364"/>
      <c r="U100" s="364"/>
      <c r="V100" s="364"/>
      <c r="W100" s="364"/>
      <c r="X100" s="364"/>
      <c r="Y100" s="364"/>
      <c r="Z100" s="364"/>
      <c r="AA100" s="364"/>
      <c r="AB100" s="364"/>
      <c r="AC100" s="364"/>
      <c r="AD100" s="364"/>
    </row>
    <row r="101">
      <c r="A101" s="365" t="s">
        <v>660</v>
      </c>
      <c r="B101" s="365" t="s">
        <v>1540</v>
      </c>
      <c r="C101" s="365" t="s">
        <v>3155</v>
      </c>
      <c r="D101" s="365" t="s">
        <v>3156</v>
      </c>
      <c r="E101" s="365" t="s">
        <v>3157</v>
      </c>
      <c r="F101" s="365" t="s">
        <v>2964</v>
      </c>
      <c r="G101" s="365" t="s">
        <v>3158</v>
      </c>
      <c r="H101" s="365" t="s">
        <v>3026</v>
      </c>
      <c r="I101" s="365" t="s">
        <v>3027</v>
      </c>
      <c r="J101" s="365" t="s">
        <v>3159</v>
      </c>
      <c r="K101" s="364"/>
      <c r="L101" s="364"/>
      <c r="M101" s="365" t="s">
        <v>2969</v>
      </c>
      <c r="N101" s="401">
        <v>45702.0</v>
      </c>
      <c r="O101" s="388" t="s">
        <v>2294</v>
      </c>
      <c r="P101" s="365" t="s">
        <v>3161</v>
      </c>
      <c r="Q101" s="365" t="s">
        <v>2964</v>
      </c>
      <c r="R101" s="365" t="s">
        <v>2594</v>
      </c>
      <c r="S101" s="365" t="s">
        <v>2594</v>
      </c>
      <c r="T101" s="364"/>
      <c r="U101" s="364"/>
      <c r="V101" s="364"/>
      <c r="W101" s="364"/>
      <c r="X101" s="364"/>
      <c r="Y101" s="364"/>
      <c r="Z101" s="364"/>
      <c r="AA101" s="364"/>
      <c r="AB101" s="364"/>
      <c r="AC101" s="364"/>
      <c r="AD101" s="364"/>
    </row>
    <row r="102">
      <c r="A102" s="365" t="s">
        <v>660</v>
      </c>
      <c r="B102" s="365" t="s">
        <v>1540</v>
      </c>
      <c r="C102" s="365" t="s">
        <v>3155</v>
      </c>
      <c r="D102" s="365" t="s">
        <v>3156</v>
      </c>
      <c r="E102" s="365" t="s">
        <v>3157</v>
      </c>
      <c r="F102" s="365" t="s">
        <v>2964</v>
      </c>
      <c r="G102" s="365" t="s">
        <v>3158</v>
      </c>
      <c r="H102" s="365" t="s">
        <v>3026</v>
      </c>
      <c r="I102" s="365" t="s">
        <v>3027</v>
      </c>
      <c r="J102" s="365" t="s">
        <v>3159</v>
      </c>
      <c r="K102" s="364"/>
      <c r="L102" s="364"/>
      <c r="M102" s="365" t="s">
        <v>2969</v>
      </c>
      <c r="N102" s="401">
        <v>45730.0</v>
      </c>
      <c r="O102" s="388" t="s">
        <v>2289</v>
      </c>
      <c r="P102" s="365" t="s">
        <v>3162</v>
      </c>
      <c r="Q102" s="365" t="s">
        <v>2964</v>
      </c>
      <c r="R102" s="365" t="s">
        <v>2594</v>
      </c>
      <c r="S102" s="365" t="s">
        <v>2594</v>
      </c>
      <c r="T102" s="364"/>
      <c r="U102" s="364"/>
      <c r="V102" s="364"/>
      <c r="W102" s="364"/>
      <c r="X102" s="364"/>
      <c r="Y102" s="364"/>
      <c r="Z102" s="364"/>
      <c r="AA102" s="364"/>
      <c r="AB102" s="364"/>
      <c r="AC102" s="364"/>
      <c r="AD102" s="364"/>
    </row>
    <row r="103">
      <c r="A103" s="365" t="s">
        <v>660</v>
      </c>
      <c r="B103" s="365" t="s">
        <v>1540</v>
      </c>
      <c r="C103" s="365" t="s">
        <v>3155</v>
      </c>
      <c r="D103" s="365" t="s">
        <v>3156</v>
      </c>
      <c r="E103" s="365" t="s">
        <v>3157</v>
      </c>
      <c r="F103" s="365" t="s">
        <v>2964</v>
      </c>
      <c r="G103" s="365" t="s">
        <v>3158</v>
      </c>
      <c r="H103" s="365" t="s">
        <v>3026</v>
      </c>
      <c r="I103" s="365" t="s">
        <v>3027</v>
      </c>
      <c r="J103" s="365" t="s">
        <v>3159</v>
      </c>
      <c r="K103" s="364"/>
      <c r="L103" s="364"/>
      <c r="M103" s="365" t="s">
        <v>2969</v>
      </c>
      <c r="N103" s="401">
        <v>45761.0</v>
      </c>
      <c r="O103" s="388" t="s">
        <v>2294</v>
      </c>
      <c r="P103" s="365" t="s">
        <v>3163</v>
      </c>
      <c r="Q103" s="365" t="s">
        <v>2964</v>
      </c>
      <c r="R103" s="365" t="s">
        <v>2594</v>
      </c>
      <c r="S103" s="365" t="s">
        <v>2594</v>
      </c>
      <c r="T103" s="364"/>
      <c r="U103" s="364"/>
      <c r="V103" s="364"/>
      <c r="W103" s="364"/>
      <c r="X103" s="364"/>
      <c r="Y103" s="364"/>
      <c r="Z103" s="364"/>
      <c r="AA103" s="364"/>
      <c r="AB103" s="364"/>
      <c r="AC103" s="364"/>
      <c r="AD103" s="364"/>
    </row>
    <row r="104">
      <c r="A104" s="365" t="s">
        <v>660</v>
      </c>
      <c r="B104" s="365" t="s">
        <v>1540</v>
      </c>
      <c r="C104" s="365" t="s">
        <v>3164</v>
      </c>
      <c r="D104" s="365" t="s">
        <v>3165</v>
      </c>
      <c r="E104" s="365" t="s">
        <v>3166</v>
      </c>
      <c r="F104" s="365" t="s">
        <v>2964</v>
      </c>
      <c r="G104" s="365" t="s">
        <v>3167</v>
      </c>
      <c r="H104" s="365" t="s">
        <v>3026</v>
      </c>
      <c r="I104" s="365" t="s">
        <v>3027</v>
      </c>
      <c r="J104" s="365" t="s">
        <v>3168</v>
      </c>
      <c r="K104" s="364"/>
      <c r="L104" s="364"/>
      <c r="M104" s="365" t="s">
        <v>2969</v>
      </c>
      <c r="N104" s="401">
        <v>45672.0</v>
      </c>
      <c r="O104" s="388" t="s">
        <v>2289</v>
      </c>
      <c r="P104" s="365" t="s">
        <v>3169</v>
      </c>
      <c r="Q104" s="365" t="s">
        <v>2964</v>
      </c>
      <c r="R104" s="365" t="s">
        <v>2594</v>
      </c>
      <c r="S104" s="365" t="s">
        <v>2594</v>
      </c>
      <c r="T104" s="364"/>
      <c r="U104" s="364"/>
      <c r="V104" s="364"/>
      <c r="W104" s="364"/>
      <c r="X104" s="364"/>
      <c r="Y104" s="364"/>
      <c r="Z104" s="364"/>
      <c r="AA104" s="364"/>
      <c r="AB104" s="364"/>
      <c r="AC104" s="364"/>
      <c r="AD104" s="364"/>
    </row>
    <row r="105">
      <c r="A105" s="365" t="s">
        <v>660</v>
      </c>
      <c r="B105" s="365" t="s">
        <v>1540</v>
      </c>
      <c r="C105" s="365" t="s">
        <v>3164</v>
      </c>
      <c r="D105" s="365" t="s">
        <v>3165</v>
      </c>
      <c r="E105" s="365" t="s">
        <v>3166</v>
      </c>
      <c r="F105" s="365" t="s">
        <v>2964</v>
      </c>
      <c r="G105" s="365" t="s">
        <v>3167</v>
      </c>
      <c r="H105" s="365" t="s">
        <v>3026</v>
      </c>
      <c r="I105" s="365" t="s">
        <v>3027</v>
      </c>
      <c r="J105" s="365" t="s">
        <v>3168</v>
      </c>
      <c r="K105" s="364"/>
      <c r="L105" s="364"/>
      <c r="M105" s="365" t="s">
        <v>2969</v>
      </c>
      <c r="N105" s="401">
        <v>45703.0</v>
      </c>
      <c r="O105" s="388" t="s">
        <v>2294</v>
      </c>
      <c r="P105" s="365" t="s">
        <v>3170</v>
      </c>
      <c r="Q105" s="365" t="s">
        <v>2964</v>
      </c>
      <c r="R105" s="365" t="s">
        <v>2594</v>
      </c>
      <c r="S105" s="365" t="s">
        <v>2594</v>
      </c>
      <c r="T105" s="364"/>
      <c r="U105" s="364"/>
      <c r="V105" s="364"/>
      <c r="W105" s="364"/>
      <c r="X105" s="364"/>
      <c r="Y105" s="364"/>
      <c r="Z105" s="364"/>
      <c r="AA105" s="364"/>
      <c r="AB105" s="364"/>
      <c r="AC105" s="364"/>
      <c r="AD105" s="364"/>
    </row>
    <row r="106">
      <c r="A106" s="365" t="s">
        <v>660</v>
      </c>
      <c r="B106" s="365" t="s">
        <v>1540</v>
      </c>
      <c r="C106" s="365" t="s">
        <v>3164</v>
      </c>
      <c r="D106" s="365" t="s">
        <v>3165</v>
      </c>
      <c r="E106" s="365" t="s">
        <v>3166</v>
      </c>
      <c r="F106" s="365" t="s">
        <v>2964</v>
      </c>
      <c r="G106" s="365" t="s">
        <v>3167</v>
      </c>
      <c r="H106" s="365" t="s">
        <v>3026</v>
      </c>
      <c r="I106" s="365" t="s">
        <v>3027</v>
      </c>
      <c r="J106" s="365" t="s">
        <v>3168</v>
      </c>
      <c r="K106" s="364"/>
      <c r="L106" s="364"/>
      <c r="M106" s="365" t="s">
        <v>2969</v>
      </c>
      <c r="N106" s="401">
        <v>45731.0</v>
      </c>
      <c r="O106" s="388" t="s">
        <v>2289</v>
      </c>
      <c r="P106" s="365" t="s">
        <v>3171</v>
      </c>
      <c r="Q106" s="365" t="s">
        <v>2964</v>
      </c>
      <c r="R106" s="365" t="s">
        <v>2594</v>
      </c>
      <c r="S106" s="365" t="s">
        <v>2594</v>
      </c>
      <c r="T106" s="364"/>
      <c r="U106" s="364"/>
      <c r="V106" s="364"/>
      <c r="W106" s="364"/>
      <c r="X106" s="364"/>
      <c r="Y106" s="364"/>
      <c r="Z106" s="364"/>
      <c r="AA106" s="364"/>
      <c r="AB106" s="364"/>
      <c r="AC106" s="364"/>
      <c r="AD106" s="364"/>
    </row>
    <row r="107">
      <c r="A107" s="365" t="s">
        <v>660</v>
      </c>
      <c r="B107" s="365" t="s">
        <v>1540</v>
      </c>
      <c r="C107" s="365" t="s">
        <v>3164</v>
      </c>
      <c r="D107" s="365" t="s">
        <v>3165</v>
      </c>
      <c r="E107" s="365" t="s">
        <v>3166</v>
      </c>
      <c r="F107" s="365" t="s">
        <v>2964</v>
      </c>
      <c r="G107" s="365" t="s">
        <v>3167</v>
      </c>
      <c r="H107" s="365" t="s">
        <v>3026</v>
      </c>
      <c r="I107" s="365" t="s">
        <v>3027</v>
      </c>
      <c r="J107" s="365" t="s">
        <v>3168</v>
      </c>
      <c r="K107" s="364"/>
      <c r="L107" s="364"/>
      <c r="M107" s="365" t="s">
        <v>2969</v>
      </c>
      <c r="N107" s="401">
        <v>45762.0</v>
      </c>
      <c r="O107" s="388" t="s">
        <v>2294</v>
      </c>
      <c r="P107" s="365" t="s">
        <v>3172</v>
      </c>
      <c r="Q107" s="365" t="s">
        <v>2964</v>
      </c>
      <c r="R107" s="365" t="s">
        <v>2594</v>
      </c>
      <c r="S107" s="365" t="s">
        <v>2594</v>
      </c>
      <c r="T107" s="364"/>
      <c r="U107" s="364"/>
      <c r="V107" s="364"/>
      <c r="W107" s="364"/>
      <c r="X107" s="364"/>
      <c r="Y107" s="364"/>
      <c r="Z107" s="364"/>
      <c r="AA107" s="364"/>
      <c r="AB107" s="364"/>
      <c r="AC107" s="364"/>
      <c r="AD107" s="364"/>
    </row>
    <row r="108">
      <c r="A108" s="365" t="s">
        <v>660</v>
      </c>
      <c r="B108" s="365" t="s">
        <v>1540</v>
      </c>
      <c r="C108" s="365" t="s">
        <v>3173</v>
      </c>
      <c r="D108" s="365" t="s">
        <v>3174</v>
      </c>
      <c r="E108" s="365" t="s">
        <v>3175</v>
      </c>
      <c r="F108" s="365" t="s">
        <v>2964</v>
      </c>
      <c r="G108" s="365" t="s">
        <v>3176</v>
      </c>
      <c r="H108" s="365" t="s">
        <v>3026</v>
      </c>
      <c r="I108" s="365" t="s">
        <v>3027</v>
      </c>
      <c r="J108" s="365" t="s">
        <v>3177</v>
      </c>
      <c r="K108" s="364"/>
      <c r="L108" s="364"/>
      <c r="M108" s="365" t="s">
        <v>2969</v>
      </c>
      <c r="N108" s="401">
        <v>45673.0</v>
      </c>
      <c r="O108" s="388" t="s">
        <v>2289</v>
      </c>
      <c r="P108" s="365" t="s">
        <v>3178</v>
      </c>
      <c r="Q108" s="365" t="s">
        <v>2964</v>
      </c>
      <c r="R108" s="365" t="s">
        <v>2594</v>
      </c>
      <c r="S108" s="365" t="s">
        <v>2594</v>
      </c>
      <c r="T108" s="364"/>
      <c r="U108" s="364"/>
      <c r="V108" s="364"/>
      <c r="W108" s="364"/>
      <c r="X108" s="364"/>
      <c r="Y108" s="364"/>
      <c r="Z108" s="364"/>
      <c r="AA108" s="364"/>
      <c r="AB108" s="364"/>
      <c r="AC108" s="364"/>
      <c r="AD108" s="364"/>
    </row>
    <row r="109">
      <c r="A109" s="365" t="s">
        <v>660</v>
      </c>
      <c r="B109" s="365" t="s">
        <v>1540</v>
      </c>
      <c r="C109" s="365" t="s">
        <v>3173</v>
      </c>
      <c r="D109" s="365" t="s">
        <v>3174</v>
      </c>
      <c r="E109" s="365" t="s">
        <v>3175</v>
      </c>
      <c r="F109" s="365" t="s">
        <v>2964</v>
      </c>
      <c r="G109" s="365" t="s">
        <v>3176</v>
      </c>
      <c r="H109" s="365" t="s">
        <v>3026</v>
      </c>
      <c r="I109" s="365" t="s">
        <v>3027</v>
      </c>
      <c r="J109" s="365" t="s">
        <v>3177</v>
      </c>
      <c r="K109" s="364"/>
      <c r="L109" s="364"/>
      <c r="M109" s="365" t="s">
        <v>2969</v>
      </c>
      <c r="N109" s="401">
        <v>45704.0</v>
      </c>
      <c r="O109" s="388" t="s">
        <v>2294</v>
      </c>
      <c r="P109" s="365" t="s">
        <v>3179</v>
      </c>
      <c r="Q109" s="365" t="s">
        <v>2964</v>
      </c>
      <c r="R109" s="365" t="s">
        <v>2594</v>
      </c>
      <c r="S109" s="365" t="s">
        <v>2594</v>
      </c>
      <c r="T109" s="364"/>
      <c r="U109" s="364"/>
      <c r="V109" s="364"/>
      <c r="W109" s="364"/>
      <c r="X109" s="364"/>
      <c r="Y109" s="364"/>
      <c r="Z109" s="364"/>
      <c r="AA109" s="364"/>
      <c r="AB109" s="364"/>
      <c r="AC109" s="364"/>
      <c r="AD109" s="364"/>
    </row>
    <row r="110">
      <c r="A110" s="365" t="s">
        <v>660</v>
      </c>
      <c r="B110" s="365" t="s">
        <v>1540</v>
      </c>
      <c r="C110" s="365" t="s">
        <v>3173</v>
      </c>
      <c r="D110" s="365" t="s">
        <v>3174</v>
      </c>
      <c r="E110" s="365" t="s">
        <v>3175</v>
      </c>
      <c r="F110" s="365" t="s">
        <v>2964</v>
      </c>
      <c r="G110" s="365" t="s">
        <v>3176</v>
      </c>
      <c r="H110" s="365" t="s">
        <v>3026</v>
      </c>
      <c r="I110" s="365" t="s">
        <v>3027</v>
      </c>
      <c r="J110" s="365" t="s">
        <v>3177</v>
      </c>
      <c r="K110" s="364"/>
      <c r="L110" s="364"/>
      <c r="M110" s="365" t="s">
        <v>2969</v>
      </c>
      <c r="N110" s="401">
        <v>45732.0</v>
      </c>
      <c r="O110" s="388" t="s">
        <v>2289</v>
      </c>
      <c r="P110" s="365" t="s">
        <v>3180</v>
      </c>
      <c r="Q110" s="365" t="s">
        <v>2964</v>
      </c>
      <c r="R110" s="365" t="s">
        <v>2594</v>
      </c>
      <c r="S110" s="365" t="s">
        <v>2594</v>
      </c>
      <c r="T110" s="364"/>
      <c r="U110" s="364"/>
      <c r="V110" s="364"/>
      <c r="W110" s="364"/>
      <c r="X110" s="364"/>
      <c r="Y110" s="364"/>
      <c r="Z110" s="364"/>
      <c r="AA110" s="364"/>
      <c r="AB110" s="364"/>
      <c r="AC110" s="364"/>
      <c r="AD110" s="364"/>
    </row>
    <row r="111">
      <c r="A111" s="365" t="s">
        <v>660</v>
      </c>
      <c r="B111" s="365" t="s">
        <v>1540</v>
      </c>
      <c r="C111" s="365" t="s">
        <v>3173</v>
      </c>
      <c r="D111" s="365" t="s">
        <v>3174</v>
      </c>
      <c r="E111" s="365" t="s">
        <v>3175</v>
      </c>
      <c r="F111" s="365" t="s">
        <v>2964</v>
      </c>
      <c r="G111" s="365" t="s">
        <v>3176</v>
      </c>
      <c r="H111" s="365" t="s">
        <v>3026</v>
      </c>
      <c r="I111" s="365" t="s">
        <v>3027</v>
      </c>
      <c r="J111" s="365" t="s">
        <v>3177</v>
      </c>
      <c r="K111" s="364"/>
      <c r="L111" s="364"/>
      <c r="M111" s="365" t="s">
        <v>2969</v>
      </c>
      <c r="N111" s="401">
        <v>45763.0</v>
      </c>
      <c r="O111" s="388" t="s">
        <v>2294</v>
      </c>
      <c r="P111" s="365" t="s">
        <v>3181</v>
      </c>
      <c r="Q111" s="365" t="s">
        <v>2964</v>
      </c>
      <c r="R111" s="365" t="s">
        <v>2594</v>
      </c>
      <c r="S111" s="365" t="s">
        <v>2594</v>
      </c>
      <c r="T111" s="364"/>
      <c r="U111" s="364"/>
      <c r="V111" s="364"/>
      <c r="W111" s="364"/>
      <c r="X111" s="364"/>
      <c r="Y111" s="364"/>
      <c r="Z111" s="364"/>
      <c r="AA111" s="364"/>
      <c r="AB111" s="364"/>
      <c r="AC111" s="364"/>
      <c r="AD111" s="364"/>
    </row>
    <row r="112">
      <c r="A112" s="365" t="s">
        <v>660</v>
      </c>
      <c r="B112" s="365" t="s">
        <v>1540</v>
      </c>
      <c r="C112" s="365" t="s">
        <v>3182</v>
      </c>
      <c r="D112" s="365" t="s">
        <v>3183</v>
      </c>
      <c r="E112" s="365" t="s">
        <v>3184</v>
      </c>
      <c r="F112" s="365" t="s">
        <v>2964</v>
      </c>
      <c r="G112" s="365" t="s">
        <v>3185</v>
      </c>
      <c r="H112" s="365" t="s">
        <v>3026</v>
      </c>
      <c r="I112" s="365" t="s">
        <v>3027</v>
      </c>
      <c r="J112" s="365" t="s">
        <v>3186</v>
      </c>
      <c r="K112" s="364"/>
      <c r="L112" s="364"/>
      <c r="M112" s="365" t="s">
        <v>2969</v>
      </c>
      <c r="N112" s="401">
        <v>45674.0</v>
      </c>
      <c r="O112" s="388" t="s">
        <v>2289</v>
      </c>
      <c r="P112" s="365" t="s">
        <v>3187</v>
      </c>
      <c r="Q112" s="365" t="s">
        <v>2964</v>
      </c>
      <c r="R112" s="365" t="s">
        <v>2594</v>
      </c>
      <c r="S112" s="365" t="s">
        <v>2594</v>
      </c>
      <c r="T112" s="364"/>
      <c r="U112" s="364"/>
      <c r="V112" s="364"/>
      <c r="W112" s="364"/>
      <c r="X112" s="364"/>
      <c r="Y112" s="364"/>
      <c r="Z112" s="364"/>
      <c r="AA112" s="364"/>
      <c r="AB112" s="364"/>
      <c r="AC112" s="364"/>
      <c r="AD112" s="364"/>
    </row>
    <row r="113">
      <c r="A113" s="365" t="s">
        <v>660</v>
      </c>
      <c r="B113" s="365" t="s">
        <v>1540</v>
      </c>
      <c r="C113" s="365" t="s">
        <v>3182</v>
      </c>
      <c r="D113" s="365" t="s">
        <v>3183</v>
      </c>
      <c r="E113" s="365" t="s">
        <v>3184</v>
      </c>
      <c r="F113" s="365" t="s">
        <v>2964</v>
      </c>
      <c r="G113" s="365" t="s">
        <v>3185</v>
      </c>
      <c r="H113" s="365" t="s">
        <v>3026</v>
      </c>
      <c r="I113" s="365" t="s">
        <v>3027</v>
      </c>
      <c r="J113" s="365" t="s">
        <v>3186</v>
      </c>
      <c r="K113" s="364"/>
      <c r="L113" s="364"/>
      <c r="M113" s="365" t="s">
        <v>2969</v>
      </c>
      <c r="N113" s="401">
        <v>45705.0</v>
      </c>
      <c r="O113" s="388" t="s">
        <v>2294</v>
      </c>
      <c r="P113" s="365" t="s">
        <v>3188</v>
      </c>
      <c r="Q113" s="365" t="s">
        <v>2964</v>
      </c>
      <c r="R113" s="365" t="s">
        <v>2594</v>
      </c>
      <c r="S113" s="365" t="s">
        <v>2594</v>
      </c>
      <c r="T113" s="364"/>
      <c r="U113" s="364"/>
      <c r="V113" s="364"/>
      <c r="W113" s="364"/>
      <c r="X113" s="364"/>
      <c r="Y113" s="364"/>
      <c r="Z113" s="364"/>
      <c r="AA113" s="364"/>
      <c r="AB113" s="364"/>
      <c r="AC113" s="364"/>
      <c r="AD113" s="364"/>
    </row>
    <row r="114">
      <c r="A114" s="365" t="s">
        <v>660</v>
      </c>
      <c r="B114" s="365" t="s">
        <v>1540</v>
      </c>
      <c r="C114" s="365" t="s">
        <v>3182</v>
      </c>
      <c r="D114" s="365" t="s">
        <v>3183</v>
      </c>
      <c r="E114" s="365" t="s">
        <v>3184</v>
      </c>
      <c r="F114" s="365" t="s">
        <v>2964</v>
      </c>
      <c r="G114" s="365" t="s">
        <v>3185</v>
      </c>
      <c r="H114" s="365" t="s">
        <v>3026</v>
      </c>
      <c r="I114" s="365" t="s">
        <v>3027</v>
      </c>
      <c r="J114" s="365" t="s">
        <v>3186</v>
      </c>
      <c r="K114" s="364"/>
      <c r="L114" s="364"/>
      <c r="M114" s="365" t="s">
        <v>2969</v>
      </c>
      <c r="N114" s="401">
        <v>45733.0</v>
      </c>
      <c r="O114" s="388" t="s">
        <v>2289</v>
      </c>
      <c r="P114" s="365" t="s">
        <v>3189</v>
      </c>
      <c r="Q114" s="365" t="s">
        <v>2964</v>
      </c>
      <c r="R114" s="365" t="s">
        <v>2594</v>
      </c>
      <c r="S114" s="365" t="s">
        <v>2594</v>
      </c>
      <c r="T114" s="364"/>
      <c r="U114" s="364"/>
      <c r="V114" s="364"/>
      <c r="W114" s="364"/>
      <c r="X114" s="364"/>
      <c r="Y114" s="364"/>
      <c r="Z114" s="364"/>
      <c r="AA114" s="364"/>
      <c r="AB114" s="364"/>
      <c r="AC114" s="364"/>
      <c r="AD114" s="364"/>
    </row>
    <row r="115">
      <c r="A115" s="365" t="s">
        <v>660</v>
      </c>
      <c r="B115" s="365" t="s">
        <v>1540</v>
      </c>
      <c r="C115" s="365" t="s">
        <v>3182</v>
      </c>
      <c r="D115" s="365" t="s">
        <v>3183</v>
      </c>
      <c r="E115" s="365" t="s">
        <v>3184</v>
      </c>
      <c r="F115" s="365" t="s">
        <v>2964</v>
      </c>
      <c r="G115" s="365" t="s">
        <v>3185</v>
      </c>
      <c r="H115" s="365" t="s">
        <v>3026</v>
      </c>
      <c r="I115" s="365" t="s">
        <v>3027</v>
      </c>
      <c r="J115" s="365" t="s">
        <v>3186</v>
      </c>
      <c r="K115" s="364"/>
      <c r="L115" s="364"/>
      <c r="M115" s="365" t="s">
        <v>2969</v>
      </c>
      <c r="N115" s="401">
        <v>45764.0</v>
      </c>
      <c r="O115" s="388" t="s">
        <v>2294</v>
      </c>
      <c r="P115" s="365" t="s">
        <v>3190</v>
      </c>
      <c r="Q115" s="365" t="s">
        <v>2964</v>
      </c>
      <c r="R115" s="365" t="s">
        <v>2594</v>
      </c>
      <c r="S115" s="365" t="s">
        <v>2594</v>
      </c>
      <c r="T115" s="364"/>
      <c r="U115" s="364"/>
      <c r="V115" s="364"/>
      <c r="W115" s="364"/>
      <c r="X115" s="364"/>
      <c r="Y115" s="364"/>
      <c r="Z115" s="364"/>
      <c r="AA115" s="364"/>
      <c r="AB115" s="364"/>
      <c r="AC115" s="364"/>
      <c r="AD115" s="364"/>
    </row>
    <row r="116">
      <c r="A116" s="365" t="s">
        <v>660</v>
      </c>
      <c r="B116" s="365" t="s">
        <v>1540</v>
      </c>
      <c r="C116" s="365" t="s">
        <v>3191</v>
      </c>
      <c r="D116" s="365" t="s">
        <v>3192</v>
      </c>
      <c r="E116" s="365" t="s">
        <v>3193</v>
      </c>
      <c r="F116" s="365" t="s">
        <v>2964</v>
      </c>
      <c r="G116" s="365" t="s">
        <v>3194</v>
      </c>
      <c r="H116" s="365" t="s">
        <v>3026</v>
      </c>
      <c r="I116" s="365" t="s">
        <v>3027</v>
      </c>
      <c r="J116" s="365" t="s">
        <v>3195</v>
      </c>
      <c r="K116" s="364"/>
      <c r="L116" s="364"/>
      <c r="M116" s="365" t="s">
        <v>2969</v>
      </c>
      <c r="N116" s="401">
        <v>45675.0</v>
      </c>
      <c r="O116" s="388" t="s">
        <v>2289</v>
      </c>
      <c r="P116" s="365" t="s">
        <v>3196</v>
      </c>
      <c r="Q116" s="365" t="s">
        <v>2964</v>
      </c>
      <c r="R116" s="365" t="s">
        <v>2594</v>
      </c>
      <c r="S116" s="365" t="s">
        <v>2594</v>
      </c>
      <c r="T116" s="364"/>
      <c r="U116" s="364"/>
      <c r="V116" s="364"/>
      <c r="W116" s="364"/>
      <c r="X116" s="364"/>
      <c r="Y116" s="364"/>
      <c r="Z116" s="364"/>
      <c r="AA116" s="364"/>
      <c r="AB116" s="364"/>
      <c r="AC116" s="364"/>
      <c r="AD116" s="364"/>
    </row>
    <row r="117">
      <c r="A117" s="365" t="s">
        <v>660</v>
      </c>
      <c r="B117" s="365" t="s">
        <v>1540</v>
      </c>
      <c r="C117" s="365" t="s">
        <v>3191</v>
      </c>
      <c r="D117" s="365" t="s">
        <v>3192</v>
      </c>
      <c r="E117" s="365" t="s">
        <v>3193</v>
      </c>
      <c r="F117" s="365" t="s">
        <v>2964</v>
      </c>
      <c r="G117" s="365" t="s">
        <v>3194</v>
      </c>
      <c r="H117" s="365" t="s">
        <v>3026</v>
      </c>
      <c r="I117" s="365" t="s">
        <v>3027</v>
      </c>
      <c r="J117" s="365" t="s">
        <v>3195</v>
      </c>
      <c r="K117" s="364"/>
      <c r="L117" s="364"/>
      <c r="M117" s="365" t="s">
        <v>2969</v>
      </c>
      <c r="N117" s="401">
        <v>45706.0</v>
      </c>
      <c r="O117" s="388" t="s">
        <v>2294</v>
      </c>
      <c r="P117" s="365" t="s">
        <v>3197</v>
      </c>
      <c r="Q117" s="365" t="s">
        <v>2964</v>
      </c>
      <c r="R117" s="365" t="s">
        <v>2594</v>
      </c>
      <c r="S117" s="365" t="s">
        <v>2594</v>
      </c>
      <c r="T117" s="364"/>
      <c r="U117" s="364"/>
      <c r="V117" s="364"/>
      <c r="W117" s="364"/>
      <c r="X117" s="364"/>
      <c r="Y117" s="364"/>
      <c r="Z117" s="364"/>
      <c r="AA117" s="364"/>
      <c r="AB117" s="364"/>
      <c r="AC117" s="364"/>
      <c r="AD117" s="364"/>
    </row>
    <row r="118">
      <c r="A118" s="365" t="s">
        <v>660</v>
      </c>
      <c r="B118" s="365" t="s">
        <v>1540</v>
      </c>
      <c r="C118" s="365" t="s">
        <v>3191</v>
      </c>
      <c r="D118" s="365" t="s">
        <v>3192</v>
      </c>
      <c r="E118" s="365" t="s">
        <v>3193</v>
      </c>
      <c r="F118" s="365" t="s">
        <v>2964</v>
      </c>
      <c r="G118" s="365" t="s">
        <v>3194</v>
      </c>
      <c r="H118" s="365" t="s">
        <v>3026</v>
      </c>
      <c r="I118" s="365" t="s">
        <v>3027</v>
      </c>
      <c r="J118" s="365" t="s">
        <v>3195</v>
      </c>
      <c r="K118" s="364"/>
      <c r="L118" s="364"/>
      <c r="M118" s="365" t="s">
        <v>2969</v>
      </c>
      <c r="N118" s="401">
        <v>45734.0</v>
      </c>
      <c r="O118" s="388" t="s">
        <v>2289</v>
      </c>
      <c r="P118" s="365" t="s">
        <v>3198</v>
      </c>
      <c r="Q118" s="365" t="s">
        <v>2964</v>
      </c>
      <c r="R118" s="365" t="s">
        <v>2594</v>
      </c>
      <c r="S118" s="365" t="s">
        <v>2594</v>
      </c>
      <c r="T118" s="364"/>
      <c r="U118" s="364"/>
      <c r="V118" s="364"/>
      <c r="W118" s="364"/>
      <c r="X118" s="364"/>
      <c r="Y118" s="364"/>
      <c r="Z118" s="364"/>
      <c r="AA118" s="364"/>
      <c r="AB118" s="364"/>
      <c r="AC118" s="364"/>
      <c r="AD118" s="364"/>
    </row>
    <row r="119">
      <c r="A119" s="365" t="s">
        <v>660</v>
      </c>
      <c r="B119" s="365" t="s">
        <v>1540</v>
      </c>
      <c r="C119" s="365" t="s">
        <v>3191</v>
      </c>
      <c r="D119" s="365" t="s">
        <v>3192</v>
      </c>
      <c r="E119" s="365" t="s">
        <v>3193</v>
      </c>
      <c r="F119" s="365" t="s">
        <v>2964</v>
      </c>
      <c r="G119" s="365" t="s">
        <v>3194</v>
      </c>
      <c r="H119" s="365" t="s">
        <v>3026</v>
      </c>
      <c r="I119" s="365" t="s">
        <v>3027</v>
      </c>
      <c r="J119" s="365" t="s">
        <v>3195</v>
      </c>
      <c r="K119" s="364"/>
      <c r="L119" s="364"/>
      <c r="M119" s="365" t="s">
        <v>2969</v>
      </c>
      <c r="N119" s="401">
        <v>45765.0</v>
      </c>
      <c r="O119" s="388" t="s">
        <v>2294</v>
      </c>
      <c r="P119" s="365" t="s">
        <v>3199</v>
      </c>
      <c r="Q119" s="365" t="s">
        <v>2964</v>
      </c>
      <c r="R119" s="365" t="s">
        <v>2594</v>
      </c>
      <c r="S119" s="365" t="s">
        <v>2594</v>
      </c>
      <c r="T119" s="364"/>
      <c r="U119" s="364"/>
      <c r="V119" s="364"/>
      <c r="W119" s="364"/>
      <c r="X119" s="364"/>
      <c r="Y119" s="364"/>
      <c r="Z119" s="364"/>
      <c r="AA119" s="364"/>
      <c r="AB119" s="364"/>
      <c r="AC119" s="364"/>
      <c r="AD119" s="364"/>
    </row>
    <row r="120">
      <c r="A120" s="365" t="s">
        <v>660</v>
      </c>
      <c r="B120" s="365" t="s">
        <v>1540</v>
      </c>
      <c r="C120" s="365" t="s">
        <v>42</v>
      </c>
      <c r="D120" s="365" t="s">
        <v>3200</v>
      </c>
      <c r="E120" s="365" t="s">
        <v>3201</v>
      </c>
      <c r="F120" s="365" t="s">
        <v>2964</v>
      </c>
      <c r="G120" s="365" t="s">
        <v>3202</v>
      </c>
      <c r="H120" s="365" t="s">
        <v>3026</v>
      </c>
      <c r="I120" s="365" t="s">
        <v>3027</v>
      </c>
      <c r="J120" s="365" t="s">
        <v>3203</v>
      </c>
      <c r="K120" s="364"/>
      <c r="L120" s="364"/>
      <c r="M120" s="365" t="s">
        <v>2969</v>
      </c>
      <c r="N120" s="401">
        <v>45676.0</v>
      </c>
      <c r="O120" s="388" t="s">
        <v>2289</v>
      </c>
      <c r="P120" s="365" t="s">
        <v>3204</v>
      </c>
      <c r="Q120" s="365" t="s">
        <v>2964</v>
      </c>
      <c r="R120" s="365" t="s">
        <v>2594</v>
      </c>
      <c r="S120" s="365" t="s">
        <v>2594</v>
      </c>
      <c r="T120" s="364"/>
      <c r="U120" s="364"/>
      <c r="V120" s="364"/>
      <c r="W120" s="364"/>
      <c r="X120" s="364"/>
      <c r="Y120" s="364"/>
      <c r="Z120" s="364"/>
      <c r="AA120" s="364"/>
      <c r="AB120" s="364"/>
      <c r="AC120" s="364"/>
      <c r="AD120" s="364"/>
    </row>
    <row r="121">
      <c r="A121" s="365" t="s">
        <v>660</v>
      </c>
      <c r="B121" s="365" t="s">
        <v>1540</v>
      </c>
      <c r="C121" s="365" t="s">
        <v>42</v>
      </c>
      <c r="D121" s="365" t="s">
        <v>3200</v>
      </c>
      <c r="E121" s="365" t="s">
        <v>3201</v>
      </c>
      <c r="F121" s="365" t="s">
        <v>2964</v>
      </c>
      <c r="G121" s="365" t="s">
        <v>3202</v>
      </c>
      <c r="H121" s="365" t="s">
        <v>3026</v>
      </c>
      <c r="I121" s="365" t="s">
        <v>3027</v>
      </c>
      <c r="J121" s="365" t="s">
        <v>3203</v>
      </c>
      <c r="K121" s="364"/>
      <c r="L121" s="364"/>
      <c r="M121" s="365" t="s">
        <v>2969</v>
      </c>
      <c r="N121" s="401">
        <v>45707.0</v>
      </c>
      <c r="O121" s="388" t="s">
        <v>2294</v>
      </c>
      <c r="P121" s="365" t="s">
        <v>3205</v>
      </c>
      <c r="Q121" s="365" t="s">
        <v>2964</v>
      </c>
      <c r="R121" s="365" t="s">
        <v>2594</v>
      </c>
      <c r="S121" s="365" t="s">
        <v>2594</v>
      </c>
      <c r="T121" s="364"/>
      <c r="U121" s="364"/>
      <c r="V121" s="364"/>
      <c r="W121" s="364"/>
      <c r="X121" s="364"/>
      <c r="Y121" s="364"/>
      <c r="Z121" s="364"/>
      <c r="AA121" s="364"/>
      <c r="AB121" s="364"/>
      <c r="AC121" s="364"/>
      <c r="AD121" s="364"/>
    </row>
    <row r="122">
      <c r="A122" s="365" t="s">
        <v>660</v>
      </c>
      <c r="B122" s="365" t="s">
        <v>1540</v>
      </c>
      <c r="C122" s="365" t="s">
        <v>42</v>
      </c>
      <c r="D122" s="365" t="s">
        <v>3200</v>
      </c>
      <c r="E122" s="365" t="s">
        <v>3201</v>
      </c>
      <c r="F122" s="365" t="s">
        <v>2964</v>
      </c>
      <c r="G122" s="365" t="s">
        <v>3202</v>
      </c>
      <c r="H122" s="365" t="s">
        <v>3026</v>
      </c>
      <c r="I122" s="365" t="s">
        <v>3027</v>
      </c>
      <c r="J122" s="365" t="s">
        <v>3203</v>
      </c>
      <c r="K122" s="364"/>
      <c r="L122" s="364"/>
      <c r="M122" s="365" t="s">
        <v>2969</v>
      </c>
      <c r="N122" s="401">
        <v>45735.0</v>
      </c>
      <c r="O122" s="388" t="s">
        <v>2289</v>
      </c>
      <c r="P122" s="365" t="s">
        <v>3206</v>
      </c>
      <c r="Q122" s="365" t="s">
        <v>2964</v>
      </c>
      <c r="R122" s="365" t="s">
        <v>2594</v>
      </c>
      <c r="S122" s="365" t="s">
        <v>2594</v>
      </c>
      <c r="T122" s="364"/>
      <c r="U122" s="364"/>
      <c r="V122" s="364"/>
      <c r="W122" s="364"/>
      <c r="X122" s="364"/>
      <c r="Y122" s="364"/>
      <c r="Z122" s="364"/>
      <c r="AA122" s="364"/>
      <c r="AB122" s="364"/>
      <c r="AC122" s="364"/>
      <c r="AD122" s="364"/>
    </row>
    <row r="123">
      <c r="A123" s="365" t="s">
        <v>660</v>
      </c>
      <c r="B123" s="365" t="s">
        <v>1540</v>
      </c>
      <c r="C123" s="365" t="s">
        <v>42</v>
      </c>
      <c r="D123" s="365" t="s">
        <v>3200</v>
      </c>
      <c r="E123" s="365" t="s">
        <v>3201</v>
      </c>
      <c r="F123" s="365" t="s">
        <v>2964</v>
      </c>
      <c r="G123" s="365" t="s">
        <v>3202</v>
      </c>
      <c r="H123" s="365" t="s">
        <v>3026</v>
      </c>
      <c r="I123" s="365" t="s">
        <v>3027</v>
      </c>
      <c r="J123" s="365" t="s">
        <v>3203</v>
      </c>
      <c r="K123" s="364"/>
      <c r="L123" s="364"/>
      <c r="M123" s="365" t="s">
        <v>2969</v>
      </c>
      <c r="N123" s="401">
        <v>45766.0</v>
      </c>
      <c r="O123" s="388" t="s">
        <v>2294</v>
      </c>
      <c r="P123" s="365" t="s">
        <v>3207</v>
      </c>
      <c r="Q123" s="365" t="s">
        <v>2964</v>
      </c>
      <c r="R123" s="365" t="s">
        <v>2594</v>
      </c>
      <c r="S123" s="365" t="s">
        <v>2594</v>
      </c>
      <c r="T123" s="364"/>
      <c r="U123" s="364"/>
      <c r="V123" s="364"/>
      <c r="W123" s="364"/>
      <c r="X123" s="364"/>
      <c r="Y123" s="364"/>
      <c r="Z123" s="364"/>
      <c r="AA123" s="364"/>
      <c r="AB123" s="364"/>
      <c r="AC123" s="364"/>
      <c r="AD123" s="364"/>
    </row>
    <row r="124">
      <c r="A124" s="365" t="s">
        <v>660</v>
      </c>
      <c r="B124" s="365" t="s">
        <v>1540</v>
      </c>
      <c r="C124" s="365" t="s">
        <v>3208</v>
      </c>
      <c r="D124" s="365" t="s">
        <v>3209</v>
      </c>
      <c r="E124" s="365" t="s">
        <v>3210</v>
      </c>
      <c r="F124" s="365" t="s">
        <v>2964</v>
      </c>
      <c r="G124" s="365" t="s">
        <v>3211</v>
      </c>
      <c r="H124" s="365" t="s">
        <v>3026</v>
      </c>
      <c r="I124" s="365" t="s">
        <v>3027</v>
      </c>
      <c r="J124" s="365" t="s">
        <v>3212</v>
      </c>
      <c r="K124" s="364"/>
      <c r="L124" s="364"/>
      <c r="M124" s="365" t="s">
        <v>2969</v>
      </c>
      <c r="N124" s="401">
        <v>45677.0</v>
      </c>
      <c r="O124" s="388" t="s">
        <v>2289</v>
      </c>
      <c r="P124" s="365" t="s">
        <v>3213</v>
      </c>
      <c r="Q124" s="365" t="s">
        <v>2964</v>
      </c>
      <c r="R124" s="365" t="s">
        <v>2594</v>
      </c>
      <c r="S124" s="365" t="s">
        <v>2594</v>
      </c>
      <c r="T124" s="364"/>
      <c r="U124" s="364"/>
      <c r="V124" s="364"/>
      <c r="W124" s="364"/>
      <c r="X124" s="364"/>
      <c r="Y124" s="364"/>
      <c r="Z124" s="364"/>
      <c r="AA124" s="364"/>
      <c r="AB124" s="364"/>
      <c r="AC124" s="364"/>
      <c r="AD124" s="364"/>
    </row>
    <row r="125">
      <c r="A125" s="365" t="s">
        <v>660</v>
      </c>
      <c r="B125" s="365" t="s">
        <v>1540</v>
      </c>
      <c r="C125" s="365" t="s">
        <v>3208</v>
      </c>
      <c r="D125" s="365" t="s">
        <v>3209</v>
      </c>
      <c r="E125" s="365" t="s">
        <v>3210</v>
      </c>
      <c r="F125" s="365" t="s">
        <v>2964</v>
      </c>
      <c r="G125" s="365" t="s">
        <v>3211</v>
      </c>
      <c r="H125" s="365" t="s">
        <v>3026</v>
      </c>
      <c r="I125" s="365" t="s">
        <v>3027</v>
      </c>
      <c r="J125" s="365" t="s">
        <v>3212</v>
      </c>
      <c r="K125" s="364"/>
      <c r="L125" s="364"/>
      <c r="M125" s="365" t="s">
        <v>2969</v>
      </c>
      <c r="N125" s="401">
        <v>45708.0</v>
      </c>
      <c r="O125" s="388" t="s">
        <v>2294</v>
      </c>
      <c r="P125" s="365" t="s">
        <v>3214</v>
      </c>
      <c r="Q125" s="365" t="s">
        <v>2964</v>
      </c>
      <c r="R125" s="365" t="s">
        <v>2594</v>
      </c>
      <c r="S125" s="365" t="s">
        <v>2594</v>
      </c>
      <c r="T125" s="364"/>
      <c r="U125" s="364"/>
      <c r="V125" s="364"/>
      <c r="W125" s="364"/>
      <c r="X125" s="364"/>
      <c r="Y125" s="364"/>
      <c r="Z125" s="364"/>
      <c r="AA125" s="364"/>
      <c r="AB125" s="364"/>
      <c r="AC125" s="364"/>
      <c r="AD125" s="364"/>
    </row>
    <row r="126">
      <c r="A126" s="365" t="s">
        <v>660</v>
      </c>
      <c r="B126" s="365" t="s">
        <v>1540</v>
      </c>
      <c r="C126" s="365" t="s">
        <v>3208</v>
      </c>
      <c r="D126" s="365" t="s">
        <v>3209</v>
      </c>
      <c r="E126" s="365" t="s">
        <v>3210</v>
      </c>
      <c r="F126" s="365" t="s">
        <v>2964</v>
      </c>
      <c r="G126" s="365" t="s">
        <v>3211</v>
      </c>
      <c r="H126" s="365" t="s">
        <v>3026</v>
      </c>
      <c r="I126" s="365" t="s">
        <v>3027</v>
      </c>
      <c r="J126" s="365" t="s">
        <v>3212</v>
      </c>
      <c r="K126" s="364"/>
      <c r="L126" s="364"/>
      <c r="M126" s="365" t="s">
        <v>2969</v>
      </c>
      <c r="N126" s="401">
        <v>45736.0</v>
      </c>
      <c r="O126" s="388" t="s">
        <v>2289</v>
      </c>
      <c r="P126" s="365" t="s">
        <v>3215</v>
      </c>
      <c r="Q126" s="365" t="s">
        <v>2964</v>
      </c>
      <c r="R126" s="365" t="s">
        <v>2594</v>
      </c>
      <c r="S126" s="365" t="s">
        <v>2594</v>
      </c>
      <c r="T126" s="364"/>
      <c r="U126" s="364"/>
      <c r="V126" s="364"/>
      <c r="W126" s="364"/>
      <c r="X126" s="364"/>
      <c r="Y126" s="364"/>
      <c r="Z126" s="364"/>
      <c r="AA126" s="364"/>
      <c r="AB126" s="364"/>
      <c r="AC126" s="364"/>
      <c r="AD126" s="364"/>
    </row>
    <row r="127">
      <c r="A127" s="365" t="s">
        <v>660</v>
      </c>
      <c r="B127" s="365" t="s">
        <v>1540</v>
      </c>
      <c r="C127" s="365" t="s">
        <v>3208</v>
      </c>
      <c r="D127" s="365" t="s">
        <v>3209</v>
      </c>
      <c r="E127" s="365" t="s">
        <v>3210</v>
      </c>
      <c r="F127" s="365" t="s">
        <v>2964</v>
      </c>
      <c r="G127" s="365" t="s">
        <v>3211</v>
      </c>
      <c r="H127" s="365" t="s">
        <v>3026</v>
      </c>
      <c r="I127" s="365" t="s">
        <v>3027</v>
      </c>
      <c r="J127" s="365" t="s">
        <v>3212</v>
      </c>
      <c r="K127" s="364"/>
      <c r="L127" s="364"/>
      <c r="M127" s="365" t="s">
        <v>2969</v>
      </c>
      <c r="N127" s="401">
        <v>45767.0</v>
      </c>
      <c r="O127" s="388" t="s">
        <v>2294</v>
      </c>
      <c r="P127" s="365" t="s">
        <v>3216</v>
      </c>
      <c r="Q127" s="365" t="s">
        <v>2964</v>
      </c>
      <c r="R127" s="365" t="s">
        <v>2594</v>
      </c>
      <c r="S127" s="365" t="s">
        <v>2594</v>
      </c>
      <c r="T127" s="364"/>
      <c r="U127" s="364"/>
      <c r="V127" s="364"/>
      <c r="W127" s="364"/>
      <c r="X127" s="364"/>
      <c r="Y127" s="364"/>
      <c r="Z127" s="364"/>
      <c r="AA127" s="364"/>
      <c r="AB127" s="364"/>
      <c r="AC127" s="364"/>
      <c r="AD127" s="364"/>
    </row>
    <row r="128">
      <c r="A128" s="365" t="s">
        <v>660</v>
      </c>
      <c r="B128" s="365" t="s">
        <v>1540</v>
      </c>
      <c r="C128" s="365" t="s">
        <v>3208</v>
      </c>
      <c r="D128" s="365" t="s">
        <v>3209</v>
      </c>
      <c r="E128" s="365" t="s">
        <v>3210</v>
      </c>
      <c r="F128" s="365" t="s">
        <v>2964</v>
      </c>
      <c r="G128" s="365" t="s">
        <v>3211</v>
      </c>
      <c r="H128" s="365" t="s">
        <v>3026</v>
      </c>
      <c r="I128" s="365" t="s">
        <v>3027</v>
      </c>
      <c r="J128" s="365" t="s">
        <v>3212</v>
      </c>
      <c r="K128" s="364"/>
      <c r="L128" s="364"/>
      <c r="M128" s="365" t="s">
        <v>2969</v>
      </c>
      <c r="N128" s="401">
        <v>45797.0</v>
      </c>
      <c r="O128" s="388" t="s">
        <v>2289</v>
      </c>
      <c r="P128" s="365" t="s">
        <v>3217</v>
      </c>
      <c r="Q128" s="365" t="s">
        <v>2964</v>
      </c>
      <c r="R128" s="365" t="s">
        <v>2594</v>
      </c>
      <c r="S128" s="365" t="s">
        <v>2594</v>
      </c>
      <c r="T128" s="364"/>
      <c r="U128" s="364"/>
      <c r="V128" s="364"/>
      <c r="W128" s="364"/>
      <c r="X128" s="364"/>
      <c r="Y128" s="364"/>
      <c r="Z128" s="364"/>
      <c r="AA128" s="364"/>
      <c r="AB128" s="364"/>
      <c r="AC128" s="364"/>
      <c r="AD128" s="364"/>
    </row>
    <row r="129">
      <c r="A129" s="365" t="s">
        <v>660</v>
      </c>
      <c r="B129" s="365" t="s">
        <v>1540</v>
      </c>
      <c r="C129" s="365" t="s">
        <v>3208</v>
      </c>
      <c r="D129" s="365" t="s">
        <v>3209</v>
      </c>
      <c r="E129" s="365" t="s">
        <v>3210</v>
      </c>
      <c r="F129" s="365" t="s">
        <v>2964</v>
      </c>
      <c r="G129" s="365" t="s">
        <v>3211</v>
      </c>
      <c r="H129" s="365" t="s">
        <v>3026</v>
      </c>
      <c r="I129" s="365" t="s">
        <v>3027</v>
      </c>
      <c r="J129" s="365" t="s">
        <v>3212</v>
      </c>
      <c r="K129" s="364"/>
      <c r="L129" s="364"/>
      <c r="M129" s="365" t="s">
        <v>2969</v>
      </c>
      <c r="N129" s="401">
        <v>45828.0</v>
      </c>
      <c r="O129" s="388" t="s">
        <v>2294</v>
      </c>
      <c r="P129" s="365" t="s">
        <v>3218</v>
      </c>
      <c r="Q129" s="365" t="s">
        <v>2964</v>
      </c>
      <c r="R129" s="365" t="s">
        <v>2594</v>
      </c>
      <c r="S129" s="365" t="s">
        <v>2594</v>
      </c>
      <c r="T129" s="364"/>
      <c r="U129" s="364"/>
      <c r="V129" s="364"/>
      <c r="W129" s="364"/>
      <c r="X129" s="364"/>
      <c r="Y129" s="364"/>
      <c r="Z129" s="364"/>
      <c r="AA129" s="364"/>
      <c r="AB129" s="364"/>
      <c r="AC129" s="364"/>
      <c r="AD129" s="364"/>
    </row>
    <row r="130">
      <c r="A130" s="391" t="s">
        <v>660</v>
      </c>
      <c r="B130" s="391" t="s">
        <v>661</v>
      </c>
      <c r="C130" s="365" t="s">
        <v>3022</v>
      </c>
      <c r="D130" s="365" t="s">
        <v>3219</v>
      </c>
      <c r="E130" s="365" t="s">
        <v>3220</v>
      </c>
      <c r="F130" s="365" t="s">
        <v>2964</v>
      </c>
      <c r="G130" s="365" t="s">
        <v>3221</v>
      </c>
      <c r="H130" s="365" t="s">
        <v>3026</v>
      </c>
      <c r="I130" s="365" t="s">
        <v>3027</v>
      </c>
      <c r="J130" s="365" t="s">
        <v>3028</v>
      </c>
      <c r="K130" s="364"/>
      <c r="L130" s="364"/>
      <c r="M130" s="365" t="s">
        <v>2969</v>
      </c>
      <c r="N130" s="401">
        <v>45658.0</v>
      </c>
      <c r="O130" s="388" t="s">
        <v>2289</v>
      </c>
      <c r="P130" s="365" t="s">
        <v>3222</v>
      </c>
      <c r="Q130" s="365" t="s">
        <v>2964</v>
      </c>
      <c r="R130" s="365" t="s">
        <v>2594</v>
      </c>
      <c r="S130" s="365" t="s">
        <v>2594</v>
      </c>
      <c r="T130" s="364"/>
      <c r="U130" s="364"/>
      <c r="V130" s="364"/>
      <c r="W130" s="364"/>
      <c r="X130" s="364"/>
      <c r="Y130" s="364"/>
      <c r="Z130" s="364"/>
      <c r="AA130" s="364"/>
      <c r="AB130" s="364"/>
      <c r="AC130" s="364"/>
      <c r="AD130" s="364"/>
    </row>
    <row r="131">
      <c r="A131" s="391" t="s">
        <v>660</v>
      </c>
      <c r="B131" s="391" t="s">
        <v>661</v>
      </c>
      <c r="C131" s="365" t="s">
        <v>3022</v>
      </c>
      <c r="D131" s="365" t="s">
        <v>3219</v>
      </c>
      <c r="E131" s="365" t="s">
        <v>3220</v>
      </c>
      <c r="F131" s="365" t="s">
        <v>2964</v>
      </c>
      <c r="G131" s="365" t="s">
        <v>3221</v>
      </c>
      <c r="H131" s="365" t="s">
        <v>3026</v>
      </c>
      <c r="I131" s="365" t="s">
        <v>3027</v>
      </c>
      <c r="J131" s="365" t="s">
        <v>3028</v>
      </c>
      <c r="K131" s="364"/>
      <c r="L131" s="364"/>
      <c r="M131" s="365" t="s">
        <v>2969</v>
      </c>
      <c r="N131" s="401">
        <v>45689.0</v>
      </c>
      <c r="O131" s="388" t="s">
        <v>2294</v>
      </c>
      <c r="P131" s="365" t="s">
        <v>3223</v>
      </c>
      <c r="Q131" s="365" t="s">
        <v>2964</v>
      </c>
      <c r="R131" s="365" t="s">
        <v>2594</v>
      </c>
      <c r="S131" s="365" t="s">
        <v>2594</v>
      </c>
      <c r="T131" s="364"/>
      <c r="U131" s="364"/>
      <c r="V131" s="364"/>
      <c r="W131" s="364"/>
      <c r="X131" s="364"/>
      <c r="Y131" s="364"/>
      <c r="Z131" s="364"/>
      <c r="AA131" s="364"/>
      <c r="AB131" s="364"/>
      <c r="AC131" s="364"/>
      <c r="AD131" s="364"/>
    </row>
    <row r="132">
      <c r="A132" s="391" t="s">
        <v>660</v>
      </c>
      <c r="B132" s="391" t="s">
        <v>661</v>
      </c>
      <c r="C132" s="365" t="s">
        <v>3022</v>
      </c>
      <c r="D132" s="365" t="s">
        <v>3219</v>
      </c>
      <c r="E132" s="365" t="s">
        <v>3220</v>
      </c>
      <c r="F132" s="365" t="s">
        <v>2964</v>
      </c>
      <c r="G132" s="365" t="s">
        <v>3221</v>
      </c>
      <c r="H132" s="365" t="s">
        <v>3026</v>
      </c>
      <c r="I132" s="365" t="s">
        <v>3027</v>
      </c>
      <c r="J132" s="365" t="s">
        <v>3028</v>
      </c>
      <c r="K132" s="364"/>
      <c r="L132" s="364"/>
      <c r="M132" s="365" t="s">
        <v>2969</v>
      </c>
      <c r="N132" s="401">
        <v>45717.0</v>
      </c>
      <c r="O132" s="388" t="s">
        <v>2289</v>
      </c>
      <c r="P132" s="365" t="s">
        <v>3224</v>
      </c>
      <c r="Q132" s="365" t="s">
        <v>2964</v>
      </c>
      <c r="R132" s="365" t="s">
        <v>2594</v>
      </c>
      <c r="S132" s="365" t="s">
        <v>2594</v>
      </c>
      <c r="T132" s="364"/>
      <c r="U132" s="364"/>
      <c r="V132" s="364"/>
      <c r="W132" s="364"/>
      <c r="X132" s="364"/>
      <c r="Y132" s="364"/>
      <c r="Z132" s="364"/>
      <c r="AA132" s="364"/>
      <c r="AB132" s="364"/>
      <c r="AC132" s="364"/>
      <c r="AD132" s="364"/>
    </row>
    <row r="133">
      <c r="A133" s="391" t="s">
        <v>660</v>
      </c>
      <c r="B133" s="391" t="s">
        <v>661</v>
      </c>
      <c r="C133" s="365" t="s">
        <v>3022</v>
      </c>
      <c r="D133" s="365" t="s">
        <v>3219</v>
      </c>
      <c r="E133" s="365" t="s">
        <v>3220</v>
      </c>
      <c r="F133" s="365" t="s">
        <v>2964</v>
      </c>
      <c r="G133" s="365" t="s">
        <v>3221</v>
      </c>
      <c r="H133" s="365" t="s">
        <v>3026</v>
      </c>
      <c r="I133" s="365" t="s">
        <v>3027</v>
      </c>
      <c r="J133" s="365" t="s">
        <v>3028</v>
      </c>
      <c r="K133" s="364"/>
      <c r="L133" s="364"/>
      <c r="M133" s="365" t="s">
        <v>2969</v>
      </c>
      <c r="N133" s="401">
        <v>45748.0</v>
      </c>
      <c r="O133" s="388" t="s">
        <v>2294</v>
      </c>
      <c r="P133" s="365" t="s">
        <v>3225</v>
      </c>
      <c r="Q133" s="365" t="s">
        <v>2964</v>
      </c>
      <c r="R133" s="365" t="s">
        <v>2594</v>
      </c>
      <c r="S133" s="365" t="s">
        <v>2594</v>
      </c>
      <c r="T133" s="364"/>
      <c r="U133" s="364"/>
      <c r="V133" s="364"/>
      <c r="W133" s="364"/>
      <c r="X133" s="364"/>
      <c r="Y133" s="364"/>
      <c r="Z133" s="364"/>
      <c r="AA133" s="364"/>
      <c r="AB133" s="364"/>
      <c r="AC133" s="364"/>
      <c r="AD133" s="364"/>
    </row>
    <row r="134">
      <c r="A134" s="391" t="s">
        <v>660</v>
      </c>
      <c r="B134" s="391" t="s">
        <v>661</v>
      </c>
      <c r="C134" s="365" t="s">
        <v>3022</v>
      </c>
      <c r="D134" s="365" t="s">
        <v>3219</v>
      </c>
      <c r="E134" s="365" t="s">
        <v>3220</v>
      </c>
      <c r="F134" s="365" t="s">
        <v>2964</v>
      </c>
      <c r="G134" s="365" t="s">
        <v>3221</v>
      </c>
      <c r="H134" s="365" t="s">
        <v>3026</v>
      </c>
      <c r="I134" s="365" t="s">
        <v>3027</v>
      </c>
      <c r="J134" s="365" t="s">
        <v>3028</v>
      </c>
      <c r="K134" s="364"/>
      <c r="L134" s="364"/>
      <c r="M134" s="365" t="s">
        <v>2969</v>
      </c>
      <c r="N134" s="401">
        <v>45778.0</v>
      </c>
      <c r="O134" s="388" t="s">
        <v>2289</v>
      </c>
      <c r="P134" s="365" t="s">
        <v>3033</v>
      </c>
      <c r="Q134" s="365" t="s">
        <v>2964</v>
      </c>
      <c r="R134" s="365" t="s">
        <v>2594</v>
      </c>
      <c r="S134" s="365" t="s">
        <v>2594</v>
      </c>
      <c r="T134" s="364"/>
      <c r="U134" s="364"/>
      <c r="V134" s="364"/>
      <c r="W134" s="364"/>
      <c r="X134" s="364"/>
      <c r="Y134" s="364"/>
      <c r="Z134" s="364"/>
      <c r="AA134" s="364"/>
      <c r="AB134" s="364"/>
      <c r="AC134" s="364"/>
      <c r="AD134" s="364"/>
    </row>
    <row r="135">
      <c r="A135" s="391" t="s">
        <v>660</v>
      </c>
      <c r="B135" s="391" t="s">
        <v>661</v>
      </c>
      <c r="C135" s="365" t="s">
        <v>3022</v>
      </c>
      <c r="D135" s="365" t="s">
        <v>3219</v>
      </c>
      <c r="E135" s="365" t="s">
        <v>3220</v>
      </c>
      <c r="F135" s="365" t="s">
        <v>2964</v>
      </c>
      <c r="G135" s="365" t="s">
        <v>3221</v>
      </c>
      <c r="H135" s="365" t="s">
        <v>3026</v>
      </c>
      <c r="I135" s="365" t="s">
        <v>3027</v>
      </c>
      <c r="J135" s="365" t="s">
        <v>3028</v>
      </c>
      <c r="K135" s="364"/>
      <c r="L135" s="364"/>
      <c r="M135" s="365" t="s">
        <v>2969</v>
      </c>
      <c r="N135" s="401">
        <v>45809.0</v>
      </c>
      <c r="O135" s="388" t="s">
        <v>2294</v>
      </c>
      <c r="P135" s="365" t="s">
        <v>3034</v>
      </c>
      <c r="Q135" s="365" t="s">
        <v>2964</v>
      </c>
      <c r="R135" s="365" t="s">
        <v>2594</v>
      </c>
      <c r="S135" s="365" t="s">
        <v>2594</v>
      </c>
      <c r="T135" s="364"/>
      <c r="U135" s="364"/>
      <c r="V135" s="364"/>
      <c r="W135" s="364"/>
      <c r="X135" s="364"/>
      <c r="Y135" s="364"/>
      <c r="Z135" s="364"/>
      <c r="AA135" s="364"/>
      <c r="AB135" s="364"/>
      <c r="AC135" s="364"/>
      <c r="AD135" s="364"/>
    </row>
    <row r="136">
      <c r="A136" s="391" t="s">
        <v>660</v>
      </c>
      <c r="B136" s="391" t="s">
        <v>661</v>
      </c>
      <c r="C136" s="365" t="s">
        <v>3022</v>
      </c>
      <c r="D136" s="365" t="s">
        <v>3219</v>
      </c>
      <c r="E136" s="365" t="s">
        <v>3220</v>
      </c>
      <c r="F136" s="365" t="s">
        <v>2964</v>
      </c>
      <c r="G136" s="365" t="s">
        <v>3221</v>
      </c>
      <c r="H136" s="365" t="s">
        <v>3026</v>
      </c>
      <c r="I136" s="365" t="s">
        <v>3027</v>
      </c>
      <c r="J136" s="365" t="s">
        <v>3028</v>
      </c>
      <c r="K136" s="364"/>
      <c r="L136" s="364"/>
      <c r="M136" s="365" t="s">
        <v>2969</v>
      </c>
      <c r="N136" s="401">
        <v>45839.0</v>
      </c>
      <c r="O136" s="388" t="s">
        <v>2289</v>
      </c>
      <c r="P136" s="365" t="s">
        <v>3226</v>
      </c>
      <c r="Q136" s="365" t="s">
        <v>2964</v>
      </c>
      <c r="R136" s="365" t="s">
        <v>2594</v>
      </c>
      <c r="S136" s="365" t="s">
        <v>2594</v>
      </c>
      <c r="T136" s="364"/>
      <c r="U136" s="364"/>
      <c r="V136" s="364"/>
      <c r="W136" s="364"/>
      <c r="X136" s="364"/>
      <c r="Y136" s="364"/>
      <c r="Z136" s="364"/>
      <c r="AA136" s="364"/>
      <c r="AB136" s="364"/>
      <c r="AC136" s="364"/>
      <c r="AD136" s="364"/>
    </row>
    <row r="137">
      <c r="A137" s="391" t="s">
        <v>660</v>
      </c>
      <c r="B137" s="391" t="s">
        <v>661</v>
      </c>
      <c r="C137" s="365" t="s">
        <v>3022</v>
      </c>
      <c r="D137" s="365" t="s">
        <v>3219</v>
      </c>
      <c r="E137" s="365" t="s">
        <v>3220</v>
      </c>
      <c r="F137" s="365" t="s">
        <v>2964</v>
      </c>
      <c r="G137" s="365" t="s">
        <v>3221</v>
      </c>
      <c r="H137" s="365" t="s">
        <v>3026</v>
      </c>
      <c r="I137" s="365" t="s">
        <v>3027</v>
      </c>
      <c r="J137" s="365" t="s">
        <v>3028</v>
      </c>
      <c r="K137" s="364"/>
      <c r="L137" s="364"/>
      <c r="M137" s="365" t="s">
        <v>2969</v>
      </c>
      <c r="N137" s="401">
        <v>45870.0</v>
      </c>
      <c r="O137" s="388" t="s">
        <v>2294</v>
      </c>
      <c r="P137" s="365" t="s">
        <v>3227</v>
      </c>
      <c r="Q137" s="365" t="s">
        <v>2964</v>
      </c>
      <c r="R137" s="365" t="s">
        <v>2594</v>
      </c>
      <c r="S137" s="365" t="s">
        <v>2594</v>
      </c>
      <c r="T137" s="364"/>
      <c r="U137" s="364"/>
      <c r="V137" s="364"/>
      <c r="W137" s="364"/>
      <c r="X137" s="364"/>
      <c r="Y137" s="364"/>
      <c r="Z137" s="364"/>
      <c r="AA137" s="364"/>
      <c r="AB137" s="364"/>
      <c r="AC137" s="364"/>
      <c r="AD137" s="364"/>
    </row>
    <row r="138">
      <c r="A138" s="391" t="s">
        <v>660</v>
      </c>
      <c r="B138" s="391" t="s">
        <v>661</v>
      </c>
      <c r="C138" s="365" t="s">
        <v>3037</v>
      </c>
      <c r="D138" s="365" t="s">
        <v>3228</v>
      </c>
      <c r="E138" s="365" t="s">
        <v>3229</v>
      </c>
      <c r="F138" s="365" t="s">
        <v>2964</v>
      </c>
      <c r="G138" s="365" t="s">
        <v>3230</v>
      </c>
      <c r="H138" s="365" t="s">
        <v>3026</v>
      </c>
      <c r="I138" s="365" t="s">
        <v>3027</v>
      </c>
      <c r="J138" s="365" t="s">
        <v>3041</v>
      </c>
      <c r="K138" s="364"/>
      <c r="L138" s="364"/>
      <c r="M138" s="365" t="s">
        <v>2969</v>
      </c>
      <c r="N138" s="401">
        <v>45659.0</v>
      </c>
      <c r="O138" s="388" t="s">
        <v>2289</v>
      </c>
      <c r="P138" s="365" t="s">
        <v>3042</v>
      </c>
      <c r="Q138" s="365" t="s">
        <v>2964</v>
      </c>
      <c r="R138" s="365" t="s">
        <v>2594</v>
      </c>
      <c r="S138" s="365" t="s">
        <v>2594</v>
      </c>
      <c r="T138" s="364"/>
      <c r="U138" s="364"/>
      <c r="V138" s="364"/>
      <c r="W138" s="364"/>
      <c r="X138" s="364"/>
      <c r="Y138" s="364"/>
      <c r="Z138" s="364"/>
      <c r="AA138" s="364"/>
      <c r="AB138" s="364"/>
      <c r="AC138" s="364"/>
      <c r="AD138" s="364"/>
    </row>
    <row r="139">
      <c r="A139" s="391" t="s">
        <v>660</v>
      </c>
      <c r="B139" s="391" t="s">
        <v>661</v>
      </c>
      <c r="C139" s="365" t="s">
        <v>3037</v>
      </c>
      <c r="D139" s="365" t="s">
        <v>3228</v>
      </c>
      <c r="E139" s="365" t="s">
        <v>3229</v>
      </c>
      <c r="F139" s="365" t="s">
        <v>2964</v>
      </c>
      <c r="G139" s="365" t="s">
        <v>3230</v>
      </c>
      <c r="H139" s="365" t="s">
        <v>3026</v>
      </c>
      <c r="I139" s="365" t="s">
        <v>3027</v>
      </c>
      <c r="J139" s="365" t="s">
        <v>3041</v>
      </c>
      <c r="K139" s="364"/>
      <c r="L139" s="364"/>
      <c r="M139" s="365" t="s">
        <v>2969</v>
      </c>
      <c r="N139" s="401">
        <v>45690.0</v>
      </c>
      <c r="O139" s="388" t="s">
        <v>2294</v>
      </c>
      <c r="P139" s="365" t="s">
        <v>3231</v>
      </c>
      <c r="Q139" s="365" t="s">
        <v>2964</v>
      </c>
      <c r="R139" s="365" t="s">
        <v>2594</v>
      </c>
      <c r="S139" s="365" t="s">
        <v>2594</v>
      </c>
      <c r="T139" s="364"/>
      <c r="U139" s="364"/>
      <c r="V139" s="364"/>
      <c r="W139" s="364"/>
      <c r="X139" s="364"/>
      <c r="Y139" s="364"/>
      <c r="Z139" s="364"/>
      <c r="AA139" s="364"/>
      <c r="AB139" s="364"/>
      <c r="AC139" s="364"/>
      <c r="AD139" s="364"/>
    </row>
    <row r="140">
      <c r="A140" s="391" t="s">
        <v>660</v>
      </c>
      <c r="B140" s="391" t="s">
        <v>661</v>
      </c>
      <c r="C140" s="365" t="s">
        <v>3037</v>
      </c>
      <c r="D140" s="365" t="s">
        <v>3228</v>
      </c>
      <c r="E140" s="365" t="s">
        <v>3229</v>
      </c>
      <c r="F140" s="365" t="s">
        <v>2964</v>
      </c>
      <c r="G140" s="365" t="s">
        <v>3230</v>
      </c>
      <c r="H140" s="365" t="s">
        <v>3026</v>
      </c>
      <c r="I140" s="365" t="s">
        <v>3027</v>
      </c>
      <c r="J140" s="365" t="s">
        <v>3041</v>
      </c>
      <c r="K140" s="364"/>
      <c r="L140" s="364"/>
      <c r="M140" s="365" t="s">
        <v>2969</v>
      </c>
      <c r="N140" s="401">
        <v>45718.0</v>
      </c>
      <c r="O140" s="388" t="s">
        <v>2289</v>
      </c>
      <c r="P140" s="365" t="s">
        <v>3044</v>
      </c>
      <c r="Q140" s="365" t="s">
        <v>2964</v>
      </c>
      <c r="R140" s="365" t="s">
        <v>2594</v>
      </c>
      <c r="S140" s="365" t="s">
        <v>2594</v>
      </c>
      <c r="T140" s="364"/>
      <c r="U140" s="364"/>
      <c r="V140" s="364"/>
      <c r="W140" s="364"/>
      <c r="X140" s="364"/>
      <c r="Y140" s="364"/>
      <c r="Z140" s="364"/>
      <c r="AA140" s="364"/>
      <c r="AB140" s="364"/>
      <c r="AC140" s="364"/>
      <c r="AD140" s="364"/>
    </row>
    <row r="141">
      <c r="A141" s="391" t="s">
        <v>660</v>
      </c>
      <c r="B141" s="391" t="s">
        <v>661</v>
      </c>
      <c r="C141" s="365" t="s">
        <v>3037</v>
      </c>
      <c r="D141" s="365" t="s">
        <v>3228</v>
      </c>
      <c r="E141" s="365" t="s">
        <v>3229</v>
      </c>
      <c r="F141" s="365" t="s">
        <v>2964</v>
      </c>
      <c r="G141" s="365" t="s">
        <v>3230</v>
      </c>
      <c r="H141" s="365" t="s">
        <v>3026</v>
      </c>
      <c r="I141" s="365" t="s">
        <v>3027</v>
      </c>
      <c r="J141" s="365" t="s">
        <v>3041</v>
      </c>
      <c r="K141" s="364"/>
      <c r="L141" s="364"/>
      <c r="M141" s="365" t="s">
        <v>2969</v>
      </c>
      <c r="N141" s="401">
        <v>45749.0</v>
      </c>
      <c r="O141" s="388" t="s">
        <v>2294</v>
      </c>
      <c r="P141" s="365" t="s">
        <v>3232</v>
      </c>
      <c r="Q141" s="365" t="s">
        <v>2964</v>
      </c>
      <c r="R141" s="365" t="s">
        <v>2594</v>
      </c>
      <c r="S141" s="365" t="s">
        <v>2594</v>
      </c>
      <c r="T141" s="364"/>
      <c r="U141" s="364"/>
      <c r="V141" s="364"/>
      <c r="W141" s="364"/>
      <c r="X141" s="364"/>
      <c r="Y141" s="364"/>
      <c r="Z141" s="364"/>
      <c r="AA141" s="364"/>
      <c r="AB141" s="364"/>
      <c r="AC141" s="364"/>
      <c r="AD141" s="364"/>
    </row>
    <row r="142">
      <c r="A142" s="391" t="s">
        <v>660</v>
      </c>
      <c r="B142" s="391" t="s">
        <v>661</v>
      </c>
      <c r="C142" s="365" t="s">
        <v>3037</v>
      </c>
      <c r="D142" s="365" t="s">
        <v>3228</v>
      </c>
      <c r="E142" s="365" t="s">
        <v>3229</v>
      </c>
      <c r="F142" s="365" t="s">
        <v>2964</v>
      </c>
      <c r="G142" s="365" t="s">
        <v>3230</v>
      </c>
      <c r="H142" s="365" t="s">
        <v>3026</v>
      </c>
      <c r="I142" s="365" t="s">
        <v>3027</v>
      </c>
      <c r="J142" s="365" t="s">
        <v>3041</v>
      </c>
      <c r="K142" s="364"/>
      <c r="L142" s="364"/>
      <c r="M142" s="365" t="s">
        <v>2969</v>
      </c>
      <c r="N142" s="401">
        <v>45779.0</v>
      </c>
      <c r="O142" s="388" t="s">
        <v>2289</v>
      </c>
      <c r="P142" s="365" t="s">
        <v>3046</v>
      </c>
      <c r="Q142" s="365" t="s">
        <v>2964</v>
      </c>
      <c r="R142" s="365" t="s">
        <v>2594</v>
      </c>
      <c r="S142" s="365" t="s">
        <v>2594</v>
      </c>
      <c r="T142" s="364"/>
      <c r="U142" s="364"/>
      <c r="V142" s="364"/>
      <c r="W142" s="364"/>
      <c r="X142" s="364"/>
      <c r="Y142" s="364"/>
      <c r="Z142" s="364"/>
      <c r="AA142" s="364"/>
      <c r="AB142" s="364"/>
      <c r="AC142" s="364"/>
      <c r="AD142" s="364"/>
    </row>
    <row r="143">
      <c r="A143" s="391" t="s">
        <v>660</v>
      </c>
      <c r="B143" s="391" t="s">
        <v>661</v>
      </c>
      <c r="C143" s="365" t="s">
        <v>3037</v>
      </c>
      <c r="D143" s="365" t="s">
        <v>3228</v>
      </c>
      <c r="E143" s="365" t="s">
        <v>3229</v>
      </c>
      <c r="F143" s="365" t="s">
        <v>2964</v>
      </c>
      <c r="G143" s="365" t="s">
        <v>3230</v>
      </c>
      <c r="H143" s="365" t="s">
        <v>3026</v>
      </c>
      <c r="I143" s="365" t="s">
        <v>3027</v>
      </c>
      <c r="J143" s="365" t="s">
        <v>3041</v>
      </c>
      <c r="K143" s="364"/>
      <c r="L143" s="364"/>
      <c r="M143" s="365" t="s">
        <v>2969</v>
      </c>
      <c r="N143" s="401">
        <v>45810.0</v>
      </c>
      <c r="O143" s="388" t="s">
        <v>2294</v>
      </c>
      <c r="P143" s="365" t="s">
        <v>3233</v>
      </c>
      <c r="Q143" s="365" t="s">
        <v>2964</v>
      </c>
      <c r="R143" s="365" t="s">
        <v>2594</v>
      </c>
      <c r="S143" s="365" t="s">
        <v>2594</v>
      </c>
      <c r="T143" s="364"/>
      <c r="U143" s="364"/>
      <c r="V143" s="364"/>
      <c r="W143" s="364"/>
      <c r="X143" s="364"/>
      <c r="Y143" s="364"/>
      <c r="Z143" s="364"/>
      <c r="AA143" s="364"/>
      <c r="AB143" s="364"/>
      <c r="AC143" s="364"/>
      <c r="AD143" s="364"/>
    </row>
    <row r="144">
      <c r="A144" s="391" t="s">
        <v>660</v>
      </c>
      <c r="B144" s="391" t="s">
        <v>661</v>
      </c>
      <c r="C144" s="365" t="s">
        <v>3048</v>
      </c>
      <c r="D144" s="365" t="s">
        <v>3234</v>
      </c>
      <c r="E144" s="365" t="s">
        <v>3235</v>
      </c>
      <c r="F144" s="365" t="s">
        <v>2964</v>
      </c>
      <c r="G144" s="365" t="s">
        <v>3236</v>
      </c>
      <c r="H144" s="365" t="s">
        <v>3026</v>
      </c>
      <c r="I144" s="365" t="s">
        <v>3027</v>
      </c>
      <c r="J144" s="365" t="s">
        <v>3052</v>
      </c>
      <c r="K144" s="364"/>
      <c r="L144" s="364"/>
      <c r="M144" s="365" t="s">
        <v>2969</v>
      </c>
      <c r="N144" s="401">
        <v>45660.0</v>
      </c>
      <c r="O144" s="388" t="s">
        <v>2289</v>
      </c>
      <c r="P144" s="365" t="s">
        <v>3237</v>
      </c>
      <c r="Q144" s="365" t="s">
        <v>2964</v>
      </c>
      <c r="R144" s="365" t="s">
        <v>2594</v>
      </c>
      <c r="S144" s="365" t="s">
        <v>2594</v>
      </c>
      <c r="T144" s="364"/>
      <c r="U144" s="364"/>
      <c r="V144" s="364"/>
      <c r="W144" s="364"/>
      <c r="X144" s="364"/>
      <c r="Y144" s="364"/>
      <c r="Z144" s="364"/>
      <c r="AA144" s="364"/>
      <c r="AB144" s="364"/>
      <c r="AC144" s="364"/>
      <c r="AD144" s="364"/>
    </row>
    <row r="145">
      <c r="A145" s="391" t="s">
        <v>660</v>
      </c>
      <c r="B145" s="391" t="s">
        <v>661</v>
      </c>
      <c r="C145" s="365" t="s">
        <v>3048</v>
      </c>
      <c r="D145" s="365" t="s">
        <v>3234</v>
      </c>
      <c r="E145" s="365" t="s">
        <v>3235</v>
      </c>
      <c r="F145" s="365" t="s">
        <v>2964</v>
      </c>
      <c r="G145" s="365" t="s">
        <v>3236</v>
      </c>
      <c r="H145" s="365" t="s">
        <v>3026</v>
      </c>
      <c r="I145" s="365" t="s">
        <v>3027</v>
      </c>
      <c r="J145" s="365" t="s">
        <v>3052</v>
      </c>
      <c r="K145" s="364"/>
      <c r="L145" s="364"/>
      <c r="M145" s="365" t="s">
        <v>2969</v>
      </c>
      <c r="N145" s="401">
        <v>45691.0</v>
      </c>
      <c r="O145" s="388" t="s">
        <v>2294</v>
      </c>
      <c r="P145" s="365" t="s">
        <v>3238</v>
      </c>
      <c r="Q145" s="365" t="s">
        <v>2964</v>
      </c>
      <c r="R145" s="365" t="s">
        <v>2594</v>
      </c>
      <c r="S145" s="365" t="s">
        <v>2594</v>
      </c>
      <c r="T145" s="364"/>
      <c r="U145" s="364"/>
      <c r="V145" s="364"/>
      <c r="W145" s="364"/>
      <c r="X145" s="364"/>
      <c r="Y145" s="364"/>
      <c r="Z145" s="364"/>
      <c r="AA145" s="364"/>
      <c r="AB145" s="364"/>
      <c r="AC145" s="364"/>
      <c r="AD145" s="364"/>
    </row>
    <row r="146">
      <c r="A146" s="391" t="s">
        <v>660</v>
      </c>
      <c r="B146" s="391" t="s">
        <v>661</v>
      </c>
      <c r="C146" s="365" t="s">
        <v>3048</v>
      </c>
      <c r="D146" s="365" t="s">
        <v>3234</v>
      </c>
      <c r="E146" s="365" t="s">
        <v>3235</v>
      </c>
      <c r="F146" s="365" t="s">
        <v>2964</v>
      </c>
      <c r="G146" s="365" t="s">
        <v>3236</v>
      </c>
      <c r="H146" s="365" t="s">
        <v>3026</v>
      </c>
      <c r="I146" s="365" t="s">
        <v>3027</v>
      </c>
      <c r="J146" s="365" t="s">
        <v>3052</v>
      </c>
      <c r="K146" s="364"/>
      <c r="L146" s="364"/>
      <c r="M146" s="365" t="s">
        <v>2969</v>
      </c>
      <c r="N146" s="401">
        <v>45719.0</v>
      </c>
      <c r="O146" s="388" t="s">
        <v>2289</v>
      </c>
      <c r="P146" s="365" t="s">
        <v>3239</v>
      </c>
      <c r="Q146" s="365" t="s">
        <v>2964</v>
      </c>
      <c r="R146" s="365" t="s">
        <v>2594</v>
      </c>
      <c r="S146" s="365" t="s">
        <v>2594</v>
      </c>
      <c r="T146" s="364"/>
      <c r="U146" s="364"/>
      <c r="V146" s="364"/>
      <c r="W146" s="364"/>
      <c r="X146" s="364"/>
      <c r="Y146" s="364"/>
      <c r="Z146" s="364"/>
      <c r="AA146" s="364"/>
      <c r="AB146" s="364"/>
      <c r="AC146" s="364"/>
      <c r="AD146" s="364"/>
    </row>
    <row r="147">
      <c r="A147" s="391" t="s">
        <v>660</v>
      </c>
      <c r="B147" s="391" t="s">
        <v>661</v>
      </c>
      <c r="C147" s="365" t="s">
        <v>3048</v>
      </c>
      <c r="D147" s="365" t="s">
        <v>3234</v>
      </c>
      <c r="E147" s="365" t="s">
        <v>3235</v>
      </c>
      <c r="F147" s="365" t="s">
        <v>2964</v>
      </c>
      <c r="G147" s="365" t="s">
        <v>3236</v>
      </c>
      <c r="H147" s="365" t="s">
        <v>3026</v>
      </c>
      <c r="I147" s="365" t="s">
        <v>3027</v>
      </c>
      <c r="J147" s="365" t="s">
        <v>3052</v>
      </c>
      <c r="K147" s="364"/>
      <c r="L147" s="364"/>
      <c r="M147" s="365" t="s">
        <v>2969</v>
      </c>
      <c r="N147" s="401">
        <v>45750.0</v>
      </c>
      <c r="O147" s="388" t="s">
        <v>2294</v>
      </c>
      <c r="P147" s="365" t="s">
        <v>3240</v>
      </c>
      <c r="Q147" s="365" t="s">
        <v>2964</v>
      </c>
      <c r="R147" s="365" t="s">
        <v>2594</v>
      </c>
      <c r="S147" s="365" t="s">
        <v>2594</v>
      </c>
      <c r="T147" s="364"/>
      <c r="U147" s="364"/>
      <c r="V147" s="364"/>
      <c r="W147" s="364"/>
      <c r="X147" s="364"/>
      <c r="Y147" s="364"/>
      <c r="Z147" s="364"/>
      <c r="AA147" s="364"/>
      <c r="AB147" s="364"/>
      <c r="AC147" s="364"/>
      <c r="AD147" s="364"/>
    </row>
    <row r="148">
      <c r="A148" s="391" t="s">
        <v>660</v>
      </c>
      <c r="B148" s="391" t="s">
        <v>661</v>
      </c>
      <c r="C148" s="365" t="s">
        <v>3048</v>
      </c>
      <c r="D148" s="365" t="s">
        <v>3234</v>
      </c>
      <c r="E148" s="365" t="s">
        <v>3235</v>
      </c>
      <c r="F148" s="365" t="s">
        <v>2964</v>
      </c>
      <c r="G148" s="365" t="s">
        <v>3236</v>
      </c>
      <c r="H148" s="365" t="s">
        <v>3026</v>
      </c>
      <c r="I148" s="365" t="s">
        <v>3027</v>
      </c>
      <c r="J148" s="365" t="s">
        <v>3052</v>
      </c>
      <c r="K148" s="364"/>
      <c r="L148" s="364"/>
      <c r="M148" s="365" t="s">
        <v>2969</v>
      </c>
      <c r="N148" s="401">
        <v>45780.0</v>
      </c>
      <c r="O148" s="388" t="s">
        <v>2289</v>
      </c>
      <c r="P148" s="365" t="s">
        <v>3241</v>
      </c>
      <c r="Q148" s="365" t="s">
        <v>2964</v>
      </c>
      <c r="R148" s="365" t="s">
        <v>2594</v>
      </c>
      <c r="S148" s="365" t="s">
        <v>2594</v>
      </c>
      <c r="T148" s="364"/>
      <c r="U148" s="364"/>
      <c r="V148" s="364"/>
      <c r="W148" s="364"/>
      <c r="X148" s="364"/>
      <c r="Y148" s="364"/>
      <c r="Z148" s="364"/>
      <c r="AA148" s="364"/>
      <c r="AB148" s="364"/>
      <c r="AC148" s="364"/>
      <c r="AD148" s="364"/>
    </row>
    <row r="149">
      <c r="A149" s="391" t="s">
        <v>660</v>
      </c>
      <c r="B149" s="391" t="s">
        <v>661</v>
      </c>
      <c r="C149" s="365" t="s">
        <v>3048</v>
      </c>
      <c r="D149" s="365" t="s">
        <v>3234</v>
      </c>
      <c r="E149" s="365" t="s">
        <v>3235</v>
      </c>
      <c r="F149" s="365" t="s">
        <v>2964</v>
      </c>
      <c r="G149" s="365" t="s">
        <v>3236</v>
      </c>
      <c r="H149" s="365" t="s">
        <v>3026</v>
      </c>
      <c r="I149" s="365" t="s">
        <v>3027</v>
      </c>
      <c r="J149" s="365" t="s">
        <v>3052</v>
      </c>
      <c r="K149" s="364"/>
      <c r="L149" s="364"/>
      <c r="M149" s="365" t="s">
        <v>2969</v>
      </c>
      <c r="N149" s="401">
        <v>45811.0</v>
      </c>
      <c r="O149" s="388" t="s">
        <v>2294</v>
      </c>
      <c r="P149" s="365" t="s">
        <v>3242</v>
      </c>
      <c r="Q149" s="365" t="s">
        <v>2964</v>
      </c>
      <c r="R149" s="365" t="s">
        <v>2594</v>
      </c>
      <c r="S149" s="365" t="s">
        <v>2594</v>
      </c>
      <c r="T149" s="364"/>
      <c r="U149" s="364"/>
      <c r="V149" s="364"/>
      <c r="W149" s="364"/>
      <c r="X149" s="364"/>
      <c r="Y149" s="364"/>
      <c r="Z149" s="364"/>
      <c r="AA149" s="364"/>
      <c r="AB149" s="364"/>
      <c r="AC149" s="364"/>
      <c r="AD149" s="364"/>
    </row>
    <row r="150">
      <c r="A150" s="391" t="s">
        <v>660</v>
      </c>
      <c r="B150" s="391" t="s">
        <v>661</v>
      </c>
      <c r="C150" s="365" t="s">
        <v>3059</v>
      </c>
      <c r="D150" s="365" t="s">
        <v>3243</v>
      </c>
      <c r="E150" s="365" t="s">
        <v>3244</v>
      </c>
      <c r="F150" s="365" t="s">
        <v>2964</v>
      </c>
      <c r="G150" s="365" t="s">
        <v>3245</v>
      </c>
      <c r="H150" s="365" t="s">
        <v>3026</v>
      </c>
      <c r="I150" s="365" t="s">
        <v>3027</v>
      </c>
      <c r="J150" s="365" t="s">
        <v>3063</v>
      </c>
      <c r="K150" s="364"/>
      <c r="L150" s="364"/>
      <c r="M150" s="365" t="s">
        <v>2969</v>
      </c>
      <c r="N150" s="401">
        <v>45661.0</v>
      </c>
      <c r="O150" s="388" t="s">
        <v>2289</v>
      </c>
      <c r="P150" s="365" t="s">
        <v>3064</v>
      </c>
      <c r="Q150" s="365" t="s">
        <v>2964</v>
      </c>
      <c r="R150" s="365" t="s">
        <v>2594</v>
      </c>
      <c r="S150" s="365" t="s">
        <v>2594</v>
      </c>
      <c r="T150" s="364"/>
      <c r="U150" s="364"/>
      <c r="V150" s="364"/>
      <c r="W150" s="364"/>
      <c r="X150" s="364"/>
      <c r="Y150" s="364"/>
      <c r="Z150" s="364"/>
      <c r="AA150" s="364"/>
      <c r="AB150" s="364"/>
      <c r="AC150" s="364"/>
      <c r="AD150" s="364"/>
    </row>
    <row r="151">
      <c r="A151" s="391" t="s">
        <v>660</v>
      </c>
      <c r="B151" s="391" t="s">
        <v>661</v>
      </c>
      <c r="C151" s="365" t="s">
        <v>3059</v>
      </c>
      <c r="D151" s="365" t="s">
        <v>3243</v>
      </c>
      <c r="E151" s="365" t="s">
        <v>3244</v>
      </c>
      <c r="F151" s="365" t="s">
        <v>2964</v>
      </c>
      <c r="G151" s="365" t="s">
        <v>3245</v>
      </c>
      <c r="H151" s="365" t="s">
        <v>3026</v>
      </c>
      <c r="I151" s="365" t="s">
        <v>3027</v>
      </c>
      <c r="J151" s="365" t="s">
        <v>3063</v>
      </c>
      <c r="K151" s="364"/>
      <c r="L151" s="364"/>
      <c r="M151" s="365" t="s">
        <v>2969</v>
      </c>
      <c r="N151" s="401">
        <v>45692.0</v>
      </c>
      <c r="O151" s="388" t="s">
        <v>2294</v>
      </c>
      <c r="P151" s="365" t="s">
        <v>3246</v>
      </c>
      <c r="Q151" s="365" t="s">
        <v>2964</v>
      </c>
      <c r="R151" s="365" t="s">
        <v>2594</v>
      </c>
      <c r="S151" s="365" t="s">
        <v>2594</v>
      </c>
      <c r="T151" s="364"/>
      <c r="U151" s="364"/>
      <c r="V151" s="364"/>
      <c r="W151" s="364"/>
      <c r="X151" s="364"/>
      <c r="Y151" s="364"/>
      <c r="Z151" s="364"/>
      <c r="AA151" s="364"/>
      <c r="AB151" s="364"/>
      <c r="AC151" s="364"/>
      <c r="AD151" s="364"/>
    </row>
    <row r="152">
      <c r="A152" s="391" t="s">
        <v>660</v>
      </c>
      <c r="B152" s="391" t="s">
        <v>661</v>
      </c>
      <c r="C152" s="365" t="s">
        <v>3059</v>
      </c>
      <c r="D152" s="365" t="s">
        <v>3243</v>
      </c>
      <c r="E152" s="365" t="s">
        <v>3244</v>
      </c>
      <c r="F152" s="365" t="s">
        <v>2964</v>
      </c>
      <c r="G152" s="365" t="s">
        <v>3245</v>
      </c>
      <c r="H152" s="365" t="s">
        <v>3026</v>
      </c>
      <c r="I152" s="365" t="s">
        <v>3027</v>
      </c>
      <c r="J152" s="365" t="s">
        <v>3063</v>
      </c>
      <c r="K152" s="364"/>
      <c r="L152" s="364"/>
      <c r="M152" s="365" t="s">
        <v>2969</v>
      </c>
      <c r="N152" s="401">
        <v>45720.0</v>
      </c>
      <c r="O152" s="388" t="s">
        <v>2289</v>
      </c>
      <c r="P152" s="365" t="s">
        <v>3066</v>
      </c>
      <c r="Q152" s="365" t="s">
        <v>2964</v>
      </c>
      <c r="R152" s="365" t="s">
        <v>2594</v>
      </c>
      <c r="S152" s="365" t="s">
        <v>2594</v>
      </c>
      <c r="T152" s="364"/>
      <c r="U152" s="364"/>
      <c r="V152" s="364"/>
      <c r="W152" s="364"/>
      <c r="X152" s="364"/>
      <c r="Y152" s="364"/>
      <c r="Z152" s="364"/>
      <c r="AA152" s="364"/>
      <c r="AB152" s="364"/>
      <c r="AC152" s="364"/>
      <c r="AD152" s="364"/>
    </row>
    <row r="153">
      <c r="A153" s="391" t="s">
        <v>660</v>
      </c>
      <c r="B153" s="391" t="s">
        <v>661</v>
      </c>
      <c r="C153" s="365" t="s">
        <v>3059</v>
      </c>
      <c r="D153" s="365" t="s">
        <v>3243</v>
      </c>
      <c r="E153" s="365" t="s">
        <v>3244</v>
      </c>
      <c r="F153" s="365" t="s">
        <v>2964</v>
      </c>
      <c r="G153" s="365" t="s">
        <v>3245</v>
      </c>
      <c r="H153" s="365" t="s">
        <v>3026</v>
      </c>
      <c r="I153" s="365" t="s">
        <v>3027</v>
      </c>
      <c r="J153" s="365" t="s">
        <v>3063</v>
      </c>
      <c r="K153" s="364"/>
      <c r="L153" s="364"/>
      <c r="M153" s="365" t="s">
        <v>2969</v>
      </c>
      <c r="N153" s="401">
        <v>45751.0</v>
      </c>
      <c r="O153" s="388" t="s">
        <v>2294</v>
      </c>
      <c r="P153" s="365" t="s">
        <v>3067</v>
      </c>
      <c r="Q153" s="365" t="s">
        <v>2964</v>
      </c>
      <c r="R153" s="365" t="s">
        <v>2594</v>
      </c>
      <c r="S153" s="365" t="s">
        <v>2594</v>
      </c>
      <c r="T153" s="364"/>
      <c r="U153" s="364"/>
      <c r="V153" s="364"/>
      <c r="W153" s="364"/>
      <c r="X153" s="364"/>
      <c r="Y153" s="364"/>
      <c r="Z153" s="364"/>
      <c r="AA153" s="364"/>
      <c r="AB153" s="364"/>
      <c r="AC153" s="364"/>
      <c r="AD153" s="364"/>
    </row>
    <row r="154">
      <c r="A154" s="391" t="s">
        <v>660</v>
      </c>
      <c r="B154" s="391" t="s">
        <v>661</v>
      </c>
      <c r="C154" s="365" t="s">
        <v>3059</v>
      </c>
      <c r="D154" s="365" t="s">
        <v>3243</v>
      </c>
      <c r="E154" s="365" t="s">
        <v>3244</v>
      </c>
      <c r="F154" s="365" t="s">
        <v>2964</v>
      </c>
      <c r="G154" s="365" t="s">
        <v>3245</v>
      </c>
      <c r="H154" s="365" t="s">
        <v>3026</v>
      </c>
      <c r="I154" s="365" t="s">
        <v>3027</v>
      </c>
      <c r="J154" s="365" t="s">
        <v>3063</v>
      </c>
      <c r="K154" s="364"/>
      <c r="L154" s="364"/>
      <c r="M154" s="365" t="s">
        <v>2969</v>
      </c>
      <c r="N154" s="401">
        <v>45781.0</v>
      </c>
      <c r="O154" s="388" t="s">
        <v>2289</v>
      </c>
      <c r="P154" s="365" t="s">
        <v>3068</v>
      </c>
      <c r="Q154" s="365" t="s">
        <v>2964</v>
      </c>
      <c r="R154" s="365" t="s">
        <v>2594</v>
      </c>
      <c r="S154" s="365" t="s">
        <v>2594</v>
      </c>
      <c r="T154" s="364"/>
      <c r="U154" s="364"/>
      <c r="V154" s="364"/>
      <c r="W154" s="364"/>
      <c r="X154" s="364"/>
      <c r="Y154" s="364"/>
      <c r="Z154" s="364"/>
      <c r="AA154" s="364"/>
      <c r="AB154" s="364"/>
      <c r="AC154" s="364"/>
      <c r="AD154" s="364"/>
    </row>
    <row r="155">
      <c r="A155" s="391" t="s">
        <v>660</v>
      </c>
      <c r="B155" s="391" t="s">
        <v>661</v>
      </c>
      <c r="C155" s="365" t="s">
        <v>3059</v>
      </c>
      <c r="D155" s="365" t="s">
        <v>3243</v>
      </c>
      <c r="E155" s="365" t="s">
        <v>3244</v>
      </c>
      <c r="F155" s="365" t="s">
        <v>2964</v>
      </c>
      <c r="G155" s="365" t="s">
        <v>3245</v>
      </c>
      <c r="H155" s="365" t="s">
        <v>3026</v>
      </c>
      <c r="I155" s="365" t="s">
        <v>3027</v>
      </c>
      <c r="J155" s="365" t="s">
        <v>3063</v>
      </c>
      <c r="K155" s="364"/>
      <c r="L155" s="364"/>
      <c r="M155" s="365" t="s">
        <v>2969</v>
      </c>
      <c r="N155" s="401">
        <v>45812.0</v>
      </c>
      <c r="O155" s="388" t="s">
        <v>2294</v>
      </c>
      <c r="P155" s="365" t="s">
        <v>3247</v>
      </c>
      <c r="Q155" s="365" t="s">
        <v>2964</v>
      </c>
      <c r="R155" s="365" t="s">
        <v>2594</v>
      </c>
      <c r="S155" s="365" t="s">
        <v>2594</v>
      </c>
      <c r="T155" s="364"/>
      <c r="U155" s="364"/>
      <c r="V155" s="364"/>
      <c r="W155" s="364"/>
      <c r="X155" s="364"/>
      <c r="Y155" s="364"/>
      <c r="Z155" s="364"/>
      <c r="AA155" s="364"/>
      <c r="AB155" s="364"/>
      <c r="AC155" s="364"/>
      <c r="AD155" s="364"/>
    </row>
    <row r="156">
      <c r="A156" s="391" t="s">
        <v>660</v>
      </c>
      <c r="B156" s="391" t="s">
        <v>661</v>
      </c>
      <c r="C156" s="365" t="s">
        <v>3070</v>
      </c>
      <c r="D156" s="365" t="s">
        <v>3248</v>
      </c>
      <c r="E156" s="365" t="s">
        <v>3249</v>
      </c>
      <c r="F156" s="365" t="s">
        <v>2964</v>
      </c>
      <c r="G156" s="365" t="s">
        <v>3250</v>
      </c>
      <c r="H156" s="365" t="s">
        <v>3026</v>
      </c>
      <c r="I156" s="365" t="s">
        <v>3027</v>
      </c>
      <c r="J156" s="365" t="s">
        <v>3074</v>
      </c>
      <c r="K156" s="364"/>
      <c r="L156" s="364"/>
      <c r="M156" s="365" t="s">
        <v>2969</v>
      </c>
      <c r="N156" s="401">
        <v>45662.0</v>
      </c>
      <c r="O156" s="388" t="s">
        <v>2289</v>
      </c>
      <c r="P156" s="365" t="s">
        <v>3075</v>
      </c>
      <c r="Q156" s="365" t="s">
        <v>2964</v>
      </c>
      <c r="R156" s="365" t="s">
        <v>2594</v>
      </c>
      <c r="S156" s="365" t="s">
        <v>2594</v>
      </c>
      <c r="T156" s="364"/>
      <c r="U156" s="364"/>
      <c r="V156" s="364"/>
      <c r="W156" s="364"/>
      <c r="X156" s="364"/>
      <c r="Y156" s="364"/>
      <c r="Z156" s="364"/>
      <c r="AA156" s="364"/>
      <c r="AB156" s="364"/>
      <c r="AC156" s="364"/>
      <c r="AD156" s="364"/>
    </row>
    <row r="157">
      <c r="A157" s="391" t="s">
        <v>660</v>
      </c>
      <c r="B157" s="391" t="s">
        <v>661</v>
      </c>
      <c r="C157" s="365" t="s">
        <v>3070</v>
      </c>
      <c r="D157" s="365" t="s">
        <v>3248</v>
      </c>
      <c r="E157" s="365" t="s">
        <v>3249</v>
      </c>
      <c r="F157" s="365" t="s">
        <v>2964</v>
      </c>
      <c r="G157" s="365" t="s">
        <v>3250</v>
      </c>
      <c r="H157" s="365" t="s">
        <v>3026</v>
      </c>
      <c r="I157" s="365" t="s">
        <v>3027</v>
      </c>
      <c r="J157" s="365" t="s">
        <v>3074</v>
      </c>
      <c r="K157" s="364"/>
      <c r="L157" s="364"/>
      <c r="M157" s="365" t="s">
        <v>2969</v>
      </c>
      <c r="N157" s="401">
        <v>45693.0</v>
      </c>
      <c r="O157" s="388" t="s">
        <v>2294</v>
      </c>
      <c r="P157" s="365" t="s">
        <v>3076</v>
      </c>
      <c r="Q157" s="365" t="s">
        <v>2964</v>
      </c>
      <c r="R157" s="365" t="s">
        <v>2594</v>
      </c>
      <c r="S157" s="365" t="s">
        <v>2594</v>
      </c>
      <c r="T157" s="364"/>
      <c r="U157" s="364"/>
      <c r="V157" s="364"/>
      <c r="W157" s="364"/>
      <c r="X157" s="364"/>
      <c r="Y157" s="364"/>
      <c r="Z157" s="364"/>
      <c r="AA157" s="364"/>
      <c r="AB157" s="364"/>
      <c r="AC157" s="364"/>
      <c r="AD157" s="364"/>
    </row>
    <row r="158">
      <c r="A158" s="391" t="s">
        <v>660</v>
      </c>
      <c r="B158" s="391" t="s">
        <v>661</v>
      </c>
      <c r="C158" s="365" t="s">
        <v>3070</v>
      </c>
      <c r="D158" s="365" t="s">
        <v>3248</v>
      </c>
      <c r="E158" s="365" t="s">
        <v>3249</v>
      </c>
      <c r="F158" s="365" t="s">
        <v>2964</v>
      </c>
      <c r="G158" s="365" t="s">
        <v>3250</v>
      </c>
      <c r="H158" s="365" t="s">
        <v>3026</v>
      </c>
      <c r="I158" s="365" t="s">
        <v>3027</v>
      </c>
      <c r="J158" s="365" t="s">
        <v>3074</v>
      </c>
      <c r="K158" s="364"/>
      <c r="L158" s="364"/>
      <c r="M158" s="365" t="s">
        <v>2969</v>
      </c>
      <c r="N158" s="401">
        <v>45721.0</v>
      </c>
      <c r="O158" s="388" t="s">
        <v>2289</v>
      </c>
      <c r="P158" s="365" t="s">
        <v>3077</v>
      </c>
      <c r="Q158" s="365" t="s">
        <v>2964</v>
      </c>
      <c r="R158" s="365" t="s">
        <v>2594</v>
      </c>
      <c r="S158" s="365" t="s">
        <v>2594</v>
      </c>
      <c r="T158" s="364"/>
      <c r="U158" s="364"/>
      <c r="V158" s="364"/>
      <c r="W158" s="364"/>
      <c r="X158" s="364"/>
      <c r="Y158" s="364"/>
      <c r="Z158" s="364"/>
      <c r="AA158" s="364"/>
      <c r="AB158" s="364"/>
      <c r="AC158" s="364"/>
      <c r="AD158" s="364"/>
    </row>
    <row r="159">
      <c r="A159" s="391" t="s">
        <v>660</v>
      </c>
      <c r="B159" s="391" t="s">
        <v>661</v>
      </c>
      <c r="C159" s="365" t="s">
        <v>3070</v>
      </c>
      <c r="D159" s="365" t="s">
        <v>3248</v>
      </c>
      <c r="E159" s="365" t="s">
        <v>3249</v>
      </c>
      <c r="F159" s="365" t="s">
        <v>2964</v>
      </c>
      <c r="G159" s="365" t="s">
        <v>3250</v>
      </c>
      <c r="H159" s="365" t="s">
        <v>3026</v>
      </c>
      <c r="I159" s="365" t="s">
        <v>3027</v>
      </c>
      <c r="J159" s="365" t="s">
        <v>3074</v>
      </c>
      <c r="K159" s="364"/>
      <c r="L159" s="364"/>
      <c r="M159" s="365" t="s">
        <v>2969</v>
      </c>
      <c r="N159" s="401">
        <v>45752.0</v>
      </c>
      <c r="O159" s="388" t="s">
        <v>2294</v>
      </c>
      <c r="P159" s="365" t="s">
        <v>3078</v>
      </c>
      <c r="Q159" s="365" t="s">
        <v>2964</v>
      </c>
      <c r="R159" s="365" t="s">
        <v>2594</v>
      </c>
      <c r="S159" s="365" t="s">
        <v>2594</v>
      </c>
      <c r="T159" s="364"/>
      <c r="U159" s="364"/>
      <c r="V159" s="364"/>
      <c r="W159" s="364"/>
      <c r="X159" s="364"/>
      <c r="Y159" s="364"/>
      <c r="Z159" s="364"/>
      <c r="AA159" s="364"/>
      <c r="AB159" s="364"/>
      <c r="AC159" s="364"/>
      <c r="AD159" s="364"/>
    </row>
    <row r="160">
      <c r="A160" s="391" t="s">
        <v>660</v>
      </c>
      <c r="B160" s="391" t="s">
        <v>661</v>
      </c>
      <c r="C160" s="365" t="s">
        <v>3070</v>
      </c>
      <c r="D160" s="365" t="s">
        <v>3248</v>
      </c>
      <c r="E160" s="365" t="s">
        <v>3249</v>
      </c>
      <c r="F160" s="365" t="s">
        <v>2964</v>
      </c>
      <c r="G160" s="365" t="s">
        <v>3250</v>
      </c>
      <c r="H160" s="365" t="s">
        <v>3026</v>
      </c>
      <c r="I160" s="365" t="s">
        <v>3027</v>
      </c>
      <c r="J160" s="365" t="s">
        <v>3074</v>
      </c>
      <c r="K160" s="364"/>
      <c r="L160" s="364"/>
      <c r="M160" s="365" t="s">
        <v>2969</v>
      </c>
      <c r="N160" s="401">
        <v>45782.0</v>
      </c>
      <c r="O160" s="388" t="s">
        <v>2289</v>
      </c>
      <c r="P160" s="365" t="s">
        <v>3079</v>
      </c>
      <c r="Q160" s="365" t="s">
        <v>2964</v>
      </c>
      <c r="R160" s="365" t="s">
        <v>2594</v>
      </c>
      <c r="S160" s="365" t="s">
        <v>2594</v>
      </c>
      <c r="T160" s="364"/>
      <c r="U160" s="364"/>
      <c r="V160" s="364"/>
      <c r="W160" s="364"/>
      <c r="X160" s="364"/>
      <c r="Y160" s="364"/>
      <c r="Z160" s="364"/>
      <c r="AA160" s="364"/>
      <c r="AB160" s="364"/>
      <c r="AC160" s="364"/>
      <c r="AD160" s="364"/>
    </row>
    <row r="161">
      <c r="A161" s="391" t="s">
        <v>660</v>
      </c>
      <c r="B161" s="391" t="s">
        <v>661</v>
      </c>
      <c r="C161" s="365" t="s">
        <v>3070</v>
      </c>
      <c r="D161" s="365" t="s">
        <v>3248</v>
      </c>
      <c r="E161" s="365" t="s">
        <v>3249</v>
      </c>
      <c r="F161" s="365" t="s">
        <v>2964</v>
      </c>
      <c r="G161" s="365" t="s">
        <v>3250</v>
      </c>
      <c r="H161" s="365" t="s">
        <v>3026</v>
      </c>
      <c r="I161" s="365" t="s">
        <v>3027</v>
      </c>
      <c r="J161" s="365" t="s">
        <v>3074</v>
      </c>
      <c r="K161" s="364"/>
      <c r="L161" s="364"/>
      <c r="M161" s="365" t="s">
        <v>2969</v>
      </c>
      <c r="N161" s="401">
        <v>45813.0</v>
      </c>
      <c r="O161" s="388" t="s">
        <v>2294</v>
      </c>
      <c r="P161" s="365" t="s">
        <v>3080</v>
      </c>
      <c r="Q161" s="365" t="s">
        <v>2964</v>
      </c>
      <c r="R161" s="365" t="s">
        <v>2594</v>
      </c>
      <c r="S161" s="365" t="s">
        <v>2594</v>
      </c>
      <c r="T161" s="364"/>
      <c r="U161" s="364"/>
      <c r="V161" s="364"/>
      <c r="W161" s="364"/>
      <c r="X161" s="364"/>
      <c r="Y161" s="364"/>
      <c r="Z161" s="364"/>
      <c r="AA161" s="364"/>
      <c r="AB161" s="364"/>
      <c r="AC161" s="364"/>
      <c r="AD161" s="364"/>
    </row>
    <row r="162">
      <c r="A162" s="391" t="s">
        <v>660</v>
      </c>
      <c r="B162" s="391" t="s">
        <v>661</v>
      </c>
      <c r="C162" s="365" t="s">
        <v>3081</v>
      </c>
      <c r="D162" s="365" t="s">
        <v>3251</v>
      </c>
      <c r="E162" s="365" t="s">
        <v>3252</v>
      </c>
      <c r="F162" s="365" t="s">
        <v>2964</v>
      </c>
      <c r="G162" s="365" t="s">
        <v>3253</v>
      </c>
      <c r="H162" s="365" t="s">
        <v>3026</v>
      </c>
      <c r="I162" s="365" t="s">
        <v>3027</v>
      </c>
      <c r="J162" s="365" t="s">
        <v>3085</v>
      </c>
      <c r="K162" s="364"/>
      <c r="L162" s="364"/>
      <c r="M162" s="365" t="s">
        <v>2969</v>
      </c>
      <c r="N162" s="401">
        <v>45663.0</v>
      </c>
      <c r="O162" s="388" t="s">
        <v>2289</v>
      </c>
      <c r="P162" s="365" t="s">
        <v>3254</v>
      </c>
      <c r="Q162" s="365" t="s">
        <v>2964</v>
      </c>
      <c r="R162" s="365" t="s">
        <v>2594</v>
      </c>
      <c r="S162" s="365" t="s">
        <v>2594</v>
      </c>
      <c r="T162" s="364"/>
      <c r="U162" s="364"/>
      <c r="V162" s="364"/>
      <c r="W162" s="364"/>
      <c r="X162" s="364"/>
      <c r="Y162" s="364"/>
      <c r="Z162" s="364"/>
      <c r="AA162" s="364"/>
      <c r="AB162" s="364"/>
      <c r="AC162" s="364"/>
      <c r="AD162" s="364"/>
    </row>
    <row r="163">
      <c r="A163" s="391" t="s">
        <v>660</v>
      </c>
      <c r="B163" s="391" t="s">
        <v>661</v>
      </c>
      <c r="C163" s="365" t="s">
        <v>3081</v>
      </c>
      <c r="D163" s="365" t="s">
        <v>3251</v>
      </c>
      <c r="E163" s="365" t="s">
        <v>3252</v>
      </c>
      <c r="F163" s="365" t="s">
        <v>2964</v>
      </c>
      <c r="G163" s="365" t="s">
        <v>3253</v>
      </c>
      <c r="H163" s="365" t="s">
        <v>3026</v>
      </c>
      <c r="I163" s="365" t="s">
        <v>3027</v>
      </c>
      <c r="J163" s="365" t="s">
        <v>3085</v>
      </c>
      <c r="K163" s="364"/>
      <c r="L163" s="364"/>
      <c r="M163" s="365" t="s">
        <v>2969</v>
      </c>
      <c r="N163" s="401">
        <v>45694.0</v>
      </c>
      <c r="O163" s="388" t="s">
        <v>2294</v>
      </c>
      <c r="P163" s="365" t="s">
        <v>3255</v>
      </c>
      <c r="Q163" s="365" t="s">
        <v>2964</v>
      </c>
      <c r="R163" s="365" t="s">
        <v>2594</v>
      </c>
      <c r="S163" s="365" t="s">
        <v>2594</v>
      </c>
      <c r="T163" s="364"/>
      <c r="U163" s="364"/>
      <c r="V163" s="364"/>
      <c r="W163" s="364"/>
      <c r="X163" s="364"/>
      <c r="Y163" s="364"/>
      <c r="Z163" s="364"/>
      <c r="AA163" s="364"/>
      <c r="AB163" s="364"/>
      <c r="AC163" s="364"/>
      <c r="AD163" s="364"/>
    </row>
    <row r="164">
      <c r="A164" s="391" t="s">
        <v>660</v>
      </c>
      <c r="B164" s="391" t="s">
        <v>661</v>
      </c>
      <c r="C164" s="365" t="s">
        <v>3081</v>
      </c>
      <c r="D164" s="365" t="s">
        <v>3251</v>
      </c>
      <c r="E164" s="365" t="s">
        <v>3252</v>
      </c>
      <c r="F164" s="365" t="s">
        <v>2964</v>
      </c>
      <c r="G164" s="365" t="s">
        <v>3253</v>
      </c>
      <c r="H164" s="365" t="s">
        <v>3026</v>
      </c>
      <c r="I164" s="365" t="s">
        <v>3027</v>
      </c>
      <c r="J164" s="365" t="s">
        <v>3085</v>
      </c>
      <c r="K164" s="364"/>
      <c r="L164" s="364"/>
      <c r="M164" s="365" t="s">
        <v>2969</v>
      </c>
      <c r="N164" s="401">
        <v>45722.0</v>
      </c>
      <c r="O164" s="388" t="s">
        <v>2289</v>
      </c>
      <c r="P164" s="365" t="s">
        <v>3088</v>
      </c>
      <c r="Q164" s="365" t="s">
        <v>2964</v>
      </c>
      <c r="R164" s="365" t="s">
        <v>2594</v>
      </c>
      <c r="S164" s="365" t="s">
        <v>2594</v>
      </c>
      <c r="T164" s="364"/>
      <c r="U164" s="364"/>
      <c r="V164" s="364"/>
      <c r="W164" s="364"/>
      <c r="X164" s="364"/>
      <c r="Y164" s="364"/>
      <c r="Z164" s="364"/>
      <c r="AA164" s="364"/>
      <c r="AB164" s="364"/>
      <c r="AC164" s="364"/>
      <c r="AD164" s="364"/>
    </row>
    <row r="165">
      <c r="A165" s="391" t="s">
        <v>660</v>
      </c>
      <c r="B165" s="391" t="s">
        <v>661</v>
      </c>
      <c r="C165" s="365" t="s">
        <v>3081</v>
      </c>
      <c r="D165" s="365" t="s">
        <v>3251</v>
      </c>
      <c r="E165" s="365" t="s">
        <v>3252</v>
      </c>
      <c r="F165" s="365" t="s">
        <v>2964</v>
      </c>
      <c r="G165" s="365" t="s">
        <v>3253</v>
      </c>
      <c r="H165" s="365" t="s">
        <v>3026</v>
      </c>
      <c r="I165" s="365" t="s">
        <v>3027</v>
      </c>
      <c r="J165" s="365" t="s">
        <v>3085</v>
      </c>
      <c r="K165" s="364"/>
      <c r="L165" s="364"/>
      <c r="M165" s="365" t="s">
        <v>2969</v>
      </c>
      <c r="N165" s="401">
        <v>45753.0</v>
      </c>
      <c r="O165" s="388" t="s">
        <v>2294</v>
      </c>
      <c r="P165" s="365" t="s">
        <v>3089</v>
      </c>
      <c r="Q165" s="365" t="s">
        <v>2964</v>
      </c>
      <c r="R165" s="365" t="s">
        <v>2594</v>
      </c>
      <c r="S165" s="365" t="s">
        <v>2594</v>
      </c>
      <c r="T165" s="364"/>
      <c r="U165" s="364"/>
      <c r="V165" s="364"/>
      <c r="W165" s="364"/>
      <c r="X165" s="364"/>
      <c r="Y165" s="364"/>
      <c r="Z165" s="364"/>
      <c r="AA165" s="364"/>
      <c r="AB165" s="364"/>
      <c r="AC165" s="364"/>
      <c r="AD165" s="364"/>
    </row>
    <row r="166">
      <c r="A166" s="391" t="s">
        <v>660</v>
      </c>
      <c r="B166" s="391" t="s">
        <v>661</v>
      </c>
      <c r="C166" s="365" t="s">
        <v>3081</v>
      </c>
      <c r="D166" s="365" t="s">
        <v>3251</v>
      </c>
      <c r="E166" s="365" t="s">
        <v>3252</v>
      </c>
      <c r="F166" s="365" t="s">
        <v>2964</v>
      </c>
      <c r="G166" s="365" t="s">
        <v>3253</v>
      </c>
      <c r="H166" s="365" t="s">
        <v>3026</v>
      </c>
      <c r="I166" s="365" t="s">
        <v>3027</v>
      </c>
      <c r="J166" s="365" t="s">
        <v>3085</v>
      </c>
      <c r="K166" s="364"/>
      <c r="L166" s="364"/>
      <c r="M166" s="365" t="s">
        <v>2969</v>
      </c>
      <c r="N166" s="401">
        <v>45783.0</v>
      </c>
      <c r="O166" s="388" t="s">
        <v>2289</v>
      </c>
      <c r="P166" s="365" t="s">
        <v>3256</v>
      </c>
      <c r="Q166" s="365" t="s">
        <v>2964</v>
      </c>
      <c r="R166" s="365" t="s">
        <v>2594</v>
      </c>
      <c r="S166" s="365" t="s">
        <v>2594</v>
      </c>
      <c r="T166" s="364"/>
      <c r="U166" s="364"/>
      <c r="V166" s="364"/>
      <c r="W166" s="364"/>
      <c r="X166" s="364"/>
      <c r="Y166" s="364"/>
      <c r="Z166" s="364"/>
      <c r="AA166" s="364"/>
      <c r="AB166" s="364"/>
      <c r="AC166" s="364"/>
      <c r="AD166" s="364"/>
    </row>
    <row r="167">
      <c r="A167" s="391" t="s">
        <v>660</v>
      </c>
      <c r="B167" s="391" t="s">
        <v>661</v>
      </c>
      <c r="C167" s="365" t="s">
        <v>3081</v>
      </c>
      <c r="D167" s="365" t="s">
        <v>3251</v>
      </c>
      <c r="E167" s="365" t="s">
        <v>3252</v>
      </c>
      <c r="F167" s="365" t="s">
        <v>2964</v>
      </c>
      <c r="G167" s="365" t="s">
        <v>3253</v>
      </c>
      <c r="H167" s="365" t="s">
        <v>3026</v>
      </c>
      <c r="I167" s="365" t="s">
        <v>3027</v>
      </c>
      <c r="J167" s="365" t="s">
        <v>3085</v>
      </c>
      <c r="K167" s="364"/>
      <c r="L167" s="364"/>
      <c r="M167" s="365" t="s">
        <v>2969</v>
      </c>
      <c r="N167" s="401">
        <v>45814.0</v>
      </c>
      <c r="O167" s="388" t="s">
        <v>2294</v>
      </c>
      <c r="P167" s="365" t="s">
        <v>3257</v>
      </c>
      <c r="Q167" s="365" t="s">
        <v>2964</v>
      </c>
      <c r="R167" s="365" t="s">
        <v>2594</v>
      </c>
      <c r="S167" s="365" t="s">
        <v>2594</v>
      </c>
      <c r="T167" s="364"/>
      <c r="U167" s="364"/>
      <c r="V167" s="364"/>
      <c r="W167" s="364"/>
      <c r="X167" s="364"/>
      <c r="Y167" s="364"/>
      <c r="Z167" s="364"/>
      <c r="AA167" s="364"/>
      <c r="AB167" s="364"/>
      <c r="AC167" s="364"/>
      <c r="AD167" s="364"/>
    </row>
    <row r="168">
      <c r="A168" s="391" t="s">
        <v>660</v>
      </c>
      <c r="B168" s="391" t="s">
        <v>661</v>
      </c>
      <c r="C168" s="365" t="s">
        <v>3090</v>
      </c>
      <c r="D168" s="365" t="s">
        <v>3258</v>
      </c>
      <c r="E168" s="365" t="s">
        <v>3259</v>
      </c>
      <c r="F168" s="365" t="s">
        <v>2964</v>
      </c>
      <c r="G168" s="365" t="s">
        <v>3260</v>
      </c>
      <c r="H168" s="365" t="s">
        <v>3026</v>
      </c>
      <c r="I168" s="365" t="s">
        <v>3027</v>
      </c>
      <c r="J168" s="365" t="s">
        <v>3094</v>
      </c>
      <c r="K168" s="364"/>
      <c r="L168" s="364"/>
      <c r="M168" s="365" t="s">
        <v>2969</v>
      </c>
      <c r="N168" s="401">
        <v>45664.0</v>
      </c>
      <c r="O168" s="388" t="s">
        <v>2289</v>
      </c>
      <c r="P168" s="365" t="s">
        <v>3261</v>
      </c>
      <c r="Q168" s="365" t="s">
        <v>2964</v>
      </c>
      <c r="R168" s="365" t="s">
        <v>2594</v>
      </c>
      <c r="S168" s="365" t="s">
        <v>2594</v>
      </c>
      <c r="T168" s="364"/>
      <c r="U168" s="364"/>
      <c r="V168" s="364"/>
      <c r="W168" s="364"/>
      <c r="X168" s="364"/>
      <c r="Y168" s="364"/>
      <c r="Z168" s="364"/>
      <c r="AA168" s="364"/>
      <c r="AB168" s="364"/>
      <c r="AC168" s="364"/>
      <c r="AD168" s="364"/>
    </row>
    <row r="169">
      <c r="A169" s="391" t="s">
        <v>660</v>
      </c>
      <c r="B169" s="391" t="s">
        <v>661</v>
      </c>
      <c r="C169" s="365" t="s">
        <v>3090</v>
      </c>
      <c r="D169" s="365" t="s">
        <v>3258</v>
      </c>
      <c r="E169" s="365" t="s">
        <v>3259</v>
      </c>
      <c r="F169" s="365" t="s">
        <v>2964</v>
      </c>
      <c r="G169" s="365" t="s">
        <v>3260</v>
      </c>
      <c r="H169" s="365" t="s">
        <v>3026</v>
      </c>
      <c r="I169" s="365" t="s">
        <v>3027</v>
      </c>
      <c r="J169" s="365" t="s">
        <v>3094</v>
      </c>
      <c r="K169" s="364"/>
      <c r="L169" s="364"/>
      <c r="M169" s="365" t="s">
        <v>2969</v>
      </c>
      <c r="N169" s="401">
        <v>45695.0</v>
      </c>
      <c r="O169" s="388" t="s">
        <v>2294</v>
      </c>
      <c r="P169" s="365" t="s">
        <v>3262</v>
      </c>
      <c r="Q169" s="365" t="s">
        <v>2964</v>
      </c>
      <c r="R169" s="365" t="s">
        <v>2594</v>
      </c>
      <c r="S169" s="365" t="s">
        <v>2594</v>
      </c>
      <c r="T169" s="364"/>
      <c r="U169" s="364"/>
      <c r="V169" s="364"/>
      <c r="W169" s="364"/>
      <c r="X169" s="364"/>
      <c r="Y169" s="364"/>
      <c r="Z169" s="364"/>
      <c r="AA169" s="364"/>
      <c r="AB169" s="364"/>
      <c r="AC169" s="364"/>
      <c r="AD169" s="364"/>
    </row>
    <row r="170">
      <c r="A170" s="391" t="s">
        <v>660</v>
      </c>
      <c r="B170" s="391" t="s">
        <v>661</v>
      </c>
      <c r="C170" s="365" t="s">
        <v>3090</v>
      </c>
      <c r="D170" s="365" t="s">
        <v>3258</v>
      </c>
      <c r="E170" s="365" t="s">
        <v>3259</v>
      </c>
      <c r="F170" s="365" t="s">
        <v>2964</v>
      </c>
      <c r="G170" s="365" t="s">
        <v>3260</v>
      </c>
      <c r="H170" s="365" t="s">
        <v>3026</v>
      </c>
      <c r="I170" s="365" t="s">
        <v>3027</v>
      </c>
      <c r="J170" s="365" t="s">
        <v>3094</v>
      </c>
      <c r="K170" s="364"/>
      <c r="L170" s="364"/>
      <c r="M170" s="365" t="s">
        <v>2969</v>
      </c>
      <c r="N170" s="401">
        <v>45723.0</v>
      </c>
      <c r="O170" s="388" t="s">
        <v>2289</v>
      </c>
      <c r="P170" s="365" t="s">
        <v>3263</v>
      </c>
      <c r="Q170" s="365" t="s">
        <v>2964</v>
      </c>
      <c r="R170" s="365" t="s">
        <v>2594</v>
      </c>
      <c r="S170" s="365" t="s">
        <v>2594</v>
      </c>
      <c r="T170" s="364"/>
      <c r="U170" s="364"/>
      <c r="V170" s="364"/>
      <c r="W170" s="364"/>
      <c r="X170" s="364"/>
      <c r="Y170" s="364"/>
      <c r="Z170" s="364"/>
      <c r="AA170" s="364"/>
      <c r="AB170" s="364"/>
      <c r="AC170" s="364"/>
      <c r="AD170" s="364"/>
    </row>
    <row r="171">
      <c r="A171" s="391" t="s">
        <v>660</v>
      </c>
      <c r="B171" s="391" t="s">
        <v>661</v>
      </c>
      <c r="C171" s="365" t="s">
        <v>3090</v>
      </c>
      <c r="D171" s="365" t="s">
        <v>3258</v>
      </c>
      <c r="E171" s="365" t="s">
        <v>3259</v>
      </c>
      <c r="F171" s="365" t="s">
        <v>2964</v>
      </c>
      <c r="G171" s="365" t="s">
        <v>3260</v>
      </c>
      <c r="H171" s="365" t="s">
        <v>3026</v>
      </c>
      <c r="I171" s="365" t="s">
        <v>3027</v>
      </c>
      <c r="J171" s="365" t="s">
        <v>3094</v>
      </c>
      <c r="K171" s="364"/>
      <c r="L171" s="364"/>
      <c r="M171" s="365" t="s">
        <v>2969</v>
      </c>
      <c r="N171" s="401">
        <v>45754.0</v>
      </c>
      <c r="O171" s="388" t="s">
        <v>2294</v>
      </c>
      <c r="P171" s="365" t="s">
        <v>3100</v>
      </c>
      <c r="Q171" s="365" t="s">
        <v>2964</v>
      </c>
      <c r="R171" s="365" t="s">
        <v>2594</v>
      </c>
      <c r="S171" s="365" t="s">
        <v>2594</v>
      </c>
      <c r="T171" s="364"/>
      <c r="U171" s="364"/>
      <c r="V171" s="364"/>
      <c r="W171" s="364"/>
      <c r="X171" s="364"/>
      <c r="Y171" s="364"/>
      <c r="Z171" s="364"/>
      <c r="AA171" s="364"/>
      <c r="AB171" s="364"/>
      <c r="AC171" s="364"/>
      <c r="AD171" s="364"/>
    </row>
    <row r="172">
      <c r="A172" s="391" t="s">
        <v>660</v>
      </c>
      <c r="B172" s="391" t="s">
        <v>661</v>
      </c>
      <c r="C172" s="365" t="s">
        <v>3101</v>
      </c>
      <c r="D172" s="365" t="s">
        <v>3264</v>
      </c>
      <c r="E172" s="365" t="s">
        <v>3265</v>
      </c>
      <c r="F172" s="365" t="s">
        <v>2964</v>
      </c>
      <c r="G172" s="365" t="s">
        <v>3266</v>
      </c>
      <c r="H172" s="365" t="s">
        <v>3026</v>
      </c>
      <c r="I172" s="365" t="s">
        <v>3027</v>
      </c>
      <c r="J172" s="365" t="s">
        <v>3105</v>
      </c>
      <c r="K172" s="364"/>
      <c r="L172" s="364"/>
      <c r="M172" s="365" t="s">
        <v>2969</v>
      </c>
      <c r="N172" s="401">
        <v>45665.0</v>
      </c>
      <c r="O172" s="388" t="s">
        <v>2289</v>
      </c>
      <c r="P172" s="365" t="s">
        <v>3267</v>
      </c>
      <c r="Q172" s="365" t="s">
        <v>2964</v>
      </c>
      <c r="R172" s="365" t="s">
        <v>2594</v>
      </c>
      <c r="S172" s="365" t="s">
        <v>2594</v>
      </c>
      <c r="T172" s="364"/>
      <c r="U172" s="364"/>
      <c r="V172" s="364"/>
      <c r="W172" s="364"/>
      <c r="X172" s="364"/>
      <c r="Y172" s="364"/>
      <c r="Z172" s="364"/>
      <c r="AA172" s="364"/>
      <c r="AB172" s="364"/>
      <c r="AC172" s="364"/>
      <c r="AD172" s="364"/>
    </row>
    <row r="173">
      <c r="A173" s="391" t="s">
        <v>660</v>
      </c>
      <c r="B173" s="391" t="s">
        <v>661</v>
      </c>
      <c r="C173" s="365" t="s">
        <v>3101</v>
      </c>
      <c r="D173" s="365" t="s">
        <v>3264</v>
      </c>
      <c r="E173" s="365" t="s">
        <v>3265</v>
      </c>
      <c r="F173" s="365" t="s">
        <v>2964</v>
      </c>
      <c r="G173" s="365" t="s">
        <v>3266</v>
      </c>
      <c r="H173" s="365" t="s">
        <v>3026</v>
      </c>
      <c r="I173" s="365" t="s">
        <v>3027</v>
      </c>
      <c r="J173" s="365" t="s">
        <v>3105</v>
      </c>
      <c r="K173" s="364"/>
      <c r="L173" s="364"/>
      <c r="M173" s="365" t="s">
        <v>2969</v>
      </c>
      <c r="N173" s="401">
        <v>45696.0</v>
      </c>
      <c r="O173" s="388" t="s">
        <v>2294</v>
      </c>
      <c r="P173" s="365" t="s">
        <v>3268</v>
      </c>
      <c r="Q173" s="365" t="s">
        <v>2964</v>
      </c>
      <c r="R173" s="365" t="s">
        <v>2594</v>
      </c>
      <c r="S173" s="365" t="s">
        <v>2594</v>
      </c>
      <c r="T173" s="364"/>
      <c r="U173" s="364"/>
      <c r="V173" s="364"/>
      <c r="W173" s="364"/>
      <c r="X173" s="364"/>
      <c r="Y173" s="364"/>
      <c r="Z173" s="364"/>
      <c r="AA173" s="364"/>
      <c r="AB173" s="364"/>
      <c r="AC173" s="364"/>
      <c r="AD173" s="364"/>
    </row>
    <row r="174">
      <c r="A174" s="391" t="s">
        <v>660</v>
      </c>
      <c r="B174" s="391" t="s">
        <v>661</v>
      </c>
      <c r="C174" s="365" t="s">
        <v>3101</v>
      </c>
      <c r="D174" s="365" t="s">
        <v>3264</v>
      </c>
      <c r="E174" s="365" t="s">
        <v>3265</v>
      </c>
      <c r="F174" s="365" t="s">
        <v>2964</v>
      </c>
      <c r="G174" s="365" t="s">
        <v>3266</v>
      </c>
      <c r="H174" s="365" t="s">
        <v>3026</v>
      </c>
      <c r="I174" s="365" t="s">
        <v>3027</v>
      </c>
      <c r="J174" s="365" t="s">
        <v>3105</v>
      </c>
      <c r="K174" s="364"/>
      <c r="L174" s="364"/>
      <c r="M174" s="365" t="s">
        <v>2969</v>
      </c>
      <c r="N174" s="401">
        <v>45724.0</v>
      </c>
      <c r="O174" s="388" t="s">
        <v>2289</v>
      </c>
      <c r="P174" s="365" t="s">
        <v>3269</v>
      </c>
      <c r="Q174" s="365" t="s">
        <v>2964</v>
      </c>
      <c r="R174" s="365" t="s">
        <v>2594</v>
      </c>
      <c r="S174" s="365" t="s">
        <v>2594</v>
      </c>
      <c r="T174" s="364"/>
      <c r="U174" s="364"/>
      <c r="V174" s="364"/>
      <c r="W174" s="364"/>
      <c r="X174" s="364"/>
      <c r="Y174" s="364"/>
      <c r="Z174" s="364"/>
      <c r="AA174" s="364"/>
      <c r="AB174" s="364"/>
      <c r="AC174" s="364"/>
      <c r="AD174" s="364"/>
    </row>
    <row r="175">
      <c r="A175" s="391" t="s">
        <v>660</v>
      </c>
      <c r="B175" s="391" t="s">
        <v>661</v>
      </c>
      <c r="C175" s="365" t="s">
        <v>3101</v>
      </c>
      <c r="D175" s="365" t="s">
        <v>3264</v>
      </c>
      <c r="E175" s="365" t="s">
        <v>3265</v>
      </c>
      <c r="F175" s="365" t="s">
        <v>2964</v>
      </c>
      <c r="G175" s="365" t="s">
        <v>3266</v>
      </c>
      <c r="H175" s="365" t="s">
        <v>3026</v>
      </c>
      <c r="I175" s="365" t="s">
        <v>3027</v>
      </c>
      <c r="J175" s="365" t="s">
        <v>3105</v>
      </c>
      <c r="K175" s="364"/>
      <c r="L175" s="364"/>
      <c r="M175" s="365" t="s">
        <v>2969</v>
      </c>
      <c r="N175" s="401">
        <v>45755.0</v>
      </c>
      <c r="O175" s="388" t="s">
        <v>2294</v>
      </c>
      <c r="P175" s="365" t="s">
        <v>3270</v>
      </c>
      <c r="Q175" s="365" t="s">
        <v>2964</v>
      </c>
      <c r="R175" s="365" t="s">
        <v>2594</v>
      </c>
      <c r="S175" s="365" t="s">
        <v>2594</v>
      </c>
      <c r="T175" s="364"/>
      <c r="U175" s="364"/>
      <c r="V175" s="364"/>
      <c r="W175" s="364"/>
      <c r="X175" s="364"/>
      <c r="Y175" s="364"/>
      <c r="Z175" s="364"/>
      <c r="AA175" s="364"/>
      <c r="AB175" s="364"/>
      <c r="AC175" s="364"/>
      <c r="AD175" s="364"/>
    </row>
    <row r="176">
      <c r="A176" s="391" t="s">
        <v>660</v>
      </c>
      <c r="B176" s="391" t="s">
        <v>661</v>
      </c>
      <c r="C176" s="365" t="s">
        <v>3110</v>
      </c>
      <c r="D176" s="365" t="s">
        <v>3271</v>
      </c>
      <c r="E176" s="365" t="s">
        <v>3272</v>
      </c>
      <c r="F176" s="365" t="s">
        <v>2964</v>
      </c>
      <c r="G176" s="365" t="s">
        <v>3273</v>
      </c>
      <c r="H176" s="365" t="s">
        <v>3026</v>
      </c>
      <c r="I176" s="365" t="s">
        <v>3027</v>
      </c>
      <c r="J176" s="365" t="s">
        <v>3114</v>
      </c>
      <c r="K176" s="364"/>
      <c r="L176" s="364"/>
      <c r="M176" s="365" t="s">
        <v>2969</v>
      </c>
      <c r="N176" s="401">
        <v>45666.0</v>
      </c>
      <c r="O176" s="388" t="s">
        <v>2289</v>
      </c>
      <c r="P176" s="365" t="s">
        <v>3274</v>
      </c>
      <c r="Q176" s="365" t="s">
        <v>2964</v>
      </c>
      <c r="R176" s="365" t="s">
        <v>2594</v>
      </c>
      <c r="S176" s="365" t="s">
        <v>2594</v>
      </c>
      <c r="T176" s="364"/>
      <c r="U176" s="364"/>
      <c r="V176" s="364"/>
      <c r="W176" s="364"/>
      <c r="X176" s="364"/>
      <c r="Y176" s="364"/>
      <c r="Z176" s="364"/>
      <c r="AA176" s="364"/>
      <c r="AB176" s="364"/>
      <c r="AC176" s="364"/>
      <c r="AD176" s="364"/>
    </row>
    <row r="177">
      <c r="A177" s="391" t="s">
        <v>660</v>
      </c>
      <c r="B177" s="391" t="s">
        <v>661</v>
      </c>
      <c r="C177" s="365" t="s">
        <v>3110</v>
      </c>
      <c r="D177" s="365" t="s">
        <v>3271</v>
      </c>
      <c r="E177" s="365" t="s">
        <v>3272</v>
      </c>
      <c r="F177" s="365" t="s">
        <v>2964</v>
      </c>
      <c r="G177" s="365" t="s">
        <v>3273</v>
      </c>
      <c r="H177" s="365" t="s">
        <v>3026</v>
      </c>
      <c r="I177" s="365" t="s">
        <v>3027</v>
      </c>
      <c r="J177" s="365" t="s">
        <v>3114</v>
      </c>
      <c r="K177" s="364"/>
      <c r="L177" s="364"/>
      <c r="M177" s="365" t="s">
        <v>2969</v>
      </c>
      <c r="N177" s="401">
        <v>45697.0</v>
      </c>
      <c r="O177" s="388" t="s">
        <v>2294</v>
      </c>
      <c r="P177" s="365" t="s">
        <v>3275</v>
      </c>
      <c r="Q177" s="365" t="s">
        <v>2964</v>
      </c>
      <c r="R177" s="365" t="s">
        <v>2594</v>
      </c>
      <c r="S177" s="365" t="s">
        <v>2594</v>
      </c>
      <c r="T177" s="364"/>
      <c r="U177" s="364"/>
      <c r="V177" s="364"/>
      <c r="W177" s="364"/>
      <c r="X177" s="364"/>
      <c r="Y177" s="364"/>
      <c r="Z177" s="364"/>
      <c r="AA177" s="364"/>
      <c r="AB177" s="364"/>
      <c r="AC177" s="364"/>
      <c r="AD177" s="364"/>
    </row>
    <row r="178">
      <c r="A178" s="391" t="s">
        <v>660</v>
      </c>
      <c r="B178" s="391" t="s">
        <v>661</v>
      </c>
      <c r="C178" s="365" t="s">
        <v>3110</v>
      </c>
      <c r="D178" s="365" t="s">
        <v>3271</v>
      </c>
      <c r="E178" s="365" t="s">
        <v>3272</v>
      </c>
      <c r="F178" s="365" t="s">
        <v>2964</v>
      </c>
      <c r="G178" s="365" t="s">
        <v>3273</v>
      </c>
      <c r="H178" s="365" t="s">
        <v>3026</v>
      </c>
      <c r="I178" s="365" t="s">
        <v>3027</v>
      </c>
      <c r="J178" s="365" t="s">
        <v>3114</v>
      </c>
      <c r="K178" s="364"/>
      <c r="L178" s="364"/>
      <c r="M178" s="365" t="s">
        <v>2969</v>
      </c>
      <c r="N178" s="401">
        <v>45725.0</v>
      </c>
      <c r="O178" s="388" t="s">
        <v>2289</v>
      </c>
      <c r="P178" s="365" t="s">
        <v>3117</v>
      </c>
      <c r="Q178" s="365" t="s">
        <v>2964</v>
      </c>
      <c r="R178" s="365" t="s">
        <v>2594</v>
      </c>
      <c r="S178" s="365" t="s">
        <v>2594</v>
      </c>
      <c r="T178" s="364"/>
      <c r="U178" s="364"/>
      <c r="V178" s="364"/>
      <c r="W178" s="364"/>
      <c r="X178" s="364"/>
      <c r="Y178" s="364"/>
      <c r="Z178" s="364"/>
      <c r="AA178" s="364"/>
      <c r="AB178" s="364"/>
      <c r="AC178" s="364"/>
      <c r="AD178" s="364"/>
    </row>
    <row r="179">
      <c r="A179" s="391" t="s">
        <v>660</v>
      </c>
      <c r="B179" s="391" t="s">
        <v>661</v>
      </c>
      <c r="C179" s="365" t="s">
        <v>3110</v>
      </c>
      <c r="D179" s="365" t="s">
        <v>3271</v>
      </c>
      <c r="E179" s="365" t="s">
        <v>3272</v>
      </c>
      <c r="F179" s="365" t="s">
        <v>2964</v>
      </c>
      <c r="G179" s="365" t="s">
        <v>3273</v>
      </c>
      <c r="H179" s="365" t="s">
        <v>3026</v>
      </c>
      <c r="I179" s="365" t="s">
        <v>3027</v>
      </c>
      <c r="J179" s="365" t="s">
        <v>3114</v>
      </c>
      <c r="K179" s="364"/>
      <c r="L179" s="364"/>
      <c r="M179" s="365" t="s">
        <v>2969</v>
      </c>
      <c r="N179" s="401">
        <v>45756.0</v>
      </c>
      <c r="O179" s="388" t="s">
        <v>2294</v>
      </c>
      <c r="P179" s="365" t="s">
        <v>3276</v>
      </c>
      <c r="Q179" s="365" t="s">
        <v>2964</v>
      </c>
      <c r="R179" s="365" t="s">
        <v>2594</v>
      </c>
      <c r="S179" s="365" t="s">
        <v>2594</v>
      </c>
      <c r="T179" s="364"/>
      <c r="U179" s="364"/>
      <c r="V179" s="364"/>
      <c r="W179" s="364"/>
      <c r="X179" s="364"/>
      <c r="Y179" s="364"/>
      <c r="Z179" s="364"/>
      <c r="AA179" s="364"/>
      <c r="AB179" s="364"/>
      <c r="AC179" s="364"/>
      <c r="AD179" s="364"/>
    </row>
    <row r="180">
      <c r="A180" s="391" t="s">
        <v>660</v>
      </c>
      <c r="B180" s="391" t="s">
        <v>661</v>
      </c>
      <c r="C180" s="365" t="s">
        <v>21</v>
      </c>
      <c r="D180" s="365" t="s">
        <v>3277</v>
      </c>
      <c r="E180" s="365" t="s">
        <v>3278</v>
      </c>
      <c r="F180" s="365" t="s">
        <v>2964</v>
      </c>
      <c r="G180" s="365" t="s">
        <v>3279</v>
      </c>
      <c r="H180" s="365" t="s">
        <v>3026</v>
      </c>
      <c r="I180" s="365" t="s">
        <v>3027</v>
      </c>
      <c r="J180" s="365" t="s">
        <v>3122</v>
      </c>
      <c r="K180" s="364"/>
      <c r="L180" s="364"/>
      <c r="M180" s="365" t="s">
        <v>2969</v>
      </c>
      <c r="N180" s="401">
        <v>45667.0</v>
      </c>
      <c r="O180" s="388" t="s">
        <v>2289</v>
      </c>
      <c r="P180" s="365" t="s">
        <v>3123</v>
      </c>
      <c r="Q180" s="365" t="s">
        <v>2964</v>
      </c>
      <c r="R180" s="365" t="s">
        <v>2594</v>
      </c>
      <c r="S180" s="365" t="s">
        <v>2594</v>
      </c>
      <c r="T180" s="364"/>
      <c r="U180" s="364"/>
      <c r="V180" s="364"/>
      <c r="W180" s="364"/>
      <c r="X180" s="364"/>
      <c r="Y180" s="364"/>
      <c r="Z180" s="364"/>
      <c r="AA180" s="364"/>
      <c r="AB180" s="364"/>
      <c r="AC180" s="364"/>
      <c r="AD180" s="364"/>
    </row>
    <row r="181">
      <c r="A181" s="391" t="s">
        <v>660</v>
      </c>
      <c r="B181" s="391" t="s">
        <v>661</v>
      </c>
      <c r="C181" s="365" t="s">
        <v>21</v>
      </c>
      <c r="D181" s="365" t="s">
        <v>3277</v>
      </c>
      <c r="E181" s="365" t="s">
        <v>3278</v>
      </c>
      <c r="F181" s="365" t="s">
        <v>2964</v>
      </c>
      <c r="G181" s="365" t="s">
        <v>3279</v>
      </c>
      <c r="H181" s="365" t="s">
        <v>3026</v>
      </c>
      <c r="I181" s="365" t="s">
        <v>3027</v>
      </c>
      <c r="J181" s="365" t="s">
        <v>3122</v>
      </c>
      <c r="K181" s="364"/>
      <c r="L181" s="364"/>
      <c r="M181" s="365" t="s">
        <v>2969</v>
      </c>
      <c r="N181" s="401">
        <v>45698.0</v>
      </c>
      <c r="O181" s="388" t="s">
        <v>2294</v>
      </c>
      <c r="P181" s="365" t="s">
        <v>3124</v>
      </c>
      <c r="Q181" s="365" t="s">
        <v>2964</v>
      </c>
      <c r="R181" s="365" t="s">
        <v>2594</v>
      </c>
      <c r="S181" s="365" t="s">
        <v>2594</v>
      </c>
      <c r="T181" s="364"/>
      <c r="U181" s="364"/>
      <c r="V181" s="364"/>
      <c r="W181" s="364"/>
      <c r="X181" s="364"/>
      <c r="Y181" s="364"/>
      <c r="Z181" s="364"/>
      <c r="AA181" s="364"/>
      <c r="AB181" s="364"/>
      <c r="AC181" s="364"/>
      <c r="AD181" s="364"/>
    </row>
    <row r="182">
      <c r="A182" s="391" t="s">
        <v>660</v>
      </c>
      <c r="B182" s="391" t="s">
        <v>661</v>
      </c>
      <c r="C182" s="365" t="s">
        <v>21</v>
      </c>
      <c r="D182" s="365" t="s">
        <v>3277</v>
      </c>
      <c r="E182" s="365" t="s">
        <v>3278</v>
      </c>
      <c r="F182" s="365" t="s">
        <v>2964</v>
      </c>
      <c r="G182" s="365" t="s">
        <v>3279</v>
      </c>
      <c r="H182" s="365" t="s">
        <v>3026</v>
      </c>
      <c r="I182" s="365" t="s">
        <v>3027</v>
      </c>
      <c r="J182" s="365" t="s">
        <v>3122</v>
      </c>
      <c r="K182" s="364"/>
      <c r="L182" s="364"/>
      <c r="M182" s="365" t="s">
        <v>2969</v>
      </c>
      <c r="N182" s="401">
        <v>45726.0</v>
      </c>
      <c r="O182" s="388" t="s">
        <v>2289</v>
      </c>
      <c r="P182" s="365" t="s">
        <v>3125</v>
      </c>
      <c r="Q182" s="365" t="s">
        <v>2964</v>
      </c>
      <c r="R182" s="365" t="s">
        <v>2594</v>
      </c>
      <c r="S182" s="365" t="s">
        <v>2594</v>
      </c>
      <c r="T182" s="364"/>
      <c r="U182" s="364"/>
      <c r="V182" s="364"/>
      <c r="W182" s="364"/>
      <c r="X182" s="364"/>
      <c r="Y182" s="364"/>
      <c r="Z182" s="364"/>
      <c r="AA182" s="364"/>
      <c r="AB182" s="364"/>
      <c r="AC182" s="364"/>
      <c r="AD182" s="364"/>
    </row>
    <row r="183">
      <c r="A183" s="391" t="s">
        <v>660</v>
      </c>
      <c r="B183" s="391" t="s">
        <v>661</v>
      </c>
      <c r="C183" s="365" t="s">
        <v>21</v>
      </c>
      <c r="D183" s="365" t="s">
        <v>3277</v>
      </c>
      <c r="E183" s="365" t="s">
        <v>3278</v>
      </c>
      <c r="F183" s="365" t="s">
        <v>2964</v>
      </c>
      <c r="G183" s="365" t="s">
        <v>3279</v>
      </c>
      <c r="H183" s="365" t="s">
        <v>3026</v>
      </c>
      <c r="I183" s="365" t="s">
        <v>3027</v>
      </c>
      <c r="J183" s="365" t="s">
        <v>3122</v>
      </c>
      <c r="K183" s="364"/>
      <c r="L183" s="364"/>
      <c r="M183" s="365" t="s">
        <v>2969</v>
      </c>
      <c r="N183" s="401">
        <v>45757.0</v>
      </c>
      <c r="O183" s="388" t="s">
        <v>2294</v>
      </c>
      <c r="P183" s="365" t="s">
        <v>3126</v>
      </c>
      <c r="Q183" s="365" t="s">
        <v>2964</v>
      </c>
      <c r="R183" s="365" t="s">
        <v>2594</v>
      </c>
      <c r="S183" s="365" t="s">
        <v>2594</v>
      </c>
      <c r="T183" s="364"/>
      <c r="U183" s="364"/>
      <c r="V183" s="364"/>
      <c r="W183" s="364"/>
      <c r="X183" s="364"/>
      <c r="Y183" s="364"/>
      <c r="Z183" s="364"/>
      <c r="AA183" s="364"/>
      <c r="AB183" s="364"/>
      <c r="AC183" s="364"/>
      <c r="AD183" s="364"/>
    </row>
    <row r="184">
      <c r="A184" s="391" t="s">
        <v>660</v>
      </c>
      <c r="B184" s="391" t="s">
        <v>661</v>
      </c>
      <c r="C184" s="365" t="s">
        <v>3129</v>
      </c>
      <c r="D184" s="365" t="s">
        <v>3280</v>
      </c>
      <c r="E184" s="365" t="s">
        <v>3281</v>
      </c>
      <c r="F184" s="365" t="s">
        <v>2964</v>
      </c>
      <c r="G184" s="365" t="s">
        <v>3282</v>
      </c>
      <c r="H184" s="365" t="s">
        <v>3026</v>
      </c>
      <c r="I184" s="365" t="s">
        <v>3027</v>
      </c>
      <c r="J184" s="365" t="s">
        <v>3133</v>
      </c>
      <c r="K184" s="364"/>
      <c r="L184" s="364"/>
      <c r="M184" s="365" t="s">
        <v>2969</v>
      </c>
      <c r="N184" s="401">
        <v>45668.0</v>
      </c>
      <c r="O184" s="388" t="s">
        <v>2289</v>
      </c>
      <c r="P184" s="365" t="s">
        <v>3283</v>
      </c>
      <c r="Q184" s="365" t="s">
        <v>2964</v>
      </c>
      <c r="R184" s="365" t="s">
        <v>2594</v>
      </c>
      <c r="S184" s="365" t="s">
        <v>2594</v>
      </c>
      <c r="T184" s="364"/>
      <c r="U184" s="364"/>
      <c r="V184" s="364"/>
      <c r="W184" s="364"/>
      <c r="X184" s="364"/>
      <c r="Y184" s="364"/>
      <c r="Z184" s="364"/>
      <c r="AA184" s="364"/>
      <c r="AB184" s="364"/>
      <c r="AC184" s="364"/>
      <c r="AD184" s="364"/>
    </row>
    <row r="185">
      <c r="A185" s="391" t="s">
        <v>660</v>
      </c>
      <c r="B185" s="391" t="s">
        <v>661</v>
      </c>
      <c r="C185" s="365" t="s">
        <v>3129</v>
      </c>
      <c r="D185" s="365" t="s">
        <v>3280</v>
      </c>
      <c r="E185" s="365" t="s">
        <v>3281</v>
      </c>
      <c r="F185" s="365" t="s">
        <v>2964</v>
      </c>
      <c r="G185" s="365" t="s">
        <v>3282</v>
      </c>
      <c r="H185" s="365" t="s">
        <v>3026</v>
      </c>
      <c r="I185" s="365" t="s">
        <v>3027</v>
      </c>
      <c r="J185" s="365" t="s">
        <v>3133</v>
      </c>
      <c r="K185" s="364"/>
      <c r="L185" s="364"/>
      <c r="M185" s="365" t="s">
        <v>2969</v>
      </c>
      <c r="N185" s="401">
        <v>45699.0</v>
      </c>
      <c r="O185" s="388" t="s">
        <v>2294</v>
      </c>
      <c r="P185" s="365" t="s">
        <v>3135</v>
      </c>
      <c r="Q185" s="365" t="s">
        <v>2964</v>
      </c>
      <c r="R185" s="365" t="s">
        <v>2594</v>
      </c>
      <c r="S185" s="365" t="s">
        <v>2594</v>
      </c>
      <c r="T185" s="364"/>
      <c r="U185" s="364"/>
      <c r="V185" s="364"/>
      <c r="W185" s="364"/>
      <c r="X185" s="364"/>
      <c r="Y185" s="364"/>
      <c r="Z185" s="364"/>
      <c r="AA185" s="364"/>
      <c r="AB185" s="364"/>
      <c r="AC185" s="364"/>
      <c r="AD185" s="364"/>
    </row>
    <row r="186">
      <c r="A186" s="391" t="s">
        <v>660</v>
      </c>
      <c r="B186" s="391" t="s">
        <v>661</v>
      </c>
      <c r="C186" s="365" t="s">
        <v>3129</v>
      </c>
      <c r="D186" s="365" t="s">
        <v>3280</v>
      </c>
      <c r="E186" s="365" t="s">
        <v>3281</v>
      </c>
      <c r="F186" s="365" t="s">
        <v>2964</v>
      </c>
      <c r="G186" s="365" t="s">
        <v>3282</v>
      </c>
      <c r="H186" s="365" t="s">
        <v>3026</v>
      </c>
      <c r="I186" s="365" t="s">
        <v>3027</v>
      </c>
      <c r="J186" s="365" t="s">
        <v>3133</v>
      </c>
      <c r="K186" s="364"/>
      <c r="L186" s="364"/>
      <c r="M186" s="365" t="s">
        <v>2969</v>
      </c>
      <c r="N186" s="401">
        <v>45727.0</v>
      </c>
      <c r="O186" s="388" t="s">
        <v>2289</v>
      </c>
      <c r="P186" s="365" t="s">
        <v>3136</v>
      </c>
      <c r="Q186" s="365" t="s">
        <v>2964</v>
      </c>
      <c r="R186" s="365" t="s">
        <v>2594</v>
      </c>
      <c r="S186" s="365" t="s">
        <v>2594</v>
      </c>
      <c r="T186" s="364"/>
      <c r="U186" s="364"/>
      <c r="V186" s="364"/>
      <c r="W186" s="364"/>
      <c r="X186" s="364"/>
      <c r="Y186" s="364"/>
      <c r="Z186" s="364"/>
      <c r="AA186" s="364"/>
      <c r="AB186" s="364"/>
      <c r="AC186" s="364"/>
      <c r="AD186" s="364"/>
    </row>
    <row r="187">
      <c r="A187" s="391" t="s">
        <v>660</v>
      </c>
      <c r="B187" s="391" t="s">
        <v>661</v>
      </c>
      <c r="C187" s="365" t="s">
        <v>3129</v>
      </c>
      <c r="D187" s="365" t="s">
        <v>3280</v>
      </c>
      <c r="E187" s="365" t="s">
        <v>3281</v>
      </c>
      <c r="F187" s="365" t="s">
        <v>2964</v>
      </c>
      <c r="G187" s="365" t="s">
        <v>3282</v>
      </c>
      <c r="H187" s="365" t="s">
        <v>3026</v>
      </c>
      <c r="I187" s="365" t="s">
        <v>3027</v>
      </c>
      <c r="J187" s="365" t="s">
        <v>3133</v>
      </c>
      <c r="K187" s="364"/>
      <c r="L187" s="364"/>
      <c r="M187" s="365" t="s">
        <v>2969</v>
      </c>
      <c r="N187" s="401">
        <v>45758.0</v>
      </c>
      <c r="O187" s="388" t="s">
        <v>2294</v>
      </c>
      <c r="P187" s="365" t="s">
        <v>3284</v>
      </c>
      <c r="Q187" s="365" t="s">
        <v>2964</v>
      </c>
      <c r="R187" s="365" t="s">
        <v>2594</v>
      </c>
      <c r="S187" s="365" t="s">
        <v>2594</v>
      </c>
      <c r="T187" s="364"/>
      <c r="U187" s="364"/>
      <c r="V187" s="364"/>
      <c r="W187" s="364"/>
      <c r="X187" s="364"/>
      <c r="Y187" s="364"/>
      <c r="Z187" s="364"/>
      <c r="AA187" s="364"/>
      <c r="AB187" s="364"/>
      <c r="AC187" s="364"/>
      <c r="AD187" s="364"/>
    </row>
    <row r="188">
      <c r="A188" s="391" t="s">
        <v>660</v>
      </c>
      <c r="B188" s="391" t="s">
        <v>661</v>
      </c>
      <c r="C188" s="365" t="s">
        <v>3138</v>
      </c>
      <c r="D188" s="365" t="s">
        <v>3285</v>
      </c>
      <c r="E188" s="365" t="s">
        <v>3286</v>
      </c>
      <c r="F188" s="365" t="s">
        <v>2964</v>
      </c>
      <c r="G188" s="365" t="s">
        <v>3287</v>
      </c>
      <c r="H188" s="365" t="s">
        <v>3026</v>
      </c>
      <c r="I188" s="365" t="s">
        <v>3027</v>
      </c>
      <c r="J188" s="365" t="s">
        <v>3142</v>
      </c>
      <c r="K188" s="364"/>
      <c r="L188" s="364"/>
      <c r="M188" s="365" t="s">
        <v>2969</v>
      </c>
      <c r="N188" s="401">
        <v>45669.0</v>
      </c>
      <c r="O188" s="388" t="s">
        <v>2289</v>
      </c>
      <c r="P188" s="365" t="s">
        <v>3288</v>
      </c>
      <c r="Q188" s="365" t="s">
        <v>2964</v>
      </c>
      <c r="R188" s="365" t="s">
        <v>2594</v>
      </c>
      <c r="S188" s="365" t="s">
        <v>2594</v>
      </c>
      <c r="T188" s="364"/>
      <c r="U188" s="364"/>
      <c r="V188" s="364"/>
      <c r="W188" s="364"/>
      <c r="X188" s="364"/>
      <c r="Y188" s="364"/>
      <c r="Z188" s="364"/>
      <c r="AA188" s="364"/>
      <c r="AB188" s="364"/>
      <c r="AC188" s="364"/>
      <c r="AD188" s="364"/>
    </row>
    <row r="189">
      <c r="A189" s="391" t="s">
        <v>660</v>
      </c>
      <c r="B189" s="391" t="s">
        <v>661</v>
      </c>
      <c r="C189" s="365" t="s">
        <v>3138</v>
      </c>
      <c r="D189" s="365" t="s">
        <v>3285</v>
      </c>
      <c r="E189" s="365" t="s">
        <v>3286</v>
      </c>
      <c r="F189" s="365" t="s">
        <v>2964</v>
      </c>
      <c r="G189" s="365" t="s">
        <v>3287</v>
      </c>
      <c r="H189" s="365" t="s">
        <v>3026</v>
      </c>
      <c r="I189" s="365" t="s">
        <v>3027</v>
      </c>
      <c r="J189" s="365" t="s">
        <v>3142</v>
      </c>
      <c r="K189" s="364"/>
      <c r="L189" s="364"/>
      <c r="M189" s="365" t="s">
        <v>2969</v>
      </c>
      <c r="N189" s="401">
        <v>45700.0</v>
      </c>
      <c r="O189" s="388" t="s">
        <v>2294</v>
      </c>
      <c r="P189" s="365" t="s">
        <v>3289</v>
      </c>
      <c r="Q189" s="365" t="s">
        <v>2964</v>
      </c>
      <c r="R189" s="365" t="s">
        <v>2594</v>
      </c>
      <c r="S189" s="365" t="s">
        <v>2594</v>
      </c>
      <c r="T189" s="364"/>
      <c r="U189" s="364"/>
      <c r="V189" s="364"/>
      <c r="W189" s="364"/>
      <c r="X189" s="364"/>
      <c r="Y189" s="364"/>
      <c r="Z189" s="364"/>
      <c r="AA189" s="364"/>
      <c r="AB189" s="364"/>
      <c r="AC189" s="364"/>
      <c r="AD189" s="364"/>
    </row>
    <row r="190">
      <c r="A190" s="391" t="s">
        <v>660</v>
      </c>
      <c r="B190" s="391" t="s">
        <v>661</v>
      </c>
      <c r="C190" s="365" t="s">
        <v>3138</v>
      </c>
      <c r="D190" s="365" t="s">
        <v>3285</v>
      </c>
      <c r="E190" s="365" t="s">
        <v>3286</v>
      </c>
      <c r="F190" s="365" t="s">
        <v>2964</v>
      </c>
      <c r="G190" s="365" t="s">
        <v>3287</v>
      </c>
      <c r="H190" s="365" t="s">
        <v>3026</v>
      </c>
      <c r="I190" s="365" t="s">
        <v>3027</v>
      </c>
      <c r="J190" s="365" t="s">
        <v>3142</v>
      </c>
      <c r="K190" s="364"/>
      <c r="L190" s="364"/>
      <c r="M190" s="365" t="s">
        <v>2969</v>
      </c>
      <c r="N190" s="401">
        <v>45728.0</v>
      </c>
      <c r="O190" s="388" t="s">
        <v>2289</v>
      </c>
      <c r="P190" s="365" t="s">
        <v>3290</v>
      </c>
      <c r="Q190" s="365" t="s">
        <v>2964</v>
      </c>
      <c r="R190" s="365" t="s">
        <v>2594</v>
      </c>
      <c r="S190" s="365" t="s">
        <v>2594</v>
      </c>
      <c r="T190" s="364"/>
      <c r="U190" s="364"/>
      <c r="V190" s="364"/>
      <c r="W190" s="364"/>
      <c r="X190" s="364"/>
      <c r="Y190" s="364"/>
      <c r="Z190" s="364"/>
      <c r="AA190" s="364"/>
      <c r="AB190" s="364"/>
      <c r="AC190" s="364"/>
      <c r="AD190" s="364"/>
    </row>
    <row r="191">
      <c r="A191" s="391" t="s">
        <v>660</v>
      </c>
      <c r="B191" s="391" t="s">
        <v>661</v>
      </c>
      <c r="C191" s="365" t="s">
        <v>3138</v>
      </c>
      <c r="D191" s="365" t="s">
        <v>3285</v>
      </c>
      <c r="E191" s="365" t="s">
        <v>3286</v>
      </c>
      <c r="F191" s="365" t="s">
        <v>2964</v>
      </c>
      <c r="G191" s="365" t="s">
        <v>3287</v>
      </c>
      <c r="H191" s="365" t="s">
        <v>3026</v>
      </c>
      <c r="I191" s="365" t="s">
        <v>3027</v>
      </c>
      <c r="J191" s="365" t="s">
        <v>3142</v>
      </c>
      <c r="K191" s="364"/>
      <c r="L191" s="364"/>
      <c r="M191" s="365" t="s">
        <v>2969</v>
      </c>
      <c r="N191" s="401">
        <v>45759.0</v>
      </c>
      <c r="O191" s="388" t="s">
        <v>2294</v>
      </c>
      <c r="P191" s="365" t="s">
        <v>3291</v>
      </c>
      <c r="Q191" s="365" t="s">
        <v>2964</v>
      </c>
      <c r="R191" s="365" t="s">
        <v>2594</v>
      </c>
      <c r="S191" s="365" t="s">
        <v>2594</v>
      </c>
      <c r="T191" s="364"/>
      <c r="U191" s="364"/>
      <c r="V191" s="364"/>
      <c r="W191" s="364"/>
      <c r="X191" s="364"/>
      <c r="Y191" s="364"/>
      <c r="Z191" s="364"/>
      <c r="AA191" s="364"/>
      <c r="AB191" s="364"/>
      <c r="AC191" s="364"/>
      <c r="AD191" s="364"/>
    </row>
    <row r="192">
      <c r="A192" s="391" t="s">
        <v>660</v>
      </c>
      <c r="B192" s="391" t="s">
        <v>661</v>
      </c>
      <c r="C192" s="365" t="s">
        <v>34</v>
      </c>
      <c r="D192" s="365" t="s">
        <v>3292</v>
      </c>
      <c r="E192" s="365" t="s">
        <v>3293</v>
      </c>
      <c r="F192" s="365" t="s">
        <v>2964</v>
      </c>
      <c r="G192" s="365" t="s">
        <v>3294</v>
      </c>
      <c r="H192" s="365" t="s">
        <v>3026</v>
      </c>
      <c r="I192" s="365" t="s">
        <v>3027</v>
      </c>
      <c r="J192" s="365" t="s">
        <v>3150</v>
      </c>
      <c r="K192" s="364"/>
      <c r="L192" s="364"/>
      <c r="M192" s="365" t="s">
        <v>2969</v>
      </c>
      <c r="N192" s="401">
        <v>45670.0</v>
      </c>
      <c r="O192" s="388" t="s">
        <v>2289</v>
      </c>
      <c r="P192" s="365" t="s">
        <v>3295</v>
      </c>
      <c r="Q192" s="365" t="s">
        <v>2964</v>
      </c>
      <c r="R192" s="365" t="s">
        <v>2594</v>
      </c>
      <c r="S192" s="365" t="s">
        <v>2594</v>
      </c>
      <c r="T192" s="364"/>
      <c r="U192" s="364"/>
      <c r="V192" s="364"/>
      <c r="W192" s="364"/>
      <c r="X192" s="364"/>
      <c r="Y192" s="364"/>
      <c r="Z192" s="364"/>
      <c r="AA192" s="364"/>
      <c r="AB192" s="364"/>
      <c r="AC192" s="364"/>
      <c r="AD192" s="364"/>
    </row>
    <row r="193">
      <c r="A193" s="391" t="s">
        <v>660</v>
      </c>
      <c r="B193" s="391" t="s">
        <v>661</v>
      </c>
      <c r="C193" s="365" t="s">
        <v>34</v>
      </c>
      <c r="D193" s="365" t="s">
        <v>3292</v>
      </c>
      <c r="E193" s="365" t="s">
        <v>3293</v>
      </c>
      <c r="F193" s="365" t="s">
        <v>2964</v>
      </c>
      <c r="G193" s="365" t="s">
        <v>3294</v>
      </c>
      <c r="H193" s="365" t="s">
        <v>3026</v>
      </c>
      <c r="I193" s="365" t="s">
        <v>3027</v>
      </c>
      <c r="J193" s="365" t="s">
        <v>3150</v>
      </c>
      <c r="K193" s="364"/>
      <c r="L193" s="364"/>
      <c r="M193" s="365" t="s">
        <v>2969</v>
      </c>
      <c r="N193" s="401">
        <v>45701.0</v>
      </c>
      <c r="O193" s="388" t="s">
        <v>2294</v>
      </c>
      <c r="P193" s="365" t="s">
        <v>3296</v>
      </c>
      <c r="Q193" s="365" t="s">
        <v>2964</v>
      </c>
      <c r="R193" s="365" t="s">
        <v>2594</v>
      </c>
      <c r="S193" s="365" t="s">
        <v>2594</v>
      </c>
      <c r="T193" s="364"/>
      <c r="U193" s="364"/>
      <c r="V193" s="364"/>
      <c r="W193" s="364"/>
      <c r="X193" s="364"/>
      <c r="Y193" s="364"/>
      <c r="Z193" s="364"/>
      <c r="AA193" s="364"/>
      <c r="AB193" s="364"/>
      <c r="AC193" s="364"/>
      <c r="AD193" s="364"/>
    </row>
    <row r="194">
      <c r="A194" s="391" t="s">
        <v>660</v>
      </c>
      <c r="B194" s="391" t="s">
        <v>661</v>
      </c>
      <c r="C194" s="365" t="s">
        <v>34</v>
      </c>
      <c r="D194" s="365" t="s">
        <v>3292</v>
      </c>
      <c r="E194" s="365" t="s">
        <v>3293</v>
      </c>
      <c r="F194" s="365" t="s">
        <v>2964</v>
      </c>
      <c r="G194" s="365" t="s">
        <v>3294</v>
      </c>
      <c r="H194" s="365" t="s">
        <v>3026</v>
      </c>
      <c r="I194" s="365" t="s">
        <v>3027</v>
      </c>
      <c r="J194" s="365" t="s">
        <v>3150</v>
      </c>
      <c r="K194" s="364"/>
      <c r="L194" s="364"/>
      <c r="M194" s="365" t="s">
        <v>2969</v>
      </c>
      <c r="N194" s="401">
        <v>45729.0</v>
      </c>
      <c r="O194" s="388" t="s">
        <v>2289</v>
      </c>
      <c r="P194" s="365" t="s">
        <v>3153</v>
      </c>
      <c r="Q194" s="365" t="s">
        <v>2964</v>
      </c>
      <c r="R194" s="365" t="s">
        <v>2594</v>
      </c>
      <c r="S194" s="365" t="s">
        <v>2594</v>
      </c>
      <c r="T194" s="364"/>
      <c r="U194" s="364"/>
      <c r="V194" s="364"/>
      <c r="W194" s="364"/>
      <c r="X194" s="364"/>
      <c r="Y194" s="364"/>
      <c r="Z194" s="364"/>
      <c r="AA194" s="364"/>
      <c r="AB194" s="364"/>
      <c r="AC194" s="364"/>
      <c r="AD194" s="364"/>
    </row>
    <row r="195">
      <c r="A195" s="391" t="s">
        <v>660</v>
      </c>
      <c r="B195" s="391" t="s">
        <v>661</v>
      </c>
      <c r="C195" s="365" t="s">
        <v>34</v>
      </c>
      <c r="D195" s="365" t="s">
        <v>3292</v>
      </c>
      <c r="E195" s="365" t="s">
        <v>3293</v>
      </c>
      <c r="F195" s="365" t="s">
        <v>2964</v>
      </c>
      <c r="G195" s="365" t="s">
        <v>3294</v>
      </c>
      <c r="H195" s="365" t="s">
        <v>3026</v>
      </c>
      <c r="I195" s="365" t="s">
        <v>3027</v>
      </c>
      <c r="J195" s="365" t="s">
        <v>3150</v>
      </c>
      <c r="K195" s="364"/>
      <c r="L195" s="364"/>
      <c r="M195" s="365" t="s">
        <v>2969</v>
      </c>
      <c r="N195" s="401">
        <v>45760.0</v>
      </c>
      <c r="O195" s="388" t="s">
        <v>2294</v>
      </c>
      <c r="P195" s="365" t="s">
        <v>3154</v>
      </c>
      <c r="Q195" s="365" t="s">
        <v>2964</v>
      </c>
      <c r="R195" s="365" t="s">
        <v>2594</v>
      </c>
      <c r="S195" s="365" t="s">
        <v>2594</v>
      </c>
      <c r="T195" s="364"/>
      <c r="U195" s="364"/>
      <c r="V195" s="364"/>
      <c r="W195" s="364"/>
      <c r="X195" s="364"/>
      <c r="Y195" s="364"/>
      <c r="Z195" s="364"/>
      <c r="AA195" s="364"/>
      <c r="AB195" s="364"/>
      <c r="AC195" s="364"/>
      <c r="AD195" s="364"/>
    </row>
    <row r="196">
      <c r="A196" s="391" t="s">
        <v>660</v>
      </c>
      <c r="B196" s="391" t="s">
        <v>661</v>
      </c>
      <c r="C196" s="365" t="s">
        <v>3155</v>
      </c>
      <c r="D196" s="365" t="s">
        <v>3297</v>
      </c>
      <c r="E196" s="365" t="s">
        <v>3298</v>
      </c>
      <c r="F196" s="365" t="s">
        <v>2964</v>
      </c>
      <c r="G196" s="365" t="s">
        <v>3299</v>
      </c>
      <c r="H196" s="365" t="s">
        <v>3026</v>
      </c>
      <c r="I196" s="365" t="s">
        <v>3027</v>
      </c>
      <c r="J196" s="365" t="s">
        <v>3159</v>
      </c>
      <c r="K196" s="364"/>
      <c r="L196" s="364"/>
      <c r="M196" s="365" t="s">
        <v>2969</v>
      </c>
      <c r="N196" s="401">
        <v>45671.0</v>
      </c>
      <c r="O196" s="388" t="s">
        <v>2289</v>
      </c>
      <c r="P196" s="365" t="s">
        <v>3300</v>
      </c>
      <c r="Q196" s="365" t="s">
        <v>2964</v>
      </c>
      <c r="R196" s="365" t="s">
        <v>2594</v>
      </c>
      <c r="S196" s="365" t="s">
        <v>2594</v>
      </c>
      <c r="T196" s="364"/>
      <c r="U196" s="364"/>
      <c r="V196" s="364"/>
      <c r="W196" s="364"/>
      <c r="X196" s="364"/>
      <c r="Y196" s="364"/>
      <c r="Z196" s="364"/>
      <c r="AA196" s="364"/>
      <c r="AB196" s="364"/>
      <c r="AC196" s="364"/>
      <c r="AD196" s="364"/>
    </row>
    <row r="197">
      <c r="A197" s="391" t="s">
        <v>660</v>
      </c>
      <c r="B197" s="391" t="s">
        <v>661</v>
      </c>
      <c r="C197" s="365" t="s">
        <v>3155</v>
      </c>
      <c r="D197" s="365" t="s">
        <v>3297</v>
      </c>
      <c r="E197" s="365" t="s">
        <v>3298</v>
      </c>
      <c r="F197" s="365" t="s">
        <v>2964</v>
      </c>
      <c r="G197" s="365" t="s">
        <v>3299</v>
      </c>
      <c r="H197" s="365" t="s">
        <v>3026</v>
      </c>
      <c r="I197" s="365" t="s">
        <v>3027</v>
      </c>
      <c r="J197" s="365" t="s">
        <v>3159</v>
      </c>
      <c r="K197" s="364"/>
      <c r="L197" s="364"/>
      <c r="M197" s="365" t="s">
        <v>2969</v>
      </c>
      <c r="N197" s="401">
        <v>45702.0</v>
      </c>
      <c r="O197" s="388" t="s">
        <v>2294</v>
      </c>
      <c r="P197" s="365" t="s">
        <v>3301</v>
      </c>
      <c r="Q197" s="365" t="s">
        <v>2964</v>
      </c>
      <c r="R197" s="365" t="s">
        <v>2594</v>
      </c>
      <c r="S197" s="365" t="s">
        <v>2594</v>
      </c>
      <c r="T197" s="364"/>
      <c r="U197" s="364"/>
      <c r="V197" s="364"/>
      <c r="W197" s="364"/>
      <c r="X197" s="364"/>
      <c r="Y197" s="364"/>
      <c r="Z197" s="364"/>
      <c r="AA197" s="364"/>
      <c r="AB197" s="364"/>
      <c r="AC197" s="364"/>
      <c r="AD197" s="364"/>
    </row>
    <row r="198">
      <c r="A198" s="391" t="s">
        <v>660</v>
      </c>
      <c r="B198" s="391" t="s">
        <v>661</v>
      </c>
      <c r="C198" s="365" t="s">
        <v>3155</v>
      </c>
      <c r="D198" s="365" t="s">
        <v>3297</v>
      </c>
      <c r="E198" s="365" t="s">
        <v>3298</v>
      </c>
      <c r="F198" s="365" t="s">
        <v>2964</v>
      </c>
      <c r="G198" s="365" t="s">
        <v>3299</v>
      </c>
      <c r="H198" s="365" t="s">
        <v>3026</v>
      </c>
      <c r="I198" s="365" t="s">
        <v>3027</v>
      </c>
      <c r="J198" s="365" t="s">
        <v>3159</v>
      </c>
      <c r="K198" s="364"/>
      <c r="L198" s="364"/>
      <c r="M198" s="365" t="s">
        <v>2969</v>
      </c>
      <c r="N198" s="401">
        <v>45730.0</v>
      </c>
      <c r="O198" s="388" t="s">
        <v>2289</v>
      </c>
      <c r="P198" s="365" t="s">
        <v>3302</v>
      </c>
      <c r="Q198" s="365" t="s">
        <v>2964</v>
      </c>
      <c r="R198" s="365" t="s">
        <v>2594</v>
      </c>
      <c r="S198" s="365" t="s">
        <v>2594</v>
      </c>
      <c r="T198" s="364"/>
      <c r="U198" s="364"/>
      <c r="V198" s="364"/>
      <c r="W198" s="364"/>
      <c r="X198" s="364"/>
      <c r="Y198" s="364"/>
      <c r="Z198" s="364"/>
      <c r="AA198" s="364"/>
      <c r="AB198" s="364"/>
      <c r="AC198" s="364"/>
      <c r="AD198" s="364"/>
    </row>
    <row r="199">
      <c r="A199" s="391" t="s">
        <v>660</v>
      </c>
      <c r="B199" s="391" t="s">
        <v>661</v>
      </c>
      <c r="C199" s="365" t="s">
        <v>3155</v>
      </c>
      <c r="D199" s="365" t="s">
        <v>3297</v>
      </c>
      <c r="E199" s="365" t="s">
        <v>3298</v>
      </c>
      <c r="F199" s="365" t="s">
        <v>2964</v>
      </c>
      <c r="G199" s="365" t="s">
        <v>3299</v>
      </c>
      <c r="H199" s="365" t="s">
        <v>3026</v>
      </c>
      <c r="I199" s="365" t="s">
        <v>3027</v>
      </c>
      <c r="J199" s="365" t="s">
        <v>3159</v>
      </c>
      <c r="K199" s="364"/>
      <c r="L199" s="364"/>
      <c r="M199" s="365" t="s">
        <v>2969</v>
      </c>
      <c r="N199" s="401">
        <v>45761.0</v>
      </c>
      <c r="O199" s="388" t="s">
        <v>2294</v>
      </c>
      <c r="P199" s="365" t="s">
        <v>3303</v>
      </c>
      <c r="Q199" s="365" t="s">
        <v>2964</v>
      </c>
      <c r="R199" s="365" t="s">
        <v>2594</v>
      </c>
      <c r="S199" s="365" t="s">
        <v>2594</v>
      </c>
      <c r="T199" s="364"/>
      <c r="U199" s="364"/>
      <c r="V199" s="364"/>
      <c r="W199" s="364"/>
      <c r="X199" s="364"/>
      <c r="Y199" s="364"/>
      <c r="Z199" s="364"/>
      <c r="AA199" s="364"/>
      <c r="AB199" s="364"/>
      <c r="AC199" s="364"/>
      <c r="AD199" s="364"/>
    </row>
    <row r="200">
      <c r="A200" s="391" t="s">
        <v>660</v>
      </c>
      <c r="B200" s="391" t="s">
        <v>661</v>
      </c>
      <c r="C200" s="365" t="s">
        <v>3164</v>
      </c>
      <c r="D200" s="365" t="s">
        <v>3304</v>
      </c>
      <c r="E200" s="365" t="s">
        <v>3305</v>
      </c>
      <c r="F200" s="365" t="s">
        <v>2964</v>
      </c>
      <c r="G200" s="365" t="s">
        <v>3306</v>
      </c>
      <c r="H200" s="365" t="s">
        <v>3026</v>
      </c>
      <c r="I200" s="365" t="s">
        <v>3027</v>
      </c>
      <c r="J200" s="365" t="s">
        <v>3168</v>
      </c>
      <c r="K200" s="364"/>
      <c r="L200" s="364"/>
      <c r="M200" s="365" t="s">
        <v>2969</v>
      </c>
      <c r="N200" s="401">
        <v>45672.0</v>
      </c>
      <c r="O200" s="388" t="s">
        <v>2289</v>
      </c>
      <c r="P200" s="365" t="s">
        <v>3307</v>
      </c>
      <c r="Q200" s="365" t="s">
        <v>2964</v>
      </c>
      <c r="R200" s="365" t="s">
        <v>2594</v>
      </c>
      <c r="S200" s="365" t="s">
        <v>2594</v>
      </c>
      <c r="T200" s="364"/>
      <c r="U200" s="364"/>
      <c r="V200" s="364"/>
      <c r="W200" s="364"/>
      <c r="X200" s="364"/>
      <c r="Y200" s="364"/>
      <c r="Z200" s="364"/>
      <c r="AA200" s="364"/>
      <c r="AB200" s="364"/>
      <c r="AC200" s="364"/>
      <c r="AD200" s="364"/>
    </row>
    <row r="201">
      <c r="A201" s="391" t="s">
        <v>660</v>
      </c>
      <c r="B201" s="391" t="s">
        <v>661</v>
      </c>
      <c r="C201" s="365" t="s">
        <v>3164</v>
      </c>
      <c r="D201" s="365" t="s">
        <v>3304</v>
      </c>
      <c r="E201" s="365" t="s">
        <v>3305</v>
      </c>
      <c r="F201" s="365" t="s">
        <v>2964</v>
      </c>
      <c r="G201" s="365" t="s">
        <v>3306</v>
      </c>
      <c r="H201" s="365" t="s">
        <v>3026</v>
      </c>
      <c r="I201" s="365" t="s">
        <v>3027</v>
      </c>
      <c r="J201" s="365" t="s">
        <v>3168</v>
      </c>
      <c r="K201" s="364"/>
      <c r="L201" s="364"/>
      <c r="M201" s="365" t="s">
        <v>2969</v>
      </c>
      <c r="N201" s="401">
        <v>45703.0</v>
      </c>
      <c r="O201" s="388" t="s">
        <v>2294</v>
      </c>
      <c r="P201" s="365" t="s">
        <v>3170</v>
      </c>
      <c r="Q201" s="365" t="s">
        <v>2964</v>
      </c>
      <c r="R201" s="365" t="s">
        <v>2594</v>
      </c>
      <c r="S201" s="365" t="s">
        <v>2594</v>
      </c>
      <c r="T201" s="364"/>
      <c r="U201" s="364"/>
      <c r="V201" s="364"/>
      <c r="W201" s="364"/>
      <c r="X201" s="364"/>
      <c r="Y201" s="364"/>
      <c r="Z201" s="364"/>
      <c r="AA201" s="364"/>
      <c r="AB201" s="364"/>
      <c r="AC201" s="364"/>
      <c r="AD201" s="364"/>
    </row>
    <row r="202">
      <c r="A202" s="391" t="s">
        <v>660</v>
      </c>
      <c r="B202" s="391" t="s">
        <v>661</v>
      </c>
      <c r="C202" s="365" t="s">
        <v>3164</v>
      </c>
      <c r="D202" s="365" t="s">
        <v>3304</v>
      </c>
      <c r="E202" s="365" t="s">
        <v>3305</v>
      </c>
      <c r="F202" s="365" t="s">
        <v>2964</v>
      </c>
      <c r="G202" s="365" t="s">
        <v>3306</v>
      </c>
      <c r="H202" s="365" t="s">
        <v>3026</v>
      </c>
      <c r="I202" s="365" t="s">
        <v>3027</v>
      </c>
      <c r="J202" s="365" t="s">
        <v>3168</v>
      </c>
      <c r="K202" s="364"/>
      <c r="L202" s="364"/>
      <c r="M202" s="365" t="s">
        <v>2969</v>
      </c>
      <c r="N202" s="401">
        <v>45731.0</v>
      </c>
      <c r="O202" s="388" t="s">
        <v>2289</v>
      </c>
      <c r="P202" s="365" t="s">
        <v>3308</v>
      </c>
      <c r="Q202" s="365" t="s">
        <v>2964</v>
      </c>
      <c r="R202" s="365" t="s">
        <v>2594</v>
      </c>
      <c r="S202" s="365" t="s">
        <v>2594</v>
      </c>
      <c r="T202" s="364"/>
      <c r="U202" s="364"/>
      <c r="V202" s="364"/>
      <c r="W202" s="364"/>
      <c r="X202" s="364"/>
      <c r="Y202" s="364"/>
      <c r="Z202" s="364"/>
      <c r="AA202" s="364"/>
      <c r="AB202" s="364"/>
      <c r="AC202" s="364"/>
      <c r="AD202" s="364"/>
    </row>
    <row r="203">
      <c r="A203" s="391" t="s">
        <v>660</v>
      </c>
      <c r="B203" s="391" t="s">
        <v>661</v>
      </c>
      <c r="C203" s="365" t="s">
        <v>3164</v>
      </c>
      <c r="D203" s="365" t="s">
        <v>3304</v>
      </c>
      <c r="E203" s="365" t="s">
        <v>3305</v>
      </c>
      <c r="F203" s="365" t="s">
        <v>2964</v>
      </c>
      <c r="G203" s="365" t="s">
        <v>3306</v>
      </c>
      <c r="H203" s="365" t="s">
        <v>3026</v>
      </c>
      <c r="I203" s="365" t="s">
        <v>3027</v>
      </c>
      <c r="J203" s="365" t="s">
        <v>3168</v>
      </c>
      <c r="K203" s="364"/>
      <c r="L203" s="364"/>
      <c r="M203" s="365" t="s">
        <v>2969</v>
      </c>
      <c r="N203" s="401">
        <v>45762.0</v>
      </c>
      <c r="O203" s="388" t="s">
        <v>2294</v>
      </c>
      <c r="P203" s="365" t="s">
        <v>3309</v>
      </c>
      <c r="Q203" s="365" t="s">
        <v>2964</v>
      </c>
      <c r="R203" s="365" t="s">
        <v>2594</v>
      </c>
      <c r="S203" s="365" t="s">
        <v>2594</v>
      </c>
      <c r="T203" s="364"/>
      <c r="U203" s="364"/>
      <c r="V203" s="364"/>
      <c r="W203" s="364"/>
      <c r="X203" s="364"/>
      <c r="Y203" s="364"/>
      <c r="Z203" s="364"/>
      <c r="AA203" s="364"/>
      <c r="AB203" s="364"/>
      <c r="AC203" s="364"/>
      <c r="AD203" s="364"/>
    </row>
    <row r="204">
      <c r="A204" s="391" t="s">
        <v>660</v>
      </c>
      <c r="B204" s="391" t="s">
        <v>661</v>
      </c>
      <c r="C204" s="365" t="s">
        <v>3173</v>
      </c>
      <c r="D204" s="365" t="s">
        <v>3310</v>
      </c>
      <c r="E204" s="365" t="s">
        <v>3311</v>
      </c>
      <c r="F204" s="365" t="s">
        <v>2964</v>
      </c>
      <c r="G204" s="365" t="s">
        <v>3312</v>
      </c>
      <c r="H204" s="365" t="s">
        <v>3026</v>
      </c>
      <c r="I204" s="365" t="s">
        <v>3027</v>
      </c>
      <c r="J204" s="365" t="s">
        <v>3177</v>
      </c>
      <c r="K204" s="364"/>
      <c r="L204" s="364"/>
      <c r="M204" s="365" t="s">
        <v>2969</v>
      </c>
      <c r="N204" s="401">
        <v>45673.0</v>
      </c>
      <c r="O204" s="388" t="s">
        <v>2289</v>
      </c>
      <c r="P204" s="365" t="s">
        <v>3178</v>
      </c>
      <c r="Q204" s="365" t="s">
        <v>2964</v>
      </c>
      <c r="R204" s="365" t="s">
        <v>2594</v>
      </c>
      <c r="S204" s="365" t="s">
        <v>2594</v>
      </c>
      <c r="T204" s="364"/>
      <c r="U204" s="364"/>
      <c r="V204" s="364"/>
      <c r="W204" s="364"/>
      <c r="X204" s="364"/>
      <c r="Y204" s="364"/>
      <c r="Z204" s="364"/>
      <c r="AA204" s="364"/>
      <c r="AB204" s="364"/>
      <c r="AC204" s="364"/>
      <c r="AD204" s="364"/>
    </row>
    <row r="205">
      <c r="A205" s="391" t="s">
        <v>660</v>
      </c>
      <c r="B205" s="391" t="s">
        <v>661</v>
      </c>
      <c r="C205" s="365" t="s">
        <v>3173</v>
      </c>
      <c r="D205" s="365" t="s">
        <v>3310</v>
      </c>
      <c r="E205" s="365" t="s">
        <v>3311</v>
      </c>
      <c r="F205" s="365" t="s">
        <v>2964</v>
      </c>
      <c r="G205" s="365" t="s">
        <v>3312</v>
      </c>
      <c r="H205" s="365" t="s">
        <v>3026</v>
      </c>
      <c r="I205" s="365" t="s">
        <v>3027</v>
      </c>
      <c r="J205" s="365" t="s">
        <v>3177</v>
      </c>
      <c r="K205" s="364"/>
      <c r="L205" s="364"/>
      <c r="M205" s="365" t="s">
        <v>2969</v>
      </c>
      <c r="N205" s="401">
        <v>45704.0</v>
      </c>
      <c r="O205" s="388" t="s">
        <v>2294</v>
      </c>
      <c r="P205" s="365" t="s">
        <v>3179</v>
      </c>
      <c r="Q205" s="365" t="s">
        <v>2964</v>
      </c>
      <c r="R205" s="365" t="s">
        <v>2594</v>
      </c>
      <c r="S205" s="365" t="s">
        <v>2594</v>
      </c>
      <c r="T205" s="364"/>
      <c r="U205" s="364"/>
      <c r="V205" s="364"/>
      <c r="W205" s="364"/>
      <c r="X205" s="364"/>
      <c r="Y205" s="364"/>
      <c r="Z205" s="364"/>
      <c r="AA205" s="364"/>
      <c r="AB205" s="364"/>
      <c r="AC205" s="364"/>
      <c r="AD205" s="364"/>
    </row>
    <row r="206">
      <c r="A206" s="391" t="s">
        <v>660</v>
      </c>
      <c r="B206" s="391" t="s">
        <v>661</v>
      </c>
      <c r="C206" s="365" t="s">
        <v>3173</v>
      </c>
      <c r="D206" s="365" t="s">
        <v>3310</v>
      </c>
      <c r="E206" s="365" t="s">
        <v>3311</v>
      </c>
      <c r="F206" s="365" t="s">
        <v>2964</v>
      </c>
      <c r="G206" s="365" t="s">
        <v>3312</v>
      </c>
      <c r="H206" s="365" t="s">
        <v>3026</v>
      </c>
      <c r="I206" s="365" t="s">
        <v>3027</v>
      </c>
      <c r="J206" s="365" t="s">
        <v>3177</v>
      </c>
      <c r="K206" s="364"/>
      <c r="L206" s="364"/>
      <c r="M206" s="365" t="s">
        <v>2969</v>
      </c>
      <c r="N206" s="401">
        <v>45732.0</v>
      </c>
      <c r="O206" s="388" t="s">
        <v>2289</v>
      </c>
      <c r="P206" s="365" t="s">
        <v>3180</v>
      </c>
      <c r="Q206" s="365" t="s">
        <v>2964</v>
      </c>
      <c r="R206" s="365" t="s">
        <v>2594</v>
      </c>
      <c r="S206" s="365" t="s">
        <v>2594</v>
      </c>
      <c r="T206" s="364"/>
      <c r="U206" s="364"/>
      <c r="V206" s="364"/>
      <c r="W206" s="364"/>
      <c r="X206" s="364"/>
      <c r="Y206" s="364"/>
      <c r="Z206" s="364"/>
      <c r="AA206" s="364"/>
      <c r="AB206" s="364"/>
      <c r="AC206" s="364"/>
      <c r="AD206" s="364"/>
    </row>
    <row r="207">
      <c r="A207" s="391" t="s">
        <v>660</v>
      </c>
      <c r="B207" s="391" t="s">
        <v>661</v>
      </c>
      <c r="C207" s="365" t="s">
        <v>3173</v>
      </c>
      <c r="D207" s="365" t="s">
        <v>3310</v>
      </c>
      <c r="E207" s="365" t="s">
        <v>3311</v>
      </c>
      <c r="F207" s="365" t="s">
        <v>2964</v>
      </c>
      <c r="G207" s="365" t="s">
        <v>3312</v>
      </c>
      <c r="H207" s="365" t="s">
        <v>3026</v>
      </c>
      <c r="I207" s="365" t="s">
        <v>3027</v>
      </c>
      <c r="J207" s="365" t="s">
        <v>3177</v>
      </c>
      <c r="K207" s="364"/>
      <c r="L207" s="364"/>
      <c r="M207" s="365" t="s">
        <v>2969</v>
      </c>
      <c r="N207" s="401">
        <v>45763.0</v>
      </c>
      <c r="O207" s="388" t="s">
        <v>2294</v>
      </c>
      <c r="P207" s="365" t="s">
        <v>3181</v>
      </c>
      <c r="Q207" s="365" t="s">
        <v>2964</v>
      </c>
      <c r="R207" s="365" t="s">
        <v>2594</v>
      </c>
      <c r="S207" s="365" t="s">
        <v>2594</v>
      </c>
      <c r="T207" s="364"/>
      <c r="U207" s="364"/>
      <c r="V207" s="364"/>
      <c r="W207" s="364"/>
      <c r="X207" s="364"/>
      <c r="Y207" s="364"/>
      <c r="Z207" s="364"/>
      <c r="AA207" s="364"/>
      <c r="AB207" s="364"/>
      <c r="AC207" s="364"/>
      <c r="AD207" s="364"/>
    </row>
    <row r="208">
      <c r="A208" s="391" t="s">
        <v>660</v>
      </c>
      <c r="B208" s="391" t="s">
        <v>661</v>
      </c>
      <c r="C208" s="365" t="s">
        <v>3313</v>
      </c>
      <c r="D208" s="365" t="s">
        <v>3314</v>
      </c>
      <c r="E208" s="365" t="s">
        <v>3315</v>
      </c>
      <c r="F208" s="365" t="s">
        <v>2964</v>
      </c>
      <c r="G208" s="365" t="s">
        <v>3316</v>
      </c>
      <c r="H208" s="365" t="s">
        <v>3026</v>
      </c>
      <c r="I208" s="365" t="s">
        <v>3027</v>
      </c>
      <c r="J208" s="365" t="s">
        <v>3317</v>
      </c>
      <c r="K208" s="364"/>
      <c r="L208" s="364"/>
      <c r="M208" s="365" t="s">
        <v>2969</v>
      </c>
      <c r="N208" s="401">
        <v>45674.0</v>
      </c>
      <c r="O208" s="388" t="s">
        <v>2289</v>
      </c>
      <c r="P208" s="365" t="s">
        <v>3318</v>
      </c>
      <c r="Q208" s="365" t="s">
        <v>2964</v>
      </c>
      <c r="R208" s="365" t="s">
        <v>2594</v>
      </c>
      <c r="S208" s="365" t="s">
        <v>2594</v>
      </c>
      <c r="T208" s="364"/>
      <c r="U208" s="364"/>
      <c r="V208" s="364"/>
      <c r="W208" s="364"/>
      <c r="X208" s="364"/>
      <c r="Y208" s="364"/>
      <c r="Z208" s="364"/>
      <c r="AA208" s="364"/>
      <c r="AB208" s="364"/>
      <c r="AC208" s="364"/>
      <c r="AD208" s="364"/>
    </row>
    <row r="209">
      <c r="A209" s="391" t="s">
        <v>660</v>
      </c>
      <c r="B209" s="391" t="s">
        <v>661</v>
      </c>
      <c r="C209" s="365" t="s">
        <v>3313</v>
      </c>
      <c r="D209" s="365" t="s">
        <v>3314</v>
      </c>
      <c r="E209" s="365" t="s">
        <v>3315</v>
      </c>
      <c r="F209" s="365" t="s">
        <v>2964</v>
      </c>
      <c r="G209" s="365" t="s">
        <v>3316</v>
      </c>
      <c r="H209" s="365" t="s">
        <v>3026</v>
      </c>
      <c r="I209" s="365" t="s">
        <v>3027</v>
      </c>
      <c r="J209" s="365" t="s">
        <v>3317</v>
      </c>
      <c r="K209" s="364"/>
      <c r="L209" s="364"/>
      <c r="M209" s="365" t="s">
        <v>2969</v>
      </c>
      <c r="N209" s="401">
        <v>45705.0</v>
      </c>
      <c r="O209" s="388" t="s">
        <v>2294</v>
      </c>
      <c r="P209" s="365" t="s">
        <v>3319</v>
      </c>
      <c r="Q209" s="365" t="s">
        <v>2964</v>
      </c>
      <c r="R209" s="365" t="s">
        <v>2594</v>
      </c>
      <c r="S209" s="365" t="s">
        <v>2594</v>
      </c>
      <c r="T209" s="364"/>
      <c r="U209" s="364"/>
      <c r="V209" s="364"/>
      <c r="W209" s="364"/>
      <c r="X209" s="364"/>
      <c r="Y209" s="364"/>
      <c r="Z209" s="364"/>
      <c r="AA209" s="364"/>
      <c r="AB209" s="364"/>
      <c r="AC209" s="364"/>
      <c r="AD209" s="364"/>
    </row>
    <row r="210">
      <c r="A210" s="391" t="s">
        <v>660</v>
      </c>
      <c r="B210" s="391" t="s">
        <v>661</v>
      </c>
      <c r="C210" s="365" t="s">
        <v>3313</v>
      </c>
      <c r="D210" s="365" t="s">
        <v>3314</v>
      </c>
      <c r="E210" s="365" t="s">
        <v>3315</v>
      </c>
      <c r="F210" s="365" t="s">
        <v>2964</v>
      </c>
      <c r="G210" s="365" t="s">
        <v>3316</v>
      </c>
      <c r="H210" s="365" t="s">
        <v>3026</v>
      </c>
      <c r="I210" s="365" t="s">
        <v>3027</v>
      </c>
      <c r="J210" s="365" t="s">
        <v>3317</v>
      </c>
      <c r="K210" s="364"/>
      <c r="L210" s="364"/>
      <c r="M210" s="365" t="s">
        <v>2969</v>
      </c>
      <c r="N210" s="401">
        <v>45733.0</v>
      </c>
      <c r="O210" s="388" t="s">
        <v>2289</v>
      </c>
      <c r="P210" s="365" t="s">
        <v>3320</v>
      </c>
      <c r="Q210" s="365" t="s">
        <v>2964</v>
      </c>
      <c r="R210" s="365" t="s">
        <v>2594</v>
      </c>
      <c r="S210" s="365" t="s">
        <v>2594</v>
      </c>
      <c r="T210" s="364"/>
      <c r="U210" s="364"/>
      <c r="V210" s="364"/>
      <c r="W210" s="364"/>
      <c r="X210" s="364"/>
      <c r="Y210" s="364"/>
      <c r="Z210" s="364"/>
      <c r="AA210" s="364"/>
      <c r="AB210" s="364"/>
      <c r="AC210" s="364"/>
      <c r="AD210" s="364"/>
    </row>
    <row r="211">
      <c r="A211" s="391" t="s">
        <v>660</v>
      </c>
      <c r="B211" s="391" t="s">
        <v>661</v>
      </c>
      <c r="C211" s="365" t="s">
        <v>3313</v>
      </c>
      <c r="D211" s="365" t="s">
        <v>3314</v>
      </c>
      <c r="E211" s="365" t="s">
        <v>3315</v>
      </c>
      <c r="F211" s="365" t="s">
        <v>2964</v>
      </c>
      <c r="G211" s="365" t="s">
        <v>3316</v>
      </c>
      <c r="H211" s="365" t="s">
        <v>3026</v>
      </c>
      <c r="I211" s="365" t="s">
        <v>3027</v>
      </c>
      <c r="J211" s="365" t="s">
        <v>3317</v>
      </c>
      <c r="K211" s="364"/>
      <c r="L211" s="364"/>
      <c r="M211" s="365" t="s">
        <v>2969</v>
      </c>
      <c r="N211" s="401">
        <v>45764.0</v>
      </c>
      <c r="O211" s="388" t="s">
        <v>2294</v>
      </c>
      <c r="P211" s="365" t="s">
        <v>3321</v>
      </c>
      <c r="Q211" s="365" t="s">
        <v>2964</v>
      </c>
      <c r="R211" s="365" t="s">
        <v>2594</v>
      </c>
      <c r="S211" s="365" t="s">
        <v>2594</v>
      </c>
      <c r="T211" s="364"/>
      <c r="U211" s="364"/>
      <c r="V211" s="364"/>
      <c r="W211" s="364"/>
      <c r="X211" s="364"/>
      <c r="Y211" s="364"/>
      <c r="Z211" s="364"/>
      <c r="AA211" s="364"/>
      <c r="AB211" s="364"/>
      <c r="AC211" s="364"/>
      <c r="AD211" s="364"/>
    </row>
    <row r="212">
      <c r="A212" s="391" t="s">
        <v>660</v>
      </c>
      <c r="B212" s="391" t="s">
        <v>661</v>
      </c>
      <c r="C212" s="365" t="s">
        <v>3191</v>
      </c>
      <c r="D212" s="365" t="s">
        <v>3322</v>
      </c>
      <c r="E212" s="365" t="s">
        <v>3323</v>
      </c>
      <c r="F212" s="365" t="s">
        <v>2964</v>
      </c>
      <c r="G212" s="365" t="s">
        <v>3324</v>
      </c>
      <c r="H212" s="365" t="s">
        <v>3026</v>
      </c>
      <c r="I212" s="365" t="s">
        <v>3027</v>
      </c>
      <c r="J212" s="365" t="s">
        <v>3195</v>
      </c>
      <c r="K212" s="364"/>
      <c r="L212" s="364"/>
      <c r="M212" s="365" t="s">
        <v>2969</v>
      </c>
      <c r="N212" s="401">
        <v>45675.0</v>
      </c>
      <c r="O212" s="388" t="s">
        <v>2289</v>
      </c>
      <c r="P212" s="365" t="s">
        <v>3325</v>
      </c>
      <c r="Q212" s="365" t="s">
        <v>2964</v>
      </c>
      <c r="R212" s="365" t="s">
        <v>2594</v>
      </c>
      <c r="S212" s="365" t="s">
        <v>2594</v>
      </c>
      <c r="T212" s="364"/>
      <c r="U212" s="364"/>
      <c r="V212" s="364"/>
      <c r="W212" s="364"/>
      <c r="X212" s="364"/>
      <c r="Y212" s="364"/>
      <c r="Z212" s="364"/>
      <c r="AA212" s="364"/>
      <c r="AB212" s="364"/>
      <c r="AC212" s="364"/>
      <c r="AD212" s="364"/>
    </row>
    <row r="213">
      <c r="A213" s="391" t="s">
        <v>660</v>
      </c>
      <c r="B213" s="391" t="s">
        <v>661</v>
      </c>
      <c r="C213" s="365" t="s">
        <v>3191</v>
      </c>
      <c r="D213" s="365" t="s">
        <v>3322</v>
      </c>
      <c r="E213" s="365" t="s">
        <v>3323</v>
      </c>
      <c r="F213" s="365" t="s">
        <v>2964</v>
      </c>
      <c r="G213" s="365" t="s">
        <v>3324</v>
      </c>
      <c r="H213" s="365" t="s">
        <v>3026</v>
      </c>
      <c r="I213" s="365" t="s">
        <v>3027</v>
      </c>
      <c r="J213" s="365" t="s">
        <v>3195</v>
      </c>
      <c r="K213" s="364"/>
      <c r="L213" s="364"/>
      <c r="M213" s="365" t="s">
        <v>2969</v>
      </c>
      <c r="N213" s="401">
        <v>45706.0</v>
      </c>
      <c r="O213" s="388" t="s">
        <v>2294</v>
      </c>
      <c r="P213" s="365" t="s">
        <v>3326</v>
      </c>
      <c r="Q213" s="365" t="s">
        <v>2964</v>
      </c>
      <c r="R213" s="365" t="s">
        <v>2594</v>
      </c>
      <c r="S213" s="365" t="s">
        <v>2594</v>
      </c>
      <c r="T213" s="364"/>
      <c r="U213" s="364"/>
      <c r="V213" s="364"/>
      <c r="W213" s="364"/>
      <c r="X213" s="364"/>
      <c r="Y213" s="364"/>
      <c r="Z213" s="364"/>
      <c r="AA213" s="364"/>
      <c r="AB213" s="364"/>
      <c r="AC213" s="364"/>
      <c r="AD213" s="364"/>
    </row>
    <row r="214">
      <c r="A214" s="391" t="s">
        <v>660</v>
      </c>
      <c r="B214" s="391" t="s">
        <v>661</v>
      </c>
      <c r="C214" s="365" t="s">
        <v>3191</v>
      </c>
      <c r="D214" s="365" t="s">
        <v>3322</v>
      </c>
      <c r="E214" s="365" t="s">
        <v>3323</v>
      </c>
      <c r="F214" s="365" t="s">
        <v>2964</v>
      </c>
      <c r="G214" s="365" t="s">
        <v>3324</v>
      </c>
      <c r="H214" s="365" t="s">
        <v>3026</v>
      </c>
      <c r="I214" s="365" t="s">
        <v>3027</v>
      </c>
      <c r="J214" s="365" t="s">
        <v>3195</v>
      </c>
      <c r="K214" s="364"/>
      <c r="L214" s="364"/>
      <c r="M214" s="365" t="s">
        <v>2969</v>
      </c>
      <c r="N214" s="401">
        <v>45734.0</v>
      </c>
      <c r="O214" s="388" t="s">
        <v>2289</v>
      </c>
      <c r="P214" s="365" t="s">
        <v>3327</v>
      </c>
      <c r="Q214" s="365" t="s">
        <v>2964</v>
      </c>
      <c r="R214" s="365" t="s">
        <v>2594</v>
      </c>
      <c r="S214" s="365" t="s">
        <v>2594</v>
      </c>
      <c r="T214" s="364"/>
      <c r="U214" s="364"/>
      <c r="V214" s="364"/>
      <c r="W214" s="364"/>
      <c r="X214" s="364"/>
      <c r="Y214" s="364"/>
      <c r="Z214" s="364"/>
      <c r="AA214" s="364"/>
      <c r="AB214" s="364"/>
      <c r="AC214" s="364"/>
      <c r="AD214" s="364"/>
    </row>
    <row r="215">
      <c r="A215" s="391" t="s">
        <v>660</v>
      </c>
      <c r="B215" s="391" t="s">
        <v>661</v>
      </c>
      <c r="C215" s="365" t="s">
        <v>3191</v>
      </c>
      <c r="D215" s="365" t="s">
        <v>3322</v>
      </c>
      <c r="E215" s="365" t="s">
        <v>3323</v>
      </c>
      <c r="F215" s="365" t="s">
        <v>2964</v>
      </c>
      <c r="G215" s="365" t="s">
        <v>3324</v>
      </c>
      <c r="H215" s="365" t="s">
        <v>3026</v>
      </c>
      <c r="I215" s="365" t="s">
        <v>3027</v>
      </c>
      <c r="J215" s="365" t="s">
        <v>3195</v>
      </c>
      <c r="K215" s="364"/>
      <c r="L215" s="364"/>
      <c r="M215" s="365" t="s">
        <v>2969</v>
      </c>
      <c r="N215" s="401">
        <v>45765.0</v>
      </c>
      <c r="O215" s="388" t="s">
        <v>2294</v>
      </c>
      <c r="P215" s="365" t="s">
        <v>3328</v>
      </c>
      <c r="Q215" s="365" t="s">
        <v>2964</v>
      </c>
      <c r="R215" s="365" t="s">
        <v>2594</v>
      </c>
      <c r="S215" s="365" t="s">
        <v>2594</v>
      </c>
      <c r="T215" s="364"/>
      <c r="U215" s="364"/>
      <c r="V215" s="364"/>
      <c r="W215" s="364"/>
      <c r="X215" s="364"/>
      <c r="Y215" s="364"/>
      <c r="Z215" s="364"/>
      <c r="AA215" s="364"/>
      <c r="AB215" s="364"/>
      <c r="AC215" s="364"/>
      <c r="AD215" s="364"/>
    </row>
    <row r="216">
      <c r="A216" s="391" t="s">
        <v>660</v>
      </c>
      <c r="B216" s="391" t="s">
        <v>661</v>
      </c>
      <c r="C216" s="365" t="s">
        <v>42</v>
      </c>
      <c r="D216" s="365" t="s">
        <v>3329</v>
      </c>
      <c r="E216" s="365" t="s">
        <v>3330</v>
      </c>
      <c r="F216" s="365" t="s">
        <v>2964</v>
      </c>
      <c r="G216" s="365" t="s">
        <v>3331</v>
      </c>
      <c r="H216" s="365" t="s">
        <v>3026</v>
      </c>
      <c r="I216" s="365" t="s">
        <v>3027</v>
      </c>
      <c r="J216" s="365" t="s">
        <v>3203</v>
      </c>
      <c r="K216" s="364"/>
      <c r="L216" s="364"/>
      <c r="M216" s="365" t="s">
        <v>2969</v>
      </c>
      <c r="N216" s="401">
        <v>45676.0</v>
      </c>
      <c r="O216" s="388" t="s">
        <v>2289</v>
      </c>
      <c r="P216" s="365" t="s">
        <v>3332</v>
      </c>
      <c r="Q216" s="365" t="s">
        <v>2964</v>
      </c>
      <c r="R216" s="365" t="s">
        <v>2594</v>
      </c>
      <c r="S216" s="365" t="s">
        <v>2594</v>
      </c>
      <c r="T216" s="364"/>
      <c r="U216" s="364"/>
      <c r="V216" s="364"/>
      <c r="W216" s="364"/>
      <c r="X216" s="364"/>
      <c r="Y216" s="364"/>
      <c r="Z216" s="364"/>
      <c r="AA216" s="364"/>
      <c r="AB216" s="364"/>
      <c r="AC216" s="364"/>
      <c r="AD216" s="364"/>
    </row>
    <row r="217">
      <c r="A217" s="391" t="s">
        <v>660</v>
      </c>
      <c r="B217" s="391" t="s">
        <v>661</v>
      </c>
      <c r="C217" s="365" t="s">
        <v>42</v>
      </c>
      <c r="D217" s="365" t="s">
        <v>3329</v>
      </c>
      <c r="E217" s="365" t="s">
        <v>3330</v>
      </c>
      <c r="F217" s="365" t="s">
        <v>2964</v>
      </c>
      <c r="G217" s="365" t="s">
        <v>3331</v>
      </c>
      <c r="H217" s="365" t="s">
        <v>3026</v>
      </c>
      <c r="I217" s="365" t="s">
        <v>3027</v>
      </c>
      <c r="J217" s="365" t="s">
        <v>3203</v>
      </c>
      <c r="K217" s="364"/>
      <c r="L217" s="364"/>
      <c r="M217" s="365" t="s">
        <v>2969</v>
      </c>
      <c r="N217" s="401">
        <v>45707.0</v>
      </c>
      <c r="O217" s="388" t="s">
        <v>2294</v>
      </c>
      <c r="P217" s="365" t="s">
        <v>3333</v>
      </c>
      <c r="Q217" s="365" t="s">
        <v>2964</v>
      </c>
      <c r="R217" s="365" t="s">
        <v>2594</v>
      </c>
      <c r="S217" s="365" t="s">
        <v>2594</v>
      </c>
      <c r="T217" s="364"/>
      <c r="U217" s="364"/>
      <c r="V217" s="364"/>
      <c r="W217" s="364"/>
      <c r="X217" s="364"/>
      <c r="Y217" s="364"/>
      <c r="Z217" s="364"/>
      <c r="AA217" s="364"/>
      <c r="AB217" s="364"/>
      <c r="AC217" s="364"/>
      <c r="AD217" s="364"/>
    </row>
    <row r="218">
      <c r="A218" s="391" t="s">
        <v>660</v>
      </c>
      <c r="B218" s="391" t="s">
        <v>661</v>
      </c>
      <c r="C218" s="365" t="s">
        <v>42</v>
      </c>
      <c r="D218" s="365" t="s">
        <v>3329</v>
      </c>
      <c r="E218" s="365" t="s">
        <v>3330</v>
      </c>
      <c r="F218" s="365" t="s">
        <v>2964</v>
      </c>
      <c r="G218" s="365" t="s">
        <v>3331</v>
      </c>
      <c r="H218" s="365" t="s">
        <v>3026</v>
      </c>
      <c r="I218" s="365" t="s">
        <v>3027</v>
      </c>
      <c r="J218" s="365" t="s">
        <v>3203</v>
      </c>
      <c r="K218" s="364"/>
      <c r="L218" s="364"/>
      <c r="M218" s="365" t="s">
        <v>2969</v>
      </c>
      <c r="N218" s="401">
        <v>45735.0</v>
      </c>
      <c r="O218" s="388" t="s">
        <v>2289</v>
      </c>
      <c r="P218" s="365" t="s">
        <v>3206</v>
      </c>
      <c r="Q218" s="365" t="s">
        <v>2964</v>
      </c>
      <c r="R218" s="365" t="s">
        <v>2594</v>
      </c>
      <c r="S218" s="365" t="s">
        <v>2594</v>
      </c>
      <c r="T218" s="364"/>
      <c r="U218" s="364"/>
      <c r="V218" s="364"/>
      <c r="W218" s="364"/>
      <c r="X218" s="364"/>
      <c r="Y218" s="364"/>
      <c r="Z218" s="364"/>
      <c r="AA218" s="364"/>
      <c r="AB218" s="364"/>
      <c r="AC218" s="364"/>
      <c r="AD218" s="364"/>
    </row>
    <row r="219">
      <c r="A219" s="391" t="s">
        <v>660</v>
      </c>
      <c r="B219" s="391" t="s">
        <v>661</v>
      </c>
      <c r="C219" s="365" t="s">
        <v>42</v>
      </c>
      <c r="D219" s="365" t="s">
        <v>3329</v>
      </c>
      <c r="E219" s="365" t="s">
        <v>3330</v>
      </c>
      <c r="F219" s="365" t="s">
        <v>2964</v>
      </c>
      <c r="G219" s="365" t="s">
        <v>3331</v>
      </c>
      <c r="H219" s="365" t="s">
        <v>3026</v>
      </c>
      <c r="I219" s="365" t="s">
        <v>3027</v>
      </c>
      <c r="J219" s="365" t="s">
        <v>3203</v>
      </c>
      <c r="K219" s="364"/>
      <c r="L219" s="364"/>
      <c r="M219" s="365" t="s">
        <v>2969</v>
      </c>
      <c r="N219" s="401">
        <v>45766.0</v>
      </c>
      <c r="O219" s="388" t="s">
        <v>2294</v>
      </c>
      <c r="P219" s="365" t="s">
        <v>3207</v>
      </c>
      <c r="Q219" s="365" t="s">
        <v>2964</v>
      </c>
      <c r="R219" s="365" t="s">
        <v>2594</v>
      </c>
      <c r="S219" s="365" t="s">
        <v>2594</v>
      </c>
      <c r="T219" s="364"/>
      <c r="U219" s="364"/>
      <c r="V219" s="364"/>
      <c r="W219" s="364"/>
      <c r="X219" s="364"/>
      <c r="Y219" s="364"/>
      <c r="Z219" s="364"/>
      <c r="AA219" s="364"/>
      <c r="AB219" s="364"/>
      <c r="AC219" s="364"/>
      <c r="AD219" s="364"/>
    </row>
    <row r="220">
      <c r="A220" s="391" t="s">
        <v>660</v>
      </c>
      <c r="B220" s="391" t="s">
        <v>661</v>
      </c>
      <c r="C220" s="365" t="s">
        <v>48</v>
      </c>
      <c r="D220" s="365" t="s">
        <v>3334</v>
      </c>
      <c r="E220" s="365" t="s">
        <v>3335</v>
      </c>
      <c r="F220" s="365" t="s">
        <v>2964</v>
      </c>
      <c r="G220" s="365" t="s">
        <v>3336</v>
      </c>
      <c r="H220" s="365" t="s">
        <v>3026</v>
      </c>
      <c r="I220" s="365" t="s">
        <v>3027</v>
      </c>
      <c r="J220" s="365" t="s">
        <v>3337</v>
      </c>
      <c r="K220" s="364"/>
      <c r="L220" s="364"/>
      <c r="M220" s="365" t="s">
        <v>2969</v>
      </c>
      <c r="N220" s="401">
        <v>45677.0</v>
      </c>
      <c r="O220" s="388" t="s">
        <v>2289</v>
      </c>
      <c r="P220" s="365" t="s">
        <v>3338</v>
      </c>
      <c r="Q220" s="365" t="s">
        <v>2964</v>
      </c>
      <c r="R220" s="365" t="s">
        <v>2594</v>
      </c>
      <c r="S220" s="365" t="s">
        <v>2594</v>
      </c>
      <c r="T220" s="364"/>
      <c r="U220" s="364"/>
      <c r="V220" s="364"/>
      <c r="W220" s="364"/>
      <c r="X220" s="364"/>
      <c r="Y220" s="364"/>
      <c r="Z220" s="364"/>
      <c r="AA220" s="364"/>
      <c r="AB220" s="364"/>
      <c r="AC220" s="364"/>
      <c r="AD220" s="364"/>
    </row>
    <row r="221">
      <c r="A221" s="391" t="s">
        <v>660</v>
      </c>
      <c r="B221" s="391" t="s">
        <v>661</v>
      </c>
      <c r="C221" s="365" t="s">
        <v>48</v>
      </c>
      <c r="D221" s="365" t="s">
        <v>3334</v>
      </c>
      <c r="E221" s="365" t="s">
        <v>3335</v>
      </c>
      <c r="F221" s="365" t="s">
        <v>2964</v>
      </c>
      <c r="G221" s="365" t="s">
        <v>3336</v>
      </c>
      <c r="H221" s="365" t="s">
        <v>3026</v>
      </c>
      <c r="I221" s="365" t="s">
        <v>3027</v>
      </c>
      <c r="J221" s="365" t="s">
        <v>3337</v>
      </c>
      <c r="K221" s="364"/>
      <c r="L221" s="364"/>
      <c r="M221" s="365" t="s">
        <v>2969</v>
      </c>
      <c r="N221" s="401">
        <v>45708.0</v>
      </c>
      <c r="O221" s="388" t="s">
        <v>2294</v>
      </c>
      <c r="P221" s="365" t="s">
        <v>3339</v>
      </c>
      <c r="Q221" s="365" t="s">
        <v>2964</v>
      </c>
      <c r="R221" s="365" t="s">
        <v>2594</v>
      </c>
      <c r="S221" s="365" t="s">
        <v>2594</v>
      </c>
      <c r="T221" s="364"/>
      <c r="U221" s="364"/>
      <c r="V221" s="364"/>
      <c r="W221" s="364"/>
      <c r="X221" s="364"/>
      <c r="Y221" s="364"/>
      <c r="Z221" s="364"/>
      <c r="AA221" s="364"/>
      <c r="AB221" s="364"/>
      <c r="AC221" s="364"/>
      <c r="AD221" s="364"/>
    </row>
    <row r="222">
      <c r="A222" s="391" t="s">
        <v>660</v>
      </c>
      <c r="B222" s="391" t="s">
        <v>661</v>
      </c>
      <c r="C222" s="365" t="s">
        <v>48</v>
      </c>
      <c r="D222" s="365" t="s">
        <v>3334</v>
      </c>
      <c r="E222" s="365" t="s">
        <v>3335</v>
      </c>
      <c r="F222" s="365" t="s">
        <v>2964</v>
      </c>
      <c r="G222" s="365" t="s">
        <v>3336</v>
      </c>
      <c r="H222" s="365" t="s">
        <v>3026</v>
      </c>
      <c r="I222" s="365" t="s">
        <v>3027</v>
      </c>
      <c r="J222" s="365" t="s">
        <v>3337</v>
      </c>
      <c r="K222" s="364"/>
      <c r="L222" s="364"/>
      <c r="M222" s="365" t="s">
        <v>2969</v>
      </c>
      <c r="N222" s="401">
        <v>45736.0</v>
      </c>
      <c r="O222" s="388" t="s">
        <v>2289</v>
      </c>
      <c r="P222" s="365" t="s">
        <v>3340</v>
      </c>
      <c r="Q222" s="365" t="s">
        <v>2964</v>
      </c>
      <c r="R222" s="365" t="s">
        <v>2594</v>
      </c>
      <c r="S222" s="365" t="s">
        <v>2594</v>
      </c>
      <c r="T222" s="364"/>
      <c r="U222" s="364"/>
      <c r="V222" s="364"/>
      <c r="W222" s="364"/>
      <c r="X222" s="364"/>
      <c r="Y222" s="364"/>
      <c r="Z222" s="364"/>
      <c r="AA222" s="364"/>
      <c r="AB222" s="364"/>
      <c r="AC222" s="364"/>
      <c r="AD222" s="364"/>
    </row>
    <row r="223">
      <c r="A223" s="391" t="s">
        <v>660</v>
      </c>
      <c r="B223" s="391" t="s">
        <v>661</v>
      </c>
      <c r="C223" s="365" t="s">
        <v>48</v>
      </c>
      <c r="D223" s="365" t="s">
        <v>3334</v>
      </c>
      <c r="E223" s="365" t="s">
        <v>3335</v>
      </c>
      <c r="F223" s="365" t="s">
        <v>2964</v>
      </c>
      <c r="G223" s="365" t="s">
        <v>3336</v>
      </c>
      <c r="H223" s="365" t="s">
        <v>3026</v>
      </c>
      <c r="I223" s="365" t="s">
        <v>3027</v>
      </c>
      <c r="J223" s="365" t="s">
        <v>3337</v>
      </c>
      <c r="K223" s="364"/>
      <c r="L223" s="364"/>
      <c r="M223" s="365" t="s">
        <v>2969</v>
      </c>
      <c r="N223" s="401">
        <v>45767.0</v>
      </c>
      <c r="O223" s="388" t="s">
        <v>2294</v>
      </c>
      <c r="P223" s="365" t="s">
        <v>3341</v>
      </c>
      <c r="Q223" s="365" t="s">
        <v>2964</v>
      </c>
      <c r="R223" s="365" t="s">
        <v>2594</v>
      </c>
      <c r="S223" s="365" t="s">
        <v>2594</v>
      </c>
      <c r="T223" s="364"/>
      <c r="U223" s="364"/>
      <c r="V223" s="364"/>
      <c r="W223" s="364"/>
      <c r="X223" s="364"/>
      <c r="Y223" s="364"/>
      <c r="Z223" s="364"/>
      <c r="AA223" s="364"/>
      <c r="AB223" s="364"/>
      <c r="AC223" s="364"/>
      <c r="AD223" s="364"/>
    </row>
    <row r="224">
      <c r="A224" s="391" t="s">
        <v>127</v>
      </c>
      <c r="B224" s="392" t="s">
        <v>128</v>
      </c>
      <c r="C224" s="365" t="s">
        <v>3342</v>
      </c>
      <c r="D224" s="365" t="s">
        <v>3343</v>
      </c>
      <c r="E224" s="365" t="s">
        <v>3344</v>
      </c>
      <c r="F224" s="365" t="s">
        <v>2964</v>
      </c>
      <c r="G224" s="365" t="s">
        <v>3345</v>
      </c>
      <c r="H224" s="365" t="s">
        <v>3346</v>
      </c>
      <c r="I224" s="365" t="s">
        <v>3347</v>
      </c>
      <c r="J224" s="365" t="s">
        <v>3348</v>
      </c>
      <c r="K224" s="364"/>
      <c r="L224" s="364"/>
      <c r="M224" s="365" t="s">
        <v>2969</v>
      </c>
      <c r="N224" s="401">
        <v>45658.0</v>
      </c>
      <c r="O224" s="388" t="s">
        <v>2289</v>
      </c>
      <c r="P224" s="365" t="s">
        <v>3349</v>
      </c>
      <c r="Q224" s="365" t="s">
        <v>2964</v>
      </c>
      <c r="R224" s="365" t="s">
        <v>2594</v>
      </c>
      <c r="S224" s="365" t="s">
        <v>2594</v>
      </c>
      <c r="T224" s="364"/>
      <c r="U224" s="364"/>
      <c r="V224" s="364"/>
      <c r="W224" s="364"/>
      <c r="X224" s="364"/>
      <c r="Y224" s="364"/>
      <c r="Z224" s="364"/>
      <c r="AA224" s="364"/>
      <c r="AB224" s="364"/>
      <c r="AC224" s="364"/>
      <c r="AD224" s="364"/>
    </row>
    <row r="225">
      <c r="A225" s="391" t="s">
        <v>127</v>
      </c>
      <c r="B225" s="392" t="s">
        <v>128</v>
      </c>
      <c r="C225" s="365" t="s">
        <v>3342</v>
      </c>
      <c r="D225" s="365" t="s">
        <v>3343</v>
      </c>
      <c r="E225" s="365" t="s">
        <v>3344</v>
      </c>
      <c r="F225" s="365" t="s">
        <v>2964</v>
      </c>
      <c r="G225" s="365" t="s">
        <v>3345</v>
      </c>
      <c r="H225" s="365" t="s">
        <v>3346</v>
      </c>
      <c r="I225" s="365" t="s">
        <v>3347</v>
      </c>
      <c r="J225" s="365" t="s">
        <v>3348</v>
      </c>
      <c r="K225" s="364"/>
      <c r="L225" s="364"/>
      <c r="M225" s="365" t="s">
        <v>2969</v>
      </c>
      <c r="N225" s="401">
        <v>45689.0</v>
      </c>
      <c r="O225" s="388" t="s">
        <v>2289</v>
      </c>
      <c r="P225" s="365" t="s">
        <v>3350</v>
      </c>
      <c r="Q225" s="365" t="s">
        <v>2964</v>
      </c>
      <c r="R225" s="365" t="s">
        <v>2594</v>
      </c>
      <c r="S225" s="365" t="s">
        <v>2594</v>
      </c>
      <c r="T225" s="364"/>
      <c r="U225" s="364"/>
      <c r="V225" s="364"/>
      <c r="W225" s="364"/>
      <c r="X225" s="364"/>
      <c r="Y225" s="364"/>
      <c r="Z225" s="364"/>
      <c r="AA225" s="364"/>
      <c r="AB225" s="364"/>
      <c r="AC225" s="364"/>
      <c r="AD225" s="364"/>
    </row>
    <row r="226">
      <c r="A226" s="391" t="s">
        <v>127</v>
      </c>
      <c r="B226" s="392" t="s">
        <v>128</v>
      </c>
      <c r="C226" s="365" t="s">
        <v>3342</v>
      </c>
      <c r="D226" s="365" t="s">
        <v>3343</v>
      </c>
      <c r="E226" s="365" t="s">
        <v>3344</v>
      </c>
      <c r="F226" s="365" t="s">
        <v>2964</v>
      </c>
      <c r="G226" s="365" t="s">
        <v>3345</v>
      </c>
      <c r="H226" s="365" t="s">
        <v>3346</v>
      </c>
      <c r="I226" s="365" t="s">
        <v>3347</v>
      </c>
      <c r="J226" s="365" t="s">
        <v>3348</v>
      </c>
      <c r="K226" s="364"/>
      <c r="L226" s="364"/>
      <c r="M226" s="365" t="s">
        <v>2969</v>
      </c>
      <c r="N226" s="401">
        <v>45717.0</v>
      </c>
      <c r="O226" s="388" t="s">
        <v>2294</v>
      </c>
      <c r="P226" s="365" t="s">
        <v>3351</v>
      </c>
      <c r="Q226" s="365" t="s">
        <v>2964</v>
      </c>
      <c r="R226" s="365" t="s">
        <v>2594</v>
      </c>
      <c r="S226" s="365" t="s">
        <v>2594</v>
      </c>
      <c r="T226" s="364"/>
      <c r="U226" s="364"/>
      <c r="V226" s="364"/>
      <c r="W226" s="364"/>
      <c r="X226" s="364"/>
      <c r="Y226" s="364"/>
      <c r="Z226" s="364"/>
      <c r="AA226" s="364"/>
      <c r="AB226" s="364"/>
      <c r="AC226" s="364"/>
      <c r="AD226" s="364"/>
    </row>
    <row r="227">
      <c r="A227" s="391" t="s">
        <v>127</v>
      </c>
      <c r="B227" s="392" t="s">
        <v>128</v>
      </c>
      <c r="C227" s="365" t="s">
        <v>3342</v>
      </c>
      <c r="D227" s="365" t="s">
        <v>3343</v>
      </c>
      <c r="E227" s="365" t="s">
        <v>3344</v>
      </c>
      <c r="F227" s="365" t="s">
        <v>2964</v>
      </c>
      <c r="G227" s="365" t="s">
        <v>3345</v>
      </c>
      <c r="H227" s="365" t="s">
        <v>3346</v>
      </c>
      <c r="I227" s="365" t="s">
        <v>3347</v>
      </c>
      <c r="J227" s="365" t="s">
        <v>3348</v>
      </c>
      <c r="K227" s="364"/>
      <c r="L227" s="364"/>
      <c r="M227" s="365" t="s">
        <v>2969</v>
      </c>
      <c r="N227" s="401">
        <v>45748.0</v>
      </c>
      <c r="O227" s="388" t="s">
        <v>2289</v>
      </c>
      <c r="P227" s="365" t="s">
        <v>3352</v>
      </c>
      <c r="Q227" s="365" t="s">
        <v>2964</v>
      </c>
      <c r="R227" s="365" t="s">
        <v>2594</v>
      </c>
      <c r="S227" s="365" t="s">
        <v>2594</v>
      </c>
      <c r="T227" s="364"/>
      <c r="U227" s="364"/>
      <c r="V227" s="364"/>
      <c r="W227" s="364"/>
      <c r="X227" s="364"/>
      <c r="Y227" s="364"/>
      <c r="Z227" s="364"/>
      <c r="AA227" s="364"/>
      <c r="AB227" s="364"/>
      <c r="AC227" s="364"/>
      <c r="AD227" s="364"/>
    </row>
    <row r="228">
      <c r="A228" s="391" t="s">
        <v>127</v>
      </c>
      <c r="B228" s="392" t="s">
        <v>128</v>
      </c>
      <c r="C228" s="365" t="s">
        <v>3342</v>
      </c>
      <c r="D228" s="365" t="s">
        <v>3343</v>
      </c>
      <c r="E228" s="365" t="s">
        <v>3344</v>
      </c>
      <c r="F228" s="365" t="s">
        <v>2964</v>
      </c>
      <c r="G228" s="365" t="s">
        <v>3345</v>
      </c>
      <c r="H228" s="365" t="s">
        <v>3346</v>
      </c>
      <c r="I228" s="365" t="s">
        <v>3347</v>
      </c>
      <c r="J228" s="365" t="s">
        <v>3348</v>
      </c>
      <c r="K228" s="364"/>
      <c r="L228" s="364"/>
      <c r="M228" s="365" t="s">
        <v>2969</v>
      </c>
      <c r="N228" s="401">
        <v>45778.0</v>
      </c>
      <c r="O228" s="388" t="s">
        <v>2289</v>
      </c>
      <c r="P228" s="365" t="s">
        <v>3353</v>
      </c>
      <c r="Q228" s="365" t="s">
        <v>2964</v>
      </c>
      <c r="R228" s="365" t="s">
        <v>2594</v>
      </c>
      <c r="S228" s="365" t="s">
        <v>2594</v>
      </c>
      <c r="T228" s="364"/>
      <c r="U228" s="364"/>
      <c r="V228" s="364"/>
      <c r="W228" s="364"/>
      <c r="X228" s="364"/>
      <c r="Y228" s="364"/>
      <c r="Z228" s="364"/>
      <c r="AA228" s="364"/>
      <c r="AB228" s="364"/>
      <c r="AC228" s="364"/>
      <c r="AD228" s="364"/>
    </row>
    <row r="229">
      <c r="A229" s="391" t="s">
        <v>127</v>
      </c>
      <c r="B229" s="392" t="s">
        <v>128</v>
      </c>
      <c r="C229" s="365" t="s">
        <v>3342</v>
      </c>
      <c r="D229" s="365" t="s">
        <v>3343</v>
      </c>
      <c r="E229" s="365" t="s">
        <v>3344</v>
      </c>
      <c r="F229" s="365" t="s">
        <v>2964</v>
      </c>
      <c r="G229" s="365" t="s">
        <v>3345</v>
      </c>
      <c r="H229" s="365" t="s">
        <v>3346</v>
      </c>
      <c r="I229" s="365" t="s">
        <v>3347</v>
      </c>
      <c r="J229" s="365" t="s">
        <v>3348</v>
      </c>
      <c r="K229" s="364"/>
      <c r="L229" s="364"/>
      <c r="M229" s="365" t="s">
        <v>2969</v>
      </c>
      <c r="N229" s="401">
        <v>45809.0</v>
      </c>
      <c r="O229" s="388" t="s">
        <v>2294</v>
      </c>
      <c r="P229" s="365" t="s">
        <v>3354</v>
      </c>
      <c r="Q229" s="365" t="s">
        <v>2964</v>
      </c>
      <c r="R229" s="365" t="s">
        <v>2594</v>
      </c>
      <c r="S229" s="365" t="s">
        <v>2594</v>
      </c>
      <c r="T229" s="364"/>
      <c r="U229" s="364"/>
      <c r="V229" s="364"/>
      <c r="W229" s="364"/>
      <c r="X229" s="364"/>
      <c r="Y229" s="364"/>
      <c r="Z229" s="364"/>
      <c r="AA229" s="364"/>
      <c r="AB229" s="364"/>
      <c r="AC229" s="364"/>
      <c r="AD229" s="364"/>
    </row>
    <row r="230">
      <c r="A230" s="391" t="s">
        <v>127</v>
      </c>
      <c r="B230" s="392" t="s">
        <v>128</v>
      </c>
      <c r="C230" s="365" t="s">
        <v>3342</v>
      </c>
      <c r="D230" s="365" t="s">
        <v>3343</v>
      </c>
      <c r="E230" s="365" t="s">
        <v>3344</v>
      </c>
      <c r="F230" s="365" t="s">
        <v>2964</v>
      </c>
      <c r="G230" s="365" t="s">
        <v>3345</v>
      </c>
      <c r="H230" s="365" t="s">
        <v>3346</v>
      </c>
      <c r="I230" s="365" t="s">
        <v>3347</v>
      </c>
      <c r="J230" s="365" t="s">
        <v>3348</v>
      </c>
      <c r="K230" s="364"/>
      <c r="L230" s="364"/>
      <c r="M230" s="365" t="s">
        <v>2969</v>
      </c>
      <c r="N230" s="401">
        <v>45839.0</v>
      </c>
      <c r="O230" s="388" t="s">
        <v>2289</v>
      </c>
      <c r="P230" s="365" t="s">
        <v>3355</v>
      </c>
      <c r="Q230" s="365" t="s">
        <v>2964</v>
      </c>
      <c r="R230" s="365" t="s">
        <v>2594</v>
      </c>
      <c r="S230" s="365" t="s">
        <v>2594</v>
      </c>
      <c r="T230" s="364"/>
      <c r="U230" s="364"/>
      <c r="V230" s="364"/>
      <c r="W230" s="364"/>
      <c r="X230" s="364"/>
      <c r="Y230" s="364"/>
      <c r="Z230" s="364"/>
      <c r="AA230" s="364"/>
      <c r="AB230" s="364"/>
      <c r="AC230" s="364"/>
      <c r="AD230" s="364"/>
    </row>
    <row r="231">
      <c r="A231" s="391" t="s">
        <v>127</v>
      </c>
      <c r="B231" s="392" t="s">
        <v>128</v>
      </c>
      <c r="C231" s="365" t="s">
        <v>3342</v>
      </c>
      <c r="D231" s="365" t="s">
        <v>3343</v>
      </c>
      <c r="E231" s="365" t="s">
        <v>3344</v>
      </c>
      <c r="F231" s="365" t="s">
        <v>2964</v>
      </c>
      <c r="G231" s="365" t="s">
        <v>3345</v>
      </c>
      <c r="H231" s="365" t="s">
        <v>3346</v>
      </c>
      <c r="I231" s="365" t="s">
        <v>3347</v>
      </c>
      <c r="J231" s="365" t="s">
        <v>3348</v>
      </c>
      <c r="K231" s="364"/>
      <c r="L231" s="364"/>
      <c r="M231" s="365" t="s">
        <v>2969</v>
      </c>
      <c r="N231" s="401">
        <v>45870.0</v>
      </c>
      <c r="O231" s="388" t="s">
        <v>2289</v>
      </c>
      <c r="P231" s="365" t="s">
        <v>3356</v>
      </c>
      <c r="Q231" s="365" t="s">
        <v>2964</v>
      </c>
      <c r="R231" s="365" t="s">
        <v>2594</v>
      </c>
      <c r="S231" s="365" t="s">
        <v>2594</v>
      </c>
      <c r="T231" s="364"/>
      <c r="U231" s="364"/>
      <c r="V231" s="364"/>
      <c r="W231" s="364"/>
      <c r="X231" s="364"/>
      <c r="Y231" s="364"/>
      <c r="Z231" s="364"/>
      <c r="AA231" s="364"/>
      <c r="AB231" s="364"/>
      <c r="AC231" s="364"/>
      <c r="AD231" s="364"/>
    </row>
    <row r="232">
      <c r="A232" s="391" t="s">
        <v>127</v>
      </c>
      <c r="B232" s="392" t="s">
        <v>128</v>
      </c>
      <c r="C232" s="365" t="s">
        <v>3342</v>
      </c>
      <c r="D232" s="365" t="s">
        <v>3343</v>
      </c>
      <c r="E232" s="365" t="s">
        <v>3344</v>
      </c>
      <c r="F232" s="365" t="s">
        <v>2964</v>
      </c>
      <c r="G232" s="365" t="s">
        <v>3345</v>
      </c>
      <c r="H232" s="365" t="s">
        <v>3346</v>
      </c>
      <c r="I232" s="365" t="s">
        <v>3347</v>
      </c>
      <c r="J232" s="365" t="s">
        <v>3348</v>
      </c>
      <c r="K232" s="364"/>
      <c r="L232" s="364"/>
      <c r="M232" s="365" t="s">
        <v>2969</v>
      </c>
      <c r="N232" s="401">
        <v>45901.0</v>
      </c>
      <c r="O232" s="388" t="s">
        <v>2294</v>
      </c>
      <c r="P232" s="365" t="s">
        <v>3357</v>
      </c>
      <c r="Q232" s="365" t="s">
        <v>2964</v>
      </c>
      <c r="R232" s="365" t="s">
        <v>2594</v>
      </c>
      <c r="S232" s="365" t="s">
        <v>2594</v>
      </c>
      <c r="T232" s="364"/>
      <c r="U232" s="364"/>
      <c r="V232" s="364"/>
      <c r="W232" s="364"/>
      <c r="X232" s="364"/>
      <c r="Y232" s="364"/>
      <c r="Z232" s="364"/>
      <c r="AA232" s="364"/>
      <c r="AB232" s="364"/>
      <c r="AC232" s="364"/>
      <c r="AD232" s="364"/>
    </row>
    <row r="233">
      <c r="A233" s="391" t="s">
        <v>127</v>
      </c>
      <c r="B233" s="392" t="s">
        <v>128</v>
      </c>
      <c r="C233" s="365" t="s">
        <v>3358</v>
      </c>
      <c r="D233" s="365" t="s">
        <v>3359</v>
      </c>
      <c r="E233" s="365" t="s">
        <v>3360</v>
      </c>
      <c r="F233" s="365" t="s">
        <v>2964</v>
      </c>
      <c r="G233" s="365" t="s">
        <v>3361</v>
      </c>
      <c r="H233" s="365" t="s">
        <v>3346</v>
      </c>
      <c r="I233" s="365" t="s">
        <v>3347</v>
      </c>
      <c r="J233" s="365" t="s">
        <v>3362</v>
      </c>
      <c r="K233" s="364"/>
      <c r="L233" s="364"/>
      <c r="M233" s="365" t="s">
        <v>2969</v>
      </c>
      <c r="N233" s="401">
        <v>45659.0</v>
      </c>
      <c r="O233" s="388" t="s">
        <v>2289</v>
      </c>
      <c r="P233" s="365" t="s">
        <v>3363</v>
      </c>
      <c r="Q233" s="365" t="s">
        <v>2964</v>
      </c>
      <c r="R233" s="365" t="s">
        <v>2594</v>
      </c>
      <c r="S233" s="365" t="s">
        <v>2594</v>
      </c>
      <c r="T233" s="364"/>
      <c r="U233" s="364"/>
      <c r="V233" s="364"/>
      <c r="W233" s="364"/>
      <c r="X233" s="364"/>
      <c r="Y233" s="364"/>
      <c r="Z233" s="364"/>
      <c r="AA233" s="364"/>
      <c r="AB233" s="364"/>
      <c r="AC233" s="364"/>
      <c r="AD233" s="364"/>
    </row>
    <row r="234">
      <c r="A234" s="391" t="s">
        <v>127</v>
      </c>
      <c r="B234" s="392" t="s">
        <v>128</v>
      </c>
      <c r="C234" s="365" t="s">
        <v>3358</v>
      </c>
      <c r="D234" s="365" t="s">
        <v>3359</v>
      </c>
      <c r="E234" s="365" t="s">
        <v>3360</v>
      </c>
      <c r="F234" s="365" t="s">
        <v>2964</v>
      </c>
      <c r="G234" s="365" t="s">
        <v>3361</v>
      </c>
      <c r="H234" s="365" t="s">
        <v>3346</v>
      </c>
      <c r="I234" s="365" t="s">
        <v>3347</v>
      </c>
      <c r="J234" s="365" t="s">
        <v>3362</v>
      </c>
      <c r="K234" s="364"/>
      <c r="L234" s="364"/>
      <c r="M234" s="365" t="s">
        <v>2969</v>
      </c>
      <c r="N234" s="401">
        <v>45690.0</v>
      </c>
      <c r="O234" s="388" t="s">
        <v>2289</v>
      </c>
      <c r="P234" s="365" t="s">
        <v>3364</v>
      </c>
      <c r="Q234" s="365" t="s">
        <v>2964</v>
      </c>
      <c r="R234" s="365" t="s">
        <v>2594</v>
      </c>
      <c r="S234" s="365" t="s">
        <v>2594</v>
      </c>
      <c r="T234" s="364"/>
      <c r="U234" s="364"/>
      <c r="V234" s="364"/>
      <c r="W234" s="364"/>
      <c r="X234" s="364"/>
      <c r="Y234" s="364"/>
      <c r="Z234" s="364"/>
      <c r="AA234" s="364"/>
      <c r="AB234" s="364"/>
      <c r="AC234" s="364"/>
      <c r="AD234" s="364"/>
    </row>
    <row r="235">
      <c r="A235" s="391" t="s">
        <v>127</v>
      </c>
      <c r="B235" s="392" t="s">
        <v>128</v>
      </c>
      <c r="C235" s="365" t="s">
        <v>3358</v>
      </c>
      <c r="D235" s="365" t="s">
        <v>3359</v>
      </c>
      <c r="E235" s="365" t="s">
        <v>3360</v>
      </c>
      <c r="F235" s="365" t="s">
        <v>2964</v>
      </c>
      <c r="G235" s="365" t="s">
        <v>3361</v>
      </c>
      <c r="H235" s="365" t="s">
        <v>3346</v>
      </c>
      <c r="I235" s="365" t="s">
        <v>3347</v>
      </c>
      <c r="J235" s="365" t="s">
        <v>3362</v>
      </c>
      <c r="K235" s="364"/>
      <c r="L235" s="364"/>
      <c r="M235" s="365" t="s">
        <v>2969</v>
      </c>
      <c r="N235" s="401">
        <v>45718.0</v>
      </c>
      <c r="O235" s="388" t="s">
        <v>2294</v>
      </c>
      <c r="P235" s="365" t="s">
        <v>3365</v>
      </c>
      <c r="Q235" s="365" t="s">
        <v>2964</v>
      </c>
      <c r="R235" s="365" t="s">
        <v>2594</v>
      </c>
      <c r="S235" s="365" t="s">
        <v>2594</v>
      </c>
      <c r="T235" s="364"/>
      <c r="U235" s="364"/>
      <c r="V235" s="364"/>
      <c r="W235" s="364"/>
      <c r="X235" s="364"/>
      <c r="Y235" s="364"/>
      <c r="Z235" s="364"/>
      <c r="AA235" s="364"/>
      <c r="AB235" s="364"/>
      <c r="AC235" s="364"/>
      <c r="AD235" s="364"/>
    </row>
    <row r="236">
      <c r="A236" s="391" t="s">
        <v>127</v>
      </c>
      <c r="B236" s="392" t="s">
        <v>128</v>
      </c>
      <c r="C236" s="365" t="s">
        <v>3358</v>
      </c>
      <c r="D236" s="365" t="s">
        <v>3359</v>
      </c>
      <c r="E236" s="365" t="s">
        <v>3360</v>
      </c>
      <c r="F236" s="365" t="s">
        <v>2964</v>
      </c>
      <c r="G236" s="365" t="s">
        <v>3361</v>
      </c>
      <c r="H236" s="365" t="s">
        <v>3346</v>
      </c>
      <c r="I236" s="365" t="s">
        <v>3347</v>
      </c>
      <c r="J236" s="365" t="s">
        <v>3362</v>
      </c>
      <c r="K236" s="364"/>
      <c r="L236" s="364"/>
      <c r="M236" s="365" t="s">
        <v>2969</v>
      </c>
      <c r="N236" s="401">
        <v>45749.0</v>
      </c>
      <c r="O236" s="388" t="s">
        <v>2289</v>
      </c>
      <c r="P236" s="365" t="s">
        <v>3366</v>
      </c>
      <c r="Q236" s="365" t="s">
        <v>2964</v>
      </c>
      <c r="R236" s="365" t="s">
        <v>2594</v>
      </c>
      <c r="S236" s="365" t="s">
        <v>2594</v>
      </c>
      <c r="T236" s="364"/>
      <c r="U236" s="364"/>
      <c r="V236" s="364"/>
      <c r="W236" s="364"/>
      <c r="X236" s="364"/>
      <c r="Y236" s="364"/>
      <c r="Z236" s="364"/>
      <c r="AA236" s="364"/>
      <c r="AB236" s="364"/>
      <c r="AC236" s="364"/>
      <c r="AD236" s="364"/>
    </row>
    <row r="237">
      <c r="A237" s="391" t="s">
        <v>127</v>
      </c>
      <c r="B237" s="392" t="s">
        <v>128</v>
      </c>
      <c r="C237" s="365" t="s">
        <v>3358</v>
      </c>
      <c r="D237" s="365" t="s">
        <v>3359</v>
      </c>
      <c r="E237" s="365" t="s">
        <v>3360</v>
      </c>
      <c r="F237" s="365" t="s">
        <v>2964</v>
      </c>
      <c r="G237" s="365" t="s">
        <v>3361</v>
      </c>
      <c r="H237" s="365" t="s">
        <v>3346</v>
      </c>
      <c r="I237" s="365" t="s">
        <v>3347</v>
      </c>
      <c r="J237" s="365" t="s">
        <v>3362</v>
      </c>
      <c r="K237" s="364"/>
      <c r="L237" s="364"/>
      <c r="M237" s="365" t="s">
        <v>2969</v>
      </c>
      <c r="N237" s="401">
        <v>45779.0</v>
      </c>
      <c r="O237" s="388" t="s">
        <v>2289</v>
      </c>
      <c r="P237" s="365" t="s">
        <v>3367</v>
      </c>
      <c r="Q237" s="365" t="s">
        <v>2964</v>
      </c>
      <c r="R237" s="365" t="s">
        <v>2594</v>
      </c>
      <c r="S237" s="365" t="s">
        <v>2594</v>
      </c>
      <c r="T237" s="364"/>
      <c r="U237" s="364"/>
      <c r="V237" s="364"/>
      <c r="W237" s="364"/>
      <c r="X237" s="364"/>
      <c r="Y237" s="364"/>
      <c r="Z237" s="364"/>
      <c r="AA237" s="364"/>
      <c r="AB237" s="364"/>
      <c r="AC237" s="364"/>
      <c r="AD237" s="364"/>
    </row>
    <row r="238">
      <c r="A238" s="391" t="s">
        <v>127</v>
      </c>
      <c r="B238" s="392" t="s">
        <v>128</v>
      </c>
      <c r="C238" s="365" t="s">
        <v>3358</v>
      </c>
      <c r="D238" s="365" t="s">
        <v>3359</v>
      </c>
      <c r="E238" s="365" t="s">
        <v>3360</v>
      </c>
      <c r="F238" s="365" t="s">
        <v>2964</v>
      </c>
      <c r="G238" s="365" t="s">
        <v>3361</v>
      </c>
      <c r="H238" s="365" t="s">
        <v>3346</v>
      </c>
      <c r="I238" s="365" t="s">
        <v>3347</v>
      </c>
      <c r="J238" s="365" t="s">
        <v>3362</v>
      </c>
      <c r="K238" s="364"/>
      <c r="L238" s="364"/>
      <c r="M238" s="365" t="s">
        <v>2969</v>
      </c>
      <c r="N238" s="401">
        <v>45810.0</v>
      </c>
      <c r="O238" s="388" t="s">
        <v>2294</v>
      </c>
      <c r="P238" s="365" t="s">
        <v>3368</v>
      </c>
      <c r="Q238" s="365" t="s">
        <v>2964</v>
      </c>
      <c r="R238" s="365" t="s">
        <v>2594</v>
      </c>
      <c r="S238" s="365" t="s">
        <v>2594</v>
      </c>
      <c r="T238" s="364"/>
      <c r="U238" s="364"/>
      <c r="V238" s="364"/>
      <c r="W238" s="364"/>
      <c r="X238" s="364"/>
      <c r="Y238" s="364"/>
      <c r="Z238" s="364"/>
      <c r="AA238" s="364"/>
      <c r="AB238" s="364"/>
      <c r="AC238" s="364"/>
      <c r="AD238" s="364"/>
    </row>
    <row r="239">
      <c r="A239" s="391" t="s">
        <v>127</v>
      </c>
      <c r="B239" s="392" t="s">
        <v>128</v>
      </c>
      <c r="C239" s="365" t="s">
        <v>3358</v>
      </c>
      <c r="D239" s="365" t="s">
        <v>3359</v>
      </c>
      <c r="E239" s="365" t="s">
        <v>3360</v>
      </c>
      <c r="F239" s="365" t="s">
        <v>2964</v>
      </c>
      <c r="G239" s="365" t="s">
        <v>3361</v>
      </c>
      <c r="H239" s="365" t="s">
        <v>3346</v>
      </c>
      <c r="I239" s="365" t="s">
        <v>3347</v>
      </c>
      <c r="J239" s="365" t="s">
        <v>3362</v>
      </c>
      <c r="K239" s="364"/>
      <c r="L239" s="364"/>
      <c r="M239" s="365" t="s">
        <v>2969</v>
      </c>
      <c r="N239" s="401">
        <v>45840.0</v>
      </c>
      <c r="O239" s="388" t="s">
        <v>2289</v>
      </c>
      <c r="P239" s="365" t="s">
        <v>3369</v>
      </c>
      <c r="Q239" s="365" t="s">
        <v>2964</v>
      </c>
      <c r="R239" s="365" t="s">
        <v>2594</v>
      </c>
      <c r="S239" s="365" t="s">
        <v>2594</v>
      </c>
      <c r="T239" s="364"/>
      <c r="U239" s="364"/>
      <c r="V239" s="364"/>
      <c r="W239" s="364"/>
      <c r="X239" s="364"/>
      <c r="Y239" s="364"/>
      <c r="Z239" s="364"/>
      <c r="AA239" s="364"/>
      <c r="AB239" s="364"/>
      <c r="AC239" s="364"/>
      <c r="AD239" s="364"/>
    </row>
    <row r="240">
      <c r="A240" s="391" t="s">
        <v>127</v>
      </c>
      <c r="B240" s="392" t="s">
        <v>128</v>
      </c>
      <c r="C240" s="365" t="s">
        <v>3358</v>
      </c>
      <c r="D240" s="365" t="s">
        <v>3359</v>
      </c>
      <c r="E240" s="365" t="s">
        <v>3360</v>
      </c>
      <c r="F240" s="365" t="s">
        <v>2964</v>
      </c>
      <c r="G240" s="365" t="s">
        <v>3361</v>
      </c>
      <c r="H240" s="365" t="s">
        <v>3346</v>
      </c>
      <c r="I240" s="365" t="s">
        <v>3347</v>
      </c>
      <c r="J240" s="365" t="s">
        <v>3362</v>
      </c>
      <c r="K240" s="364"/>
      <c r="L240" s="364"/>
      <c r="M240" s="365" t="s">
        <v>2969</v>
      </c>
      <c r="N240" s="401">
        <v>45871.0</v>
      </c>
      <c r="O240" s="388" t="s">
        <v>2289</v>
      </c>
      <c r="P240" s="365" t="s">
        <v>3370</v>
      </c>
      <c r="Q240" s="365" t="s">
        <v>2964</v>
      </c>
      <c r="R240" s="365" t="s">
        <v>2594</v>
      </c>
      <c r="S240" s="365" t="s">
        <v>2594</v>
      </c>
      <c r="T240" s="364"/>
      <c r="U240" s="364"/>
      <c r="V240" s="364"/>
      <c r="W240" s="364"/>
      <c r="X240" s="364"/>
      <c r="Y240" s="364"/>
      <c r="Z240" s="364"/>
      <c r="AA240" s="364"/>
      <c r="AB240" s="364"/>
      <c r="AC240" s="364"/>
      <c r="AD240" s="364"/>
    </row>
    <row r="241">
      <c r="A241" s="391" t="s">
        <v>127</v>
      </c>
      <c r="B241" s="392" t="s">
        <v>128</v>
      </c>
      <c r="C241" s="365" t="s">
        <v>3358</v>
      </c>
      <c r="D241" s="365" t="s">
        <v>3359</v>
      </c>
      <c r="E241" s="365" t="s">
        <v>3360</v>
      </c>
      <c r="F241" s="365" t="s">
        <v>2964</v>
      </c>
      <c r="G241" s="365" t="s">
        <v>3361</v>
      </c>
      <c r="H241" s="365" t="s">
        <v>3346</v>
      </c>
      <c r="I241" s="365" t="s">
        <v>3347</v>
      </c>
      <c r="J241" s="365" t="s">
        <v>3362</v>
      </c>
      <c r="K241" s="364"/>
      <c r="L241" s="364"/>
      <c r="M241" s="365" t="s">
        <v>2969</v>
      </c>
      <c r="N241" s="401">
        <v>45902.0</v>
      </c>
      <c r="O241" s="388" t="s">
        <v>2294</v>
      </c>
      <c r="P241" s="365" t="s">
        <v>3371</v>
      </c>
      <c r="Q241" s="365" t="s">
        <v>2964</v>
      </c>
      <c r="R241" s="365" t="s">
        <v>2594</v>
      </c>
      <c r="S241" s="365" t="s">
        <v>2594</v>
      </c>
      <c r="T241" s="364"/>
      <c r="U241" s="364"/>
      <c r="V241" s="364"/>
      <c r="W241" s="364"/>
      <c r="X241" s="364"/>
      <c r="Y241" s="364"/>
      <c r="Z241" s="364"/>
      <c r="AA241" s="364"/>
      <c r="AB241" s="364"/>
      <c r="AC241" s="364"/>
      <c r="AD241" s="364"/>
    </row>
    <row r="242">
      <c r="A242" s="391" t="s">
        <v>127</v>
      </c>
      <c r="B242" s="392" t="s">
        <v>128</v>
      </c>
      <c r="C242" s="365" t="s">
        <v>3372</v>
      </c>
      <c r="D242" s="365" t="s">
        <v>3373</v>
      </c>
      <c r="E242" s="365" t="s">
        <v>3374</v>
      </c>
      <c r="F242" s="365" t="s">
        <v>2964</v>
      </c>
      <c r="G242" s="365" t="s">
        <v>3375</v>
      </c>
      <c r="H242" s="365" t="s">
        <v>3346</v>
      </c>
      <c r="I242" s="365" t="s">
        <v>3347</v>
      </c>
      <c r="J242" s="365" t="s">
        <v>3376</v>
      </c>
      <c r="K242" s="364"/>
      <c r="L242" s="364"/>
      <c r="M242" s="365" t="s">
        <v>2969</v>
      </c>
      <c r="N242" s="401">
        <v>45660.0</v>
      </c>
      <c r="O242" s="388" t="s">
        <v>2289</v>
      </c>
      <c r="P242" s="365" t="s">
        <v>3377</v>
      </c>
      <c r="Q242" s="365" t="s">
        <v>2964</v>
      </c>
      <c r="R242" s="365" t="s">
        <v>2594</v>
      </c>
      <c r="S242" s="365" t="s">
        <v>2594</v>
      </c>
      <c r="T242" s="364"/>
      <c r="U242" s="364"/>
      <c r="V242" s="364"/>
      <c r="W242" s="364"/>
      <c r="X242" s="364"/>
      <c r="Y242" s="364"/>
      <c r="Z242" s="364"/>
      <c r="AA242" s="364"/>
      <c r="AB242" s="364"/>
      <c r="AC242" s="364"/>
      <c r="AD242" s="364"/>
    </row>
    <row r="243">
      <c r="A243" s="391" t="s">
        <v>127</v>
      </c>
      <c r="B243" s="392" t="s">
        <v>128</v>
      </c>
      <c r="C243" s="365" t="s">
        <v>3372</v>
      </c>
      <c r="D243" s="365" t="s">
        <v>3373</v>
      </c>
      <c r="E243" s="365" t="s">
        <v>3374</v>
      </c>
      <c r="F243" s="365" t="s">
        <v>2964</v>
      </c>
      <c r="G243" s="365" t="s">
        <v>3375</v>
      </c>
      <c r="H243" s="365" t="s">
        <v>3346</v>
      </c>
      <c r="I243" s="365" t="s">
        <v>3347</v>
      </c>
      <c r="J243" s="365" t="s">
        <v>3376</v>
      </c>
      <c r="K243" s="364"/>
      <c r="L243" s="364"/>
      <c r="M243" s="365" t="s">
        <v>2969</v>
      </c>
      <c r="N243" s="401">
        <v>45691.0</v>
      </c>
      <c r="O243" s="388" t="s">
        <v>2289</v>
      </c>
      <c r="P243" s="365" t="s">
        <v>3378</v>
      </c>
      <c r="Q243" s="365" t="s">
        <v>2964</v>
      </c>
      <c r="R243" s="365" t="s">
        <v>2594</v>
      </c>
      <c r="S243" s="365" t="s">
        <v>2594</v>
      </c>
      <c r="T243" s="364"/>
      <c r="U243" s="364"/>
      <c r="V243" s="364"/>
      <c r="W243" s="364"/>
      <c r="X243" s="364"/>
      <c r="Y243" s="364"/>
      <c r="Z243" s="364"/>
      <c r="AA243" s="364"/>
      <c r="AB243" s="364"/>
      <c r="AC243" s="364"/>
      <c r="AD243" s="364"/>
    </row>
    <row r="244">
      <c r="A244" s="391" t="s">
        <v>127</v>
      </c>
      <c r="B244" s="392" t="s">
        <v>128</v>
      </c>
      <c r="C244" s="365" t="s">
        <v>3372</v>
      </c>
      <c r="D244" s="365" t="s">
        <v>3373</v>
      </c>
      <c r="E244" s="365" t="s">
        <v>3374</v>
      </c>
      <c r="F244" s="365" t="s">
        <v>2964</v>
      </c>
      <c r="G244" s="365" t="s">
        <v>3375</v>
      </c>
      <c r="H244" s="365" t="s">
        <v>3346</v>
      </c>
      <c r="I244" s="365" t="s">
        <v>3347</v>
      </c>
      <c r="J244" s="365" t="s">
        <v>3376</v>
      </c>
      <c r="K244" s="364"/>
      <c r="L244" s="364"/>
      <c r="M244" s="365" t="s">
        <v>2969</v>
      </c>
      <c r="N244" s="401">
        <v>45719.0</v>
      </c>
      <c r="O244" s="388" t="s">
        <v>2294</v>
      </c>
      <c r="P244" s="365" t="s">
        <v>3379</v>
      </c>
      <c r="Q244" s="365" t="s">
        <v>2964</v>
      </c>
      <c r="R244" s="365" t="s">
        <v>2594</v>
      </c>
      <c r="S244" s="365" t="s">
        <v>2594</v>
      </c>
      <c r="T244" s="364"/>
      <c r="U244" s="364"/>
      <c r="V244" s="364"/>
      <c r="W244" s="364"/>
      <c r="X244" s="364"/>
      <c r="Y244" s="364"/>
      <c r="Z244" s="364"/>
      <c r="AA244" s="364"/>
      <c r="AB244" s="364"/>
      <c r="AC244" s="364"/>
      <c r="AD244" s="364"/>
    </row>
    <row r="245">
      <c r="A245" s="391" t="s">
        <v>127</v>
      </c>
      <c r="B245" s="392" t="s">
        <v>128</v>
      </c>
      <c r="C245" s="365" t="s">
        <v>3372</v>
      </c>
      <c r="D245" s="365" t="s">
        <v>3373</v>
      </c>
      <c r="E245" s="365" t="s">
        <v>3374</v>
      </c>
      <c r="F245" s="365" t="s">
        <v>2964</v>
      </c>
      <c r="G245" s="365" t="s">
        <v>3375</v>
      </c>
      <c r="H245" s="365" t="s">
        <v>3346</v>
      </c>
      <c r="I245" s="365" t="s">
        <v>3347</v>
      </c>
      <c r="J245" s="365" t="s">
        <v>3376</v>
      </c>
      <c r="K245" s="364"/>
      <c r="L245" s="364"/>
      <c r="M245" s="365" t="s">
        <v>2969</v>
      </c>
      <c r="N245" s="401">
        <v>45750.0</v>
      </c>
      <c r="O245" s="388" t="s">
        <v>2289</v>
      </c>
      <c r="P245" s="365" t="s">
        <v>3380</v>
      </c>
      <c r="Q245" s="365" t="s">
        <v>2964</v>
      </c>
      <c r="R245" s="365" t="s">
        <v>2594</v>
      </c>
      <c r="S245" s="365" t="s">
        <v>2594</v>
      </c>
      <c r="T245" s="364"/>
      <c r="U245" s="364"/>
      <c r="V245" s="364"/>
      <c r="W245" s="364"/>
      <c r="X245" s="364"/>
      <c r="Y245" s="364"/>
      <c r="Z245" s="364"/>
      <c r="AA245" s="364"/>
      <c r="AB245" s="364"/>
      <c r="AC245" s="364"/>
      <c r="AD245" s="364"/>
    </row>
    <row r="246">
      <c r="A246" s="391" t="s">
        <v>127</v>
      </c>
      <c r="B246" s="392" t="s">
        <v>128</v>
      </c>
      <c r="C246" s="365" t="s">
        <v>3372</v>
      </c>
      <c r="D246" s="365" t="s">
        <v>3373</v>
      </c>
      <c r="E246" s="365" t="s">
        <v>3374</v>
      </c>
      <c r="F246" s="365" t="s">
        <v>2964</v>
      </c>
      <c r="G246" s="365" t="s">
        <v>3375</v>
      </c>
      <c r="H246" s="365" t="s">
        <v>3346</v>
      </c>
      <c r="I246" s="365" t="s">
        <v>3347</v>
      </c>
      <c r="J246" s="365" t="s">
        <v>3376</v>
      </c>
      <c r="K246" s="364"/>
      <c r="L246" s="364"/>
      <c r="M246" s="365" t="s">
        <v>2969</v>
      </c>
      <c r="N246" s="401">
        <v>45780.0</v>
      </c>
      <c r="O246" s="388" t="s">
        <v>2289</v>
      </c>
      <c r="P246" s="365" t="s">
        <v>3381</v>
      </c>
      <c r="Q246" s="365" t="s">
        <v>2964</v>
      </c>
      <c r="R246" s="365" t="s">
        <v>2594</v>
      </c>
      <c r="S246" s="365" t="s">
        <v>2594</v>
      </c>
      <c r="T246" s="364"/>
      <c r="U246" s="364"/>
      <c r="V246" s="364"/>
      <c r="W246" s="364"/>
      <c r="X246" s="364"/>
      <c r="Y246" s="364"/>
      <c r="Z246" s="364"/>
      <c r="AA246" s="364"/>
      <c r="AB246" s="364"/>
      <c r="AC246" s="364"/>
      <c r="AD246" s="364"/>
    </row>
    <row r="247">
      <c r="A247" s="391" t="s">
        <v>127</v>
      </c>
      <c r="B247" s="392" t="s">
        <v>128</v>
      </c>
      <c r="C247" s="365" t="s">
        <v>3372</v>
      </c>
      <c r="D247" s="365" t="s">
        <v>3373</v>
      </c>
      <c r="E247" s="365" t="s">
        <v>3374</v>
      </c>
      <c r="F247" s="365" t="s">
        <v>2964</v>
      </c>
      <c r="G247" s="365" t="s">
        <v>3375</v>
      </c>
      <c r="H247" s="365" t="s">
        <v>3346</v>
      </c>
      <c r="I247" s="365" t="s">
        <v>3347</v>
      </c>
      <c r="J247" s="365" t="s">
        <v>3376</v>
      </c>
      <c r="K247" s="364"/>
      <c r="L247" s="364"/>
      <c r="M247" s="365" t="s">
        <v>2969</v>
      </c>
      <c r="N247" s="401">
        <v>45811.0</v>
      </c>
      <c r="O247" s="388" t="s">
        <v>2294</v>
      </c>
      <c r="P247" s="365" t="s">
        <v>3382</v>
      </c>
      <c r="Q247" s="365" t="s">
        <v>2964</v>
      </c>
      <c r="R247" s="365" t="s">
        <v>2594</v>
      </c>
      <c r="S247" s="365" t="s">
        <v>2594</v>
      </c>
      <c r="T247" s="364"/>
      <c r="U247" s="364"/>
      <c r="V247" s="364"/>
      <c r="W247" s="364"/>
      <c r="X247" s="364"/>
      <c r="Y247" s="364"/>
      <c r="Z247" s="364"/>
      <c r="AA247" s="364"/>
      <c r="AB247" s="364"/>
      <c r="AC247" s="364"/>
      <c r="AD247" s="364"/>
    </row>
    <row r="248">
      <c r="A248" s="391" t="s">
        <v>127</v>
      </c>
      <c r="B248" s="392" t="s">
        <v>128</v>
      </c>
      <c r="C248" s="365" t="s">
        <v>3372</v>
      </c>
      <c r="D248" s="365" t="s">
        <v>3373</v>
      </c>
      <c r="E248" s="365" t="s">
        <v>3374</v>
      </c>
      <c r="F248" s="365" t="s">
        <v>2964</v>
      </c>
      <c r="G248" s="365" t="s">
        <v>3375</v>
      </c>
      <c r="H248" s="365" t="s">
        <v>3346</v>
      </c>
      <c r="I248" s="365" t="s">
        <v>3347</v>
      </c>
      <c r="J248" s="365" t="s">
        <v>3376</v>
      </c>
      <c r="K248" s="364"/>
      <c r="L248" s="364"/>
      <c r="M248" s="365" t="s">
        <v>2969</v>
      </c>
      <c r="N248" s="401">
        <v>45841.0</v>
      </c>
      <c r="O248" s="388" t="s">
        <v>2289</v>
      </c>
      <c r="P248" s="365" t="s">
        <v>3383</v>
      </c>
      <c r="Q248" s="365" t="s">
        <v>2964</v>
      </c>
      <c r="R248" s="365" t="s">
        <v>2594</v>
      </c>
      <c r="S248" s="365" t="s">
        <v>2594</v>
      </c>
      <c r="T248" s="364"/>
      <c r="U248" s="364"/>
      <c r="V248" s="364"/>
      <c r="W248" s="364"/>
      <c r="X248" s="364"/>
      <c r="Y248" s="364"/>
      <c r="Z248" s="364"/>
      <c r="AA248" s="364"/>
      <c r="AB248" s="364"/>
      <c r="AC248" s="364"/>
      <c r="AD248" s="364"/>
    </row>
    <row r="249">
      <c r="A249" s="391" t="s">
        <v>127</v>
      </c>
      <c r="B249" s="392" t="s">
        <v>128</v>
      </c>
      <c r="C249" s="365" t="s">
        <v>3372</v>
      </c>
      <c r="D249" s="365" t="s">
        <v>3373</v>
      </c>
      <c r="E249" s="365" t="s">
        <v>3374</v>
      </c>
      <c r="F249" s="365" t="s">
        <v>2964</v>
      </c>
      <c r="G249" s="365" t="s">
        <v>3375</v>
      </c>
      <c r="H249" s="365" t="s">
        <v>3346</v>
      </c>
      <c r="I249" s="365" t="s">
        <v>3347</v>
      </c>
      <c r="J249" s="365" t="s">
        <v>3376</v>
      </c>
      <c r="K249" s="364"/>
      <c r="L249" s="364"/>
      <c r="M249" s="365" t="s">
        <v>2969</v>
      </c>
      <c r="N249" s="401">
        <v>45872.0</v>
      </c>
      <c r="O249" s="388" t="s">
        <v>2289</v>
      </c>
      <c r="P249" s="365" t="s">
        <v>3384</v>
      </c>
      <c r="Q249" s="365" t="s">
        <v>2964</v>
      </c>
      <c r="R249" s="365" t="s">
        <v>2594</v>
      </c>
      <c r="S249" s="365" t="s">
        <v>2594</v>
      </c>
      <c r="T249" s="364"/>
      <c r="U249" s="364"/>
      <c r="V249" s="364"/>
      <c r="W249" s="364"/>
      <c r="X249" s="364"/>
      <c r="Y249" s="364"/>
      <c r="Z249" s="364"/>
      <c r="AA249" s="364"/>
      <c r="AB249" s="364"/>
      <c r="AC249" s="364"/>
      <c r="AD249" s="364"/>
    </row>
    <row r="250">
      <c r="A250" s="391" t="s">
        <v>127</v>
      </c>
      <c r="B250" s="392" t="s">
        <v>128</v>
      </c>
      <c r="C250" s="365" t="s">
        <v>3372</v>
      </c>
      <c r="D250" s="365" t="s">
        <v>3373</v>
      </c>
      <c r="E250" s="365" t="s">
        <v>3374</v>
      </c>
      <c r="F250" s="365" t="s">
        <v>2964</v>
      </c>
      <c r="G250" s="365" t="s">
        <v>3375</v>
      </c>
      <c r="H250" s="365" t="s">
        <v>3346</v>
      </c>
      <c r="I250" s="365" t="s">
        <v>3347</v>
      </c>
      <c r="J250" s="365" t="s">
        <v>3376</v>
      </c>
      <c r="K250" s="364"/>
      <c r="L250" s="364"/>
      <c r="M250" s="365" t="s">
        <v>2969</v>
      </c>
      <c r="N250" s="401">
        <v>45903.0</v>
      </c>
      <c r="O250" s="388" t="s">
        <v>2294</v>
      </c>
      <c r="P250" s="365" t="s">
        <v>3385</v>
      </c>
      <c r="Q250" s="365" t="s">
        <v>2964</v>
      </c>
      <c r="R250" s="365" t="s">
        <v>2594</v>
      </c>
      <c r="S250" s="365" t="s">
        <v>2594</v>
      </c>
      <c r="T250" s="364"/>
      <c r="U250" s="364"/>
      <c r="V250" s="364"/>
      <c r="W250" s="364"/>
      <c r="X250" s="364"/>
      <c r="Y250" s="364"/>
      <c r="Z250" s="364"/>
      <c r="AA250" s="364"/>
      <c r="AB250" s="364"/>
      <c r="AC250" s="364"/>
      <c r="AD250" s="364"/>
    </row>
    <row r="251">
      <c r="A251" s="391" t="s">
        <v>127</v>
      </c>
      <c r="B251" s="392" t="s">
        <v>128</v>
      </c>
      <c r="C251" s="365" t="s">
        <v>3386</v>
      </c>
      <c r="D251" s="365" t="s">
        <v>3387</v>
      </c>
      <c r="E251" s="365" t="s">
        <v>3388</v>
      </c>
      <c r="F251" s="365" t="s">
        <v>2964</v>
      </c>
      <c r="G251" s="365" t="s">
        <v>3389</v>
      </c>
      <c r="H251" s="365" t="s">
        <v>3346</v>
      </c>
      <c r="I251" s="365" t="s">
        <v>3347</v>
      </c>
      <c r="J251" s="365" t="s">
        <v>3390</v>
      </c>
      <c r="K251" s="364"/>
      <c r="L251" s="364"/>
      <c r="M251" s="365" t="s">
        <v>2969</v>
      </c>
      <c r="N251" s="401">
        <v>45661.0</v>
      </c>
      <c r="O251" s="388" t="s">
        <v>2289</v>
      </c>
      <c r="P251" s="365" t="s">
        <v>3391</v>
      </c>
      <c r="Q251" s="365" t="s">
        <v>2964</v>
      </c>
      <c r="R251" s="365" t="s">
        <v>2594</v>
      </c>
      <c r="S251" s="365" t="s">
        <v>2594</v>
      </c>
      <c r="T251" s="364"/>
      <c r="U251" s="364"/>
      <c r="V251" s="364"/>
      <c r="W251" s="364"/>
      <c r="X251" s="364"/>
      <c r="Y251" s="364"/>
      <c r="Z251" s="364"/>
      <c r="AA251" s="364"/>
      <c r="AB251" s="364"/>
      <c r="AC251" s="364"/>
      <c r="AD251" s="364"/>
    </row>
    <row r="252">
      <c r="A252" s="391" t="s">
        <v>127</v>
      </c>
      <c r="B252" s="392" t="s">
        <v>128</v>
      </c>
      <c r="C252" s="365" t="s">
        <v>3386</v>
      </c>
      <c r="D252" s="365" t="s">
        <v>3387</v>
      </c>
      <c r="E252" s="365" t="s">
        <v>3388</v>
      </c>
      <c r="F252" s="365" t="s">
        <v>2964</v>
      </c>
      <c r="G252" s="365" t="s">
        <v>3389</v>
      </c>
      <c r="H252" s="365" t="s">
        <v>3346</v>
      </c>
      <c r="I252" s="365" t="s">
        <v>3347</v>
      </c>
      <c r="J252" s="365" t="s">
        <v>3390</v>
      </c>
      <c r="K252" s="364"/>
      <c r="L252" s="364"/>
      <c r="M252" s="365" t="s">
        <v>2969</v>
      </c>
      <c r="N252" s="401">
        <v>45692.0</v>
      </c>
      <c r="O252" s="388" t="s">
        <v>2289</v>
      </c>
      <c r="P252" s="365" t="s">
        <v>3392</v>
      </c>
      <c r="Q252" s="365" t="s">
        <v>2964</v>
      </c>
      <c r="R252" s="365" t="s">
        <v>2594</v>
      </c>
      <c r="S252" s="365" t="s">
        <v>2594</v>
      </c>
      <c r="T252" s="364"/>
      <c r="U252" s="364"/>
      <c r="V252" s="364"/>
      <c r="W252" s="364"/>
      <c r="X252" s="364"/>
      <c r="Y252" s="364"/>
      <c r="Z252" s="364"/>
      <c r="AA252" s="364"/>
      <c r="AB252" s="364"/>
      <c r="AC252" s="364"/>
      <c r="AD252" s="364"/>
    </row>
    <row r="253">
      <c r="A253" s="391" t="s">
        <v>127</v>
      </c>
      <c r="B253" s="392" t="s">
        <v>128</v>
      </c>
      <c r="C253" s="365" t="s">
        <v>3386</v>
      </c>
      <c r="D253" s="365" t="s">
        <v>3387</v>
      </c>
      <c r="E253" s="365" t="s">
        <v>3388</v>
      </c>
      <c r="F253" s="365" t="s">
        <v>2964</v>
      </c>
      <c r="G253" s="365" t="s">
        <v>3389</v>
      </c>
      <c r="H253" s="365" t="s">
        <v>3346</v>
      </c>
      <c r="I253" s="365" t="s">
        <v>3347</v>
      </c>
      <c r="J253" s="365" t="s">
        <v>3390</v>
      </c>
      <c r="K253" s="364"/>
      <c r="L253" s="364"/>
      <c r="M253" s="365" t="s">
        <v>2969</v>
      </c>
      <c r="N253" s="401">
        <v>45720.0</v>
      </c>
      <c r="O253" s="388" t="s">
        <v>2294</v>
      </c>
      <c r="P253" s="365" t="s">
        <v>3393</v>
      </c>
      <c r="Q253" s="365" t="s">
        <v>2964</v>
      </c>
      <c r="R253" s="365" t="s">
        <v>2594</v>
      </c>
      <c r="S253" s="365" t="s">
        <v>2594</v>
      </c>
      <c r="T253" s="364"/>
      <c r="U253" s="364"/>
      <c r="V253" s="364"/>
      <c r="W253" s="364"/>
      <c r="X253" s="364"/>
      <c r="Y253" s="364"/>
      <c r="Z253" s="364"/>
      <c r="AA253" s="364"/>
      <c r="AB253" s="364"/>
      <c r="AC253" s="364"/>
      <c r="AD253" s="364"/>
    </row>
    <row r="254">
      <c r="A254" s="391" t="s">
        <v>127</v>
      </c>
      <c r="B254" s="392" t="s">
        <v>128</v>
      </c>
      <c r="C254" s="365" t="s">
        <v>3386</v>
      </c>
      <c r="D254" s="365" t="s">
        <v>3387</v>
      </c>
      <c r="E254" s="365" t="s">
        <v>3388</v>
      </c>
      <c r="F254" s="365" t="s">
        <v>2964</v>
      </c>
      <c r="G254" s="365" t="s">
        <v>3389</v>
      </c>
      <c r="H254" s="365" t="s">
        <v>3346</v>
      </c>
      <c r="I254" s="365" t="s">
        <v>3347</v>
      </c>
      <c r="J254" s="365" t="s">
        <v>3390</v>
      </c>
      <c r="K254" s="364"/>
      <c r="L254" s="364"/>
      <c r="M254" s="365" t="s">
        <v>2969</v>
      </c>
      <c r="N254" s="401">
        <v>45751.0</v>
      </c>
      <c r="O254" s="388" t="s">
        <v>2289</v>
      </c>
      <c r="P254" s="365" t="s">
        <v>3394</v>
      </c>
      <c r="Q254" s="365" t="s">
        <v>2964</v>
      </c>
      <c r="R254" s="365" t="s">
        <v>2594</v>
      </c>
      <c r="S254" s="365" t="s">
        <v>2594</v>
      </c>
      <c r="T254" s="364"/>
      <c r="U254" s="364"/>
      <c r="V254" s="364"/>
      <c r="W254" s="364"/>
      <c r="X254" s="364"/>
      <c r="Y254" s="364"/>
      <c r="Z254" s="364"/>
      <c r="AA254" s="364"/>
      <c r="AB254" s="364"/>
      <c r="AC254" s="364"/>
      <c r="AD254" s="364"/>
    </row>
    <row r="255">
      <c r="A255" s="391" t="s">
        <v>127</v>
      </c>
      <c r="B255" s="392" t="s">
        <v>128</v>
      </c>
      <c r="C255" s="365" t="s">
        <v>3386</v>
      </c>
      <c r="D255" s="365" t="s">
        <v>3387</v>
      </c>
      <c r="E255" s="365" t="s">
        <v>3388</v>
      </c>
      <c r="F255" s="365" t="s">
        <v>2964</v>
      </c>
      <c r="G255" s="365" t="s">
        <v>3389</v>
      </c>
      <c r="H255" s="365" t="s">
        <v>3346</v>
      </c>
      <c r="I255" s="365" t="s">
        <v>3347</v>
      </c>
      <c r="J255" s="365" t="s">
        <v>3390</v>
      </c>
      <c r="K255" s="364"/>
      <c r="L255" s="364"/>
      <c r="M255" s="365" t="s">
        <v>2969</v>
      </c>
      <c r="N255" s="401">
        <v>45781.0</v>
      </c>
      <c r="O255" s="388" t="s">
        <v>2289</v>
      </c>
      <c r="P255" s="365" t="s">
        <v>3395</v>
      </c>
      <c r="Q255" s="365" t="s">
        <v>2964</v>
      </c>
      <c r="R255" s="365" t="s">
        <v>2594</v>
      </c>
      <c r="S255" s="365" t="s">
        <v>2594</v>
      </c>
      <c r="T255" s="364"/>
      <c r="U255" s="364"/>
      <c r="V255" s="364"/>
      <c r="W255" s="364"/>
      <c r="X255" s="364"/>
      <c r="Y255" s="364"/>
      <c r="Z255" s="364"/>
      <c r="AA255" s="364"/>
      <c r="AB255" s="364"/>
      <c r="AC255" s="364"/>
      <c r="AD255" s="364"/>
    </row>
    <row r="256">
      <c r="A256" s="391" t="s">
        <v>127</v>
      </c>
      <c r="B256" s="392" t="s">
        <v>128</v>
      </c>
      <c r="C256" s="365" t="s">
        <v>3386</v>
      </c>
      <c r="D256" s="365" t="s">
        <v>3387</v>
      </c>
      <c r="E256" s="365" t="s">
        <v>3388</v>
      </c>
      <c r="F256" s="365" t="s">
        <v>2964</v>
      </c>
      <c r="G256" s="365" t="s">
        <v>3389</v>
      </c>
      <c r="H256" s="365" t="s">
        <v>3346</v>
      </c>
      <c r="I256" s="365" t="s">
        <v>3347</v>
      </c>
      <c r="J256" s="365" t="s">
        <v>3390</v>
      </c>
      <c r="K256" s="364"/>
      <c r="L256" s="364"/>
      <c r="M256" s="365" t="s">
        <v>2969</v>
      </c>
      <c r="N256" s="401">
        <v>45812.0</v>
      </c>
      <c r="O256" s="388" t="s">
        <v>2294</v>
      </c>
      <c r="P256" s="365" t="s">
        <v>3396</v>
      </c>
      <c r="Q256" s="365" t="s">
        <v>2964</v>
      </c>
      <c r="R256" s="365" t="s">
        <v>2594</v>
      </c>
      <c r="S256" s="365" t="s">
        <v>2594</v>
      </c>
      <c r="T256" s="364"/>
      <c r="U256" s="364"/>
      <c r="V256" s="364"/>
      <c r="W256" s="364"/>
      <c r="X256" s="364"/>
      <c r="Y256" s="364"/>
      <c r="Z256" s="364"/>
      <c r="AA256" s="364"/>
      <c r="AB256" s="364"/>
      <c r="AC256" s="364"/>
      <c r="AD256" s="364"/>
    </row>
    <row r="257">
      <c r="A257" s="391" t="s">
        <v>127</v>
      </c>
      <c r="B257" s="392" t="s">
        <v>128</v>
      </c>
      <c r="C257" s="365" t="s">
        <v>3386</v>
      </c>
      <c r="D257" s="365" t="s">
        <v>3387</v>
      </c>
      <c r="E257" s="365" t="s">
        <v>3388</v>
      </c>
      <c r="F257" s="365" t="s">
        <v>2964</v>
      </c>
      <c r="G257" s="365" t="s">
        <v>3389</v>
      </c>
      <c r="H257" s="365" t="s">
        <v>3346</v>
      </c>
      <c r="I257" s="365" t="s">
        <v>3347</v>
      </c>
      <c r="J257" s="365" t="s">
        <v>3390</v>
      </c>
      <c r="K257" s="364"/>
      <c r="L257" s="364"/>
      <c r="M257" s="365" t="s">
        <v>2969</v>
      </c>
      <c r="N257" s="401">
        <v>45842.0</v>
      </c>
      <c r="O257" s="388" t="s">
        <v>2289</v>
      </c>
      <c r="P257" s="365" t="s">
        <v>3397</v>
      </c>
      <c r="Q257" s="365" t="s">
        <v>2964</v>
      </c>
      <c r="R257" s="365" t="s">
        <v>2594</v>
      </c>
      <c r="S257" s="365" t="s">
        <v>2594</v>
      </c>
      <c r="T257" s="364"/>
      <c r="U257" s="364"/>
      <c r="V257" s="364"/>
      <c r="W257" s="364"/>
      <c r="X257" s="364"/>
      <c r="Y257" s="364"/>
      <c r="Z257" s="364"/>
      <c r="AA257" s="364"/>
      <c r="AB257" s="364"/>
      <c r="AC257" s="364"/>
      <c r="AD257" s="364"/>
    </row>
    <row r="258">
      <c r="A258" s="391" t="s">
        <v>127</v>
      </c>
      <c r="B258" s="392" t="s">
        <v>128</v>
      </c>
      <c r="C258" s="365" t="s">
        <v>3386</v>
      </c>
      <c r="D258" s="365" t="s">
        <v>3387</v>
      </c>
      <c r="E258" s="365" t="s">
        <v>3388</v>
      </c>
      <c r="F258" s="365" t="s">
        <v>2964</v>
      </c>
      <c r="G258" s="365" t="s">
        <v>3389</v>
      </c>
      <c r="H258" s="365" t="s">
        <v>3346</v>
      </c>
      <c r="I258" s="365" t="s">
        <v>3347</v>
      </c>
      <c r="J258" s="365" t="s">
        <v>3390</v>
      </c>
      <c r="K258" s="364"/>
      <c r="L258" s="364"/>
      <c r="M258" s="365" t="s">
        <v>2969</v>
      </c>
      <c r="N258" s="401">
        <v>45873.0</v>
      </c>
      <c r="O258" s="388" t="s">
        <v>2289</v>
      </c>
      <c r="P258" s="365" t="s">
        <v>3398</v>
      </c>
      <c r="Q258" s="365" t="s">
        <v>2964</v>
      </c>
      <c r="R258" s="365" t="s">
        <v>2594</v>
      </c>
      <c r="S258" s="365" t="s">
        <v>2594</v>
      </c>
      <c r="T258" s="364"/>
      <c r="U258" s="364"/>
      <c r="V258" s="364"/>
      <c r="W258" s="364"/>
      <c r="X258" s="364"/>
      <c r="Y258" s="364"/>
      <c r="Z258" s="364"/>
      <c r="AA258" s="364"/>
      <c r="AB258" s="364"/>
      <c r="AC258" s="364"/>
      <c r="AD258" s="364"/>
    </row>
    <row r="259">
      <c r="A259" s="391" t="s">
        <v>127</v>
      </c>
      <c r="B259" s="392" t="s">
        <v>128</v>
      </c>
      <c r="C259" s="365" t="s">
        <v>3386</v>
      </c>
      <c r="D259" s="365" t="s">
        <v>3387</v>
      </c>
      <c r="E259" s="365" t="s">
        <v>3388</v>
      </c>
      <c r="F259" s="365" t="s">
        <v>2964</v>
      </c>
      <c r="G259" s="365" t="s">
        <v>3389</v>
      </c>
      <c r="H259" s="365" t="s">
        <v>3346</v>
      </c>
      <c r="I259" s="365" t="s">
        <v>3347</v>
      </c>
      <c r="J259" s="365" t="s">
        <v>3390</v>
      </c>
      <c r="K259" s="364"/>
      <c r="L259" s="364"/>
      <c r="M259" s="365" t="s">
        <v>2969</v>
      </c>
      <c r="N259" s="401">
        <v>45904.0</v>
      </c>
      <c r="O259" s="388" t="s">
        <v>2294</v>
      </c>
      <c r="P259" s="365" t="s">
        <v>3399</v>
      </c>
      <c r="Q259" s="365" t="s">
        <v>2964</v>
      </c>
      <c r="R259" s="365" t="s">
        <v>2594</v>
      </c>
      <c r="S259" s="365" t="s">
        <v>2594</v>
      </c>
      <c r="T259" s="364"/>
      <c r="U259" s="364"/>
      <c r="V259" s="364"/>
      <c r="W259" s="364"/>
      <c r="X259" s="364"/>
      <c r="Y259" s="364"/>
      <c r="Z259" s="364"/>
      <c r="AA259" s="364"/>
      <c r="AB259" s="364"/>
      <c r="AC259" s="364"/>
      <c r="AD259" s="364"/>
    </row>
    <row r="260">
      <c r="A260" s="391" t="s">
        <v>127</v>
      </c>
      <c r="B260" s="392" t="s">
        <v>128</v>
      </c>
      <c r="C260" s="365" t="s">
        <v>3400</v>
      </c>
      <c r="D260" s="365" t="s">
        <v>3401</v>
      </c>
      <c r="E260" s="365" t="s">
        <v>3402</v>
      </c>
      <c r="F260" s="365" t="s">
        <v>2964</v>
      </c>
      <c r="G260" s="365" t="s">
        <v>3403</v>
      </c>
      <c r="H260" s="365" t="s">
        <v>3346</v>
      </c>
      <c r="I260" s="365" t="s">
        <v>3347</v>
      </c>
      <c r="J260" s="365" t="s">
        <v>3404</v>
      </c>
      <c r="K260" s="364"/>
      <c r="L260" s="364"/>
      <c r="M260" s="365" t="s">
        <v>2969</v>
      </c>
      <c r="N260" s="401">
        <v>45662.0</v>
      </c>
      <c r="O260" s="388" t="s">
        <v>2289</v>
      </c>
      <c r="P260" s="365" t="s">
        <v>3405</v>
      </c>
      <c r="Q260" s="365" t="s">
        <v>2964</v>
      </c>
      <c r="R260" s="365" t="s">
        <v>2594</v>
      </c>
      <c r="S260" s="365" t="s">
        <v>2594</v>
      </c>
      <c r="T260" s="364"/>
      <c r="U260" s="364"/>
      <c r="V260" s="364"/>
      <c r="W260" s="364"/>
      <c r="X260" s="364"/>
      <c r="Y260" s="364"/>
      <c r="Z260" s="364"/>
      <c r="AA260" s="364"/>
      <c r="AB260" s="364"/>
      <c r="AC260" s="364"/>
      <c r="AD260" s="364"/>
    </row>
    <row r="261">
      <c r="A261" s="391" t="s">
        <v>127</v>
      </c>
      <c r="B261" s="392" t="s">
        <v>128</v>
      </c>
      <c r="C261" s="365" t="s">
        <v>3400</v>
      </c>
      <c r="D261" s="365" t="s">
        <v>3401</v>
      </c>
      <c r="E261" s="365" t="s">
        <v>3402</v>
      </c>
      <c r="F261" s="365" t="s">
        <v>2964</v>
      </c>
      <c r="G261" s="365" t="s">
        <v>3403</v>
      </c>
      <c r="H261" s="365" t="s">
        <v>3346</v>
      </c>
      <c r="I261" s="365" t="s">
        <v>3347</v>
      </c>
      <c r="J261" s="365" t="s">
        <v>3404</v>
      </c>
      <c r="K261" s="364"/>
      <c r="L261" s="364"/>
      <c r="M261" s="365" t="s">
        <v>2969</v>
      </c>
      <c r="N261" s="401">
        <v>45693.0</v>
      </c>
      <c r="O261" s="388" t="s">
        <v>2294</v>
      </c>
      <c r="P261" s="365" t="s">
        <v>3406</v>
      </c>
      <c r="Q261" s="365" t="s">
        <v>2964</v>
      </c>
      <c r="R261" s="365" t="s">
        <v>2594</v>
      </c>
      <c r="S261" s="365" t="s">
        <v>2594</v>
      </c>
      <c r="T261" s="364"/>
      <c r="U261" s="364"/>
      <c r="V261" s="364"/>
      <c r="W261" s="364"/>
      <c r="X261" s="364"/>
      <c r="Y261" s="364"/>
      <c r="Z261" s="364"/>
      <c r="AA261" s="364"/>
      <c r="AB261" s="364"/>
      <c r="AC261" s="364"/>
      <c r="AD261" s="364"/>
    </row>
    <row r="262">
      <c r="A262" s="391" t="s">
        <v>127</v>
      </c>
      <c r="B262" s="392" t="s">
        <v>128</v>
      </c>
      <c r="C262" s="365" t="s">
        <v>3400</v>
      </c>
      <c r="D262" s="365" t="s">
        <v>3401</v>
      </c>
      <c r="E262" s="365" t="s">
        <v>3402</v>
      </c>
      <c r="F262" s="365" t="s">
        <v>2964</v>
      </c>
      <c r="G262" s="365" t="s">
        <v>3403</v>
      </c>
      <c r="H262" s="365" t="s">
        <v>3346</v>
      </c>
      <c r="I262" s="365" t="s">
        <v>3347</v>
      </c>
      <c r="J262" s="365" t="s">
        <v>3404</v>
      </c>
      <c r="K262" s="364"/>
      <c r="L262" s="364"/>
      <c r="M262" s="365" t="s">
        <v>2969</v>
      </c>
      <c r="N262" s="401">
        <v>45721.0</v>
      </c>
      <c r="O262" s="388" t="s">
        <v>2289</v>
      </c>
      <c r="P262" s="365" t="s">
        <v>3407</v>
      </c>
      <c r="Q262" s="365" t="s">
        <v>2964</v>
      </c>
      <c r="R262" s="365" t="s">
        <v>2594</v>
      </c>
      <c r="S262" s="365" t="s">
        <v>2594</v>
      </c>
      <c r="T262" s="364"/>
      <c r="U262" s="364"/>
      <c r="V262" s="364"/>
      <c r="W262" s="364"/>
      <c r="X262" s="364"/>
      <c r="Y262" s="364"/>
      <c r="Z262" s="364"/>
      <c r="AA262" s="364"/>
      <c r="AB262" s="364"/>
      <c r="AC262" s="364"/>
      <c r="AD262" s="364"/>
    </row>
    <row r="263">
      <c r="A263" s="391" t="s">
        <v>127</v>
      </c>
      <c r="B263" s="392" t="s">
        <v>128</v>
      </c>
      <c r="C263" s="365" t="s">
        <v>3400</v>
      </c>
      <c r="D263" s="365" t="s">
        <v>3401</v>
      </c>
      <c r="E263" s="365" t="s">
        <v>3402</v>
      </c>
      <c r="F263" s="365" t="s">
        <v>2964</v>
      </c>
      <c r="G263" s="365" t="s">
        <v>3403</v>
      </c>
      <c r="H263" s="365" t="s">
        <v>3346</v>
      </c>
      <c r="I263" s="365" t="s">
        <v>3347</v>
      </c>
      <c r="J263" s="365" t="s">
        <v>3404</v>
      </c>
      <c r="K263" s="364"/>
      <c r="L263" s="364"/>
      <c r="M263" s="365" t="s">
        <v>2969</v>
      </c>
      <c r="N263" s="401">
        <v>45752.0</v>
      </c>
      <c r="O263" s="388" t="s">
        <v>2289</v>
      </c>
      <c r="P263" s="365" t="s">
        <v>3408</v>
      </c>
      <c r="Q263" s="365" t="s">
        <v>2964</v>
      </c>
      <c r="R263" s="365" t="s">
        <v>2594</v>
      </c>
      <c r="S263" s="365" t="s">
        <v>2594</v>
      </c>
      <c r="T263" s="364"/>
      <c r="U263" s="364"/>
      <c r="V263" s="364"/>
      <c r="W263" s="364"/>
      <c r="X263" s="364"/>
      <c r="Y263" s="364"/>
      <c r="Z263" s="364"/>
      <c r="AA263" s="364"/>
      <c r="AB263" s="364"/>
      <c r="AC263" s="364"/>
      <c r="AD263" s="364"/>
    </row>
    <row r="264">
      <c r="A264" s="391" t="s">
        <v>127</v>
      </c>
      <c r="B264" s="392" t="s">
        <v>128</v>
      </c>
      <c r="C264" s="365" t="s">
        <v>3400</v>
      </c>
      <c r="D264" s="365" t="s">
        <v>3401</v>
      </c>
      <c r="E264" s="365" t="s">
        <v>3402</v>
      </c>
      <c r="F264" s="365" t="s">
        <v>2964</v>
      </c>
      <c r="G264" s="365" t="s">
        <v>3403</v>
      </c>
      <c r="H264" s="365" t="s">
        <v>3346</v>
      </c>
      <c r="I264" s="365" t="s">
        <v>3347</v>
      </c>
      <c r="J264" s="365" t="s">
        <v>3404</v>
      </c>
      <c r="K264" s="364"/>
      <c r="L264" s="364"/>
      <c r="M264" s="365" t="s">
        <v>2969</v>
      </c>
      <c r="N264" s="401">
        <v>45782.0</v>
      </c>
      <c r="O264" s="388" t="s">
        <v>2294</v>
      </c>
      <c r="P264" s="365" t="s">
        <v>3409</v>
      </c>
      <c r="Q264" s="365" t="s">
        <v>2964</v>
      </c>
      <c r="R264" s="365" t="s">
        <v>2594</v>
      </c>
      <c r="S264" s="365" t="s">
        <v>2594</v>
      </c>
      <c r="T264" s="364"/>
      <c r="U264" s="364"/>
      <c r="V264" s="364"/>
      <c r="W264" s="364"/>
      <c r="X264" s="364"/>
      <c r="Y264" s="364"/>
      <c r="Z264" s="364"/>
      <c r="AA264" s="364"/>
      <c r="AB264" s="364"/>
      <c r="AC264" s="364"/>
      <c r="AD264" s="364"/>
    </row>
    <row r="265">
      <c r="A265" s="391" t="s">
        <v>127</v>
      </c>
      <c r="B265" s="392" t="s">
        <v>128</v>
      </c>
      <c r="C265" s="365" t="s">
        <v>3400</v>
      </c>
      <c r="D265" s="365" t="s">
        <v>3401</v>
      </c>
      <c r="E265" s="365" t="s">
        <v>3402</v>
      </c>
      <c r="F265" s="365" t="s">
        <v>2964</v>
      </c>
      <c r="G265" s="365" t="s">
        <v>3403</v>
      </c>
      <c r="H265" s="365" t="s">
        <v>3346</v>
      </c>
      <c r="I265" s="365" t="s">
        <v>3347</v>
      </c>
      <c r="J265" s="365" t="s">
        <v>3404</v>
      </c>
      <c r="K265" s="364"/>
      <c r="L265" s="364"/>
      <c r="M265" s="365" t="s">
        <v>2969</v>
      </c>
      <c r="N265" s="401">
        <v>45813.0</v>
      </c>
      <c r="O265" s="388" t="s">
        <v>2289</v>
      </c>
      <c r="P265" s="365" t="s">
        <v>3410</v>
      </c>
      <c r="Q265" s="365" t="s">
        <v>2964</v>
      </c>
      <c r="R265" s="365" t="s">
        <v>2594</v>
      </c>
      <c r="S265" s="365" t="s">
        <v>2594</v>
      </c>
      <c r="T265" s="364"/>
      <c r="U265" s="364"/>
      <c r="V265" s="364"/>
      <c r="W265" s="364"/>
      <c r="X265" s="364"/>
      <c r="Y265" s="364"/>
      <c r="Z265" s="364"/>
      <c r="AA265" s="364"/>
      <c r="AB265" s="364"/>
      <c r="AC265" s="364"/>
      <c r="AD265" s="364"/>
    </row>
    <row r="266">
      <c r="A266" s="391" t="s">
        <v>127</v>
      </c>
      <c r="B266" s="392" t="s">
        <v>128</v>
      </c>
      <c r="C266" s="365" t="s">
        <v>3400</v>
      </c>
      <c r="D266" s="365" t="s">
        <v>3401</v>
      </c>
      <c r="E266" s="365" t="s">
        <v>3402</v>
      </c>
      <c r="F266" s="365" t="s">
        <v>2964</v>
      </c>
      <c r="G266" s="365" t="s">
        <v>3403</v>
      </c>
      <c r="H266" s="365" t="s">
        <v>3346</v>
      </c>
      <c r="I266" s="365" t="s">
        <v>3347</v>
      </c>
      <c r="J266" s="365" t="s">
        <v>3404</v>
      </c>
      <c r="K266" s="364"/>
      <c r="L266" s="364"/>
      <c r="M266" s="365" t="s">
        <v>2969</v>
      </c>
      <c r="N266" s="401">
        <v>45843.0</v>
      </c>
      <c r="O266" s="388" t="s">
        <v>2289</v>
      </c>
      <c r="P266" s="365" t="s">
        <v>3411</v>
      </c>
      <c r="Q266" s="365" t="s">
        <v>2964</v>
      </c>
      <c r="R266" s="365" t="s">
        <v>2594</v>
      </c>
      <c r="S266" s="365" t="s">
        <v>2594</v>
      </c>
      <c r="T266" s="364"/>
      <c r="U266" s="364"/>
      <c r="V266" s="364"/>
      <c r="W266" s="364"/>
      <c r="X266" s="364"/>
      <c r="Y266" s="364"/>
      <c r="Z266" s="364"/>
      <c r="AA266" s="364"/>
      <c r="AB266" s="364"/>
      <c r="AC266" s="364"/>
      <c r="AD266" s="364"/>
    </row>
    <row r="267">
      <c r="A267" s="391" t="s">
        <v>127</v>
      </c>
      <c r="B267" s="392" t="s">
        <v>128</v>
      </c>
      <c r="C267" s="365" t="s">
        <v>3400</v>
      </c>
      <c r="D267" s="365" t="s">
        <v>3401</v>
      </c>
      <c r="E267" s="365" t="s">
        <v>3402</v>
      </c>
      <c r="F267" s="365" t="s">
        <v>2964</v>
      </c>
      <c r="G267" s="365" t="s">
        <v>3403</v>
      </c>
      <c r="H267" s="365" t="s">
        <v>3346</v>
      </c>
      <c r="I267" s="365" t="s">
        <v>3347</v>
      </c>
      <c r="J267" s="365" t="s">
        <v>3404</v>
      </c>
      <c r="K267" s="364"/>
      <c r="L267" s="364"/>
      <c r="M267" s="365" t="s">
        <v>2969</v>
      </c>
      <c r="N267" s="401">
        <v>45874.0</v>
      </c>
      <c r="O267" s="388" t="s">
        <v>2294</v>
      </c>
      <c r="P267" s="365" t="s">
        <v>3412</v>
      </c>
      <c r="Q267" s="365" t="s">
        <v>2964</v>
      </c>
      <c r="R267" s="365" t="s">
        <v>2594</v>
      </c>
      <c r="S267" s="365" t="s">
        <v>2594</v>
      </c>
      <c r="T267" s="364"/>
      <c r="U267" s="364"/>
      <c r="V267" s="364"/>
      <c r="W267" s="364"/>
      <c r="X267" s="364"/>
      <c r="Y267" s="364"/>
      <c r="Z267" s="364"/>
      <c r="AA267" s="364"/>
      <c r="AB267" s="364"/>
      <c r="AC267" s="364"/>
      <c r="AD267" s="364"/>
    </row>
    <row r="268">
      <c r="A268" s="391" t="s">
        <v>127</v>
      </c>
      <c r="B268" s="392" t="s">
        <v>128</v>
      </c>
      <c r="C268" s="365" t="s">
        <v>3413</v>
      </c>
      <c r="D268" s="365" t="s">
        <v>3414</v>
      </c>
      <c r="E268" s="365" t="s">
        <v>3415</v>
      </c>
      <c r="F268" s="365" t="s">
        <v>2964</v>
      </c>
      <c r="G268" s="365" t="s">
        <v>3416</v>
      </c>
      <c r="H268" s="365" t="s">
        <v>3346</v>
      </c>
      <c r="I268" s="365" t="s">
        <v>3347</v>
      </c>
      <c r="J268" s="365" t="s">
        <v>3417</v>
      </c>
      <c r="K268" s="364"/>
      <c r="L268" s="364"/>
      <c r="M268" s="365" t="s">
        <v>2969</v>
      </c>
      <c r="N268" s="401">
        <v>45663.0</v>
      </c>
      <c r="O268" s="388" t="s">
        <v>2289</v>
      </c>
      <c r="P268" s="365" t="s">
        <v>3418</v>
      </c>
      <c r="Q268" s="365" t="s">
        <v>2964</v>
      </c>
      <c r="R268" s="365" t="s">
        <v>2594</v>
      </c>
      <c r="S268" s="365" t="s">
        <v>2594</v>
      </c>
      <c r="T268" s="364"/>
      <c r="U268" s="364"/>
      <c r="V268" s="364"/>
      <c r="W268" s="364"/>
      <c r="X268" s="364"/>
      <c r="Y268" s="364"/>
      <c r="Z268" s="364"/>
      <c r="AA268" s="364"/>
      <c r="AB268" s="364"/>
      <c r="AC268" s="364"/>
      <c r="AD268" s="364"/>
    </row>
    <row r="269">
      <c r="A269" s="391" t="s">
        <v>127</v>
      </c>
      <c r="B269" s="392" t="s">
        <v>128</v>
      </c>
      <c r="C269" s="365" t="s">
        <v>3413</v>
      </c>
      <c r="D269" s="365" t="s">
        <v>3414</v>
      </c>
      <c r="E269" s="365" t="s">
        <v>3415</v>
      </c>
      <c r="F269" s="365" t="s">
        <v>2964</v>
      </c>
      <c r="G269" s="365" t="s">
        <v>3416</v>
      </c>
      <c r="H269" s="365" t="s">
        <v>3346</v>
      </c>
      <c r="I269" s="365" t="s">
        <v>3347</v>
      </c>
      <c r="J269" s="365" t="s">
        <v>3417</v>
      </c>
      <c r="K269" s="364"/>
      <c r="L269" s="364"/>
      <c r="M269" s="365" t="s">
        <v>2969</v>
      </c>
      <c r="N269" s="401">
        <v>45694.0</v>
      </c>
      <c r="O269" s="388" t="s">
        <v>2294</v>
      </c>
      <c r="P269" s="365" t="s">
        <v>3419</v>
      </c>
      <c r="Q269" s="365" t="s">
        <v>2964</v>
      </c>
      <c r="R269" s="365" t="s">
        <v>2594</v>
      </c>
      <c r="S269" s="365" t="s">
        <v>2594</v>
      </c>
      <c r="T269" s="364"/>
      <c r="U269" s="364"/>
      <c r="V269" s="364"/>
      <c r="W269" s="364"/>
      <c r="X269" s="364"/>
      <c r="Y269" s="364"/>
      <c r="Z269" s="364"/>
      <c r="AA269" s="364"/>
      <c r="AB269" s="364"/>
      <c r="AC269" s="364"/>
      <c r="AD269" s="364"/>
    </row>
    <row r="270">
      <c r="A270" s="391" t="s">
        <v>127</v>
      </c>
      <c r="B270" s="392" t="s">
        <v>128</v>
      </c>
      <c r="C270" s="365" t="s">
        <v>3413</v>
      </c>
      <c r="D270" s="365" t="s">
        <v>3414</v>
      </c>
      <c r="E270" s="365" t="s">
        <v>3415</v>
      </c>
      <c r="F270" s="365" t="s">
        <v>2964</v>
      </c>
      <c r="G270" s="365" t="s">
        <v>3416</v>
      </c>
      <c r="H270" s="365" t="s">
        <v>3346</v>
      </c>
      <c r="I270" s="365" t="s">
        <v>3347</v>
      </c>
      <c r="J270" s="365" t="s">
        <v>3417</v>
      </c>
      <c r="K270" s="364"/>
      <c r="L270" s="364"/>
      <c r="M270" s="365" t="s">
        <v>2969</v>
      </c>
      <c r="N270" s="401">
        <v>45722.0</v>
      </c>
      <c r="O270" s="388" t="s">
        <v>2289</v>
      </c>
      <c r="P270" s="365" t="s">
        <v>3420</v>
      </c>
      <c r="Q270" s="365" t="s">
        <v>2964</v>
      </c>
      <c r="R270" s="365" t="s">
        <v>2594</v>
      </c>
      <c r="S270" s="365" t="s">
        <v>2594</v>
      </c>
      <c r="T270" s="364"/>
      <c r="U270" s="364"/>
      <c r="V270" s="364"/>
      <c r="W270" s="364"/>
      <c r="X270" s="364"/>
      <c r="Y270" s="364"/>
      <c r="Z270" s="364"/>
      <c r="AA270" s="364"/>
      <c r="AB270" s="364"/>
      <c r="AC270" s="364"/>
      <c r="AD270" s="364"/>
    </row>
    <row r="271">
      <c r="A271" s="391" t="s">
        <v>127</v>
      </c>
      <c r="B271" s="392" t="s">
        <v>128</v>
      </c>
      <c r="C271" s="365" t="s">
        <v>3413</v>
      </c>
      <c r="D271" s="365" t="s">
        <v>3414</v>
      </c>
      <c r="E271" s="365" t="s">
        <v>3415</v>
      </c>
      <c r="F271" s="365" t="s">
        <v>2964</v>
      </c>
      <c r="G271" s="365" t="s">
        <v>3416</v>
      </c>
      <c r="H271" s="365" t="s">
        <v>3346</v>
      </c>
      <c r="I271" s="365" t="s">
        <v>3347</v>
      </c>
      <c r="J271" s="365" t="s">
        <v>3417</v>
      </c>
      <c r="K271" s="364"/>
      <c r="L271" s="364"/>
      <c r="M271" s="365" t="s">
        <v>2969</v>
      </c>
      <c r="N271" s="401">
        <v>45753.0</v>
      </c>
      <c r="O271" s="388" t="s">
        <v>2289</v>
      </c>
      <c r="P271" s="365" t="s">
        <v>3421</v>
      </c>
      <c r="Q271" s="365" t="s">
        <v>2964</v>
      </c>
      <c r="R271" s="365" t="s">
        <v>2594</v>
      </c>
      <c r="S271" s="365" t="s">
        <v>2594</v>
      </c>
      <c r="T271" s="364"/>
      <c r="U271" s="364"/>
      <c r="V271" s="364"/>
      <c r="W271" s="364"/>
      <c r="X271" s="364"/>
      <c r="Y271" s="364"/>
      <c r="Z271" s="364"/>
      <c r="AA271" s="364"/>
      <c r="AB271" s="364"/>
      <c r="AC271" s="364"/>
      <c r="AD271" s="364"/>
    </row>
    <row r="272">
      <c r="A272" s="391" t="s">
        <v>127</v>
      </c>
      <c r="B272" s="392" t="s">
        <v>128</v>
      </c>
      <c r="C272" s="365" t="s">
        <v>3413</v>
      </c>
      <c r="D272" s="365" t="s">
        <v>3414</v>
      </c>
      <c r="E272" s="365" t="s">
        <v>3415</v>
      </c>
      <c r="F272" s="365" t="s">
        <v>2964</v>
      </c>
      <c r="G272" s="365" t="s">
        <v>3416</v>
      </c>
      <c r="H272" s="365" t="s">
        <v>3346</v>
      </c>
      <c r="I272" s="365" t="s">
        <v>3347</v>
      </c>
      <c r="J272" s="365" t="s">
        <v>3417</v>
      </c>
      <c r="K272" s="364"/>
      <c r="L272" s="364"/>
      <c r="M272" s="365" t="s">
        <v>2969</v>
      </c>
      <c r="N272" s="401">
        <v>45783.0</v>
      </c>
      <c r="O272" s="388" t="s">
        <v>2294</v>
      </c>
      <c r="P272" s="365" t="s">
        <v>3422</v>
      </c>
      <c r="Q272" s="365" t="s">
        <v>2964</v>
      </c>
      <c r="R272" s="365" t="s">
        <v>2594</v>
      </c>
      <c r="S272" s="365" t="s">
        <v>2594</v>
      </c>
      <c r="T272" s="364"/>
      <c r="U272" s="364"/>
      <c r="V272" s="364"/>
      <c r="W272" s="364"/>
      <c r="X272" s="364"/>
      <c r="Y272" s="364"/>
      <c r="Z272" s="364"/>
      <c r="AA272" s="364"/>
      <c r="AB272" s="364"/>
      <c r="AC272" s="364"/>
      <c r="AD272" s="364"/>
    </row>
    <row r="273">
      <c r="A273" s="391" t="s">
        <v>127</v>
      </c>
      <c r="B273" s="392" t="s">
        <v>128</v>
      </c>
      <c r="C273" s="365" t="s">
        <v>3413</v>
      </c>
      <c r="D273" s="365" t="s">
        <v>3414</v>
      </c>
      <c r="E273" s="365" t="s">
        <v>3415</v>
      </c>
      <c r="F273" s="365" t="s">
        <v>2964</v>
      </c>
      <c r="G273" s="365" t="s">
        <v>3416</v>
      </c>
      <c r="H273" s="365" t="s">
        <v>3346</v>
      </c>
      <c r="I273" s="365" t="s">
        <v>3347</v>
      </c>
      <c r="J273" s="365" t="s">
        <v>3417</v>
      </c>
      <c r="K273" s="364"/>
      <c r="L273" s="364"/>
      <c r="M273" s="365" t="s">
        <v>2969</v>
      </c>
      <c r="N273" s="401">
        <v>45814.0</v>
      </c>
      <c r="O273" s="388" t="s">
        <v>2289</v>
      </c>
      <c r="P273" s="365" t="s">
        <v>3423</v>
      </c>
      <c r="Q273" s="365" t="s">
        <v>2964</v>
      </c>
      <c r="R273" s="365" t="s">
        <v>2594</v>
      </c>
      <c r="S273" s="365" t="s">
        <v>2594</v>
      </c>
      <c r="T273" s="364"/>
      <c r="U273" s="364"/>
      <c r="V273" s="364"/>
      <c r="W273" s="364"/>
      <c r="X273" s="364"/>
      <c r="Y273" s="364"/>
      <c r="Z273" s="364"/>
      <c r="AA273" s="364"/>
      <c r="AB273" s="364"/>
      <c r="AC273" s="364"/>
      <c r="AD273" s="364"/>
    </row>
    <row r="274">
      <c r="A274" s="391" t="s">
        <v>127</v>
      </c>
      <c r="B274" s="392" t="s">
        <v>128</v>
      </c>
      <c r="C274" s="365" t="s">
        <v>3413</v>
      </c>
      <c r="D274" s="365" t="s">
        <v>3414</v>
      </c>
      <c r="E274" s="365" t="s">
        <v>3415</v>
      </c>
      <c r="F274" s="365" t="s">
        <v>2964</v>
      </c>
      <c r="G274" s="365" t="s">
        <v>3416</v>
      </c>
      <c r="H274" s="365" t="s">
        <v>3346</v>
      </c>
      <c r="I274" s="365" t="s">
        <v>3347</v>
      </c>
      <c r="J274" s="365" t="s">
        <v>3417</v>
      </c>
      <c r="K274" s="364"/>
      <c r="L274" s="364"/>
      <c r="M274" s="365" t="s">
        <v>2969</v>
      </c>
      <c r="N274" s="401">
        <v>45844.0</v>
      </c>
      <c r="O274" s="388" t="s">
        <v>2289</v>
      </c>
      <c r="P274" s="365" t="s">
        <v>3424</v>
      </c>
      <c r="Q274" s="365" t="s">
        <v>2964</v>
      </c>
      <c r="R274" s="365" t="s">
        <v>2594</v>
      </c>
      <c r="S274" s="365" t="s">
        <v>2594</v>
      </c>
      <c r="T274" s="364"/>
      <c r="U274" s="364"/>
      <c r="V274" s="364"/>
      <c r="W274" s="364"/>
      <c r="X274" s="364"/>
      <c r="Y274" s="364"/>
      <c r="Z274" s="364"/>
      <c r="AA274" s="364"/>
      <c r="AB274" s="364"/>
      <c r="AC274" s="364"/>
      <c r="AD274" s="364"/>
    </row>
    <row r="275">
      <c r="A275" s="391" t="s">
        <v>127</v>
      </c>
      <c r="B275" s="392" t="s">
        <v>128</v>
      </c>
      <c r="C275" s="365" t="s">
        <v>3413</v>
      </c>
      <c r="D275" s="365" t="s">
        <v>3414</v>
      </c>
      <c r="E275" s="365" t="s">
        <v>3415</v>
      </c>
      <c r="F275" s="365" t="s">
        <v>2964</v>
      </c>
      <c r="G275" s="365" t="s">
        <v>3416</v>
      </c>
      <c r="H275" s="365" t="s">
        <v>3346</v>
      </c>
      <c r="I275" s="365" t="s">
        <v>3347</v>
      </c>
      <c r="J275" s="365" t="s">
        <v>3417</v>
      </c>
      <c r="K275" s="364"/>
      <c r="L275" s="364"/>
      <c r="M275" s="365" t="s">
        <v>2969</v>
      </c>
      <c r="N275" s="401">
        <v>45875.0</v>
      </c>
      <c r="O275" s="388" t="s">
        <v>2294</v>
      </c>
      <c r="P275" s="365" t="s">
        <v>3425</v>
      </c>
      <c r="Q275" s="365" t="s">
        <v>2964</v>
      </c>
      <c r="R275" s="365" t="s">
        <v>2594</v>
      </c>
      <c r="S275" s="365" t="s">
        <v>2594</v>
      </c>
      <c r="T275" s="364"/>
      <c r="U275" s="364"/>
      <c r="V275" s="364"/>
      <c r="W275" s="364"/>
      <c r="X275" s="364"/>
      <c r="Y275" s="364"/>
      <c r="Z275" s="364"/>
      <c r="AA275" s="364"/>
      <c r="AB275" s="364"/>
      <c r="AC275" s="364"/>
      <c r="AD275" s="364"/>
    </row>
    <row r="276">
      <c r="A276" s="391" t="s">
        <v>127</v>
      </c>
      <c r="B276" s="392" t="s">
        <v>128</v>
      </c>
      <c r="C276" s="365" t="s">
        <v>3426</v>
      </c>
      <c r="D276" s="365" t="s">
        <v>3427</v>
      </c>
      <c r="E276" s="365" t="s">
        <v>3428</v>
      </c>
      <c r="F276" s="365" t="s">
        <v>2964</v>
      </c>
      <c r="G276" s="365" t="s">
        <v>3429</v>
      </c>
      <c r="H276" s="365" t="s">
        <v>3346</v>
      </c>
      <c r="I276" s="365" t="s">
        <v>3347</v>
      </c>
      <c r="J276" s="365" t="s">
        <v>3430</v>
      </c>
      <c r="K276" s="364"/>
      <c r="L276" s="364"/>
      <c r="M276" s="365" t="s">
        <v>2969</v>
      </c>
      <c r="N276" s="401">
        <v>45664.0</v>
      </c>
      <c r="O276" s="388" t="s">
        <v>2289</v>
      </c>
      <c r="P276" s="365" t="s">
        <v>3431</v>
      </c>
      <c r="Q276" s="365" t="s">
        <v>2964</v>
      </c>
      <c r="R276" s="365" t="s">
        <v>2594</v>
      </c>
      <c r="S276" s="365" t="s">
        <v>2594</v>
      </c>
      <c r="T276" s="364"/>
      <c r="U276" s="364"/>
      <c r="V276" s="364"/>
      <c r="W276" s="364"/>
      <c r="X276" s="364"/>
      <c r="Y276" s="364"/>
      <c r="Z276" s="364"/>
      <c r="AA276" s="364"/>
      <c r="AB276" s="364"/>
      <c r="AC276" s="364"/>
      <c r="AD276" s="364"/>
    </row>
    <row r="277">
      <c r="A277" s="391" t="s">
        <v>127</v>
      </c>
      <c r="B277" s="392" t="s">
        <v>128</v>
      </c>
      <c r="C277" s="365" t="s">
        <v>3426</v>
      </c>
      <c r="D277" s="365" t="s">
        <v>3427</v>
      </c>
      <c r="E277" s="365" t="s">
        <v>3428</v>
      </c>
      <c r="F277" s="365" t="s">
        <v>2964</v>
      </c>
      <c r="G277" s="365" t="s">
        <v>3429</v>
      </c>
      <c r="H277" s="365" t="s">
        <v>3346</v>
      </c>
      <c r="I277" s="365" t="s">
        <v>3347</v>
      </c>
      <c r="J277" s="365" t="s">
        <v>3430</v>
      </c>
      <c r="K277" s="364"/>
      <c r="L277" s="364"/>
      <c r="M277" s="365" t="s">
        <v>2969</v>
      </c>
      <c r="N277" s="401">
        <v>45695.0</v>
      </c>
      <c r="O277" s="388" t="s">
        <v>2294</v>
      </c>
      <c r="P277" s="365" t="s">
        <v>3432</v>
      </c>
      <c r="Q277" s="365" t="s">
        <v>2964</v>
      </c>
      <c r="R277" s="365" t="s">
        <v>2594</v>
      </c>
      <c r="S277" s="365" t="s">
        <v>2594</v>
      </c>
      <c r="T277" s="364"/>
      <c r="U277" s="364"/>
      <c r="V277" s="364"/>
      <c r="W277" s="364"/>
      <c r="X277" s="364"/>
      <c r="Y277" s="364"/>
      <c r="Z277" s="364"/>
      <c r="AA277" s="364"/>
      <c r="AB277" s="364"/>
      <c r="AC277" s="364"/>
      <c r="AD277" s="364"/>
    </row>
    <row r="278">
      <c r="A278" s="391" t="s">
        <v>127</v>
      </c>
      <c r="B278" s="392" t="s">
        <v>128</v>
      </c>
      <c r="C278" s="365" t="s">
        <v>3426</v>
      </c>
      <c r="D278" s="365" t="s">
        <v>3427</v>
      </c>
      <c r="E278" s="365" t="s">
        <v>3428</v>
      </c>
      <c r="F278" s="365" t="s">
        <v>2964</v>
      </c>
      <c r="G278" s="365" t="s">
        <v>3429</v>
      </c>
      <c r="H278" s="365" t="s">
        <v>3346</v>
      </c>
      <c r="I278" s="365" t="s">
        <v>3347</v>
      </c>
      <c r="J278" s="365" t="s">
        <v>3430</v>
      </c>
      <c r="K278" s="364"/>
      <c r="L278" s="364"/>
      <c r="M278" s="365" t="s">
        <v>2969</v>
      </c>
      <c r="N278" s="401">
        <v>45723.0</v>
      </c>
      <c r="O278" s="388" t="s">
        <v>2289</v>
      </c>
      <c r="P278" s="365" t="s">
        <v>3433</v>
      </c>
      <c r="Q278" s="365" t="s">
        <v>2964</v>
      </c>
      <c r="R278" s="365" t="s">
        <v>2594</v>
      </c>
      <c r="S278" s="365" t="s">
        <v>2594</v>
      </c>
      <c r="T278" s="364"/>
      <c r="U278" s="364"/>
      <c r="V278" s="364"/>
      <c r="W278" s="364"/>
      <c r="X278" s="364"/>
      <c r="Y278" s="364"/>
      <c r="Z278" s="364"/>
      <c r="AA278" s="364"/>
      <c r="AB278" s="364"/>
      <c r="AC278" s="364"/>
      <c r="AD278" s="364"/>
    </row>
    <row r="279">
      <c r="A279" s="391" t="s">
        <v>127</v>
      </c>
      <c r="B279" s="392" t="s">
        <v>128</v>
      </c>
      <c r="C279" s="365" t="s">
        <v>3426</v>
      </c>
      <c r="D279" s="365" t="s">
        <v>3427</v>
      </c>
      <c r="E279" s="365" t="s">
        <v>3428</v>
      </c>
      <c r="F279" s="365" t="s">
        <v>2964</v>
      </c>
      <c r="G279" s="365" t="s">
        <v>3429</v>
      </c>
      <c r="H279" s="365" t="s">
        <v>3346</v>
      </c>
      <c r="I279" s="365" t="s">
        <v>3347</v>
      </c>
      <c r="J279" s="365" t="s">
        <v>3430</v>
      </c>
      <c r="K279" s="364"/>
      <c r="L279" s="364"/>
      <c r="M279" s="365" t="s">
        <v>2969</v>
      </c>
      <c r="N279" s="401">
        <v>45754.0</v>
      </c>
      <c r="O279" s="388" t="s">
        <v>2289</v>
      </c>
      <c r="P279" s="365" t="s">
        <v>3434</v>
      </c>
      <c r="Q279" s="365" t="s">
        <v>2964</v>
      </c>
      <c r="R279" s="365" t="s">
        <v>2594</v>
      </c>
      <c r="S279" s="365" t="s">
        <v>2594</v>
      </c>
      <c r="T279" s="364"/>
      <c r="U279" s="364"/>
      <c r="V279" s="364"/>
      <c r="W279" s="364"/>
      <c r="X279" s="364"/>
      <c r="Y279" s="364"/>
      <c r="Z279" s="364"/>
      <c r="AA279" s="364"/>
      <c r="AB279" s="364"/>
      <c r="AC279" s="364"/>
      <c r="AD279" s="364"/>
    </row>
    <row r="280">
      <c r="A280" s="391" t="s">
        <v>127</v>
      </c>
      <c r="B280" s="392" t="s">
        <v>128</v>
      </c>
      <c r="C280" s="365" t="s">
        <v>3426</v>
      </c>
      <c r="D280" s="365" t="s">
        <v>3427</v>
      </c>
      <c r="E280" s="365" t="s">
        <v>3428</v>
      </c>
      <c r="F280" s="365" t="s">
        <v>2964</v>
      </c>
      <c r="G280" s="365" t="s">
        <v>3429</v>
      </c>
      <c r="H280" s="365" t="s">
        <v>3346</v>
      </c>
      <c r="I280" s="365" t="s">
        <v>3347</v>
      </c>
      <c r="J280" s="365" t="s">
        <v>3430</v>
      </c>
      <c r="K280" s="364"/>
      <c r="L280" s="364"/>
      <c r="M280" s="365" t="s">
        <v>2969</v>
      </c>
      <c r="N280" s="401">
        <v>45784.0</v>
      </c>
      <c r="O280" s="388" t="s">
        <v>2294</v>
      </c>
      <c r="P280" s="365" t="s">
        <v>3435</v>
      </c>
      <c r="Q280" s="365" t="s">
        <v>2964</v>
      </c>
      <c r="R280" s="365" t="s">
        <v>2594</v>
      </c>
      <c r="S280" s="365" t="s">
        <v>2594</v>
      </c>
      <c r="T280" s="364"/>
      <c r="U280" s="364"/>
      <c r="V280" s="364"/>
      <c r="W280" s="364"/>
      <c r="X280" s="364"/>
      <c r="Y280" s="364"/>
      <c r="Z280" s="364"/>
      <c r="AA280" s="364"/>
      <c r="AB280" s="364"/>
      <c r="AC280" s="364"/>
      <c r="AD280" s="364"/>
    </row>
    <row r="281">
      <c r="A281" s="391" t="s">
        <v>127</v>
      </c>
      <c r="B281" s="392" t="s">
        <v>128</v>
      </c>
      <c r="C281" s="365" t="s">
        <v>3426</v>
      </c>
      <c r="D281" s="365" t="s">
        <v>3427</v>
      </c>
      <c r="E281" s="365" t="s">
        <v>3428</v>
      </c>
      <c r="F281" s="365" t="s">
        <v>2964</v>
      </c>
      <c r="G281" s="365" t="s">
        <v>3429</v>
      </c>
      <c r="H281" s="365" t="s">
        <v>3346</v>
      </c>
      <c r="I281" s="365" t="s">
        <v>3347</v>
      </c>
      <c r="J281" s="365" t="s">
        <v>3430</v>
      </c>
      <c r="K281" s="364"/>
      <c r="L281" s="364"/>
      <c r="M281" s="365" t="s">
        <v>2969</v>
      </c>
      <c r="N281" s="401">
        <v>45815.0</v>
      </c>
      <c r="O281" s="388" t="s">
        <v>2289</v>
      </c>
      <c r="P281" s="365" t="s">
        <v>3436</v>
      </c>
      <c r="Q281" s="365" t="s">
        <v>2964</v>
      </c>
      <c r="R281" s="365" t="s">
        <v>2594</v>
      </c>
      <c r="S281" s="365" t="s">
        <v>2594</v>
      </c>
      <c r="T281" s="364"/>
      <c r="U281" s="364"/>
      <c r="V281" s="364"/>
      <c r="W281" s="364"/>
      <c r="X281" s="364"/>
      <c r="Y281" s="364"/>
      <c r="Z281" s="364"/>
      <c r="AA281" s="364"/>
      <c r="AB281" s="364"/>
      <c r="AC281" s="364"/>
      <c r="AD281" s="364"/>
    </row>
    <row r="282">
      <c r="A282" s="391" t="s">
        <v>127</v>
      </c>
      <c r="B282" s="392" t="s">
        <v>128</v>
      </c>
      <c r="C282" s="365" t="s">
        <v>3426</v>
      </c>
      <c r="D282" s="365" t="s">
        <v>3427</v>
      </c>
      <c r="E282" s="365" t="s">
        <v>3428</v>
      </c>
      <c r="F282" s="365" t="s">
        <v>2964</v>
      </c>
      <c r="G282" s="365" t="s">
        <v>3429</v>
      </c>
      <c r="H282" s="365" t="s">
        <v>3346</v>
      </c>
      <c r="I282" s="365" t="s">
        <v>3347</v>
      </c>
      <c r="J282" s="365" t="s">
        <v>3430</v>
      </c>
      <c r="K282" s="364"/>
      <c r="L282" s="364"/>
      <c r="M282" s="365" t="s">
        <v>2969</v>
      </c>
      <c r="N282" s="401">
        <v>45845.0</v>
      </c>
      <c r="O282" s="388" t="s">
        <v>2289</v>
      </c>
      <c r="P282" s="365" t="s">
        <v>3437</v>
      </c>
      <c r="Q282" s="365" t="s">
        <v>2964</v>
      </c>
      <c r="R282" s="365" t="s">
        <v>2594</v>
      </c>
      <c r="S282" s="365" t="s">
        <v>2594</v>
      </c>
      <c r="T282" s="364"/>
      <c r="U282" s="364"/>
      <c r="V282" s="364"/>
      <c r="W282" s="364"/>
      <c r="X282" s="364"/>
      <c r="Y282" s="364"/>
      <c r="Z282" s="364"/>
      <c r="AA282" s="364"/>
      <c r="AB282" s="364"/>
      <c r="AC282" s="364"/>
      <c r="AD282" s="364"/>
    </row>
    <row r="283">
      <c r="A283" s="391" t="s">
        <v>127</v>
      </c>
      <c r="B283" s="392" t="s">
        <v>128</v>
      </c>
      <c r="C283" s="365" t="s">
        <v>3426</v>
      </c>
      <c r="D283" s="365" t="s">
        <v>3427</v>
      </c>
      <c r="E283" s="365" t="s">
        <v>3428</v>
      </c>
      <c r="F283" s="365" t="s">
        <v>2964</v>
      </c>
      <c r="G283" s="365" t="s">
        <v>3429</v>
      </c>
      <c r="H283" s="365" t="s">
        <v>3346</v>
      </c>
      <c r="I283" s="365" t="s">
        <v>3347</v>
      </c>
      <c r="J283" s="365" t="s">
        <v>3430</v>
      </c>
      <c r="K283" s="364"/>
      <c r="L283" s="364"/>
      <c r="M283" s="365" t="s">
        <v>2969</v>
      </c>
      <c r="N283" s="401">
        <v>45876.0</v>
      </c>
      <c r="O283" s="388" t="s">
        <v>2294</v>
      </c>
      <c r="P283" s="365" t="s">
        <v>3438</v>
      </c>
      <c r="Q283" s="365" t="s">
        <v>2964</v>
      </c>
      <c r="R283" s="365" t="s">
        <v>2594</v>
      </c>
      <c r="S283" s="365" t="s">
        <v>2594</v>
      </c>
      <c r="T283" s="364"/>
      <c r="U283" s="364"/>
      <c r="V283" s="364"/>
      <c r="W283" s="364"/>
      <c r="X283" s="364"/>
      <c r="Y283" s="364"/>
      <c r="Z283" s="364"/>
      <c r="AA283" s="364"/>
      <c r="AB283" s="364"/>
      <c r="AC283" s="364"/>
      <c r="AD283" s="364"/>
    </row>
    <row r="284">
      <c r="A284" s="391" t="s">
        <v>127</v>
      </c>
      <c r="B284" s="392" t="s">
        <v>128</v>
      </c>
      <c r="C284" s="365" t="s">
        <v>3439</v>
      </c>
      <c r="D284" s="365" t="s">
        <v>3440</v>
      </c>
      <c r="E284" s="365" t="s">
        <v>3441</v>
      </c>
      <c r="F284" s="365" t="s">
        <v>2964</v>
      </c>
      <c r="G284" s="365" t="s">
        <v>3442</v>
      </c>
      <c r="H284" s="365" t="s">
        <v>3346</v>
      </c>
      <c r="I284" s="365" t="s">
        <v>3347</v>
      </c>
      <c r="J284" s="365" t="s">
        <v>3443</v>
      </c>
      <c r="K284" s="364"/>
      <c r="L284" s="364"/>
      <c r="M284" s="365" t="s">
        <v>2969</v>
      </c>
      <c r="N284" s="401">
        <v>45665.0</v>
      </c>
      <c r="O284" s="388" t="s">
        <v>2289</v>
      </c>
      <c r="P284" s="365" t="s">
        <v>3444</v>
      </c>
      <c r="Q284" s="365" t="s">
        <v>2964</v>
      </c>
      <c r="R284" s="365" t="s">
        <v>2594</v>
      </c>
      <c r="S284" s="365" t="s">
        <v>2594</v>
      </c>
      <c r="T284" s="364"/>
      <c r="U284" s="364"/>
      <c r="V284" s="364"/>
      <c r="W284" s="364"/>
      <c r="X284" s="364"/>
      <c r="Y284" s="364"/>
      <c r="Z284" s="364"/>
      <c r="AA284" s="364"/>
      <c r="AB284" s="364"/>
      <c r="AC284" s="364"/>
      <c r="AD284" s="364"/>
    </row>
    <row r="285">
      <c r="A285" s="391" t="s">
        <v>127</v>
      </c>
      <c r="B285" s="392" t="s">
        <v>128</v>
      </c>
      <c r="C285" s="365" t="s">
        <v>3439</v>
      </c>
      <c r="D285" s="365" t="s">
        <v>3440</v>
      </c>
      <c r="E285" s="365" t="s">
        <v>3441</v>
      </c>
      <c r="F285" s="365" t="s">
        <v>2964</v>
      </c>
      <c r="G285" s="365" t="s">
        <v>3442</v>
      </c>
      <c r="H285" s="365" t="s">
        <v>3346</v>
      </c>
      <c r="I285" s="365" t="s">
        <v>3347</v>
      </c>
      <c r="J285" s="365" t="s">
        <v>3443</v>
      </c>
      <c r="K285" s="364"/>
      <c r="L285" s="364"/>
      <c r="M285" s="365" t="s">
        <v>2969</v>
      </c>
      <c r="N285" s="401">
        <v>45696.0</v>
      </c>
      <c r="O285" s="388" t="s">
        <v>2294</v>
      </c>
      <c r="P285" s="365" t="s">
        <v>3445</v>
      </c>
      <c r="Q285" s="365" t="s">
        <v>2964</v>
      </c>
      <c r="R285" s="365" t="s">
        <v>2594</v>
      </c>
      <c r="S285" s="365" t="s">
        <v>2594</v>
      </c>
      <c r="T285" s="364"/>
      <c r="U285" s="364"/>
      <c r="V285" s="364"/>
      <c r="W285" s="364"/>
      <c r="X285" s="364"/>
      <c r="Y285" s="364"/>
      <c r="Z285" s="364"/>
      <c r="AA285" s="364"/>
      <c r="AB285" s="364"/>
      <c r="AC285" s="364"/>
      <c r="AD285" s="364"/>
    </row>
    <row r="286">
      <c r="A286" s="391" t="s">
        <v>127</v>
      </c>
      <c r="B286" s="392" t="s">
        <v>128</v>
      </c>
      <c r="C286" s="365" t="s">
        <v>3439</v>
      </c>
      <c r="D286" s="365" t="s">
        <v>3440</v>
      </c>
      <c r="E286" s="365" t="s">
        <v>3441</v>
      </c>
      <c r="F286" s="365" t="s">
        <v>2964</v>
      </c>
      <c r="G286" s="365" t="s">
        <v>3442</v>
      </c>
      <c r="H286" s="365" t="s">
        <v>3346</v>
      </c>
      <c r="I286" s="365" t="s">
        <v>3347</v>
      </c>
      <c r="J286" s="365" t="s">
        <v>3443</v>
      </c>
      <c r="K286" s="364"/>
      <c r="L286" s="364"/>
      <c r="M286" s="365" t="s">
        <v>2969</v>
      </c>
      <c r="N286" s="401">
        <v>45724.0</v>
      </c>
      <c r="O286" s="388" t="s">
        <v>2289</v>
      </c>
      <c r="P286" s="365" t="s">
        <v>3446</v>
      </c>
      <c r="Q286" s="365" t="s">
        <v>2964</v>
      </c>
      <c r="R286" s="365" t="s">
        <v>2594</v>
      </c>
      <c r="S286" s="365" t="s">
        <v>2594</v>
      </c>
      <c r="T286" s="364"/>
      <c r="U286" s="364"/>
      <c r="V286" s="364"/>
      <c r="W286" s="364"/>
      <c r="X286" s="364"/>
      <c r="Y286" s="364"/>
      <c r="Z286" s="364"/>
      <c r="AA286" s="364"/>
      <c r="AB286" s="364"/>
      <c r="AC286" s="364"/>
      <c r="AD286" s="364"/>
    </row>
    <row r="287">
      <c r="A287" s="391" t="s">
        <v>127</v>
      </c>
      <c r="B287" s="392" t="s">
        <v>128</v>
      </c>
      <c r="C287" s="365" t="s">
        <v>3439</v>
      </c>
      <c r="D287" s="365" t="s">
        <v>3440</v>
      </c>
      <c r="E287" s="365" t="s">
        <v>3441</v>
      </c>
      <c r="F287" s="365" t="s">
        <v>2964</v>
      </c>
      <c r="G287" s="365" t="s">
        <v>3442</v>
      </c>
      <c r="H287" s="365" t="s">
        <v>3346</v>
      </c>
      <c r="I287" s="365" t="s">
        <v>3347</v>
      </c>
      <c r="J287" s="365" t="s">
        <v>3443</v>
      </c>
      <c r="K287" s="364"/>
      <c r="L287" s="364"/>
      <c r="M287" s="365" t="s">
        <v>2969</v>
      </c>
      <c r="N287" s="401">
        <v>45755.0</v>
      </c>
      <c r="O287" s="388" t="s">
        <v>2289</v>
      </c>
      <c r="P287" s="365" t="s">
        <v>3447</v>
      </c>
      <c r="Q287" s="365" t="s">
        <v>2964</v>
      </c>
      <c r="R287" s="365" t="s">
        <v>2594</v>
      </c>
      <c r="S287" s="365" t="s">
        <v>2594</v>
      </c>
      <c r="T287" s="364"/>
      <c r="U287" s="364"/>
      <c r="V287" s="364"/>
      <c r="W287" s="364"/>
      <c r="X287" s="364"/>
      <c r="Y287" s="364"/>
      <c r="Z287" s="364"/>
      <c r="AA287" s="364"/>
      <c r="AB287" s="364"/>
      <c r="AC287" s="364"/>
      <c r="AD287" s="364"/>
    </row>
    <row r="288">
      <c r="A288" s="391" t="s">
        <v>127</v>
      </c>
      <c r="B288" s="392" t="s">
        <v>128</v>
      </c>
      <c r="C288" s="365" t="s">
        <v>3439</v>
      </c>
      <c r="D288" s="365" t="s">
        <v>3440</v>
      </c>
      <c r="E288" s="365" t="s">
        <v>3441</v>
      </c>
      <c r="F288" s="365" t="s">
        <v>2964</v>
      </c>
      <c r="G288" s="365" t="s">
        <v>3442</v>
      </c>
      <c r="H288" s="365" t="s">
        <v>3346</v>
      </c>
      <c r="I288" s="365" t="s">
        <v>3347</v>
      </c>
      <c r="J288" s="365" t="s">
        <v>3443</v>
      </c>
      <c r="K288" s="364"/>
      <c r="L288" s="364"/>
      <c r="M288" s="365" t="s">
        <v>2969</v>
      </c>
      <c r="N288" s="401">
        <v>45785.0</v>
      </c>
      <c r="O288" s="388" t="s">
        <v>2294</v>
      </c>
      <c r="P288" s="365" t="s">
        <v>3448</v>
      </c>
      <c r="Q288" s="365" t="s">
        <v>2964</v>
      </c>
      <c r="R288" s="365" t="s">
        <v>2594</v>
      </c>
      <c r="S288" s="365" t="s">
        <v>2594</v>
      </c>
      <c r="T288" s="364"/>
      <c r="U288" s="364"/>
      <c r="V288" s="364"/>
      <c r="W288" s="364"/>
      <c r="X288" s="364"/>
      <c r="Y288" s="364"/>
      <c r="Z288" s="364"/>
      <c r="AA288" s="364"/>
      <c r="AB288" s="364"/>
      <c r="AC288" s="364"/>
      <c r="AD288" s="364"/>
    </row>
    <row r="289">
      <c r="A289" s="391" t="s">
        <v>127</v>
      </c>
      <c r="B289" s="392" t="s">
        <v>128</v>
      </c>
      <c r="C289" s="365" t="s">
        <v>3439</v>
      </c>
      <c r="D289" s="365" t="s">
        <v>3440</v>
      </c>
      <c r="E289" s="365" t="s">
        <v>3441</v>
      </c>
      <c r="F289" s="365" t="s">
        <v>2964</v>
      </c>
      <c r="G289" s="365" t="s">
        <v>3442</v>
      </c>
      <c r="H289" s="365" t="s">
        <v>3346</v>
      </c>
      <c r="I289" s="365" t="s">
        <v>3347</v>
      </c>
      <c r="J289" s="365" t="s">
        <v>3443</v>
      </c>
      <c r="K289" s="364"/>
      <c r="L289" s="364"/>
      <c r="M289" s="365" t="s">
        <v>2969</v>
      </c>
      <c r="N289" s="401">
        <v>45816.0</v>
      </c>
      <c r="O289" s="388" t="s">
        <v>2289</v>
      </c>
      <c r="P289" s="365" t="s">
        <v>3449</v>
      </c>
      <c r="Q289" s="365" t="s">
        <v>2964</v>
      </c>
      <c r="R289" s="365" t="s">
        <v>2594</v>
      </c>
      <c r="S289" s="365" t="s">
        <v>2594</v>
      </c>
      <c r="T289" s="364"/>
      <c r="U289" s="364"/>
      <c r="V289" s="364"/>
      <c r="W289" s="364"/>
      <c r="X289" s="364"/>
      <c r="Y289" s="364"/>
      <c r="Z289" s="364"/>
      <c r="AA289" s="364"/>
      <c r="AB289" s="364"/>
      <c r="AC289" s="364"/>
      <c r="AD289" s="364"/>
    </row>
    <row r="290">
      <c r="A290" s="391" t="s">
        <v>127</v>
      </c>
      <c r="B290" s="392" t="s">
        <v>128</v>
      </c>
      <c r="C290" s="365" t="s">
        <v>3439</v>
      </c>
      <c r="D290" s="365" t="s">
        <v>3440</v>
      </c>
      <c r="E290" s="365" t="s">
        <v>3441</v>
      </c>
      <c r="F290" s="365" t="s">
        <v>2964</v>
      </c>
      <c r="G290" s="365" t="s">
        <v>3442</v>
      </c>
      <c r="H290" s="365" t="s">
        <v>3346</v>
      </c>
      <c r="I290" s="365" t="s">
        <v>3347</v>
      </c>
      <c r="J290" s="365" t="s">
        <v>3443</v>
      </c>
      <c r="K290" s="364"/>
      <c r="L290" s="364"/>
      <c r="M290" s="365" t="s">
        <v>2969</v>
      </c>
      <c r="N290" s="401">
        <v>45846.0</v>
      </c>
      <c r="O290" s="388" t="s">
        <v>2289</v>
      </c>
      <c r="P290" s="365" t="s">
        <v>3450</v>
      </c>
      <c r="Q290" s="365" t="s">
        <v>2964</v>
      </c>
      <c r="R290" s="365" t="s">
        <v>2594</v>
      </c>
      <c r="S290" s="365" t="s">
        <v>2594</v>
      </c>
      <c r="T290" s="364"/>
      <c r="U290" s="364"/>
      <c r="V290" s="364"/>
      <c r="W290" s="364"/>
      <c r="X290" s="364"/>
      <c r="Y290" s="364"/>
      <c r="Z290" s="364"/>
      <c r="AA290" s="364"/>
      <c r="AB290" s="364"/>
      <c r="AC290" s="364"/>
      <c r="AD290" s="364"/>
    </row>
    <row r="291">
      <c r="A291" s="391" t="s">
        <v>127</v>
      </c>
      <c r="B291" s="392" t="s">
        <v>128</v>
      </c>
      <c r="C291" s="365" t="s">
        <v>3439</v>
      </c>
      <c r="D291" s="365" t="s">
        <v>3440</v>
      </c>
      <c r="E291" s="365" t="s">
        <v>3441</v>
      </c>
      <c r="F291" s="365" t="s">
        <v>2964</v>
      </c>
      <c r="G291" s="365" t="s">
        <v>3442</v>
      </c>
      <c r="H291" s="365" t="s">
        <v>3346</v>
      </c>
      <c r="I291" s="365" t="s">
        <v>3347</v>
      </c>
      <c r="J291" s="365" t="s">
        <v>3443</v>
      </c>
      <c r="K291" s="364"/>
      <c r="L291" s="364"/>
      <c r="M291" s="365" t="s">
        <v>2969</v>
      </c>
      <c r="N291" s="401">
        <v>45877.0</v>
      </c>
      <c r="O291" s="388" t="s">
        <v>2294</v>
      </c>
      <c r="P291" s="365" t="s">
        <v>3451</v>
      </c>
      <c r="Q291" s="365" t="s">
        <v>2964</v>
      </c>
      <c r="R291" s="365" t="s">
        <v>2594</v>
      </c>
      <c r="S291" s="365" t="s">
        <v>2594</v>
      </c>
      <c r="T291" s="364"/>
      <c r="U291" s="364"/>
      <c r="V291" s="364"/>
      <c r="W291" s="364"/>
      <c r="X291" s="364"/>
      <c r="Y291" s="364"/>
      <c r="Z291" s="364"/>
      <c r="AA291" s="364"/>
      <c r="AB291" s="364"/>
      <c r="AC291" s="364"/>
      <c r="AD291" s="364"/>
    </row>
    <row r="292">
      <c r="A292" s="391" t="s">
        <v>127</v>
      </c>
      <c r="B292" s="392" t="s">
        <v>128</v>
      </c>
      <c r="C292" s="365" t="s">
        <v>3452</v>
      </c>
      <c r="D292" s="365" t="s">
        <v>3453</v>
      </c>
      <c r="E292" s="365" t="s">
        <v>3454</v>
      </c>
      <c r="F292" s="365" t="s">
        <v>2964</v>
      </c>
      <c r="G292" s="365" t="s">
        <v>3455</v>
      </c>
      <c r="H292" s="365" t="s">
        <v>3346</v>
      </c>
      <c r="I292" s="365" t="s">
        <v>3347</v>
      </c>
      <c r="J292" s="365" t="s">
        <v>3456</v>
      </c>
      <c r="K292" s="364"/>
      <c r="L292" s="364"/>
      <c r="M292" s="365" t="s">
        <v>2969</v>
      </c>
      <c r="N292" s="401">
        <v>45666.0</v>
      </c>
      <c r="O292" s="388" t="s">
        <v>2289</v>
      </c>
      <c r="P292" s="365" t="s">
        <v>3457</v>
      </c>
      <c r="Q292" s="365" t="s">
        <v>2964</v>
      </c>
      <c r="R292" s="365" t="s">
        <v>2594</v>
      </c>
      <c r="S292" s="365" t="s">
        <v>2594</v>
      </c>
      <c r="T292" s="364"/>
      <c r="U292" s="364"/>
      <c r="V292" s="364"/>
      <c r="W292" s="364"/>
      <c r="X292" s="364"/>
      <c r="Y292" s="364"/>
      <c r="Z292" s="364"/>
      <c r="AA292" s="364"/>
      <c r="AB292" s="364"/>
      <c r="AC292" s="364"/>
      <c r="AD292" s="364"/>
    </row>
    <row r="293">
      <c r="A293" s="391" t="s">
        <v>127</v>
      </c>
      <c r="B293" s="392" t="s">
        <v>128</v>
      </c>
      <c r="C293" s="365" t="s">
        <v>3452</v>
      </c>
      <c r="D293" s="365" t="s">
        <v>3453</v>
      </c>
      <c r="E293" s="365" t="s">
        <v>3454</v>
      </c>
      <c r="F293" s="365" t="s">
        <v>2964</v>
      </c>
      <c r="G293" s="365" t="s">
        <v>3455</v>
      </c>
      <c r="H293" s="365" t="s">
        <v>3346</v>
      </c>
      <c r="I293" s="365" t="s">
        <v>3347</v>
      </c>
      <c r="J293" s="365" t="s">
        <v>3456</v>
      </c>
      <c r="K293" s="364"/>
      <c r="L293" s="364"/>
      <c r="M293" s="365" t="s">
        <v>2969</v>
      </c>
      <c r="N293" s="401">
        <v>45697.0</v>
      </c>
      <c r="O293" s="388" t="s">
        <v>2294</v>
      </c>
      <c r="P293" s="365" t="s">
        <v>3458</v>
      </c>
      <c r="Q293" s="365" t="s">
        <v>2964</v>
      </c>
      <c r="R293" s="365" t="s">
        <v>2594</v>
      </c>
      <c r="S293" s="365" t="s">
        <v>2594</v>
      </c>
      <c r="T293" s="364"/>
      <c r="U293" s="364"/>
      <c r="V293" s="364"/>
      <c r="W293" s="364"/>
      <c r="X293" s="364"/>
      <c r="Y293" s="364"/>
      <c r="Z293" s="364"/>
      <c r="AA293" s="364"/>
      <c r="AB293" s="364"/>
      <c r="AC293" s="364"/>
      <c r="AD293" s="364"/>
    </row>
    <row r="294">
      <c r="A294" s="391" t="s">
        <v>127</v>
      </c>
      <c r="B294" s="392" t="s">
        <v>128</v>
      </c>
      <c r="C294" s="365" t="s">
        <v>3452</v>
      </c>
      <c r="D294" s="365" t="s">
        <v>3453</v>
      </c>
      <c r="E294" s="365" t="s">
        <v>3454</v>
      </c>
      <c r="F294" s="365" t="s">
        <v>2964</v>
      </c>
      <c r="G294" s="365" t="s">
        <v>3455</v>
      </c>
      <c r="H294" s="365" t="s">
        <v>3346</v>
      </c>
      <c r="I294" s="365" t="s">
        <v>3347</v>
      </c>
      <c r="J294" s="365" t="s">
        <v>3456</v>
      </c>
      <c r="K294" s="364"/>
      <c r="L294" s="364"/>
      <c r="M294" s="365" t="s">
        <v>2969</v>
      </c>
      <c r="N294" s="401">
        <v>45725.0</v>
      </c>
      <c r="O294" s="388" t="s">
        <v>2289</v>
      </c>
      <c r="P294" s="365" t="s">
        <v>3459</v>
      </c>
      <c r="Q294" s="365" t="s">
        <v>2964</v>
      </c>
      <c r="R294" s="365" t="s">
        <v>2594</v>
      </c>
      <c r="S294" s="365" t="s">
        <v>2594</v>
      </c>
      <c r="T294" s="364"/>
      <c r="U294" s="364"/>
      <c r="V294" s="364"/>
      <c r="W294" s="364"/>
      <c r="X294" s="364"/>
      <c r="Y294" s="364"/>
      <c r="Z294" s="364"/>
      <c r="AA294" s="364"/>
      <c r="AB294" s="364"/>
      <c r="AC294" s="364"/>
      <c r="AD294" s="364"/>
    </row>
    <row r="295">
      <c r="A295" s="391" t="s">
        <v>127</v>
      </c>
      <c r="B295" s="392" t="s">
        <v>128</v>
      </c>
      <c r="C295" s="365" t="s">
        <v>3452</v>
      </c>
      <c r="D295" s="365" t="s">
        <v>3453</v>
      </c>
      <c r="E295" s="365" t="s">
        <v>3454</v>
      </c>
      <c r="F295" s="365" t="s">
        <v>2964</v>
      </c>
      <c r="G295" s="365" t="s">
        <v>3455</v>
      </c>
      <c r="H295" s="365" t="s">
        <v>3346</v>
      </c>
      <c r="I295" s="365" t="s">
        <v>3347</v>
      </c>
      <c r="J295" s="365" t="s">
        <v>3456</v>
      </c>
      <c r="K295" s="364"/>
      <c r="L295" s="364"/>
      <c r="M295" s="365" t="s">
        <v>2969</v>
      </c>
      <c r="N295" s="401">
        <v>45756.0</v>
      </c>
      <c r="O295" s="388" t="s">
        <v>2289</v>
      </c>
      <c r="P295" s="365" t="s">
        <v>3460</v>
      </c>
      <c r="Q295" s="365" t="s">
        <v>2964</v>
      </c>
      <c r="R295" s="365" t="s">
        <v>2594</v>
      </c>
      <c r="S295" s="365" t="s">
        <v>2594</v>
      </c>
      <c r="T295" s="364"/>
      <c r="U295" s="364"/>
      <c r="V295" s="364"/>
      <c r="W295" s="364"/>
      <c r="X295" s="364"/>
      <c r="Y295" s="364"/>
      <c r="Z295" s="364"/>
      <c r="AA295" s="364"/>
      <c r="AB295" s="364"/>
      <c r="AC295" s="364"/>
      <c r="AD295" s="364"/>
    </row>
    <row r="296">
      <c r="A296" s="391" t="s">
        <v>127</v>
      </c>
      <c r="B296" s="392" t="s">
        <v>128</v>
      </c>
      <c r="C296" s="365" t="s">
        <v>3452</v>
      </c>
      <c r="D296" s="365" t="s">
        <v>3453</v>
      </c>
      <c r="E296" s="365" t="s">
        <v>3454</v>
      </c>
      <c r="F296" s="365" t="s">
        <v>2964</v>
      </c>
      <c r="G296" s="365" t="s">
        <v>3455</v>
      </c>
      <c r="H296" s="365" t="s">
        <v>3346</v>
      </c>
      <c r="I296" s="365" t="s">
        <v>3347</v>
      </c>
      <c r="J296" s="365" t="s">
        <v>3456</v>
      </c>
      <c r="K296" s="364"/>
      <c r="L296" s="364"/>
      <c r="M296" s="365" t="s">
        <v>2969</v>
      </c>
      <c r="N296" s="401">
        <v>45786.0</v>
      </c>
      <c r="O296" s="388" t="s">
        <v>2294</v>
      </c>
      <c r="P296" s="365" t="s">
        <v>3461</v>
      </c>
      <c r="Q296" s="365" t="s">
        <v>2964</v>
      </c>
      <c r="R296" s="365" t="s">
        <v>2594</v>
      </c>
      <c r="S296" s="365" t="s">
        <v>2594</v>
      </c>
      <c r="T296" s="364"/>
      <c r="U296" s="364"/>
      <c r="V296" s="364"/>
      <c r="W296" s="364"/>
      <c r="X296" s="364"/>
      <c r="Y296" s="364"/>
      <c r="Z296" s="364"/>
      <c r="AA296" s="364"/>
      <c r="AB296" s="364"/>
      <c r="AC296" s="364"/>
      <c r="AD296" s="364"/>
    </row>
    <row r="297">
      <c r="A297" s="391" t="s">
        <v>127</v>
      </c>
      <c r="B297" s="392" t="s">
        <v>128</v>
      </c>
      <c r="C297" s="365" t="s">
        <v>3452</v>
      </c>
      <c r="D297" s="365" t="s">
        <v>3453</v>
      </c>
      <c r="E297" s="365" t="s">
        <v>3454</v>
      </c>
      <c r="F297" s="365" t="s">
        <v>2964</v>
      </c>
      <c r="G297" s="365" t="s">
        <v>3455</v>
      </c>
      <c r="H297" s="365" t="s">
        <v>3346</v>
      </c>
      <c r="I297" s="365" t="s">
        <v>3347</v>
      </c>
      <c r="J297" s="365" t="s">
        <v>3456</v>
      </c>
      <c r="K297" s="364"/>
      <c r="L297" s="364"/>
      <c r="M297" s="365" t="s">
        <v>2969</v>
      </c>
      <c r="N297" s="401">
        <v>45817.0</v>
      </c>
      <c r="O297" s="388" t="s">
        <v>2289</v>
      </c>
      <c r="P297" s="365" t="s">
        <v>3462</v>
      </c>
      <c r="Q297" s="365" t="s">
        <v>2964</v>
      </c>
      <c r="R297" s="365" t="s">
        <v>2594</v>
      </c>
      <c r="S297" s="365" t="s">
        <v>2594</v>
      </c>
      <c r="T297" s="364"/>
      <c r="U297" s="364"/>
      <c r="V297" s="364"/>
      <c r="W297" s="364"/>
      <c r="X297" s="364"/>
      <c r="Y297" s="364"/>
      <c r="Z297" s="364"/>
      <c r="AA297" s="364"/>
      <c r="AB297" s="364"/>
      <c r="AC297" s="364"/>
      <c r="AD297" s="364"/>
    </row>
    <row r="298">
      <c r="A298" s="391" t="s">
        <v>127</v>
      </c>
      <c r="B298" s="392" t="s">
        <v>128</v>
      </c>
      <c r="C298" s="365" t="s">
        <v>3452</v>
      </c>
      <c r="D298" s="365" t="s">
        <v>3453</v>
      </c>
      <c r="E298" s="365" t="s">
        <v>3454</v>
      </c>
      <c r="F298" s="365" t="s">
        <v>2964</v>
      </c>
      <c r="G298" s="365" t="s">
        <v>3455</v>
      </c>
      <c r="H298" s="365" t="s">
        <v>3346</v>
      </c>
      <c r="I298" s="365" t="s">
        <v>3347</v>
      </c>
      <c r="J298" s="365" t="s">
        <v>3456</v>
      </c>
      <c r="K298" s="364"/>
      <c r="L298" s="364"/>
      <c r="M298" s="365" t="s">
        <v>2969</v>
      </c>
      <c r="N298" s="401">
        <v>45847.0</v>
      </c>
      <c r="O298" s="388" t="s">
        <v>2289</v>
      </c>
      <c r="P298" s="365" t="s">
        <v>3463</v>
      </c>
      <c r="Q298" s="365" t="s">
        <v>2964</v>
      </c>
      <c r="R298" s="365" t="s">
        <v>2594</v>
      </c>
      <c r="S298" s="365" t="s">
        <v>2594</v>
      </c>
      <c r="T298" s="364"/>
      <c r="U298" s="364"/>
      <c r="V298" s="364"/>
      <c r="W298" s="364"/>
      <c r="X298" s="364"/>
      <c r="Y298" s="364"/>
      <c r="Z298" s="364"/>
      <c r="AA298" s="364"/>
      <c r="AB298" s="364"/>
      <c r="AC298" s="364"/>
      <c r="AD298" s="364"/>
    </row>
    <row r="299">
      <c r="A299" s="391" t="s">
        <v>127</v>
      </c>
      <c r="B299" s="392" t="s">
        <v>128</v>
      </c>
      <c r="C299" s="365" t="s">
        <v>3452</v>
      </c>
      <c r="D299" s="365" t="s">
        <v>3453</v>
      </c>
      <c r="E299" s="365" t="s">
        <v>3454</v>
      </c>
      <c r="F299" s="365" t="s">
        <v>2964</v>
      </c>
      <c r="G299" s="365" t="s">
        <v>3455</v>
      </c>
      <c r="H299" s="365" t="s">
        <v>3346</v>
      </c>
      <c r="I299" s="365" t="s">
        <v>3347</v>
      </c>
      <c r="J299" s="365" t="s">
        <v>3456</v>
      </c>
      <c r="K299" s="364"/>
      <c r="L299" s="364"/>
      <c r="M299" s="365" t="s">
        <v>2969</v>
      </c>
      <c r="N299" s="401">
        <v>45878.0</v>
      </c>
      <c r="O299" s="388" t="s">
        <v>2294</v>
      </c>
      <c r="P299" s="365" t="s">
        <v>3464</v>
      </c>
      <c r="Q299" s="365" t="s">
        <v>2964</v>
      </c>
      <c r="R299" s="365" t="s">
        <v>2594</v>
      </c>
      <c r="S299" s="365" t="s">
        <v>2594</v>
      </c>
      <c r="T299" s="364"/>
      <c r="U299" s="364"/>
      <c r="V299" s="364"/>
      <c r="W299" s="364"/>
      <c r="X299" s="364"/>
      <c r="Y299" s="364"/>
      <c r="Z299" s="364"/>
      <c r="AA299" s="364"/>
      <c r="AB299" s="364"/>
      <c r="AC299" s="364"/>
      <c r="AD299" s="364"/>
    </row>
    <row r="300">
      <c r="A300" s="391" t="s">
        <v>127</v>
      </c>
      <c r="B300" s="392" t="s">
        <v>128</v>
      </c>
      <c r="C300" s="365" t="s">
        <v>3465</v>
      </c>
      <c r="D300" s="365" t="s">
        <v>3466</v>
      </c>
      <c r="E300" s="365" t="s">
        <v>3467</v>
      </c>
      <c r="F300" s="365" t="s">
        <v>2964</v>
      </c>
      <c r="G300" s="365" t="s">
        <v>3468</v>
      </c>
      <c r="H300" s="365" t="s">
        <v>3346</v>
      </c>
      <c r="I300" s="365" t="s">
        <v>3347</v>
      </c>
      <c r="J300" s="365" t="s">
        <v>3469</v>
      </c>
      <c r="K300" s="364"/>
      <c r="L300" s="364"/>
      <c r="M300" s="365" t="s">
        <v>2969</v>
      </c>
      <c r="N300" s="401">
        <v>45667.0</v>
      </c>
      <c r="O300" s="388" t="s">
        <v>2289</v>
      </c>
      <c r="P300" s="365" t="s">
        <v>3470</v>
      </c>
      <c r="Q300" s="365" t="s">
        <v>2964</v>
      </c>
      <c r="R300" s="365" t="s">
        <v>2594</v>
      </c>
      <c r="S300" s="365" t="s">
        <v>2594</v>
      </c>
      <c r="T300" s="364"/>
      <c r="U300" s="364"/>
      <c r="V300" s="364"/>
      <c r="W300" s="364"/>
      <c r="X300" s="364"/>
      <c r="Y300" s="364"/>
      <c r="Z300" s="364"/>
      <c r="AA300" s="364"/>
      <c r="AB300" s="364"/>
      <c r="AC300" s="364"/>
      <c r="AD300" s="364"/>
    </row>
    <row r="301">
      <c r="A301" s="391" t="s">
        <v>127</v>
      </c>
      <c r="B301" s="392" t="s">
        <v>128</v>
      </c>
      <c r="C301" s="365" t="s">
        <v>3465</v>
      </c>
      <c r="D301" s="365" t="s">
        <v>3466</v>
      </c>
      <c r="E301" s="365" t="s">
        <v>3467</v>
      </c>
      <c r="F301" s="365" t="s">
        <v>2964</v>
      </c>
      <c r="G301" s="365" t="s">
        <v>3468</v>
      </c>
      <c r="H301" s="365" t="s">
        <v>3346</v>
      </c>
      <c r="I301" s="365" t="s">
        <v>3347</v>
      </c>
      <c r="J301" s="365" t="s">
        <v>3469</v>
      </c>
      <c r="K301" s="364"/>
      <c r="L301" s="364"/>
      <c r="M301" s="365" t="s">
        <v>2969</v>
      </c>
      <c r="N301" s="401">
        <v>45698.0</v>
      </c>
      <c r="O301" s="388" t="s">
        <v>2294</v>
      </c>
      <c r="P301" s="365" t="s">
        <v>3471</v>
      </c>
      <c r="Q301" s="365" t="s">
        <v>2964</v>
      </c>
      <c r="R301" s="365" t="s">
        <v>2594</v>
      </c>
      <c r="S301" s="365" t="s">
        <v>2594</v>
      </c>
      <c r="T301" s="364"/>
      <c r="U301" s="364"/>
      <c r="V301" s="364"/>
      <c r="W301" s="364"/>
      <c r="X301" s="364"/>
      <c r="Y301" s="364"/>
      <c r="Z301" s="364"/>
      <c r="AA301" s="364"/>
      <c r="AB301" s="364"/>
      <c r="AC301" s="364"/>
      <c r="AD301" s="364"/>
    </row>
    <row r="302">
      <c r="A302" s="391" t="s">
        <v>127</v>
      </c>
      <c r="B302" s="392" t="s">
        <v>128</v>
      </c>
      <c r="C302" s="365" t="s">
        <v>3465</v>
      </c>
      <c r="D302" s="365" t="s">
        <v>3466</v>
      </c>
      <c r="E302" s="365" t="s">
        <v>3467</v>
      </c>
      <c r="F302" s="365" t="s">
        <v>2964</v>
      </c>
      <c r="G302" s="365" t="s">
        <v>3468</v>
      </c>
      <c r="H302" s="365" t="s">
        <v>3346</v>
      </c>
      <c r="I302" s="365" t="s">
        <v>3347</v>
      </c>
      <c r="J302" s="365" t="s">
        <v>3469</v>
      </c>
      <c r="K302" s="364"/>
      <c r="L302" s="364"/>
      <c r="M302" s="365" t="s">
        <v>2969</v>
      </c>
      <c r="N302" s="401">
        <v>45726.0</v>
      </c>
      <c r="O302" s="388" t="s">
        <v>2289</v>
      </c>
      <c r="P302" s="365" t="s">
        <v>3472</v>
      </c>
      <c r="Q302" s="365" t="s">
        <v>2964</v>
      </c>
      <c r="R302" s="365" t="s">
        <v>2594</v>
      </c>
      <c r="S302" s="365" t="s">
        <v>2594</v>
      </c>
      <c r="T302" s="364"/>
      <c r="U302" s="364"/>
      <c r="V302" s="364"/>
      <c r="W302" s="364"/>
      <c r="X302" s="364"/>
      <c r="Y302" s="364"/>
      <c r="Z302" s="364"/>
      <c r="AA302" s="364"/>
      <c r="AB302" s="364"/>
      <c r="AC302" s="364"/>
      <c r="AD302" s="364"/>
    </row>
    <row r="303">
      <c r="A303" s="391" t="s">
        <v>127</v>
      </c>
      <c r="B303" s="392" t="s">
        <v>128</v>
      </c>
      <c r="C303" s="365" t="s">
        <v>3465</v>
      </c>
      <c r="D303" s="365" t="s">
        <v>3466</v>
      </c>
      <c r="E303" s="365" t="s">
        <v>3467</v>
      </c>
      <c r="F303" s="365" t="s">
        <v>2964</v>
      </c>
      <c r="G303" s="365" t="s">
        <v>3468</v>
      </c>
      <c r="H303" s="365" t="s">
        <v>3346</v>
      </c>
      <c r="I303" s="365" t="s">
        <v>3347</v>
      </c>
      <c r="J303" s="365" t="s">
        <v>3469</v>
      </c>
      <c r="K303" s="364"/>
      <c r="L303" s="364"/>
      <c r="M303" s="365" t="s">
        <v>2969</v>
      </c>
      <c r="N303" s="401">
        <v>45757.0</v>
      </c>
      <c r="O303" s="388" t="s">
        <v>2289</v>
      </c>
      <c r="P303" s="365" t="s">
        <v>3473</v>
      </c>
      <c r="Q303" s="365" t="s">
        <v>2964</v>
      </c>
      <c r="R303" s="365" t="s">
        <v>2594</v>
      </c>
      <c r="S303" s="365" t="s">
        <v>2594</v>
      </c>
      <c r="T303" s="364"/>
      <c r="U303" s="364"/>
      <c r="V303" s="364"/>
      <c r="W303" s="364"/>
      <c r="X303" s="364"/>
      <c r="Y303" s="364"/>
      <c r="Z303" s="364"/>
      <c r="AA303" s="364"/>
      <c r="AB303" s="364"/>
      <c r="AC303" s="364"/>
      <c r="AD303" s="364"/>
    </row>
    <row r="304">
      <c r="A304" s="391" t="s">
        <v>127</v>
      </c>
      <c r="B304" s="392" t="s">
        <v>128</v>
      </c>
      <c r="C304" s="365" t="s">
        <v>3465</v>
      </c>
      <c r="D304" s="365" t="s">
        <v>3466</v>
      </c>
      <c r="E304" s="365" t="s">
        <v>3467</v>
      </c>
      <c r="F304" s="365" t="s">
        <v>2964</v>
      </c>
      <c r="G304" s="365" t="s">
        <v>3468</v>
      </c>
      <c r="H304" s="365" t="s">
        <v>3346</v>
      </c>
      <c r="I304" s="365" t="s">
        <v>3347</v>
      </c>
      <c r="J304" s="365" t="s">
        <v>3469</v>
      </c>
      <c r="K304" s="364"/>
      <c r="L304" s="364"/>
      <c r="M304" s="365" t="s">
        <v>2969</v>
      </c>
      <c r="N304" s="401">
        <v>45787.0</v>
      </c>
      <c r="O304" s="388" t="s">
        <v>2294</v>
      </c>
      <c r="P304" s="365" t="s">
        <v>3474</v>
      </c>
      <c r="Q304" s="365" t="s">
        <v>2964</v>
      </c>
      <c r="R304" s="365" t="s">
        <v>2594</v>
      </c>
      <c r="S304" s="365" t="s">
        <v>2594</v>
      </c>
      <c r="T304" s="364"/>
      <c r="U304" s="364"/>
      <c r="V304" s="364"/>
      <c r="W304" s="364"/>
      <c r="X304" s="364"/>
      <c r="Y304" s="364"/>
      <c r="Z304" s="364"/>
      <c r="AA304" s="364"/>
      <c r="AB304" s="364"/>
      <c r="AC304" s="364"/>
      <c r="AD304" s="364"/>
    </row>
    <row r="305">
      <c r="A305" s="391" t="s">
        <v>127</v>
      </c>
      <c r="B305" s="392" t="s">
        <v>128</v>
      </c>
      <c r="C305" s="365" t="s">
        <v>3465</v>
      </c>
      <c r="D305" s="365" t="s">
        <v>3466</v>
      </c>
      <c r="E305" s="365" t="s">
        <v>3467</v>
      </c>
      <c r="F305" s="365" t="s">
        <v>2964</v>
      </c>
      <c r="G305" s="365" t="s">
        <v>3468</v>
      </c>
      <c r="H305" s="365" t="s">
        <v>3346</v>
      </c>
      <c r="I305" s="365" t="s">
        <v>3347</v>
      </c>
      <c r="J305" s="365" t="s">
        <v>3469</v>
      </c>
      <c r="K305" s="364"/>
      <c r="L305" s="364"/>
      <c r="M305" s="365" t="s">
        <v>2969</v>
      </c>
      <c r="N305" s="401">
        <v>45818.0</v>
      </c>
      <c r="O305" s="388" t="s">
        <v>2289</v>
      </c>
      <c r="P305" s="365" t="s">
        <v>3475</v>
      </c>
      <c r="Q305" s="365" t="s">
        <v>2964</v>
      </c>
      <c r="R305" s="365" t="s">
        <v>2594</v>
      </c>
      <c r="S305" s="365" t="s">
        <v>2594</v>
      </c>
      <c r="T305" s="364"/>
      <c r="U305" s="364"/>
      <c r="V305" s="364"/>
      <c r="W305" s="364"/>
      <c r="X305" s="364"/>
      <c r="Y305" s="364"/>
      <c r="Z305" s="364"/>
      <c r="AA305" s="364"/>
      <c r="AB305" s="364"/>
      <c r="AC305" s="364"/>
      <c r="AD305" s="364"/>
    </row>
    <row r="306">
      <c r="A306" s="391" t="s">
        <v>127</v>
      </c>
      <c r="B306" s="392" t="s">
        <v>128</v>
      </c>
      <c r="C306" s="365" t="s">
        <v>3465</v>
      </c>
      <c r="D306" s="365" t="s">
        <v>3466</v>
      </c>
      <c r="E306" s="365" t="s">
        <v>3467</v>
      </c>
      <c r="F306" s="365" t="s">
        <v>2964</v>
      </c>
      <c r="G306" s="365" t="s">
        <v>3468</v>
      </c>
      <c r="H306" s="365" t="s">
        <v>3346</v>
      </c>
      <c r="I306" s="365" t="s">
        <v>3347</v>
      </c>
      <c r="J306" s="365" t="s">
        <v>3469</v>
      </c>
      <c r="K306" s="364"/>
      <c r="L306" s="364"/>
      <c r="M306" s="365" t="s">
        <v>2969</v>
      </c>
      <c r="N306" s="401">
        <v>45848.0</v>
      </c>
      <c r="O306" s="388" t="s">
        <v>2294</v>
      </c>
      <c r="P306" s="365" t="s">
        <v>3476</v>
      </c>
      <c r="Q306" s="365" t="s">
        <v>2964</v>
      </c>
      <c r="R306" s="365" t="s">
        <v>2594</v>
      </c>
      <c r="S306" s="365" t="s">
        <v>2594</v>
      </c>
      <c r="T306" s="364"/>
      <c r="U306" s="364"/>
      <c r="V306" s="364"/>
      <c r="W306" s="364"/>
      <c r="X306" s="364"/>
      <c r="Y306" s="364"/>
      <c r="Z306" s="364"/>
      <c r="AA306" s="364"/>
      <c r="AB306" s="364"/>
      <c r="AC306" s="364"/>
      <c r="AD306" s="364"/>
    </row>
    <row r="307">
      <c r="A307" s="391" t="s">
        <v>127</v>
      </c>
      <c r="B307" s="392" t="s">
        <v>128</v>
      </c>
      <c r="C307" s="365" t="s">
        <v>3477</v>
      </c>
      <c r="D307" s="365" t="s">
        <v>3478</v>
      </c>
      <c r="E307" s="365" t="s">
        <v>3479</v>
      </c>
      <c r="F307" s="365" t="s">
        <v>2964</v>
      </c>
      <c r="G307" s="365" t="s">
        <v>3480</v>
      </c>
      <c r="H307" s="365" t="s">
        <v>3346</v>
      </c>
      <c r="I307" s="365" t="s">
        <v>3347</v>
      </c>
      <c r="J307" s="365" t="s">
        <v>3481</v>
      </c>
      <c r="K307" s="364"/>
      <c r="L307" s="364"/>
      <c r="M307" s="365" t="s">
        <v>2969</v>
      </c>
      <c r="N307" s="401">
        <v>45668.0</v>
      </c>
      <c r="O307" s="388" t="s">
        <v>2289</v>
      </c>
      <c r="P307" s="365" t="s">
        <v>3482</v>
      </c>
      <c r="Q307" s="365" t="s">
        <v>2964</v>
      </c>
      <c r="R307" s="365" t="s">
        <v>2594</v>
      </c>
      <c r="S307" s="365" t="s">
        <v>2594</v>
      </c>
      <c r="T307" s="364"/>
      <c r="U307" s="364"/>
      <c r="V307" s="364"/>
      <c r="W307" s="364"/>
      <c r="X307" s="364"/>
      <c r="Y307" s="364"/>
      <c r="Z307" s="364"/>
      <c r="AA307" s="364"/>
      <c r="AB307" s="364"/>
      <c r="AC307" s="364"/>
      <c r="AD307" s="364"/>
    </row>
    <row r="308">
      <c r="A308" s="391" t="s">
        <v>127</v>
      </c>
      <c r="B308" s="392" t="s">
        <v>128</v>
      </c>
      <c r="C308" s="365" t="s">
        <v>3477</v>
      </c>
      <c r="D308" s="365" t="s">
        <v>3478</v>
      </c>
      <c r="E308" s="365" t="s">
        <v>3479</v>
      </c>
      <c r="F308" s="365" t="s">
        <v>2964</v>
      </c>
      <c r="G308" s="365" t="s">
        <v>3480</v>
      </c>
      <c r="H308" s="365" t="s">
        <v>3346</v>
      </c>
      <c r="I308" s="365" t="s">
        <v>3347</v>
      </c>
      <c r="J308" s="365" t="s">
        <v>3481</v>
      </c>
      <c r="K308" s="364"/>
      <c r="L308" s="364"/>
      <c r="M308" s="365" t="s">
        <v>2969</v>
      </c>
      <c r="N308" s="401">
        <v>45699.0</v>
      </c>
      <c r="O308" s="388" t="s">
        <v>2294</v>
      </c>
      <c r="P308" s="365" t="s">
        <v>3483</v>
      </c>
      <c r="Q308" s="365" t="s">
        <v>2964</v>
      </c>
      <c r="R308" s="365" t="s">
        <v>2594</v>
      </c>
      <c r="S308" s="365" t="s">
        <v>2594</v>
      </c>
      <c r="T308" s="364"/>
      <c r="U308" s="364"/>
      <c r="V308" s="364"/>
      <c r="W308" s="364"/>
      <c r="X308" s="364"/>
      <c r="Y308" s="364"/>
      <c r="Z308" s="364"/>
      <c r="AA308" s="364"/>
      <c r="AB308" s="364"/>
      <c r="AC308" s="364"/>
      <c r="AD308" s="364"/>
    </row>
    <row r="309">
      <c r="A309" s="391" t="s">
        <v>127</v>
      </c>
      <c r="B309" s="392" t="s">
        <v>128</v>
      </c>
      <c r="C309" s="365" t="s">
        <v>3477</v>
      </c>
      <c r="D309" s="365" t="s">
        <v>3478</v>
      </c>
      <c r="E309" s="365" t="s">
        <v>3479</v>
      </c>
      <c r="F309" s="365" t="s">
        <v>2964</v>
      </c>
      <c r="G309" s="365" t="s">
        <v>3480</v>
      </c>
      <c r="H309" s="365" t="s">
        <v>3346</v>
      </c>
      <c r="I309" s="365" t="s">
        <v>3347</v>
      </c>
      <c r="J309" s="365" t="s">
        <v>3481</v>
      </c>
      <c r="K309" s="364"/>
      <c r="L309" s="364"/>
      <c r="M309" s="365" t="s">
        <v>2969</v>
      </c>
      <c r="N309" s="401">
        <v>45727.0</v>
      </c>
      <c r="O309" s="388" t="s">
        <v>2289</v>
      </c>
      <c r="P309" s="365" t="s">
        <v>3484</v>
      </c>
      <c r="Q309" s="365" t="s">
        <v>2964</v>
      </c>
      <c r="R309" s="365" t="s">
        <v>2594</v>
      </c>
      <c r="S309" s="365" t="s">
        <v>2594</v>
      </c>
      <c r="T309" s="364"/>
      <c r="U309" s="364"/>
      <c r="V309" s="364"/>
      <c r="W309" s="364"/>
      <c r="X309" s="364"/>
      <c r="Y309" s="364"/>
      <c r="Z309" s="364"/>
      <c r="AA309" s="364"/>
      <c r="AB309" s="364"/>
      <c r="AC309" s="364"/>
      <c r="AD309" s="364"/>
    </row>
    <row r="310">
      <c r="A310" s="391" t="s">
        <v>127</v>
      </c>
      <c r="B310" s="392" t="s">
        <v>128</v>
      </c>
      <c r="C310" s="365" t="s">
        <v>3477</v>
      </c>
      <c r="D310" s="365" t="s">
        <v>3478</v>
      </c>
      <c r="E310" s="365" t="s">
        <v>3479</v>
      </c>
      <c r="F310" s="365" t="s">
        <v>2964</v>
      </c>
      <c r="G310" s="365" t="s">
        <v>3480</v>
      </c>
      <c r="H310" s="365" t="s">
        <v>3346</v>
      </c>
      <c r="I310" s="365" t="s">
        <v>3347</v>
      </c>
      <c r="J310" s="365" t="s">
        <v>3481</v>
      </c>
      <c r="K310" s="364"/>
      <c r="L310" s="364"/>
      <c r="M310" s="365" t="s">
        <v>2969</v>
      </c>
      <c r="N310" s="401">
        <v>45758.0</v>
      </c>
      <c r="O310" s="388" t="s">
        <v>2289</v>
      </c>
      <c r="P310" s="365" t="s">
        <v>3485</v>
      </c>
      <c r="Q310" s="365" t="s">
        <v>2964</v>
      </c>
      <c r="R310" s="365" t="s">
        <v>2594</v>
      </c>
      <c r="S310" s="365" t="s">
        <v>2594</v>
      </c>
      <c r="T310" s="364"/>
      <c r="U310" s="364"/>
      <c r="V310" s="364"/>
      <c r="W310" s="364"/>
      <c r="X310" s="364"/>
      <c r="Y310" s="364"/>
      <c r="Z310" s="364"/>
      <c r="AA310" s="364"/>
      <c r="AB310" s="364"/>
      <c r="AC310" s="364"/>
      <c r="AD310" s="364"/>
    </row>
    <row r="311">
      <c r="A311" s="391" t="s">
        <v>127</v>
      </c>
      <c r="B311" s="392" t="s">
        <v>128</v>
      </c>
      <c r="C311" s="365" t="s">
        <v>3477</v>
      </c>
      <c r="D311" s="365" t="s">
        <v>3478</v>
      </c>
      <c r="E311" s="365" t="s">
        <v>3479</v>
      </c>
      <c r="F311" s="365" t="s">
        <v>2964</v>
      </c>
      <c r="G311" s="365" t="s">
        <v>3480</v>
      </c>
      <c r="H311" s="365" t="s">
        <v>3346</v>
      </c>
      <c r="I311" s="365" t="s">
        <v>3347</v>
      </c>
      <c r="J311" s="365" t="s">
        <v>3481</v>
      </c>
      <c r="K311" s="364"/>
      <c r="L311" s="364"/>
      <c r="M311" s="365" t="s">
        <v>2969</v>
      </c>
      <c r="N311" s="401">
        <v>45788.0</v>
      </c>
      <c r="O311" s="388" t="s">
        <v>2294</v>
      </c>
      <c r="P311" s="365" t="s">
        <v>3486</v>
      </c>
      <c r="Q311" s="365" t="s">
        <v>2964</v>
      </c>
      <c r="R311" s="365" t="s">
        <v>2594</v>
      </c>
      <c r="S311" s="365" t="s">
        <v>2594</v>
      </c>
      <c r="T311" s="364"/>
      <c r="U311" s="364"/>
      <c r="V311" s="364"/>
      <c r="W311" s="364"/>
      <c r="X311" s="364"/>
      <c r="Y311" s="364"/>
      <c r="Z311" s="364"/>
      <c r="AA311" s="364"/>
      <c r="AB311" s="364"/>
      <c r="AC311" s="364"/>
      <c r="AD311" s="364"/>
    </row>
    <row r="312">
      <c r="A312" s="391" t="s">
        <v>127</v>
      </c>
      <c r="B312" s="392" t="s">
        <v>128</v>
      </c>
      <c r="C312" s="365" t="s">
        <v>3477</v>
      </c>
      <c r="D312" s="365" t="s">
        <v>3478</v>
      </c>
      <c r="E312" s="365" t="s">
        <v>3479</v>
      </c>
      <c r="F312" s="365" t="s">
        <v>2964</v>
      </c>
      <c r="G312" s="365" t="s">
        <v>3480</v>
      </c>
      <c r="H312" s="365" t="s">
        <v>3346</v>
      </c>
      <c r="I312" s="365" t="s">
        <v>3347</v>
      </c>
      <c r="J312" s="365" t="s">
        <v>3481</v>
      </c>
      <c r="K312" s="364"/>
      <c r="L312" s="364"/>
      <c r="M312" s="365" t="s">
        <v>2969</v>
      </c>
      <c r="N312" s="401">
        <v>45819.0</v>
      </c>
      <c r="O312" s="388" t="s">
        <v>2289</v>
      </c>
      <c r="P312" s="365" t="s">
        <v>3487</v>
      </c>
      <c r="Q312" s="365" t="s">
        <v>2964</v>
      </c>
      <c r="R312" s="365" t="s">
        <v>2594</v>
      </c>
      <c r="S312" s="365" t="s">
        <v>2594</v>
      </c>
      <c r="T312" s="364"/>
      <c r="U312" s="364"/>
      <c r="V312" s="364"/>
      <c r="W312" s="364"/>
      <c r="X312" s="364"/>
      <c r="Y312" s="364"/>
      <c r="Z312" s="364"/>
      <c r="AA312" s="364"/>
      <c r="AB312" s="364"/>
      <c r="AC312" s="364"/>
      <c r="AD312" s="364"/>
    </row>
    <row r="313">
      <c r="A313" s="391" t="s">
        <v>127</v>
      </c>
      <c r="B313" s="392" t="s">
        <v>128</v>
      </c>
      <c r="C313" s="365" t="s">
        <v>3477</v>
      </c>
      <c r="D313" s="365" t="s">
        <v>3478</v>
      </c>
      <c r="E313" s="365" t="s">
        <v>3479</v>
      </c>
      <c r="F313" s="365" t="s">
        <v>2964</v>
      </c>
      <c r="G313" s="365" t="s">
        <v>3480</v>
      </c>
      <c r="H313" s="365" t="s">
        <v>3346</v>
      </c>
      <c r="I313" s="365" t="s">
        <v>3347</v>
      </c>
      <c r="J313" s="365" t="s">
        <v>3481</v>
      </c>
      <c r="K313" s="364"/>
      <c r="L313" s="364"/>
      <c r="M313" s="365" t="s">
        <v>2969</v>
      </c>
      <c r="N313" s="401">
        <v>45849.0</v>
      </c>
      <c r="O313" s="388" t="s">
        <v>2289</v>
      </c>
      <c r="P313" s="365" t="s">
        <v>3488</v>
      </c>
      <c r="Q313" s="365" t="s">
        <v>2964</v>
      </c>
      <c r="R313" s="365" t="s">
        <v>2594</v>
      </c>
      <c r="S313" s="365" t="s">
        <v>2594</v>
      </c>
      <c r="T313" s="364"/>
      <c r="U313" s="364"/>
      <c r="V313" s="364"/>
      <c r="W313" s="364"/>
      <c r="X313" s="364"/>
      <c r="Y313" s="364"/>
      <c r="Z313" s="364"/>
      <c r="AA313" s="364"/>
      <c r="AB313" s="364"/>
      <c r="AC313" s="364"/>
      <c r="AD313" s="364"/>
    </row>
    <row r="314">
      <c r="A314" s="391" t="s">
        <v>127</v>
      </c>
      <c r="B314" s="392" t="s">
        <v>128</v>
      </c>
      <c r="C314" s="365" t="s">
        <v>3477</v>
      </c>
      <c r="D314" s="365" t="s">
        <v>3478</v>
      </c>
      <c r="E314" s="365" t="s">
        <v>3479</v>
      </c>
      <c r="F314" s="365" t="s">
        <v>2964</v>
      </c>
      <c r="G314" s="365" t="s">
        <v>3480</v>
      </c>
      <c r="H314" s="365" t="s">
        <v>3346</v>
      </c>
      <c r="I314" s="365" t="s">
        <v>3347</v>
      </c>
      <c r="J314" s="365" t="s">
        <v>3481</v>
      </c>
      <c r="K314" s="364"/>
      <c r="L314" s="364"/>
      <c r="M314" s="365" t="s">
        <v>2969</v>
      </c>
      <c r="N314" s="401">
        <v>45880.0</v>
      </c>
      <c r="O314" s="388" t="s">
        <v>2294</v>
      </c>
      <c r="P314" s="365" t="s">
        <v>3489</v>
      </c>
      <c r="Q314" s="365" t="s">
        <v>2964</v>
      </c>
      <c r="R314" s="365" t="s">
        <v>2594</v>
      </c>
      <c r="S314" s="365" t="s">
        <v>2594</v>
      </c>
      <c r="T314" s="364"/>
      <c r="U314" s="364"/>
      <c r="V314" s="364"/>
      <c r="W314" s="364"/>
      <c r="X314" s="364"/>
      <c r="Y314" s="364"/>
      <c r="Z314" s="364"/>
      <c r="AA314" s="364"/>
      <c r="AB314" s="364"/>
      <c r="AC314" s="364"/>
      <c r="AD314" s="364"/>
    </row>
    <row r="315">
      <c r="A315" s="391" t="s">
        <v>127</v>
      </c>
      <c r="B315" s="392" t="s">
        <v>128</v>
      </c>
      <c r="C315" s="365" t="s">
        <v>3490</v>
      </c>
      <c r="D315" s="365" t="s">
        <v>3491</v>
      </c>
      <c r="E315" s="365" t="s">
        <v>3492</v>
      </c>
      <c r="F315" s="365" t="s">
        <v>2964</v>
      </c>
      <c r="G315" s="365" t="s">
        <v>3493</v>
      </c>
      <c r="H315" s="365" t="s">
        <v>3346</v>
      </c>
      <c r="I315" s="365" t="s">
        <v>3347</v>
      </c>
      <c r="J315" s="365" t="s">
        <v>3494</v>
      </c>
      <c r="K315" s="364"/>
      <c r="L315" s="364"/>
      <c r="M315" s="365" t="s">
        <v>2969</v>
      </c>
      <c r="N315" s="401">
        <v>45669.0</v>
      </c>
      <c r="O315" s="388" t="s">
        <v>2289</v>
      </c>
      <c r="P315" s="365" t="s">
        <v>3495</v>
      </c>
      <c r="Q315" s="365" t="s">
        <v>2964</v>
      </c>
      <c r="R315" s="365" t="s">
        <v>2594</v>
      </c>
      <c r="S315" s="365" t="s">
        <v>2594</v>
      </c>
      <c r="T315" s="364"/>
      <c r="U315" s="364"/>
      <c r="V315" s="364"/>
      <c r="W315" s="364"/>
      <c r="X315" s="364"/>
      <c r="Y315" s="364"/>
      <c r="Z315" s="364"/>
      <c r="AA315" s="364"/>
      <c r="AB315" s="364"/>
      <c r="AC315" s="364"/>
      <c r="AD315" s="364"/>
    </row>
    <row r="316">
      <c r="A316" s="391" t="s">
        <v>127</v>
      </c>
      <c r="B316" s="392" t="s">
        <v>128</v>
      </c>
      <c r="C316" s="365" t="s">
        <v>3490</v>
      </c>
      <c r="D316" s="365" t="s">
        <v>3491</v>
      </c>
      <c r="E316" s="365" t="s">
        <v>3492</v>
      </c>
      <c r="F316" s="365" t="s">
        <v>2964</v>
      </c>
      <c r="G316" s="365" t="s">
        <v>3493</v>
      </c>
      <c r="H316" s="365" t="s">
        <v>3346</v>
      </c>
      <c r="I316" s="365" t="s">
        <v>3347</v>
      </c>
      <c r="J316" s="365" t="s">
        <v>3494</v>
      </c>
      <c r="K316" s="364"/>
      <c r="L316" s="364"/>
      <c r="M316" s="365" t="s">
        <v>2969</v>
      </c>
      <c r="N316" s="401">
        <v>45700.0</v>
      </c>
      <c r="O316" s="388" t="s">
        <v>2294</v>
      </c>
      <c r="P316" s="365" t="s">
        <v>3496</v>
      </c>
      <c r="Q316" s="365" t="s">
        <v>2964</v>
      </c>
      <c r="R316" s="365" t="s">
        <v>2594</v>
      </c>
      <c r="S316" s="365" t="s">
        <v>2594</v>
      </c>
      <c r="T316" s="364"/>
      <c r="U316" s="364"/>
      <c r="V316" s="364"/>
      <c r="W316" s="364"/>
      <c r="X316" s="364"/>
      <c r="Y316" s="364"/>
      <c r="Z316" s="364"/>
      <c r="AA316" s="364"/>
      <c r="AB316" s="364"/>
      <c r="AC316" s="364"/>
      <c r="AD316" s="364"/>
    </row>
    <row r="317">
      <c r="A317" s="391" t="s">
        <v>127</v>
      </c>
      <c r="B317" s="392" t="s">
        <v>128</v>
      </c>
      <c r="C317" s="365" t="s">
        <v>3490</v>
      </c>
      <c r="D317" s="365" t="s">
        <v>3491</v>
      </c>
      <c r="E317" s="365" t="s">
        <v>3492</v>
      </c>
      <c r="F317" s="365" t="s">
        <v>2964</v>
      </c>
      <c r="G317" s="365" t="s">
        <v>3493</v>
      </c>
      <c r="H317" s="365" t="s">
        <v>3346</v>
      </c>
      <c r="I317" s="365" t="s">
        <v>3347</v>
      </c>
      <c r="J317" s="365" t="s">
        <v>3494</v>
      </c>
      <c r="K317" s="364"/>
      <c r="L317" s="364"/>
      <c r="M317" s="365" t="s">
        <v>2969</v>
      </c>
      <c r="N317" s="401">
        <v>45728.0</v>
      </c>
      <c r="O317" s="388" t="s">
        <v>2289</v>
      </c>
      <c r="P317" s="365" t="s">
        <v>3497</v>
      </c>
      <c r="Q317" s="365" t="s">
        <v>2964</v>
      </c>
      <c r="R317" s="365" t="s">
        <v>2594</v>
      </c>
      <c r="S317" s="365" t="s">
        <v>2594</v>
      </c>
      <c r="T317" s="364"/>
      <c r="U317" s="364"/>
      <c r="V317" s="364"/>
      <c r="W317" s="364"/>
      <c r="X317" s="364"/>
      <c r="Y317" s="364"/>
      <c r="Z317" s="364"/>
      <c r="AA317" s="364"/>
      <c r="AB317" s="364"/>
      <c r="AC317" s="364"/>
      <c r="AD317" s="364"/>
    </row>
    <row r="318">
      <c r="A318" s="391" t="s">
        <v>127</v>
      </c>
      <c r="B318" s="392" t="s">
        <v>128</v>
      </c>
      <c r="C318" s="365" t="s">
        <v>3490</v>
      </c>
      <c r="D318" s="365" t="s">
        <v>3491</v>
      </c>
      <c r="E318" s="365" t="s">
        <v>3492</v>
      </c>
      <c r="F318" s="365" t="s">
        <v>2964</v>
      </c>
      <c r="G318" s="365" t="s">
        <v>3493</v>
      </c>
      <c r="H318" s="365" t="s">
        <v>3346</v>
      </c>
      <c r="I318" s="365" t="s">
        <v>3347</v>
      </c>
      <c r="J318" s="365" t="s">
        <v>3494</v>
      </c>
      <c r="K318" s="364"/>
      <c r="L318" s="364"/>
      <c r="M318" s="365" t="s">
        <v>2969</v>
      </c>
      <c r="N318" s="401">
        <v>45759.0</v>
      </c>
      <c r="O318" s="388" t="s">
        <v>2289</v>
      </c>
      <c r="P318" s="365" t="s">
        <v>3498</v>
      </c>
      <c r="Q318" s="365" t="s">
        <v>2964</v>
      </c>
      <c r="R318" s="365" t="s">
        <v>2594</v>
      </c>
      <c r="S318" s="365" t="s">
        <v>2594</v>
      </c>
      <c r="T318" s="364"/>
      <c r="U318" s="364"/>
      <c r="V318" s="364"/>
      <c r="W318" s="364"/>
      <c r="X318" s="364"/>
      <c r="Y318" s="364"/>
      <c r="Z318" s="364"/>
      <c r="AA318" s="364"/>
      <c r="AB318" s="364"/>
      <c r="AC318" s="364"/>
      <c r="AD318" s="364"/>
    </row>
    <row r="319">
      <c r="A319" s="391" t="s">
        <v>127</v>
      </c>
      <c r="B319" s="392" t="s">
        <v>128</v>
      </c>
      <c r="C319" s="365" t="s">
        <v>3490</v>
      </c>
      <c r="D319" s="365" t="s">
        <v>3491</v>
      </c>
      <c r="E319" s="365" t="s">
        <v>3492</v>
      </c>
      <c r="F319" s="365" t="s">
        <v>2964</v>
      </c>
      <c r="G319" s="365" t="s">
        <v>3493</v>
      </c>
      <c r="H319" s="365" t="s">
        <v>3346</v>
      </c>
      <c r="I319" s="365" t="s">
        <v>3347</v>
      </c>
      <c r="J319" s="365" t="s">
        <v>3494</v>
      </c>
      <c r="K319" s="364"/>
      <c r="L319" s="364"/>
      <c r="M319" s="365" t="s">
        <v>2969</v>
      </c>
      <c r="N319" s="401">
        <v>45789.0</v>
      </c>
      <c r="O319" s="388" t="s">
        <v>2294</v>
      </c>
      <c r="P319" s="365" t="s">
        <v>3499</v>
      </c>
      <c r="Q319" s="365" t="s">
        <v>2964</v>
      </c>
      <c r="R319" s="365" t="s">
        <v>2594</v>
      </c>
      <c r="S319" s="365" t="s">
        <v>2594</v>
      </c>
      <c r="T319" s="364"/>
      <c r="U319" s="364"/>
      <c r="V319" s="364"/>
      <c r="W319" s="364"/>
      <c r="X319" s="364"/>
      <c r="Y319" s="364"/>
      <c r="Z319" s="364"/>
      <c r="AA319" s="364"/>
      <c r="AB319" s="364"/>
      <c r="AC319" s="364"/>
      <c r="AD319" s="364"/>
    </row>
    <row r="320">
      <c r="A320" s="391" t="s">
        <v>127</v>
      </c>
      <c r="B320" s="392" t="s">
        <v>128</v>
      </c>
      <c r="C320" s="365" t="s">
        <v>3490</v>
      </c>
      <c r="D320" s="365" t="s">
        <v>3491</v>
      </c>
      <c r="E320" s="365" t="s">
        <v>3492</v>
      </c>
      <c r="F320" s="365" t="s">
        <v>2964</v>
      </c>
      <c r="G320" s="365" t="s">
        <v>3493</v>
      </c>
      <c r="H320" s="365" t="s">
        <v>3346</v>
      </c>
      <c r="I320" s="365" t="s">
        <v>3347</v>
      </c>
      <c r="J320" s="365" t="s">
        <v>3494</v>
      </c>
      <c r="K320" s="364"/>
      <c r="L320" s="364"/>
      <c r="M320" s="365" t="s">
        <v>2969</v>
      </c>
      <c r="N320" s="401">
        <v>45820.0</v>
      </c>
      <c r="O320" s="388" t="s">
        <v>2289</v>
      </c>
      <c r="P320" s="365" t="s">
        <v>3500</v>
      </c>
      <c r="Q320" s="365" t="s">
        <v>2964</v>
      </c>
      <c r="R320" s="365" t="s">
        <v>2594</v>
      </c>
      <c r="S320" s="365" t="s">
        <v>2594</v>
      </c>
      <c r="T320" s="364"/>
      <c r="U320" s="364"/>
      <c r="V320" s="364"/>
      <c r="W320" s="364"/>
      <c r="X320" s="364"/>
      <c r="Y320" s="364"/>
      <c r="Z320" s="364"/>
      <c r="AA320" s="364"/>
      <c r="AB320" s="364"/>
      <c r="AC320" s="364"/>
      <c r="AD320" s="364"/>
    </row>
    <row r="321">
      <c r="A321" s="391" t="s">
        <v>127</v>
      </c>
      <c r="B321" s="392" t="s">
        <v>128</v>
      </c>
      <c r="C321" s="365" t="s">
        <v>3490</v>
      </c>
      <c r="D321" s="365" t="s">
        <v>3491</v>
      </c>
      <c r="E321" s="365" t="s">
        <v>3492</v>
      </c>
      <c r="F321" s="365" t="s">
        <v>2964</v>
      </c>
      <c r="G321" s="365" t="s">
        <v>3493</v>
      </c>
      <c r="H321" s="365" t="s">
        <v>3346</v>
      </c>
      <c r="I321" s="365" t="s">
        <v>3347</v>
      </c>
      <c r="J321" s="365" t="s">
        <v>3494</v>
      </c>
      <c r="K321" s="364"/>
      <c r="L321" s="364"/>
      <c r="M321" s="365" t="s">
        <v>2969</v>
      </c>
      <c r="N321" s="401">
        <v>45850.0</v>
      </c>
      <c r="O321" s="388" t="s">
        <v>2289</v>
      </c>
      <c r="P321" s="365" t="s">
        <v>3501</v>
      </c>
      <c r="Q321" s="365" t="s">
        <v>2964</v>
      </c>
      <c r="R321" s="365" t="s">
        <v>2594</v>
      </c>
      <c r="S321" s="365" t="s">
        <v>2594</v>
      </c>
      <c r="T321" s="364"/>
      <c r="U321" s="364"/>
      <c r="V321" s="364"/>
      <c r="W321" s="364"/>
      <c r="X321" s="364"/>
      <c r="Y321" s="364"/>
      <c r="Z321" s="364"/>
      <c r="AA321" s="364"/>
      <c r="AB321" s="364"/>
      <c r="AC321" s="364"/>
      <c r="AD321" s="364"/>
    </row>
    <row r="322">
      <c r="A322" s="391" t="s">
        <v>127</v>
      </c>
      <c r="B322" s="392" t="s">
        <v>128</v>
      </c>
      <c r="C322" s="365" t="s">
        <v>3490</v>
      </c>
      <c r="D322" s="365" t="s">
        <v>3491</v>
      </c>
      <c r="E322" s="365" t="s">
        <v>3492</v>
      </c>
      <c r="F322" s="365" t="s">
        <v>2964</v>
      </c>
      <c r="G322" s="365" t="s">
        <v>3493</v>
      </c>
      <c r="H322" s="365" t="s">
        <v>3346</v>
      </c>
      <c r="I322" s="365" t="s">
        <v>3347</v>
      </c>
      <c r="J322" s="365" t="s">
        <v>3494</v>
      </c>
      <c r="K322" s="364"/>
      <c r="L322" s="364"/>
      <c r="M322" s="365" t="s">
        <v>2969</v>
      </c>
      <c r="N322" s="401">
        <v>45881.0</v>
      </c>
      <c r="O322" s="388" t="s">
        <v>2294</v>
      </c>
      <c r="P322" s="365" t="s">
        <v>3502</v>
      </c>
      <c r="Q322" s="365" t="s">
        <v>2964</v>
      </c>
      <c r="R322" s="365" t="s">
        <v>2594</v>
      </c>
      <c r="S322" s="365" t="s">
        <v>2594</v>
      </c>
      <c r="T322" s="364"/>
      <c r="U322" s="364"/>
      <c r="V322" s="364"/>
      <c r="W322" s="364"/>
      <c r="X322" s="364"/>
      <c r="Y322" s="364"/>
      <c r="Z322" s="364"/>
      <c r="AA322" s="364"/>
      <c r="AB322" s="364"/>
      <c r="AC322" s="364"/>
      <c r="AD322" s="364"/>
    </row>
    <row r="323">
      <c r="A323" s="364"/>
      <c r="B323" s="364"/>
      <c r="C323" s="364"/>
      <c r="D323" s="364"/>
      <c r="E323" s="364"/>
      <c r="F323" s="364"/>
      <c r="G323" s="364"/>
      <c r="H323" s="364"/>
      <c r="I323" s="364"/>
      <c r="J323" s="364"/>
      <c r="K323" s="364"/>
      <c r="L323" s="364"/>
      <c r="M323" s="364"/>
      <c r="N323" s="364"/>
      <c r="O323" s="388"/>
      <c r="P323" s="364"/>
      <c r="Q323" s="364"/>
      <c r="R323" s="364"/>
      <c r="S323" s="364"/>
      <c r="T323" s="364"/>
      <c r="U323" s="364"/>
      <c r="V323" s="364"/>
      <c r="W323" s="364"/>
      <c r="X323" s="364"/>
      <c r="Y323" s="364"/>
      <c r="Z323" s="364"/>
      <c r="AA323" s="364"/>
      <c r="AB323" s="364"/>
      <c r="AC323" s="364"/>
      <c r="AD323" s="364"/>
    </row>
    <row r="324">
      <c r="A324" s="364"/>
      <c r="B324" s="364"/>
      <c r="C324" s="364"/>
      <c r="D324" s="364"/>
      <c r="E324" s="364"/>
      <c r="F324" s="364"/>
      <c r="G324" s="364"/>
      <c r="H324" s="364"/>
      <c r="I324" s="364"/>
      <c r="J324" s="364"/>
      <c r="K324" s="364"/>
      <c r="L324" s="364"/>
      <c r="M324" s="364"/>
      <c r="N324" s="364"/>
      <c r="O324" s="388"/>
      <c r="P324" s="364"/>
      <c r="Q324" s="364"/>
      <c r="R324" s="364"/>
      <c r="S324" s="364"/>
      <c r="T324" s="364"/>
      <c r="U324" s="364"/>
      <c r="V324" s="364"/>
      <c r="W324" s="364"/>
      <c r="X324" s="364"/>
      <c r="Y324" s="364"/>
      <c r="Z324" s="364"/>
      <c r="AA324" s="364"/>
      <c r="AB324" s="364"/>
      <c r="AC324" s="364"/>
      <c r="AD324" s="364"/>
    </row>
    <row r="325">
      <c r="A325" s="364"/>
      <c r="B325" s="364"/>
      <c r="C325" s="364"/>
      <c r="D325" s="364"/>
      <c r="E325" s="364"/>
      <c r="F325" s="364"/>
      <c r="G325" s="364"/>
      <c r="H325" s="364"/>
      <c r="I325" s="364"/>
      <c r="J325" s="364"/>
      <c r="K325" s="364"/>
      <c r="L325" s="364"/>
      <c r="M325" s="364"/>
      <c r="N325" s="364"/>
      <c r="O325" s="388"/>
      <c r="P325" s="364"/>
      <c r="Q325" s="364"/>
      <c r="R325" s="364"/>
      <c r="S325" s="364"/>
      <c r="T325" s="364"/>
      <c r="U325" s="364"/>
      <c r="V325" s="364"/>
      <c r="W325" s="364"/>
      <c r="X325" s="364"/>
      <c r="Y325" s="364"/>
      <c r="Z325" s="364"/>
      <c r="AA325" s="364"/>
      <c r="AB325" s="364"/>
      <c r="AC325" s="364"/>
      <c r="AD325" s="364"/>
    </row>
    <row r="326">
      <c r="A326" s="364"/>
      <c r="B326" s="364"/>
      <c r="C326" s="364"/>
      <c r="D326" s="364"/>
      <c r="E326" s="364"/>
      <c r="F326" s="364"/>
      <c r="G326" s="364"/>
      <c r="H326" s="364"/>
      <c r="I326" s="364"/>
      <c r="J326" s="364"/>
      <c r="K326" s="364"/>
      <c r="L326" s="364"/>
      <c r="M326" s="364"/>
      <c r="N326" s="364"/>
      <c r="O326" s="388"/>
      <c r="P326" s="364"/>
      <c r="Q326" s="364"/>
      <c r="R326" s="364"/>
      <c r="S326" s="364"/>
      <c r="T326" s="364"/>
      <c r="U326" s="364"/>
      <c r="V326" s="364"/>
      <c r="W326" s="364"/>
      <c r="X326" s="364"/>
      <c r="Y326" s="364"/>
      <c r="Z326" s="364"/>
      <c r="AA326" s="364"/>
      <c r="AB326" s="364"/>
      <c r="AC326" s="364"/>
      <c r="AD326" s="364"/>
    </row>
    <row r="327">
      <c r="A327" s="364"/>
      <c r="B327" s="364"/>
      <c r="C327" s="364"/>
      <c r="D327" s="364"/>
      <c r="E327" s="364"/>
      <c r="F327" s="364"/>
      <c r="G327" s="364"/>
      <c r="H327" s="364"/>
      <c r="I327" s="364"/>
      <c r="J327" s="364"/>
      <c r="K327" s="364"/>
      <c r="L327" s="364"/>
      <c r="M327" s="364"/>
      <c r="N327" s="364"/>
      <c r="O327" s="388"/>
      <c r="P327" s="364"/>
      <c r="Q327" s="364"/>
      <c r="R327" s="364"/>
      <c r="S327" s="364"/>
      <c r="T327" s="364"/>
      <c r="U327" s="364"/>
      <c r="V327" s="364"/>
      <c r="W327" s="364"/>
      <c r="X327" s="364"/>
      <c r="Y327" s="364"/>
      <c r="Z327" s="364"/>
      <c r="AA327" s="364"/>
      <c r="AB327" s="364"/>
      <c r="AC327" s="364"/>
      <c r="AD327" s="364"/>
    </row>
    <row r="328">
      <c r="A328" s="364"/>
      <c r="B328" s="364"/>
      <c r="C328" s="364"/>
      <c r="D328" s="364"/>
      <c r="E328" s="364"/>
      <c r="F328" s="364"/>
      <c r="G328" s="364"/>
      <c r="H328" s="364"/>
      <c r="I328" s="364"/>
      <c r="J328" s="364"/>
      <c r="K328" s="364"/>
      <c r="L328" s="364"/>
      <c r="M328" s="364"/>
      <c r="N328" s="364"/>
      <c r="O328" s="388"/>
      <c r="P328" s="364"/>
      <c r="Q328" s="364"/>
      <c r="R328" s="364"/>
      <c r="S328" s="364"/>
      <c r="T328" s="364"/>
      <c r="U328" s="364"/>
      <c r="V328" s="364"/>
      <c r="W328" s="364"/>
      <c r="X328" s="364"/>
      <c r="Y328" s="364"/>
      <c r="Z328" s="364"/>
      <c r="AA328" s="364"/>
      <c r="AB328" s="364"/>
      <c r="AC328" s="364"/>
      <c r="AD328" s="364"/>
    </row>
    <row r="329">
      <c r="A329" s="364"/>
      <c r="B329" s="364"/>
      <c r="C329" s="364"/>
      <c r="D329" s="364"/>
      <c r="E329" s="364"/>
      <c r="F329" s="364"/>
      <c r="G329" s="364"/>
      <c r="H329" s="364"/>
      <c r="I329" s="364"/>
      <c r="J329" s="364"/>
      <c r="K329" s="364"/>
      <c r="L329" s="364"/>
      <c r="M329" s="364"/>
      <c r="N329" s="364"/>
      <c r="O329" s="388"/>
      <c r="P329" s="364"/>
      <c r="Q329" s="364"/>
      <c r="R329" s="364"/>
      <c r="S329" s="364"/>
      <c r="T329" s="364"/>
      <c r="U329" s="364"/>
      <c r="V329" s="364"/>
      <c r="W329" s="364"/>
      <c r="X329" s="364"/>
      <c r="Y329" s="364"/>
      <c r="Z329" s="364"/>
      <c r="AA329" s="364"/>
      <c r="AB329" s="364"/>
      <c r="AC329" s="364"/>
      <c r="AD329" s="364"/>
    </row>
    <row r="330">
      <c r="A330" s="364"/>
      <c r="B330" s="364"/>
      <c r="C330" s="364"/>
      <c r="D330" s="364"/>
      <c r="E330" s="364"/>
      <c r="F330" s="364"/>
      <c r="G330" s="364"/>
      <c r="H330" s="364"/>
      <c r="I330" s="364"/>
      <c r="J330" s="364"/>
      <c r="K330" s="364"/>
      <c r="L330" s="364"/>
      <c r="M330" s="364"/>
      <c r="N330" s="364"/>
      <c r="O330" s="388"/>
      <c r="P330" s="364"/>
      <c r="Q330" s="364"/>
      <c r="R330" s="364"/>
      <c r="S330" s="364"/>
      <c r="T330" s="364"/>
      <c r="U330" s="364"/>
      <c r="V330" s="364"/>
      <c r="W330" s="364"/>
      <c r="X330" s="364"/>
      <c r="Y330" s="364"/>
      <c r="Z330" s="364"/>
      <c r="AA330" s="364"/>
      <c r="AB330" s="364"/>
      <c r="AC330" s="364"/>
      <c r="AD330" s="364"/>
    </row>
    <row r="331">
      <c r="A331" s="364"/>
      <c r="B331" s="364"/>
      <c r="C331" s="364"/>
      <c r="D331" s="364"/>
      <c r="E331" s="364"/>
      <c r="F331" s="364"/>
      <c r="G331" s="364"/>
      <c r="H331" s="364"/>
      <c r="I331" s="364"/>
      <c r="J331" s="364"/>
      <c r="K331" s="364"/>
      <c r="L331" s="364"/>
      <c r="M331" s="364"/>
      <c r="N331" s="364"/>
      <c r="O331" s="388"/>
      <c r="P331" s="364"/>
      <c r="Q331" s="364"/>
      <c r="R331" s="364"/>
      <c r="S331" s="364"/>
      <c r="T331" s="364"/>
      <c r="U331" s="364"/>
      <c r="V331" s="364"/>
      <c r="W331" s="364"/>
      <c r="X331" s="364"/>
      <c r="Y331" s="364"/>
      <c r="Z331" s="364"/>
      <c r="AA331" s="364"/>
      <c r="AB331" s="364"/>
      <c r="AC331" s="364"/>
      <c r="AD331" s="364"/>
    </row>
    <row r="332">
      <c r="A332" s="364"/>
      <c r="B332" s="364"/>
      <c r="C332" s="364"/>
      <c r="D332" s="364"/>
      <c r="E332" s="364"/>
      <c r="F332" s="364"/>
      <c r="G332" s="364"/>
      <c r="H332" s="364"/>
      <c r="I332" s="364"/>
      <c r="J332" s="364"/>
      <c r="K332" s="364"/>
      <c r="L332" s="364"/>
      <c r="M332" s="364"/>
      <c r="N332" s="364"/>
      <c r="O332" s="388"/>
      <c r="P332" s="364"/>
      <c r="Q332" s="364"/>
      <c r="R332" s="364"/>
      <c r="S332" s="364"/>
      <c r="T332" s="364"/>
      <c r="U332" s="364"/>
      <c r="V332" s="364"/>
      <c r="W332" s="364"/>
      <c r="X332" s="364"/>
      <c r="Y332" s="364"/>
      <c r="Z332" s="364"/>
      <c r="AA332" s="364"/>
      <c r="AB332" s="364"/>
      <c r="AC332" s="364"/>
      <c r="AD332" s="364"/>
    </row>
    <row r="333">
      <c r="A333" s="364"/>
      <c r="B333" s="364"/>
      <c r="C333" s="364"/>
      <c r="D333" s="364"/>
      <c r="E333" s="364"/>
      <c r="F333" s="364"/>
      <c r="G333" s="364"/>
      <c r="H333" s="364"/>
      <c r="I333" s="364"/>
      <c r="J333" s="364"/>
      <c r="K333" s="364"/>
      <c r="L333" s="364"/>
      <c r="M333" s="364"/>
      <c r="N333" s="364"/>
      <c r="O333" s="388"/>
      <c r="P333" s="364"/>
      <c r="Q333" s="364"/>
      <c r="R333" s="364"/>
      <c r="S333" s="364"/>
      <c r="T333" s="364"/>
      <c r="U333" s="364"/>
      <c r="V333" s="364"/>
      <c r="W333" s="364"/>
      <c r="X333" s="364"/>
      <c r="Y333" s="364"/>
      <c r="Z333" s="364"/>
      <c r="AA333" s="364"/>
      <c r="AB333" s="364"/>
      <c r="AC333" s="364"/>
      <c r="AD333" s="364"/>
    </row>
    <row r="334">
      <c r="A334" s="364"/>
      <c r="B334" s="364"/>
      <c r="C334" s="364"/>
      <c r="D334" s="364"/>
      <c r="E334" s="364"/>
      <c r="F334" s="364"/>
      <c r="G334" s="364"/>
      <c r="H334" s="364"/>
      <c r="I334" s="364"/>
      <c r="J334" s="364"/>
      <c r="K334" s="364"/>
      <c r="L334" s="364"/>
      <c r="M334" s="364"/>
      <c r="N334" s="364"/>
      <c r="O334" s="388"/>
      <c r="P334" s="364"/>
      <c r="Q334" s="364"/>
      <c r="R334" s="364"/>
      <c r="S334" s="364"/>
      <c r="T334" s="364"/>
      <c r="U334" s="364"/>
      <c r="V334" s="364"/>
      <c r="W334" s="364"/>
      <c r="X334" s="364"/>
      <c r="Y334" s="364"/>
      <c r="Z334" s="364"/>
      <c r="AA334" s="364"/>
      <c r="AB334" s="364"/>
      <c r="AC334" s="364"/>
      <c r="AD334" s="364"/>
    </row>
    <row r="335">
      <c r="A335" s="364"/>
      <c r="B335" s="364"/>
      <c r="C335" s="364"/>
      <c r="D335" s="364"/>
      <c r="E335" s="364"/>
      <c r="F335" s="364"/>
      <c r="G335" s="364"/>
      <c r="H335" s="364"/>
      <c r="I335" s="364"/>
      <c r="J335" s="364"/>
      <c r="K335" s="364"/>
      <c r="L335" s="364"/>
      <c r="M335" s="364"/>
      <c r="N335" s="364"/>
      <c r="O335" s="388"/>
      <c r="P335" s="364"/>
      <c r="Q335" s="364"/>
      <c r="R335" s="364"/>
      <c r="S335" s="364"/>
      <c r="T335" s="364"/>
      <c r="U335" s="364"/>
      <c r="V335" s="364"/>
      <c r="W335" s="364"/>
      <c r="X335" s="364"/>
      <c r="Y335" s="364"/>
      <c r="Z335" s="364"/>
      <c r="AA335" s="364"/>
      <c r="AB335" s="364"/>
      <c r="AC335" s="364"/>
      <c r="AD335" s="364"/>
    </row>
    <row r="336">
      <c r="A336" s="364"/>
      <c r="B336" s="364"/>
      <c r="C336" s="364"/>
      <c r="D336" s="364"/>
      <c r="E336" s="364"/>
      <c r="F336" s="364"/>
      <c r="G336" s="364"/>
      <c r="H336" s="364"/>
      <c r="I336" s="364"/>
      <c r="J336" s="364"/>
      <c r="K336" s="364"/>
      <c r="L336" s="364"/>
      <c r="M336" s="364"/>
      <c r="N336" s="364"/>
      <c r="O336" s="388"/>
      <c r="P336" s="364"/>
      <c r="Q336" s="364"/>
      <c r="R336" s="364"/>
      <c r="S336" s="364"/>
      <c r="T336" s="364"/>
      <c r="U336" s="364"/>
      <c r="V336" s="364"/>
      <c r="W336" s="364"/>
      <c r="X336" s="364"/>
      <c r="Y336" s="364"/>
      <c r="Z336" s="364"/>
      <c r="AA336" s="364"/>
      <c r="AB336" s="364"/>
      <c r="AC336" s="364"/>
      <c r="AD336" s="364"/>
    </row>
    <row r="337">
      <c r="A337" s="364"/>
      <c r="B337" s="364"/>
      <c r="C337" s="364"/>
      <c r="D337" s="364"/>
      <c r="E337" s="364"/>
      <c r="F337" s="364"/>
      <c r="G337" s="364"/>
      <c r="H337" s="364"/>
      <c r="I337" s="364"/>
      <c r="J337" s="364"/>
      <c r="K337" s="364"/>
      <c r="L337" s="364"/>
      <c r="M337" s="364"/>
      <c r="N337" s="364"/>
      <c r="O337" s="388"/>
      <c r="P337" s="364"/>
      <c r="Q337" s="364"/>
      <c r="R337" s="364"/>
      <c r="S337" s="364"/>
      <c r="T337" s="364"/>
      <c r="U337" s="364"/>
      <c r="V337" s="364"/>
      <c r="W337" s="364"/>
      <c r="X337" s="364"/>
      <c r="Y337" s="364"/>
      <c r="Z337" s="364"/>
      <c r="AA337" s="364"/>
      <c r="AB337" s="364"/>
      <c r="AC337" s="364"/>
      <c r="AD337" s="364"/>
    </row>
    <row r="338">
      <c r="A338" s="364"/>
      <c r="B338" s="364"/>
      <c r="C338" s="364"/>
      <c r="D338" s="364"/>
      <c r="E338" s="364"/>
      <c r="F338" s="364"/>
      <c r="G338" s="364"/>
      <c r="H338" s="364"/>
      <c r="I338" s="364"/>
      <c r="J338" s="364"/>
      <c r="K338" s="364"/>
      <c r="L338" s="364"/>
      <c r="M338" s="364"/>
      <c r="N338" s="364"/>
      <c r="O338" s="388"/>
      <c r="P338" s="364"/>
      <c r="Q338" s="364"/>
      <c r="R338" s="364"/>
      <c r="S338" s="364"/>
      <c r="T338" s="364"/>
      <c r="U338" s="364"/>
      <c r="V338" s="364"/>
      <c r="W338" s="364"/>
      <c r="X338" s="364"/>
      <c r="Y338" s="364"/>
      <c r="Z338" s="364"/>
      <c r="AA338" s="364"/>
      <c r="AB338" s="364"/>
      <c r="AC338" s="364"/>
      <c r="AD338" s="364"/>
    </row>
    <row r="339">
      <c r="A339" s="364"/>
      <c r="B339" s="364"/>
      <c r="C339" s="364"/>
      <c r="D339" s="364"/>
      <c r="E339" s="364"/>
      <c r="F339" s="364"/>
      <c r="G339" s="364"/>
      <c r="H339" s="364"/>
      <c r="I339" s="364"/>
      <c r="J339" s="364"/>
      <c r="K339" s="364"/>
      <c r="L339" s="364"/>
      <c r="M339" s="364"/>
      <c r="N339" s="364"/>
      <c r="O339" s="388"/>
      <c r="P339" s="364"/>
      <c r="Q339" s="364"/>
      <c r="R339" s="364"/>
      <c r="S339" s="364"/>
      <c r="T339" s="364"/>
      <c r="U339" s="364"/>
      <c r="V339" s="364"/>
      <c r="W339" s="364"/>
      <c r="X339" s="364"/>
      <c r="Y339" s="364"/>
      <c r="Z339" s="364"/>
      <c r="AA339" s="364"/>
      <c r="AB339" s="364"/>
      <c r="AC339" s="364"/>
      <c r="AD339" s="364"/>
    </row>
    <row r="340">
      <c r="A340" s="364"/>
      <c r="B340" s="364"/>
      <c r="C340" s="364"/>
      <c r="D340" s="364"/>
      <c r="E340" s="364"/>
      <c r="F340" s="364"/>
      <c r="G340" s="364"/>
      <c r="H340" s="364"/>
      <c r="I340" s="364"/>
      <c r="J340" s="364"/>
      <c r="K340" s="364"/>
      <c r="L340" s="364"/>
      <c r="M340" s="364"/>
      <c r="N340" s="364"/>
      <c r="O340" s="388"/>
      <c r="P340" s="364"/>
      <c r="Q340" s="364"/>
      <c r="R340" s="364"/>
      <c r="S340" s="364"/>
      <c r="T340" s="364"/>
      <c r="U340" s="364"/>
      <c r="V340" s="364"/>
      <c r="W340" s="364"/>
      <c r="X340" s="364"/>
      <c r="Y340" s="364"/>
      <c r="Z340" s="364"/>
      <c r="AA340" s="364"/>
      <c r="AB340" s="364"/>
      <c r="AC340" s="364"/>
      <c r="AD340" s="364"/>
    </row>
    <row r="341">
      <c r="A341" s="364"/>
      <c r="B341" s="364"/>
      <c r="C341" s="364"/>
      <c r="D341" s="364"/>
      <c r="E341" s="364"/>
      <c r="F341" s="364"/>
      <c r="G341" s="364"/>
      <c r="H341" s="364"/>
      <c r="I341" s="364"/>
      <c r="J341" s="364"/>
      <c r="K341" s="364"/>
      <c r="L341" s="364"/>
      <c r="M341" s="364"/>
      <c r="N341" s="364"/>
      <c r="O341" s="388"/>
      <c r="P341" s="364"/>
      <c r="Q341" s="364"/>
      <c r="R341" s="364"/>
      <c r="S341" s="364"/>
      <c r="T341" s="364"/>
      <c r="U341" s="364"/>
      <c r="V341" s="364"/>
      <c r="W341" s="364"/>
      <c r="X341" s="364"/>
      <c r="Y341" s="364"/>
      <c r="Z341" s="364"/>
      <c r="AA341" s="364"/>
      <c r="AB341" s="364"/>
      <c r="AC341" s="364"/>
      <c r="AD341" s="364"/>
    </row>
    <row r="342">
      <c r="A342" s="364"/>
      <c r="B342" s="364"/>
      <c r="C342" s="364"/>
      <c r="D342" s="364"/>
      <c r="E342" s="364"/>
      <c r="F342" s="364"/>
      <c r="G342" s="364"/>
      <c r="H342" s="364"/>
      <c r="I342" s="364"/>
      <c r="J342" s="364"/>
      <c r="K342" s="364"/>
      <c r="L342" s="364"/>
      <c r="M342" s="364"/>
      <c r="N342" s="364"/>
      <c r="O342" s="388"/>
      <c r="P342" s="364"/>
      <c r="Q342" s="364"/>
      <c r="R342" s="364"/>
      <c r="S342" s="364"/>
      <c r="T342" s="364"/>
      <c r="U342" s="364"/>
      <c r="V342" s="364"/>
      <c r="W342" s="364"/>
      <c r="X342" s="364"/>
      <c r="Y342" s="364"/>
      <c r="Z342" s="364"/>
      <c r="AA342" s="364"/>
      <c r="AB342" s="364"/>
      <c r="AC342" s="364"/>
      <c r="AD342" s="364"/>
    </row>
    <row r="343">
      <c r="A343" s="364"/>
      <c r="B343" s="364"/>
      <c r="C343" s="364"/>
      <c r="D343" s="364"/>
      <c r="E343" s="364"/>
      <c r="F343" s="364"/>
      <c r="G343" s="364"/>
      <c r="H343" s="364"/>
      <c r="I343" s="364"/>
      <c r="J343" s="364"/>
      <c r="K343" s="364"/>
      <c r="L343" s="364"/>
      <c r="M343" s="364"/>
      <c r="N343" s="364"/>
      <c r="O343" s="388"/>
      <c r="P343" s="364"/>
      <c r="Q343" s="364"/>
      <c r="R343" s="364"/>
      <c r="S343" s="364"/>
      <c r="T343" s="364"/>
      <c r="U343" s="364"/>
      <c r="V343" s="364"/>
      <c r="W343" s="364"/>
      <c r="X343" s="364"/>
      <c r="Y343" s="364"/>
      <c r="Z343" s="364"/>
      <c r="AA343" s="364"/>
      <c r="AB343" s="364"/>
      <c r="AC343" s="364"/>
      <c r="AD343" s="364"/>
    </row>
    <row r="344">
      <c r="A344" s="364"/>
      <c r="B344" s="364"/>
      <c r="C344" s="364"/>
      <c r="D344" s="364"/>
      <c r="E344" s="364"/>
      <c r="F344" s="364"/>
      <c r="G344" s="364"/>
      <c r="H344" s="364"/>
      <c r="I344" s="364"/>
      <c r="J344" s="364"/>
      <c r="K344" s="364"/>
      <c r="L344" s="364"/>
      <c r="M344" s="364"/>
      <c r="N344" s="364"/>
      <c r="O344" s="388"/>
      <c r="P344" s="364"/>
      <c r="Q344" s="364"/>
      <c r="R344" s="364"/>
      <c r="S344" s="364"/>
      <c r="T344" s="364"/>
      <c r="U344" s="364"/>
      <c r="V344" s="364"/>
      <c r="W344" s="364"/>
      <c r="X344" s="364"/>
      <c r="Y344" s="364"/>
      <c r="Z344" s="364"/>
      <c r="AA344" s="364"/>
      <c r="AB344" s="364"/>
      <c r="AC344" s="364"/>
      <c r="AD344" s="364"/>
    </row>
    <row r="345">
      <c r="A345" s="364"/>
      <c r="B345" s="364"/>
      <c r="C345" s="364"/>
      <c r="D345" s="364"/>
      <c r="E345" s="364"/>
      <c r="F345" s="364"/>
      <c r="G345" s="364"/>
      <c r="H345" s="364"/>
      <c r="I345" s="364"/>
      <c r="J345" s="364"/>
      <c r="K345" s="364"/>
      <c r="L345" s="364"/>
      <c r="M345" s="364"/>
      <c r="N345" s="364"/>
      <c r="O345" s="388"/>
      <c r="P345" s="364"/>
      <c r="Q345" s="364"/>
      <c r="R345" s="364"/>
      <c r="S345" s="364"/>
      <c r="T345" s="364"/>
      <c r="U345" s="364"/>
      <c r="V345" s="364"/>
      <c r="W345" s="364"/>
      <c r="X345" s="364"/>
      <c r="Y345" s="364"/>
      <c r="Z345" s="364"/>
      <c r="AA345" s="364"/>
      <c r="AB345" s="364"/>
      <c r="AC345" s="364"/>
      <c r="AD345" s="364"/>
    </row>
    <row r="346">
      <c r="A346" s="364"/>
      <c r="B346" s="364"/>
      <c r="C346" s="364"/>
      <c r="D346" s="364"/>
      <c r="E346" s="364"/>
      <c r="F346" s="364"/>
      <c r="G346" s="364"/>
      <c r="H346" s="364"/>
      <c r="I346" s="364"/>
      <c r="J346" s="364"/>
      <c r="K346" s="364"/>
      <c r="L346" s="364"/>
      <c r="M346" s="364"/>
      <c r="N346" s="364"/>
      <c r="O346" s="388"/>
      <c r="P346" s="364"/>
      <c r="Q346" s="364"/>
      <c r="R346" s="364"/>
      <c r="S346" s="364"/>
      <c r="T346" s="364"/>
      <c r="U346" s="364"/>
      <c r="V346" s="364"/>
      <c r="W346" s="364"/>
      <c r="X346" s="364"/>
      <c r="Y346" s="364"/>
      <c r="Z346" s="364"/>
      <c r="AA346" s="364"/>
      <c r="AB346" s="364"/>
      <c r="AC346" s="364"/>
      <c r="AD346" s="364"/>
    </row>
    <row r="347">
      <c r="A347" s="364"/>
      <c r="B347" s="364"/>
      <c r="C347" s="364"/>
      <c r="D347" s="364"/>
      <c r="E347" s="364"/>
      <c r="F347" s="364"/>
      <c r="G347" s="364"/>
      <c r="H347" s="364"/>
      <c r="I347" s="364"/>
      <c r="J347" s="364"/>
      <c r="K347" s="364"/>
      <c r="L347" s="364"/>
      <c r="M347" s="364"/>
      <c r="N347" s="364"/>
      <c r="O347" s="388"/>
      <c r="P347" s="364"/>
      <c r="Q347" s="364"/>
      <c r="R347" s="364"/>
      <c r="S347" s="364"/>
      <c r="T347" s="364"/>
      <c r="U347" s="364"/>
      <c r="V347" s="364"/>
      <c r="W347" s="364"/>
      <c r="X347" s="364"/>
      <c r="Y347" s="364"/>
      <c r="Z347" s="364"/>
      <c r="AA347" s="364"/>
      <c r="AB347" s="364"/>
      <c r="AC347" s="364"/>
      <c r="AD347" s="364"/>
    </row>
    <row r="348">
      <c r="A348" s="364"/>
      <c r="B348" s="364"/>
      <c r="C348" s="364"/>
      <c r="D348" s="364"/>
      <c r="E348" s="364"/>
      <c r="F348" s="364"/>
      <c r="G348" s="364"/>
      <c r="H348" s="364"/>
      <c r="I348" s="364"/>
      <c r="J348" s="364"/>
      <c r="K348" s="364"/>
      <c r="L348" s="364"/>
      <c r="M348" s="364"/>
      <c r="N348" s="364"/>
      <c r="O348" s="388"/>
      <c r="P348" s="364"/>
      <c r="Q348" s="364"/>
      <c r="R348" s="364"/>
      <c r="S348" s="364"/>
      <c r="T348" s="364"/>
      <c r="U348" s="364"/>
      <c r="V348" s="364"/>
      <c r="W348" s="364"/>
      <c r="X348" s="364"/>
      <c r="Y348" s="364"/>
      <c r="Z348" s="364"/>
      <c r="AA348" s="364"/>
      <c r="AB348" s="364"/>
      <c r="AC348" s="364"/>
      <c r="AD348" s="364"/>
    </row>
    <row r="349">
      <c r="A349" s="364"/>
      <c r="B349" s="364"/>
      <c r="C349" s="364"/>
      <c r="D349" s="364"/>
      <c r="E349" s="364"/>
      <c r="F349" s="364"/>
      <c r="G349" s="364"/>
      <c r="H349" s="364"/>
      <c r="I349" s="364"/>
      <c r="J349" s="364"/>
      <c r="K349" s="364"/>
      <c r="L349" s="364"/>
      <c r="M349" s="364"/>
      <c r="N349" s="364"/>
      <c r="O349" s="388"/>
      <c r="P349" s="364"/>
      <c r="Q349" s="364"/>
      <c r="R349" s="364"/>
      <c r="S349" s="364"/>
      <c r="T349" s="364"/>
      <c r="U349" s="364"/>
      <c r="V349" s="364"/>
      <c r="W349" s="364"/>
      <c r="X349" s="364"/>
      <c r="Y349" s="364"/>
      <c r="Z349" s="364"/>
      <c r="AA349" s="364"/>
      <c r="AB349" s="364"/>
      <c r="AC349" s="364"/>
      <c r="AD349" s="364"/>
    </row>
    <row r="350">
      <c r="A350" s="364"/>
      <c r="B350" s="364"/>
      <c r="C350" s="364"/>
      <c r="D350" s="364"/>
      <c r="E350" s="364"/>
      <c r="F350" s="364"/>
      <c r="G350" s="364"/>
      <c r="H350" s="364"/>
      <c r="I350" s="364"/>
      <c r="J350" s="364"/>
      <c r="K350" s="364"/>
      <c r="L350" s="364"/>
      <c r="M350" s="364"/>
      <c r="N350" s="364"/>
      <c r="O350" s="388"/>
      <c r="P350" s="364"/>
      <c r="Q350" s="364"/>
      <c r="R350" s="364"/>
      <c r="S350" s="364"/>
      <c r="T350" s="364"/>
      <c r="U350" s="364"/>
      <c r="V350" s="364"/>
      <c r="W350" s="364"/>
      <c r="X350" s="364"/>
      <c r="Y350" s="364"/>
      <c r="Z350" s="364"/>
      <c r="AA350" s="364"/>
      <c r="AB350" s="364"/>
      <c r="AC350" s="364"/>
      <c r="AD350" s="364"/>
    </row>
    <row r="351">
      <c r="A351" s="364"/>
      <c r="B351" s="364"/>
      <c r="C351" s="364"/>
      <c r="D351" s="364"/>
      <c r="E351" s="364"/>
      <c r="F351" s="364"/>
      <c r="G351" s="364"/>
      <c r="H351" s="364"/>
      <c r="I351" s="364"/>
      <c r="J351" s="364"/>
      <c r="K351" s="364"/>
      <c r="L351" s="364"/>
      <c r="M351" s="364"/>
      <c r="N351" s="364"/>
      <c r="O351" s="388"/>
      <c r="P351" s="364"/>
      <c r="Q351" s="364"/>
      <c r="R351" s="364"/>
      <c r="S351" s="364"/>
      <c r="T351" s="364"/>
      <c r="U351" s="364"/>
      <c r="V351" s="364"/>
      <c r="W351" s="364"/>
      <c r="X351" s="364"/>
      <c r="Y351" s="364"/>
      <c r="Z351" s="364"/>
      <c r="AA351" s="364"/>
      <c r="AB351" s="364"/>
      <c r="AC351" s="364"/>
      <c r="AD351" s="364"/>
    </row>
    <row r="352">
      <c r="A352" s="364"/>
      <c r="B352" s="364"/>
      <c r="C352" s="364"/>
      <c r="D352" s="364"/>
      <c r="E352" s="364"/>
      <c r="F352" s="364"/>
      <c r="G352" s="364"/>
      <c r="H352" s="364"/>
      <c r="I352" s="364"/>
      <c r="J352" s="364"/>
      <c r="K352" s="364"/>
      <c r="L352" s="364"/>
      <c r="M352" s="364"/>
      <c r="N352" s="364"/>
      <c r="O352" s="388"/>
      <c r="P352" s="364"/>
      <c r="Q352" s="364"/>
      <c r="R352" s="364"/>
      <c r="S352" s="364"/>
      <c r="T352" s="364"/>
      <c r="U352" s="364"/>
      <c r="V352" s="364"/>
      <c r="W352" s="364"/>
      <c r="X352" s="364"/>
      <c r="Y352" s="364"/>
      <c r="Z352" s="364"/>
      <c r="AA352" s="364"/>
      <c r="AB352" s="364"/>
      <c r="AC352" s="364"/>
      <c r="AD352" s="364"/>
    </row>
    <row r="353">
      <c r="A353" s="364"/>
      <c r="B353" s="364"/>
      <c r="C353" s="364"/>
      <c r="D353" s="364"/>
      <c r="E353" s="364"/>
      <c r="F353" s="364"/>
      <c r="G353" s="364"/>
      <c r="H353" s="364"/>
      <c r="I353" s="364"/>
      <c r="J353" s="364"/>
      <c r="K353" s="364"/>
      <c r="L353" s="364"/>
      <c r="M353" s="364"/>
      <c r="N353" s="364"/>
      <c r="O353" s="388"/>
      <c r="P353" s="364"/>
      <c r="Q353" s="364"/>
      <c r="R353" s="364"/>
      <c r="S353" s="364"/>
      <c r="T353" s="364"/>
      <c r="U353" s="364"/>
      <c r="V353" s="364"/>
      <c r="W353" s="364"/>
      <c r="X353" s="364"/>
      <c r="Y353" s="364"/>
      <c r="Z353" s="364"/>
      <c r="AA353" s="364"/>
      <c r="AB353" s="364"/>
      <c r="AC353" s="364"/>
      <c r="AD353" s="364"/>
    </row>
    <row r="354">
      <c r="A354" s="364"/>
      <c r="B354" s="364"/>
      <c r="C354" s="364"/>
      <c r="D354" s="364"/>
      <c r="E354" s="364"/>
      <c r="F354" s="364"/>
      <c r="G354" s="364"/>
      <c r="H354" s="364"/>
      <c r="I354" s="364"/>
      <c r="J354" s="364"/>
      <c r="K354" s="364"/>
      <c r="L354" s="364"/>
      <c r="M354" s="364"/>
      <c r="N354" s="364"/>
      <c r="O354" s="388"/>
      <c r="P354" s="364"/>
      <c r="Q354" s="364"/>
      <c r="R354" s="364"/>
      <c r="S354" s="364"/>
      <c r="T354" s="364"/>
      <c r="U354" s="364"/>
      <c r="V354" s="364"/>
      <c r="W354" s="364"/>
      <c r="X354" s="364"/>
      <c r="Y354" s="364"/>
      <c r="Z354" s="364"/>
      <c r="AA354" s="364"/>
      <c r="AB354" s="364"/>
      <c r="AC354" s="364"/>
      <c r="AD354" s="364"/>
    </row>
    <row r="355">
      <c r="A355" s="364"/>
      <c r="B355" s="364"/>
      <c r="C355" s="364"/>
      <c r="D355" s="364"/>
      <c r="E355" s="364"/>
      <c r="F355" s="364"/>
      <c r="G355" s="364"/>
      <c r="H355" s="364"/>
      <c r="I355" s="364"/>
      <c r="J355" s="364"/>
      <c r="K355" s="364"/>
      <c r="L355" s="364"/>
      <c r="M355" s="364"/>
      <c r="N355" s="364"/>
      <c r="O355" s="388"/>
      <c r="P355" s="364"/>
      <c r="Q355" s="364"/>
      <c r="R355" s="364"/>
      <c r="S355" s="364"/>
      <c r="T355" s="364"/>
      <c r="U355" s="364"/>
      <c r="V355" s="364"/>
      <c r="W355" s="364"/>
      <c r="X355" s="364"/>
      <c r="Y355" s="364"/>
      <c r="Z355" s="364"/>
      <c r="AA355" s="364"/>
      <c r="AB355" s="364"/>
      <c r="AC355" s="364"/>
      <c r="AD355" s="364"/>
    </row>
    <row r="356">
      <c r="A356" s="364"/>
      <c r="B356" s="364"/>
      <c r="C356" s="364"/>
      <c r="D356" s="364"/>
      <c r="E356" s="364"/>
      <c r="F356" s="364"/>
      <c r="G356" s="364"/>
      <c r="H356" s="364"/>
      <c r="I356" s="364"/>
      <c r="J356" s="364"/>
      <c r="K356" s="364"/>
      <c r="L356" s="364"/>
      <c r="M356" s="364"/>
      <c r="N356" s="364"/>
      <c r="O356" s="388"/>
      <c r="P356" s="364"/>
      <c r="Q356" s="364"/>
      <c r="R356" s="364"/>
      <c r="S356" s="364"/>
      <c r="T356" s="364"/>
      <c r="U356" s="364"/>
      <c r="V356" s="364"/>
      <c r="W356" s="364"/>
      <c r="X356" s="364"/>
      <c r="Y356" s="364"/>
      <c r="Z356" s="364"/>
      <c r="AA356" s="364"/>
      <c r="AB356" s="364"/>
      <c r="AC356" s="364"/>
      <c r="AD356" s="364"/>
    </row>
    <row r="357">
      <c r="A357" s="364"/>
      <c r="B357" s="364"/>
      <c r="C357" s="364"/>
      <c r="D357" s="364"/>
      <c r="E357" s="364"/>
      <c r="F357" s="364"/>
      <c r="G357" s="364"/>
      <c r="H357" s="364"/>
      <c r="I357" s="364"/>
      <c r="J357" s="364"/>
      <c r="K357" s="364"/>
      <c r="L357" s="364"/>
      <c r="M357" s="364"/>
      <c r="N357" s="364"/>
      <c r="O357" s="388"/>
      <c r="P357" s="364"/>
      <c r="Q357" s="364"/>
      <c r="R357" s="364"/>
      <c r="S357" s="364"/>
      <c r="T357" s="364"/>
      <c r="U357" s="364"/>
      <c r="V357" s="364"/>
      <c r="W357" s="364"/>
      <c r="X357" s="364"/>
      <c r="Y357" s="364"/>
      <c r="Z357" s="364"/>
      <c r="AA357" s="364"/>
      <c r="AB357" s="364"/>
      <c r="AC357" s="364"/>
      <c r="AD357" s="364"/>
    </row>
    <row r="358">
      <c r="A358" s="364"/>
      <c r="B358" s="364"/>
      <c r="C358" s="364"/>
      <c r="D358" s="364"/>
      <c r="E358" s="364"/>
      <c r="F358" s="364"/>
      <c r="G358" s="364"/>
      <c r="H358" s="364"/>
      <c r="I358" s="364"/>
      <c r="J358" s="364"/>
      <c r="K358" s="364"/>
      <c r="L358" s="364"/>
      <c r="M358" s="364"/>
      <c r="N358" s="364"/>
      <c r="O358" s="388"/>
      <c r="P358" s="364"/>
      <c r="Q358" s="364"/>
      <c r="R358" s="364"/>
      <c r="S358" s="364"/>
      <c r="T358" s="364"/>
      <c r="U358" s="364"/>
      <c r="V358" s="364"/>
      <c r="W358" s="364"/>
      <c r="X358" s="364"/>
      <c r="Y358" s="364"/>
      <c r="Z358" s="364"/>
      <c r="AA358" s="364"/>
      <c r="AB358" s="364"/>
      <c r="AC358" s="364"/>
      <c r="AD358" s="364"/>
    </row>
    <row r="359">
      <c r="A359" s="364"/>
      <c r="B359" s="364"/>
      <c r="C359" s="364"/>
      <c r="D359" s="364"/>
      <c r="E359" s="364"/>
      <c r="F359" s="364"/>
      <c r="G359" s="364"/>
      <c r="H359" s="364"/>
      <c r="I359" s="364"/>
      <c r="J359" s="364"/>
      <c r="K359" s="364"/>
      <c r="L359" s="364"/>
      <c r="M359" s="364"/>
      <c r="N359" s="364"/>
      <c r="O359" s="388"/>
      <c r="P359" s="364"/>
      <c r="Q359" s="364"/>
      <c r="R359" s="364"/>
      <c r="S359" s="364"/>
      <c r="T359" s="364"/>
      <c r="U359" s="364"/>
      <c r="V359" s="364"/>
      <c r="W359" s="364"/>
      <c r="X359" s="364"/>
      <c r="Y359" s="364"/>
      <c r="Z359" s="364"/>
      <c r="AA359" s="364"/>
      <c r="AB359" s="364"/>
      <c r="AC359" s="364"/>
      <c r="AD359" s="364"/>
    </row>
    <row r="360">
      <c r="A360" s="364"/>
      <c r="B360" s="364"/>
      <c r="C360" s="364"/>
      <c r="D360" s="364"/>
      <c r="E360" s="364"/>
      <c r="F360" s="364"/>
      <c r="G360" s="364"/>
      <c r="H360" s="364"/>
      <c r="I360" s="364"/>
      <c r="J360" s="364"/>
      <c r="K360" s="364"/>
      <c r="L360" s="364"/>
      <c r="M360" s="364"/>
      <c r="N360" s="364"/>
      <c r="O360" s="388"/>
      <c r="P360" s="364"/>
      <c r="Q360" s="364"/>
      <c r="R360" s="364"/>
      <c r="S360" s="364"/>
      <c r="T360" s="364"/>
      <c r="U360" s="364"/>
      <c r="V360" s="364"/>
      <c r="W360" s="364"/>
      <c r="X360" s="364"/>
      <c r="Y360" s="364"/>
      <c r="Z360" s="364"/>
      <c r="AA360" s="364"/>
      <c r="AB360" s="364"/>
      <c r="AC360" s="364"/>
      <c r="AD360" s="364"/>
    </row>
    <row r="361">
      <c r="A361" s="364"/>
      <c r="B361" s="364"/>
      <c r="C361" s="364"/>
      <c r="D361" s="364"/>
      <c r="E361" s="364"/>
      <c r="F361" s="364"/>
      <c r="G361" s="364"/>
      <c r="H361" s="364"/>
      <c r="I361" s="364"/>
      <c r="J361" s="364"/>
      <c r="K361" s="364"/>
      <c r="L361" s="364"/>
      <c r="M361" s="364"/>
      <c r="N361" s="364"/>
      <c r="O361" s="388"/>
      <c r="P361" s="364"/>
      <c r="Q361" s="364"/>
      <c r="R361" s="364"/>
      <c r="S361" s="364"/>
      <c r="T361" s="364"/>
      <c r="U361" s="364"/>
      <c r="V361" s="364"/>
      <c r="W361" s="364"/>
      <c r="X361" s="364"/>
      <c r="Y361" s="364"/>
      <c r="Z361" s="364"/>
      <c r="AA361" s="364"/>
      <c r="AB361" s="364"/>
      <c r="AC361" s="364"/>
      <c r="AD361" s="364"/>
    </row>
    <row r="362">
      <c r="A362" s="364"/>
      <c r="B362" s="364"/>
      <c r="C362" s="364"/>
      <c r="D362" s="364"/>
      <c r="E362" s="364"/>
      <c r="F362" s="364"/>
      <c r="G362" s="364"/>
      <c r="H362" s="364"/>
      <c r="I362" s="364"/>
      <c r="J362" s="364"/>
      <c r="K362" s="364"/>
      <c r="L362" s="364"/>
      <c r="M362" s="364"/>
      <c r="N362" s="364"/>
      <c r="O362" s="388"/>
      <c r="P362" s="364"/>
      <c r="Q362" s="364"/>
      <c r="R362" s="364"/>
      <c r="S362" s="364"/>
      <c r="T362" s="364"/>
      <c r="U362" s="364"/>
      <c r="V362" s="364"/>
      <c r="W362" s="364"/>
      <c r="X362" s="364"/>
      <c r="Y362" s="364"/>
      <c r="Z362" s="364"/>
      <c r="AA362" s="364"/>
      <c r="AB362" s="364"/>
      <c r="AC362" s="364"/>
      <c r="AD362" s="364"/>
    </row>
    <row r="363">
      <c r="A363" s="364"/>
      <c r="B363" s="364"/>
      <c r="C363" s="364"/>
      <c r="D363" s="364"/>
      <c r="E363" s="364"/>
      <c r="F363" s="364"/>
      <c r="G363" s="364"/>
      <c r="H363" s="364"/>
      <c r="I363" s="364"/>
      <c r="J363" s="364"/>
      <c r="K363" s="364"/>
      <c r="L363" s="364"/>
      <c r="M363" s="364"/>
      <c r="N363" s="364"/>
      <c r="O363" s="388"/>
      <c r="P363" s="364"/>
      <c r="Q363" s="364"/>
      <c r="R363" s="364"/>
      <c r="S363" s="364"/>
      <c r="T363" s="364"/>
      <c r="U363" s="364"/>
      <c r="V363" s="364"/>
      <c r="W363" s="364"/>
      <c r="X363" s="364"/>
      <c r="Y363" s="364"/>
      <c r="Z363" s="364"/>
      <c r="AA363" s="364"/>
      <c r="AB363" s="364"/>
      <c r="AC363" s="364"/>
      <c r="AD363" s="364"/>
    </row>
    <row r="364">
      <c r="A364" s="364"/>
      <c r="B364" s="364"/>
      <c r="C364" s="364"/>
      <c r="D364" s="364"/>
      <c r="E364" s="364"/>
      <c r="F364" s="364"/>
      <c r="G364" s="364"/>
      <c r="H364" s="364"/>
      <c r="I364" s="364"/>
      <c r="J364" s="364"/>
      <c r="K364" s="364"/>
      <c r="L364" s="364"/>
      <c r="M364" s="364"/>
      <c r="N364" s="364"/>
      <c r="O364" s="388"/>
      <c r="P364" s="364"/>
      <c r="Q364" s="364"/>
      <c r="R364" s="364"/>
      <c r="S364" s="364"/>
      <c r="T364" s="364"/>
      <c r="U364" s="364"/>
      <c r="V364" s="364"/>
      <c r="W364" s="364"/>
      <c r="X364" s="364"/>
      <c r="Y364" s="364"/>
      <c r="Z364" s="364"/>
      <c r="AA364" s="364"/>
      <c r="AB364" s="364"/>
      <c r="AC364" s="364"/>
      <c r="AD364" s="364"/>
    </row>
    <row r="365">
      <c r="A365" s="364"/>
      <c r="B365" s="364"/>
      <c r="C365" s="364"/>
      <c r="D365" s="364"/>
      <c r="E365" s="364"/>
      <c r="F365" s="364"/>
      <c r="G365" s="364"/>
      <c r="H365" s="364"/>
      <c r="I365" s="364"/>
      <c r="J365" s="364"/>
      <c r="K365" s="364"/>
      <c r="L365" s="364"/>
      <c r="M365" s="364"/>
      <c r="N365" s="364"/>
      <c r="O365" s="388"/>
      <c r="P365" s="364"/>
      <c r="Q365" s="364"/>
      <c r="R365" s="364"/>
      <c r="S365" s="364"/>
      <c r="T365" s="364"/>
      <c r="U365" s="364"/>
      <c r="V365" s="364"/>
      <c r="W365" s="364"/>
      <c r="X365" s="364"/>
      <c r="Y365" s="364"/>
      <c r="Z365" s="364"/>
      <c r="AA365" s="364"/>
      <c r="AB365" s="364"/>
      <c r="AC365" s="364"/>
      <c r="AD365" s="364"/>
    </row>
    <row r="366">
      <c r="A366" s="364"/>
      <c r="B366" s="364"/>
      <c r="C366" s="364"/>
      <c r="D366" s="364"/>
      <c r="E366" s="364"/>
      <c r="F366" s="364"/>
      <c r="G366" s="364"/>
      <c r="H366" s="364"/>
      <c r="I366" s="364"/>
      <c r="J366" s="364"/>
      <c r="K366" s="364"/>
      <c r="L366" s="364"/>
      <c r="M366" s="364"/>
      <c r="N366" s="364"/>
      <c r="O366" s="388"/>
      <c r="P366" s="364"/>
      <c r="Q366" s="364"/>
      <c r="R366" s="364"/>
      <c r="S366" s="364"/>
      <c r="T366" s="364"/>
      <c r="U366" s="364"/>
      <c r="V366" s="364"/>
      <c r="W366" s="364"/>
      <c r="X366" s="364"/>
      <c r="Y366" s="364"/>
      <c r="Z366" s="364"/>
      <c r="AA366" s="364"/>
      <c r="AB366" s="364"/>
      <c r="AC366" s="364"/>
      <c r="AD366" s="364"/>
    </row>
    <row r="367">
      <c r="A367" s="364"/>
      <c r="B367" s="364"/>
      <c r="C367" s="364"/>
      <c r="D367" s="364"/>
      <c r="E367" s="364"/>
      <c r="F367" s="364"/>
      <c r="G367" s="364"/>
      <c r="H367" s="364"/>
      <c r="I367" s="364"/>
      <c r="J367" s="364"/>
      <c r="K367" s="364"/>
      <c r="L367" s="364"/>
      <c r="M367" s="364"/>
      <c r="N367" s="364"/>
      <c r="O367" s="388"/>
      <c r="P367" s="364"/>
      <c r="Q367" s="364"/>
      <c r="R367" s="364"/>
      <c r="S367" s="364"/>
      <c r="T367" s="364"/>
      <c r="U367" s="364"/>
      <c r="V367" s="364"/>
      <c r="W367" s="364"/>
      <c r="X367" s="364"/>
      <c r="Y367" s="364"/>
      <c r="Z367" s="364"/>
      <c r="AA367" s="364"/>
      <c r="AB367" s="364"/>
      <c r="AC367" s="364"/>
      <c r="AD367" s="364"/>
    </row>
    <row r="368">
      <c r="A368" s="364"/>
      <c r="B368" s="364"/>
      <c r="C368" s="364"/>
      <c r="D368" s="364"/>
      <c r="E368" s="364"/>
      <c r="F368" s="364"/>
      <c r="G368" s="364"/>
      <c r="H368" s="364"/>
      <c r="I368" s="364"/>
      <c r="J368" s="364"/>
      <c r="K368" s="364"/>
      <c r="L368" s="364"/>
      <c r="M368" s="364"/>
      <c r="N368" s="364"/>
      <c r="O368" s="388"/>
      <c r="P368" s="364"/>
      <c r="Q368" s="364"/>
      <c r="R368" s="364"/>
      <c r="S368" s="364"/>
      <c r="T368" s="364"/>
      <c r="U368" s="364"/>
      <c r="V368" s="364"/>
      <c r="W368" s="364"/>
      <c r="X368" s="364"/>
      <c r="Y368" s="364"/>
      <c r="Z368" s="364"/>
      <c r="AA368" s="364"/>
      <c r="AB368" s="364"/>
      <c r="AC368" s="364"/>
      <c r="AD368" s="364"/>
    </row>
    <row r="369">
      <c r="A369" s="364"/>
      <c r="B369" s="364"/>
      <c r="C369" s="364"/>
      <c r="D369" s="364"/>
      <c r="E369" s="364"/>
      <c r="F369" s="364"/>
      <c r="G369" s="364"/>
      <c r="H369" s="364"/>
      <c r="I369" s="364"/>
      <c r="J369" s="364"/>
      <c r="K369" s="364"/>
      <c r="L369" s="364"/>
      <c r="M369" s="364"/>
      <c r="N369" s="364"/>
      <c r="O369" s="388"/>
      <c r="P369" s="364"/>
      <c r="Q369" s="364"/>
      <c r="R369" s="364"/>
      <c r="S369" s="364"/>
      <c r="T369" s="364"/>
      <c r="U369" s="364"/>
      <c r="V369" s="364"/>
      <c r="W369" s="364"/>
      <c r="X369" s="364"/>
      <c r="Y369" s="364"/>
      <c r="Z369" s="364"/>
      <c r="AA369" s="364"/>
      <c r="AB369" s="364"/>
      <c r="AC369" s="364"/>
      <c r="AD369" s="364"/>
    </row>
    <row r="370">
      <c r="A370" s="364"/>
      <c r="B370" s="364"/>
      <c r="C370" s="364"/>
      <c r="D370" s="364"/>
      <c r="E370" s="364"/>
      <c r="F370" s="364"/>
      <c r="G370" s="364"/>
      <c r="H370" s="364"/>
      <c r="I370" s="364"/>
      <c r="J370" s="364"/>
      <c r="K370" s="364"/>
      <c r="L370" s="364"/>
      <c r="M370" s="364"/>
      <c r="N370" s="364"/>
      <c r="O370" s="388"/>
      <c r="P370" s="364"/>
      <c r="Q370" s="364"/>
      <c r="R370" s="364"/>
      <c r="S370" s="364"/>
      <c r="T370" s="364"/>
      <c r="U370" s="364"/>
      <c r="V370" s="364"/>
      <c r="W370" s="364"/>
      <c r="X370" s="364"/>
      <c r="Y370" s="364"/>
      <c r="Z370" s="364"/>
      <c r="AA370" s="364"/>
      <c r="AB370" s="364"/>
      <c r="AC370" s="364"/>
      <c r="AD370" s="364"/>
    </row>
    <row r="371">
      <c r="A371" s="364"/>
      <c r="B371" s="364"/>
      <c r="C371" s="364"/>
      <c r="D371" s="364"/>
      <c r="E371" s="364"/>
      <c r="F371" s="364"/>
      <c r="G371" s="364"/>
      <c r="H371" s="364"/>
      <c r="I371" s="364"/>
      <c r="J371" s="364"/>
      <c r="K371" s="364"/>
      <c r="L371" s="364"/>
      <c r="M371" s="364"/>
      <c r="N371" s="364"/>
      <c r="O371" s="388"/>
      <c r="P371" s="364"/>
      <c r="Q371" s="364"/>
      <c r="R371" s="364"/>
      <c r="S371" s="364"/>
      <c r="T371" s="364"/>
      <c r="U371" s="364"/>
      <c r="V371" s="364"/>
      <c r="W371" s="364"/>
      <c r="X371" s="364"/>
      <c r="Y371" s="364"/>
      <c r="Z371" s="364"/>
      <c r="AA371" s="364"/>
      <c r="AB371" s="364"/>
      <c r="AC371" s="364"/>
      <c r="AD371" s="364"/>
    </row>
    <row r="372">
      <c r="A372" s="364"/>
      <c r="B372" s="364"/>
      <c r="C372" s="364"/>
      <c r="D372" s="364"/>
      <c r="E372" s="364"/>
      <c r="F372" s="364"/>
      <c r="G372" s="364"/>
      <c r="H372" s="364"/>
      <c r="I372" s="364"/>
      <c r="J372" s="364"/>
      <c r="K372" s="364"/>
      <c r="L372" s="364"/>
      <c r="M372" s="364"/>
      <c r="N372" s="364"/>
      <c r="O372" s="388"/>
      <c r="P372" s="364"/>
      <c r="Q372" s="364"/>
      <c r="R372" s="364"/>
      <c r="S372" s="364"/>
      <c r="T372" s="364"/>
      <c r="U372" s="364"/>
      <c r="V372" s="364"/>
      <c r="W372" s="364"/>
      <c r="X372" s="364"/>
      <c r="Y372" s="364"/>
      <c r="Z372" s="364"/>
      <c r="AA372" s="364"/>
      <c r="AB372" s="364"/>
      <c r="AC372" s="364"/>
      <c r="AD372" s="364"/>
    </row>
    <row r="373">
      <c r="A373" s="364"/>
      <c r="B373" s="364"/>
      <c r="C373" s="364"/>
      <c r="D373" s="364"/>
      <c r="E373" s="364"/>
      <c r="F373" s="364"/>
      <c r="G373" s="364"/>
      <c r="H373" s="364"/>
      <c r="I373" s="364"/>
      <c r="J373" s="364"/>
      <c r="K373" s="364"/>
      <c r="L373" s="364"/>
      <c r="M373" s="364"/>
      <c r="N373" s="364"/>
      <c r="O373" s="388"/>
      <c r="P373" s="364"/>
      <c r="Q373" s="364"/>
      <c r="R373" s="364"/>
      <c r="S373" s="364"/>
      <c r="T373" s="364"/>
      <c r="U373" s="364"/>
      <c r="V373" s="364"/>
      <c r="W373" s="364"/>
      <c r="X373" s="364"/>
      <c r="Y373" s="364"/>
      <c r="Z373" s="364"/>
      <c r="AA373" s="364"/>
      <c r="AB373" s="364"/>
      <c r="AC373" s="364"/>
      <c r="AD373" s="364"/>
    </row>
    <row r="374">
      <c r="A374" s="364"/>
      <c r="B374" s="364"/>
      <c r="C374" s="364"/>
      <c r="D374" s="364"/>
      <c r="E374" s="364"/>
      <c r="F374" s="364"/>
      <c r="G374" s="364"/>
      <c r="H374" s="364"/>
      <c r="I374" s="364"/>
      <c r="J374" s="364"/>
      <c r="K374" s="364"/>
      <c r="L374" s="364"/>
      <c r="M374" s="364"/>
      <c r="N374" s="364"/>
      <c r="O374" s="388"/>
      <c r="P374" s="364"/>
      <c r="Q374" s="364"/>
      <c r="R374" s="364"/>
      <c r="S374" s="364"/>
      <c r="T374" s="364"/>
      <c r="U374" s="364"/>
      <c r="V374" s="364"/>
      <c r="W374" s="364"/>
      <c r="X374" s="364"/>
      <c r="Y374" s="364"/>
      <c r="Z374" s="364"/>
      <c r="AA374" s="364"/>
      <c r="AB374" s="364"/>
      <c r="AC374" s="364"/>
      <c r="AD374" s="364"/>
    </row>
    <row r="375">
      <c r="A375" s="364"/>
      <c r="B375" s="364"/>
      <c r="C375" s="364"/>
      <c r="D375" s="364"/>
      <c r="E375" s="364"/>
      <c r="F375" s="364"/>
      <c r="G375" s="364"/>
      <c r="H375" s="364"/>
      <c r="I375" s="364"/>
      <c r="J375" s="364"/>
      <c r="K375" s="364"/>
      <c r="L375" s="364"/>
      <c r="M375" s="364"/>
      <c r="N375" s="364"/>
      <c r="O375" s="388"/>
      <c r="P375" s="364"/>
      <c r="Q375" s="364"/>
      <c r="R375" s="364"/>
      <c r="S375" s="364"/>
      <c r="T375" s="364"/>
      <c r="U375" s="364"/>
      <c r="V375" s="364"/>
      <c r="W375" s="364"/>
      <c r="X375" s="364"/>
      <c r="Y375" s="364"/>
      <c r="Z375" s="364"/>
      <c r="AA375" s="364"/>
      <c r="AB375" s="364"/>
      <c r="AC375" s="364"/>
      <c r="AD375" s="364"/>
    </row>
    <row r="376">
      <c r="A376" s="364"/>
      <c r="B376" s="364"/>
      <c r="C376" s="364"/>
      <c r="D376" s="364"/>
      <c r="E376" s="364"/>
      <c r="F376" s="364"/>
      <c r="G376" s="364"/>
      <c r="H376" s="364"/>
      <c r="I376" s="364"/>
      <c r="J376" s="364"/>
      <c r="K376" s="364"/>
      <c r="L376" s="364"/>
      <c r="M376" s="364"/>
      <c r="N376" s="364"/>
      <c r="O376" s="388"/>
      <c r="P376" s="364"/>
      <c r="Q376" s="364"/>
      <c r="R376" s="364"/>
      <c r="S376" s="364"/>
      <c r="T376" s="364"/>
      <c r="U376" s="364"/>
      <c r="V376" s="364"/>
      <c r="W376" s="364"/>
      <c r="X376" s="364"/>
      <c r="Y376" s="364"/>
      <c r="Z376" s="364"/>
      <c r="AA376" s="364"/>
      <c r="AB376" s="364"/>
      <c r="AC376" s="364"/>
      <c r="AD376" s="364"/>
    </row>
    <row r="377">
      <c r="A377" s="364"/>
      <c r="B377" s="364"/>
      <c r="C377" s="364"/>
      <c r="D377" s="364"/>
      <c r="E377" s="364"/>
      <c r="F377" s="364"/>
      <c r="G377" s="364"/>
      <c r="H377" s="364"/>
      <c r="I377" s="364"/>
      <c r="J377" s="364"/>
      <c r="K377" s="364"/>
      <c r="L377" s="364"/>
      <c r="M377" s="364"/>
      <c r="N377" s="364"/>
      <c r="O377" s="388"/>
      <c r="P377" s="364"/>
      <c r="Q377" s="364"/>
      <c r="R377" s="364"/>
      <c r="S377" s="364"/>
      <c r="T377" s="364"/>
      <c r="U377" s="364"/>
      <c r="V377" s="364"/>
      <c r="W377" s="364"/>
      <c r="X377" s="364"/>
      <c r="Y377" s="364"/>
      <c r="Z377" s="364"/>
      <c r="AA377" s="364"/>
      <c r="AB377" s="364"/>
      <c r="AC377" s="364"/>
      <c r="AD377" s="364"/>
    </row>
    <row r="378">
      <c r="A378" s="364"/>
      <c r="B378" s="364"/>
      <c r="C378" s="364"/>
      <c r="D378" s="364"/>
      <c r="E378" s="364"/>
      <c r="F378" s="364"/>
      <c r="G378" s="364"/>
      <c r="H378" s="364"/>
      <c r="I378" s="364"/>
      <c r="J378" s="364"/>
      <c r="K378" s="364"/>
      <c r="L378" s="364"/>
      <c r="M378" s="364"/>
      <c r="N378" s="364"/>
      <c r="O378" s="388"/>
      <c r="P378" s="364"/>
      <c r="Q378" s="364"/>
      <c r="R378" s="364"/>
      <c r="S378" s="364"/>
      <c r="T378" s="364"/>
      <c r="U378" s="364"/>
      <c r="V378" s="364"/>
      <c r="W378" s="364"/>
      <c r="X378" s="364"/>
      <c r="Y378" s="364"/>
      <c r="Z378" s="364"/>
      <c r="AA378" s="364"/>
      <c r="AB378" s="364"/>
      <c r="AC378" s="364"/>
      <c r="AD378" s="364"/>
    </row>
    <row r="379">
      <c r="A379" s="364"/>
      <c r="B379" s="364"/>
      <c r="C379" s="364"/>
      <c r="D379" s="364"/>
      <c r="E379" s="364"/>
      <c r="F379" s="364"/>
      <c r="G379" s="364"/>
      <c r="H379" s="364"/>
      <c r="I379" s="364"/>
      <c r="J379" s="364"/>
      <c r="K379" s="364"/>
      <c r="L379" s="364"/>
      <c r="M379" s="364"/>
      <c r="N379" s="364"/>
      <c r="O379" s="388"/>
      <c r="P379" s="364"/>
      <c r="Q379" s="364"/>
      <c r="R379" s="364"/>
      <c r="S379" s="364"/>
      <c r="T379" s="364"/>
      <c r="U379" s="364"/>
      <c r="V379" s="364"/>
      <c r="W379" s="364"/>
      <c r="X379" s="364"/>
      <c r="Y379" s="364"/>
      <c r="Z379" s="364"/>
      <c r="AA379" s="364"/>
      <c r="AB379" s="364"/>
      <c r="AC379" s="364"/>
      <c r="AD379" s="364"/>
    </row>
    <row r="380">
      <c r="A380" s="364"/>
      <c r="B380" s="364"/>
      <c r="C380" s="364"/>
      <c r="D380" s="364"/>
      <c r="E380" s="364"/>
      <c r="F380" s="364"/>
      <c r="G380" s="364"/>
      <c r="H380" s="364"/>
      <c r="I380" s="364"/>
      <c r="J380" s="364"/>
      <c r="K380" s="364"/>
      <c r="L380" s="364"/>
      <c r="M380" s="364"/>
      <c r="N380" s="364"/>
      <c r="O380" s="388"/>
      <c r="P380" s="364"/>
      <c r="Q380" s="364"/>
      <c r="R380" s="364"/>
      <c r="S380" s="364"/>
      <c r="T380" s="364"/>
      <c r="U380" s="364"/>
      <c r="V380" s="364"/>
      <c r="W380" s="364"/>
      <c r="X380" s="364"/>
      <c r="Y380" s="364"/>
      <c r="Z380" s="364"/>
      <c r="AA380" s="364"/>
      <c r="AB380" s="364"/>
      <c r="AC380" s="364"/>
      <c r="AD380" s="364"/>
    </row>
    <row r="381">
      <c r="A381" s="364"/>
      <c r="B381" s="364"/>
      <c r="C381" s="364"/>
      <c r="D381" s="364"/>
      <c r="E381" s="364"/>
      <c r="F381" s="364"/>
      <c r="G381" s="364"/>
      <c r="H381" s="364"/>
      <c r="I381" s="364"/>
      <c r="J381" s="364"/>
      <c r="K381" s="364"/>
      <c r="L381" s="364"/>
      <c r="M381" s="364"/>
      <c r="N381" s="364"/>
      <c r="O381" s="388"/>
      <c r="P381" s="364"/>
      <c r="Q381" s="364"/>
      <c r="R381" s="364"/>
      <c r="S381" s="364"/>
      <c r="T381" s="364"/>
      <c r="U381" s="364"/>
      <c r="V381" s="364"/>
      <c r="W381" s="364"/>
      <c r="X381" s="364"/>
      <c r="Y381" s="364"/>
      <c r="Z381" s="364"/>
      <c r="AA381" s="364"/>
      <c r="AB381" s="364"/>
      <c r="AC381" s="364"/>
      <c r="AD381" s="364"/>
    </row>
    <row r="382">
      <c r="A382" s="364"/>
      <c r="B382" s="364"/>
      <c r="C382" s="364"/>
      <c r="D382" s="364"/>
      <c r="E382" s="364"/>
      <c r="F382" s="364"/>
      <c r="G382" s="364"/>
      <c r="H382" s="364"/>
      <c r="I382" s="364"/>
      <c r="J382" s="364"/>
      <c r="K382" s="364"/>
      <c r="L382" s="364"/>
      <c r="M382" s="364"/>
      <c r="N382" s="364"/>
      <c r="O382" s="388"/>
      <c r="P382" s="364"/>
      <c r="Q382" s="364"/>
      <c r="R382" s="364"/>
      <c r="S382" s="364"/>
      <c r="T382" s="364"/>
      <c r="U382" s="364"/>
      <c r="V382" s="364"/>
      <c r="W382" s="364"/>
      <c r="X382" s="364"/>
      <c r="Y382" s="364"/>
      <c r="Z382" s="364"/>
      <c r="AA382" s="364"/>
      <c r="AB382" s="364"/>
      <c r="AC382" s="364"/>
      <c r="AD382" s="364"/>
    </row>
    <row r="383">
      <c r="A383" s="364"/>
      <c r="B383" s="364"/>
      <c r="C383" s="364"/>
      <c r="D383" s="364"/>
      <c r="E383" s="364"/>
      <c r="F383" s="364"/>
      <c r="G383" s="364"/>
      <c r="H383" s="364"/>
      <c r="I383" s="364"/>
      <c r="J383" s="364"/>
      <c r="K383" s="364"/>
      <c r="L383" s="364"/>
      <c r="M383" s="364"/>
      <c r="N383" s="364"/>
      <c r="O383" s="388"/>
      <c r="P383" s="364"/>
      <c r="Q383" s="364"/>
      <c r="R383" s="364"/>
      <c r="S383" s="364"/>
      <c r="T383" s="364"/>
      <c r="U383" s="364"/>
      <c r="V383" s="364"/>
      <c r="W383" s="364"/>
      <c r="X383" s="364"/>
      <c r="Y383" s="364"/>
      <c r="Z383" s="364"/>
      <c r="AA383" s="364"/>
      <c r="AB383" s="364"/>
      <c r="AC383" s="364"/>
      <c r="AD383" s="364"/>
    </row>
    <row r="384">
      <c r="A384" s="364"/>
      <c r="B384" s="364"/>
      <c r="C384" s="364"/>
      <c r="D384" s="364"/>
      <c r="E384" s="364"/>
      <c r="F384" s="364"/>
      <c r="G384" s="364"/>
      <c r="H384" s="364"/>
      <c r="I384" s="364"/>
      <c r="J384" s="364"/>
      <c r="K384" s="364"/>
      <c r="L384" s="364"/>
      <c r="M384" s="364"/>
      <c r="N384" s="364"/>
      <c r="O384" s="388"/>
      <c r="P384" s="364"/>
      <c r="Q384" s="364"/>
      <c r="R384" s="364"/>
      <c r="S384" s="364"/>
      <c r="T384" s="364"/>
      <c r="U384" s="364"/>
      <c r="V384" s="364"/>
      <c r="W384" s="364"/>
      <c r="X384" s="364"/>
      <c r="Y384" s="364"/>
      <c r="Z384" s="364"/>
      <c r="AA384" s="364"/>
      <c r="AB384" s="364"/>
      <c r="AC384" s="364"/>
      <c r="AD384" s="364"/>
    </row>
    <row r="385">
      <c r="A385" s="364"/>
      <c r="B385" s="364"/>
      <c r="C385" s="364"/>
      <c r="D385" s="364"/>
      <c r="E385" s="364"/>
      <c r="F385" s="364"/>
      <c r="G385" s="364"/>
      <c r="H385" s="364"/>
      <c r="I385" s="364"/>
      <c r="J385" s="364"/>
      <c r="K385" s="364"/>
      <c r="L385" s="364"/>
      <c r="M385" s="364"/>
      <c r="N385" s="364"/>
      <c r="O385" s="388"/>
      <c r="P385" s="364"/>
      <c r="Q385" s="364"/>
      <c r="R385" s="364"/>
      <c r="S385" s="364"/>
      <c r="T385" s="364"/>
      <c r="U385" s="364"/>
      <c r="V385" s="364"/>
      <c r="W385" s="364"/>
      <c r="X385" s="364"/>
      <c r="Y385" s="364"/>
      <c r="Z385" s="364"/>
      <c r="AA385" s="364"/>
      <c r="AB385" s="364"/>
      <c r="AC385" s="364"/>
      <c r="AD385" s="364"/>
    </row>
    <row r="386">
      <c r="A386" s="364"/>
      <c r="B386" s="364"/>
      <c r="C386" s="364"/>
      <c r="D386" s="364"/>
      <c r="E386" s="364"/>
      <c r="F386" s="364"/>
      <c r="G386" s="364"/>
      <c r="H386" s="364"/>
      <c r="I386" s="364"/>
      <c r="J386" s="364"/>
      <c r="K386" s="364"/>
      <c r="L386" s="364"/>
      <c r="M386" s="364"/>
      <c r="N386" s="364"/>
      <c r="O386" s="388"/>
      <c r="P386" s="364"/>
      <c r="Q386" s="364"/>
      <c r="R386" s="364"/>
      <c r="S386" s="364"/>
      <c r="T386" s="364"/>
      <c r="U386" s="364"/>
      <c r="V386" s="364"/>
      <c r="W386" s="364"/>
      <c r="X386" s="364"/>
      <c r="Y386" s="364"/>
      <c r="Z386" s="364"/>
      <c r="AA386" s="364"/>
      <c r="AB386" s="364"/>
      <c r="AC386" s="364"/>
      <c r="AD386" s="364"/>
    </row>
    <row r="387">
      <c r="A387" s="364"/>
      <c r="B387" s="364"/>
      <c r="C387" s="364"/>
      <c r="D387" s="364"/>
      <c r="E387" s="364"/>
      <c r="F387" s="364"/>
      <c r="G387" s="364"/>
      <c r="H387" s="364"/>
      <c r="I387" s="364"/>
      <c r="J387" s="364"/>
      <c r="K387" s="364"/>
      <c r="L387" s="364"/>
      <c r="M387" s="364"/>
      <c r="N387" s="364"/>
      <c r="O387" s="388"/>
      <c r="P387" s="364"/>
      <c r="Q387" s="364"/>
      <c r="R387" s="364"/>
      <c r="S387" s="364"/>
      <c r="T387" s="364"/>
      <c r="U387" s="364"/>
      <c r="V387" s="364"/>
      <c r="W387" s="364"/>
      <c r="X387" s="364"/>
      <c r="Y387" s="364"/>
      <c r="Z387" s="364"/>
      <c r="AA387" s="364"/>
      <c r="AB387" s="364"/>
      <c r="AC387" s="364"/>
      <c r="AD387" s="364"/>
    </row>
    <row r="388">
      <c r="A388" s="364"/>
      <c r="B388" s="364"/>
      <c r="C388" s="364"/>
      <c r="D388" s="364"/>
      <c r="E388" s="364"/>
      <c r="F388" s="364"/>
      <c r="G388" s="364"/>
      <c r="H388" s="364"/>
      <c r="I388" s="364"/>
      <c r="J388" s="364"/>
      <c r="K388" s="364"/>
      <c r="L388" s="364"/>
      <c r="M388" s="364"/>
      <c r="N388" s="364"/>
      <c r="O388" s="388"/>
      <c r="P388" s="364"/>
      <c r="Q388" s="364"/>
      <c r="R388" s="364"/>
      <c r="S388" s="364"/>
      <c r="T388" s="364"/>
      <c r="U388" s="364"/>
      <c r="V388" s="364"/>
      <c r="W388" s="364"/>
      <c r="X388" s="364"/>
      <c r="Y388" s="364"/>
      <c r="Z388" s="364"/>
      <c r="AA388" s="364"/>
      <c r="AB388" s="364"/>
      <c r="AC388" s="364"/>
      <c r="AD388" s="364"/>
    </row>
    <row r="389">
      <c r="A389" s="364"/>
      <c r="B389" s="364"/>
      <c r="C389" s="364"/>
      <c r="D389" s="364"/>
      <c r="E389" s="364"/>
      <c r="F389" s="364"/>
      <c r="G389" s="364"/>
      <c r="H389" s="364"/>
      <c r="I389" s="364"/>
      <c r="J389" s="364"/>
      <c r="K389" s="364"/>
      <c r="L389" s="364"/>
      <c r="M389" s="364"/>
      <c r="N389" s="364"/>
      <c r="O389" s="388"/>
      <c r="P389" s="364"/>
      <c r="Q389" s="364"/>
      <c r="R389" s="364"/>
      <c r="S389" s="364"/>
      <c r="T389" s="364"/>
      <c r="U389" s="364"/>
      <c r="V389" s="364"/>
      <c r="W389" s="364"/>
      <c r="X389" s="364"/>
      <c r="Y389" s="364"/>
      <c r="Z389" s="364"/>
      <c r="AA389" s="364"/>
      <c r="AB389" s="364"/>
      <c r="AC389" s="364"/>
      <c r="AD389" s="364"/>
    </row>
    <row r="390">
      <c r="A390" s="364"/>
      <c r="B390" s="364"/>
      <c r="C390" s="364"/>
      <c r="D390" s="364"/>
      <c r="E390" s="364"/>
      <c r="F390" s="364"/>
      <c r="G390" s="364"/>
      <c r="H390" s="364"/>
      <c r="I390" s="364"/>
      <c r="J390" s="364"/>
      <c r="K390" s="364"/>
      <c r="L390" s="364"/>
      <c r="M390" s="364"/>
      <c r="N390" s="364"/>
      <c r="O390" s="388"/>
      <c r="P390" s="364"/>
      <c r="Q390" s="364"/>
      <c r="R390" s="364"/>
      <c r="S390" s="364"/>
      <c r="T390" s="364"/>
      <c r="U390" s="364"/>
      <c r="V390" s="364"/>
      <c r="W390" s="364"/>
      <c r="X390" s="364"/>
      <c r="Y390" s="364"/>
      <c r="Z390" s="364"/>
      <c r="AA390" s="364"/>
      <c r="AB390" s="364"/>
      <c r="AC390" s="364"/>
      <c r="AD390" s="364"/>
    </row>
    <row r="391">
      <c r="A391" s="364"/>
      <c r="B391" s="364"/>
      <c r="C391" s="364"/>
      <c r="D391" s="364"/>
      <c r="E391" s="364"/>
      <c r="F391" s="364"/>
      <c r="G391" s="364"/>
      <c r="H391" s="364"/>
      <c r="I391" s="364"/>
      <c r="J391" s="364"/>
      <c r="K391" s="364"/>
      <c r="L391" s="364"/>
      <c r="M391" s="364"/>
      <c r="N391" s="364"/>
      <c r="O391" s="388"/>
      <c r="P391" s="364"/>
      <c r="Q391" s="364"/>
      <c r="R391" s="364"/>
      <c r="S391" s="364"/>
      <c r="T391" s="364"/>
      <c r="U391" s="364"/>
      <c r="V391" s="364"/>
      <c r="W391" s="364"/>
      <c r="X391" s="364"/>
      <c r="Y391" s="364"/>
      <c r="Z391" s="364"/>
      <c r="AA391" s="364"/>
      <c r="AB391" s="364"/>
      <c r="AC391" s="364"/>
      <c r="AD391" s="364"/>
    </row>
    <row r="392">
      <c r="A392" s="364"/>
      <c r="B392" s="364"/>
      <c r="C392" s="364"/>
      <c r="D392" s="364"/>
      <c r="E392" s="364"/>
      <c r="F392" s="364"/>
      <c r="G392" s="364"/>
      <c r="H392" s="364"/>
      <c r="I392" s="364"/>
      <c r="J392" s="364"/>
      <c r="K392" s="364"/>
      <c r="L392" s="364"/>
      <c r="M392" s="364"/>
      <c r="N392" s="364"/>
      <c r="O392" s="388"/>
      <c r="P392" s="364"/>
      <c r="Q392" s="364"/>
      <c r="R392" s="364"/>
      <c r="S392" s="364"/>
      <c r="T392" s="364"/>
      <c r="U392" s="364"/>
      <c r="V392" s="364"/>
      <c r="W392" s="364"/>
      <c r="X392" s="364"/>
      <c r="Y392" s="364"/>
      <c r="Z392" s="364"/>
      <c r="AA392" s="364"/>
      <c r="AB392" s="364"/>
      <c r="AC392" s="364"/>
      <c r="AD392" s="364"/>
    </row>
    <row r="393">
      <c r="A393" s="364"/>
      <c r="B393" s="364"/>
      <c r="C393" s="364"/>
      <c r="D393" s="364"/>
      <c r="E393" s="364"/>
      <c r="F393" s="364"/>
      <c r="G393" s="364"/>
      <c r="H393" s="364"/>
      <c r="I393" s="364"/>
      <c r="J393" s="364"/>
      <c r="K393" s="364"/>
      <c r="L393" s="364"/>
      <c r="M393" s="364"/>
      <c r="N393" s="364"/>
      <c r="O393" s="388"/>
      <c r="P393" s="364"/>
      <c r="Q393" s="364"/>
      <c r="R393" s="364"/>
      <c r="S393" s="364"/>
      <c r="T393" s="364"/>
      <c r="U393" s="364"/>
      <c r="V393" s="364"/>
      <c r="W393" s="364"/>
      <c r="X393" s="364"/>
      <c r="Y393" s="364"/>
      <c r="Z393" s="364"/>
      <c r="AA393" s="364"/>
      <c r="AB393" s="364"/>
      <c r="AC393" s="364"/>
      <c r="AD393" s="364"/>
    </row>
    <row r="394">
      <c r="A394" s="364"/>
      <c r="B394" s="364"/>
      <c r="C394" s="364"/>
      <c r="D394" s="364"/>
      <c r="E394" s="364"/>
      <c r="F394" s="364"/>
      <c r="G394" s="364"/>
      <c r="H394" s="364"/>
      <c r="I394" s="364"/>
      <c r="J394" s="364"/>
      <c r="K394" s="364"/>
      <c r="L394" s="364"/>
      <c r="M394" s="364"/>
      <c r="N394" s="364"/>
      <c r="O394" s="388"/>
      <c r="P394" s="364"/>
      <c r="Q394" s="364"/>
      <c r="R394" s="364"/>
      <c r="S394" s="364"/>
      <c r="T394" s="364"/>
      <c r="U394" s="364"/>
      <c r="V394" s="364"/>
      <c r="W394" s="364"/>
      <c r="X394" s="364"/>
      <c r="Y394" s="364"/>
      <c r="Z394" s="364"/>
      <c r="AA394" s="364"/>
      <c r="AB394" s="364"/>
      <c r="AC394" s="364"/>
      <c r="AD394" s="364"/>
    </row>
    <row r="395">
      <c r="A395" s="364"/>
      <c r="B395" s="364"/>
      <c r="C395" s="364"/>
      <c r="D395" s="364"/>
      <c r="E395" s="364"/>
      <c r="F395" s="364"/>
      <c r="G395" s="364"/>
      <c r="H395" s="364"/>
      <c r="I395" s="364"/>
      <c r="J395" s="364"/>
      <c r="K395" s="364"/>
      <c r="L395" s="364"/>
      <c r="M395" s="364"/>
      <c r="N395" s="364"/>
      <c r="O395" s="388"/>
      <c r="P395" s="364"/>
      <c r="Q395" s="364"/>
      <c r="R395" s="364"/>
      <c r="S395" s="364"/>
      <c r="T395" s="364"/>
      <c r="U395" s="364"/>
      <c r="V395" s="364"/>
      <c r="W395" s="364"/>
      <c r="X395" s="364"/>
      <c r="Y395" s="364"/>
      <c r="Z395" s="364"/>
      <c r="AA395" s="364"/>
      <c r="AB395" s="364"/>
      <c r="AC395" s="364"/>
      <c r="AD395" s="364"/>
    </row>
    <row r="396">
      <c r="A396" s="364"/>
      <c r="B396" s="364"/>
      <c r="C396" s="364"/>
      <c r="D396" s="364"/>
      <c r="E396" s="364"/>
      <c r="F396" s="364"/>
      <c r="G396" s="364"/>
      <c r="H396" s="364"/>
      <c r="I396" s="364"/>
      <c r="J396" s="364"/>
      <c r="K396" s="364"/>
      <c r="L396" s="364"/>
      <c r="M396" s="364"/>
      <c r="N396" s="364"/>
      <c r="O396" s="388"/>
      <c r="P396" s="364"/>
      <c r="Q396" s="364"/>
      <c r="R396" s="364"/>
      <c r="S396" s="364"/>
      <c r="T396" s="364"/>
      <c r="U396" s="364"/>
      <c r="V396" s="364"/>
      <c r="W396" s="364"/>
      <c r="X396" s="364"/>
      <c r="Y396" s="364"/>
      <c r="Z396" s="364"/>
      <c r="AA396" s="364"/>
      <c r="AB396" s="364"/>
      <c r="AC396" s="364"/>
      <c r="AD396" s="364"/>
    </row>
    <row r="397">
      <c r="A397" s="364"/>
      <c r="B397" s="364"/>
      <c r="C397" s="364"/>
      <c r="D397" s="364"/>
      <c r="E397" s="364"/>
      <c r="F397" s="364"/>
      <c r="G397" s="364"/>
      <c r="H397" s="364"/>
      <c r="I397" s="364"/>
      <c r="J397" s="364"/>
      <c r="K397" s="364"/>
      <c r="L397" s="364"/>
      <c r="M397" s="364"/>
      <c r="N397" s="364"/>
      <c r="O397" s="388"/>
      <c r="P397" s="364"/>
      <c r="Q397" s="364"/>
      <c r="R397" s="364"/>
      <c r="S397" s="364"/>
      <c r="T397" s="364"/>
      <c r="U397" s="364"/>
      <c r="V397" s="364"/>
      <c r="W397" s="364"/>
      <c r="X397" s="364"/>
      <c r="Y397" s="364"/>
      <c r="Z397" s="364"/>
      <c r="AA397" s="364"/>
      <c r="AB397" s="364"/>
      <c r="AC397" s="364"/>
      <c r="AD397" s="364"/>
    </row>
    <row r="398">
      <c r="A398" s="364"/>
      <c r="B398" s="364"/>
      <c r="C398" s="364"/>
      <c r="D398" s="364"/>
      <c r="E398" s="364"/>
      <c r="F398" s="364"/>
      <c r="G398" s="364"/>
      <c r="H398" s="364"/>
      <c r="I398" s="364"/>
      <c r="J398" s="364"/>
      <c r="K398" s="364"/>
      <c r="L398" s="364"/>
      <c r="M398" s="364"/>
      <c r="N398" s="364"/>
      <c r="O398" s="388"/>
      <c r="P398" s="364"/>
      <c r="Q398" s="364"/>
      <c r="R398" s="364"/>
      <c r="S398" s="364"/>
      <c r="T398" s="364"/>
      <c r="U398" s="364"/>
      <c r="V398" s="364"/>
      <c r="W398" s="364"/>
      <c r="X398" s="364"/>
      <c r="Y398" s="364"/>
      <c r="Z398" s="364"/>
      <c r="AA398" s="364"/>
      <c r="AB398" s="364"/>
      <c r="AC398" s="364"/>
      <c r="AD398" s="364"/>
    </row>
    <row r="399">
      <c r="A399" s="364"/>
      <c r="B399" s="364"/>
      <c r="C399" s="364"/>
      <c r="D399" s="364"/>
      <c r="E399" s="364"/>
      <c r="F399" s="364"/>
      <c r="G399" s="364"/>
      <c r="H399" s="364"/>
      <c r="I399" s="364"/>
      <c r="J399" s="364"/>
      <c r="K399" s="364"/>
      <c r="L399" s="364"/>
      <c r="M399" s="364"/>
      <c r="N399" s="364"/>
      <c r="O399" s="388"/>
      <c r="P399" s="364"/>
      <c r="Q399" s="364"/>
      <c r="R399" s="364"/>
      <c r="S399" s="364"/>
      <c r="T399" s="364"/>
      <c r="U399" s="364"/>
      <c r="V399" s="364"/>
      <c r="W399" s="364"/>
      <c r="X399" s="364"/>
      <c r="Y399" s="364"/>
      <c r="Z399" s="364"/>
      <c r="AA399" s="364"/>
      <c r="AB399" s="364"/>
      <c r="AC399" s="364"/>
      <c r="AD399" s="364"/>
    </row>
    <row r="400">
      <c r="A400" s="364"/>
      <c r="B400" s="364"/>
      <c r="C400" s="364"/>
      <c r="D400" s="364"/>
      <c r="E400" s="364"/>
      <c r="F400" s="364"/>
      <c r="G400" s="364"/>
      <c r="H400" s="364"/>
      <c r="I400" s="364"/>
      <c r="J400" s="364"/>
      <c r="K400" s="364"/>
      <c r="L400" s="364"/>
      <c r="M400" s="364"/>
      <c r="N400" s="364"/>
      <c r="O400" s="388"/>
      <c r="P400" s="364"/>
      <c r="Q400" s="364"/>
      <c r="R400" s="364"/>
      <c r="S400" s="364"/>
      <c r="T400" s="364"/>
      <c r="U400" s="364"/>
      <c r="V400" s="364"/>
      <c r="W400" s="364"/>
      <c r="X400" s="364"/>
      <c r="Y400" s="364"/>
      <c r="Z400" s="364"/>
      <c r="AA400" s="364"/>
      <c r="AB400" s="364"/>
      <c r="AC400" s="364"/>
      <c r="AD400" s="364"/>
    </row>
    <row r="401">
      <c r="A401" s="364"/>
      <c r="B401" s="364"/>
      <c r="C401" s="364"/>
      <c r="D401" s="364"/>
      <c r="E401" s="364"/>
      <c r="F401" s="364"/>
      <c r="G401" s="364"/>
      <c r="H401" s="364"/>
      <c r="I401" s="364"/>
      <c r="J401" s="364"/>
      <c r="K401" s="364"/>
      <c r="L401" s="364"/>
      <c r="M401" s="364"/>
      <c r="N401" s="364"/>
      <c r="O401" s="388"/>
      <c r="P401" s="364"/>
      <c r="Q401" s="364"/>
      <c r="R401" s="364"/>
      <c r="S401" s="364"/>
      <c r="T401" s="364"/>
      <c r="U401" s="364"/>
      <c r="V401" s="364"/>
      <c r="W401" s="364"/>
      <c r="X401" s="364"/>
      <c r="Y401" s="364"/>
      <c r="Z401" s="364"/>
      <c r="AA401" s="364"/>
      <c r="AB401" s="364"/>
      <c r="AC401" s="364"/>
      <c r="AD401" s="364"/>
    </row>
    <row r="402">
      <c r="A402" s="364"/>
      <c r="B402" s="364"/>
      <c r="C402" s="364"/>
      <c r="D402" s="364"/>
      <c r="E402" s="364"/>
      <c r="F402" s="364"/>
      <c r="G402" s="364"/>
      <c r="H402" s="364"/>
      <c r="I402" s="364"/>
      <c r="J402" s="364"/>
      <c r="K402" s="364"/>
      <c r="L402" s="364"/>
      <c r="M402" s="364"/>
      <c r="N402" s="364"/>
      <c r="O402" s="388"/>
      <c r="P402" s="364"/>
      <c r="Q402" s="364"/>
      <c r="R402" s="364"/>
      <c r="S402" s="364"/>
      <c r="T402" s="364"/>
      <c r="U402" s="364"/>
      <c r="V402" s="364"/>
      <c r="W402" s="364"/>
      <c r="X402" s="364"/>
      <c r="Y402" s="364"/>
      <c r="Z402" s="364"/>
      <c r="AA402" s="364"/>
      <c r="AB402" s="364"/>
      <c r="AC402" s="364"/>
      <c r="AD402" s="364"/>
    </row>
    <row r="403">
      <c r="A403" s="364"/>
      <c r="B403" s="364"/>
      <c r="C403" s="364"/>
      <c r="D403" s="364"/>
      <c r="E403" s="364"/>
      <c r="F403" s="364"/>
      <c r="G403" s="364"/>
      <c r="H403" s="364"/>
      <c r="I403" s="364"/>
      <c r="J403" s="364"/>
      <c r="K403" s="364"/>
      <c r="L403" s="364"/>
      <c r="M403" s="364"/>
      <c r="N403" s="364"/>
      <c r="O403" s="388"/>
      <c r="P403" s="364"/>
      <c r="Q403" s="364"/>
      <c r="R403" s="364"/>
      <c r="S403" s="364"/>
      <c r="T403" s="364"/>
      <c r="U403" s="364"/>
      <c r="V403" s="364"/>
      <c r="W403" s="364"/>
      <c r="X403" s="364"/>
      <c r="Y403" s="364"/>
      <c r="Z403" s="364"/>
      <c r="AA403" s="364"/>
      <c r="AB403" s="364"/>
      <c r="AC403" s="364"/>
      <c r="AD403" s="364"/>
    </row>
    <row r="404">
      <c r="A404" s="364"/>
      <c r="B404" s="364"/>
      <c r="C404" s="364"/>
      <c r="D404" s="364"/>
      <c r="E404" s="364"/>
      <c r="F404" s="364"/>
      <c r="G404" s="364"/>
      <c r="H404" s="364"/>
      <c r="I404" s="364"/>
      <c r="J404" s="364"/>
      <c r="K404" s="364"/>
      <c r="L404" s="364"/>
      <c r="M404" s="364"/>
      <c r="N404" s="364"/>
      <c r="O404" s="388"/>
      <c r="P404" s="364"/>
      <c r="Q404" s="364"/>
      <c r="R404" s="364"/>
      <c r="S404" s="364"/>
      <c r="T404" s="364"/>
      <c r="U404" s="364"/>
      <c r="V404" s="364"/>
      <c r="W404" s="364"/>
      <c r="X404" s="364"/>
      <c r="Y404" s="364"/>
      <c r="Z404" s="364"/>
      <c r="AA404" s="364"/>
      <c r="AB404" s="364"/>
      <c r="AC404" s="364"/>
      <c r="AD404" s="364"/>
    </row>
    <row r="405">
      <c r="A405" s="364"/>
      <c r="B405" s="364"/>
      <c r="C405" s="364"/>
      <c r="D405" s="364"/>
      <c r="E405" s="364"/>
      <c r="F405" s="364"/>
      <c r="G405" s="364"/>
      <c r="H405" s="364"/>
      <c r="I405" s="364"/>
      <c r="J405" s="364"/>
      <c r="K405" s="364"/>
      <c r="L405" s="364"/>
      <c r="M405" s="364"/>
      <c r="N405" s="364"/>
      <c r="O405" s="388"/>
      <c r="P405" s="364"/>
      <c r="Q405" s="364"/>
      <c r="R405" s="364"/>
      <c r="S405" s="364"/>
      <c r="T405" s="364"/>
      <c r="U405" s="364"/>
      <c r="V405" s="364"/>
      <c r="W405" s="364"/>
      <c r="X405" s="364"/>
      <c r="Y405" s="364"/>
      <c r="Z405" s="364"/>
      <c r="AA405" s="364"/>
      <c r="AB405" s="364"/>
      <c r="AC405" s="364"/>
      <c r="AD405" s="364"/>
    </row>
    <row r="406">
      <c r="A406" s="364"/>
      <c r="B406" s="364"/>
      <c r="C406" s="364"/>
      <c r="D406" s="364"/>
      <c r="E406" s="364"/>
      <c r="F406" s="364"/>
      <c r="G406" s="364"/>
      <c r="H406" s="364"/>
      <c r="I406" s="364"/>
      <c r="J406" s="364"/>
      <c r="K406" s="364"/>
      <c r="L406" s="364"/>
      <c r="M406" s="364"/>
      <c r="N406" s="364"/>
      <c r="O406" s="388"/>
      <c r="P406" s="364"/>
      <c r="Q406" s="364"/>
      <c r="R406" s="364"/>
      <c r="S406" s="364"/>
      <c r="T406" s="364"/>
      <c r="U406" s="364"/>
      <c r="V406" s="364"/>
      <c r="W406" s="364"/>
      <c r="X406" s="364"/>
      <c r="Y406" s="364"/>
      <c r="Z406" s="364"/>
      <c r="AA406" s="364"/>
      <c r="AB406" s="364"/>
      <c r="AC406" s="364"/>
      <c r="AD406" s="364"/>
    </row>
    <row r="407">
      <c r="A407" s="364"/>
      <c r="B407" s="364"/>
      <c r="C407" s="364"/>
      <c r="D407" s="364"/>
      <c r="E407" s="364"/>
      <c r="F407" s="364"/>
      <c r="G407" s="364"/>
      <c r="H407" s="364"/>
      <c r="I407" s="364"/>
      <c r="J407" s="364"/>
      <c r="K407" s="364"/>
      <c r="L407" s="364"/>
      <c r="M407" s="364"/>
      <c r="N407" s="364"/>
      <c r="O407" s="388"/>
      <c r="P407" s="364"/>
      <c r="Q407" s="364"/>
      <c r="R407" s="364"/>
      <c r="S407" s="364"/>
      <c r="T407" s="364"/>
      <c r="U407" s="364"/>
      <c r="V407" s="364"/>
      <c r="W407" s="364"/>
      <c r="X407" s="364"/>
      <c r="Y407" s="364"/>
      <c r="Z407" s="364"/>
      <c r="AA407" s="364"/>
      <c r="AB407" s="364"/>
      <c r="AC407" s="364"/>
      <c r="AD407" s="364"/>
    </row>
    <row r="408">
      <c r="A408" s="364"/>
      <c r="B408" s="364"/>
      <c r="C408" s="364"/>
      <c r="D408" s="364"/>
      <c r="E408" s="364"/>
      <c r="F408" s="364"/>
      <c r="G408" s="364"/>
      <c r="H408" s="364"/>
      <c r="I408" s="364"/>
      <c r="J408" s="364"/>
      <c r="K408" s="364"/>
      <c r="L408" s="364"/>
      <c r="M408" s="364"/>
      <c r="N408" s="364"/>
      <c r="O408" s="388"/>
      <c r="P408" s="364"/>
      <c r="Q408" s="364"/>
      <c r="R408" s="364"/>
      <c r="S408" s="364"/>
      <c r="T408" s="364"/>
      <c r="U408" s="364"/>
      <c r="V408" s="364"/>
      <c r="W408" s="364"/>
      <c r="X408" s="364"/>
      <c r="Y408" s="364"/>
      <c r="Z408" s="364"/>
      <c r="AA408" s="364"/>
      <c r="AB408" s="364"/>
      <c r="AC408" s="364"/>
      <c r="AD408" s="364"/>
    </row>
    <row r="409">
      <c r="A409" s="364"/>
      <c r="B409" s="364"/>
      <c r="C409" s="364"/>
      <c r="D409" s="364"/>
      <c r="E409" s="364"/>
      <c r="F409" s="364"/>
      <c r="G409" s="364"/>
      <c r="H409" s="364"/>
      <c r="I409" s="364"/>
      <c r="J409" s="364"/>
      <c r="K409" s="364"/>
      <c r="L409" s="364"/>
      <c r="M409" s="364"/>
      <c r="N409" s="364"/>
      <c r="O409" s="388"/>
      <c r="P409" s="364"/>
      <c r="Q409" s="364"/>
      <c r="R409" s="364"/>
      <c r="S409" s="364"/>
      <c r="T409" s="364"/>
      <c r="U409" s="364"/>
      <c r="V409" s="364"/>
      <c r="W409" s="364"/>
      <c r="X409" s="364"/>
      <c r="Y409" s="364"/>
      <c r="Z409" s="364"/>
      <c r="AA409" s="364"/>
      <c r="AB409" s="364"/>
      <c r="AC409" s="364"/>
      <c r="AD409" s="364"/>
    </row>
    <row r="410">
      <c r="A410" s="364"/>
      <c r="B410" s="364"/>
      <c r="C410" s="364"/>
      <c r="D410" s="364"/>
      <c r="E410" s="364"/>
      <c r="F410" s="364"/>
      <c r="G410" s="364"/>
      <c r="H410" s="364"/>
      <c r="I410" s="364"/>
      <c r="J410" s="364"/>
      <c r="K410" s="364"/>
      <c r="L410" s="364"/>
      <c r="M410" s="364"/>
      <c r="N410" s="364"/>
      <c r="O410" s="388"/>
      <c r="P410" s="364"/>
      <c r="Q410" s="364"/>
      <c r="R410" s="364"/>
      <c r="S410" s="364"/>
      <c r="T410" s="364"/>
      <c r="U410" s="364"/>
      <c r="V410" s="364"/>
      <c r="W410" s="364"/>
      <c r="X410" s="364"/>
      <c r="Y410" s="364"/>
      <c r="Z410" s="364"/>
      <c r="AA410" s="364"/>
      <c r="AB410" s="364"/>
      <c r="AC410" s="364"/>
      <c r="AD410" s="364"/>
    </row>
    <row r="411">
      <c r="A411" s="364"/>
      <c r="B411" s="364"/>
      <c r="C411" s="364"/>
      <c r="D411" s="364"/>
      <c r="E411" s="364"/>
      <c r="F411" s="364"/>
      <c r="G411" s="364"/>
      <c r="H411" s="364"/>
      <c r="I411" s="364"/>
      <c r="J411" s="364"/>
      <c r="K411" s="364"/>
      <c r="L411" s="364"/>
      <c r="M411" s="364"/>
      <c r="N411" s="364"/>
      <c r="O411" s="388"/>
      <c r="P411" s="364"/>
      <c r="Q411" s="364"/>
      <c r="R411" s="364"/>
      <c r="S411" s="364"/>
      <c r="T411" s="364"/>
      <c r="U411" s="364"/>
      <c r="V411" s="364"/>
      <c r="W411" s="364"/>
      <c r="X411" s="364"/>
      <c r="Y411" s="364"/>
      <c r="Z411" s="364"/>
      <c r="AA411" s="364"/>
      <c r="AB411" s="364"/>
      <c r="AC411" s="364"/>
      <c r="AD411" s="364"/>
    </row>
    <row r="412">
      <c r="A412" s="364"/>
      <c r="B412" s="364"/>
      <c r="C412" s="364"/>
      <c r="D412" s="364"/>
      <c r="E412" s="364"/>
      <c r="F412" s="364"/>
      <c r="G412" s="364"/>
      <c r="H412" s="364"/>
      <c r="I412" s="364"/>
      <c r="J412" s="364"/>
      <c r="K412" s="364"/>
      <c r="L412" s="364"/>
      <c r="M412" s="364"/>
      <c r="N412" s="364"/>
      <c r="O412" s="388"/>
      <c r="P412" s="364"/>
      <c r="Q412" s="364"/>
      <c r="R412" s="364"/>
      <c r="S412" s="364"/>
      <c r="T412" s="364"/>
      <c r="U412" s="364"/>
      <c r="V412" s="364"/>
      <c r="W412" s="364"/>
      <c r="X412" s="364"/>
      <c r="Y412" s="364"/>
      <c r="Z412" s="364"/>
      <c r="AA412" s="364"/>
      <c r="AB412" s="364"/>
      <c r="AC412" s="364"/>
      <c r="AD412" s="364"/>
    </row>
    <row r="413">
      <c r="A413" s="364"/>
      <c r="B413" s="364"/>
      <c r="C413" s="364"/>
      <c r="D413" s="364"/>
      <c r="E413" s="364"/>
      <c r="F413" s="364"/>
      <c r="G413" s="364"/>
      <c r="H413" s="364"/>
      <c r="I413" s="364"/>
      <c r="J413" s="364"/>
      <c r="K413" s="364"/>
      <c r="L413" s="364"/>
      <c r="M413" s="364"/>
      <c r="N413" s="364"/>
      <c r="O413" s="388"/>
      <c r="P413" s="364"/>
      <c r="Q413" s="364"/>
      <c r="R413" s="364"/>
      <c r="S413" s="364"/>
      <c r="T413" s="364"/>
      <c r="U413" s="364"/>
      <c r="V413" s="364"/>
      <c r="W413" s="364"/>
      <c r="X413" s="364"/>
      <c r="Y413" s="364"/>
      <c r="Z413" s="364"/>
      <c r="AA413" s="364"/>
      <c r="AB413" s="364"/>
      <c r="AC413" s="364"/>
      <c r="AD413" s="364"/>
    </row>
    <row r="414">
      <c r="A414" s="364"/>
      <c r="B414" s="364"/>
      <c r="C414" s="364"/>
      <c r="D414" s="364"/>
      <c r="E414" s="364"/>
      <c r="F414" s="364"/>
      <c r="G414" s="364"/>
      <c r="H414" s="364"/>
      <c r="I414" s="364"/>
      <c r="J414" s="364"/>
      <c r="K414" s="364"/>
      <c r="L414" s="364"/>
      <c r="M414" s="364"/>
      <c r="N414" s="364"/>
      <c r="O414" s="388"/>
      <c r="P414" s="364"/>
      <c r="Q414" s="364"/>
      <c r="R414" s="364"/>
      <c r="S414" s="364"/>
      <c r="T414" s="364"/>
      <c r="U414" s="364"/>
      <c r="V414" s="364"/>
      <c r="W414" s="364"/>
      <c r="X414" s="364"/>
      <c r="Y414" s="364"/>
      <c r="Z414" s="364"/>
      <c r="AA414" s="364"/>
      <c r="AB414" s="364"/>
      <c r="AC414" s="364"/>
      <c r="AD414" s="364"/>
    </row>
    <row r="415">
      <c r="A415" s="364"/>
      <c r="B415" s="364"/>
      <c r="C415" s="364"/>
      <c r="D415" s="364"/>
      <c r="E415" s="364"/>
      <c r="F415" s="364"/>
      <c r="G415" s="364"/>
      <c r="H415" s="364"/>
      <c r="I415" s="364"/>
      <c r="J415" s="364"/>
      <c r="K415" s="364"/>
      <c r="L415" s="364"/>
      <c r="M415" s="364"/>
      <c r="N415" s="364"/>
      <c r="O415" s="388"/>
      <c r="P415" s="364"/>
      <c r="Q415" s="364"/>
      <c r="R415" s="364"/>
      <c r="S415" s="364"/>
      <c r="T415" s="364"/>
      <c r="U415" s="364"/>
      <c r="V415" s="364"/>
      <c r="W415" s="364"/>
      <c r="X415" s="364"/>
      <c r="Y415" s="364"/>
      <c r="Z415" s="364"/>
      <c r="AA415" s="364"/>
      <c r="AB415" s="364"/>
      <c r="AC415" s="364"/>
      <c r="AD415" s="364"/>
    </row>
    <row r="416">
      <c r="A416" s="364"/>
      <c r="B416" s="364"/>
      <c r="C416" s="364"/>
      <c r="D416" s="364"/>
      <c r="E416" s="364"/>
      <c r="F416" s="364"/>
      <c r="G416" s="364"/>
      <c r="H416" s="364"/>
      <c r="I416" s="364"/>
      <c r="J416" s="364"/>
      <c r="K416" s="364"/>
      <c r="L416" s="364"/>
      <c r="M416" s="364"/>
      <c r="N416" s="364"/>
      <c r="O416" s="388"/>
      <c r="P416" s="364"/>
      <c r="Q416" s="364"/>
      <c r="R416" s="364"/>
      <c r="S416" s="364"/>
      <c r="T416" s="364"/>
      <c r="U416" s="364"/>
      <c r="V416" s="364"/>
      <c r="W416" s="364"/>
      <c r="X416" s="364"/>
      <c r="Y416" s="364"/>
      <c r="Z416" s="364"/>
      <c r="AA416" s="364"/>
      <c r="AB416" s="364"/>
      <c r="AC416" s="364"/>
      <c r="AD416" s="364"/>
    </row>
    <row r="417">
      <c r="A417" s="364"/>
      <c r="B417" s="364"/>
      <c r="C417" s="364"/>
      <c r="D417" s="364"/>
      <c r="E417" s="364"/>
      <c r="F417" s="364"/>
      <c r="G417" s="364"/>
      <c r="H417" s="364"/>
      <c r="I417" s="364"/>
      <c r="J417" s="364"/>
      <c r="K417" s="364"/>
      <c r="L417" s="364"/>
      <c r="M417" s="364"/>
      <c r="N417" s="364"/>
      <c r="O417" s="388"/>
      <c r="P417" s="364"/>
      <c r="Q417" s="364"/>
      <c r="R417" s="364"/>
      <c r="S417" s="364"/>
      <c r="T417" s="364"/>
      <c r="U417" s="364"/>
      <c r="V417" s="364"/>
      <c r="W417" s="364"/>
      <c r="X417" s="364"/>
      <c r="Y417" s="364"/>
      <c r="Z417" s="364"/>
      <c r="AA417" s="364"/>
      <c r="AB417" s="364"/>
      <c r="AC417" s="364"/>
      <c r="AD417" s="364"/>
    </row>
    <row r="418">
      <c r="A418" s="364"/>
      <c r="B418" s="364"/>
      <c r="C418" s="364"/>
      <c r="D418" s="364"/>
      <c r="E418" s="364"/>
      <c r="F418" s="364"/>
      <c r="G418" s="364"/>
      <c r="H418" s="364"/>
      <c r="I418" s="364"/>
      <c r="J418" s="364"/>
      <c r="K418" s="364"/>
      <c r="L418" s="364"/>
      <c r="M418" s="364"/>
      <c r="N418" s="364"/>
      <c r="O418" s="388"/>
      <c r="P418" s="364"/>
      <c r="Q418" s="364"/>
      <c r="R418" s="364"/>
      <c r="S418" s="364"/>
      <c r="T418" s="364"/>
      <c r="U418" s="364"/>
      <c r="V418" s="364"/>
      <c r="W418" s="364"/>
      <c r="X418" s="364"/>
      <c r="Y418" s="364"/>
      <c r="Z418" s="364"/>
      <c r="AA418" s="364"/>
      <c r="AB418" s="364"/>
      <c r="AC418" s="364"/>
      <c r="AD418" s="364"/>
    </row>
    <row r="419">
      <c r="A419" s="364"/>
      <c r="B419" s="364"/>
      <c r="C419" s="364"/>
      <c r="D419" s="364"/>
      <c r="E419" s="364"/>
      <c r="F419" s="364"/>
      <c r="G419" s="364"/>
      <c r="H419" s="364"/>
      <c r="I419" s="364"/>
      <c r="J419" s="364"/>
      <c r="K419" s="364"/>
      <c r="L419" s="364"/>
      <c r="M419" s="364"/>
      <c r="N419" s="364"/>
      <c r="O419" s="388"/>
      <c r="P419" s="364"/>
      <c r="Q419" s="364"/>
      <c r="R419" s="364"/>
      <c r="S419" s="364"/>
      <c r="T419" s="364"/>
      <c r="U419" s="364"/>
      <c r="V419" s="364"/>
      <c r="W419" s="364"/>
      <c r="X419" s="364"/>
      <c r="Y419" s="364"/>
      <c r="Z419" s="364"/>
      <c r="AA419" s="364"/>
      <c r="AB419" s="364"/>
      <c r="AC419" s="364"/>
      <c r="AD419" s="364"/>
    </row>
    <row r="420">
      <c r="A420" s="364"/>
      <c r="B420" s="364"/>
      <c r="C420" s="364"/>
      <c r="D420" s="364"/>
      <c r="E420" s="364"/>
      <c r="F420" s="364"/>
      <c r="G420" s="364"/>
      <c r="H420" s="364"/>
      <c r="I420" s="364"/>
      <c r="J420" s="364"/>
      <c r="K420" s="364"/>
      <c r="L420" s="364"/>
      <c r="M420" s="364"/>
      <c r="N420" s="364"/>
      <c r="O420" s="388"/>
      <c r="P420" s="364"/>
      <c r="Q420" s="364"/>
      <c r="R420" s="364"/>
      <c r="S420" s="364"/>
      <c r="T420" s="364"/>
      <c r="U420" s="364"/>
      <c r="V420" s="364"/>
      <c r="W420" s="364"/>
      <c r="X420" s="364"/>
      <c r="Y420" s="364"/>
      <c r="Z420" s="364"/>
      <c r="AA420" s="364"/>
      <c r="AB420" s="364"/>
      <c r="AC420" s="364"/>
      <c r="AD420" s="364"/>
    </row>
    <row r="421">
      <c r="A421" s="364"/>
      <c r="B421" s="364"/>
      <c r="C421" s="364"/>
      <c r="D421" s="364"/>
      <c r="E421" s="364"/>
      <c r="F421" s="364"/>
      <c r="G421" s="364"/>
      <c r="H421" s="364"/>
      <c r="I421" s="364"/>
      <c r="J421" s="364"/>
      <c r="K421" s="364"/>
      <c r="L421" s="364"/>
      <c r="M421" s="364"/>
      <c r="N421" s="364"/>
      <c r="O421" s="388"/>
      <c r="P421" s="364"/>
      <c r="Q421" s="364"/>
      <c r="R421" s="364"/>
      <c r="S421" s="364"/>
      <c r="T421" s="364"/>
      <c r="U421" s="364"/>
      <c r="V421" s="364"/>
      <c r="W421" s="364"/>
      <c r="X421" s="364"/>
      <c r="Y421" s="364"/>
      <c r="Z421" s="364"/>
      <c r="AA421" s="364"/>
      <c r="AB421" s="364"/>
      <c r="AC421" s="364"/>
      <c r="AD421" s="364"/>
    </row>
    <row r="422">
      <c r="A422" s="364"/>
      <c r="B422" s="364"/>
      <c r="C422" s="364"/>
      <c r="D422" s="364"/>
      <c r="E422" s="364"/>
      <c r="F422" s="364"/>
      <c r="G422" s="364"/>
      <c r="H422" s="364"/>
      <c r="I422" s="364"/>
      <c r="J422" s="364"/>
      <c r="K422" s="364"/>
      <c r="L422" s="364"/>
      <c r="M422" s="364"/>
      <c r="N422" s="364"/>
      <c r="O422" s="388"/>
      <c r="P422" s="364"/>
      <c r="Q422" s="364"/>
      <c r="R422" s="364"/>
      <c r="S422" s="364"/>
      <c r="T422" s="364"/>
      <c r="U422" s="364"/>
      <c r="V422" s="364"/>
      <c r="W422" s="364"/>
      <c r="X422" s="364"/>
      <c r="Y422" s="364"/>
      <c r="Z422" s="364"/>
      <c r="AA422" s="364"/>
      <c r="AB422" s="364"/>
      <c r="AC422" s="364"/>
      <c r="AD422" s="364"/>
    </row>
    <row r="423">
      <c r="A423" s="364"/>
      <c r="B423" s="364"/>
      <c r="C423" s="364"/>
      <c r="D423" s="364"/>
      <c r="E423" s="364"/>
      <c r="F423" s="364"/>
      <c r="G423" s="364"/>
      <c r="H423" s="364"/>
      <c r="I423" s="364"/>
      <c r="J423" s="364"/>
      <c r="K423" s="364"/>
      <c r="L423" s="364"/>
      <c r="M423" s="364"/>
      <c r="N423" s="364"/>
      <c r="O423" s="388"/>
      <c r="P423" s="364"/>
      <c r="Q423" s="364"/>
      <c r="R423" s="364"/>
      <c r="S423" s="364"/>
      <c r="T423" s="364"/>
      <c r="U423" s="364"/>
      <c r="V423" s="364"/>
      <c r="W423" s="364"/>
      <c r="X423" s="364"/>
      <c r="Y423" s="364"/>
      <c r="Z423" s="364"/>
      <c r="AA423" s="364"/>
      <c r="AB423" s="364"/>
      <c r="AC423" s="364"/>
      <c r="AD423" s="364"/>
    </row>
    <row r="424">
      <c r="A424" s="364"/>
      <c r="B424" s="364"/>
      <c r="C424" s="364"/>
      <c r="D424" s="364"/>
      <c r="E424" s="364"/>
      <c r="F424" s="364"/>
      <c r="G424" s="364"/>
      <c r="H424" s="364"/>
      <c r="I424" s="364"/>
      <c r="J424" s="364"/>
      <c r="K424" s="364"/>
      <c r="L424" s="364"/>
      <c r="M424" s="364"/>
      <c r="N424" s="364"/>
      <c r="O424" s="388"/>
      <c r="P424" s="364"/>
      <c r="Q424" s="364"/>
      <c r="R424" s="364"/>
      <c r="S424" s="364"/>
      <c r="T424" s="364"/>
      <c r="U424" s="364"/>
      <c r="V424" s="364"/>
      <c r="W424" s="364"/>
      <c r="X424" s="364"/>
      <c r="Y424" s="364"/>
      <c r="Z424" s="364"/>
      <c r="AA424" s="364"/>
      <c r="AB424" s="364"/>
      <c r="AC424" s="364"/>
      <c r="AD424" s="364"/>
    </row>
    <row r="425">
      <c r="A425" s="364"/>
      <c r="B425" s="364"/>
      <c r="C425" s="364"/>
      <c r="D425" s="364"/>
      <c r="E425" s="364"/>
      <c r="F425" s="364"/>
      <c r="G425" s="364"/>
      <c r="H425" s="364"/>
      <c r="I425" s="364"/>
      <c r="J425" s="364"/>
      <c r="K425" s="364"/>
      <c r="L425" s="364"/>
      <c r="M425" s="364"/>
      <c r="N425" s="364"/>
      <c r="O425" s="388"/>
      <c r="P425" s="364"/>
      <c r="Q425" s="364"/>
      <c r="R425" s="364"/>
      <c r="S425" s="364"/>
      <c r="T425" s="364"/>
      <c r="U425" s="364"/>
      <c r="V425" s="364"/>
      <c r="W425" s="364"/>
      <c r="X425" s="364"/>
      <c r="Y425" s="364"/>
      <c r="Z425" s="364"/>
      <c r="AA425" s="364"/>
      <c r="AB425" s="364"/>
      <c r="AC425" s="364"/>
      <c r="AD425" s="364"/>
    </row>
    <row r="426">
      <c r="A426" s="364"/>
      <c r="B426" s="364"/>
      <c r="C426" s="364"/>
      <c r="D426" s="364"/>
      <c r="E426" s="364"/>
      <c r="F426" s="364"/>
      <c r="G426" s="364"/>
      <c r="H426" s="364"/>
      <c r="I426" s="364"/>
      <c r="J426" s="364"/>
      <c r="K426" s="364"/>
      <c r="L426" s="364"/>
      <c r="M426" s="364"/>
      <c r="N426" s="364"/>
      <c r="O426" s="388"/>
      <c r="P426" s="364"/>
      <c r="Q426" s="364"/>
      <c r="R426" s="364"/>
      <c r="S426" s="364"/>
      <c r="T426" s="364"/>
      <c r="U426" s="364"/>
      <c r="V426" s="364"/>
      <c r="W426" s="364"/>
      <c r="X426" s="364"/>
      <c r="Y426" s="364"/>
      <c r="Z426" s="364"/>
      <c r="AA426" s="364"/>
      <c r="AB426" s="364"/>
      <c r="AC426" s="364"/>
      <c r="AD426" s="364"/>
    </row>
    <row r="427">
      <c r="A427" s="364"/>
      <c r="B427" s="364"/>
      <c r="C427" s="364"/>
      <c r="D427" s="364"/>
      <c r="E427" s="364"/>
      <c r="F427" s="364"/>
      <c r="G427" s="364"/>
      <c r="H427" s="364"/>
      <c r="I427" s="364"/>
      <c r="J427" s="364"/>
      <c r="K427" s="364"/>
      <c r="L427" s="364"/>
      <c r="M427" s="364"/>
      <c r="N427" s="364"/>
      <c r="O427" s="388"/>
      <c r="P427" s="364"/>
      <c r="Q427" s="364"/>
      <c r="R427" s="364"/>
      <c r="S427" s="364"/>
      <c r="T427" s="364"/>
      <c r="U427" s="364"/>
      <c r="V427" s="364"/>
      <c r="W427" s="364"/>
      <c r="X427" s="364"/>
      <c r="Y427" s="364"/>
      <c r="Z427" s="364"/>
      <c r="AA427" s="364"/>
      <c r="AB427" s="364"/>
      <c r="AC427" s="364"/>
      <c r="AD427" s="364"/>
    </row>
    <row r="428">
      <c r="A428" s="364"/>
      <c r="B428" s="364"/>
      <c r="C428" s="364"/>
      <c r="D428" s="364"/>
      <c r="E428" s="364"/>
      <c r="F428" s="364"/>
      <c r="G428" s="364"/>
      <c r="H428" s="364"/>
      <c r="I428" s="364"/>
      <c r="J428" s="364"/>
      <c r="K428" s="364"/>
      <c r="L428" s="364"/>
      <c r="M428" s="364"/>
      <c r="N428" s="364"/>
      <c r="O428" s="388"/>
      <c r="P428" s="364"/>
      <c r="Q428" s="364"/>
      <c r="R428" s="364"/>
      <c r="S428" s="364"/>
      <c r="T428" s="364"/>
      <c r="U428" s="364"/>
      <c r="V428" s="364"/>
      <c r="W428" s="364"/>
      <c r="X428" s="364"/>
      <c r="Y428" s="364"/>
      <c r="Z428" s="364"/>
      <c r="AA428" s="364"/>
      <c r="AB428" s="364"/>
      <c r="AC428" s="364"/>
      <c r="AD428" s="364"/>
    </row>
    <row r="429">
      <c r="A429" s="364"/>
      <c r="B429" s="364"/>
      <c r="C429" s="364"/>
      <c r="D429" s="364"/>
      <c r="E429" s="364"/>
      <c r="F429" s="364"/>
      <c r="G429" s="364"/>
      <c r="H429" s="364"/>
      <c r="I429" s="364"/>
      <c r="J429" s="364"/>
      <c r="K429" s="364"/>
      <c r="L429" s="364"/>
      <c r="M429" s="364"/>
      <c r="N429" s="364"/>
      <c r="O429" s="388"/>
      <c r="P429" s="364"/>
      <c r="Q429" s="364"/>
      <c r="R429" s="364"/>
      <c r="S429" s="364"/>
      <c r="T429" s="364"/>
      <c r="U429" s="364"/>
      <c r="V429" s="364"/>
      <c r="W429" s="364"/>
      <c r="X429" s="364"/>
      <c r="Y429" s="364"/>
      <c r="Z429" s="364"/>
      <c r="AA429" s="364"/>
      <c r="AB429" s="364"/>
      <c r="AC429" s="364"/>
      <c r="AD429" s="364"/>
    </row>
    <row r="430">
      <c r="A430" s="364"/>
      <c r="B430" s="364"/>
      <c r="C430" s="364"/>
      <c r="D430" s="364"/>
      <c r="E430" s="364"/>
      <c r="F430" s="364"/>
      <c r="G430" s="364"/>
      <c r="H430" s="364"/>
      <c r="I430" s="364"/>
      <c r="J430" s="364"/>
      <c r="K430" s="364"/>
      <c r="L430" s="364"/>
      <c r="M430" s="364"/>
      <c r="N430" s="364"/>
      <c r="O430" s="388"/>
      <c r="P430" s="364"/>
      <c r="Q430" s="364"/>
      <c r="R430" s="364"/>
      <c r="S430" s="364"/>
      <c r="T430" s="364"/>
      <c r="U430" s="364"/>
      <c r="V430" s="364"/>
      <c r="W430" s="364"/>
      <c r="X430" s="364"/>
      <c r="Y430" s="364"/>
      <c r="Z430" s="364"/>
      <c r="AA430" s="364"/>
      <c r="AB430" s="364"/>
      <c r="AC430" s="364"/>
      <c r="AD430" s="364"/>
    </row>
    <row r="431">
      <c r="A431" s="364"/>
      <c r="B431" s="364"/>
      <c r="C431" s="364"/>
      <c r="D431" s="364"/>
      <c r="E431" s="364"/>
      <c r="F431" s="364"/>
      <c r="G431" s="364"/>
      <c r="H431" s="364"/>
      <c r="I431" s="364"/>
      <c r="J431" s="364"/>
      <c r="K431" s="364"/>
      <c r="L431" s="364"/>
      <c r="M431" s="364"/>
      <c r="N431" s="364"/>
      <c r="O431" s="388"/>
      <c r="P431" s="364"/>
      <c r="Q431" s="364"/>
      <c r="R431" s="364"/>
      <c r="S431" s="364"/>
      <c r="T431" s="364"/>
      <c r="U431" s="364"/>
      <c r="V431" s="364"/>
      <c r="W431" s="364"/>
      <c r="X431" s="364"/>
      <c r="Y431" s="364"/>
      <c r="Z431" s="364"/>
      <c r="AA431" s="364"/>
      <c r="AB431" s="364"/>
      <c r="AC431" s="364"/>
      <c r="AD431" s="364"/>
    </row>
    <row r="432">
      <c r="A432" s="364"/>
      <c r="B432" s="364"/>
      <c r="C432" s="364"/>
      <c r="D432" s="364"/>
      <c r="E432" s="364"/>
      <c r="F432" s="364"/>
      <c r="G432" s="364"/>
      <c r="H432" s="364"/>
      <c r="I432" s="364"/>
      <c r="J432" s="364"/>
      <c r="K432" s="364"/>
      <c r="L432" s="364"/>
      <c r="M432" s="364"/>
      <c r="N432" s="364"/>
      <c r="O432" s="388"/>
      <c r="P432" s="364"/>
      <c r="Q432" s="364"/>
      <c r="R432" s="364"/>
      <c r="S432" s="364"/>
      <c r="T432" s="364"/>
      <c r="U432" s="364"/>
      <c r="V432" s="364"/>
      <c r="W432" s="364"/>
      <c r="X432" s="364"/>
      <c r="Y432" s="364"/>
      <c r="Z432" s="364"/>
      <c r="AA432" s="364"/>
      <c r="AB432" s="364"/>
      <c r="AC432" s="364"/>
      <c r="AD432" s="364"/>
    </row>
    <row r="433">
      <c r="A433" s="364"/>
      <c r="B433" s="364"/>
      <c r="C433" s="364"/>
      <c r="D433" s="364"/>
      <c r="E433" s="364"/>
      <c r="F433" s="364"/>
      <c r="G433" s="364"/>
      <c r="H433" s="364"/>
      <c r="I433" s="364"/>
      <c r="J433" s="364"/>
      <c r="K433" s="364"/>
      <c r="L433" s="364"/>
      <c r="M433" s="364"/>
      <c r="N433" s="364"/>
      <c r="O433" s="388"/>
      <c r="P433" s="364"/>
      <c r="Q433" s="364"/>
      <c r="R433" s="364"/>
      <c r="S433" s="364"/>
      <c r="T433" s="364"/>
      <c r="U433" s="364"/>
      <c r="V433" s="364"/>
      <c r="W433" s="364"/>
      <c r="X433" s="364"/>
      <c r="Y433" s="364"/>
      <c r="Z433" s="364"/>
      <c r="AA433" s="364"/>
      <c r="AB433" s="364"/>
      <c r="AC433" s="364"/>
      <c r="AD433" s="364"/>
    </row>
    <row r="434">
      <c r="A434" s="364"/>
      <c r="B434" s="364"/>
      <c r="C434" s="364"/>
      <c r="D434" s="364"/>
      <c r="E434" s="364"/>
      <c r="F434" s="364"/>
      <c r="G434" s="364"/>
      <c r="H434" s="364"/>
      <c r="I434" s="364"/>
      <c r="J434" s="364"/>
      <c r="K434" s="364"/>
      <c r="L434" s="364"/>
      <c r="M434" s="364"/>
      <c r="N434" s="364"/>
      <c r="O434" s="388"/>
      <c r="P434" s="364"/>
      <c r="Q434" s="364"/>
      <c r="R434" s="364"/>
      <c r="S434" s="364"/>
      <c r="T434" s="364"/>
      <c r="U434" s="364"/>
      <c r="V434" s="364"/>
      <c r="W434" s="364"/>
      <c r="X434" s="364"/>
      <c r="Y434" s="364"/>
      <c r="Z434" s="364"/>
      <c r="AA434" s="364"/>
      <c r="AB434" s="364"/>
      <c r="AC434" s="364"/>
      <c r="AD434" s="364"/>
    </row>
    <row r="435">
      <c r="A435" s="364"/>
      <c r="B435" s="364"/>
      <c r="C435" s="364"/>
      <c r="D435" s="364"/>
      <c r="E435" s="364"/>
      <c r="F435" s="364"/>
      <c r="G435" s="364"/>
      <c r="H435" s="364"/>
      <c r="I435" s="364"/>
      <c r="J435" s="364"/>
      <c r="K435" s="364"/>
      <c r="L435" s="364"/>
      <c r="M435" s="364"/>
      <c r="N435" s="364"/>
      <c r="O435" s="388"/>
      <c r="P435" s="364"/>
      <c r="Q435" s="364"/>
      <c r="R435" s="364"/>
      <c r="S435" s="364"/>
      <c r="T435" s="364"/>
      <c r="U435" s="364"/>
      <c r="V435" s="364"/>
      <c r="W435" s="364"/>
      <c r="X435" s="364"/>
      <c r="Y435" s="364"/>
      <c r="Z435" s="364"/>
      <c r="AA435" s="364"/>
      <c r="AB435" s="364"/>
      <c r="AC435" s="364"/>
      <c r="AD435" s="364"/>
    </row>
    <row r="436">
      <c r="A436" s="364"/>
      <c r="B436" s="364"/>
      <c r="C436" s="364"/>
      <c r="D436" s="364"/>
      <c r="E436" s="364"/>
      <c r="F436" s="364"/>
      <c r="G436" s="364"/>
      <c r="H436" s="364"/>
      <c r="I436" s="364"/>
      <c r="J436" s="364"/>
      <c r="K436" s="364"/>
      <c r="L436" s="364"/>
      <c r="M436" s="364"/>
      <c r="N436" s="364"/>
      <c r="O436" s="388"/>
      <c r="P436" s="364"/>
      <c r="Q436" s="364"/>
      <c r="R436" s="364"/>
      <c r="S436" s="364"/>
      <c r="T436" s="364"/>
      <c r="U436" s="364"/>
      <c r="V436" s="364"/>
      <c r="W436" s="364"/>
      <c r="X436" s="364"/>
      <c r="Y436" s="364"/>
      <c r="Z436" s="364"/>
      <c r="AA436" s="364"/>
      <c r="AB436" s="364"/>
      <c r="AC436" s="364"/>
      <c r="AD436" s="364"/>
    </row>
    <row r="437">
      <c r="A437" s="364"/>
      <c r="B437" s="364"/>
      <c r="C437" s="364"/>
      <c r="D437" s="364"/>
      <c r="E437" s="364"/>
      <c r="F437" s="364"/>
      <c r="G437" s="364"/>
      <c r="H437" s="364"/>
      <c r="I437" s="364"/>
      <c r="J437" s="364"/>
      <c r="K437" s="364"/>
      <c r="L437" s="364"/>
      <c r="M437" s="364"/>
      <c r="N437" s="364"/>
      <c r="O437" s="388"/>
      <c r="P437" s="364"/>
      <c r="Q437" s="364"/>
      <c r="R437" s="364"/>
      <c r="S437" s="364"/>
      <c r="T437" s="364"/>
      <c r="U437" s="364"/>
      <c r="V437" s="364"/>
      <c r="W437" s="364"/>
      <c r="X437" s="364"/>
      <c r="Y437" s="364"/>
      <c r="Z437" s="364"/>
      <c r="AA437" s="364"/>
      <c r="AB437" s="364"/>
      <c r="AC437" s="364"/>
      <c r="AD437" s="364"/>
    </row>
    <row r="438">
      <c r="A438" s="364"/>
      <c r="B438" s="364"/>
      <c r="C438" s="364"/>
      <c r="D438" s="364"/>
      <c r="E438" s="364"/>
      <c r="F438" s="364"/>
      <c r="G438" s="364"/>
      <c r="H438" s="364"/>
      <c r="I438" s="364"/>
      <c r="J438" s="364"/>
      <c r="K438" s="364"/>
      <c r="L438" s="364"/>
      <c r="M438" s="364"/>
      <c r="N438" s="364"/>
      <c r="O438" s="388"/>
      <c r="P438" s="364"/>
      <c r="Q438" s="364"/>
      <c r="R438" s="364"/>
      <c r="S438" s="364"/>
      <c r="T438" s="364"/>
      <c r="U438" s="364"/>
      <c r="V438" s="364"/>
      <c r="W438" s="364"/>
      <c r="X438" s="364"/>
      <c r="Y438" s="364"/>
      <c r="Z438" s="364"/>
      <c r="AA438" s="364"/>
      <c r="AB438" s="364"/>
      <c r="AC438" s="364"/>
      <c r="AD438" s="364"/>
    </row>
    <row r="439">
      <c r="A439" s="364"/>
      <c r="B439" s="364"/>
      <c r="C439" s="364"/>
      <c r="D439" s="364"/>
      <c r="E439" s="364"/>
      <c r="F439" s="364"/>
      <c r="G439" s="364"/>
      <c r="H439" s="364"/>
      <c r="I439" s="364"/>
      <c r="J439" s="364"/>
      <c r="K439" s="364"/>
      <c r="L439" s="364"/>
      <c r="M439" s="364"/>
      <c r="N439" s="364"/>
      <c r="O439" s="388"/>
      <c r="P439" s="364"/>
      <c r="Q439" s="364"/>
      <c r="R439" s="364"/>
      <c r="S439" s="364"/>
      <c r="T439" s="364"/>
      <c r="U439" s="364"/>
      <c r="V439" s="364"/>
      <c r="W439" s="364"/>
      <c r="X439" s="364"/>
      <c r="Y439" s="364"/>
      <c r="Z439" s="364"/>
      <c r="AA439" s="364"/>
      <c r="AB439" s="364"/>
      <c r="AC439" s="364"/>
      <c r="AD439" s="364"/>
    </row>
    <row r="440">
      <c r="A440" s="364"/>
      <c r="B440" s="364"/>
      <c r="C440" s="364"/>
      <c r="D440" s="364"/>
      <c r="E440" s="364"/>
      <c r="F440" s="364"/>
      <c r="G440" s="364"/>
      <c r="H440" s="364"/>
      <c r="I440" s="364"/>
      <c r="J440" s="364"/>
      <c r="K440" s="364"/>
      <c r="L440" s="364"/>
      <c r="M440" s="364"/>
      <c r="N440" s="364"/>
      <c r="O440" s="388"/>
      <c r="P440" s="364"/>
      <c r="Q440" s="364"/>
      <c r="R440" s="364"/>
      <c r="S440" s="364"/>
      <c r="T440" s="364"/>
      <c r="U440" s="364"/>
      <c r="V440" s="364"/>
      <c r="W440" s="364"/>
      <c r="X440" s="364"/>
      <c r="Y440" s="364"/>
      <c r="Z440" s="364"/>
      <c r="AA440" s="364"/>
      <c r="AB440" s="364"/>
      <c r="AC440" s="364"/>
      <c r="AD440" s="364"/>
    </row>
    <row r="441">
      <c r="A441" s="364"/>
      <c r="B441" s="364"/>
      <c r="C441" s="364"/>
      <c r="D441" s="364"/>
      <c r="E441" s="364"/>
      <c r="F441" s="364"/>
      <c r="G441" s="364"/>
      <c r="H441" s="364"/>
      <c r="I441" s="364"/>
      <c r="J441" s="364"/>
      <c r="K441" s="364"/>
      <c r="L441" s="364"/>
      <c r="M441" s="364"/>
      <c r="N441" s="364"/>
      <c r="O441" s="388"/>
      <c r="P441" s="364"/>
      <c r="Q441" s="364"/>
      <c r="R441" s="364"/>
      <c r="S441" s="364"/>
      <c r="T441" s="364"/>
      <c r="U441" s="364"/>
      <c r="V441" s="364"/>
      <c r="W441" s="364"/>
      <c r="X441" s="364"/>
      <c r="Y441" s="364"/>
      <c r="Z441" s="364"/>
      <c r="AA441" s="364"/>
      <c r="AB441" s="364"/>
      <c r="AC441" s="364"/>
      <c r="AD441" s="364"/>
    </row>
    <row r="442">
      <c r="A442" s="364"/>
      <c r="B442" s="364"/>
      <c r="C442" s="364"/>
      <c r="D442" s="364"/>
      <c r="E442" s="364"/>
      <c r="F442" s="364"/>
      <c r="G442" s="364"/>
      <c r="H442" s="364"/>
      <c r="I442" s="364"/>
      <c r="J442" s="364"/>
      <c r="K442" s="364"/>
      <c r="L442" s="364"/>
      <c r="M442" s="364"/>
      <c r="N442" s="364"/>
      <c r="O442" s="388"/>
      <c r="P442" s="364"/>
      <c r="Q442" s="364"/>
      <c r="R442" s="364"/>
      <c r="S442" s="364"/>
      <c r="T442" s="364"/>
      <c r="U442" s="364"/>
      <c r="V442" s="364"/>
      <c r="W442" s="364"/>
      <c r="X442" s="364"/>
      <c r="Y442" s="364"/>
      <c r="Z442" s="364"/>
      <c r="AA442" s="364"/>
      <c r="AB442" s="364"/>
      <c r="AC442" s="364"/>
      <c r="AD442" s="364"/>
    </row>
    <row r="443">
      <c r="A443" s="364"/>
      <c r="B443" s="364"/>
      <c r="C443" s="364"/>
      <c r="D443" s="364"/>
      <c r="E443" s="364"/>
      <c r="F443" s="364"/>
      <c r="G443" s="364"/>
      <c r="H443" s="364"/>
      <c r="I443" s="364"/>
      <c r="J443" s="364"/>
      <c r="K443" s="364"/>
      <c r="L443" s="364"/>
      <c r="M443" s="364"/>
      <c r="N443" s="364"/>
      <c r="O443" s="388"/>
      <c r="P443" s="364"/>
      <c r="Q443" s="364"/>
      <c r="R443" s="364"/>
      <c r="S443" s="364"/>
      <c r="T443" s="364"/>
      <c r="U443" s="364"/>
      <c r="V443" s="364"/>
      <c r="W443" s="364"/>
      <c r="X443" s="364"/>
      <c r="Y443" s="364"/>
      <c r="Z443" s="364"/>
      <c r="AA443" s="364"/>
      <c r="AB443" s="364"/>
      <c r="AC443" s="364"/>
      <c r="AD443" s="364"/>
    </row>
    <row r="444">
      <c r="A444" s="364"/>
      <c r="B444" s="364"/>
      <c r="C444" s="364"/>
      <c r="D444" s="364"/>
      <c r="E444" s="364"/>
      <c r="F444" s="364"/>
      <c r="G444" s="364"/>
      <c r="H444" s="364"/>
      <c r="I444" s="364"/>
      <c r="J444" s="364"/>
      <c r="K444" s="364"/>
      <c r="L444" s="364"/>
      <c r="M444" s="364"/>
      <c r="N444" s="364"/>
      <c r="O444" s="388"/>
      <c r="P444" s="364"/>
      <c r="Q444" s="364"/>
      <c r="R444" s="364"/>
      <c r="S444" s="364"/>
      <c r="T444" s="364"/>
      <c r="U444" s="364"/>
      <c r="V444" s="364"/>
      <c r="W444" s="364"/>
      <c r="X444" s="364"/>
      <c r="Y444" s="364"/>
      <c r="Z444" s="364"/>
      <c r="AA444" s="364"/>
      <c r="AB444" s="364"/>
      <c r="AC444" s="364"/>
      <c r="AD444" s="364"/>
    </row>
    <row r="445">
      <c r="A445" s="364"/>
      <c r="B445" s="364"/>
      <c r="C445" s="364"/>
      <c r="D445" s="364"/>
      <c r="E445" s="364"/>
      <c r="F445" s="364"/>
      <c r="G445" s="364"/>
      <c r="H445" s="364"/>
      <c r="I445" s="364"/>
      <c r="J445" s="364"/>
      <c r="K445" s="364"/>
      <c r="L445" s="364"/>
      <c r="M445" s="364"/>
      <c r="N445" s="364"/>
      <c r="O445" s="388"/>
      <c r="P445" s="364"/>
      <c r="Q445" s="364"/>
      <c r="R445" s="364"/>
      <c r="S445" s="364"/>
      <c r="T445" s="364"/>
      <c r="U445" s="364"/>
      <c r="V445" s="364"/>
      <c r="W445" s="364"/>
      <c r="X445" s="364"/>
      <c r="Y445" s="364"/>
      <c r="Z445" s="364"/>
      <c r="AA445" s="364"/>
      <c r="AB445" s="364"/>
      <c r="AC445" s="364"/>
      <c r="AD445" s="364"/>
    </row>
    <row r="446">
      <c r="A446" s="364"/>
      <c r="B446" s="364"/>
      <c r="C446" s="364"/>
      <c r="D446" s="364"/>
      <c r="E446" s="364"/>
      <c r="F446" s="364"/>
      <c r="G446" s="364"/>
      <c r="H446" s="364"/>
      <c r="I446" s="364"/>
      <c r="J446" s="364"/>
      <c r="K446" s="364"/>
      <c r="L446" s="364"/>
      <c r="M446" s="364"/>
      <c r="N446" s="364"/>
      <c r="O446" s="388"/>
      <c r="P446" s="364"/>
      <c r="Q446" s="364"/>
      <c r="R446" s="364"/>
      <c r="S446" s="364"/>
      <c r="T446" s="364"/>
      <c r="U446" s="364"/>
      <c r="V446" s="364"/>
      <c r="W446" s="364"/>
      <c r="X446" s="364"/>
      <c r="Y446" s="364"/>
      <c r="Z446" s="364"/>
      <c r="AA446" s="364"/>
      <c r="AB446" s="364"/>
      <c r="AC446" s="364"/>
      <c r="AD446" s="364"/>
    </row>
    <row r="447">
      <c r="A447" s="364"/>
      <c r="B447" s="364"/>
      <c r="C447" s="364"/>
      <c r="D447" s="364"/>
      <c r="E447" s="364"/>
      <c r="F447" s="364"/>
      <c r="G447" s="364"/>
      <c r="H447" s="364"/>
      <c r="I447" s="364"/>
      <c r="J447" s="364"/>
      <c r="K447" s="364"/>
      <c r="L447" s="364"/>
      <c r="M447" s="364"/>
      <c r="N447" s="364"/>
      <c r="O447" s="388"/>
      <c r="P447" s="364"/>
      <c r="Q447" s="364"/>
      <c r="R447" s="364"/>
      <c r="S447" s="364"/>
      <c r="T447" s="364"/>
      <c r="U447" s="364"/>
      <c r="V447" s="364"/>
      <c r="W447" s="364"/>
      <c r="X447" s="364"/>
      <c r="Y447" s="364"/>
      <c r="Z447" s="364"/>
      <c r="AA447" s="364"/>
      <c r="AB447" s="364"/>
      <c r="AC447" s="364"/>
      <c r="AD447" s="364"/>
    </row>
    <row r="448">
      <c r="A448" s="364"/>
      <c r="B448" s="364"/>
      <c r="C448" s="364"/>
      <c r="D448" s="364"/>
      <c r="E448" s="364"/>
      <c r="F448" s="364"/>
      <c r="G448" s="364"/>
      <c r="H448" s="364"/>
      <c r="I448" s="364"/>
      <c r="J448" s="364"/>
      <c r="K448" s="364"/>
      <c r="L448" s="364"/>
      <c r="M448" s="364"/>
      <c r="N448" s="364"/>
      <c r="O448" s="388"/>
      <c r="P448" s="364"/>
      <c r="Q448" s="364"/>
      <c r="R448" s="364"/>
      <c r="S448" s="364"/>
      <c r="T448" s="364"/>
      <c r="U448" s="364"/>
      <c r="V448" s="364"/>
      <c r="W448" s="364"/>
      <c r="X448" s="364"/>
      <c r="Y448" s="364"/>
      <c r="Z448" s="364"/>
      <c r="AA448" s="364"/>
      <c r="AB448" s="364"/>
      <c r="AC448" s="364"/>
      <c r="AD448" s="364"/>
    </row>
    <row r="449">
      <c r="A449" s="364"/>
      <c r="B449" s="364"/>
      <c r="C449" s="364"/>
      <c r="D449" s="364"/>
      <c r="E449" s="364"/>
      <c r="F449" s="364"/>
      <c r="G449" s="364"/>
      <c r="H449" s="364"/>
      <c r="I449" s="364"/>
      <c r="J449" s="364"/>
      <c r="K449" s="364"/>
      <c r="L449" s="364"/>
      <c r="M449" s="364"/>
      <c r="N449" s="364"/>
      <c r="O449" s="388"/>
      <c r="P449" s="364"/>
      <c r="Q449" s="364"/>
      <c r="R449" s="364"/>
      <c r="S449" s="364"/>
      <c r="T449" s="364"/>
      <c r="U449" s="364"/>
      <c r="V449" s="364"/>
      <c r="W449" s="364"/>
      <c r="X449" s="364"/>
      <c r="Y449" s="364"/>
      <c r="Z449" s="364"/>
      <c r="AA449" s="364"/>
      <c r="AB449" s="364"/>
      <c r="AC449" s="364"/>
      <c r="AD449" s="364"/>
    </row>
    <row r="450">
      <c r="A450" s="364"/>
      <c r="B450" s="364"/>
      <c r="C450" s="364"/>
      <c r="D450" s="364"/>
      <c r="E450" s="364"/>
      <c r="F450" s="364"/>
      <c r="G450" s="364"/>
      <c r="H450" s="364"/>
      <c r="I450" s="364"/>
      <c r="J450" s="364"/>
      <c r="K450" s="364"/>
      <c r="L450" s="364"/>
      <c r="M450" s="364"/>
      <c r="N450" s="364"/>
      <c r="O450" s="388"/>
      <c r="P450" s="364"/>
      <c r="Q450" s="364"/>
      <c r="R450" s="364"/>
      <c r="S450" s="364"/>
      <c r="T450" s="364"/>
      <c r="U450" s="364"/>
      <c r="V450" s="364"/>
      <c r="W450" s="364"/>
      <c r="X450" s="364"/>
      <c r="Y450" s="364"/>
      <c r="Z450" s="364"/>
      <c r="AA450" s="364"/>
      <c r="AB450" s="364"/>
      <c r="AC450" s="364"/>
      <c r="AD450" s="364"/>
    </row>
    <row r="451">
      <c r="A451" s="364"/>
      <c r="B451" s="364"/>
      <c r="C451" s="364"/>
      <c r="D451" s="364"/>
      <c r="E451" s="364"/>
      <c r="F451" s="364"/>
      <c r="G451" s="364"/>
      <c r="H451" s="364"/>
      <c r="I451" s="364"/>
      <c r="J451" s="364"/>
      <c r="K451" s="364"/>
      <c r="L451" s="364"/>
      <c r="M451" s="364"/>
      <c r="N451" s="364"/>
      <c r="O451" s="388"/>
      <c r="P451" s="364"/>
      <c r="Q451" s="364"/>
      <c r="R451" s="364"/>
      <c r="S451" s="364"/>
      <c r="T451" s="364"/>
      <c r="U451" s="364"/>
      <c r="V451" s="364"/>
      <c r="W451" s="364"/>
      <c r="X451" s="364"/>
      <c r="Y451" s="364"/>
      <c r="Z451" s="364"/>
      <c r="AA451" s="364"/>
      <c r="AB451" s="364"/>
      <c r="AC451" s="364"/>
      <c r="AD451" s="364"/>
    </row>
    <row r="452">
      <c r="A452" s="364"/>
      <c r="B452" s="364"/>
      <c r="C452" s="364"/>
      <c r="D452" s="364"/>
      <c r="E452" s="364"/>
      <c r="F452" s="364"/>
      <c r="G452" s="364"/>
      <c r="H452" s="364"/>
      <c r="I452" s="364"/>
      <c r="J452" s="364"/>
      <c r="K452" s="364"/>
      <c r="L452" s="364"/>
      <c r="M452" s="364"/>
      <c r="N452" s="364"/>
      <c r="O452" s="388"/>
      <c r="P452" s="364"/>
      <c r="Q452" s="364"/>
      <c r="R452" s="364"/>
      <c r="S452" s="364"/>
      <c r="T452" s="364"/>
      <c r="U452" s="364"/>
      <c r="V452" s="364"/>
      <c r="W452" s="364"/>
      <c r="X452" s="364"/>
      <c r="Y452" s="364"/>
      <c r="Z452" s="364"/>
      <c r="AA452" s="364"/>
      <c r="AB452" s="364"/>
      <c r="AC452" s="364"/>
      <c r="AD452" s="364"/>
    </row>
    <row r="453">
      <c r="A453" s="364"/>
      <c r="B453" s="364"/>
      <c r="C453" s="364"/>
      <c r="D453" s="364"/>
      <c r="E453" s="364"/>
      <c r="F453" s="364"/>
      <c r="G453" s="364"/>
      <c r="H453" s="364"/>
      <c r="I453" s="364"/>
      <c r="J453" s="364"/>
      <c r="K453" s="364"/>
      <c r="L453" s="364"/>
      <c r="M453" s="364"/>
      <c r="N453" s="364"/>
      <c r="O453" s="388"/>
      <c r="P453" s="364"/>
      <c r="Q453" s="364"/>
      <c r="R453" s="364"/>
      <c r="S453" s="364"/>
      <c r="T453" s="364"/>
      <c r="U453" s="364"/>
      <c r="V453" s="364"/>
      <c r="W453" s="364"/>
      <c r="X453" s="364"/>
      <c r="Y453" s="364"/>
      <c r="Z453" s="364"/>
      <c r="AA453" s="364"/>
      <c r="AB453" s="364"/>
      <c r="AC453" s="364"/>
      <c r="AD453" s="364"/>
    </row>
    <row r="454">
      <c r="A454" s="364"/>
      <c r="B454" s="364"/>
      <c r="C454" s="364"/>
      <c r="D454" s="364"/>
      <c r="E454" s="364"/>
      <c r="F454" s="364"/>
      <c r="G454" s="364"/>
      <c r="H454" s="364"/>
      <c r="I454" s="364"/>
      <c r="J454" s="364"/>
      <c r="K454" s="364"/>
      <c r="L454" s="364"/>
      <c r="M454" s="364"/>
      <c r="N454" s="364"/>
      <c r="O454" s="388"/>
      <c r="P454" s="364"/>
      <c r="Q454" s="364"/>
      <c r="R454" s="364"/>
      <c r="S454" s="364"/>
      <c r="T454" s="364"/>
      <c r="U454" s="364"/>
      <c r="V454" s="364"/>
      <c r="W454" s="364"/>
      <c r="X454" s="364"/>
      <c r="Y454" s="364"/>
      <c r="Z454" s="364"/>
      <c r="AA454" s="364"/>
      <c r="AB454" s="364"/>
      <c r="AC454" s="364"/>
      <c r="AD454" s="364"/>
    </row>
    <row r="455">
      <c r="A455" s="364"/>
      <c r="B455" s="364"/>
      <c r="C455" s="364"/>
      <c r="D455" s="364"/>
      <c r="E455" s="364"/>
      <c r="F455" s="364"/>
      <c r="G455" s="364"/>
      <c r="H455" s="364"/>
      <c r="I455" s="364"/>
      <c r="J455" s="364"/>
      <c r="K455" s="364"/>
      <c r="L455" s="364"/>
      <c r="M455" s="364"/>
      <c r="N455" s="364"/>
      <c r="O455" s="388"/>
      <c r="P455" s="364"/>
      <c r="Q455" s="364"/>
      <c r="R455" s="364"/>
      <c r="S455" s="364"/>
      <c r="T455" s="364"/>
      <c r="U455" s="364"/>
      <c r="V455" s="364"/>
      <c r="W455" s="364"/>
      <c r="X455" s="364"/>
      <c r="Y455" s="364"/>
      <c r="Z455" s="364"/>
      <c r="AA455" s="364"/>
      <c r="AB455" s="364"/>
      <c r="AC455" s="364"/>
      <c r="AD455" s="364"/>
    </row>
    <row r="456">
      <c r="A456" s="364"/>
      <c r="B456" s="364"/>
      <c r="C456" s="364"/>
      <c r="D456" s="364"/>
      <c r="E456" s="364"/>
      <c r="F456" s="364"/>
      <c r="G456" s="364"/>
      <c r="H456" s="364"/>
      <c r="I456" s="364"/>
      <c r="J456" s="364"/>
      <c r="K456" s="364"/>
      <c r="L456" s="364"/>
      <c r="M456" s="364"/>
      <c r="N456" s="364"/>
      <c r="O456" s="388"/>
      <c r="P456" s="364"/>
      <c r="Q456" s="364"/>
      <c r="R456" s="364"/>
      <c r="S456" s="364"/>
      <c r="T456" s="364"/>
      <c r="U456" s="364"/>
      <c r="V456" s="364"/>
      <c r="W456" s="364"/>
      <c r="X456" s="364"/>
      <c r="Y456" s="364"/>
      <c r="Z456" s="364"/>
      <c r="AA456" s="364"/>
      <c r="AB456" s="364"/>
      <c r="AC456" s="364"/>
      <c r="AD456" s="364"/>
    </row>
    <row r="457">
      <c r="A457" s="364"/>
      <c r="B457" s="364"/>
      <c r="C457" s="364"/>
      <c r="D457" s="364"/>
      <c r="E457" s="364"/>
      <c r="F457" s="364"/>
      <c r="G457" s="364"/>
      <c r="H457" s="364"/>
      <c r="I457" s="364"/>
      <c r="J457" s="364"/>
      <c r="K457" s="364"/>
      <c r="L457" s="364"/>
      <c r="M457" s="364"/>
      <c r="N457" s="364"/>
      <c r="O457" s="388"/>
      <c r="P457" s="364"/>
      <c r="Q457" s="364"/>
      <c r="R457" s="364"/>
      <c r="S457" s="364"/>
      <c r="T457" s="364"/>
      <c r="U457" s="364"/>
      <c r="V457" s="364"/>
      <c r="W457" s="364"/>
      <c r="X457" s="364"/>
      <c r="Y457" s="364"/>
      <c r="Z457" s="364"/>
      <c r="AA457" s="364"/>
      <c r="AB457" s="364"/>
      <c r="AC457" s="364"/>
      <c r="AD457" s="364"/>
    </row>
    <row r="458">
      <c r="A458" s="364"/>
      <c r="B458" s="364"/>
      <c r="C458" s="364"/>
      <c r="D458" s="364"/>
      <c r="E458" s="364"/>
      <c r="F458" s="364"/>
      <c r="G458" s="364"/>
      <c r="H458" s="364"/>
      <c r="I458" s="364"/>
      <c r="J458" s="364"/>
      <c r="K458" s="364"/>
      <c r="L458" s="364"/>
      <c r="M458" s="364"/>
      <c r="N458" s="364"/>
      <c r="O458" s="388"/>
      <c r="P458" s="364"/>
      <c r="Q458" s="364"/>
      <c r="R458" s="364"/>
      <c r="S458" s="364"/>
      <c r="T458" s="364"/>
      <c r="U458" s="364"/>
      <c r="V458" s="364"/>
      <c r="W458" s="364"/>
      <c r="X458" s="364"/>
      <c r="Y458" s="364"/>
      <c r="Z458" s="364"/>
      <c r="AA458" s="364"/>
      <c r="AB458" s="364"/>
      <c r="AC458" s="364"/>
      <c r="AD458" s="364"/>
    </row>
    <row r="459">
      <c r="A459" s="364"/>
      <c r="B459" s="364"/>
      <c r="C459" s="364"/>
      <c r="D459" s="364"/>
      <c r="E459" s="364"/>
      <c r="F459" s="364"/>
      <c r="G459" s="364"/>
      <c r="H459" s="364"/>
      <c r="I459" s="364"/>
      <c r="J459" s="364"/>
      <c r="K459" s="364"/>
      <c r="L459" s="364"/>
      <c r="M459" s="364"/>
      <c r="N459" s="364"/>
      <c r="O459" s="388"/>
      <c r="P459" s="364"/>
      <c r="Q459" s="364"/>
      <c r="R459" s="364"/>
      <c r="S459" s="364"/>
      <c r="T459" s="364"/>
      <c r="U459" s="364"/>
      <c r="V459" s="364"/>
      <c r="W459" s="364"/>
      <c r="X459" s="364"/>
      <c r="Y459" s="364"/>
      <c r="Z459" s="364"/>
      <c r="AA459" s="364"/>
      <c r="AB459" s="364"/>
      <c r="AC459" s="364"/>
      <c r="AD459" s="364"/>
    </row>
    <row r="460">
      <c r="A460" s="364"/>
      <c r="B460" s="364"/>
      <c r="C460" s="364"/>
      <c r="D460" s="364"/>
      <c r="E460" s="364"/>
      <c r="F460" s="364"/>
      <c r="G460" s="364"/>
      <c r="H460" s="364"/>
      <c r="I460" s="364"/>
      <c r="J460" s="364"/>
      <c r="K460" s="364"/>
      <c r="L460" s="364"/>
      <c r="M460" s="364"/>
      <c r="N460" s="364"/>
      <c r="O460" s="388"/>
      <c r="P460" s="364"/>
      <c r="Q460" s="364"/>
      <c r="R460" s="364"/>
      <c r="S460" s="364"/>
      <c r="T460" s="364"/>
      <c r="U460" s="364"/>
      <c r="V460" s="364"/>
      <c r="W460" s="364"/>
      <c r="X460" s="364"/>
      <c r="Y460" s="364"/>
      <c r="Z460" s="364"/>
      <c r="AA460" s="364"/>
      <c r="AB460" s="364"/>
      <c r="AC460" s="364"/>
      <c r="AD460" s="364"/>
    </row>
    <row r="461">
      <c r="A461" s="364"/>
      <c r="B461" s="364"/>
      <c r="C461" s="364"/>
      <c r="D461" s="364"/>
      <c r="E461" s="364"/>
      <c r="F461" s="364"/>
      <c r="G461" s="364"/>
      <c r="H461" s="364"/>
      <c r="I461" s="364"/>
      <c r="J461" s="364"/>
      <c r="K461" s="364"/>
      <c r="L461" s="364"/>
      <c r="M461" s="364"/>
      <c r="N461" s="364"/>
      <c r="O461" s="388"/>
      <c r="P461" s="364"/>
      <c r="Q461" s="364"/>
      <c r="R461" s="364"/>
      <c r="S461" s="364"/>
      <c r="T461" s="364"/>
      <c r="U461" s="364"/>
      <c r="V461" s="364"/>
      <c r="W461" s="364"/>
      <c r="X461" s="364"/>
      <c r="Y461" s="364"/>
      <c r="Z461" s="364"/>
      <c r="AA461" s="364"/>
      <c r="AB461" s="364"/>
      <c r="AC461" s="364"/>
      <c r="AD461" s="364"/>
    </row>
    <row r="462">
      <c r="A462" s="364"/>
      <c r="B462" s="364"/>
      <c r="C462" s="364"/>
      <c r="D462" s="364"/>
      <c r="E462" s="364"/>
      <c r="F462" s="364"/>
      <c r="G462" s="364"/>
      <c r="H462" s="364"/>
      <c r="I462" s="364"/>
      <c r="J462" s="364"/>
      <c r="K462" s="364"/>
      <c r="L462" s="364"/>
      <c r="M462" s="364"/>
      <c r="N462" s="364"/>
      <c r="O462" s="388"/>
      <c r="P462" s="364"/>
      <c r="Q462" s="364"/>
      <c r="R462" s="364"/>
      <c r="S462" s="364"/>
      <c r="T462" s="364"/>
      <c r="U462" s="364"/>
      <c r="V462" s="364"/>
      <c r="W462" s="364"/>
      <c r="X462" s="364"/>
      <c r="Y462" s="364"/>
      <c r="Z462" s="364"/>
      <c r="AA462" s="364"/>
      <c r="AB462" s="364"/>
      <c r="AC462" s="364"/>
      <c r="AD462" s="364"/>
    </row>
    <row r="463">
      <c r="A463" s="364"/>
      <c r="B463" s="364"/>
      <c r="C463" s="364"/>
      <c r="D463" s="364"/>
      <c r="E463" s="364"/>
      <c r="F463" s="364"/>
      <c r="G463" s="364"/>
      <c r="H463" s="364"/>
      <c r="I463" s="364"/>
      <c r="J463" s="364"/>
      <c r="K463" s="364"/>
      <c r="L463" s="364"/>
      <c r="M463" s="364"/>
      <c r="N463" s="364"/>
      <c r="O463" s="388"/>
      <c r="P463" s="364"/>
      <c r="Q463" s="364"/>
      <c r="R463" s="364"/>
      <c r="S463" s="364"/>
      <c r="T463" s="364"/>
      <c r="U463" s="364"/>
      <c r="V463" s="364"/>
      <c r="W463" s="364"/>
      <c r="X463" s="364"/>
      <c r="Y463" s="364"/>
      <c r="Z463" s="364"/>
      <c r="AA463" s="364"/>
      <c r="AB463" s="364"/>
      <c r="AC463" s="364"/>
      <c r="AD463" s="364"/>
    </row>
    <row r="464">
      <c r="A464" s="364"/>
      <c r="B464" s="364"/>
      <c r="C464" s="364"/>
      <c r="D464" s="364"/>
      <c r="E464" s="364"/>
      <c r="F464" s="364"/>
      <c r="G464" s="364"/>
      <c r="H464" s="364"/>
      <c r="I464" s="364"/>
      <c r="J464" s="364"/>
      <c r="K464" s="364"/>
      <c r="L464" s="364"/>
      <c r="M464" s="364"/>
      <c r="N464" s="364"/>
      <c r="O464" s="388"/>
      <c r="P464" s="364"/>
      <c r="Q464" s="364"/>
      <c r="R464" s="364"/>
      <c r="S464" s="364"/>
      <c r="T464" s="364"/>
      <c r="U464" s="364"/>
      <c r="V464" s="364"/>
      <c r="W464" s="364"/>
      <c r="X464" s="364"/>
      <c r="Y464" s="364"/>
      <c r="Z464" s="364"/>
      <c r="AA464" s="364"/>
      <c r="AB464" s="364"/>
      <c r="AC464" s="364"/>
      <c r="AD464" s="364"/>
    </row>
    <row r="465">
      <c r="A465" s="364"/>
      <c r="B465" s="364"/>
      <c r="C465" s="364"/>
      <c r="D465" s="364"/>
      <c r="E465" s="364"/>
      <c r="F465" s="364"/>
      <c r="G465" s="364"/>
      <c r="H465" s="364"/>
      <c r="I465" s="364"/>
      <c r="J465" s="364"/>
      <c r="K465" s="364"/>
      <c r="L465" s="364"/>
      <c r="M465" s="364"/>
      <c r="N465" s="364"/>
      <c r="O465" s="388"/>
      <c r="P465" s="364"/>
      <c r="Q465" s="364"/>
      <c r="R465" s="364"/>
      <c r="S465" s="364"/>
      <c r="T465" s="364"/>
      <c r="U465" s="364"/>
      <c r="V465" s="364"/>
      <c r="W465" s="364"/>
      <c r="X465" s="364"/>
      <c r="Y465" s="364"/>
      <c r="Z465" s="364"/>
      <c r="AA465" s="364"/>
      <c r="AB465" s="364"/>
      <c r="AC465" s="364"/>
      <c r="AD465" s="364"/>
    </row>
    <row r="466">
      <c r="A466" s="364"/>
      <c r="B466" s="364"/>
      <c r="C466" s="364"/>
      <c r="D466" s="364"/>
      <c r="E466" s="364"/>
      <c r="F466" s="364"/>
      <c r="G466" s="364"/>
      <c r="H466" s="364"/>
      <c r="I466" s="364"/>
      <c r="J466" s="364"/>
      <c r="K466" s="364"/>
      <c r="L466" s="364"/>
      <c r="M466" s="364"/>
      <c r="N466" s="364"/>
      <c r="O466" s="388"/>
      <c r="P466" s="364"/>
      <c r="Q466" s="364"/>
      <c r="R466" s="364"/>
      <c r="S466" s="364"/>
      <c r="T466" s="364"/>
      <c r="U466" s="364"/>
      <c r="V466" s="364"/>
      <c r="W466" s="364"/>
      <c r="X466" s="364"/>
      <c r="Y466" s="364"/>
      <c r="Z466" s="364"/>
      <c r="AA466" s="364"/>
      <c r="AB466" s="364"/>
      <c r="AC466" s="364"/>
      <c r="AD466" s="364"/>
    </row>
    <row r="467">
      <c r="A467" s="364"/>
      <c r="B467" s="364"/>
      <c r="C467" s="364"/>
      <c r="D467" s="364"/>
      <c r="E467" s="364"/>
      <c r="F467" s="364"/>
      <c r="G467" s="364"/>
      <c r="H467" s="364"/>
      <c r="I467" s="364"/>
      <c r="J467" s="364"/>
      <c r="K467" s="364"/>
      <c r="L467" s="364"/>
      <c r="M467" s="364"/>
      <c r="N467" s="364"/>
      <c r="O467" s="388"/>
      <c r="P467" s="364"/>
      <c r="Q467" s="364"/>
      <c r="R467" s="364"/>
      <c r="S467" s="364"/>
      <c r="T467" s="364"/>
      <c r="U467" s="364"/>
      <c r="V467" s="364"/>
      <c r="W467" s="364"/>
      <c r="X467" s="364"/>
      <c r="Y467" s="364"/>
      <c r="Z467" s="364"/>
      <c r="AA467" s="364"/>
      <c r="AB467" s="364"/>
      <c r="AC467" s="364"/>
      <c r="AD467" s="364"/>
    </row>
    <row r="468">
      <c r="A468" s="364"/>
      <c r="B468" s="364"/>
      <c r="C468" s="364"/>
      <c r="D468" s="364"/>
      <c r="E468" s="364"/>
      <c r="F468" s="364"/>
      <c r="G468" s="364"/>
      <c r="H468" s="364"/>
      <c r="I468" s="364"/>
      <c r="J468" s="364"/>
      <c r="K468" s="364"/>
      <c r="L468" s="364"/>
      <c r="M468" s="364"/>
      <c r="N468" s="364"/>
      <c r="O468" s="388"/>
      <c r="P468" s="364"/>
      <c r="Q468" s="364"/>
      <c r="R468" s="364"/>
      <c r="S468" s="364"/>
      <c r="T468" s="364"/>
      <c r="U468" s="364"/>
      <c r="V468" s="364"/>
      <c r="W468" s="364"/>
      <c r="X468" s="364"/>
      <c r="Y468" s="364"/>
      <c r="Z468" s="364"/>
      <c r="AA468" s="364"/>
      <c r="AB468" s="364"/>
      <c r="AC468" s="364"/>
      <c r="AD468" s="364"/>
    </row>
    <row r="469">
      <c r="A469" s="364"/>
      <c r="B469" s="364"/>
      <c r="C469" s="364"/>
      <c r="D469" s="364"/>
      <c r="E469" s="364"/>
      <c r="F469" s="364"/>
      <c r="G469" s="364"/>
      <c r="H469" s="364"/>
      <c r="I469" s="364"/>
      <c r="J469" s="364"/>
      <c r="K469" s="364"/>
      <c r="L469" s="364"/>
      <c r="M469" s="364"/>
      <c r="N469" s="364"/>
      <c r="O469" s="388"/>
      <c r="P469" s="364"/>
      <c r="Q469" s="364"/>
      <c r="R469" s="364"/>
      <c r="S469" s="364"/>
      <c r="T469" s="364"/>
      <c r="U469" s="364"/>
      <c r="V469" s="364"/>
      <c r="W469" s="364"/>
      <c r="X469" s="364"/>
      <c r="Y469" s="364"/>
      <c r="Z469" s="364"/>
      <c r="AA469" s="364"/>
      <c r="AB469" s="364"/>
      <c r="AC469" s="364"/>
      <c r="AD469" s="364"/>
    </row>
    <row r="470">
      <c r="A470" s="364"/>
      <c r="B470" s="364"/>
      <c r="C470" s="364"/>
      <c r="D470" s="364"/>
      <c r="E470" s="364"/>
      <c r="F470" s="364"/>
      <c r="G470" s="364"/>
      <c r="H470" s="364"/>
      <c r="I470" s="364"/>
      <c r="J470" s="364"/>
      <c r="K470" s="364"/>
      <c r="L470" s="364"/>
      <c r="M470" s="364"/>
      <c r="N470" s="364"/>
      <c r="O470" s="388"/>
      <c r="P470" s="364"/>
      <c r="Q470" s="364"/>
      <c r="R470" s="364"/>
      <c r="S470" s="364"/>
      <c r="T470" s="364"/>
      <c r="U470" s="364"/>
      <c r="V470" s="364"/>
      <c r="W470" s="364"/>
      <c r="X470" s="364"/>
      <c r="Y470" s="364"/>
      <c r="Z470" s="364"/>
      <c r="AA470" s="364"/>
      <c r="AB470" s="364"/>
      <c r="AC470" s="364"/>
      <c r="AD470" s="364"/>
    </row>
    <row r="471">
      <c r="A471" s="364"/>
      <c r="B471" s="364"/>
      <c r="C471" s="364"/>
      <c r="D471" s="364"/>
      <c r="E471" s="364"/>
      <c r="F471" s="364"/>
      <c r="G471" s="364"/>
      <c r="H471" s="364"/>
      <c r="I471" s="364"/>
      <c r="J471" s="364"/>
      <c r="K471" s="364"/>
      <c r="L471" s="364"/>
      <c r="M471" s="364"/>
      <c r="N471" s="364"/>
      <c r="O471" s="388"/>
      <c r="P471" s="364"/>
      <c r="Q471" s="364"/>
      <c r="R471" s="364"/>
      <c r="S471" s="364"/>
      <c r="T471" s="364"/>
      <c r="U471" s="364"/>
      <c r="V471" s="364"/>
      <c r="W471" s="364"/>
      <c r="X471" s="364"/>
      <c r="Y471" s="364"/>
      <c r="Z471" s="364"/>
      <c r="AA471" s="364"/>
      <c r="AB471" s="364"/>
      <c r="AC471" s="364"/>
      <c r="AD471" s="364"/>
    </row>
    <row r="472">
      <c r="A472" s="364"/>
      <c r="B472" s="364"/>
      <c r="C472" s="364"/>
      <c r="D472" s="364"/>
      <c r="E472" s="364"/>
      <c r="F472" s="364"/>
      <c r="G472" s="364"/>
      <c r="H472" s="364"/>
      <c r="I472" s="364"/>
      <c r="J472" s="364"/>
      <c r="K472" s="364"/>
      <c r="L472" s="364"/>
      <c r="M472" s="364"/>
      <c r="N472" s="364"/>
      <c r="O472" s="388"/>
      <c r="P472" s="364"/>
      <c r="Q472" s="364"/>
      <c r="R472" s="364"/>
      <c r="S472" s="364"/>
      <c r="T472" s="364"/>
      <c r="U472" s="364"/>
      <c r="V472" s="364"/>
      <c r="W472" s="364"/>
      <c r="X472" s="364"/>
      <c r="Y472" s="364"/>
      <c r="Z472" s="364"/>
      <c r="AA472" s="364"/>
      <c r="AB472" s="364"/>
      <c r="AC472" s="364"/>
      <c r="AD472" s="364"/>
    </row>
    <row r="473">
      <c r="A473" s="364"/>
      <c r="B473" s="364"/>
      <c r="C473" s="364"/>
      <c r="D473" s="364"/>
      <c r="E473" s="364"/>
      <c r="F473" s="364"/>
      <c r="G473" s="364"/>
      <c r="H473" s="364"/>
      <c r="I473" s="364"/>
      <c r="J473" s="364"/>
      <c r="K473" s="364"/>
      <c r="L473" s="364"/>
      <c r="M473" s="364"/>
      <c r="N473" s="364"/>
      <c r="O473" s="388"/>
      <c r="P473" s="364"/>
      <c r="Q473" s="364"/>
      <c r="R473" s="364"/>
      <c r="S473" s="364"/>
      <c r="T473" s="364"/>
      <c r="U473" s="364"/>
      <c r="V473" s="364"/>
      <c r="W473" s="364"/>
      <c r="X473" s="364"/>
      <c r="Y473" s="364"/>
      <c r="Z473" s="364"/>
      <c r="AA473" s="364"/>
      <c r="AB473" s="364"/>
      <c r="AC473" s="364"/>
      <c r="AD473" s="364"/>
    </row>
    <row r="474">
      <c r="A474" s="364"/>
      <c r="B474" s="364"/>
      <c r="C474" s="364"/>
      <c r="D474" s="364"/>
      <c r="E474" s="364"/>
      <c r="F474" s="364"/>
      <c r="G474" s="364"/>
      <c r="H474" s="364"/>
      <c r="I474" s="364"/>
      <c r="J474" s="364"/>
      <c r="K474" s="364"/>
      <c r="L474" s="364"/>
      <c r="M474" s="364"/>
      <c r="N474" s="364"/>
      <c r="O474" s="388"/>
      <c r="P474" s="364"/>
      <c r="Q474" s="364"/>
      <c r="R474" s="364"/>
      <c r="S474" s="364"/>
      <c r="T474" s="364"/>
      <c r="U474" s="364"/>
      <c r="V474" s="364"/>
      <c r="W474" s="364"/>
      <c r="X474" s="364"/>
      <c r="Y474" s="364"/>
      <c r="Z474" s="364"/>
      <c r="AA474" s="364"/>
      <c r="AB474" s="364"/>
      <c r="AC474" s="364"/>
      <c r="AD474" s="364"/>
    </row>
    <row r="475">
      <c r="A475" s="364"/>
      <c r="B475" s="364"/>
      <c r="C475" s="364"/>
      <c r="D475" s="364"/>
      <c r="E475" s="364"/>
      <c r="F475" s="364"/>
      <c r="G475" s="364"/>
      <c r="H475" s="364"/>
      <c r="I475" s="364"/>
      <c r="J475" s="364"/>
      <c r="K475" s="364"/>
      <c r="L475" s="364"/>
      <c r="M475" s="364"/>
      <c r="N475" s="364"/>
      <c r="O475" s="388"/>
      <c r="P475" s="364"/>
      <c r="Q475" s="364"/>
      <c r="R475" s="364"/>
      <c r="S475" s="364"/>
      <c r="T475" s="364"/>
      <c r="U475" s="364"/>
      <c r="V475" s="364"/>
      <c r="W475" s="364"/>
      <c r="X475" s="364"/>
      <c r="Y475" s="364"/>
      <c r="Z475" s="364"/>
      <c r="AA475" s="364"/>
      <c r="AB475" s="364"/>
      <c r="AC475" s="364"/>
      <c r="AD475" s="364"/>
    </row>
    <row r="476">
      <c r="A476" s="364"/>
      <c r="B476" s="364"/>
      <c r="C476" s="364"/>
      <c r="D476" s="364"/>
      <c r="E476" s="364"/>
      <c r="F476" s="364"/>
      <c r="G476" s="364"/>
      <c r="H476" s="364"/>
      <c r="I476" s="364"/>
      <c r="J476" s="364"/>
      <c r="K476" s="364"/>
      <c r="L476" s="364"/>
      <c r="M476" s="364"/>
      <c r="N476" s="364"/>
      <c r="O476" s="388"/>
      <c r="P476" s="364"/>
      <c r="Q476" s="364"/>
      <c r="R476" s="364"/>
      <c r="S476" s="364"/>
      <c r="T476" s="364"/>
      <c r="U476" s="364"/>
      <c r="V476" s="364"/>
      <c r="W476" s="364"/>
      <c r="X476" s="364"/>
      <c r="Y476" s="364"/>
      <c r="Z476" s="364"/>
      <c r="AA476" s="364"/>
      <c r="AB476" s="364"/>
      <c r="AC476" s="364"/>
      <c r="AD476" s="364"/>
    </row>
    <row r="477">
      <c r="A477" s="364"/>
      <c r="B477" s="364"/>
      <c r="C477" s="364"/>
      <c r="D477" s="364"/>
      <c r="E477" s="364"/>
      <c r="F477" s="364"/>
      <c r="G477" s="364"/>
      <c r="H477" s="364"/>
      <c r="I477" s="364"/>
      <c r="J477" s="364"/>
      <c r="K477" s="364"/>
      <c r="L477" s="364"/>
      <c r="M477" s="364"/>
      <c r="N477" s="364"/>
      <c r="O477" s="388"/>
      <c r="P477" s="364"/>
      <c r="Q477" s="364"/>
      <c r="R477" s="364"/>
      <c r="S477" s="364"/>
      <c r="T477" s="364"/>
      <c r="U477" s="364"/>
      <c r="V477" s="364"/>
      <c r="W477" s="364"/>
      <c r="X477" s="364"/>
      <c r="Y477" s="364"/>
      <c r="Z477" s="364"/>
      <c r="AA477" s="364"/>
      <c r="AB477" s="364"/>
      <c r="AC477" s="364"/>
      <c r="AD477" s="364"/>
    </row>
    <row r="478">
      <c r="A478" s="364"/>
      <c r="B478" s="364"/>
      <c r="C478" s="364"/>
      <c r="D478" s="364"/>
      <c r="E478" s="364"/>
      <c r="F478" s="364"/>
      <c r="G478" s="364"/>
      <c r="H478" s="364"/>
      <c r="I478" s="364"/>
      <c r="J478" s="364"/>
      <c r="K478" s="364"/>
      <c r="L478" s="364"/>
      <c r="M478" s="364"/>
      <c r="N478" s="364"/>
      <c r="O478" s="388"/>
      <c r="P478" s="364"/>
      <c r="Q478" s="364"/>
      <c r="R478" s="364"/>
      <c r="S478" s="364"/>
      <c r="T478" s="364"/>
      <c r="U478" s="364"/>
      <c r="V478" s="364"/>
      <c r="W478" s="364"/>
      <c r="X478" s="364"/>
      <c r="Y478" s="364"/>
      <c r="Z478" s="364"/>
      <c r="AA478" s="364"/>
      <c r="AB478" s="364"/>
      <c r="AC478" s="364"/>
      <c r="AD478" s="364"/>
    </row>
    <row r="479">
      <c r="A479" s="364"/>
      <c r="B479" s="364"/>
      <c r="C479" s="364"/>
      <c r="D479" s="364"/>
      <c r="E479" s="364"/>
      <c r="F479" s="364"/>
      <c r="G479" s="364"/>
      <c r="H479" s="364"/>
      <c r="I479" s="364"/>
      <c r="J479" s="364"/>
      <c r="K479" s="364"/>
      <c r="L479" s="364"/>
      <c r="M479" s="364"/>
      <c r="N479" s="364"/>
      <c r="O479" s="388"/>
      <c r="P479" s="364"/>
      <c r="Q479" s="364"/>
      <c r="R479" s="364"/>
      <c r="S479" s="364"/>
      <c r="T479" s="364"/>
      <c r="U479" s="364"/>
      <c r="V479" s="364"/>
      <c r="W479" s="364"/>
      <c r="X479" s="364"/>
      <c r="Y479" s="364"/>
      <c r="Z479" s="364"/>
      <c r="AA479" s="364"/>
      <c r="AB479" s="364"/>
      <c r="AC479" s="364"/>
      <c r="AD479" s="364"/>
    </row>
    <row r="480">
      <c r="A480" s="364"/>
      <c r="B480" s="364"/>
      <c r="C480" s="364"/>
      <c r="D480" s="364"/>
      <c r="E480" s="364"/>
      <c r="F480" s="364"/>
      <c r="G480" s="364"/>
      <c r="H480" s="364"/>
      <c r="I480" s="364"/>
      <c r="J480" s="364"/>
      <c r="K480" s="364"/>
      <c r="L480" s="364"/>
      <c r="M480" s="364"/>
      <c r="N480" s="364"/>
      <c r="O480" s="388"/>
      <c r="P480" s="364"/>
      <c r="Q480" s="364"/>
      <c r="R480" s="364"/>
      <c r="S480" s="364"/>
      <c r="T480" s="364"/>
      <c r="U480" s="364"/>
      <c r="V480" s="364"/>
      <c r="W480" s="364"/>
      <c r="X480" s="364"/>
      <c r="Y480" s="364"/>
      <c r="Z480" s="364"/>
      <c r="AA480" s="364"/>
      <c r="AB480" s="364"/>
      <c r="AC480" s="364"/>
      <c r="AD480" s="364"/>
    </row>
    <row r="481">
      <c r="A481" s="364"/>
      <c r="B481" s="364"/>
      <c r="C481" s="364"/>
      <c r="D481" s="364"/>
      <c r="E481" s="364"/>
      <c r="F481" s="364"/>
      <c r="G481" s="364"/>
      <c r="H481" s="364"/>
      <c r="I481" s="364"/>
      <c r="J481" s="364"/>
      <c r="K481" s="364"/>
      <c r="L481" s="364"/>
      <c r="M481" s="364"/>
      <c r="N481" s="364"/>
      <c r="O481" s="388"/>
      <c r="P481" s="364"/>
      <c r="Q481" s="364"/>
      <c r="R481" s="364"/>
      <c r="S481" s="364"/>
      <c r="T481" s="364"/>
      <c r="U481" s="364"/>
      <c r="V481" s="364"/>
      <c r="W481" s="364"/>
      <c r="X481" s="364"/>
      <c r="Y481" s="364"/>
      <c r="Z481" s="364"/>
      <c r="AA481" s="364"/>
      <c r="AB481" s="364"/>
      <c r="AC481" s="364"/>
      <c r="AD481" s="364"/>
    </row>
    <row r="482">
      <c r="A482" s="364"/>
      <c r="B482" s="364"/>
      <c r="C482" s="364"/>
      <c r="D482" s="364"/>
      <c r="E482" s="364"/>
      <c r="F482" s="364"/>
      <c r="G482" s="364"/>
      <c r="H482" s="364"/>
      <c r="I482" s="364"/>
      <c r="J482" s="364"/>
      <c r="K482" s="364"/>
      <c r="L482" s="364"/>
      <c r="M482" s="364"/>
      <c r="N482" s="364"/>
      <c r="O482" s="388"/>
      <c r="P482" s="364"/>
      <c r="Q482" s="364"/>
      <c r="R482" s="364"/>
      <c r="S482" s="364"/>
      <c r="T482" s="364"/>
      <c r="U482" s="364"/>
      <c r="V482" s="364"/>
      <c r="W482" s="364"/>
      <c r="X482" s="364"/>
      <c r="Y482" s="364"/>
      <c r="Z482" s="364"/>
      <c r="AA482" s="364"/>
      <c r="AB482" s="364"/>
      <c r="AC482" s="364"/>
      <c r="AD482" s="364"/>
    </row>
    <row r="483">
      <c r="A483" s="364"/>
      <c r="B483" s="364"/>
      <c r="C483" s="364"/>
      <c r="D483" s="364"/>
      <c r="E483" s="364"/>
      <c r="F483" s="364"/>
      <c r="G483" s="364"/>
      <c r="H483" s="364"/>
      <c r="I483" s="364"/>
      <c r="J483" s="364"/>
      <c r="K483" s="364"/>
      <c r="L483" s="364"/>
      <c r="M483" s="364"/>
      <c r="N483" s="364"/>
      <c r="O483" s="388"/>
      <c r="P483" s="364"/>
      <c r="Q483" s="364"/>
      <c r="R483" s="364"/>
      <c r="S483" s="364"/>
      <c r="T483" s="364"/>
      <c r="U483" s="364"/>
      <c r="V483" s="364"/>
      <c r="W483" s="364"/>
      <c r="X483" s="364"/>
      <c r="Y483" s="364"/>
      <c r="Z483" s="364"/>
      <c r="AA483" s="364"/>
      <c r="AB483" s="364"/>
      <c r="AC483" s="364"/>
      <c r="AD483" s="364"/>
    </row>
    <row r="484">
      <c r="A484" s="364"/>
      <c r="B484" s="364"/>
      <c r="C484" s="364"/>
      <c r="D484" s="364"/>
      <c r="E484" s="364"/>
      <c r="F484" s="364"/>
      <c r="G484" s="364"/>
      <c r="H484" s="364"/>
      <c r="I484" s="364"/>
      <c r="J484" s="364"/>
      <c r="K484" s="364"/>
      <c r="L484" s="364"/>
      <c r="M484" s="364"/>
      <c r="N484" s="364"/>
      <c r="O484" s="388"/>
      <c r="P484" s="364"/>
      <c r="Q484" s="364"/>
      <c r="R484" s="364"/>
      <c r="S484" s="364"/>
      <c r="T484" s="364"/>
      <c r="U484" s="364"/>
      <c r="V484" s="364"/>
      <c r="W484" s="364"/>
      <c r="X484" s="364"/>
      <c r="Y484" s="364"/>
      <c r="Z484" s="364"/>
      <c r="AA484" s="364"/>
      <c r="AB484" s="364"/>
      <c r="AC484" s="364"/>
      <c r="AD484" s="364"/>
    </row>
    <row r="485">
      <c r="A485" s="364"/>
      <c r="B485" s="364"/>
      <c r="C485" s="364"/>
      <c r="D485" s="364"/>
      <c r="E485" s="364"/>
      <c r="F485" s="364"/>
      <c r="G485" s="364"/>
      <c r="H485" s="364"/>
      <c r="I485" s="364"/>
      <c r="J485" s="364"/>
      <c r="K485" s="364"/>
      <c r="L485" s="364"/>
      <c r="M485" s="364"/>
      <c r="N485" s="364"/>
      <c r="O485" s="388"/>
      <c r="P485" s="364"/>
      <c r="Q485" s="364"/>
      <c r="R485" s="364"/>
      <c r="S485" s="364"/>
      <c r="T485" s="364"/>
      <c r="U485" s="364"/>
      <c r="V485" s="364"/>
      <c r="W485" s="364"/>
      <c r="X485" s="364"/>
      <c r="Y485" s="364"/>
      <c r="Z485" s="364"/>
      <c r="AA485" s="364"/>
      <c r="AB485" s="364"/>
      <c r="AC485" s="364"/>
      <c r="AD485" s="364"/>
    </row>
    <row r="486">
      <c r="A486" s="364"/>
      <c r="B486" s="364"/>
      <c r="C486" s="364"/>
      <c r="D486" s="364"/>
      <c r="E486" s="364"/>
      <c r="F486" s="364"/>
      <c r="G486" s="364"/>
      <c r="H486" s="364"/>
      <c r="I486" s="364"/>
      <c r="J486" s="364"/>
      <c r="K486" s="364"/>
      <c r="L486" s="364"/>
      <c r="M486" s="364"/>
      <c r="N486" s="364"/>
      <c r="O486" s="388"/>
      <c r="P486" s="364"/>
      <c r="Q486" s="364"/>
      <c r="R486" s="364"/>
      <c r="S486" s="364"/>
      <c r="T486" s="364"/>
      <c r="U486" s="364"/>
      <c r="V486" s="364"/>
      <c r="W486" s="364"/>
      <c r="X486" s="364"/>
      <c r="Y486" s="364"/>
      <c r="Z486" s="364"/>
      <c r="AA486" s="364"/>
      <c r="AB486" s="364"/>
      <c r="AC486" s="364"/>
      <c r="AD486" s="364"/>
    </row>
    <row r="487">
      <c r="A487" s="364"/>
      <c r="B487" s="364"/>
      <c r="C487" s="364"/>
      <c r="D487" s="364"/>
      <c r="E487" s="364"/>
      <c r="F487" s="364"/>
      <c r="G487" s="364"/>
      <c r="H487" s="364"/>
      <c r="I487" s="364"/>
      <c r="J487" s="364"/>
      <c r="K487" s="364"/>
      <c r="L487" s="364"/>
      <c r="M487" s="364"/>
      <c r="N487" s="364"/>
      <c r="O487" s="388"/>
      <c r="P487" s="364"/>
      <c r="Q487" s="364"/>
      <c r="R487" s="364"/>
      <c r="S487" s="364"/>
      <c r="T487" s="364"/>
      <c r="U487" s="364"/>
      <c r="V487" s="364"/>
      <c r="W487" s="364"/>
      <c r="X487" s="364"/>
      <c r="Y487" s="364"/>
      <c r="Z487" s="364"/>
      <c r="AA487" s="364"/>
      <c r="AB487" s="364"/>
      <c r="AC487" s="364"/>
      <c r="AD487" s="364"/>
    </row>
    <row r="488">
      <c r="A488" s="364"/>
      <c r="B488" s="364"/>
      <c r="C488" s="364"/>
      <c r="D488" s="364"/>
      <c r="E488" s="364"/>
      <c r="F488" s="364"/>
      <c r="G488" s="364"/>
      <c r="H488" s="364"/>
      <c r="I488" s="364"/>
      <c r="J488" s="364"/>
      <c r="K488" s="364"/>
      <c r="L488" s="364"/>
      <c r="M488" s="364"/>
      <c r="N488" s="364"/>
      <c r="O488" s="388"/>
      <c r="P488" s="364"/>
      <c r="Q488" s="364"/>
      <c r="R488" s="364"/>
      <c r="S488" s="364"/>
      <c r="T488" s="364"/>
      <c r="U488" s="364"/>
      <c r="V488" s="364"/>
      <c r="W488" s="364"/>
      <c r="X488" s="364"/>
      <c r="Y488" s="364"/>
      <c r="Z488" s="364"/>
      <c r="AA488" s="364"/>
      <c r="AB488" s="364"/>
      <c r="AC488" s="364"/>
      <c r="AD488" s="364"/>
    </row>
    <row r="489">
      <c r="A489" s="364"/>
      <c r="B489" s="364"/>
      <c r="C489" s="364"/>
      <c r="D489" s="364"/>
      <c r="E489" s="364"/>
      <c r="F489" s="364"/>
      <c r="G489" s="364"/>
      <c r="H489" s="364"/>
      <c r="I489" s="364"/>
      <c r="J489" s="364"/>
      <c r="K489" s="364"/>
      <c r="L489" s="364"/>
      <c r="M489" s="364"/>
      <c r="N489" s="364"/>
      <c r="O489" s="388"/>
      <c r="P489" s="364"/>
      <c r="Q489" s="364"/>
      <c r="R489" s="364"/>
      <c r="S489" s="364"/>
      <c r="T489" s="364"/>
      <c r="U489" s="364"/>
      <c r="V489" s="364"/>
      <c r="W489" s="364"/>
      <c r="X489" s="364"/>
      <c r="Y489" s="364"/>
      <c r="Z489" s="364"/>
      <c r="AA489" s="364"/>
      <c r="AB489" s="364"/>
      <c r="AC489" s="364"/>
      <c r="AD489" s="364"/>
    </row>
    <row r="490">
      <c r="A490" s="364"/>
      <c r="B490" s="364"/>
      <c r="C490" s="364"/>
      <c r="D490" s="364"/>
      <c r="E490" s="364"/>
      <c r="F490" s="364"/>
      <c r="G490" s="364"/>
      <c r="H490" s="364"/>
      <c r="I490" s="364"/>
      <c r="J490" s="364"/>
      <c r="K490" s="364"/>
      <c r="L490" s="364"/>
      <c r="M490" s="364"/>
      <c r="N490" s="364"/>
      <c r="O490" s="388"/>
      <c r="P490" s="364"/>
      <c r="Q490" s="364"/>
      <c r="R490" s="364"/>
      <c r="S490" s="364"/>
      <c r="T490" s="364"/>
      <c r="U490" s="364"/>
      <c r="V490" s="364"/>
      <c r="W490" s="364"/>
      <c r="X490" s="364"/>
      <c r="Y490" s="364"/>
      <c r="Z490" s="364"/>
      <c r="AA490" s="364"/>
      <c r="AB490" s="364"/>
      <c r="AC490" s="364"/>
      <c r="AD490" s="364"/>
    </row>
    <row r="491">
      <c r="A491" s="364"/>
      <c r="B491" s="364"/>
      <c r="C491" s="364"/>
      <c r="D491" s="364"/>
      <c r="E491" s="364"/>
      <c r="F491" s="364"/>
      <c r="G491" s="364"/>
      <c r="H491" s="364"/>
      <c r="I491" s="364"/>
      <c r="J491" s="364"/>
      <c r="K491" s="364"/>
      <c r="L491" s="364"/>
      <c r="M491" s="364"/>
      <c r="N491" s="364"/>
      <c r="O491" s="388"/>
      <c r="P491" s="364"/>
      <c r="Q491" s="364"/>
      <c r="R491" s="364"/>
      <c r="S491" s="364"/>
      <c r="T491" s="364"/>
      <c r="U491" s="364"/>
      <c r="V491" s="364"/>
      <c r="W491" s="364"/>
      <c r="X491" s="364"/>
      <c r="Y491" s="364"/>
      <c r="Z491" s="364"/>
      <c r="AA491" s="364"/>
      <c r="AB491" s="364"/>
      <c r="AC491" s="364"/>
      <c r="AD491" s="364"/>
    </row>
    <row r="492">
      <c r="A492" s="364"/>
      <c r="B492" s="364"/>
      <c r="C492" s="364"/>
      <c r="D492" s="364"/>
      <c r="E492" s="364"/>
      <c r="F492" s="364"/>
      <c r="G492" s="364"/>
      <c r="H492" s="364"/>
      <c r="I492" s="364"/>
      <c r="J492" s="364"/>
      <c r="K492" s="364"/>
      <c r="L492" s="364"/>
      <c r="M492" s="364"/>
      <c r="N492" s="364"/>
      <c r="O492" s="388"/>
      <c r="P492" s="364"/>
      <c r="Q492" s="364"/>
      <c r="R492" s="364"/>
      <c r="S492" s="364"/>
      <c r="T492" s="364"/>
      <c r="U492" s="364"/>
      <c r="V492" s="364"/>
      <c r="W492" s="364"/>
      <c r="X492" s="364"/>
      <c r="Y492" s="364"/>
      <c r="Z492" s="364"/>
      <c r="AA492" s="364"/>
      <c r="AB492" s="364"/>
      <c r="AC492" s="364"/>
      <c r="AD492" s="364"/>
    </row>
    <row r="493">
      <c r="A493" s="364"/>
      <c r="B493" s="364"/>
      <c r="C493" s="364"/>
      <c r="D493" s="364"/>
      <c r="E493" s="364"/>
      <c r="F493" s="364"/>
      <c r="G493" s="364"/>
      <c r="H493" s="364"/>
      <c r="I493" s="364"/>
      <c r="J493" s="364"/>
      <c r="K493" s="364"/>
      <c r="L493" s="364"/>
      <c r="M493" s="364"/>
      <c r="N493" s="364"/>
      <c r="O493" s="388"/>
      <c r="P493" s="364"/>
      <c r="Q493" s="364"/>
      <c r="R493" s="364"/>
      <c r="S493" s="364"/>
      <c r="T493" s="364"/>
      <c r="U493" s="364"/>
      <c r="V493" s="364"/>
      <c r="W493" s="364"/>
      <c r="X493" s="364"/>
      <c r="Y493" s="364"/>
      <c r="Z493" s="364"/>
      <c r="AA493" s="364"/>
      <c r="AB493" s="364"/>
      <c r="AC493" s="364"/>
      <c r="AD493" s="364"/>
    </row>
    <row r="494">
      <c r="A494" s="364"/>
      <c r="B494" s="364"/>
      <c r="C494" s="364"/>
      <c r="D494" s="364"/>
      <c r="E494" s="364"/>
      <c r="F494" s="364"/>
      <c r="G494" s="364"/>
      <c r="H494" s="364"/>
      <c r="I494" s="364"/>
      <c r="J494" s="364"/>
      <c r="K494" s="364"/>
      <c r="L494" s="364"/>
      <c r="M494" s="364"/>
      <c r="N494" s="364"/>
      <c r="O494" s="388"/>
      <c r="P494" s="364"/>
      <c r="Q494" s="364"/>
      <c r="R494" s="364"/>
      <c r="S494" s="364"/>
      <c r="T494" s="364"/>
      <c r="U494" s="364"/>
      <c r="V494" s="364"/>
      <c r="W494" s="364"/>
      <c r="X494" s="364"/>
      <c r="Y494" s="364"/>
      <c r="Z494" s="364"/>
      <c r="AA494" s="364"/>
      <c r="AB494" s="364"/>
      <c r="AC494" s="364"/>
      <c r="AD494" s="364"/>
    </row>
    <row r="495">
      <c r="A495" s="364"/>
      <c r="B495" s="364"/>
      <c r="C495" s="364"/>
      <c r="D495" s="364"/>
      <c r="E495" s="364"/>
      <c r="F495" s="364"/>
      <c r="G495" s="364"/>
      <c r="H495" s="364"/>
      <c r="I495" s="364"/>
      <c r="J495" s="364"/>
      <c r="K495" s="364"/>
      <c r="L495" s="364"/>
      <c r="M495" s="364"/>
      <c r="N495" s="364"/>
      <c r="O495" s="388"/>
      <c r="P495" s="364"/>
      <c r="Q495" s="364"/>
      <c r="R495" s="364"/>
      <c r="S495" s="364"/>
      <c r="T495" s="364"/>
      <c r="U495" s="364"/>
      <c r="V495" s="364"/>
      <c r="W495" s="364"/>
      <c r="X495" s="364"/>
      <c r="Y495" s="364"/>
      <c r="Z495" s="364"/>
      <c r="AA495" s="364"/>
      <c r="AB495" s="364"/>
      <c r="AC495" s="364"/>
      <c r="AD495" s="364"/>
    </row>
    <row r="496">
      <c r="A496" s="364"/>
      <c r="B496" s="364"/>
      <c r="C496" s="364"/>
      <c r="D496" s="364"/>
      <c r="E496" s="364"/>
      <c r="F496" s="364"/>
      <c r="G496" s="364"/>
      <c r="H496" s="364"/>
      <c r="I496" s="364"/>
      <c r="J496" s="364"/>
      <c r="K496" s="364"/>
      <c r="L496" s="364"/>
      <c r="M496" s="364"/>
      <c r="N496" s="364"/>
      <c r="O496" s="388"/>
      <c r="P496" s="364"/>
      <c r="Q496" s="364"/>
      <c r="R496" s="364"/>
      <c r="S496" s="364"/>
      <c r="T496" s="364"/>
      <c r="U496" s="364"/>
      <c r="V496" s="364"/>
      <c r="W496" s="364"/>
      <c r="X496" s="364"/>
      <c r="Y496" s="364"/>
      <c r="Z496" s="364"/>
      <c r="AA496" s="364"/>
      <c r="AB496" s="364"/>
      <c r="AC496" s="364"/>
      <c r="AD496" s="364"/>
    </row>
    <row r="497">
      <c r="A497" s="364"/>
      <c r="B497" s="364"/>
      <c r="C497" s="364"/>
      <c r="D497" s="364"/>
      <c r="E497" s="364"/>
      <c r="F497" s="364"/>
      <c r="G497" s="364"/>
      <c r="H497" s="364"/>
      <c r="I497" s="364"/>
      <c r="J497" s="364"/>
      <c r="K497" s="364"/>
      <c r="L497" s="364"/>
      <c r="M497" s="364"/>
      <c r="N497" s="364"/>
      <c r="O497" s="388"/>
      <c r="P497" s="364"/>
      <c r="Q497" s="364"/>
      <c r="R497" s="364"/>
      <c r="S497" s="364"/>
      <c r="T497" s="364"/>
      <c r="U497" s="364"/>
      <c r="V497" s="364"/>
      <c r="W497" s="364"/>
      <c r="X497" s="364"/>
      <c r="Y497" s="364"/>
      <c r="Z497" s="364"/>
      <c r="AA497" s="364"/>
      <c r="AB497" s="364"/>
      <c r="AC497" s="364"/>
      <c r="AD497" s="364"/>
    </row>
    <row r="498">
      <c r="A498" s="364"/>
      <c r="B498" s="364"/>
      <c r="C498" s="364"/>
      <c r="D498" s="364"/>
      <c r="E498" s="364"/>
      <c r="F498" s="364"/>
      <c r="G498" s="364"/>
      <c r="H498" s="364"/>
      <c r="I498" s="364"/>
      <c r="J498" s="364"/>
      <c r="K498" s="364"/>
      <c r="L498" s="364"/>
      <c r="M498" s="364"/>
      <c r="N498" s="364"/>
      <c r="O498" s="388"/>
      <c r="P498" s="364"/>
      <c r="Q498" s="364"/>
      <c r="R498" s="364"/>
      <c r="S498" s="364"/>
      <c r="T498" s="364"/>
      <c r="U498" s="364"/>
      <c r="V498" s="364"/>
      <c r="W498" s="364"/>
      <c r="X498" s="364"/>
      <c r="Y498" s="364"/>
      <c r="Z498" s="364"/>
      <c r="AA498" s="364"/>
      <c r="AB498" s="364"/>
      <c r="AC498" s="364"/>
      <c r="AD498" s="364"/>
    </row>
    <row r="499">
      <c r="A499" s="364"/>
      <c r="B499" s="364"/>
      <c r="C499" s="364"/>
      <c r="D499" s="364"/>
      <c r="E499" s="364"/>
      <c r="F499" s="364"/>
      <c r="G499" s="364"/>
      <c r="H499" s="364"/>
      <c r="I499" s="364"/>
      <c r="J499" s="364"/>
      <c r="K499" s="364"/>
      <c r="L499" s="364"/>
      <c r="M499" s="364"/>
      <c r="N499" s="364"/>
      <c r="O499" s="388"/>
      <c r="P499" s="364"/>
      <c r="Q499" s="364"/>
      <c r="R499" s="364"/>
      <c r="S499" s="364"/>
      <c r="T499" s="364"/>
      <c r="U499" s="364"/>
      <c r="V499" s="364"/>
      <c r="W499" s="364"/>
      <c r="X499" s="364"/>
      <c r="Y499" s="364"/>
      <c r="Z499" s="364"/>
      <c r="AA499" s="364"/>
      <c r="AB499" s="364"/>
      <c r="AC499" s="364"/>
      <c r="AD499" s="364"/>
    </row>
    <row r="500">
      <c r="A500" s="364"/>
      <c r="B500" s="364"/>
      <c r="C500" s="364"/>
      <c r="D500" s="364"/>
      <c r="E500" s="364"/>
      <c r="F500" s="364"/>
      <c r="G500" s="364"/>
      <c r="H500" s="364"/>
      <c r="I500" s="364"/>
      <c r="J500" s="364"/>
      <c r="K500" s="364"/>
      <c r="L500" s="364"/>
      <c r="M500" s="364"/>
      <c r="N500" s="364"/>
      <c r="O500" s="388"/>
      <c r="P500" s="364"/>
      <c r="Q500" s="364"/>
      <c r="R500" s="364"/>
      <c r="S500" s="364"/>
      <c r="T500" s="364"/>
      <c r="U500" s="364"/>
      <c r="V500" s="364"/>
      <c r="W500" s="364"/>
      <c r="X500" s="364"/>
      <c r="Y500" s="364"/>
      <c r="Z500" s="364"/>
      <c r="AA500" s="364"/>
      <c r="AB500" s="364"/>
      <c r="AC500" s="364"/>
      <c r="AD500" s="364"/>
    </row>
    <row r="501">
      <c r="A501" s="364"/>
      <c r="B501" s="364"/>
      <c r="C501" s="364"/>
      <c r="D501" s="364"/>
      <c r="E501" s="364"/>
      <c r="F501" s="364"/>
      <c r="G501" s="364"/>
      <c r="H501" s="364"/>
      <c r="I501" s="364"/>
      <c r="J501" s="364"/>
      <c r="K501" s="364"/>
      <c r="L501" s="364"/>
      <c r="M501" s="364"/>
      <c r="N501" s="364"/>
      <c r="O501" s="388"/>
      <c r="P501" s="364"/>
      <c r="Q501" s="364"/>
      <c r="R501" s="364"/>
      <c r="S501" s="364"/>
      <c r="T501" s="364"/>
      <c r="U501" s="364"/>
      <c r="V501" s="364"/>
      <c r="W501" s="364"/>
      <c r="X501" s="364"/>
      <c r="Y501" s="364"/>
      <c r="Z501" s="364"/>
      <c r="AA501" s="364"/>
      <c r="AB501" s="364"/>
      <c r="AC501" s="364"/>
      <c r="AD501" s="364"/>
    </row>
    <row r="502">
      <c r="A502" s="364"/>
      <c r="B502" s="364"/>
      <c r="C502" s="364"/>
      <c r="D502" s="364"/>
      <c r="E502" s="364"/>
      <c r="F502" s="364"/>
      <c r="G502" s="364"/>
      <c r="H502" s="364"/>
      <c r="I502" s="364"/>
      <c r="J502" s="364"/>
      <c r="K502" s="364"/>
      <c r="L502" s="364"/>
      <c r="M502" s="364"/>
      <c r="N502" s="364"/>
      <c r="O502" s="388"/>
      <c r="P502" s="364"/>
      <c r="Q502" s="364"/>
      <c r="R502" s="364"/>
      <c r="S502" s="364"/>
      <c r="T502" s="364"/>
      <c r="U502" s="364"/>
      <c r="V502" s="364"/>
      <c r="W502" s="364"/>
      <c r="X502" s="364"/>
      <c r="Y502" s="364"/>
      <c r="Z502" s="364"/>
      <c r="AA502" s="364"/>
      <c r="AB502" s="364"/>
      <c r="AC502" s="364"/>
      <c r="AD502" s="364"/>
    </row>
    <row r="503">
      <c r="A503" s="364"/>
      <c r="B503" s="364"/>
      <c r="C503" s="364"/>
      <c r="D503" s="364"/>
      <c r="E503" s="364"/>
      <c r="F503" s="364"/>
      <c r="G503" s="364"/>
      <c r="H503" s="364"/>
      <c r="I503" s="364"/>
      <c r="J503" s="364"/>
      <c r="K503" s="364"/>
      <c r="L503" s="364"/>
      <c r="M503" s="364"/>
      <c r="N503" s="364"/>
      <c r="O503" s="388"/>
      <c r="P503" s="364"/>
      <c r="Q503" s="364"/>
      <c r="R503" s="364"/>
      <c r="S503" s="364"/>
      <c r="T503" s="364"/>
      <c r="U503" s="364"/>
      <c r="V503" s="364"/>
      <c r="W503" s="364"/>
      <c r="X503" s="364"/>
      <c r="Y503" s="364"/>
      <c r="Z503" s="364"/>
      <c r="AA503" s="364"/>
      <c r="AB503" s="364"/>
      <c r="AC503" s="364"/>
      <c r="AD503" s="364"/>
    </row>
    <row r="504">
      <c r="A504" s="364"/>
      <c r="B504" s="364"/>
      <c r="C504" s="364"/>
      <c r="D504" s="364"/>
      <c r="E504" s="364"/>
      <c r="F504" s="364"/>
      <c r="G504" s="364"/>
      <c r="H504" s="364"/>
      <c r="I504" s="364"/>
      <c r="J504" s="364"/>
      <c r="K504" s="364"/>
      <c r="L504" s="364"/>
      <c r="M504" s="364"/>
      <c r="N504" s="364"/>
      <c r="O504" s="388"/>
      <c r="P504" s="364"/>
      <c r="Q504" s="364"/>
      <c r="R504" s="364"/>
      <c r="S504" s="364"/>
      <c r="T504" s="364"/>
      <c r="U504" s="364"/>
      <c r="V504" s="364"/>
      <c r="W504" s="364"/>
      <c r="X504" s="364"/>
      <c r="Y504" s="364"/>
      <c r="Z504" s="364"/>
      <c r="AA504" s="364"/>
      <c r="AB504" s="364"/>
      <c r="AC504" s="364"/>
      <c r="AD504" s="364"/>
    </row>
    <row r="505">
      <c r="A505" s="364"/>
      <c r="B505" s="364"/>
      <c r="C505" s="364"/>
      <c r="D505" s="364"/>
      <c r="E505" s="364"/>
      <c r="F505" s="364"/>
      <c r="G505" s="364"/>
      <c r="H505" s="364"/>
      <c r="I505" s="364"/>
      <c r="J505" s="364"/>
      <c r="K505" s="364"/>
      <c r="L505" s="364"/>
      <c r="M505" s="364"/>
      <c r="N505" s="364"/>
      <c r="O505" s="388"/>
      <c r="P505" s="364"/>
      <c r="Q505" s="364"/>
      <c r="R505" s="364"/>
      <c r="S505" s="364"/>
      <c r="T505" s="364"/>
      <c r="U505" s="364"/>
      <c r="V505" s="364"/>
      <c r="W505" s="364"/>
      <c r="X505" s="364"/>
      <c r="Y505" s="364"/>
      <c r="Z505" s="364"/>
      <c r="AA505" s="364"/>
      <c r="AB505" s="364"/>
      <c r="AC505" s="364"/>
      <c r="AD505" s="364"/>
    </row>
    <row r="506">
      <c r="A506" s="364"/>
      <c r="B506" s="364"/>
      <c r="C506" s="364"/>
      <c r="D506" s="364"/>
      <c r="E506" s="364"/>
      <c r="F506" s="364"/>
      <c r="G506" s="364"/>
      <c r="H506" s="364"/>
      <c r="I506" s="364"/>
      <c r="J506" s="364"/>
      <c r="K506" s="364"/>
      <c r="L506" s="364"/>
      <c r="M506" s="364"/>
      <c r="N506" s="364"/>
      <c r="O506" s="388"/>
      <c r="P506" s="364"/>
      <c r="Q506" s="364"/>
      <c r="R506" s="364"/>
      <c r="S506" s="364"/>
      <c r="T506" s="364"/>
      <c r="U506" s="364"/>
      <c r="V506" s="364"/>
      <c r="W506" s="364"/>
      <c r="X506" s="364"/>
      <c r="Y506" s="364"/>
      <c r="Z506" s="364"/>
      <c r="AA506" s="364"/>
      <c r="AB506" s="364"/>
      <c r="AC506" s="364"/>
      <c r="AD506" s="364"/>
    </row>
    <row r="507">
      <c r="A507" s="364"/>
      <c r="B507" s="364"/>
      <c r="C507" s="364"/>
      <c r="D507" s="364"/>
      <c r="E507" s="364"/>
      <c r="F507" s="364"/>
      <c r="G507" s="364"/>
      <c r="H507" s="364"/>
      <c r="I507" s="364"/>
      <c r="J507" s="364"/>
      <c r="K507" s="364"/>
      <c r="L507" s="364"/>
      <c r="M507" s="364"/>
      <c r="N507" s="364"/>
      <c r="O507" s="388"/>
      <c r="P507" s="364"/>
      <c r="Q507" s="364"/>
      <c r="R507" s="364"/>
      <c r="S507" s="364"/>
      <c r="T507" s="364"/>
      <c r="U507" s="364"/>
      <c r="V507" s="364"/>
      <c r="W507" s="364"/>
      <c r="X507" s="364"/>
      <c r="Y507" s="364"/>
      <c r="Z507" s="364"/>
      <c r="AA507" s="364"/>
      <c r="AB507" s="364"/>
      <c r="AC507" s="364"/>
      <c r="AD507" s="364"/>
    </row>
    <row r="508">
      <c r="A508" s="364"/>
      <c r="B508" s="364"/>
      <c r="C508" s="364"/>
      <c r="D508" s="364"/>
      <c r="E508" s="364"/>
      <c r="F508" s="364"/>
      <c r="G508" s="364"/>
      <c r="H508" s="364"/>
      <c r="I508" s="364"/>
      <c r="J508" s="364"/>
      <c r="K508" s="364"/>
      <c r="L508" s="364"/>
      <c r="M508" s="364"/>
      <c r="N508" s="364"/>
      <c r="O508" s="388"/>
      <c r="P508" s="364"/>
      <c r="Q508" s="364"/>
      <c r="R508" s="364"/>
      <c r="S508" s="364"/>
      <c r="T508" s="364"/>
      <c r="U508" s="364"/>
      <c r="V508" s="364"/>
      <c r="W508" s="364"/>
      <c r="X508" s="364"/>
      <c r="Y508" s="364"/>
      <c r="Z508" s="364"/>
      <c r="AA508" s="364"/>
      <c r="AB508" s="364"/>
      <c r="AC508" s="364"/>
      <c r="AD508" s="364"/>
    </row>
    <row r="509">
      <c r="A509" s="364"/>
      <c r="B509" s="364"/>
      <c r="C509" s="364"/>
      <c r="D509" s="364"/>
      <c r="E509" s="364"/>
      <c r="F509" s="364"/>
      <c r="G509" s="364"/>
      <c r="H509" s="364"/>
      <c r="I509" s="364"/>
      <c r="J509" s="364"/>
      <c r="K509" s="364"/>
      <c r="L509" s="364"/>
      <c r="M509" s="364"/>
      <c r="N509" s="364"/>
      <c r="O509" s="388"/>
      <c r="P509" s="364"/>
      <c r="Q509" s="364"/>
      <c r="R509" s="364"/>
      <c r="S509" s="364"/>
      <c r="T509" s="364"/>
      <c r="U509" s="364"/>
      <c r="V509" s="364"/>
      <c r="W509" s="364"/>
      <c r="X509" s="364"/>
      <c r="Y509" s="364"/>
      <c r="Z509" s="364"/>
      <c r="AA509" s="364"/>
      <c r="AB509" s="364"/>
      <c r="AC509" s="364"/>
      <c r="AD509" s="364"/>
    </row>
    <row r="510">
      <c r="A510" s="364"/>
      <c r="B510" s="364"/>
      <c r="C510" s="364"/>
      <c r="D510" s="364"/>
      <c r="E510" s="364"/>
      <c r="F510" s="364"/>
      <c r="G510" s="364"/>
      <c r="H510" s="364"/>
      <c r="I510" s="364"/>
      <c r="J510" s="364"/>
      <c r="K510" s="364"/>
      <c r="L510" s="364"/>
      <c r="M510" s="364"/>
      <c r="N510" s="364"/>
      <c r="O510" s="388"/>
      <c r="P510" s="364"/>
      <c r="Q510" s="364"/>
      <c r="R510" s="364"/>
      <c r="S510" s="364"/>
      <c r="T510" s="364"/>
      <c r="U510" s="364"/>
      <c r="V510" s="364"/>
      <c r="W510" s="364"/>
      <c r="X510" s="364"/>
      <c r="Y510" s="364"/>
      <c r="Z510" s="364"/>
      <c r="AA510" s="364"/>
      <c r="AB510" s="364"/>
      <c r="AC510" s="364"/>
      <c r="AD510" s="364"/>
    </row>
    <row r="511">
      <c r="A511" s="364"/>
      <c r="B511" s="364"/>
      <c r="C511" s="364"/>
      <c r="D511" s="364"/>
      <c r="E511" s="364"/>
      <c r="F511" s="364"/>
      <c r="G511" s="364"/>
      <c r="H511" s="364"/>
      <c r="I511" s="364"/>
      <c r="J511" s="364"/>
      <c r="K511" s="364"/>
      <c r="L511" s="364"/>
      <c r="M511" s="364"/>
      <c r="N511" s="364"/>
      <c r="O511" s="388"/>
      <c r="P511" s="364"/>
      <c r="Q511" s="364"/>
      <c r="R511" s="364"/>
      <c r="S511" s="364"/>
      <c r="T511" s="364"/>
      <c r="U511" s="364"/>
      <c r="V511" s="364"/>
      <c r="W511" s="364"/>
      <c r="X511" s="364"/>
      <c r="Y511" s="364"/>
      <c r="Z511" s="364"/>
      <c r="AA511" s="364"/>
      <c r="AB511" s="364"/>
      <c r="AC511" s="364"/>
      <c r="AD511" s="364"/>
    </row>
    <row r="512">
      <c r="A512" s="364"/>
      <c r="B512" s="364"/>
      <c r="C512" s="364"/>
      <c r="D512" s="364"/>
      <c r="E512" s="364"/>
      <c r="F512" s="364"/>
      <c r="G512" s="364"/>
      <c r="H512" s="364"/>
      <c r="I512" s="364"/>
      <c r="J512" s="364"/>
      <c r="K512" s="364"/>
      <c r="L512" s="364"/>
      <c r="M512" s="364"/>
      <c r="N512" s="364"/>
      <c r="O512" s="388"/>
      <c r="P512" s="364"/>
      <c r="Q512" s="364"/>
      <c r="R512" s="364"/>
      <c r="S512" s="364"/>
      <c r="T512" s="364"/>
      <c r="U512" s="364"/>
      <c r="V512" s="364"/>
      <c r="W512" s="364"/>
      <c r="X512" s="364"/>
      <c r="Y512" s="364"/>
      <c r="Z512" s="364"/>
      <c r="AA512" s="364"/>
      <c r="AB512" s="364"/>
      <c r="AC512" s="364"/>
      <c r="AD512" s="364"/>
    </row>
    <row r="513">
      <c r="A513" s="364"/>
      <c r="B513" s="364"/>
      <c r="C513" s="364"/>
      <c r="D513" s="364"/>
      <c r="E513" s="364"/>
      <c r="F513" s="364"/>
      <c r="G513" s="364"/>
      <c r="H513" s="364"/>
      <c r="I513" s="364"/>
      <c r="J513" s="364"/>
      <c r="K513" s="364"/>
      <c r="L513" s="364"/>
      <c r="M513" s="364"/>
      <c r="N513" s="364"/>
      <c r="O513" s="388"/>
      <c r="P513" s="364"/>
      <c r="Q513" s="364"/>
      <c r="R513" s="364"/>
      <c r="S513" s="364"/>
      <c r="T513" s="364"/>
      <c r="U513" s="364"/>
      <c r="V513" s="364"/>
      <c r="W513" s="364"/>
      <c r="X513" s="364"/>
      <c r="Y513" s="364"/>
      <c r="Z513" s="364"/>
      <c r="AA513" s="364"/>
      <c r="AB513" s="364"/>
      <c r="AC513" s="364"/>
      <c r="AD513" s="364"/>
    </row>
    <row r="514">
      <c r="A514" s="364"/>
      <c r="B514" s="364"/>
      <c r="C514" s="364"/>
      <c r="D514" s="364"/>
      <c r="E514" s="364"/>
      <c r="F514" s="364"/>
      <c r="G514" s="364"/>
      <c r="H514" s="364"/>
      <c r="I514" s="364"/>
      <c r="J514" s="364"/>
      <c r="K514" s="364"/>
      <c r="L514" s="364"/>
      <c r="M514" s="364"/>
      <c r="N514" s="364"/>
      <c r="O514" s="388"/>
      <c r="P514" s="364"/>
      <c r="Q514" s="364"/>
      <c r="R514" s="364"/>
      <c r="S514" s="364"/>
      <c r="T514" s="364"/>
      <c r="U514" s="364"/>
      <c r="V514" s="364"/>
      <c r="W514" s="364"/>
      <c r="X514" s="364"/>
      <c r="Y514" s="364"/>
      <c r="Z514" s="364"/>
      <c r="AA514" s="364"/>
      <c r="AB514" s="364"/>
      <c r="AC514" s="364"/>
      <c r="AD514" s="364"/>
    </row>
    <row r="515">
      <c r="A515" s="364"/>
      <c r="B515" s="364"/>
      <c r="C515" s="364"/>
      <c r="D515" s="364"/>
      <c r="E515" s="364"/>
      <c r="F515" s="364"/>
      <c r="G515" s="364"/>
      <c r="H515" s="364"/>
      <c r="I515" s="364"/>
      <c r="J515" s="364"/>
      <c r="K515" s="364"/>
      <c r="L515" s="364"/>
      <c r="M515" s="364"/>
      <c r="N515" s="364"/>
      <c r="O515" s="388"/>
      <c r="P515" s="364"/>
      <c r="Q515" s="364"/>
      <c r="R515" s="364"/>
      <c r="S515" s="364"/>
      <c r="T515" s="364"/>
      <c r="U515" s="364"/>
      <c r="V515" s="364"/>
      <c r="W515" s="364"/>
      <c r="X515" s="364"/>
      <c r="Y515" s="364"/>
      <c r="Z515" s="364"/>
      <c r="AA515" s="364"/>
      <c r="AB515" s="364"/>
      <c r="AC515" s="364"/>
      <c r="AD515" s="364"/>
    </row>
    <row r="516">
      <c r="A516" s="364"/>
      <c r="B516" s="364"/>
      <c r="C516" s="364"/>
      <c r="D516" s="364"/>
      <c r="E516" s="364"/>
      <c r="F516" s="364"/>
      <c r="G516" s="364"/>
      <c r="H516" s="364"/>
      <c r="I516" s="364"/>
      <c r="J516" s="364"/>
      <c r="K516" s="364"/>
      <c r="L516" s="364"/>
      <c r="M516" s="364"/>
      <c r="N516" s="364"/>
      <c r="O516" s="388"/>
      <c r="P516" s="364"/>
      <c r="Q516" s="364"/>
      <c r="R516" s="364"/>
      <c r="S516" s="364"/>
      <c r="T516" s="364"/>
      <c r="U516" s="364"/>
      <c r="V516" s="364"/>
      <c r="W516" s="364"/>
      <c r="X516" s="364"/>
      <c r="Y516" s="364"/>
      <c r="Z516" s="364"/>
      <c r="AA516" s="364"/>
      <c r="AB516" s="364"/>
      <c r="AC516" s="364"/>
      <c r="AD516" s="364"/>
    </row>
    <row r="517">
      <c r="A517" s="364"/>
      <c r="B517" s="364"/>
      <c r="C517" s="364"/>
      <c r="D517" s="364"/>
      <c r="E517" s="364"/>
      <c r="F517" s="364"/>
      <c r="G517" s="364"/>
      <c r="H517" s="364"/>
      <c r="I517" s="364"/>
      <c r="J517" s="364"/>
      <c r="K517" s="364"/>
      <c r="L517" s="364"/>
      <c r="M517" s="364"/>
      <c r="N517" s="364"/>
      <c r="O517" s="388"/>
      <c r="P517" s="364"/>
      <c r="Q517" s="364"/>
      <c r="R517" s="364"/>
      <c r="S517" s="364"/>
      <c r="T517" s="364"/>
      <c r="U517" s="364"/>
      <c r="V517" s="364"/>
      <c r="W517" s="364"/>
      <c r="X517" s="364"/>
      <c r="Y517" s="364"/>
      <c r="Z517" s="364"/>
      <c r="AA517" s="364"/>
      <c r="AB517" s="364"/>
      <c r="AC517" s="364"/>
      <c r="AD517" s="364"/>
    </row>
    <row r="518">
      <c r="A518" s="364"/>
      <c r="B518" s="364"/>
      <c r="C518" s="364"/>
      <c r="D518" s="364"/>
      <c r="E518" s="364"/>
      <c r="F518" s="364"/>
      <c r="G518" s="364"/>
      <c r="H518" s="364"/>
      <c r="I518" s="364"/>
      <c r="J518" s="364"/>
      <c r="K518" s="364"/>
      <c r="L518" s="364"/>
      <c r="M518" s="364"/>
      <c r="N518" s="364"/>
      <c r="O518" s="388"/>
      <c r="P518" s="364"/>
      <c r="Q518" s="364"/>
      <c r="R518" s="364"/>
      <c r="S518" s="364"/>
      <c r="T518" s="364"/>
      <c r="U518" s="364"/>
      <c r="V518" s="364"/>
      <c r="W518" s="364"/>
      <c r="X518" s="364"/>
      <c r="Y518" s="364"/>
      <c r="Z518" s="364"/>
      <c r="AA518" s="364"/>
      <c r="AB518" s="364"/>
      <c r="AC518" s="364"/>
      <c r="AD518" s="364"/>
    </row>
    <row r="519">
      <c r="A519" s="364"/>
      <c r="B519" s="364"/>
      <c r="C519" s="364"/>
      <c r="D519" s="364"/>
      <c r="E519" s="364"/>
      <c r="F519" s="364"/>
      <c r="G519" s="364"/>
      <c r="H519" s="364"/>
      <c r="I519" s="364"/>
      <c r="J519" s="364"/>
      <c r="K519" s="364"/>
      <c r="L519" s="364"/>
      <c r="M519" s="364"/>
      <c r="N519" s="364"/>
      <c r="O519" s="388"/>
      <c r="P519" s="364"/>
      <c r="Q519" s="364"/>
      <c r="R519" s="364"/>
      <c r="S519" s="364"/>
      <c r="T519" s="364"/>
      <c r="U519" s="364"/>
      <c r="V519" s="364"/>
      <c r="W519" s="364"/>
      <c r="X519" s="364"/>
      <c r="Y519" s="364"/>
      <c r="Z519" s="364"/>
      <c r="AA519" s="364"/>
      <c r="AB519" s="364"/>
      <c r="AC519" s="364"/>
      <c r="AD519" s="364"/>
    </row>
    <row r="520">
      <c r="A520" s="364"/>
      <c r="B520" s="364"/>
      <c r="C520" s="364"/>
      <c r="D520" s="364"/>
      <c r="E520" s="364"/>
      <c r="F520" s="364"/>
      <c r="G520" s="364"/>
      <c r="H520" s="364"/>
      <c r="I520" s="364"/>
      <c r="J520" s="364"/>
      <c r="K520" s="364"/>
      <c r="L520" s="364"/>
      <c r="M520" s="364"/>
      <c r="N520" s="364"/>
      <c r="O520" s="388"/>
      <c r="P520" s="364"/>
      <c r="Q520" s="364"/>
      <c r="R520" s="364"/>
      <c r="S520" s="364"/>
      <c r="T520" s="364"/>
      <c r="U520" s="364"/>
      <c r="V520" s="364"/>
      <c r="W520" s="364"/>
      <c r="X520" s="364"/>
      <c r="Y520" s="364"/>
      <c r="Z520" s="364"/>
      <c r="AA520" s="364"/>
      <c r="AB520" s="364"/>
      <c r="AC520" s="364"/>
      <c r="AD520" s="364"/>
    </row>
    <row r="521">
      <c r="A521" s="364"/>
      <c r="B521" s="364"/>
      <c r="C521" s="364"/>
      <c r="D521" s="364"/>
      <c r="E521" s="364"/>
      <c r="F521" s="364"/>
      <c r="G521" s="364"/>
      <c r="H521" s="364"/>
      <c r="I521" s="364"/>
      <c r="J521" s="364"/>
      <c r="K521" s="364"/>
      <c r="L521" s="364"/>
      <c r="M521" s="364"/>
      <c r="N521" s="364"/>
      <c r="O521" s="388"/>
      <c r="P521" s="364"/>
      <c r="Q521" s="364"/>
      <c r="R521" s="364"/>
      <c r="S521" s="364"/>
      <c r="T521" s="364"/>
      <c r="U521" s="364"/>
      <c r="V521" s="364"/>
      <c r="W521" s="364"/>
      <c r="X521" s="364"/>
      <c r="Y521" s="364"/>
      <c r="Z521" s="364"/>
      <c r="AA521" s="364"/>
      <c r="AB521" s="364"/>
      <c r="AC521" s="364"/>
      <c r="AD521" s="364"/>
    </row>
    <row r="522">
      <c r="A522" s="364"/>
      <c r="B522" s="364"/>
      <c r="C522" s="364"/>
      <c r="D522" s="364"/>
      <c r="E522" s="364"/>
      <c r="F522" s="364"/>
      <c r="G522" s="364"/>
      <c r="H522" s="364"/>
      <c r="I522" s="364"/>
      <c r="J522" s="364"/>
      <c r="K522" s="364"/>
      <c r="L522" s="364"/>
      <c r="M522" s="364"/>
      <c r="N522" s="364"/>
      <c r="O522" s="388"/>
      <c r="P522" s="364"/>
      <c r="Q522" s="364"/>
      <c r="R522" s="364"/>
      <c r="S522" s="364"/>
      <c r="T522" s="364"/>
      <c r="U522" s="364"/>
      <c r="V522" s="364"/>
      <c r="W522" s="364"/>
      <c r="X522" s="364"/>
      <c r="Y522" s="364"/>
      <c r="Z522" s="364"/>
      <c r="AA522" s="364"/>
      <c r="AB522" s="364"/>
      <c r="AC522" s="364"/>
      <c r="AD522" s="364"/>
    </row>
    <row r="523">
      <c r="A523" s="364"/>
      <c r="B523" s="364"/>
      <c r="C523" s="364"/>
      <c r="D523" s="364"/>
      <c r="E523" s="364"/>
      <c r="F523" s="364"/>
      <c r="G523" s="364"/>
      <c r="H523" s="364"/>
      <c r="I523" s="364"/>
      <c r="J523" s="364"/>
      <c r="K523" s="364"/>
      <c r="L523" s="364"/>
      <c r="M523" s="364"/>
      <c r="N523" s="364"/>
      <c r="O523" s="388"/>
      <c r="P523" s="364"/>
      <c r="Q523" s="364"/>
      <c r="R523" s="364"/>
      <c r="S523" s="364"/>
      <c r="T523" s="364"/>
      <c r="U523" s="364"/>
      <c r="V523" s="364"/>
      <c r="W523" s="364"/>
      <c r="X523" s="364"/>
      <c r="Y523" s="364"/>
      <c r="Z523" s="364"/>
      <c r="AA523" s="364"/>
      <c r="AB523" s="364"/>
      <c r="AC523" s="364"/>
      <c r="AD523" s="364"/>
    </row>
    <row r="524">
      <c r="A524" s="364"/>
      <c r="B524" s="364"/>
      <c r="C524" s="364"/>
      <c r="D524" s="364"/>
      <c r="E524" s="364"/>
      <c r="F524" s="364"/>
      <c r="G524" s="364"/>
      <c r="H524" s="364"/>
      <c r="I524" s="364"/>
      <c r="J524" s="364"/>
      <c r="K524" s="364"/>
      <c r="L524" s="364"/>
      <c r="M524" s="364"/>
      <c r="N524" s="364"/>
      <c r="O524" s="388"/>
      <c r="P524" s="364"/>
      <c r="Q524" s="364"/>
      <c r="R524" s="364"/>
      <c r="S524" s="364"/>
      <c r="T524" s="364"/>
      <c r="U524" s="364"/>
      <c r="V524" s="364"/>
      <c r="W524" s="364"/>
      <c r="X524" s="364"/>
      <c r="Y524" s="364"/>
      <c r="Z524" s="364"/>
      <c r="AA524" s="364"/>
      <c r="AB524" s="364"/>
      <c r="AC524" s="364"/>
      <c r="AD524" s="364"/>
    </row>
    <row r="525">
      <c r="A525" s="364"/>
      <c r="B525" s="364"/>
      <c r="C525" s="364"/>
      <c r="D525" s="364"/>
      <c r="E525" s="364"/>
      <c r="F525" s="364"/>
      <c r="G525" s="364"/>
      <c r="H525" s="364"/>
      <c r="I525" s="364"/>
      <c r="J525" s="364"/>
      <c r="K525" s="364"/>
      <c r="L525" s="364"/>
      <c r="M525" s="364"/>
      <c r="N525" s="364"/>
      <c r="O525" s="388"/>
      <c r="P525" s="364"/>
      <c r="Q525" s="364"/>
      <c r="R525" s="364"/>
      <c r="S525" s="364"/>
      <c r="T525" s="364"/>
      <c r="U525" s="364"/>
      <c r="V525" s="364"/>
      <c r="W525" s="364"/>
      <c r="X525" s="364"/>
      <c r="Y525" s="364"/>
      <c r="Z525" s="364"/>
      <c r="AA525" s="364"/>
      <c r="AB525" s="364"/>
      <c r="AC525" s="364"/>
      <c r="AD525" s="364"/>
    </row>
    <row r="526">
      <c r="A526" s="364"/>
      <c r="B526" s="364"/>
      <c r="C526" s="364"/>
      <c r="D526" s="364"/>
      <c r="E526" s="364"/>
      <c r="F526" s="364"/>
      <c r="G526" s="364"/>
      <c r="H526" s="364"/>
      <c r="I526" s="364"/>
      <c r="J526" s="364"/>
      <c r="K526" s="364"/>
      <c r="L526" s="364"/>
      <c r="M526" s="364"/>
      <c r="N526" s="364"/>
      <c r="O526" s="388"/>
      <c r="P526" s="364"/>
      <c r="Q526" s="364"/>
      <c r="R526" s="364"/>
      <c r="S526" s="364"/>
      <c r="T526" s="364"/>
      <c r="U526" s="364"/>
      <c r="V526" s="364"/>
      <c r="W526" s="364"/>
      <c r="X526" s="364"/>
      <c r="Y526" s="364"/>
      <c r="Z526" s="364"/>
      <c r="AA526" s="364"/>
      <c r="AB526" s="364"/>
      <c r="AC526" s="364"/>
      <c r="AD526" s="364"/>
    </row>
    <row r="527">
      <c r="A527" s="364"/>
      <c r="B527" s="364"/>
      <c r="C527" s="364"/>
      <c r="D527" s="364"/>
      <c r="E527" s="364"/>
      <c r="F527" s="364"/>
      <c r="G527" s="364"/>
      <c r="H527" s="364"/>
      <c r="I527" s="364"/>
      <c r="J527" s="364"/>
      <c r="K527" s="364"/>
      <c r="L527" s="364"/>
      <c r="M527" s="364"/>
      <c r="N527" s="364"/>
      <c r="O527" s="388"/>
      <c r="P527" s="364"/>
      <c r="Q527" s="364"/>
      <c r="R527" s="364"/>
      <c r="S527" s="364"/>
      <c r="T527" s="364"/>
      <c r="U527" s="364"/>
      <c r="V527" s="364"/>
      <c r="W527" s="364"/>
      <c r="X527" s="364"/>
      <c r="Y527" s="364"/>
      <c r="Z527" s="364"/>
      <c r="AA527" s="364"/>
      <c r="AB527" s="364"/>
      <c r="AC527" s="364"/>
      <c r="AD527" s="364"/>
    </row>
    <row r="528">
      <c r="A528" s="364"/>
      <c r="B528" s="364"/>
      <c r="C528" s="364"/>
      <c r="D528" s="364"/>
      <c r="E528" s="364"/>
      <c r="F528" s="364"/>
      <c r="G528" s="364"/>
      <c r="H528" s="364"/>
      <c r="I528" s="364"/>
      <c r="J528" s="364"/>
      <c r="K528" s="364"/>
      <c r="L528" s="364"/>
      <c r="M528" s="364"/>
      <c r="N528" s="364"/>
      <c r="O528" s="388"/>
      <c r="P528" s="364"/>
      <c r="Q528" s="364"/>
      <c r="R528" s="364"/>
      <c r="S528" s="364"/>
      <c r="T528" s="364"/>
      <c r="U528" s="364"/>
      <c r="V528" s="364"/>
      <c r="W528" s="364"/>
      <c r="X528" s="364"/>
      <c r="Y528" s="364"/>
      <c r="Z528" s="364"/>
      <c r="AA528" s="364"/>
      <c r="AB528" s="364"/>
      <c r="AC528" s="364"/>
      <c r="AD528" s="364"/>
    </row>
    <row r="529">
      <c r="A529" s="364"/>
      <c r="B529" s="364"/>
      <c r="C529" s="364"/>
      <c r="D529" s="364"/>
      <c r="E529" s="364"/>
      <c r="F529" s="364"/>
      <c r="G529" s="364"/>
      <c r="H529" s="364"/>
      <c r="I529" s="364"/>
      <c r="J529" s="364"/>
      <c r="K529" s="364"/>
      <c r="L529" s="364"/>
      <c r="M529" s="364"/>
      <c r="N529" s="364"/>
      <c r="O529" s="388"/>
      <c r="P529" s="364"/>
      <c r="Q529" s="364"/>
      <c r="R529" s="364"/>
      <c r="S529" s="364"/>
      <c r="T529" s="364"/>
      <c r="U529" s="364"/>
      <c r="V529" s="364"/>
      <c r="W529" s="364"/>
      <c r="X529" s="364"/>
      <c r="Y529" s="364"/>
      <c r="Z529" s="364"/>
      <c r="AA529" s="364"/>
      <c r="AB529" s="364"/>
      <c r="AC529" s="364"/>
      <c r="AD529" s="364"/>
    </row>
    <row r="530">
      <c r="A530" s="364"/>
      <c r="B530" s="364"/>
      <c r="C530" s="364"/>
      <c r="D530" s="364"/>
      <c r="E530" s="364"/>
      <c r="F530" s="364"/>
      <c r="G530" s="364"/>
      <c r="H530" s="364"/>
      <c r="I530" s="364"/>
      <c r="J530" s="364"/>
      <c r="K530" s="364"/>
      <c r="L530" s="364"/>
      <c r="M530" s="364"/>
      <c r="N530" s="364"/>
      <c r="O530" s="388"/>
      <c r="P530" s="364"/>
      <c r="Q530" s="364"/>
      <c r="R530" s="364"/>
      <c r="S530" s="364"/>
      <c r="T530" s="364"/>
      <c r="U530" s="364"/>
      <c r="V530" s="364"/>
      <c r="W530" s="364"/>
      <c r="X530" s="364"/>
      <c r="Y530" s="364"/>
      <c r="Z530" s="364"/>
      <c r="AA530" s="364"/>
      <c r="AB530" s="364"/>
      <c r="AC530" s="364"/>
      <c r="AD530" s="364"/>
    </row>
    <row r="531">
      <c r="A531" s="364"/>
      <c r="B531" s="364"/>
      <c r="C531" s="364"/>
      <c r="D531" s="364"/>
      <c r="E531" s="364"/>
      <c r="F531" s="364"/>
      <c r="G531" s="364"/>
      <c r="H531" s="364"/>
      <c r="I531" s="364"/>
      <c r="J531" s="364"/>
      <c r="K531" s="364"/>
      <c r="L531" s="364"/>
      <c r="M531" s="364"/>
      <c r="N531" s="364"/>
      <c r="O531" s="388"/>
      <c r="P531" s="364"/>
      <c r="Q531" s="364"/>
      <c r="R531" s="364"/>
      <c r="S531" s="364"/>
      <c r="T531" s="364"/>
      <c r="U531" s="364"/>
      <c r="V531" s="364"/>
      <c r="W531" s="364"/>
      <c r="X531" s="364"/>
      <c r="Y531" s="364"/>
      <c r="Z531" s="364"/>
      <c r="AA531" s="364"/>
      <c r="AB531" s="364"/>
      <c r="AC531" s="364"/>
      <c r="AD531" s="364"/>
    </row>
    <row r="532">
      <c r="A532" s="364"/>
      <c r="B532" s="364"/>
      <c r="C532" s="364"/>
      <c r="D532" s="364"/>
      <c r="E532" s="364"/>
      <c r="F532" s="364"/>
      <c r="G532" s="364"/>
      <c r="H532" s="364"/>
      <c r="I532" s="364"/>
      <c r="J532" s="364"/>
      <c r="K532" s="364"/>
      <c r="L532" s="364"/>
      <c r="M532" s="364"/>
      <c r="N532" s="364"/>
      <c r="O532" s="388"/>
      <c r="P532" s="364"/>
      <c r="Q532" s="364"/>
      <c r="R532" s="364"/>
      <c r="S532" s="364"/>
      <c r="T532" s="364"/>
      <c r="U532" s="364"/>
      <c r="V532" s="364"/>
      <c r="W532" s="364"/>
      <c r="X532" s="364"/>
      <c r="Y532" s="364"/>
      <c r="Z532" s="364"/>
      <c r="AA532" s="364"/>
      <c r="AB532" s="364"/>
      <c r="AC532" s="364"/>
      <c r="AD532" s="364"/>
    </row>
    <row r="533">
      <c r="A533" s="364"/>
      <c r="B533" s="364"/>
      <c r="C533" s="364"/>
      <c r="D533" s="364"/>
      <c r="E533" s="364"/>
      <c r="F533" s="364"/>
      <c r="G533" s="364"/>
      <c r="H533" s="364"/>
      <c r="I533" s="364"/>
      <c r="J533" s="364"/>
      <c r="K533" s="364"/>
      <c r="L533" s="364"/>
      <c r="M533" s="364"/>
      <c r="N533" s="364"/>
      <c r="O533" s="388"/>
      <c r="P533" s="364"/>
      <c r="Q533" s="364"/>
      <c r="R533" s="364"/>
      <c r="S533" s="364"/>
      <c r="T533" s="364"/>
      <c r="U533" s="364"/>
      <c r="V533" s="364"/>
      <c r="W533" s="364"/>
      <c r="X533" s="364"/>
      <c r="Y533" s="364"/>
      <c r="Z533" s="364"/>
      <c r="AA533" s="364"/>
      <c r="AB533" s="364"/>
      <c r="AC533" s="364"/>
      <c r="AD533" s="364"/>
    </row>
    <row r="534">
      <c r="A534" s="364"/>
      <c r="B534" s="364"/>
      <c r="C534" s="364"/>
      <c r="D534" s="364"/>
      <c r="E534" s="364"/>
      <c r="F534" s="364"/>
      <c r="G534" s="364"/>
      <c r="H534" s="364"/>
      <c r="I534" s="364"/>
      <c r="J534" s="364"/>
      <c r="K534" s="364"/>
      <c r="L534" s="364"/>
      <c r="M534" s="364"/>
      <c r="N534" s="364"/>
      <c r="O534" s="388"/>
      <c r="P534" s="364"/>
      <c r="Q534" s="364"/>
      <c r="R534" s="364"/>
      <c r="S534" s="364"/>
      <c r="T534" s="364"/>
      <c r="U534" s="364"/>
      <c r="V534" s="364"/>
      <c r="W534" s="364"/>
      <c r="X534" s="364"/>
      <c r="Y534" s="364"/>
      <c r="Z534" s="364"/>
      <c r="AA534" s="364"/>
      <c r="AB534" s="364"/>
      <c r="AC534" s="364"/>
      <c r="AD534" s="364"/>
    </row>
    <row r="535">
      <c r="A535" s="364"/>
      <c r="B535" s="364"/>
      <c r="C535" s="364"/>
      <c r="D535" s="364"/>
      <c r="E535" s="364"/>
      <c r="F535" s="364"/>
      <c r="G535" s="364"/>
      <c r="H535" s="364"/>
      <c r="I535" s="364"/>
      <c r="J535" s="364"/>
      <c r="K535" s="364"/>
      <c r="L535" s="364"/>
      <c r="M535" s="364"/>
      <c r="N535" s="364"/>
      <c r="O535" s="388"/>
      <c r="P535" s="364"/>
      <c r="Q535" s="364"/>
      <c r="R535" s="364"/>
      <c r="S535" s="364"/>
      <c r="T535" s="364"/>
      <c r="U535" s="364"/>
      <c r="V535" s="364"/>
      <c r="W535" s="364"/>
      <c r="X535" s="364"/>
      <c r="Y535" s="364"/>
      <c r="Z535" s="364"/>
      <c r="AA535" s="364"/>
      <c r="AB535" s="364"/>
      <c r="AC535" s="364"/>
      <c r="AD535" s="364"/>
    </row>
    <row r="536">
      <c r="A536" s="364"/>
      <c r="B536" s="364"/>
      <c r="C536" s="364"/>
      <c r="D536" s="364"/>
      <c r="E536" s="364"/>
      <c r="F536" s="364"/>
      <c r="G536" s="364"/>
      <c r="H536" s="364"/>
      <c r="I536" s="364"/>
      <c r="J536" s="364"/>
      <c r="K536" s="364"/>
      <c r="L536" s="364"/>
      <c r="M536" s="364"/>
      <c r="N536" s="364"/>
      <c r="O536" s="388"/>
      <c r="P536" s="364"/>
      <c r="Q536" s="364"/>
      <c r="R536" s="364"/>
      <c r="S536" s="364"/>
      <c r="T536" s="364"/>
      <c r="U536" s="364"/>
      <c r="V536" s="364"/>
      <c r="W536" s="364"/>
      <c r="X536" s="364"/>
      <c r="Y536" s="364"/>
      <c r="Z536" s="364"/>
      <c r="AA536" s="364"/>
      <c r="AB536" s="364"/>
      <c r="AC536" s="364"/>
      <c r="AD536" s="364"/>
    </row>
    <row r="537">
      <c r="A537" s="364"/>
      <c r="B537" s="364"/>
      <c r="C537" s="364"/>
      <c r="D537" s="364"/>
      <c r="E537" s="364"/>
      <c r="F537" s="364"/>
      <c r="G537" s="364"/>
      <c r="H537" s="364"/>
      <c r="I537" s="364"/>
      <c r="J537" s="364"/>
      <c r="K537" s="364"/>
      <c r="L537" s="364"/>
      <c r="M537" s="364"/>
      <c r="N537" s="364"/>
      <c r="O537" s="388"/>
      <c r="P537" s="364"/>
      <c r="Q537" s="364"/>
      <c r="R537" s="364"/>
      <c r="S537" s="364"/>
      <c r="T537" s="364"/>
      <c r="U537" s="364"/>
      <c r="V537" s="364"/>
      <c r="W537" s="364"/>
      <c r="X537" s="364"/>
      <c r="Y537" s="364"/>
      <c r="Z537" s="364"/>
      <c r="AA537" s="364"/>
      <c r="AB537" s="364"/>
      <c r="AC537" s="364"/>
      <c r="AD537" s="364"/>
    </row>
    <row r="538">
      <c r="A538" s="364"/>
      <c r="B538" s="364"/>
      <c r="C538" s="364"/>
      <c r="D538" s="364"/>
      <c r="E538" s="364"/>
      <c r="F538" s="364"/>
      <c r="G538" s="364"/>
      <c r="H538" s="364"/>
      <c r="I538" s="364"/>
      <c r="J538" s="364"/>
      <c r="K538" s="364"/>
      <c r="L538" s="364"/>
      <c r="M538" s="364"/>
      <c r="N538" s="364"/>
      <c r="O538" s="388"/>
      <c r="P538" s="364"/>
      <c r="Q538" s="364"/>
      <c r="R538" s="364"/>
      <c r="S538" s="364"/>
      <c r="T538" s="364"/>
      <c r="U538" s="364"/>
      <c r="V538" s="364"/>
      <c r="W538" s="364"/>
      <c r="X538" s="364"/>
      <c r="Y538" s="364"/>
      <c r="Z538" s="364"/>
      <c r="AA538" s="364"/>
      <c r="AB538" s="364"/>
      <c r="AC538" s="364"/>
      <c r="AD538" s="364"/>
    </row>
    <row r="539">
      <c r="A539" s="364"/>
      <c r="B539" s="364"/>
      <c r="C539" s="364"/>
      <c r="D539" s="364"/>
      <c r="E539" s="364"/>
      <c r="F539" s="364"/>
      <c r="G539" s="364"/>
      <c r="H539" s="364"/>
      <c r="I539" s="364"/>
      <c r="J539" s="364"/>
      <c r="K539" s="364"/>
      <c r="L539" s="364"/>
      <c r="M539" s="364"/>
      <c r="N539" s="364"/>
      <c r="O539" s="388"/>
      <c r="P539" s="364"/>
      <c r="Q539" s="364"/>
      <c r="R539" s="364"/>
      <c r="S539" s="364"/>
      <c r="T539" s="364"/>
      <c r="U539" s="364"/>
      <c r="V539" s="364"/>
      <c r="W539" s="364"/>
      <c r="X539" s="364"/>
      <c r="Y539" s="364"/>
      <c r="Z539" s="364"/>
      <c r="AA539" s="364"/>
      <c r="AB539" s="364"/>
      <c r="AC539" s="364"/>
      <c r="AD539" s="364"/>
    </row>
    <row r="540">
      <c r="A540" s="364"/>
      <c r="B540" s="364"/>
      <c r="C540" s="364"/>
      <c r="D540" s="364"/>
      <c r="E540" s="364"/>
      <c r="F540" s="364"/>
      <c r="G540" s="364"/>
      <c r="H540" s="364"/>
      <c r="I540" s="364"/>
      <c r="J540" s="364"/>
      <c r="K540" s="364"/>
      <c r="L540" s="364"/>
      <c r="M540" s="364"/>
      <c r="N540" s="364"/>
      <c r="O540" s="388"/>
      <c r="P540" s="364"/>
      <c r="Q540" s="364"/>
      <c r="R540" s="364"/>
      <c r="S540" s="364"/>
      <c r="T540" s="364"/>
      <c r="U540" s="364"/>
      <c r="V540" s="364"/>
      <c r="W540" s="364"/>
      <c r="X540" s="364"/>
      <c r="Y540" s="364"/>
      <c r="Z540" s="364"/>
      <c r="AA540" s="364"/>
      <c r="AB540" s="364"/>
      <c r="AC540" s="364"/>
      <c r="AD540" s="364"/>
    </row>
    <row r="541">
      <c r="A541" s="364"/>
      <c r="B541" s="364"/>
      <c r="C541" s="364"/>
      <c r="D541" s="364"/>
      <c r="E541" s="364"/>
      <c r="F541" s="364"/>
      <c r="G541" s="364"/>
      <c r="H541" s="364"/>
      <c r="I541" s="364"/>
      <c r="J541" s="364"/>
      <c r="K541" s="364"/>
      <c r="L541" s="364"/>
      <c r="M541" s="364"/>
      <c r="N541" s="364"/>
      <c r="O541" s="388"/>
      <c r="P541" s="364"/>
      <c r="Q541" s="364"/>
      <c r="R541" s="364"/>
      <c r="S541" s="364"/>
      <c r="T541" s="364"/>
      <c r="U541" s="364"/>
      <c r="V541" s="364"/>
      <c r="W541" s="364"/>
      <c r="X541" s="364"/>
      <c r="Y541" s="364"/>
      <c r="Z541" s="364"/>
      <c r="AA541" s="364"/>
      <c r="AB541" s="364"/>
      <c r="AC541" s="364"/>
      <c r="AD541" s="364"/>
    </row>
    <row r="542">
      <c r="A542" s="364"/>
      <c r="B542" s="364"/>
      <c r="C542" s="364"/>
      <c r="D542" s="364"/>
      <c r="E542" s="364"/>
      <c r="F542" s="364"/>
      <c r="G542" s="364"/>
      <c r="H542" s="364"/>
      <c r="I542" s="364"/>
      <c r="J542" s="364"/>
      <c r="K542" s="364"/>
      <c r="L542" s="364"/>
      <c r="M542" s="364"/>
      <c r="N542" s="364"/>
      <c r="O542" s="388"/>
      <c r="P542" s="364"/>
      <c r="Q542" s="364"/>
      <c r="R542" s="364"/>
      <c r="S542" s="364"/>
      <c r="T542" s="364"/>
      <c r="U542" s="364"/>
      <c r="V542" s="364"/>
      <c r="W542" s="364"/>
      <c r="X542" s="364"/>
      <c r="Y542" s="364"/>
      <c r="Z542" s="364"/>
      <c r="AA542" s="364"/>
      <c r="AB542" s="364"/>
      <c r="AC542" s="364"/>
      <c r="AD542" s="364"/>
    </row>
    <row r="543">
      <c r="A543" s="364"/>
      <c r="B543" s="364"/>
      <c r="C543" s="364"/>
      <c r="D543" s="364"/>
      <c r="E543" s="364"/>
      <c r="F543" s="364"/>
      <c r="G543" s="364"/>
      <c r="H543" s="364"/>
      <c r="I543" s="364"/>
      <c r="J543" s="364"/>
      <c r="K543" s="364"/>
      <c r="L543" s="364"/>
      <c r="M543" s="364"/>
      <c r="N543" s="364"/>
      <c r="O543" s="388"/>
      <c r="P543" s="364"/>
      <c r="Q543" s="364"/>
      <c r="R543" s="364"/>
      <c r="S543" s="364"/>
      <c r="T543" s="364"/>
      <c r="U543" s="364"/>
      <c r="V543" s="364"/>
      <c r="W543" s="364"/>
      <c r="X543" s="364"/>
      <c r="Y543" s="364"/>
      <c r="Z543" s="364"/>
      <c r="AA543" s="364"/>
      <c r="AB543" s="364"/>
      <c r="AC543" s="364"/>
      <c r="AD543" s="364"/>
    </row>
    <row r="544">
      <c r="A544" s="364"/>
      <c r="B544" s="364"/>
      <c r="C544" s="364"/>
      <c r="D544" s="364"/>
      <c r="E544" s="364"/>
      <c r="F544" s="364"/>
      <c r="G544" s="364"/>
      <c r="H544" s="364"/>
      <c r="I544" s="364"/>
      <c r="J544" s="364"/>
      <c r="K544" s="364"/>
      <c r="L544" s="364"/>
      <c r="M544" s="364"/>
      <c r="N544" s="364"/>
      <c r="O544" s="388"/>
      <c r="P544" s="364"/>
      <c r="Q544" s="364"/>
      <c r="R544" s="364"/>
      <c r="S544" s="364"/>
      <c r="T544" s="364"/>
      <c r="U544" s="364"/>
      <c r="V544" s="364"/>
      <c r="W544" s="364"/>
      <c r="X544" s="364"/>
      <c r="Y544" s="364"/>
      <c r="Z544" s="364"/>
      <c r="AA544" s="364"/>
      <c r="AB544" s="364"/>
      <c r="AC544" s="364"/>
      <c r="AD544" s="364"/>
    </row>
    <row r="545">
      <c r="A545" s="364"/>
      <c r="B545" s="364"/>
      <c r="C545" s="364"/>
      <c r="D545" s="364"/>
      <c r="E545" s="364"/>
      <c r="F545" s="364"/>
      <c r="G545" s="364"/>
      <c r="H545" s="364"/>
      <c r="I545" s="364"/>
      <c r="J545" s="364"/>
      <c r="K545" s="364"/>
      <c r="L545" s="364"/>
      <c r="M545" s="364"/>
      <c r="N545" s="364"/>
      <c r="O545" s="388"/>
      <c r="P545" s="364"/>
      <c r="Q545" s="364"/>
      <c r="R545" s="364"/>
      <c r="S545" s="364"/>
      <c r="T545" s="364"/>
      <c r="U545" s="364"/>
      <c r="V545" s="364"/>
      <c r="W545" s="364"/>
      <c r="X545" s="364"/>
      <c r="Y545" s="364"/>
      <c r="Z545" s="364"/>
      <c r="AA545" s="364"/>
      <c r="AB545" s="364"/>
      <c r="AC545" s="364"/>
      <c r="AD545" s="364"/>
    </row>
    <row r="546">
      <c r="A546" s="364"/>
      <c r="B546" s="364"/>
      <c r="C546" s="364"/>
      <c r="D546" s="364"/>
      <c r="E546" s="364"/>
      <c r="F546" s="364"/>
      <c r="G546" s="364"/>
      <c r="H546" s="364"/>
      <c r="I546" s="364"/>
      <c r="J546" s="364"/>
      <c r="K546" s="364"/>
      <c r="L546" s="364"/>
      <c r="M546" s="364"/>
      <c r="N546" s="364"/>
      <c r="O546" s="388"/>
      <c r="P546" s="364"/>
      <c r="Q546" s="364"/>
      <c r="R546" s="364"/>
      <c r="S546" s="364"/>
      <c r="T546" s="364"/>
      <c r="U546" s="364"/>
      <c r="V546" s="364"/>
      <c r="W546" s="364"/>
      <c r="X546" s="364"/>
      <c r="Y546" s="364"/>
      <c r="Z546" s="364"/>
      <c r="AA546" s="364"/>
      <c r="AB546" s="364"/>
      <c r="AC546" s="364"/>
      <c r="AD546" s="364"/>
    </row>
    <row r="547">
      <c r="A547" s="364"/>
      <c r="B547" s="364"/>
      <c r="C547" s="364"/>
      <c r="D547" s="364"/>
      <c r="E547" s="364"/>
      <c r="F547" s="364"/>
      <c r="G547" s="364"/>
      <c r="H547" s="364"/>
      <c r="I547" s="364"/>
      <c r="J547" s="364"/>
      <c r="K547" s="364"/>
      <c r="L547" s="364"/>
      <c r="M547" s="364"/>
      <c r="N547" s="364"/>
      <c r="O547" s="388"/>
      <c r="P547" s="364"/>
      <c r="Q547" s="364"/>
      <c r="R547" s="364"/>
      <c r="S547" s="364"/>
      <c r="T547" s="364"/>
      <c r="U547" s="364"/>
      <c r="V547" s="364"/>
      <c r="W547" s="364"/>
      <c r="X547" s="364"/>
      <c r="Y547" s="364"/>
      <c r="Z547" s="364"/>
      <c r="AA547" s="364"/>
      <c r="AB547" s="364"/>
      <c r="AC547" s="364"/>
      <c r="AD547" s="364"/>
    </row>
    <row r="548">
      <c r="A548" s="364"/>
      <c r="B548" s="364"/>
      <c r="C548" s="364"/>
      <c r="D548" s="364"/>
      <c r="E548" s="364"/>
      <c r="F548" s="364"/>
      <c r="G548" s="364"/>
      <c r="H548" s="364"/>
      <c r="I548" s="364"/>
      <c r="J548" s="364"/>
      <c r="K548" s="364"/>
      <c r="L548" s="364"/>
      <c r="M548" s="364"/>
      <c r="N548" s="364"/>
      <c r="O548" s="388"/>
      <c r="P548" s="364"/>
      <c r="Q548" s="364"/>
      <c r="R548" s="364"/>
      <c r="S548" s="364"/>
      <c r="T548" s="364"/>
      <c r="U548" s="364"/>
      <c r="V548" s="364"/>
      <c r="W548" s="364"/>
      <c r="X548" s="364"/>
      <c r="Y548" s="364"/>
      <c r="Z548" s="364"/>
      <c r="AA548" s="364"/>
      <c r="AB548" s="364"/>
      <c r="AC548" s="364"/>
      <c r="AD548" s="364"/>
    </row>
    <row r="549">
      <c r="A549" s="364"/>
      <c r="B549" s="364"/>
      <c r="C549" s="364"/>
      <c r="D549" s="364"/>
      <c r="E549" s="364"/>
      <c r="F549" s="364"/>
      <c r="G549" s="364"/>
      <c r="H549" s="364"/>
      <c r="I549" s="364"/>
      <c r="J549" s="364"/>
      <c r="K549" s="364"/>
      <c r="L549" s="364"/>
      <c r="M549" s="364"/>
      <c r="N549" s="364"/>
      <c r="O549" s="388"/>
      <c r="P549" s="364"/>
      <c r="Q549" s="364"/>
      <c r="R549" s="364"/>
      <c r="S549" s="364"/>
      <c r="T549" s="364"/>
      <c r="U549" s="364"/>
      <c r="V549" s="364"/>
      <c r="W549" s="364"/>
      <c r="X549" s="364"/>
      <c r="Y549" s="364"/>
      <c r="Z549" s="364"/>
      <c r="AA549" s="364"/>
      <c r="AB549" s="364"/>
      <c r="AC549" s="364"/>
      <c r="AD549" s="364"/>
    </row>
    <row r="550">
      <c r="A550" s="364"/>
      <c r="B550" s="364"/>
      <c r="C550" s="364"/>
      <c r="D550" s="364"/>
      <c r="E550" s="364"/>
      <c r="F550" s="364"/>
      <c r="G550" s="364"/>
      <c r="H550" s="364"/>
      <c r="I550" s="364"/>
      <c r="J550" s="364"/>
      <c r="K550" s="364"/>
      <c r="L550" s="364"/>
      <c r="M550" s="364"/>
      <c r="N550" s="364"/>
      <c r="O550" s="388"/>
      <c r="P550" s="364"/>
      <c r="Q550" s="364"/>
      <c r="R550" s="364"/>
      <c r="S550" s="364"/>
      <c r="T550" s="364"/>
      <c r="U550" s="364"/>
      <c r="V550" s="364"/>
      <c r="W550" s="364"/>
      <c r="X550" s="364"/>
      <c r="Y550" s="364"/>
      <c r="Z550" s="364"/>
      <c r="AA550" s="364"/>
      <c r="AB550" s="364"/>
      <c r="AC550" s="364"/>
      <c r="AD550" s="364"/>
    </row>
    <row r="551">
      <c r="A551" s="364"/>
      <c r="B551" s="364"/>
      <c r="C551" s="364"/>
      <c r="D551" s="364"/>
      <c r="E551" s="364"/>
      <c r="F551" s="364"/>
      <c r="G551" s="364"/>
      <c r="H551" s="364"/>
      <c r="I551" s="364"/>
      <c r="J551" s="364"/>
      <c r="K551" s="364"/>
      <c r="L551" s="364"/>
      <c r="M551" s="364"/>
      <c r="N551" s="364"/>
      <c r="O551" s="388"/>
      <c r="P551" s="364"/>
      <c r="Q551" s="364"/>
      <c r="R551" s="364"/>
      <c r="S551" s="364"/>
      <c r="T551" s="364"/>
      <c r="U551" s="364"/>
      <c r="V551" s="364"/>
      <c r="W551" s="364"/>
      <c r="X551" s="364"/>
      <c r="Y551" s="364"/>
      <c r="Z551" s="364"/>
      <c r="AA551" s="364"/>
      <c r="AB551" s="364"/>
      <c r="AC551" s="364"/>
      <c r="AD551" s="364"/>
    </row>
    <row r="552">
      <c r="A552" s="364"/>
      <c r="B552" s="364"/>
      <c r="C552" s="364"/>
      <c r="D552" s="364"/>
      <c r="E552" s="364"/>
      <c r="F552" s="364"/>
      <c r="G552" s="364"/>
      <c r="H552" s="364"/>
      <c r="I552" s="364"/>
      <c r="J552" s="364"/>
      <c r="K552" s="364"/>
      <c r="L552" s="364"/>
      <c r="M552" s="364"/>
      <c r="N552" s="364"/>
      <c r="O552" s="388"/>
      <c r="P552" s="364"/>
      <c r="Q552" s="364"/>
      <c r="R552" s="364"/>
      <c r="S552" s="364"/>
      <c r="T552" s="364"/>
      <c r="U552" s="364"/>
      <c r="V552" s="364"/>
      <c r="W552" s="364"/>
      <c r="X552" s="364"/>
      <c r="Y552" s="364"/>
      <c r="Z552" s="364"/>
      <c r="AA552" s="364"/>
      <c r="AB552" s="364"/>
      <c r="AC552" s="364"/>
      <c r="AD552" s="364"/>
    </row>
    <row r="553">
      <c r="A553" s="364"/>
      <c r="B553" s="364"/>
      <c r="C553" s="364"/>
      <c r="D553" s="364"/>
      <c r="E553" s="364"/>
      <c r="F553" s="364"/>
      <c r="G553" s="364"/>
      <c r="H553" s="364"/>
      <c r="I553" s="364"/>
      <c r="J553" s="364"/>
      <c r="K553" s="364"/>
      <c r="L553" s="364"/>
      <c r="M553" s="364"/>
      <c r="N553" s="364"/>
      <c r="O553" s="388"/>
      <c r="P553" s="364"/>
      <c r="Q553" s="364"/>
      <c r="R553" s="364"/>
      <c r="S553" s="364"/>
      <c r="T553" s="364"/>
      <c r="U553" s="364"/>
      <c r="V553" s="364"/>
      <c r="W553" s="364"/>
      <c r="X553" s="364"/>
      <c r="Y553" s="364"/>
      <c r="Z553" s="364"/>
      <c r="AA553" s="364"/>
      <c r="AB553" s="364"/>
      <c r="AC553" s="364"/>
      <c r="AD553" s="364"/>
    </row>
    <row r="554">
      <c r="A554" s="364"/>
      <c r="B554" s="364"/>
      <c r="C554" s="364"/>
      <c r="D554" s="364"/>
      <c r="E554" s="364"/>
      <c r="F554" s="364"/>
      <c r="G554" s="364"/>
      <c r="H554" s="364"/>
      <c r="I554" s="364"/>
      <c r="J554" s="364"/>
      <c r="K554" s="364"/>
      <c r="L554" s="364"/>
      <c r="M554" s="364"/>
      <c r="N554" s="364"/>
      <c r="O554" s="388"/>
      <c r="P554" s="364"/>
      <c r="Q554" s="364"/>
      <c r="R554" s="364"/>
      <c r="S554" s="364"/>
      <c r="T554" s="364"/>
      <c r="U554" s="364"/>
      <c r="V554" s="364"/>
      <c r="W554" s="364"/>
      <c r="X554" s="364"/>
      <c r="Y554" s="364"/>
      <c r="Z554" s="364"/>
      <c r="AA554" s="364"/>
      <c r="AB554" s="364"/>
      <c r="AC554" s="364"/>
      <c r="AD554" s="364"/>
    </row>
    <row r="555">
      <c r="A555" s="364"/>
      <c r="B555" s="364"/>
      <c r="C555" s="364"/>
      <c r="D555" s="364"/>
      <c r="E555" s="364"/>
      <c r="F555" s="364"/>
      <c r="G555" s="364"/>
      <c r="H555" s="364"/>
      <c r="I555" s="364"/>
      <c r="J555" s="364"/>
      <c r="K555" s="364"/>
      <c r="L555" s="364"/>
      <c r="M555" s="364"/>
      <c r="N555" s="364"/>
      <c r="O555" s="388"/>
      <c r="P555" s="364"/>
      <c r="Q555" s="364"/>
      <c r="R555" s="364"/>
      <c r="S555" s="364"/>
      <c r="T555" s="364"/>
      <c r="U555" s="364"/>
      <c r="V555" s="364"/>
      <c r="W555" s="364"/>
      <c r="X555" s="364"/>
      <c r="Y555" s="364"/>
      <c r="Z555" s="364"/>
      <c r="AA555" s="364"/>
      <c r="AB555" s="364"/>
      <c r="AC555" s="364"/>
      <c r="AD555" s="364"/>
    </row>
    <row r="556">
      <c r="A556" s="364"/>
      <c r="B556" s="364"/>
      <c r="C556" s="364"/>
      <c r="D556" s="364"/>
      <c r="E556" s="364"/>
      <c r="F556" s="364"/>
      <c r="G556" s="364"/>
      <c r="H556" s="364"/>
      <c r="I556" s="364"/>
      <c r="J556" s="364"/>
      <c r="K556" s="364"/>
      <c r="L556" s="364"/>
      <c r="M556" s="364"/>
      <c r="N556" s="364"/>
      <c r="O556" s="388"/>
      <c r="P556" s="364"/>
      <c r="Q556" s="364"/>
      <c r="R556" s="364"/>
      <c r="S556" s="364"/>
      <c r="T556" s="364"/>
      <c r="U556" s="364"/>
      <c r="V556" s="364"/>
      <c r="W556" s="364"/>
      <c r="X556" s="364"/>
      <c r="Y556" s="364"/>
      <c r="Z556" s="364"/>
      <c r="AA556" s="364"/>
      <c r="AB556" s="364"/>
      <c r="AC556" s="364"/>
      <c r="AD556" s="364"/>
    </row>
    <row r="557">
      <c r="A557" s="364"/>
      <c r="B557" s="364"/>
      <c r="C557" s="364"/>
      <c r="D557" s="364"/>
      <c r="E557" s="364"/>
      <c r="F557" s="364"/>
      <c r="G557" s="364"/>
      <c r="H557" s="364"/>
      <c r="I557" s="364"/>
      <c r="J557" s="364"/>
      <c r="K557" s="364"/>
      <c r="L557" s="364"/>
      <c r="M557" s="364"/>
      <c r="N557" s="364"/>
      <c r="O557" s="388"/>
      <c r="P557" s="364"/>
      <c r="Q557" s="364"/>
      <c r="R557" s="364"/>
      <c r="S557" s="364"/>
      <c r="T557" s="364"/>
      <c r="U557" s="364"/>
      <c r="V557" s="364"/>
      <c r="W557" s="364"/>
      <c r="X557" s="364"/>
      <c r="Y557" s="364"/>
      <c r="Z557" s="364"/>
      <c r="AA557" s="364"/>
      <c r="AB557" s="364"/>
      <c r="AC557" s="364"/>
      <c r="AD557" s="364"/>
    </row>
    <row r="558">
      <c r="A558" s="364"/>
      <c r="B558" s="364"/>
      <c r="C558" s="364"/>
      <c r="D558" s="364"/>
      <c r="E558" s="364"/>
      <c r="F558" s="364"/>
      <c r="G558" s="364"/>
      <c r="H558" s="364"/>
      <c r="I558" s="364"/>
      <c r="J558" s="364"/>
      <c r="K558" s="364"/>
      <c r="L558" s="364"/>
      <c r="M558" s="364"/>
      <c r="N558" s="364"/>
      <c r="O558" s="388"/>
      <c r="P558" s="364"/>
      <c r="Q558" s="364"/>
      <c r="R558" s="364"/>
      <c r="S558" s="364"/>
      <c r="T558" s="364"/>
      <c r="U558" s="364"/>
      <c r="V558" s="364"/>
      <c r="W558" s="364"/>
      <c r="X558" s="364"/>
      <c r="Y558" s="364"/>
      <c r="Z558" s="364"/>
      <c r="AA558" s="364"/>
      <c r="AB558" s="364"/>
      <c r="AC558" s="364"/>
      <c r="AD558" s="364"/>
    </row>
    <row r="559">
      <c r="A559" s="364"/>
      <c r="B559" s="364"/>
      <c r="C559" s="364"/>
      <c r="D559" s="364"/>
      <c r="E559" s="364"/>
      <c r="F559" s="364"/>
      <c r="G559" s="364"/>
      <c r="H559" s="364"/>
      <c r="I559" s="364"/>
      <c r="J559" s="364"/>
      <c r="K559" s="364"/>
      <c r="L559" s="364"/>
      <c r="M559" s="364"/>
      <c r="N559" s="364"/>
      <c r="O559" s="388"/>
      <c r="P559" s="364"/>
      <c r="Q559" s="364"/>
      <c r="R559" s="364"/>
      <c r="S559" s="364"/>
      <c r="T559" s="364"/>
      <c r="U559" s="364"/>
      <c r="V559" s="364"/>
      <c r="W559" s="364"/>
      <c r="X559" s="364"/>
      <c r="Y559" s="364"/>
      <c r="Z559" s="364"/>
      <c r="AA559" s="364"/>
      <c r="AB559" s="364"/>
      <c r="AC559" s="364"/>
      <c r="AD559" s="364"/>
    </row>
    <row r="560">
      <c r="A560" s="364"/>
      <c r="B560" s="364"/>
      <c r="C560" s="364"/>
      <c r="D560" s="364"/>
      <c r="E560" s="364"/>
      <c r="F560" s="364"/>
      <c r="G560" s="364"/>
      <c r="H560" s="364"/>
      <c r="I560" s="364"/>
      <c r="J560" s="364"/>
      <c r="K560" s="364"/>
      <c r="L560" s="364"/>
      <c r="M560" s="364"/>
      <c r="N560" s="364"/>
      <c r="O560" s="388"/>
      <c r="P560" s="364"/>
      <c r="Q560" s="364"/>
      <c r="R560" s="364"/>
      <c r="S560" s="364"/>
      <c r="T560" s="364"/>
      <c r="U560" s="364"/>
      <c r="V560" s="364"/>
      <c r="W560" s="364"/>
      <c r="X560" s="364"/>
      <c r="Y560" s="364"/>
      <c r="Z560" s="364"/>
      <c r="AA560" s="364"/>
      <c r="AB560" s="364"/>
      <c r="AC560" s="364"/>
      <c r="AD560" s="364"/>
    </row>
    <row r="561">
      <c r="A561" s="364"/>
      <c r="B561" s="364"/>
      <c r="C561" s="364"/>
      <c r="D561" s="364"/>
      <c r="E561" s="364"/>
      <c r="F561" s="364"/>
      <c r="G561" s="364"/>
      <c r="H561" s="364"/>
      <c r="I561" s="364"/>
      <c r="J561" s="364"/>
      <c r="K561" s="364"/>
      <c r="L561" s="364"/>
      <c r="M561" s="364"/>
      <c r="N561" s="364"/>
      <c r="O561" s="388"/>
      <c r="P561" s="364"/>
      <c r="Q561" s="364"/>
      <c r="R561" s="364"/>
      <c r="S561" s="364"/>
      <c r="T561" s="364"/>
      <c r="U561" s="364"/>
      <c r="V561" s="364"/>
      <c r="W561" s="364"/>
      <c r="X561" s="364"/>
      <c r="Y561" s="364"/>
      <c r="Z561" s="364"/>
      <c r="AA561" s="364"/>
      <c r="AB561" s="364"/>
      <c r="AC561" s="364"/>
      <c r="AD561" s="364"/>
    </row>
    <row r="562">
      <c r="A562" s="364"/>
      <c r="B562" s="364"/>
      <c r="C562" s="364"/>
      <c r="D562" s="364"/>
      <c r="E562" s="364"/>
      <c r="F562" s="364"/>
      <c r="G562" s="364"/>
      <c r="H562" s="364"/>
      <c r="I562" s="364"/>
      <c r="J562" s="364"/>
      <c r="K562" s="364"/>
      <c r="L562" s="364"/>
      <c r="M562" s="364"/>
      <c r="N562" s="364"/>
      <c r="O562" s="388"/>
      <c r="P562" s="364"/>
      <c r="Q562" s="364"/>
      <c r="R562" s="364"/>
      <c r="S562" s="364"/>
      <c r="T562" s="364"/>
      <c r="U562" s="364"/>
      <c r="V562" s="364"/>
      <c r="W562" s="364"/>
      <c r="X562" s="364"/>
      <c r="Y562" s="364"/>
      <c r="Z562" s="364"/>
      <c r="AA562" s="364"/>
      <c r="AB562" s="364"/>
      <c r="AC562" s="364"/>
      <c r="AD562" s="364"/>
    </row>
    <row r="563">
      <c r="A563" s="364"/>
      <c r="B563" s="364"/>
      <c r="C563" s="364"/>
      <c r="D563" s="364"/>
      <c r="E563" s="364"/>
      <c r="F563" s="364"/>
      <c r="G563" s="364"/>
      <c r="H563" s="364"/>
      <c r="I563" s="364"/>
      <c r="J563" s="364"/>
      <c r="K563" s="364"/>
      <c r="L563" s="364"/>
      <c r="M563" s="364"/>
      <c r="N563" s="364"/>
      <c r="O563" s="388"/>
      <c r="P563" s="364"/>
      <c r="Q563" s="364"/>
      <c r="R563" s="364"/>
      <c r="S563" s="364"/>
      <c r="T563" s="364"/>
      <c r="U563" s="364"/>
      <c r="V563" s="364"/>
      <c r="W563" s="364"/>
      <c r="X563" s="364"/>
      <c r="Y563" s="364"/>
      <c r="Z563" s="364"/>
      <c r="AA563" s="364"/>
      <c r="AB563" s="364"/>
      <c r="AC563" s="364"/>
      <c r="AD563" s="364"/>
    </row>
    <row r="564">
      <c r="A564" s="364"/>
      <c r="B564" s="364"/>
      <c r="C564" s="364"/>
      <c r="D564" s="364"/>
      <c r="E564" s="364"/>
      <c r="F564" s="364"/>
      <c r="G564" s="364"/>
      <c r="H564" s="364"/>
      <c r="I564" s="364"/>
      <c r="J564" s="364"/>
      <c r="K564" s="364"/>
      <c r="L564" s="364"/>
      <c r="M564" s="364"/>
      <c r="N564" s="364"/>
      <c r="O564" s="388"/>
      <c r="P564" s="364"/>
      <c r="Q564" s="364"/>
      <c r="R564" s="364"/>
      <c r="S564" s="364"/>
      <c r="T564" s="364"/>
      <c r="U564" s="364"/>
      <c r="V564" s="364"/>
      <c r="W564" s="364"/>
      <c r="X564" s="364"/>
      <c r="Y564" s="364"/>
      <c r="Z564" s="364"/>
      <c r="AA564" s="364"/>
      <c r="AB564" s="364"/>
      <c r="AC564" s="364"/>
      <c r="AD564" s="364"/>
    </row>
    <row r="565">
      <c r="A565" s="364"/>
      <c r="B565" s="364"/>
      <c r="C565" s="364"/>
      <c r="D565" s="364"/>
      <c r="E565" s="364"/>
      <c r="F565" s="364"/>
      <c r="G565" s="364"/>
      <c r="H565" s="364"/>
      <c r="I565" s="364"/>
      <c r="J565" s="364"/>
      <c r="K565" s="364"/>
      <c r="L565" s="364"/>
      <c r="M565" s="364"/>
      <c r="N565" s="364"/>
      <c r="O565" s="388"/>
      <c r="P565" s="364"/>
      <c r="Q565" s="364"/>
      <c r="R565" s="364"/>
      <c r="S565" s="364"/>
      <c r="T565" s="364"/>
      <c r="U565" s="364"/>
      <c r="V565" s="364"/>
      <c r="W565" s="364"/>
      <c r="X565" s="364"/>
      <c r="Y565" s="364"/>
      <c r="Z565" s="364"/>
      <c r="AA565" s="364"/>
      <c r="AB565" s="364"/>
      <c r="AC565" s="364"/>
      <c r="AD565" s="364"/>
    </row>
    <row r="566">
      <c r="A566" s="364"/>
      <c r="B566" s="364"/>
      <c r="C566" s="364"/>
      <c r="D566" s="364"/>
      <c r="E566" s="364"/>
      <c r="F566" s="364"/>
      <c r="G566" s="364"/>
      <c r="H566" s="364"/>
      <c r="I566" s="364"/>
      <c r="J566" s="364"/>
      <c r="K566" s="364"/>
      <c r="L566" s="364"/>
      <c r="M566" s="364"/>
      <c r="N566" s="364"/>
      <c r="O566" s="388"/>
      <c r="P566" s="364"/>
      <c r="Q566" s="364"/>
      <c r="R566" s="364"/>
      <c r="S566" s="364"/>
      <c r="T566" s="364"/>
      <c r="U566" s="364"/>
      <c r="V566" s="364"/>
      <c r="W566" s="364"/>
      <c r="X566" s="364"/>
      <c r="Y566" s="364"/>
      <c r="Z566" s="364"/>
      <c r="AA566" s="364"/>
      <c r="AB566" s="364"/>
      <c r="AC566" s="364"/>
      <c r="AD566" s="364"/>
    </row>
    <row r="567">
      <c r="A567" s="364"/>
      <c r="B567" s="364"/>
      <c r="C567" s="364"/>
      <c r="D567" s="364"/>
      <c r="E567" s="364"/>
      <c r="F567" s="364"/>
      <c r="G567" s="364"/>
      <c r="H567" s="364"/>
      <c r="I567" s="364"/>
      <c r="J567" s="364"/>
      <c r="K567" s="364"/>
      <c r="L567" s="364"/>
      <c r="M567" s="364"/>
      <c r="N567" s="364"/>
      <c r="O567" s="388"/>
      <c r="P567" s="364"/>
      <c r="Q567" s="364"/>
      <c r="R567" s="364"/>
      <c r="S567" s="364"/>
      <c r="T567" s="364"/>
      <c r="U567" s="364"/>
      <c r="V567" s="364"/>
      <c r="W567" s="364"/>
      <c r="X567" s="364"/>
      <c r="Y567" s="364"/>
      <c r="Z567" s="364"/>
      <c r="AA567" s="364"/>
      <c r="AB567" s="364"/>
      <c r="AC567" s="364"/>
      <c r="AD567" s="364"/>
    </row>
    <row r="568">
      <c r="A568" s="364"/>
      <c r="B568" s="364"/>
      <c r="C568" s="364"/>
      <c r="D568" s="364"/>
      <c r="E568" s="364"/>
      <c r="F568" s="364"/>
      <c r="G568" s="364"/>
      <c r="H568" s="364"/>
      <c r="I568" s="364"/>
      <c r="J568" s="364"/>
      <c r="K568" s="364"/>
      <c r="L568" s="364"/>
      <c r="M568" s="364"/>
      <c r="N568" s="364"/>
      <c r="O568" s="388"/>
      <c r="P568" s="364"/>
      <c r="Q568" s="364"/>
      <c r="R568" s="364"/>
      <c r="S568" s="364"/>
      <c r="T568" s="364"/>
      <c r="U568" s="364"/>
      <c r="V568" s="364"/>
      <c r="W568" s="364"/>
      <c r="X568" s="364"/>
      <c r="Y568" s="364"/>
      <c r="Z568" s="364"/>
      <c r="AA568" s="364"/>
      <c r="AB568" s="364"/>
      <c r="AC568" s="364"/>
      <c r="AD568" s="364"/>
    </row>
    <row r="569">
      <c r="A569" s="364"/>
      <c r="B569" s="364"/>
      <c r="C569" s="364"/>
      <c r="D569" s="364"/>
      <c r="E569" s="364"/>
      <c r="F569" s="364"/>
      <c r="G569" s="364"/>
      <c r="H569" s="364"/>
      <c r="I569" s="364"/>
      <c r="J569" s="364"/>
      <c r="K569" s="364"/>
      <c r="L569" s="364"/>
      <c r="M569" s="364"/>
      <c r="N569" s="364"/>
      <c r="O569" s="388"/>
      <c r="P569" s="364"/>
      <c r="Q569" s="364"/>
      <c r="R569" s="364"/>
      <c r="S569" s="364"/>
      <c r="T569" s="364"/>
      <c r="U569" s="364"/>
      <c r="V569" s="364"/>
      <c r="W569" s="364"/>
      <c r="X569" s="364"/>
      <c r="Y569" s="364"/>
      <c r="Z569" s="364"/>
      <c r="AA569" s="364"/>
      <c r="AB569" s="364"/>
      <c r="AC569" s="364"/>
      <c r="AD569" s="364"/>
    </row>
    <row r="570">
      <c r="A570" s="364"/>
      <c r="B570" s="364"/>
      <c r="C570" s="364"/>
      <c r="D570" s="364"/>
      <c r="E570" s="364"/>
      <c r="F570" s="364"/>
      <c r="G570" s="364"/>
      <c r="H570" s="364"/>
      <c r="I570" s="364"/>
      <c r="J570" s="364"/>
      <c r="K570" s="364"/>
      <c r="L570" s="364"/>
      <c r="M570" s="364"/>
      <c r="N570" s="364"/>
      <c r="O570" s="388"/>
      <c r="P570" s="364"/>
      <c r="Q570" s="364"/>
      <c r="R570" s="364"/>
      <c r="S570" s="364"/>
      <c r="T570" s="364"/>
      <c r="U570" s="364"/>
      <c r="V570" s="364"/>
      <c r="W570" s="364"/>
      <c r="X570" s="364"/>
      <c r="Y570" s="364"/>
      <c r="Z570" s="364"/>
      <c r="AA570" s="364"/>
      <c r="AB570" s="364"/>
      <c r="AC570" s="364"/>
      <c r="AD570" s="364"/>
    </row>
    <row r="571">
      <c r="A571" s="364"/>
      <c r="B571" s="364"/>
      <c r="C571" s="364"/>
      <c r="D571" s="364"/>
      <c r="E571" s="364"/>
      <c r="F571" s="364"/>
      <c r="G571" s="364"/>
      <c r="H571" s="364"/>
      <c r="I571" s="364"/>
      <c r="J571" s="364"/>
      <c r="K571" s="364"/>
      <c r="L571" s="364"/>
      <c r="M571" s="364"/>
      <c r="N571" s="364"/>
      <c r="O571" s="388"/>
      <c r="P571" s="364"/>
      <c r="Q571" s="364"/>
      <c r="R571" s="364"/>
      <c r="S571" s="364"/>
      <c r="T571" s="364"/>
      <c r="U571" s="364"/>
      <c r="V571" s="364"/>
      <c r="W571" s="364"/>
      <c r="X571" s="364"/>
      <c r="Y571" s="364"/>
      <c r="Z571" s="364"/>
      <c r="AA571" s="364"/>
      <c r="AB571" s="364"/>
      <c r="AC571" s="364"/>
      <c r="AD571" s="364"/>
    </row>
    <row r="572">
      <c r="A572" s="364"/>
      <c r="B572" s="364"/>
      <c r="C572" s="364"/>
      <c r="D572" s="364"/>
      <c r="E572" s="364"/>
      <c r="F572" s="364"/>
      <c r="G572" s="364"/>
      <c r="H572" s="364"/>
      <c r="I572" s="364"/>
      <c r="J572" s="364"/>
      <c r="K572" s="364"/>
      <c r="L572" s="364"/>
      <c r="M572" s="364"/>
      <c r="N572" s="364"/>
      <c r="O572" s="388"/>
      <c r="P572" s="364"/>
      <c r="Q572" s="364"/>
      <c r="R572" s="364"/>
      <c r="S572" s="364"/>
      <c r="T572" s="364"/>
      <c r="U572" s="364"/>
      <c r="V572" s="364"/>
      <c r="W572" s="364"/>
      <c r="X572" s="364"/>
      <c r="Y572" s="364"/>
      <c r="Z572" s="364"/>
      <c r="AA572" s="364"/>
      <c r="AB572" s="364"/>
      <c r="AC572" s="364"/>
      <c r="AD572" s="364"/>
    </row>
    <row r="573">
      <c r="A573" s="364"/>
      <c r="B573" s="364"/>
      <c r="C573" s="364"/>
      <c r="D573" s="364"/>
      <c r="E573" s="364"/>
      <c r="F573" s="364"/>
      <c r="G573" s="364"/>
      <c r="H573" s="364"/>
      <c r="I573" s="364"/>
      <c r="J573" s="364"/>
      <c r="K573" s="364"/>
      <c r="L573" s="364"/>
      <c r="M573" s="364"/>
      <c r="N573" s="364"/>
      <c r="O573" s="388"/>
      <c r="P573" s="364"/>
      <c r="Q573" s="364"/>
      <c r="R573" s="364"/>
      <c r="S573" s="364"/>
      <c r="T573" s="364"/>
      <c r="U573" s="364"/>
      <c r="V573" s="364"/>
      <c r="W573" s="364"/>
      <c r="X573" s="364"/>
      <c r="Y573" s="364"/>
      <c r="Z573" s="364"/>
      <c r="AA573" s="364"/>
      <c r="AB573" s="364"/>
      <c r="AC573" s="364"/>
      <c r="AD573" s="364"/>
    </row>
    <row r="574">
      <c r="A574" s="364"/>
      <c r="B574" s="364"/>
      <c r="C574" s="364"/>
      <c r="D574" s="364"/>
      <c r="E574" s="364"/>
      <c r="F574" s="364"/>
      <c r="G574" s="364"/>
      <c r="H574" s="364"/>
      <c r="I574" s="364"/>
      <c r="J574" s="364"/>
      <c r="K574" s="364"/>
      <c r="L574" s="364"/>
      <c r="M574" s="364"/>
      <c r="N574" s="364"/>
      <c r="O574" s="388"/>
      <c r="P574" s="364"/>
      <c r="Q574" s="364"/>
      <c r="R574" s="364"/>
      <c r="S574" s="364"/>
      <c r="T574" s="364"/>
      <c r="U574" s="364"/>
      <c r="V574" s="364"/>
      <c r="W574" s="364"/>
      <c r="X574" s="364"/>
      <c r="Y574" s="364"/>
      <c r="Z574" s="364"/>
      <c r="AA574" s="364"/>
      <c r="AB574" s="364"/>
      <c r="AC574" s="364"/>
      <c r="AD574" s="364"/>
    </row>
    <row r="575">
      <c r="A575" s="364"/>
      <c r="B575" s="364"/>
      <c r="C575" s="364"/>
      <c r="D575" s="364"/>
      <c r="E575" s="364"/>
      <c r="F575" s="364"/>
      <c r="G575" s="364"/>
      <c r="H575" s="364"/>
      <c r="I575" s="364"/>
      <c r="J575" s="364"/>
      <c r="K575" s="364"/>
      <c r="L575" s="364"/>
      <c r="M575" s="364"/>
      <c r="N575" s="364"/>
      <c r="O575" s="388"/>
      <c r="P575" s="364"/>
      <c r="Q575" s="364"/>
      <c r="R575" s="364"/>
      <c r="S575" s="364"/>
      <c r="T575" s="364"/>
      <c r="U575" s="364"/>
      <c r="V575" s="364"/>
      <c r="W575" s="364"/>
      <c r="X575" s="364"/>
      <c r="Y575" s="364"/>
      <c r="Z575" s="364"/>
      <c r="AA575" s="364"/>
      <c r="AB575" s="364"/>
      <c r="AC575" s="364"/>
      <c r="AD575" s="364"/>
    </row>
    <row r="576">
      <c r="A576" s="364"/>
      <c r="B576" s="364"/>
      <c r="C576" s="364"/>
      <c r="D576" s="364"/>
      <c r="E576" s="364"/>
      <c r="F576" s="364"/>
      <c r="G576" s="364"/>
      <c r="H576" s="364"/>
      <c r="I576" s="364"/>
      <c r="J576" s="364"/>
      <c r="K576" s="364"/>
      <c r="L576" s="364"/>
      <c r="M576" s="364"/>
      <c r="N576" s="364"/>
      <c r="O576" s="388"/>
      <c r="P576" s="364"/>
      <c r="Q576" s="364"/>
      <c r="R576" s="364"/>
      <c r="S576" s="364"/>
      <c r="T576" s="364"/>
      <c r="U576" s="364"/>
      <c r="V576" s="364"/>
      <c r="W576" s="364"/>
      <c r="X576" s="364"/>
      <c r="Y576" s="364"/>
      <c r="Z576" s="364"/>
      <c r="AA576" s="364"/>
      <c r="AB576" s="364"/>
      <c r="AC576" s="364"/>
      <c r="AD576" s="364"/>
    </row>
    <row r="577">
      <c r="A577" s="364"/>
      <c r="B577" s="364"/>
      <c r="C577" s="364"/>
      <c r="D577" s="364"/>
      <c r="E577" s="364"/>
      <c r="F577" s="364"/>
      <c r="G577" s="364"/>
      <c r="H577" s="364"/>
      <c r="I577" s="364"/>
      <c r="J577" s="364"/>
      <c r="K577" s="364"/>
      <c r="L577" s="364"/>
      <c r="M577" s="364"/>
      <c r="N577" s="364"/>
      <c r="O577" s="388"/>
      <c r="P577" s="364"/>
      <c r="Q577" s="364"/>
      <c r="R577" s="364"/>
      <c r="S577" s="364"/>
      <c r="T577" s="364"/>
      <c r="U577" s="364"/>
      <c r="V577" s="364"/>
      <c r="W577" s="364"/>
      <c r="X577" s="364"/>
      <c r="Y577" s="364"/>
      <c r="Z577" s="364"/>
      <c r="AA577" s="364"/>
      <c r="AB577" s="364"/>
      <c r="AC577" s="364"/>
      <c r="AD577" s="364"/>
    </row>
    <row r="578">
      <c r="A578" s="364"/>
      <c r="B578" s="364"/>
      <c r="C578" s="364"/>
      <c r="D578" s="364"/>
      <c r="E578" s="364"/>
      <c r="F578" s="364"/>
      <c r="G578" s="364"/>
      <c r="H578" s="364"/>
      <c r="I578" s="364"/>
      <c r="J578" s="364"/>
      <c r="K578" s="364"/>
      <c r="L578" s="364"/>
      <c r="M578" s="364"/>
      <c r="N578" s="364"/>
      <c r="O578" s="388"/>
      <c r="P578" s="364"/>
      <c r="Q578" s="364"/>
      <c r="R578" s="364"/>
      <c r="S578" s="364"/>
      <c r="T578" s="364"/>
      <c r="U578" s="364"/>
      <c r="V578" s="364"/>
      <c r="W578" s="364"/>
      <c r="X578" s="364"/>
      <c r="Y578" s="364"/>
      <c r="Z578" s="364"/>
      <c r="AA578" s="364"/>
      <c r="AB578" s="364"/>
      <c r="AC578" s="364"/>
      <c r="AD578" s="364"/>
    </row>
    <row r="579">
      <c r="A579" s="364"/>
      <c r="B579" s="364"/>
      <c r="C579" s="364"/>
      <c r="D579" s="364"/>
      <c r="E579" s="364"/>
      <c r="F579" s="364"/>
      <c r="G579" s="364"/>
      <c r="H579" s="364"/>
      <c r="I579" s="364"/>
      <c r="J579" s="364"/>
      <c r="K579" s="364"/>
      <c r="L579" s="364"/>
      <c r="M579" s="364"/>
      <c r="N579" s="364"/>
      <c r="O579" s="388"/>
      <c r="P579" s="364"/>
      <c r="Q579" s="364"/>
      <c r="R579" s="364"/>
      <c r="S579" s="364"/>
      <c r="T579" s="364"/>
      <c r="U579" s="364"/>
      <c r="V579" s="364"/>
      <c r="W579" s="364"/>
      <c r="X579" s="364"/>
      <c r="Y579" s="364"/>
      <c r="Z579" s="364"/>
      <c r="AA579" s="364"/>
      <c r="AB579" s="364"/>
      <c r="AC579" s="364"/>
      <c r="AD579" s="364"/>
    </row>
    <row r="580">
      <c r="A580" s="364"/>
      <c r="B580" s="364"/>
      <c r="C580" s="364"/>
      <c r="D580" s="364"/>
      <c r="E580" s="364"/>
      <c r="F580" s="364"/>
      <c r="G580" s="364"/>
      <c r="H580" s="364"/>
      <c r="I580" s="364"/>
      <c r="J580" s="364"/>
      <c r="K580" s="364"/>
      <c r="L580" s="364"/>
      <c r="M580" s="364"/>
      <c r="N580" s="364"/>
      <c r="O580" s="388"/>
      <c r="P580" s="364"/>
      <c r="Q580" s="364"/>
      <c r="R580" s="364"/>
      <c r="S580" s="364"/>
      <c r="T580" s="364"/>
      <c r="U580" s="364"/>
      <c r="V580" s="364"/>
      <c r="W580" s="364"/>
      <c r="X580" s="364"/>
      <c r="Y580" s="364"/>
      <c r="Z580" s="364"/>
      <c r="AA580" s="364"/>
      <c r="AB580" s="364"/>
      <c r="AC580" s="364"/>
      <c r="AD580" s="364"/>
    </row>
    <row r="581">
      <c r="A581" s="364"/>
      <c r="B581" s="364"/>
      <c r="C581" s="364"/>
      <c r="D581" s="364"/>
      <c r="E581" s="364"/>
      <c r="F581" s="364"/>
      <c r="G581" s="364"/>
      <c r="H581" s="364"/>
      <c r="I581" s="364"/>
      <c r="J581" s="364"/>
      <c r="K581" s="364"/>
      <c r="L581" s="364"/>
      <c r="M581" s="364"/>
      <c r="N581" s="364"/>
      <c r="O581" s="388"/>
      <c r="P581" s="364"/>
      <c r="Q581" s="364"/>
      <c r="R581" s="364"/>
      <c r="S581" s="364"/>
      <c r="T581" s="364"/>
      <c r="U581" s="364"/>
      <c r="V581" s="364"/>
      <c r="W581" s="364"/>
      <c r="X581" s="364"/>
      <c r="Y581" s="364"/>
      <c r="Z581" s="364"/>
      <c r="AA581" s="364"/>
      <c r="AB581" s="364"/>
      <c r="AC581" s="364"/>
      <c r="AD581" s="364"/>
    </row>
    <row r="582">
      <c r="A582" s="364"/>
      <c r="B582" s="364"/>
      <c r="C582" s="364"/>
      <c r="D582" s="364"/>
      <c r="E582" s="364"/>
      <c r="F582" s="364"/>
      <c r="G582" s="364"/>
      <c r="H582" s="364"/>
      <c r="I582" s="364"/>
      <c r="J582" s="364"/>
      <c r="K582" s="364"/>
      <c r="L582" s="364"/>
      <c r="M582" s="364"/>
      <c r="N582" s="364"/>
      <c r="O582" s="388"/>
      <c r="P582" s="364"/>
      <c r="Q582" s="364"/>
      <c r="R582" s="364"/>
      <c r="S582" s="364"/>
      <c r="T582" s="364"/>
      <c r="U582" s="364"/>
      <c r="V582" s="364"/>
      <c r="W582" s="364"/>
      <c r="X582" s="364"/>
      <c r="Y582" s="364"/>
      <c r="Z582" s="364"/>
      <c r="AA582" s="364"/>
      <c r="AB582" s="364"/>
      <c r="AC582" s="364"/>
      <c r="AD582" s="364"/>
    </row>
    <row r="583">
      <c r="A583" s="364"/>
      <c r="B583" s="364"/>
      <c r="C583" s="364"/>
      <c r="D583" s="364"/>
      <c r="E583" s="364"/>
      <c r="F583" s="364"/>
      <c r="G583" s="364"/>
      <c r="H583" s="364"/>
      <c r="I583" s="364"/>
      <c r="J583" s="364"/>
      <c r="K583" s="364"/>
      <c r="L583" s="364"/>
      <c r="M583" s="364"/>
      <c r="N583" s="364"/>
      <c r="O583" s="388"/>
      <c r="P583" s="364"/>
      <c r="Q583" s="364"/>
      <c r="R583" s="364"/>
      <c r="S583" s="364"/>
      <c r="T583" s="364"/>
      <c r="U583" s="364"/>
      <c r="V583" s="364"/>
      <c r="W583" s="364"/>
      <c r="X583" s="364"/>
      <c r="Y583" s="364"/>
      <c r="Z583" s="364"/>
      <c r="AA583" s="364"/>
      <c r="AB583" s="364"/>
      <c r="AC583" s="364"/>
      <c r="AD583" s="364"/>
    </row>
    <row r="584">
      <c r="A584" s="364"/>
      <c r="B584" s="364"/>
      <c r="C584" s="364"/>
      <c r="D584" s="364"/>
      <c r="E584" s="364"/>
      <c r="F584" s="364"/>
      <c r="G584" s="364"/>
      <c r="H584" s="364"/>
      <c r="I584" s="364"/>
      <c r="J584" s="364"/>
      <c r="K584" s="364"/>
      <c r="L584" s="364"/>
      <c r="M584" s="364"/>
      <c r="N584" s="364"/>
      <c r="O584" s="388"/>
      <c r="P584" s="364"/>
      <c r="Q584" s="364"/>
      <c r="R584" s="364"/>
      <c r="S584" s="364"/>
      <c r="T584" s="364"/>
      <c r="U584" s="364"/>
      <c r="V584" s="364"/>
      <c r="W584" s="364"/>
      <c r="X584" s="364"/>
      <c r="Y584" s="364"/>
      <c r="Z584" s="364"/>
      <c r="AA584" s="364"/>
      <c r="AB584" s="364"/>
      <c r="AC584" s="364"/>
      <c r="AD584" s="364"/>
    </row>
    <row r="585">
      <c r="A585" s="364"/>
      <c r="B585" s="364"/>
      <c r="C585" s="364"/>
      <c r="D585" s="364"/>
      <c r="E585" s="364"/>
      <c r="F585" s="364"/>
      <c r="G585" s="364"/>
      <c r="H585" s="364"/>
      <c r="I585" s="364"/>
      <c r="J585" s="364"/>
      <c r="K585" s="364"/>
      <c r="L585" s="364"/>
      <c r="M585" s="364"/>
      <c r="N585" s="364"/>
      <c r="O585" s="388"/>
      <c r="P585" s="364"/>
      <c r="Q585" s="364"/>
      <c r="R585" s="364"/>
      <c r="S585" s="364"/>
      <c r="T585" s="364"/>
      <c r="U585" s="364"/>
      <c r="V585" s="364"/>
      <c r="W585" s="364"/>
      <c r="X585" s="364"/>
      <c r="Y585" s="364"/>
      <c r="Z585" s="364"/>
      <c r="AA585" s="364"/>
      <c r="AB585" s="364"/>
      <c r="AC585" s="364"/>
      <c r="AD585" s="364"/>
    </row>
    <row r="586">
      <c r="A586" s="364"/>
      <c r="B586" s="364"/>
      <c r="C586" s="364"/>
      <c r="D586" s="364"/>
      <c r="E586" s="364"/>
      <c r="F586" s="364"/>
      <c r="G586" s="364"/>
      <c r="H586" s="364"/>
      <c r="I586" s="364"/>
      <c r="J586" s="364"/>
      <c r="K586" s="364"/>
      <c r="L586" s="364"/>
      <c r="M586" s="364"/>
      <c r="N586" s="364"/>
      <c r="O586" s="388"/>
      <c r="P586" s="364"/>
      <c r="Q586" s="364"/>
      <c r="R586" s="364"/>
      <c r="S586" s="364"/>
      <c r="T586" s="364"/>
      <c r="U586" s="364"/>
      <c r="V586" s="364"/>
      <c r="W586" s="364"/>
      <c r="X586" s="364"/>
      <c r="Y586" s="364"/>
      <c r="Z586" s="364"/>
      <c r="AA586" s="364"/>
      <c r="AB586" s="364"/>
      <c r="AC586" s="364"/>
      <c r="AD586" s="364"/>
    </row>
    <row r="587">
      <c r="A587" s="364"/>
      <c r="B587" s="364"/>
      <c r="C587" s="364"/>
      <c r="D587" s="364"/>
      <c r="E587" s="364"/>
      <c r="F587" s="364"/>
      <c r="G587" s="364"/>
      <c r="H587" s="364"/>
      <c r="I587" s="364"/>
      <c r="J587" s="364"/>
      <c r="K587" s="364"/>
      <c r="L587" s="364"/>
      <c r="M587" s="364"/>
      <c r="N587" s="364"/>
      <c r="O587" s="388"/>
      <c r="P587" s="364"/>
      <c r="Q587" s="364"/>
      <c r="R587" s="364"/>
      <c r="S587" s="364"/>
      <c r="T587" s="364"/>
      <c r="U587" s="364"/>
      <c r="V587" s="364"/>
      <c r="W587" s="364"/>
      <c r="X587" s="364"/>
      <c r="Y587" s="364"/>
      <c r="Z587" s="364"/>
      <c r="AA587" s="364"/>
      <c r="AB587" s="364"/>
      <c r="AC587" s="364"/>
      <c r="AD587" s="364"/>
    </row>
    <row r="588">
      <c r="A588" s="364"/>
      <c r="B588" s="364"/>
      <c r="C588" s="364"/>
      <c r="D588" s="364"/>
      <c r="E588" s="364"/>
      <c r="F588" s="364"/>
      <c r="G588" s="364"/>
      <c r="H588" s="364"/>
      <c r="I588" s="364"/>
      <c r="J588" s="364"/>
      <c r="K588" s="364"/>
      <c r="L588" s="364"/>
      <c r="M588" s="364"/>
      <c r="N588" s="364"/>
      <c r="O588" s="388"/>
      <c r="P588" s="364"/>
      <c r="Q588" s="364"/>
      <c r="R588" s="364"/>
      <c r="S588" s="364"/>
      <c r="T588" s="364"/>
      <c r="U588" s="364"/>
      <c r="V588" s="364"/>
      <c r="W588" s="364"/>
      <c r="X588" s="364"/>
      <c r="Y588" s="364"/>
      <c r="Z588" s="364"/>
      <c r="AA588" s="364"/>
      <c r="AB588" s="364"/>
      <c r="AC588" s="364"/>
      <c r="AD588" s="364"/>
    </row>
    <row r="589">
      <c r="A589" s="364"/>
      <c r="B589" s="364"/>
      <c r="C589" s="364"/>
      <c r="D589" s="364"/>
      <c r="E589" s="364"/>
      <c r="F589" s="364"/>
      <c r="G589" s="364"/>
      <c r="H589" s="364"/>
      <c r="I589" s="364"/>
      <c r="J589" s="364"/>
      <c r="K589" s="364"/>
      <c r="L589" s="364"/>
      <c r="M589" s="364"/>
      <c r="N589" s="364"/>
      <c r="O589" s="388"/>
      <c r="P589" s="364"/>
      <c r="Q589" s="364"/>
      <c r="R589" s="364"/>
      <c r="S589" s="364"/>
      <c r="T589" s="364"/>
      <c r="U589" s="364"/>
      <c r="V589" s="364"/>
      <c r="W589" s="364"/>
      <c r="X589" s="364"/>
      <c r="Y589" s="364"/>
      <c r="Z589" s="364"/>
      <c r="AA589" s="364"/>
      <c r="AB589" s="364"/>
      <c r="AC589" s="364"/>
      <c r="AD589" s="364"/>
    </row>
    <row r="590">
      <c r="A590" s="364"/>
      <c r="B590" s="364"/>
      <c r="C590" s="364"/>
      <c r="D590" s="364"/>
      <c r="E590" s="364"/>
      <c r="F590" s="364"/>
      <c r="G590" s="364"/>
      <c r="H590" s="364"/>
      <c r="I590" s="364"/>
      <c r="J590" s="364"/>
      <c r="K590" s="364"/>
      <c r="L590" s="364"/>
      <c r="M590" s="364"/>
      <c r="N590" s="364"/>
      <c r="O590" s="388"/>
      <c r="P590" s="364"/>
      <c r="Q590" s="364"/>
      <c r="R590" s="364"/>
      <c r="S590" s="364"/>
      <c r="T590" s="364"/>
      <c r="U590" s="364"/>
      <c r="V590" s="364"/>
      <c r="W590" s="364"/>
      <c r="X590" s="364"/>
      <c r="Y590" s="364"/>
      <c r="Z590" s="364"/>
      <c r="AA590" s="364"/>
      <c r="AB590" s="364"/>
      <c r="AC590" s="364"/>
      <c r="AD590" s="364"/>
    </row>
    <row r="591">
      <c r="A591" s="364"/>
      <c r="B591" s="364"/>
      <c r="C591" s="364"/>
      <c r="D591" s="364"/>
      <c r="E591" s="364"/>
      <c r="F591" s="364"/>
      <c r="G591" s="364"/>
      <c r="H591" s="364"/>
      <c r="I591" s="364"/>
      <c r="J591" s="364"/>
      <c r="K591" s="364"/>
      <c r="L591" s="364"/>
      <c r="M591" s="364"/>
      <c r="N591" s="364"/>
      <c r="O591" s="388"/>
      <c r="P591" s="364"/>
      <c r="Q591" s="364"/>
      <c r="R591" s="364"/>
      <c r="S591" s="364"/>
      <c r="T591" s="364"/>
      <c r="U591" s="364"/>
      <c r="V591" s="364"/>
      <c r="W591" s="364"/>
      <c r="X591" s="364"/>
      <c r="Y591" s="364"/>
      <c r="Z591" s="364"/>
      <c r="AA591" s="364"/>
      <c r="AB591" s="364"/>
      <c r="AC591" s="364"/>
      <c r="AD591" s="364"/>
    </row>
    <row r="592">
      <c r="A592" s="364"/>
      <c r="B592" s="364"/>
      <c r="C592" s="364"/>
      <c r="D592" s="364"/>
      <c r="E592" s="364"/>
      <c r="F592" s="364"/>
      <c r="G592" s="364"/>
      <c r="H592" s="364"/>
      <c r="I592" s="364"/>
      <c r="J592" s="364"/>
      <c r="K592" s="364"/>
      <c r="L592" s="364"/>
      <c r="M592" s="364"/>
      <c r="N592" s="364"/>
      <c r="O592" s="388"/>
      <c r="P592" s="364"/>
      <c r="Q592" s="364"/>
      <c r="R592" s="364"/>
      <c r="S592" s="364"/>
      <c r="T592" s="364"/>
      <c r="U592" s="364"/>
      <c r="V592" s="364"/>
      <c r="W592" s="364"/>
      <c r="X592" s="364"/>
      <c r="Y592" s="364"/>
      <c r="Z592" s="364"/>
      <c r="AA592" s="364"/>
      <c r="AB592" s="364"/>
      <c r="AC592" s="364"/>
      <c r="AD592" s="364"/>
    </row>
    <row r="593">
      <c r="A593" s="364"/>
      <c r="B593" s="364"/>
      <c r="C593" s="364"/>
      <c r="D593" s="364"/>
      <c r="E593" s="364"/>
      <c r="F593" s="364"/>
      <c r="G593" s="364"/>
      <c r="H593" s="364"/>
      <c r="I593" s="364"/>
      <c r="J593" s="364"/>
      <c r="K593" s="364"/>
      <c r="L593" s="364"/>
      <c r="M593" s="364"/>
      <c r="N593" s="364"/>
      <c r="O593" s="388"/>
      <c r="P593" s="364"/>
      <c r="Q593" s="364"/>
      <c r="R593" s="364"/>
      <c r="S593" s="364"/>
      <c r="T593" s="364"/>
      <c r="U593" s="364"/>
      <c r="V593" s="364"/>
      <c r="W593" s="364"/>
      <c r="X593" s="364"/>
      <c r="Y593" s="364"/>
      <c r="Z593" s="364"/>
      <c r="AA593" s="364"/>
      <c r="AB593" s="364"/>
      <c r="AC593" s="364"/>
      <c r="AD593" s="364"/>
    </row>
    <row r="594">
      <c r="A594" s="364"/>
      <c r="B594" s="364"/>
      <c r="C594" s="364"/>
      <c r="D594" s="364"/>
      <c r="E594" s="364"/>
      <c r="F594" s="364"/>
      <c r="G594" s="364"/>
      <c r="H594" s="364"/>
      <c r="I594" s="364"/>
      <c r="J594" s="364"/>
      <c r="K594" s="364"/>
      <c r="L594" s="364"/>
      <c r="M594" s="364"/>
      <c r="N594" s="364"/>
      <c r="O594" s="388"/>
      <c r="P594" s="364"/>
      <c r="Q594" s="364"/>
      <c r="R594" s="364"/>
      <c r="S594" s="364"/>
      <c r="T594" s="364"/>
      <c r="U594" s="364"/>
      <c r="V594" s="364"/>
      <c r="W594" s="364"/>
      <c r="X594" s="364"/>
      <c r="Y594" s="364"/>
      <c r="Z594" s="364"/>
      <c r="AA594" s="364"/>
      <c r="AB594" s="364"/>
      <c r="AC594" s="364"/>
      <c r="AD594" s="364"/>
    </row>
    <row r="595">
      <c r="A595" s="364"/>
      <c r="B595" s="364"/>
      <c r="C595" s="364"/>
      <c r="D595" s="364"/>
      <c r="E595" s="364"/>
      <c r="F595" s="364"/>
      <c r="G595" s="364"/>
      <c r="H595" s="364"/>
      <c r="I595" s="364"/>
      <c r="J595" s="364"/>
      <c r="K595" s="364"/>
      <c r="L595" s="364"/>
      <c r="M595" s="364"/>
      <c r="N595" s="364"/>
      <c r="O595" s="388"/>
      <c r="P595" s="364"/>
      <c r="Q595" s="364"/>
      <c r="R595" s="364"/>
      <c r="S595" s="364"/>
      <c r="T595" s="364"/>
      <c r="U595" s="364"/>
      <c r="V595" s="364"/>
      <c r="W595" s="364"/>
      <c r="X595" s="364"/>
      <c r="Y595" s="364"/>
      <c r="Z595" s="364"/>
      <c r="AA595" s="364"/>
      <c r="AB595" s="364"/>
      <c r="AC595" s="364"/>
      <c r="AD595" s="364"/>
    </row>
    <row r="596">
      <c r="A596" s="364"/>
      <c r="B596" s="364"/>
      <c r="C596" s="364"/>
      <c r="D596" s="364"/>
      <c r="E596" s="364"/>
      <c r="F596" s="364"/>
      <c r="G596" s="364"/>
      <c r="H596" s="364"/>
      <c r="I596" s="364"/>
      <c r="J596" s="364"/>
      <c r="K596" s="364"/>
      <c r="L596" s="364"/>
      <c r="M596" s="364"/>
      <c r="N596" s="364"/>
      <c r="O596" s="388"/>
      <c r="P596" s="364"/>
      <c r="Q596" s="364"/>
      <c r="R596" s="364"/>
      <c r="S596" s="364"/>
      <c r="T596" s="364"/>
      <c r="U596" s="364"/>
      <c r="V596" s="364"/>
      <c r="W596" s="364"/>
      <c r="X596" s="364"/>
      <c r="Y596" s="364"/>
      <c r="Z596" s="364"/>
      <c r="AA596" s="364"/>
      <c r="AB596" s="364"/>
      <c r="AC596" s="364"/>
      <c r="AD596" s="364"/>
    </row>
    <row r="597">
      <c r="A597" s="364"/>
      <c r="B597" s="364"/>
      <c r="C597" s="364"/>
      <c r="D597" s="364"/>
      <c r="E597" s="364"/>
      <c r="F597" s="364"/>
      <c r="G597" s="364"/>
      <c r="H597" s="364"/>
      <c r="I597" s="364"/>
      <c r="J597" s="364"/>
      <c r="K597" s="364"/>
      <c r="L597" s="364"/>
      <c r="M597" s="364"/>
      <c r="N597" s="364"/>
      <c r="O597" s="388"/>
      <c r="P597" s="364"/>
      <c r="Q597" s="364"/>
      <c r="R597" s="364"/>
      <c r="S597" s="364"/>
      <c r="T597" s="364"/>
      <c r="U597" s="364"/>
      <c r="V597" s="364"/>
      <c r="W597" s="364"/>
      <c r="X597" s="364"/>
      <c r="Y597" s="364"/>
      <c r="Z597" s="364"/>
      <c r="AA597" s="364"/>
      <c r="AB597" s="364"/>
      <c r="AC597" s="364"/>
      <c r="AD597" s="364"/>
    </row>
    <row r="598">
      <c r="A598" s="364"/>
      <c r="B598" s="364"/>
      <c r="C598" s="364"/>
      <c r="D598" s="364"/>
      <c r="E598" s="364"/>
      <c r="F598" s="364"/>
      <c r="G598" s="364"/>
      <c r="H598" s="364"/>
      <c r="I598" s="364"/>
      <c r="J598" s="364"/>
      <c r="K598" s="364"/>
      <c r="L598" s="364"/>
      <c r="M598" s="364"/>
      <c r="N598" s="364"/>
      <c r="O598" s="388"/>
      <c r="P598" s="364"/>
      <c r="Q598" s="364"/>
      <c r="R598" s="364"/>
      <c r="S598" s="364"/>
      <c r="T598" s="364"/>
      <c r="U598" s="364"/>
      <c r="V598" s="364"/>
      <c r="W598" s="364"/>
      <c r="X598" s="364"/>
      <c r="Y598" s="364"/>
      <c r="Z598" s="364"/>
      <c r="AA598" s="364"/>
      <c r="AB598" s="364"/>
      <c r="AC598" s="364"/>
      <c r="AD598" s="364"/>
    </row>
    <row r="599">
      <c r="A599" s="364"/>
      <c r="B599" s="364"/>
      <c r="C599" s="364"/>
      <c r="D599" s="364"/>
      <c r="E599" s="364"/>
      <c r="F599" s="364"/>
      <c r="G599" s="364"/>
      <c r="H599" s="364"/>
      <c r="I599" s="364"/>
      <c r="J599" s="364"/>
      <c r="K599" s="364"/>
      <c r="L599" s="364"/>
      <c r="M599" s="364"/>
      <c r="N599" s="364"/>
      <c r="O599" s="388"/>
      <c r="P599" s="364"/>
      <c r="Q599" s="364"/>
      <c r="R599" s="364"/>
      <c r="S599" s="364"/>
      <c r="T599" s="364"/>
      <c r="U599" s="364"/>
      <c r="V599" s="364"/>
      <c r="W599" s="364"/>
      <c r="X599" s="364"/>
      <c r="Y599" s="364"/>
      <c r="Z599" s="364"/>
      <c r="AA599" s="364"/>
      <c r="AB599" s="364"/>
      <c r="AC599" s="364"/>
      <c r="AD599" s="364"/>
    </row>
    <row r="600">
      <c r="A600" s="364"/>
      <c r="B600" s="364"/>
      <c r="C600" s="364"/>
      <c r="D600" s="364"/>
      <c r="E600" s="364"/>
      <c r="F600" s="364"/>
      <c r="G600" s="364"/>
      <c r="H600" s="364"/>
      <c r="I600" s="364"/>
      <c r="J600" s="364"/>
      <c r="K600" s="364"/>
      <c r="L600" s="364"/>
      <c r="M600" s="364"/>
      <c r="N600" s="364"/>
      <c r="O600" s="388"/>
      <c r="P600" s="364"/>
      <c r="Q600" s="364"/>
      <c r="R600" s="364"/>
      <c r="S600" s="364"/>
      <c r="T600" s="364"/>
      <c r="U600" s="364"/>
      <c r="V600" s="364"/>
      <c r="W600" s="364"/>
      <c r="X600" s="364"/>
      <c r="Y600" s="364"/>
      <c r="Z600" s="364"/>
      <c r="AA600" s="364"/>
      <c r="AB600" s="364"/>
      <c r="AC600" s="364"/>
      <c r="AD600" s="364"/>
    </row>
    <row r="601">
      <c r="A601" s="364"/>
      <c r="B601" s="364"/>
      <c r="C601" s="364"/>
      <c r="D601" s="364"/>
      <c r="E601" s="364"/>
      <c r="F601" s="364"/>
      <c r="G601" s="364"/>
      <c r="H601" s="364"/>
      <c r="I601" s="364"/>
      <c r="J601" s="364"/>
      <c r="K601" s="364"/>
      <c r="L601" s="364"/>
      <c r="M601" s="364"/>
      <c r="N601" s="364"/>
      <c r="O601" s="388"/>
      <c r="P601" s="364"/>
      <c r="Q601" s="364"/>
      <c r="R601" s="364"/>
      <c r="S601" s="364"/>
      <c r="T601" s="364"/>
      <c r="U601" s="364"/>
      <c r="V601" s="364"/>
      <c r="W601" s="364"/>
      <c r="X601" s="364"/>
      <c r="Y601" s="364"/>
      <c r="Z601" s="364"/>
      <c r="AA601" s="364"/>
      <c r="AB601" s="364"/>
      <c r="AC601" s="364"/>
      <c r="AD601" s="364"/>
    </row>
    <row r="602">
      <c r="A602" s="364"/>
      <c r="B602" s="364"/>
      <c r="C602" s="364"/>
      <c r="D602" s="364"/>
      <c r="E602" s="364"/>
      <c r="F602" s="364"/>
      <c r="G602" s="364"/>
      <c r="H602" s="364"/>
      <c r="I602" s="364"/>
      <c r="J602" s="364"/>
      <c r="K602" s="364"/>
      <c r="L602" s="364"/>
      <c r="M602" s="364"/>
      <c r="N602" s="364"/>
      <c r="O602" s="388"/>
      <c r="P602" s="364"/>
      <c r="Q602" s="364"/>
      <c r="R602" s="364"/>
      <c r="S602" s="364"/>
      <c r="T602" s="364"/>
      <c r="U602" s="364"/>
      <c r="V602" s="364"/>
      <c r="W602" s="364"/>
      <c r="X602" s="364"/>
      <c r="Y602" s="364"/>
      <c r="Z602" s="364"/>
      <c r="AA602" s="364"/>
      <c r="AB602" s="364"/>
      <c r="AC602" s="364"/>
      <c r="AD602" s="364"/>
    </row>
    <row r="603">
      <c r="A603" s="364"/>
      <c r="B603" s="364"/>
      <c r="C603" s="364"/>
      <c r="D603" s="364"/>
      <c r="E603" s="364"/>
      <c r="F603" s="364"/>
      <c r="G603" s="364"/>
      <c r="H603" s="364"/>
      <c r="I603" s="364"/>
      <c r="J603" s="364"/>
      <c r="K603" s="364"/>
      <c r="L603" s="364"/>
      <c r="M603" s="364"/>
      <c r="N603" s="364"/>
      <c r="O603" s="388"/>
      <c r="P603" s="364"/>
      <c r="Q603" s="364"/>
      <c r="R603" s="364"/>
      <c r="S603" s="364"/>
      <c r="T603" s="364"/>
      <c r="U603" s="364"/>
      <c r="V603" s="364"/>
      <c r="W603" s="364"/>
      <c r="X603" s="364"/>
      <c r="Y603" s="364"/>
      <c r="Z603" s="364"/>
      <c r="AA603" s="364"/>
      <c r="AB603" s="364"/>
      <c r="AC603" s="364"/>
      <c r="AD603" s="364"/>
    </row>
    <row r="604">
      <c r="A604" s="364"/>
      <c r="B604" s="364"/>
      <c r="C604" s="364"/>
      <c r="D604" s="364"/>
      <c r="E604" s="364"/>
      <c r="F604" s="364"/>
      <c r="G604" s="364"/>
      <c r="H604" s="364"/>
      <c r="I604" s="364"/>
      <c r="J604" s="364"/>
      <c r="K604" s="364"/>
      <c r="L604" s="364"/>
      <c r="M604" s="364"/>
      <c r="N604" s="364"/>
      <c r="O604" s="388"/>
      <c r="P604" s="364"/>
      <c r="Q604" s="364"/>
      <c r="R604" s="364"/>
      <c r="S604" s="364"/>
      <c r="T604" s="364"/>
      <c r="U604" s="364"/>
      <c r="V604" s="364"/>
      <c r="W604" s="364"/>
      <c r="X604" s="364"/>
      <c r="Y604" s="364"/>
      <c r="Z604" s="364"/>
      <c r="AA604" s="364"/>
      <c r="AB604" s="364"/>
      <c r="AC604" s="364"/>
      <c r="AD604" s="364"/>
    </row>
    <row r="605">
      <c r="A605" s="364"/>
      <c r="B605" s="364"/>
      <c r="C605" s="364"/>
      <c r="D605" s="364"/>
      <c r="E605" s="364"/>
      <c r="F605" s="364"/>
      <c r="G605" s="364"/>
      <c r="H605" s="364"/>
      <c r="I605" s="364"/>
      <c r="J605" s="364"/>
      <c r="K605" s="364"/>
      <c r="L605" s="364"/>
      <c r="M605" s="364"/>
      <c r="N605" s="364"/>
      <c r="O605" s="388"/>
      <c r="P605" s="364"/>
      <c r="Q605" s="364"/>
      <c r="R605" s="364"/>
      <c r="S605" s="364"/>
      <c r="T605" s="364"/>
      <c r="U605" s="364"/>
      <c r="V605" s="364"/>
      <c r="W605" s="364"/>
      <c r="X605" s="364"/>
      <c r="Y605" s="364"/>
      <c r="Z605" s="364"/>
      <c r="AA605" s="364"/>
      <c r="AB605" s="364"/>
      <c r="AC605" s="364"/>
      <c r="AD605" s="364"/>
    </row>
    <row r="606">
      <c r="A606" s="364"/>
      <c r="B606" s="364"/>
      <c r="C606" s="364"/>
      <c r="D606" s="364"/>
      <c r="E606" s="364"/>
      <c r="F606" s="364"/>
      <c r="G606" s="364"/>
      <c r="H606" s="364"/>
      <c r="I606" s="364"/>
      <c r="J606" s="364"/>
      <c r="K606" s="364"/>
      <c r="L606" s="364"/>
      <c r="M606" s="364"/>
      <c r="N606" s="364"/>
      <c r="O606" s="388"/>
      <c r="P606" s="364"/>
      <c r="Q606" s="364"/>
      <c r="R606" s="364"/>
      <c r="S606" s="364"/>
      <c r="T606" s="364"/>
      <c r="U606" s="364"/>
      <c r="V606" s="364"/>
      <c r="W606" s="364"/>
      <c r="X606" s="364"/>
      <c r="Y606" s="364"/>
      <c r="Z606" s="364"/>
      <c r="AA606" s="364"/>
      <c r="AB606" s="364"/>
      <c r="AC606" s="364"/>
      <c r="AD606" s="364"/>
    </row>
    <row r="607">
      <c r="A607" s="364"/>
      <c r="B607" s="364"/>
      <c r="C607" s="364"/>
      <c r="D607" s="364"/>
      <c r="E607" s="364"/>
      <c r="F607" s="364"/>
      <c r="G607" s="364"/>
      <c r="H607" s="364"/>
      <c r="I607" s="364"/>
      <c r="J607" s="364"/>
      <c r="K607" s="364"/>
      <c r="L607" s="364"/>
      <c r="M607" s="364"/>
      <c r="N607" s="364"/>
      <c r="O607" s="388"/>
      <c r="P607" s="364"/>
      <c r="Q607" s="364"/>
      <c r="R607" s="364"/>
      <c r="S607" s="364"/>
      <c r="T607" s="364"/>
      <c r="U607" s="364"/>
      <c r="V607" s="364"/>
      <c r="W607" s="364"/>
      <c r="X607" s="364"/>
      <c r="Y607" s="364"/>
      <c r="Z607" s="364"/>
      <c r="AA607" s="364"/>
      <c r="AB607" s="364"/>
      <c r="AC607" s="364"/>
      <c r="AD607" s="364"/>
    </row>
    <row r="608">
      <c r="A608" s="364"/>
      <c r="B608" s="364"/>
      <c r="C608" s="364"/>
      <c r="D608" s="364"/>
      <c r="E608" s="364"/>
      <c r="F608" s="364"/>
      <c r="G608" s="364"/>
      <c r="H608" s="364"/>
      <c r="I608" s="364"/>
      <c r="J608" s="364"/>
      <c r="K608" s="364"/>
      <c r="L608" s="364"/>
      <c r="M608" s="364"/>
      <c r="N608" s="364"/>
      <c r="O608" s="388"/>
      <c r="P608" s="364"/>
      <c r="Q608" s="364"/>
      <c r="R608" s="364"/>
      <c r="S608" s="364"/>
      <c r="T608" s="364"/>
      <c r="U608" s="364"/>
      <c r="V608" s="364"/>
      <c r="W608" s="364"/>
      <c r="X608" s="364"/>
      <c r="Y608" s="364"/>
      <c r="Z608" s="364"/>
      <c r="AA608" s="364"/>
      <c r="AB608" s="364"/>
      <c r="AC608" s="364"/>
      <c r="AD608" s="364"/>
    </row>
    <row r="609">
      <c r="A609" s="364"/>
      <c r="B609" s="364"/>
      <c r="C609" s="364"/>
      <c r="D609" s="364"/>
      <c r="E609" s="364"/>
      <c r="F609" s="364"/>
      <c r="G609" s="364"/>
      <c r="H609" s="364"/>
      <c r="I609" s="364"/>
      <c r="J609" s="364"/>
      <c r="K609" s="364"/>
      <c r="L609" s="364"/>
      <c r="M609" s="364"/>
      <c r="N609" s="364"/>
      <c r="O609" s="388"/>
      <c r="P609" s="364"/>
      <c r="Q609" s="364"/>
      <c r="R609" s="364"/>
      <c r="S609" s="364"/>
      <c r="T609" s="364"/>
      <c r="U609" s="364"/>
      <c r="V609" s="364"/>
      <c r="W609" s="364"/>
      <c r="X609" s="364"/>
      <c r="Y609" s="364"/>
      <c r="Z609" s="364"/>
      <c r="AA609" s="364"/>
      <c r="AB609" s="364"/>
      <c r="AC609" s="364"/>
      <c r="AD609" s="364"/>
    </row>
    <row r="610">
      <c r="A610" s="364"/>
      <c r="B610" s="364"/>
      <c r="C610" s="364"/>
      <c r="D610" s="364"/>
      <c r="E610" s="364"/>
      <c r="F610" s="364"/>
      <c r="G610" s="364"/>
      <c r="H610" s="364"/>
      <c r="I610" s="364"/>
      <c r="J610" s="364"/>
      <c r="K610" s="364"/>
      <c r="L610" s="364"/>
      <c r="M610" s="364"/>
      <c r="N610" s="364"/>
      <c r="O610" s="388"/>
      <c r="P610" s="364"/>
      <c r="Q610" s="364"/>
      <c r="R610" s="364"/>
      <c r="S610" s="364"/>
      <c r="T610" s="364"/>
      <c r="U610" s="364"/>
      <c r="V610" s="364"/>
      <c r="W610" s="364"/>
      <c r="X610" s="364"/>
      <c r="Y610" s="364"/>
      <c r="Z610" s="364"/>
      <c r="AA610" s="364"/>
      <c r="AB610" s="364"/>
      <c r="AC610" s="364"/>
      <c r="AD610" s="364"/>
    </row>
    <row r="611">
      <c r="A611" s="364"/>
      <c r="B611" s="364"/>
      <c r="C611" s="364"/>
      <c r="D611" s="364"/>
      <c r="E611" s="364"/>
      <c r="F611" s="364"/>
      <c r="G611" s="364"/>
      <c r="H611" s="364"/>
      <c r="I611" s="364"/>
      <c r="J611" s="364"/>
      <c r="K611" s="364"/>
      <c r="L611" s="364"/>
      <c r="M611" s="364"/>
      <c r="N611" s="364"/>
      <c r="O611" s="388"/>
      <c r="P611" s="364"/>
      <c r="Q611" s="364"/>
      <c r="R611" s="364"/>
      <c r="S611" s="364"/>
      <c r="T611" s="364"/>
      <c r="U611" s="364"/>
      <c r="V611" s="364"/>
      <c r="W611" s="364"/>
      <c r="X611" s="364"/>
      <c r="Y611" s="364"/>
      <c r="Z611" s="364"/>
      <c r="AA611" s="364"/>
      <c r="AB611" s="364"/>
      <c r="AC611" s="364"/>
      <c r="AD611" s="364"/>
    </row>
    <row r="612">
      <c r="A612" s="364"/>
      <c r="B612" s="364"/>
      <c r="C612" s="364"/>
      <c r="D612" s="364"/>
      <c r="E612" s="364"/>
      <c r="F612" s="364"/>
      <c r="G612" s="364"/>
      <c r="H612" s="364"/>
      <c r="I612" s="364"/>
      <c r="J612" s="364"/>
      <c r="K612" s="364"/>
      <c r="L612" s="364"/>
      <c r="M612" s="364"/>
      <c r="N612" s="364"/>
      <c r="O612" s="388"/>
      <c r="P612" s="364"/>
      <c r="Q612" s="364"/>
      <c r="R612" s="364"/>
      <c r="S612" s="364"/>
      <c r="T612" s="364"/>
      <c r="U612" s="364"/>
      <c r="V612" s="364"/>
      <c r="W612" s="364"/>
      <c r="X612" s="364"/>
      <c r="Y612" s="364"/>
      <c r="Z612" s="364"/>
      <c r="AA612" s="364"/>
      <c r="AB612" s="364"/>
      <c r="AC612" s="364"/>
      <c r="AD612" s="364"/>
    </row>
    <row r="613">
      <c r="A613" s="364"/>
      <c r="B613" s="364"/>
      <c r="C613" s="364"/>
      <c r="D613" s="364"/>
      <c r="E613" s="364"/>
      <c r="F613" s="364"/>
      <c r="G613" s="364"/>
      <c r="H613" s="364"/>
      <c r="I613" s="364"/>
      <c r="J613" s="364"/>
      <c r="K613" s="364"/>
      <c r="L613" s="364"/>
      <c r="M613" s="364"/>
      <c r="N613" s="364"/>
      <c r="O613" s="388"/>
      <c r="P613" s="364"/>
      <c r="Q613" s="364"/>
      <c r="R613" s="364"/>
      <c r="S613" s="364"/>
      <c r="T613" s="364"/>
      <c r="U613" s="364"/>
      <c r="V613" s="364"/>
      <c r="W613" s="364"/>
      <c r="X613" s="364"/>
      <c r="Y613" s="364"/>
      <c r="Z613" s="364"/>
      <c r="AA613" s="364"/>
      <c r="AB613" s="364"/>
      <c r="AC613" s="364"/>
      <c r="AD613" s="364"/>
    </row>
    <row r="614">
      <c r="A614" s="364"/>
      <c r="B614" s="364"/>
      <c r="C614" s="364"/>
      <c r="D614" s="364"/>
      <c r="E614" s="364"/>
      <c r="F614" s="364"/>
      <c r="G614" s="364"/>
      <c r="H614" s="364"/>
      <c r="I614" s="364"/>
      <c r="J614" s="364"/>
      <c r="K614" s="364"/>
      <c r="L614" s="364"/>
      <c r="M614" s="364"/>
      <c r="N614" s="364"/>
      <c r="O614" s="388"/>
      <c r="P614" s="364"/>
      <c r="Q614" s="364"/>
      <c r="R614" s="364"/>
      <c r="S614" s="364"/>
      <c r="T614" s="364"/>
      <c r="U614" s="364"/>
      <c r="V614" s="364"/>
      <c r="W614" s="364"/>
      <c r="X614" s="364"/>
      <c r="Y614" s="364"/>
      <c r="Z614" s="364"/>
      <c r="AA614" s="364"/>
      <c r="AB614" s="364"/>
      <c r="AC614" s="364"/>
      <c r="AD614" s="364"/>
    </row>
    <row r="615">
      <c r="A615" s="364"/>
      <c r="B615" s="364"/>
      <c r="C615" s="364"/>
      <c r="D615" s="364"/>
      <c r="E615" s="364"/>
      <c r="F615" s="364"/>
      <c r="G615" s="364"/>
      <c r="H615" s="364"/>
      <c r="I615" s="364"/>
      <c r="J615" s="364"/>
      <c r="K615" s="364"/>
      <c r="L615" s="364"/>
      <c r="M615" s="364"/>
      <c r="N615" s="364"/>
      <c r="O615" s="388"/>
      <c r="P615" s="364"/>
      <c r="Q615" s="364"/>
      <c r="R615" s="364"/>
      <c r="S615" s="364"/>
      <c r="T615" s="364"/>
      <c r="U615" s="364"/>
      <c r="V615" s="364"/>
      <c r="W615" s="364"/>
      <c r="X615" s="364"/>
      <c r="Y615" s="364"/>
      <c r="Z615" s="364"/>
      <c r="AA615" s="364"/>
      <c r="AB615" s="364"/>
      <c r="AC615" s="364"/>
      <c r="AD615" s="364"/>
    </row>
    <row r="616">
      <c r="A616" s="364"/>
      <c r="B616" s="364"/>
      <c r="C616" s="364"/>
      <c r="D616" s="364"/>
      <c r="E616" s="364"/>
      <c r="F616" s="364"/>
      <c r="G616" s="364"/>
      <c r="H616" s="364"/>
      <c r="I616" s="364"/>
      <c r="J616" s="364"/>
      <c r="K616" s="364"/>
      <c r="L616" s="364"/>
      <c r="M616" s="364"/>
      <c r="N616" s="364"/>
      <c r="O616" s="388"/>
      <c r="P616" s="364"/>
      <c r="Q616" s="364"/>
      <c r="R616" s="364"/>
      <c r="S616" s="364"/>
      <c r="T616" s="364"/>
      <c r="U616" s="364"/>
      <c r="V616" s="364"/>
      <c r="W616" s="364"/>
      <c r="X616" s="364"/>
      <c r="Y616" s="364"/>
      <c r="Z616" s="364"/>
      <c r="AA616" s="364"/>
      <c r="AB616" s="364"/>
      <c r="AC616" s="364"/>
      <c r="AD616" s="364"/>
    </row>
    <row r="617">
      <c r="A617" s="364"/>
      <c r="B617" s="364"/>
      <c r="C617" s="364"/>
      <c r="D617" s="364"/>
      <c r="E617" s="364"/>
      <c r="F617" s="364"/>
      <c r="G617" s="364"/>
      <c r="H617" s="364"/>
      <c r="I617" s="364"/>
      <c r="J617" s="364"/>
      <c r="K617" s="364"/>
      <c r="L617" s="364"/>
      <c r="M617" s="364"/>
      <c r="N617" s="364"/>
      <c r="O617" s="388"/>
      <c r="P617" s="364"/>
      <c r="Q617" s="364"/>
      <c r="R617" s="364"/>
      <c r="S617" s="364"/>
      <c r="T617" s="364"/>
      <c r="U617" s="364"/>
      <c r="V617" s="364"/>
      <c r="W617" s="364"/>
      <c r="X617" s="364"/>
      <c r="Y617" s="364"/>
      <c r="Z617" s="364"/>
      <c r="AA617" s="364"/>
      <c r="AB617" s="364"/>
      <c r="AC617" s="364"/>
      <c r="AD617" s="364"/>
    </row>
    <row r="618">
      <c r="A618" s="364"/>
      <c r="B618" s="364"/>
      <c r="C618" s="364"/>
      <c r="D618" s="364"/>
      <c r="E618" s="364"/>
      <c r="F618" s="364"/>
      <c r="G618" s="364"/>
      <c r="H618" s="364"/>
      <c r="I618" s="364"/>
      <c r="J618" s="364"/>
      <c r="K618" s="364"/>
      <c r="L618" s="364"/>
      <c r="M618" s="364"/>
      <c r="N618" s="364"/>
      <c r="O618" s="388"/>
      <c r="P618" s="364"/>
      <c r="Q618" s="364"/>
      <c r="R618" s="364"/>
      <c r="S618" s="364"/>
      <c r="T618" s="364"/>
      <c r="U618" s="364"/>
      <c r="V618" s="364"/>
      <c r="W618" s="364"/>
      <c r="X618" s="364"/>
      <c r="Y618" s="364"/>
      <c r="Z618" s="364"/>
      <c r="AA618" s="364"/>
      <c r="AB618" s="364"/>
      <c r="AC618" s="364"/>
      <c r="AD618" s="364"/>
    </row>
    <row r="619">
      <c r="A619" s="364"/>
      <c r="B619" s="364"/>
      <c r="C619" s="364"/>
      <c r="D619" s="364"/>
      <c r="E619" s="364"/>
      <c r="F619" s="364"/>
      <c r="G619" s="364"/>
      <c r="H619" s="364"/>
      <c r="I619" s="364"/>
      <c r="J619" s="364"/>
      <c r="K619" s="364"/>
      <c r="L619" s="364"/>
      <c r="M619" s="364"/>
      <c r="N619" s="364"/>
      <c r="O619" s="388"/>
      <c r="P619" s="364"/>
      <c r="Q619" s="364"/>
      <c r="R619" s="364"/>
      <c r="S619" s="364"/>
      <c r="T619" s="364"/>
      <c r="U619" s="364"/>
      <c r="V619" s="364"/>
      <c r="W619" s="364"/>
      <c r="X619" s="364"/>
      <c r="Y619" s="364"/>
      <c r="Z619" s="364"/>
      <c r="AA619" s="364"/>
      <c r="AB619" s="364"/>
      <c r="AC619" s="364"/>
      <c r="AD619" s="364"/>
    </row>
    <row r="620">
      <c r="A620" s="364"/>
      <c r="B620" s="364"/>
      <c r="C620" s="364"/>
      <c r="D620" s="364"/>
      <c r="E620" s="364"/>
      <c r="F620" s="364"/>
      <c r="G620" s="364"/>
      <c r="H620" s="364"/>
      <c r="I620" s="364"/>
      <c r="J620" s="364"/>
      <c r="K620" s="364"/>
      <c r="L620" s="364"/>
      <c r="M620" s="364"/>
      <c r="N620" s="364"/>
      <c r="O620" s="388"/>
      <c r="P620" s="364"/>
      <c r="Q620" s="364"/>
      <c r="R620" s="364"/>
      <c r="S620" s="364"/>
      <c r="T620" s="364"/>
      <c r="U620" s="364"/>
      <c r="V620" s="364"/>
      <c r="W620" s="364"/>
      <c r="X620" s="364"/>
      <c r="Y620" s="364"/>
      <c r="Z620" s="364"/>
      <c r="AA620" s="364"/>
      <c r="AB620" s="364"/>
      <c r="AC620" s="364"/>
      <c r="AD620" s="364"/>
    </row>
    <row r="621">
      <c r="A621" s="364"/>
      <c r="B621" s="364"/>
      <c r="C621" s="364"/>
      <c r="D621" s="364"/>
      <c r="E621" s="364"/>
      <c r="F621" s="364"/>
      <c r="G621" s="364"/>
      <c r="H621" s="364"/>
      <c r="I621" s="364"/>
      <c r="J621" s="364"/>
      <c r="K621" s="364"/>
      <c r="L621" s="364"/>
      <c r="M621" s="364"/>
      <c r="N621" s="364"/>
      <c r="O621" s="388"/>
      <c r="P621" s="364"/>
      <c r="Q621" s="364"/>
      <c r="R621" s="364"/>
      <c r="S621" s="364"/>
      <c r="T621" s="364"/>
      <c r="U621" s="364"/>
      <c r="V621" s="364"/>
      <c r="W621" s="364"/>
      <c r="X621" s="364"/>
      <c r="Y621" s="364"/>
      <c r="Z621" s="364"/>
      <c r="AA621" s="364"/>
      <c r="AB621" s="364"/>
      <c r="AC621" s="364"/>
      <c r="AD621" s="364"/>
    </row>
    <row r="622">
      <c r="A622" s="364"/>
      <c r="B622" s="364"/>
      <c r="C622" s="364"/>
      <c r="D622" s="364"/>
      <c r="E622" s="364"/>
      <c r="F622" s="364"/>
      <c r="G622" s="364"/>
      <c r="H622" s="364"/>
      <c r="I622" s="364"/>
      <c r="J622" s="364"/>
      <c r="K622" s="364"/>
      <c r="L622" s="364"/>
      <c r="M622" s="364"/>
      <c r="N622" s="364"/>
      <c r="O622" s="388"/>
      <c r="P622" s="364"/>
      <c r="Q622" s="364"/>
      <c r="R622" s="364"/>
      <c r="S622" s="364"/>
      <c r="T622" s="364"/>
      <c r="U622" s="364"/>
      <c r="V622" s="364"/>
      <c r="W622" s="364"/>
      <c r="X622" s="364"/>
      <c r="Y622" s="364"/>
      <c r="Z622" s="364"/>
      <c r="AA622" s="364"/>
      <c r="AB622" s="364"/>
      <c r="AC622" s="364"/>
      <c r="AD622" s="364"/>
    </row>
    <row r="623">
      <c r="A623" s="364"/>
      <c r="B623" s="364"/>
      <c r="C623" s="364"/>
      <c r="D623" s="364"/>
      <c r="E623" s="364"/>
      <c r="F623" s="364"/>
      <c r="G623" s="364"/>
      <c r="H623" s="364"/>
      <c r="I623" s="364"/>
      <c r="J623" s="364"/>
      <c r="K623" s="364"/>
      <c r="L623" s="364"/>
      <c r="M623" s="364"/>
      <c r="N623" s="364"/>
      <c r="O623" s="388"/>
      <c r="P623" s="364"/>
      <c r="Q623" s="364"/>
      <c r="R623" s="364"/>
      <c r="S623" s="364"/>
      <c r="T623" s="364"/>
      <c r="U623" s="364"/>
      <c r="V623" s="364"/>
      <c r="W623" s="364"/>
      <c r="X623" s="364"/>
      <c r="Y623" s="364"/>
      <c r="Z623" s="364"/>
      <c r="AA623" s="364"/>
      <c r="AB623" s="364"/>
      <c r="AC623" s="364"/>
      <c r="AD623" s="364"/>
    </row>
    <row r="624">
      <c r="A624" s="364"/>
      <c r="B624" s="364"/>
      <c r="C624" s="364"/>
      <c r="D624" s="364"/>
      <c r="E624" s="364"/>
      <c r="F624" s="364"/>
      <c r="G624" s="364"/>
      <c r="H624" s="364"/>
      <c r="I624" s="364"/>
      <c r="J624" s="364"/>
      <c r="K624" s="364"/>
      <c r="L624" s="364"/>
      <c r="M624" s="364"/>
      <c r="N624" s="364"/>
      <c r="O624" s="388"/>
      <c r="P624" s="364"/>
      <c r="Q624" s="364"/>
      <c r="R624" s="364"/>
      <c r="S624" s="364"/>
      <c r="T624" s="364"/>
      <c r="U624" s="364"/>
      <c r="V624" s="364"/>
      <c r="W624" s="364"/>
      <c r="X624" s="364"/>
      <c r="Y624" s="364"/>
      <c r="Z624" s="364"/>
      <c r="AA624" s="364"/>
      <c r="AB624" s="364"/>
      <c r="AC624" s="364"/>
      <c r="AD624" s="364"/>
    </row>
    <row r="625">
      <c r="A625" s="364"/>
      <c r="B625" s="364"/>
      <c r="C625" s="364"/>
      <c r="D625" s="364"/>
      <c r="E625" s="364"/>
      <c r="F625" s="364"/>
      <c r="G625" s="364"/>
      <c r="H625" s="364"/>
      <c r="I625" s="364"/>
      <c r="J625" s="364"/>
      <c r="K625" s="364"/>
      <c r="L625" s="364"/>
      <c r="M625" s="364"/>
      <c r="N625" s="364"/>
      <c r="O625" s="388"/>
      <c r="P625" s="364"/>
      <c r="Q625" s="364"/>
      <c r="R625" s="364"/>
      <c r="S625" s="364"/>
      <c r="T625" s="364"/>
      <c r="U625" s="364"/>
      <c r="V625" s="364"/>
      <c r="W625" s="364"/>
      <c r="X625" s="364"/>
      <c r="Y625" s="364"/>
      <c r="Z625" s="364"/>
      <c r="AA625" s="364"/>
      <c r="AB625" s="364"/>
      <c r="AC625" s="364"/>
      <c r="AD625" s="364"/>
    </row>
    <row r="626">
      <c r="A626" s="364"/>
      <c r="B626" s="364"/>
      <c r="C626" s="364"/>
      <c r="D626" s="364"/>
      <c r="E626" s="364"/>
      <c r="F626" s="364"/>
      <c r="G626" s="364"/>
      <c r="H626" s="364"/>
      <c r="I626" s="364"/>
      <c r="J626" s="364"/>
      <c r="K626" s="364"/>
      <c r="L626" s="364"/>
      <c r="M626" s="364"/>
      <c r="N626" s="364"/>
      <c r="O626" s="388"/>
      <c r="P626" s="364"/>
      <c r="Q626" s="364"/>
      <c r="R626" s="364"/>
      <c r="S626" s="364"/>
      <c r="T626" s="364"/>
      <c r="U626" s="364"/>
      <c r="V626" s="364"/>
      <c r="W626" s="364"/>
      <c r="X626" s="364"/>
      <c r="Y626" s="364"/>
      <c r="Z626" s="364"/>
      <c r="AA626" s="364"/>
      <c r="AB626" s="364"/>
      <c r="AC626" s="364"/>
      <c r="AD626" s="364"/>
    </row>
    <row r="627">
      <c r="A627" s="364"/>
      <c r="B627" s="364"/>
      <c r="C627" s="364"/>
      <c r="D627" s="364"/>
      <c r="E627" s="364"/>
      <c r="F627" s="364"/>
      <c r="G627" s="364"/>
      <c r="H627" s="364"/>
      <c r="I627" s="364"/>
      <c r="J627" s="364"/>
      <c r="K627" s="364"/>
      <c r="L627" s="364"/>
      <c r="M627" s="364"/>
      <c r="N627" s="364"/>
      <c r="O627" s="388"/>
      <c r="P627" s="364"/>
      <c r="Q627" s="364"/>
      <c r="R627" s="364"/>
      <c r="S627" s="364"/>
      <c r="T627" s="364"/>
      <c r="U627" s="364"/>
      <c r="V627" s="364"/>
      <c r="W627" s="364"/>
      <c r="X627" s="364"/>
      <c r="Y627" s="364"/>
      <c r="Z627" s="364"/>
      <c r="AA627" s="364"/>
      <c r="AB627" s="364"/>
      <c r="AC627" s="364"/>
      <c r="AD627" s="364"/>
    </row>
    <row r="628">
      <c r="A628" s="364"/>
      <c r="B628" s="364"/>
      <c r="C628" s="364"/>
      <c r="D628" s="364"/>
      <c r="E628" s="364"/>
      <c r="F628" s="364"/>
      <c r="G628" s="364"/>
      <c r="H628" s="364"/>
      <c r="I628" s="364"/>
      <c r="J628" s="364"/>
      <c r="K628" s="364"/>
      <c r="L628" s="364"/>
      <c r="M628" s="364"/>
      <c r="N628" s="364"/>
      <c r="O628" s="388"/>
      <c r="P628" s="364"/>
      <c r="Q628" s="364"/>
      <c r="R628" s="364"/>
      <c r="S628" s="364"/>
      <c r="T628" s="364"/>
      <c r="U628" s="364"/>
      <c r="V628" s="364"/>
      <c r="W628" s="364"/>
      <c r="X628" s="364"/>
      <c r="Y628" s="364"/>
      <c r="Z628" s="364"/>
      <c r="AA628" s="364"/>
      <c r="AB628" s="364"/>
      <c r="AC628" s="364"/>
      <c r="AD628" s="364"/>
    </row>
    <row r="629">
      <c r="A629" s="364"/>
      <c r="B629" s="364"/>
      <c r="C629" s="364"/>
      <c r="D629" s="364"/>
      <c r="E629" s="364"/>
      <c r="F629" s="364"/>
      <c r="G629" s="364"/>
      <c r="H629" s="364"/>
      <c r="I629" s="364"/>
      <c r="J629" s="364"/>
      <c r="K629" s="364"/>
      <c r="L629" s="364"/>
      <c r="M629" s="364"/>
      <c r="N629" s="364"/>
      <c r="O629" s="388"/>
      <c r="P629" s="364"/>
      <c r="Q629" s="364"/>
      <c r="R629" s="364"/>
      <c r="S629" s="364"/>
      <c r="T629" s="364"/>
      <c r="U629" s="364"/>
      <c r="V629" s="364"/>
      <c r="W629" s="364"/>
      <c r="X629" s="364"/>
      <c r="Y629" s="364"/>
      <c r="Z629" s="364"/>
      <c r="AA629" s="364"/>
      <c r="AB629" s="364"/>
      <c r="AC629" s="364"/>
      <c r="AD629" s="364"/>
    </row>
    <row r="630">
      <c r="A630" s="364"/>
      <c r="B630" s="364"/>
      <c r="C630" s="364"/>
      <c r="D630" s="364"/>
      <c r="E630" s="364"/>
      <c r="F630" s="364"/>
      <c r="G630" s="364"/>
      <c r="H630" s="364"/>
      <c r="I630" s="364"/>
      <c r="J630" s="364"/>
      <c r="K630" s="364"/>
      <c r="L630" s="364"/>
      <c r="M630" s="364"/>
      <c r="N630" s="364"/>
      <c r="O630" s="388"/>
      <c r="P630" s="364"/>
      <c r="Q630" s="364"/>
      <c r="R630" s="364"/>
      <c r="S630" s="364"/>
      <c r="T630" s="364"/>
      <c r="U630" s="364"/>
      <c r="V630" s="364"/>
      <c r="W630" s="364"/>
      <c r="X630" s="364"/>
      <c r="Y630" s="364"/>
      <c r="Z630" s="364"/>
      <c r="AA630" s="364"/>
      <c r="AB630" s="364"/>
      <c r="AC630" s="364"/>
      <c r="AD630" s="364"/>
    </row>
    <row r="631">
      <c r="A631" s="364"/>
      <c r="B631" s="364"/>
      <c r="C631" s="364"/>
      <c r="D631" s="364"/>
      <c r="E631" s="364"/>
      <c r="F631" s="364"/>
      <c r="G631" s="364"/>
      <c r="H631" s="364"/>
      <c r="I631" s="364"/>
      <c r="J631" s="364"/>
      <c r="K631" s="364"/>
      <c r="L631" s="364"/>
      <c r="M631" s="364"/>
      <c r="N631" s="364"/>
      <c r="O631" s="388"/>
      <c r="P631" s="364"/>
      <c r="Q631" s="364"/>
      <c r="R631" s="364"/>
      <c r="S631" s="364"/>
      <c r="T631" s="364"/>
      <c r="U631" s="364"/>
      <c r="V631" s="364"/>
      <c r="W631" s="364"/>
      <c r="X631" s="364"/>
      <c r="Y631" s="364"/>
      <c r="Z631" s="364"/>
      <c r="AA631" s="364"/>
      <c r="AB631" s="364"/>
      <c r="AC631" s="364"/>
      <c r="AD631" s="364"/>
    </row>
    <row r="632">
      <c r="A632" s="364"/>
      <c r="B632" s="364"/>
      <c r="C632" s="364"/>
      <c r="D632" s="364"/>
      <c r="E632" s="364"/>
      <c r="F632" s="364"/>
      <c r="G632" s="364"/>
      <c r="H632" s="364"/>
      <c r="I632" s="364"/>
      <c r="J632" s="364"/>
      <c r="K632" s="364"/>
      <c r="L632" s="364"/>
      <c r="M632" s="364"/>
      <c r="N632" s="364"/>
      <c r="O632" s="388"/>
      <c r="P632" s="364"/>
      <c r="Q632" s="364"/>
      <c r="R632" s="364"/>
      <c r="S632" s="364"/>
      <c r="T632" s="364"/>
      <c r="U632" s="364"/>
      <c r="V632" s="364"/>
      <c r="W632" s="364"/>
      <c r="X632" s="364"/>
      <c r="Y632" s="364"/>
      <c r="Z632" s="364"/>
      <c r="AA632" s="364"/>
      <c r="AB632" s="364"/>
      <c r="AC632" s="364"/>
      <c r="AD632" s="364"/>
    </row>
    <row r="633">
      <c r="A633" s="364"/>
      <c r="B633" s="364"/>
      <c r="C633" s="364"/>
      <c r="D633" s="364"/>
      <c r="E633" s="364"/>
      <c r="F633" s="364"/>
      <c r="G633" s="364"/>
      <c r="H633" s="364"/>
      <c r="I633" s="364"/>
      <c r="J633" s="364"/>
      <c r="K633" s="364"/>
      <c r="L633" s="364"/>
      <c r="M633" s="364"/>
      <c r="N633" s="364"/>
      <c r="O633" s="388"/>
      <c r="P633" s="364"/>
      <c r="Q633" s="364"/>
      <c r="R633" s="364"/>
      <c r="S633" s="364"/>
      <c r="T633" s="364"/>
      <c r="U633" s="364"/>
      <c r="V633" s="364"/>
      <c r="W633" s="364"/>
      <c r="X633" s="364"/>
      <c r="Y633" s="364"/>
      <c r="Z633" s="364"/>
      <c r="AA633" s="364"/>
      <c r="AB633" s="364"/>
      <c r="AC633" s="364"/>
      <c r="AD633" s="364"/>
    </row>
    <row r="634">
      <c r="A634" s="364"/>
      <c r="B634" s="364"/>
      <c r="C634" s="364"/>
      <c r="D634" s="364"/>
      <c r="E634" s="364"/>
      <c r="F634" s="364"/>
      <c r="G634" s="364"/>
      <c r="H634" s="364"/>
      <c r="I634" s="364"/>
      <c r="J634" s="364"/>
      <c r="K634" s="364"/>
      <c r="L634" s="364"/>
      <c r="M634" s="364"/>
      <c r="N634" s="364"/>
      <c r="O634" s="388"/>
      <c r="P634" s="364"/>
      <c r="Q634" s="364"/>
      <c r="R634" s="364"/>
      <c r="S634" s="364"/>
      <c r="T634" s="364"/>
      <c r="U634" s="364"/>
      <c r="V634" s="364"/>
      <c r="W634" s="364"/>
      <c r="X634" s="364"/>
      <c r="Y634" s="364"/>
      <c r="Z634" s="364"/>
      <c r="AA634" s="364"/>
      <c r="AB634" s="364"/>
      <c r="AC634" s="364"/>
      <c r="AD634" s="364"/>
    </row>
    <row r="635">
      <c r="A635" s="364"/>
      <c r="B635" s="364"/>
      <c r="C635" s="364"/>
      <c r="D635" s="364"/>
      <c r="E635" s="364"/>
      <c r="F635" s="364"/>
      <c r="G635" s="364"/>
      <c r="H635" s="364"/>
      <c r="I635" s="364"/>
      <c r="J635" s="364"/>
      <c r="K635" s="364"/>
      <c r="L635" s="364"/>
      <c r="M635" s="364"/>
      <c r="N635" s="364"/>
      <c r="O635" s="388"/>
      <c r="P635" s="364"/>
      <c r="Q635" s="364"/>
      <c r="R635" s="364"/>
      <c r="S635" s="364"/>
      <c r="T635" s="364"/>
      <c r="U635" s="364"/>
      <c r="V635" s="364"/>
      <c r="W635" s="364"/>
      <c r="X635" s="364"/>
      <c r="Y635" s="364"/>
      <c r="Z635" s="364"/>
      <c r="AA635" s="364"/>
      <c r="AB635" s="364"/>
      <c r="AC635" s="364"/>
      <c r="AD635" s="364"/>
    </row>
    <row r="636">
      <c r="A636" s="364"/>
      <c r="B636" s="364"/>
      <c r="C636" s="364"/>
      <c r="D636" s="364"/>
      <c r="E636" s="364"/>
      <c r="F636" s="364"/>
      <c r="G636" s="364"/>
      <c r="H636" s="364"/>
      <c r="I636" s="364"/>
      <c r="J636" s="364"/>
      <c r="K636" s="364"/>
      <c r="L636" s="364"/>
      <c r="M636" s="364"/>
      <c r="N636" s="364"/>
      <c r="O636" s="388"/>
      <c r="P636" s="364"/>
      <c r="Q636" s="364"/>
      <c r="R636" s="364"/>
      <c r="S636" s="364"/>
      <c r="T636" s="364"/>
      <c r="U636" s="364"/>
      <c r="V636" s="364"/>
      <c r="W636" s="364"/>
      <c r="X636" s="364"/>
      <c r="Y636" s="364"/>
      <c r="Z636" s="364"/>
      <c r="AA636" s="364"/>
      <c r="AB636" s="364"/>
      <c r="AC636" s="364"/>
      <c r="AD636" s="364"/>
    </row>
    <row r="637">
      <c r="A637" s="364"/>
      <c r="B637" s="364"/>
      <c r="C637" s="364"/>
      <c r="D637" s="364"/>
      <c r="E637" s="364"/>
      <c r="F637" s="364"/>
      <c r="G637" s="364"/>
      <c r="H637" s="364"/>
      <c r="I637" s="364"/>
      <c r="J637" s="364"/>
      <c r="K637" s="364"/>
      <c r="L637" s="364"/>
      <c r="M637" s="364"/>
      <c r="N637" s="364"/>
      <c r="O637" s="388"/>
      <c r="P637" s="364"/>
      <c r="Q637" s="364"/>
      <c r="R637" s="364"/>
      <c r="S637" s="364"/>
      <c r="T637" s="364"/>
      <c r="U637" s="364"/>
      <c r="V637" s="364"/>
      <c r="W637" s="364"/>
      <c r="X637" s="364"/>
      <c r="Y637" s="364"/>
      <c r="Z637" s="364"/>
      <c r="AA637" s="364"/>
      <c r="AB637" s="364"/>
      <c r="AC637" s="364"/>
      <c r="AD637" s="364"/>
    </row>
    <row r="638">
      <c r="A638" s="364"/>
      <c r="B638" s="364"/>
      <c r="C638" s="364"/>
      <c r="D638" s="364"/>
      <c r="E638" s="364"/>
      <c r="F638" s="364"/>
      <c r="G638" s="364"/>
      <c r="H638" s="364"/>
      <c r="I638" s="364"/>
      <c r="J638" s="364"/>
      <c r="K638" s="364"/>
      <c r="L638" s="364"/>
      <c r="M638" s="364"/>
      <c r="N638" s="364"/>
      <c r="O638" s="388"/>
      <c r="P638" s="364"/>
      <c r="Q638" s="364"/>
      <c r="R638" s="364"/>
      <c r="S638" s="364"/>
      <c r="T638" s="364"/>
      <c r="U638" s="364"/>
      <c r="V638" s="364"/>
      <c r="W638" s="364"/>
      <c r="X638" s="364"/>
      <c r="Y638" s="364"/>
      <c r="Z638" s="364"/>
      <c r="AA638" s="364"/>
      <c r="AB638" s="364"/>
      <c r="AC638" s="364"/>
      <c r="AD638" s="364"/>
    </row>
    <row r="639">
      <c r="A639" s="364"/>
      <c r="B639" s="364"/>
      <c r="C639" s="364"/>
      <c r="D639" s="364"/>
      <c r="E639" s="364"/>
      <c r="F639" s="364"/>
      <c r="G639" s="364"/>
      <c r="H639" s="364"/>
      <c r="I639" s="364"/>
      <c r="J639" s="364"/>
      <c r="K639" s="364"/>
      <c r="L639" s="364"/>
      <c r="M639" s="364"/>
      <c r="N639" s="364"/>
      <c r="O639" s="388"/>
      <c r="P639" s="364"/>
      <c r="Q639" s="364"/>
      <c r="R639" s="364"/>
      <c r="S639" s="364"/>
      <c r="T639" s="364"/>
      <c r="U639" s="364"/>
      <c r="V639" s="364"/>
      <c r="W639" s="364"/>
      <c r="X639" s="364"/>
      <c r="Y639" s="364"/>
      <c r="Z639" s="364"/>
      <c r="AA639" s="364"/>
      <c r="AB639" s="364"/>
      <c r="AC639" s="364"/>
      <c r="AD639" s="364"/>
    </row>
    <row r="640">
      <c r="A640" s="364"/>
      <c r="B640" s="364"/>
      <c r="C640" s="364"/>
      <c r="D640" s="364"/>
      <c r="E640" s="364"/>
      <c r="F640" s="364"/>
      <c r="G640" s="364"/>
      <c r="H640" s="364"/>
      <c r="I640" s="364"/>
      <c r="J640" s="364"/>
      <c r="K640" s="364"/>
      <c r="L640" s="364"/>
      <c r="M640" s="364"/>
      <c r="N640" s="364"/>
      <c r="O640" s="388"/>
      <c r="P640" s="364"/>
      <c r="Q640" s="364"/>
      <c r="R640" s="364"/>
      <c r="S640" s="364"/>
      <c r="T640" s="364"/>
      <c r="U640" s="364"/>
      <c r="V640" s="364"/>
      <c r="W640" s="364"/>
      <c r="X640" s="364"/>
      <c r="Y640" s="364"/>
      <c r="Z640" s="364"/>
      <c r="AA640" s="364"/>
      <c r="AB640" s="364"/>
      <c r="AC640" s="364"/>
      <c r="AD640" s="364"/>
    </row>
    <row r="641">
      <c r="A641" s="364"/>
      <c r="B641" s="364"/>
      <c r="C641" s="364"/>
      <c r="D641" s="364"/>
      <c r="E641" s="364"/>
      <c r="F641" s="364"/>
      <c r="G641" s="364"/>
      <c r="H641" s="364"/>
      <c r="I641" s="364"/>
      <c r="J641" s="364"/>
      <c r="K641" s="364"/>
      <c r="L641" s="364"/>
      <c r="M641" s="364"/>
      <c r="N641" s="364"/>
      <c r="O641" s="388"/>
      <c r="P641" s="364"/>
      <c r="Q641" s="364"/>
      <c r="R641" s="364"/>
      <c r="S641" s="364"/>
      <c r="T641" s="364"/>
      <c r="U641" s="364"/>
      <c r="V641" s="364"/>
      <c r="W641" s="364"/>
      <c r="X641" s="364"/>
      <c r="Y641" s="364"/>
      <c r="Z641" s="364"/>
      <c r="AA641" s="364"/>
      <c r="AB641" s="364"/>
      <c r="AC641" s="364"/>
      <c r="AD641" s="364"/>
    </row>
    <row r="642">
      <c r="A642" s="364"/>
      <c r="B642" s="364"/>
      <c r="C642" s="364"/>
      <c r="D642" s="364"/>
      <c r="E642" s="364"/>
      <c r="F642" s="364"/>
      <c r="G642" s="364"/>
      <c r="H642" s="364"/>
      <c r="I642" s="364"/>
      <c r="J642" s="364"/>
      <c r="K642" s="364"/>
      <c r="L642" s="364"/>
      <c r="M642" s="364"/>
      <c r="N642" s="364"/>
      <c r="O642" s="388"/>
      <c r="P642" s="364"/>
      <c r="Q642" s="364"/>
      <c r="R642" s="364"/>
      <c r="S642" s="364"/>
      <c r="T642" s="364"/>
      <c r="U642" s="364"/>
      <c r="V642" s="364"/>
      <c r="W642" s="364"/>
      <c r="X642" s="364"/>
      <c r="Y642" s="364"/>
      <c r="Z642" s="364"/>
      <c r="AA642" s="364"/>
      <c r="AB642" s="364"/>
      <c r="AC642" s="364"/>
      <c r="AD642" s="364"/>
    </row>
    <row r="643">
      <c r="A643" s="364"/>
      <c r="B643" s="364"/>
      <c r="C643" s="364"/>
      <c r="D643" s="364"/>
      <c r="E643" s="364"/>
      <c r="F643" s="364"/>
      <c r="G643" s="364"/>
      <c r="H643" s="364"/>
      <c r="I643" s="364"/>
      <c r="J643" s="364"/>
      <c r="K643" s="364"/>
      <c r="L643" s="364"/>
      <c r="M643" s="364"/>
      <c r="N643" s="364"/>
      <c r="O643" s="388"/>
      <c r="P643" s="364"/>
      <c r="Q643" s="364"/>
      <c r="R643" s="364"/>
      <c r="S643" s="364"/>
      <c r="T643" s="364"/>
      <c r="U643" s="364"/>
      <c r="V643" s="364"/>
      <c r="W643" s="364"/>
      <c r="X643" s="364"/>
      <c r="Y643" s="364"/>
      <c r="Z643" s="364"/>
      <c r="AA643" s="364"/>
      <c r="AB643" s="364"/>
      <c r="AC643" s="364"/>
      <c r="AD643" s="364"/>
    </row>
    <row r="644">
      <c r="A644" s="364"/>
      <c r="B644" s="364"/>
      <c r="C644" s="364"/>
      <c r="D644" s="364"/>
      <c r="E644" s="364"/>
      <c r="F644" s="364"/>
      <c r="G644" s="364"/>
      <c r="H644" s="364"/>
      <c r="I644" s="364"/>
      <c r="J644" s="364"/>
      <c r="K644" s="364"/>
      <c r="L644" s="364"/>
      <c r="M644" s="364"/>
      <c r="N644" s="364"/>
      <c r="O644" s="388"/>
      <c r="P644" s="364"/>
      <c r="Q644" s="364"/>
      <c r="R644" s="364"/>
      <c r="S644" s="364"/>
      <c r="T644" s="364"/>
      <c r="U644" s="364"/>
      <c r="V644" s="364"/>
      <c r="W644" s="364"/>
      <c r="X644" s="364"/>
      <c r="Y644" s="364"/>
      <c r="Z644" s="364"/>
      <c r="AA644" s="364"/>
      <c r="AB644" s="364"/>
      <c r="AC644" s="364"/>
      <c r="AD644" s="364"/>
    </row>
    <row r="645">
      <c r="A645" s="364"/>
      <c r="B645" s="364"/>
      <c r="C645" s="364"/>
      <c r="D645" s="364"/>
      <c r="E645" s="364"/>
      <c r="F645" s="364"/>
      <c r="G645" s="364"/>
      <c r="H645" s="364"/>
      <c r="I645" s="364"/>
      <c r="J645" s="364"/>
      <c r="K645" s="364"/>
      <c r="L645" s="364"/>
      <c r="M645" s="364"/>
      <c r="N645" s="364"/>
      <c r="O645" s="388"/>
      <c r="P645" s="364"/>
      <c r="Q645" s="364"/>
      <c r="R645" s="364"/>
      <c r="S645" s="364"/>
      <c r="T645" s="364"/>
      <c r="U645" s="364"/>
      <c r="V645" s="364"/>
      <c r="W645" s="364"/>
      <c r="X645" s="364"/>
      <c r="Y645" s="364"/>
      <c r="Z645" s="364"/>
      <c r="AA645" s="364"/>
      <c r="AB645" s="364"/>
      <c r="AC645" s="364"/>
      <c r="AD645" s="364"/>
    </row>
    <row r="646">
      <c r="A646" s="364"/>
      <c r="B646" s="364"/>
      <c r="C646" s="364"/>
      <c r="D646" s="364"/>
      <c r="E646" s="364"/>
      <c r="F646" s="364"/>
      <c r="G646" s="364"/>
      <c r="H646" s="364"/>
      <c r="I646" s="364"/>
      <c r="J646" s="364"/>
      <c r="K646" s="364"/>
      <c r="L646" s="364"/>
      <c r="M646" s="364"/>
      <c r="N646" s="364"/>
      <c r="O646" s="388"/>
      <c r="P646" s="364"/>
      <c r="Q646" s="364"/>
      <c r="R646" s="364"/>
      <c r="S646" s="364"/>
      <c r="T646" s="364"/>
      <c r="U646" s="364"/>
      <c r="V646" s="364"/>
      <c r="W646" s="364"/>
      <c r="X646" s="364"/>
      <c r="Y646" s="364"/>
      <c r="Z646" s="364"/>
      <c r="AA646" s="364"/>
      <c r="AB646" s="364"/>
      <c r="AC646" s="364"/>
      <c r="AD646" s="364"/>
    </row>
    <row r="647">
      <c r="A647" s="364"/>
      <c r="B647" s="364"/>
      <c r="C647" s="364"/>
      <c r="D647" s="364"/>
      <c r="E647" s="364"/>
      <c r="F647" s="364"/>
      <c r="G647" s="364"/>
      <c r="H647" s="364"/>
      <c r="I647" s="364"/>
      <c r="J647" s="364"/>
      <c r="K647" s="364"/>
      <c r="L647" s="364"/>
      <c r="M647" s="364"/>
      <c r="N647" s="364"/>
      <c r="O647" s="388"/>
      <c r="P647" s="364"/>
      <c r="Q647" s="364"/>
      <c r="R647" s="364"/>
      <c r="S647" s="364"/>
      <c r="T647" s="364"/>
      <c r="U647" s="364"/>
      <c r="V647" s="364"/>
      <c r="W647" s="364"/>
      <c r="X647" s="364"/>
      <c r="Y647" s="364"/>
      <c r="Z647" s="364"/>
      <c r="AA647" s="364"/>
      <c r="AB647" s="364"/>
      <c r="AC647" s="364"/>
      <c r="AD647" s="364"/>
    </row>
    <row r="648">
      <c r="A648" s="364"/>
      <c r="B648" s="364"/>
      <c r="C648" s="364"/>
      <c r="D648" s="364"/>
      <c r="E648" s="364"/>
      <c r="F648" s="364"/>
      <c r="G648" s="364"/>
      <c r="H648" s="364"/>
      <c r="I648" s="364"/>
      <c r="J648" s="364"/>
      <c r="K648" s="364"/>
      <c r="L648" s="364"/>
      <c r="M648" s="364"/>
      <c r="N648" s="364"/>
      <c r="O648" s="388"/>
      <c r="P648" s="364"/>
      <c r="Q648" s="364"/>
      <c r="R648" s="364"/>
      <c r="S648" s="364"/>
      <c r="T648" s="364"/>
      <c r="U648" s="364"/>
      <c r="V648" s="364"/>
      <c r="W648" s="364"/>
      <c r="X648" s="364"/>
      <c r="Y648" s="364"/>
      <c r="Z648" s="364"/>
      <c r="AA648" s="364"/>
      <c r="AB648" s="364"/>
      <c r="AC648" s="364"/>
      <c r="AD648" s="364"/>
    </row>
    <row r="649">
      <c r="A649" s="364"/>
      <c r="B649" s="364"/>
      <c r="C649" s="364"/>
      <c r="D649" s="364"/>
      <c r="E649" s="364"/>
      <c r="F649" s="364"/>
      <c r="G649" s="364"/>
      <c r="H649" s="364"/>
      <c r="I649" s="364"/>
      <c r="J649" s="364"/>
      <c r="K649" s="364"/>
      <c r="L649" s="364"/>
      <c r="M649" s="364"/>
      <c r="N649" s="364"/>
      <c r="O649" s="388"/>
      <c r="P649" s="364"/>
      <c r="Q649" s="364"/>
      <c r="R649" s="364"/>
      <c r="S649" s="364"/>
      <c r="T649" s="364"/>
      <c r="U649" s="364"/>
      <c r="V649" s="364"/>
      <c r="W649" s="364"/>
      <c r="X649" s="364"/>
      <c r="Y649" s="364"/>
      <c r="Z649" s="364"/>
      <c r="AA649" s="364"/>
      <c r="AB649" s="364"/>
      <c r="AC649" s="364"/>
      <c r="AD649" s="364"/>
    </row>
    <row r="650">
      <c r="A650" s="364"/>
      <c r="B650" s="364"/>
      <c r="C650" s="364"/>
      <c r="D650" s="364"/>
      <c r="E650" s="364"/>
      <c r="F650" s="364"/>
      <c r="G650" s="364"/>
      <c r="H650" s="364"/>
      <c r="I650" s="364"/>
      <c r="J650" s="364"/>
      <c r="K650" s="364"/>
      <c r="L650" s="364"/>
      <c r="M650" s="364"/>
      <c r="N650" s="364"/>
      <c r="O650" s="388"/>
      <c r="P650" s="364"/>
      <c r="Q650" s="364"/>
      <c r="R650" s="364"/>
      <c r="S650" s="364"/>
      <c r="T650" s="364"/>
      <c r="U650" s="364"/>
      <c r="V650" s="364"/>
      <c r="W650" s="364"/>
      <c r="X650" s="364"/>
      <c r="Y650" s="364"/>
      <c r="Z650" s="364"/>
      <c r="AA650" s="364"/>
      <c r="AB650" s="364"/>
      <c r="AC650" s="364"/>
      <c r="AD650" s="364"/>
    </row>
    <row r="651">
      <c r="A651" s="364"/>
      <c r="B651" s="364"/>
      <c r="C651" s="364"/>
      <c r="D651" s="364"/>
      <c r="E651" s="364"/>
      <c r="F651" s="364"/>
      <c r="G651" s="364"/>
      <c r="H651" s="364"/>
      <c r="I651" s="364"/>
      <c r="J651" s="364"/>
      <c r="K651" s="364"/>
      <c r="L651" s="364"/>
      <c r="M651" s="364"/>
      <c r="N651" s="364"/>
      <c r="O651" s="388"/>
      <c r="P651" s="364"/>
      <c r="Q651" s="364"/>
      <c r="R651" s="364"/>
      <c r="S651" s="364"/>
      <c r="T651" s="364"/>
      <c r="U651" s="364"/>
      <c r="V651" s="364"/>
      <c r="W651" s="364"/>
      <c r="X651" s="364"/>
      <c r="Y651" s="364"/>
      <c r="Z651" s="364"/>
      <c r="AA651" s="364"/>
      <c r="AB651" s="364"/>
      <c r="AC651" s="364"/>
      <c r="AD651" s="364"/>
    </row>
    <row r="652">
      <c r="A652" s="364"/>
      <c r="B652" s="364"/>
      <c r="C652" s="364"/>
      <c r="D652" s="364"/>
      <c r="E652" s="364"/>
      <c r="F652" s="364"/>
      <c r="G652" s="364"/>
      <c r="H652" s="364"/>
      <c r="I652" s="364"/>
      <c r="J652" s="364"/>
      <c r="K652" s="364"/>
      <c r="L652" s="364"/>
      <c r="M652" s="364"/>
      <c r="N652" s="364"/>
      <c r="O652" s="388"/>
      <c r="P652" s="364"/>
      <c r="Q652" s="364"/>
      <c r="R652" s="364"/>
      <c r="S652" s="364"/>
      <c r="T652" s="364"/>
      <c r="U652" s="364"/>
      <c r="V652" s="364"/>
      <c r="W652" s="364"/>
      <c r="X652" s="364"/>
      <c r="Y652" s="364"/>
      <c r="Z652" s="364"/>
      <c r="AA652" s="364"/>
      <c r="AB652" s="364"/>
      <c r="AC652" s="364"/>
      <c r="AD652" s="364"/>
    </row>
    <row r="653">
      <c r="A653" s="364"/>
      <c r="B653" s="364"/>
      <c r="C653" s="364"/>
      <c r="D653" s="364"/>
      <c r="E653" s="364"/>
      <c r="F653" s="364"/>
      <c r="G653" s="364"/>
      <c r="H653" s="364"/>
      <c r="I653" s="364"/>
      <c r="J653" s="364"/>
      <c r="K653" s="364"/>
      <c r="L653" s="364"/>
      <c r="M653" s="364"/>
      <c r="N653" s="364"/>
      <c r="O653" s="388"/>
      <c r="P653" s="364"/>
      <c r="Q653" s="364"/>
      <c r="R653" s="364"/>
      <c r="S653" s="364"/>
      <c r="T653" s="364"/>
      <c r="U653" s="364"/>
      <c r="V653" s="364"/>
      <c r="W653" s="364"/>
      <c r="X653" s="364"/>
      <c r="Y653" s="364"/>
      <c r="Z653" s="364"/>
      <c r="AA653" s="364"/>
      <c r="AB653" s="364"/>
      <c r="AC653" s="364"/>
      <c r="AD653" s="364"/>
    </row>
    <row r="654">
      <c r="A654" s="364"/>
      <c r="B654" s="364"/>
      <c r="C654" s="364"/>
      <c r="D654" s="364"/>
      <c r="E654" s="364"/>
      <c r="F654" s="364"/>
      <c r="G654" s="364"/>
      <c r="H654" s="364"/>
      <c r="I654" s="364"/>
      <c r="J654" s="364"/>
      <c r="K654" s="364"/>
      <c r="L654" s="364"/>
      <c r="M654" s="364"/>
      <c r="N654" s="364"/>
      <c r="O654" s="388"/>
      <c r="P654" s="364"/>
      <c r="Q654" s="364"/>
      <c r="R654" s="364"/>
      <c r="S654" s="364"/>
      <c r="T654" s="364"/>
      <c r="U654" s="364"/>
      <c r="V654" s="364"/>
      <c r="W654" s="364"/>
      <c r="X654" s="364"/>
      <c r="Y654" s="364"/>
      <c r="Z654" s="364"/>
      <c r="AA654" s="364"/>
      <c r="AB654" s="364"/>
      <c r="AC654" s="364"/>
      <c r="AD654" s="364"/>
    </row>
    <row r="655">
      <c r="A655" s="364"/>
      <c r="B655" s="364"/>
      <c r="C655" s="364"/>
      <c r="D655" s="364"/>
      <c r="E655" s="364"/>
      <c r="F655" s="364"/>
      <c r="G655" s="364"/>
      <c r="H655" s="364"/>
      <c r="I655" s="364"/>
      <c r="J655" s="364"/>
      <c r="K655" s="364"/>
      <c r="L655" s="364"/>
      <c r="M655" s="364"/>
      <c r="N655" s="364"/>
      <c r="O655" s="388"/>
      <c r="P655" s="364"/>
      <c r="Q655" s="364"/>
      <c r="R655" s="364"/>
      <c r="S655" s="364"/>
      <c r="T655" s="364"/>
      <c r="U655" s="364"/>
      <c r="V655" s="364"/>
      <c r="W655" s="364"/>
      <c r="X655" s="364"/>
      <c r="Y655" s="364"/>
      <c r="Z655" s="364"/>
      <c r="AA655" s="364"/>
      <c r="AB655" s="364"/>
      <c r="AC655" s="364"/>
      <c r="AD655" s="364"/>
    </row>
    <row r="656">
      <c r="A656" s="364"/>
      <c r="B656" s="364"/>
      <c r="C656" s="364"/>
      <c r="D656" s="364"/>
      <c r="E656" s="364"/>
      <c r="F656" s="364"/>
      <c r="G656" s="364"/>
      <c r="H656" s="364"/>
      <c r="I656" s="364"/>
      <c r="J656" s="364"/>
      <c r="K656" s="364"/>
      <c r="L656" s="364"/>
      <c r="M656" s="364"/>
      <c r="N656" s="364"/>
      <c r="O656" s="388"/>
      <c r="P656" s="364"/>
      <c r="Q656" s="364"/>
      <c r="R656" s="364"/>
      <c r="S656" s="364"/>
      <c r="T656" s="364"/>
      <c r="U656" s="364"/>
      <c r="V656" s="364"/>
      <c r="W656" s="364"/>
      <c r="X656" s="364"/>
      <c r="Y656" s="364"/>
      <c r="Z656" s="364"/>
      <c r="AA656" s="364"/>
      <c r="AB656" s="364"/>
      <c r="AC656" s="364"/>
      <c r="AD656" s="364"/>
    </row>
    <row r="657">
      <c r="A657" s="364"/>
      <c r="B657" s="364"/>
      <c r="C657" s="364"/>
      <c r="D657" s="364"/>
      <c r="E657" s="364"/>
      <c r="F657" s="364"/>
      <c r="G657" s="364"/>
      <c r="H657" s="364"/>
      <c r="I657" s="364"/>
      <c r="J657" s="364"/>
      <c r="K657" s="364"/>
      <c r="L657" s="364"/>
      <c r="M657" s="364"/>
      <c r="N657" s="364"/>
      <c r="O657" s="388"/>
      <c r="P657" s="364"/>
      <c r="Q657" s="364"/>
      <c r="R657" s="364"/>
      <c r="S657" s="364"/>
      <c r="T657" s="364"/>
      <c r="U657" s="364"/>
      <c r="V657" s="364"/>
      <c r="W657" s="364"/>
      <c r="X657" s="364"/>
      <c r="Y657" s="364"/>
      <c r="Z657" s="364"/>
      <c r="AA657" s="364"/>
      <c r="AB657" s="364"/>
      <c r="AC657" s="364"/>
      <c r="AD657" s="364"/>
    </row>
    <row r="658">
      <c r="A658" s="364"/>
      <c r="B658" s="364"/>
      <c r="C658" s="364"/>
      <c r="D658" s="364"/>
      <c r="E658" s="364"/>
      <c r="F658" s="364"/>
      <c r="G658" s="364"/>
      <c r="H658" s="364"/>
      <c r="I658" s="364"/>
      <c r="J658" s="364"/>
      <c r="K658" s="364"/>
      <c r="L658" s="364"/>
      <c r="M658" s="364"/>
      <c r="N658" s="364"/>
      <c r="O658" s="388"/>
      <c r="P658" s="364"/>
      <c r="Q658" s="364"/>
      <c r="R658" s="364"/>
      <c r="S658" s="364"/>
      <c r="T658" s="364"/>
      <c r="U658" s="364"/>
      <c r="V658" s="364"/>
      <c r="W658" s="364"/>
      <c r="X658" s="364"/>
      <c r="Y658" s="364"/>
      <c r="Z658" s="364"/>
      <c r="AA658" s="364"/>
      <c r="AB658" s="364"/>
      <c r="AC658" s="364"/>
      <c r="AD658" s="364"/>
    </row>
    <row r="659">
      <c r="A659" s="364"/>
      <c r="B659" s="364"/>
      <c r="C659" s="364"/>
      <c r="D659" s="364"/>
      <c r="E659" s="364"/>
      <c r="F659" s="364"/>
      <c r="G659" s="364"/>
      <c r="H659" s="364"/>
      <c r="I659" s="364"/>
      <c r="J659" s="364"/>
      <c r="K659" s="364"/>
      <c r="L659" s="364"/>
      <c r="M659" s="364"/>
      <c r="N659" s="364"/>
      <c r="O659" s="388"/>
      <c r="P659" s="364"/>
      <c r="Q659" s="364"/>
      <c r="R659" s="364"/>
      <c r="S659" s="364"/>
      <c r="T659" s="364"/>
      <c r="U659" s="364"/>
      <c r="V659" s="364"/>
      <c r="W659" s="364"/>
      <c r="X659" s="364"/>
      <c r="Y659" s="364"/>
      <c r="Z659" s="364"/>
      <c r="AA659" s="364"/>
      <c r="AB659" s="364"/>
      <c r="AC659" s="364"/>
      <c r="AD659" s="364"/>
    </row>
    <row r="660">
      <c r="A660" s="364"/>
      <c r="B660" s="364"/>
      <c r="C660" s="364"/>
      <c r="D660" s="364"/>
      <c r="E660" s="364"/>
      <c r="F660" s="364"/>
      <c r="G660" s="364"/>
      <c r="H660" s="364"/>
      <c r="I660" s="364"/>
      <c r="J660" s="364"/>
      <c r="K660" s="364"/>
      <c r="L660" s="364"/>
      <c r="M660" s="364"/>
      <c r="N660" s="364"/>
      <c r="O660" s="388"/>
      <c r="P660" s="364"/>
      <c r="Q660" s="364"/>
      <c r="R660" s="364"/>
      <c r="S660" s="364"/>
      <c r="T660" s="364"/>
      <c r="U660" s="364"/>
      <c r="V660" s="364"/>
      <c r="W660" s="364"/>
      <c r="X660" s="364"/>
      <c r="Y660" s="364"/>
      <c r="Z660" s="364"/>
      <c r="AA660" s="364"/>
      <c r="AB660" s="364"/>
      <c r="AC660" s="364"/>
      <c r="AD660" s="364"/>
    </row>
    <row r="661">
      <c r="A661" s="364"/>
      <c r="B661" s="364"/>
      <c r="C661" s="364"/>
      <c r="D661" s="364"/>
      <c r="E661" s="364"/>
      <c r="F661" s="364"/>
      <c r="G661" s="364"/>
      <c r="H661" s="364"/>
      <c r="I661" s="364"/>
      <c r="J661" s="364"/>
      <c r="K661" s="364"/>
      <c r="L661" s="364"/>
      <c r="M661" s="364"/>
      <c r="N661" s="364"/>
      <c r="O661" s="388"/>
      <c r="P661" s="364"/>
      <c r="Q661" s="364"/>
      <c r="R661" s="364"/>
      <c r="S661" s="364"/>
      <c r="T661" s="364"/>
      <c r="U661" s="364"/>
      <c r="V661" s="364"/>
      <c r="W661" s="364"/>
      <c r="X661" s="364"/>
      <c r="Y661" s="364"/>
      <c r="Z661" s="364"/>
      <c r="AA661" s="364"/>
      <c r="AB661" s="364"/>
      <c r="AC661" s="364"/>
      <c r="AD661" s="364"/>
    </row>
    <row r="662">
      <c r="A662" s="364"/>
      <c r="B662" s="364"/>
      <c r="C662" s="364"/>
      <c r="D662" s="364"/>
      <c r="E662" s="364"/>
      <c r="F662" s="364"/>
      <c r="G662" s="364"/>
      <c r="H662" s="364"/>
      <c r="I662" s="364"/>
      <c r="J662" s="364"/>
      <c r="K662" s="364"/>
      <c r="L662" s="364"/>
      <c r="M662" s="364"/>
      <c r="N662" s="364"/>
      <c r="O662" s="388"/>
      <c r="P662" s="364"/>
      <c r="Q662" s="364"/>
      <c r="R662" s="364"/>
      <c r="S662" s="364"/>
      <c r="T662" s="364"/>
      <c r="U662" s="364"/>
      <c r="V662" s="364"/>
      <c r="W662" s="364"/>
      <c r="X662" s="364"/>
      <c r="Y662" s="364"/>
      <c r="Z662" s="364"/>
      <c r="AA662" s="364"/>
      <c r="AB662" s="364"/>
      <c r="AC662" s="364"/>
      <c r="AD662" s="364"/>
    </row>
    <row r="663">
      <c r="A663" s="364"/>
      <c r="B663" s="364"/>
      <c r="C663" s="364"/>
      <c r="D663" s="364"/>
      <c r="E663" s="364"/>
      <c r="F663" s="364"/>
      <c r="G663" s="364"/>
      <c r="H663" s="364"/>
      <c r="I663" s="364"/>
      <c r="J663" s="364"/>
      <c r="K663" s="364"/>
      <c r="L663" s="364"/>
      <c r="M663" s="364"/>
      <c r="N663" s="364"/>
      <c r="O663" s="388"/>
      <c r="P663" s="364"/>
      <c r="Q663" s="364"/>
      <c r="R663" s="364"/>
      <c r="S663" s="364"/>
      <c r="T663" s="364"/>
      <c r="U663" s="364"/>
      <c r="V663" s="364"/>
      <c r="W663" s="364"/>
      <c r="X663" s="364"/>
      <c r="Y663" s="364"/>
      <c r="Z663" s="364"/>
      <c r="AA663" s="364"/>
      <c r="AB663" s="364"/>
      <c r="AC663" s="364"/>
      <c r="AD663" s="364"/>
    </row>
    <row r="664">
      <c r="A664" s="364"/>
      <c r="B664" s="364"/>
      <c r="C664" s="364"/>
      <c r="D664" s="364"/>
      <c r="E664" s="364"/>
      <c r="F664" s="364"/>
      <c r="G664" s="364"/>
      <c r="H664" s="364"/>
      <c r="I664" s="364"/>
      <c r="J664" s="364"/>
      <c r="K664" s="364"/>
      <c r="L664" s="364"/>
      <c r="M664" s="364"/>
      <c r="N664" s="364"/>
      <c r="O664" s="388"/>
      <c r="P664" s="364"/>
      <c r="Q664" s="364"/>
      <c r="R664" s="364"/>
      <c r="S664" s="364"/>
      <c r="T664" s="364"/>
      <c r="U664" s="364"/>
      <c r="V664" s="364"/>
      <c r="W664" s="364"/>
      <c r="X664" s="364"/>
      <c r="Y664" s="364"/>
      <c r="Z664" s="364"/>
      <c r="AA664" s="364"/>
      <c r="AB664" s="364"/>
      <c r="AC664" s="364"/>
      <c r="AD664" s="364"/>
    </row>
    <row r="665">
      <c r="A665" s="364"/>
      <c r="B665" s="364"/>
      <c r="C665" s="364"/>
      <c r="D665" s="364"/>
      <c r="E665" s="364"/>
      <c r="F665" s="364"/>
      <c r="G665" s="364"/>
      <c r="H665" s="364"/>
      <c r="I665" s="364"/>
      <c r="J665" s="364"/>
      <c r="K665" s="364"/>
      <c r="L665" s="364"/>
      <c r="M665" s="364"/>
      <c r="N665" s="364"/>
      <c r="O665" s="388"/>
      <c r="P665" s="364"/>
      <c r="Q665" s="364"/>
      <c r="R665" s="364"/>
      <c r="S665" s="364"/>
      <c r="T665" s="364"/>
      <c r="U665" s="364"/>
      <c r="V665" s="364"/>
      <c r="W665" s="364"/>
      <c r="X665" s="364"/>
      <c r="Y665" s="364"/>
      <c r="Z665" s="364"/>
      <c r="AA665" s="364"/>
      <c r="AB665" s="364"/>
      <c r="AC665" s="364"/>
      <c r="AD665" s="364"/>
    </row>
    <row r="666">
      <c r="A666" s="364"/>
      <c r="B666" s="364"/>
      <c r="C666" s="364"/>
      <c r="D666" s="364"/>
      <c r="E666" s="364"/>
      <c r="F666" s="364"/>
      <c r="G666" s="364"/>
      <c r="H666" s="364"/>
      <c r="I666" s="364"/>
      <c r="J666" s="364"/>
      <c r="K666" s="364"/>
      <c r="L666" s="364"/>
      <c r="M666" s="364"/>
      <c r="N666" s="364"/>
      <c r="O666" s="388"/>
      <c r="P666" s="364"/>
      <c r="Q666" s="364"/>
      <c r="R666" s="364"/>
      <c r="S666" s="364"/>
      <c r="T666" s="364"/>
      <c r="U666" s="364"/>
      <c r="V666" s="364"/>
      <c r="W666" s="364"/>
      <c r="X666" s="364"/>
      <c r="Y666" s="364"/>
      <c r="Z666" s="364"/>
      <c r="AA666" s="364"/>
      <c r="AB666" s="364"/>
      <c r="AC666" s="364"/>
      <c r="AD666" s="364"/>
    </row>
    <row r="667">
      <c r="A667" s="364"/>
      <c r="B667" s="364"/>
      <c r="C667" s="364"/>
      <c r="D667" s="364"/>
      <c r="E667" s="364"/>
      <c r="F667" s="364"/>
      <c r="G667" s="364"/>
      <c r="H667" s="364"/>
      <c r="I667" s="364"/>
      <c r="J667" s="364"/>
      <c r="K667" s="364"/>
      <c r="L667" s="364"/>
      <c r="M667" s="364"/>
      <c r="N667" s="364"/>
      <c r="O667" s="388"/>
      <c r="P667" s="364"/>
      <c r="Q667" s="364"/>
      <c r="R667" s="364"/>
      <c r="S667" s="364"/>
      <c r="T667" s="364"/>
      <c r="U667" s="364"/>
      <c r="V667" s="364"/>
      <c r="W667" s="364"/>
      <c r="X667" s="364"/>
      <c r="Y667" s="364"/>
      <c r="Z667" s="364"/>
      <c r="AA667" s="364"/>
      <c r="AB667" s="364"/>
      <c r="AC667" s="364"/>
      <c r="AD667" s="364"/>
    </row>
    <row r="668">
      <c r="A668" s="364"/>
      <c r="B668" s="364"/>
      <c r="C668" s="364"/>
      <c r="D668" s="364"/>
      <c r="E668" s="364"/>
      <c r="F668" s="364"/>
      <c r="G668" s="364"/>
      <c r="H668" s="364"/>
      <c r="I668" s="364"/>
      <c r="J668" s="364"/>
      <c r="K668" s="364"/>
      <c r="L668" s="364"/>
      <c r="M668" s="364"/>
      <c r="N668" s="364"/>
      <c r="O668" s="388"/>
      <c r="P668" s="364"/>
      <c r="Q668" s="364"/>
      <c r="R668" s="364"/>
      <c r="S668" s="364"/>
      <c r="T668" s="364"/>
      <c r="U668" s="364"/>
      <c r="V668" s="364"/>
      <c r="W668" s="364"/>
      <c r="X668" s="364"/>
      <c r="Y668" s="364"/>
      <c r="Z668" s="364"/>
      <c r="AA668" s="364"/>
      <c r="AB668" s="364"/>
      <c r="AC668" s="364"/>
      <c r="AD668" s="364"/>
    </row>
    <row r="669">
      <c r="A669" s="364"/>
      <c r="B669" s="364"/>
      <c r="C669" s="364"/>
      <c r="D669" s="364"/>
      <c r="E669" s="364"/>
      <c r="F669" s="364"/>
      <c r="G669" s="364"/>
      <c r="H669" s="364"/>
      <c r="I669" s="364"/>
      <c r="J669" s="364"/>
      <c r="K669" s="364"/>
      <c r="L669" s="364"/>
      <c r="M669" s="364"/>
      <c r="N669" s="364"/>
      <c r="O669" s="388"/>
      <c r="P669" s="364"/>
      <c r="Q669" s="364"/>
      <c r="R669" s="364"/>
      <c r="S669" s="364"/>
      <c r="T669" s="364"/>
      <c r="U669" s="364"/>
      <c r="V669" s="364"/>
      <c r="W669" s="364"/>
      <c r="X669" s="364"/>
      <c r="Y669" s="364"/>
      <c r="Z669" s="364"/>
      <c r="AA669" s="364"/>
      <c r="AB669" s="364"/>
      <c r="AC669" s="364"/>
      <c r="AD669" s="364"/>
    </row>
    <row r="670">
      <c r="A670" s="364"/>
      <c r="B670" s="364"/>
      <c r="C670" s="364"/>
      <c r="D670" s="364"/>
      <c r="E670" s="364"/>
      <c r="F670" s="364"/>
      <c r="G670" s="364"/>
      <c r="H670" s="364"/>
      <c r="I670" s="364"/>
      <c r="J670" s="364"/>
      <c r="K670" s="364"/>
      <c r="L670" s="364"/>
      <c r="M670" s="364"/>
      <c r="N670" s="364"/>
      <c r="O670" s="388"/>
      <c r="P670" s="364"/>
      <c r="Q670" s="364"/>
      <c r="R670" s="364"/>
      <c r="S670" s="364"/>
      <c r="T670" s="364"/>
      <c r="U670" s="364"/>
      <c r="V670" s="364"/>
      <c r="W670" s="364"/>
      <c r="X670" s="364"/>
      <c r="Y670" s="364"/>
      <c r="Z670" s="364"/>
      <c r="AA670" s="364"/>
      <c r="AB670" s="364"/>
      <c r="AC670" s="364"/>
      <c r="AD670" s="364"/>
    </row>
    <row r="671">
      <c r="A671" s="364"/>
      <c r="B671" s="364"/>
      <c r="C671" s="364"/>
      <c r="D671" s="364"/>
      <c r="E671" s="364"/>
      <c r="F671" s="364"/>
      <c r="G671" s="364"/>
      <c r="H671" s="364"/>
      <c r="I671" s="364"/>
      <c r="J671" s="364"/>
      <c r="K671" s="364"/>
      <c r="L671" s="364"/>
      <c r="M671" s="364"/>
      <c r="N671" s="364"/>
      <c r="O671" s="388"/>
      <c r="P671" s="364"/>
      <c r="Q671" s="364"/>
      <c r="R671" s="364"/>
      <c r="S671" s="364"/>
      <c r="T671" s="364"/>
      <c r="U671" s="364"/>
      <c r="V671" s="364"/>
      <c r="W671" s="364"/>
      <c r="X671" s="364"/>
      <c r="Y671" s="364"/>
      <c r="Z671" s="364"/>
      <c r="AA671" s="364"/>
      <c r="AB671" s="364"/>
      <c r="AC671" s="364"/>
      <c r="AD671" s="364"/>
    </row>
    <row r="672">
      <c r="A672" s="364"/>
      <c r="B672" s="364"/>
      <c r="C672" s="364"/>
      <c r="D672" s="364"/>
      <c r="E672" s="364"/>
      <c r="F672" s="364"/>
      <c r="G672" s="364"/>
      <c r="H672" s="364"/>
      <c r="I672" s="364"/>
      <c r="J672" s="364"/>
      <c r="K672" s="364"/>
      <c r="L672" s="364"/>
      <c r="M672" s="364"/>
      <c r="N672" s="364"/>
      <c r="O672" s="388"/>
      <c r="P672" s="364"/>
      <c r="Q672" s="364"/>
      <c r="R672" s="364"/>
      <c r="S672" s="364"/>
      <c r="T672" s="364"/>
      <c r="U672" s="364"/>
      <c r="V672" s="364"/>
      <c r="W672" s="364"/>
      <c r="X672" s="364"/>
      <c r="Y672" s="364"/>
      <c r="Z672" s="364"/>
      <c r="AA672" s="364"/>
      <c r="AB672" s="364"/>
      <c r="AC672" s="364"/>
      <c r="AD672" s="364"/>
    </row>
    <row r="673">
      <c r="A673" s="364"/>
      <c r="B673" s="364"/>
      <c r="C673" s="364"/>
      <c r="D673" s="364"/>
      <c r="E673" s="364"/>
      <c r="F673" s="364"/>
      <c r="G673" s="364"/>
      <c r="H673" s="364"/>
      <c r="I673" s="364"/>
      <c r="J673" s="364"/>
      <c r="K673" s="364"/>
      <c r="L673" s="364"/>
      <c r="M673" s="364"/>
      <c r="N673" s="364"/>
      <c r="O673" s="388"/>
      <c r="P673" s="364"/>
      <c r="Q673" s="364"/>
      <c r="R673" s="364"/>
      <c r="S673" s="364"/>
      <c r="T673" s="364"/>
      <c r="U673" s="364"/>
      <c r="V673" s="364"/>
      <c r="W673" s="364"/>
      <c r="X673" s="364"/>
      <c r="Y673" s="364"/>
      <c r="Z673" s="364"/>
      <c r="AA673" s="364"/>
      <c r="AB673" s="364"/>
      <c r="AC673" s="364"/>
      <c r="AD673" s="364"/>
    </row>
    <row r="674">
      <c r="A674" s="364"/>
      <c r="B674" s="364"/>
      <c r="C674" s="364"/>
      <c r="D674" s="364"/>
      <c r="E674" s="364"/>
      <c r="F674" s="364"/>
      <c r="G674" s="364"/>
      <c r="H674" s="364"/>
      <c r="I674" s="364"/>
      <c r="J674" s="364"/>
      <c r="K674" s="364"/>
      <c r="L674" s="364"/>
      <c r="M674" s="364"/>
      <c r="N674" s="364"/>
      <c r="O674" s="388"/>
      <c r="P674" s="364"/>
      <c r="Q674" s="364"/>
      <c r="R674" s="364"/>
      <c r="S674" s="364"/>
      <c r="T674" s="364"/>
      <c r="U674" s="364"/>
      <c r="V674" s="364"/>
      <c r="W674" s="364"/>
      <c r="X674" s="364"/>
      <c r="Y674" s="364"/>
      <c r="Z674" s="364"/>
      <c r="AA674" s="364"/>
      <c r="AB674" s="364"/>
      <c r="AC674" s="364"/>
      <c r="AD674" s="364"/>
    </row>
    <row r="675">
      <c r="A675" s="364"/>
      <c r="B675" s="364"/>
      <c r="C675" s="364"/>
      <c r="D675" s="364"/>
      <c r="E675" s="364"/>
      <c r="F675" s="364"/>
      <c r="G675" s="364"/>
      <c r="H675" s="364"/>
      <c r="I675" s="364"/>
      <c r="J675" s="364"/>
      <c r="K675" s="364"/>
      <c r="L675" s="364"/>
      <c r="M675" s="364"/>
      <c r="N675" s="364"/>
      <c r="O675" s="388"/>
      <c r="P675" s="364"/>
      <c r="Q675" s="364"/>
      <c r="R675" s="364"/>
      <c r="S675" s="364"/>
      <c r="T675" s="364"/>
      <c r="U675" s="364"/>
      <c r="V675" s="364"/>
      <c r="W675" s="364"/>
      <c r="X675" s="364"/>
      <c r="Y675" s="364"/>
      <c r="Z675" s="364"/>
      <c r="AA675" s="364"/>
      <c r="AB675" s="364"/>
      <c r="AC675" s="364"/>
      <c r="AD675" s="364"/>
    </row>
    <row r="676">
      <c r="A676" s="364"/>
      <c r="B676" s="364"/>
      <c r="C676" s="364"/>
      <c r="D676" s="364"/>
      <c r="E676" s="364"/>
      <c r="F676" s="364"/>
      <c r="G676" s="364"/>
      <c r="H676" s="364"/>
      <c r="I676" s="364"/>
      <c r="J676" s="364"/>
      <c r="K676" s="364"/>
      <c r="L676" s="364"/>
      <c r="M676" s="364"/>
      <c r="N676" s="364"/>
      <c r="O676" s="388"/>
      <c r="P676" s="364"/>
      <c r="Q676" s="364"/>
      <c r="R676" s="364"/>
      <c r="S676" s="364"/>
      <c r="T676" s="364"/>
      <c r="U676" s="364"/>
      <c r="V676" s="364"/>
      <c r="W676" s="364"/>
      <c r="X676" s="364"/>
      <c r="Y676" s="364"/>
      <c r="Z676" s="364"/>
      <c r="AA676" s="364"/>
      <c r="AB676" s="364"/>
      <c r="AC676" s="364"/>
      <c r="AD676" s="364"/>
    </row>
    <row r="677">
      <c r="A677" s="364"/>
      <c r="B677" s="364"/>
      <c r="C677" s="364"/>
      <c r="D677" s="364"/>
      <c r="E677" s="364"/>
      <c r="F677" s="364"/>
      <c r="G677" s="364"/>
      <c r="H677" s="364"/>
      <c r="I677" s="364"/>
      <c r="J677" s="364"/>
      <c r="K677" s="364"/>
      <c r="L677" s="364"/>
      <c r="M677" s="364"/>
      <c r="N677" s="364"/>
      <c r="O677" s="388"/>
      <c r="P677" s="364"/>
      <c r="Q677" s="364"/>
      <c r="R677" s="364"/>
      <c r="S677" s="364"/>
      <c r="T677" s="364"/>
      <c r="U677" s="364"/>
      <c r="V677" s="364"/>
      <c r="W677" s="364"/>
      <c r="X677" s="364"/>
      <c r="Y677" s="364"/>
      <c r="Z677" s="364"/>
      <c r="AA677" s="364"/>
      <c r="AB677" s="364"/>
      <c r="AC677" s="364"/>
      <c r="AD677" s="364"/>
    </row>
    <row r="678">
      <c r="A678" s="364"/>
      <c r="B678" s="364"/>
      <c r="C678" s="364"/>
      <c r="D678" s="364"/>
      <c r="E678" s="364"/>
      <c r="F678" s="364"/>
      <c r="G678" s="364"/>
      <c r="H678" s="364"/>
      <c r="I678" s="364"/>
      <c r="J678" s="364"/>
      <c r="K678" s="364"/>
      <c r="L678" s="364"/>
      <c r="M678" s="364"/>
      <c r="N678" s="364"/>
      <c r="O678" s="388"/>
      <c r="P678" s="364"/>
      <c r="Q678" s="364"/>
      <c r="R678" s="364"/>
      <c r="S678" s="364"/>
      <c r="T678" s="364"/>
      <c r="U678" s="364"/>
      <c r="V678" s="364"/>
      <c r="W678" s="364"/>
      <c r="X678" s="364"/>
      <c r="Y678" s="364"/>
      <c r="Z678" s="364"/>
      <c r="AA678" s="364"/>
      <c r="AB678" s="364"/>
      <c r="AC678" s="364"/>
      <c r="AD678" s="364"/>
    </row>
    <row r="679">
      <c r="A679" s="364"/>
      <c r="B679" s="364"/>
      <c r="C679" s="364"/>
      <c r="D679" s="364"/>
      <c r="E679" s="364"/>
      <c r="F679" s="364"/>
      <c r="G679" s="364"/>
      <c r="H679" s="364"/>
      <c r="I679" s="364"/>
      <c r="J679" s="364"/>
      <c r="K679" s="364"/>
      <c r="L679" s="364"/>
      <c r="M679" s="364"/>
      <c r="N679" s="364"/>
      <c r="O679" s="388"/>
      <c r="P679" s="364"/>
      <c r="Q679" s="364"/>
      <c r="R679" s="364"/>
      <c r="S679" s="364"/>
      <c r="T679" s="364"/>
      <c r="U679" s="364"/>
      <c r="V679" s="364"/>
      <c r="W679" s="364"/>
      <c r="X679" s="364"/>
      <c r="Y679" s="364"/>
      <c r="Z679" s="364"/>
      <c r="AA679" s="364"/>
      <c r="AB679" s="364"/>
      <c r="AC679" s="364"/>
      <c r="AD679" s="364"/>
    </row>
    <row r="680">
      <c r="A680" s="364"/>
      <c r="B680" s="364"/>
      <c r="C680" s="364"/>
      <c r="D680" s="364"/>
      <c r="E680" s="364"/>
      <c r="F680" s="364"/>
      <c r="G680" s="364"/>
      <c r="H680" s="364"/>
      <c r="I680" s="364"/>
      <c r="J680" s="364"/>
      <c r="K680" s="364"/>
      <c r="L680" s="364"/>
      <c r="M680" s="364"/>
      <c r="N680" s="364"/>
      <c r="O680" s="388"/>
      <c r="P680" s="364"/>
      <c r="Q680" s="364"/>
      <c r="R680" s="364"/>
      <c r="S680" s="364"/>
      <c r="T680" s="364"/>
      <c r="U680" s="364"/>
      <c r="V680" s="364"/>
      <c r="W680" s="364"/>
      <c r="X680" s="364"/>
      <c r="Y680" s="364"/>
      <c r="Z680" s="364"/>
      <c r="AA680" s="364"/>
      <c r="AB680" s="364"/>
      <c r="AC680" s="364"/>
      <c r="AD680" s="364"/>
    </row>
    <row r="681">
      <c r="A681" s="364"/>
      <c r="B681" s="364"/>
      <c r="C681" s="364"/>
      <c r="D681" s="364"/>
      <c r="E681" s="364"/>
      <c r="F681" s="364"/>
      <c r="G681" s="364"/>
      <c r="H681" s="364"/>
      <c r="I681" s="364"/>
      <c r="J681" s="364"/>
      <c r="K681" s="364"/>
      <c r="L681" s="364"/>
      <c r="M681" s="364"/>
      <c r="N681" s="364"/>
      <c r="O681" s="388"/>
      <c r="P681" s="364"/>
      <c r="Q681" s="364"/>
      <c r="R681" s="364"/>
      <c r="S681" s="364"/>
      <c r="T681" s="364"/>
      <c r="U681" s="364"/>
      <c r="V681" s="364"/>
      <c r="W681" s="364"/>
      <c r="X681" s="364"/>
      <c r="Y681" s="364"/>
      <c r="Z681" s="364"/>
      <c r="AA681" s="364"/>
      <c r="AB681" s="364"/>
      <c r="AC681" s="364"/>
      <c r="AD681" s="364"/>
    </row>
    <row r="682">
      <c r="A682" s="364"/>
      <c r="B682" s="364"/>
      <c r="C682" s="364"/>
      <c r="D682" s="364"/>
      <c r="E682" s="364"/>
      <c r="F682" s="364"/>
      <c r="G682" s="364"/>
      <c r="H682" s="364"/>
      <c r="I682" s="364"/>
      <c r="J682" s="364"/>
      <c r="K682" s="364"/>
      <c r="L682" s="364"/>
      <c r="M682" s="364"/>
      <c r="N682" s="364"/>
      <c r="O682" s="388"/>
      <c r="P682" s="364"/>
      <c r="Q682" s="364"/>
      <c r="R682" s="364"/>
      <c r="S682" s="364"/>
      <c r="T682" s="364"/>
      <c r="U682" s="364"/>
      <c r="V682" s="364"/>
      <c r="W682" s="364"/>
      <c r="X682" s="364"/>
      <c r="Y682" s="364"/>
      <c r="Z682" s="364"/>
      <c r="AA682" s="364"/>
      <c r="AB682" s="364"/>
      <c r="AC682" s="364"/>
      <c r="AD682" s="364"/>
    </row>
    <row r="683">
      <c r="A683" s="364"/>
      <c r="B683" s="364"/>
      <c r="C683" s="364"/>
      <c r="D683" s="364"/>
      <c r="E683" s="364"/>
      <c r="F683" s="364"/>
      <c r="G683" s="364"/>
      <c r="H683" s="364"/>
      <c r="I683" s="364"/>
      <c r="J683" s="364"/>
      <c r="K683" s="364"/>
      <c r="L683" s="364"/>
      <c r="M683" s="364"/>
      <c r="N683" s="364"/>
      <c r="O683" s="388"/>
      <c r="P683" s="364"/>
      <c r="Q683" s="364"/>
      <c r="R683" s="364"/>
      <c r="S683" s="364"/>
      <c r="T683" s="364"/>
      <c r="U683" s="364"/>
      <c r="V683" s="364"/>
      <c r="W683" s="364"/>
      <c r="X683" s="364"/>
      <c r="Y683" s="364"/>
      <c r="Z683" s="364"/>
      <c r="AA683" s="364"/>
      <c r="AB683" s="364"/>
      <c r="AC683" s="364"/>
      <c r="AD683" s="364"/>
    </row>
    <row r="684">
      <c r="A684" s="364"/>
      <c r="B684" s="364"/>
      <c r="C684" s="364"/>
      <c r="D684" s="364"/>
      <c r="E684" s="364"/>
      <c r="F684" s="364"/>
      <c r="G684" s="364"/>
      <c r="H684" s="364"/>
      <c r="I684" s="364"/>
      <c r="J684" s="364"/>
      <c r="K684" s="364"/>
      <c r="L684" s="364"/>
      <c r="M684" s="364"/>
      <c r="N684" s="364"/>
      <c r="O684" s="388"/>
      <c r="P684" s="364"/>
      <c r="Q684" s="364"/>
      <c r="R684" s="364"/>
      <c r="S684" s="364"/>
      <c r="T684" s="364"/>
      <c r="U684" s="364"/>
      <c r="V684" s="364"/>
      <c r="W684" s="364"/>
      <c r="X684" s="364"/>
      <c r="Y684" s="364"/>
      <c r="Z684" s="364"/>
      <c r="AA684" s="364"/>
      <c r="AB684" s="364"/>
      <c r="AC684" s="364"/>
      <c r="AD684" s="364"/>
    </row>
    <row r="685">
      <c r="A685" s="364"/>
      <c r="B685" s="364"/>
      <c r="C685" s="364"/>
      <c r="D685" s="364"/>
      <c r="E685" s="364"/>
      <c r="F685" s="364"/>
      <c r="G685" s="364"/>
      <c r="H685" s="364"/>
      <c r="I685" s="364"/>
      <c r="J685" s="364"/>
      <c r="K685" s="364"/>
      <c r="L685" s="364"/>
      <c r="M685" s="364"/>
      <c r="N685" s="364"/>
      <c r="O685" s="388"/>
      <c r="P685" s="364"/>
      <c r="Q685" s="364"/>
      <c r="R685" s="364"/>
      <c r="S685" s="364"/>
      <c r="T685" s="364"/>
      <c r="U685" s="364"/>
      <c r="V685" s="364"/>
      <c r="W685" s="364"/>
      <c r="X685" s="364"/>
      <c r="Y685" s="364"/>
      <c r="Z685" s="364"/>
      <c r="AA685" s="364"/>
      <c r="AB685" s="364"/>
      <c r="AC685" s="364"/>
      <c r="AD685" s="364"/>
    </row>
    <row r="686">
      <c r="A686" s="364"/>
      <c r="B686" s="364"/>
      <c r="C686" s="364"/>
      <c r="D686" s="364"/>
      <c r="E686" s="364"/>
      <c r="F686" s="364"/>
      <c r="G686" s="364"/>
      <c r="H686" s="364"/>
      <c r="I686" s="364"/>
      <c r="J686" s="364"/>
      <c r="K686" s="364"/>
      <c r="L686" s="364"/>
      <c r="M686" s="364"/>
      <c r="N686" s="364"/>
      <c r="O686" s="388"/>
      <c r="P686" s="364"/>
      <c r="Q686" s="364"/>
      <c r="R686" s="364"/>
      <c r="S686" s="364"/>
      <c r="T686" s="364"/>
      <c r="U686" s="364"/>
      <c r="V686" s="364"/>
      <c r="W686" s="364"/>
      <c r="X686" s="364"/>
      <c r="Y686" s="364"/>
      <c r="Z686" s="364"/>
      <c r="AA686" s="364"/>
      <c r="AB686" s="364"/>
      <c r="AC686" s="364"/>
      <c r="AD686" s="364"/>
    </row>
    <row r="687">
      <c r="A687" s="364"/>
      <c r="B687" s="364"/>
      <c r="C687" s="364"/>
      <c r="D687" s="364"/>
      <c r="E687" s="364"/>
      <c r="F687" s="364"/>
      <c r="G687" s="364"/>
      <c r="H687" s="364"/>
      <c r="I687" s="364"/>
      <c r="J687" s="364"/>
      <c r="K687" s="364"/>
      <c r="L687" s="364"/>
      <c r="M687" s="364"/>
      <c r="N687" s="364"/>
      <c r="O687" s="388"/>
      <c r="P687" s="364"/>
      <c r="Q687" s="364"/>
      <c r="R687" s="364"/>
      <c r="S687" s="364"/>
      <c r="T687" s="364"/>
      <c r="U687" s="364"/>
      <c r="V687" s="364"/>
      <c r="W687" s="364"/>
      <c r="X687" s="364"/>
      <c r="Y687" s="364"/>
      <c r="Z687" s="364"/>
      <c r="AA687" s="364"/>
      <c r="AB687" s="364"/>
      <c r="AC687" s="364"/>
      <c r="AD687" s="364"/>
    </row>
    <row r="688">
      <c r="A688" s="364"/>
      <c r="B688" s="364"/>
      <c r="C688" s="364"/>
      <c r="D688" s="364"/>
      <c r="E688" s="364"/>
      <c r="F688" s="364"/>
      <c r="G688" s="364"/>
      <c r="H688" s="364"/>
      <c r="I688" s="364"/>
      <c r="J688" s="364"/>
      <c r="K688" s="364"/>
      <c r="L688" s="364"/>
      <c r="M688" s="364"/>
      <c r="N688" s="364"/>
      <c r="O688" s="388"/>
      <c r="P688" s="364"/>
      <c r="Q688" s="364"/>
      <c r="R688" s="364"/>
      <c r="S688" s="364"/>
      <c r="T688" s="364"/>
      <c r="U688" s="364"/>
      <c r="V688" s="364"/>
      <c r="W688" s="364"/>
      <c r="X688" s="364"/>
      <c r="Y688" s="364"/>
      <c r="Z688" s="364"/>
      <c r="AA688" s="364"/>
      <c r="AB688" s="364"/>
      <c r="AC688" s="364"/>
      <c r="AD688" s="364"/>
    </row>
    <row r="689">
      <c r="A689" s="364"/>
      <c r="B689" s="364"/>
      <c r="C689" s="364"/>
      <c r="D689" s="364"/>
      <c r="E689" s="364"/>
      <c r="F689" s="364"/>
      <c r="G689" s="364"/>
      <c r="H689" s="364"/>
      <c r="I689" s="364"/>
      <c r="J689" s="364"/>
      <c r="K689" s="364"/>
      <c r="L689" s="364"/>
      <c r="M689" s="364"/>
      <c r="N689" s="364"/>
      <c r="O689" s="388"/>
      <c r="P689" s="364"/>
      <c r="Q689" s="364"/>
      <c r="R689" s="364"/>
      <c r="S689" s="364"/>
      <c r="T689" s="364"/>
      <c r="U689" s="364"/>
      <c r="V689" s="364"/>
      <c r="W689" s="364"/>
      <c r="X689" s="364"/>
      <c r="Y689" s="364"/>
      <c r="Z689" s="364"/>
      <c r="AA689" s="364"/>
      <c r="AB689" s="364"/>
      <c r="AC689" s="364"/>
      <c r="AD689" s="364"/>
    </row>
    <row r="690">
      <c r="A690" s="364"/>
      <c r="B690" s="364"/>
      <c r="C690" s="364"/>
      <c r="D690" s="364"/>
      <c r="E690" s="364"/>
      <c r="F690" s="364"/>
      <c r="G690" s="364"/>
      <c r="H690" s="364"/>
      <c r="I690" s="364"/>
      <c r="J690" s="364"/>
      <c r="K690" s="364"/>
      <c r="L690" s="364"/>
      <c r="M690" s="364"/>
      <c r="N690" s="364"/>
      <c r="O690" s="388"/>
      <c r="P690" s="364"/>
      <c r="Q690" s="364"/>
      <c r="R690" s="364"/>
      <c r="S690" s="364"/>
      <c r="T690" s="364"/>
      <c r="U690" s="364"/>
      <c r="V690" s="364"/>
      <c r="W690" s="364"/>
      <c r="X690" s="364"/>
      <c r="Y690" s="364"/>
      <c r="Z690" s="364"/>
      <c r="AA690" s="364"/>
      <c r="AB690" s="364"/>
      <c r="AC690" s="364"/>
      <c r="AD690" s="364"/>
    </row>
    <row r="691">
      <c r="A691" s="364"/>
      <c r="B691" s="364"/>
      <c r="C691" s="364"/>
      <c r="D691" s="364"/>
      <c r="E691" s="364"/>
      <c r="F691" s="364"/>
      <c r="G691" s="364"/>
      <c r="H691" s="364"/>
      <c r="I691" s="364"/>
      <c r="J691" s="364"/>
      <c r="K691" s="364"/>
      <c r="L691" s="364"/>
      <c r="M691" s="364"/>
      <c r="N691" s="364"/>
      <c r="O691" s="388"/>
      <c r="P691" s="364"/>
      <c r="Q691" s="364"/>
      <c r="R691" s="364"/>
      <c r="S691" s="364"/>
      <c r="T691" s="364"/>
      <c r="U691" s="364"/>
      <c r="V691" s="364"/>
      <c r="W691" s="364"/>
      <c r="X691" s="364"/>
      <c r="Y691" s="364"/>
      <c r="Z691" s="364"/>
      <c r="AA691" s="364"/>
      <c r="AB691" s="364"/>
      <c r="AC691" s="364"/>
      <c r="AD691" s="364"/>
    </row>
    <row r="692">
      <c r="A692" s="364"/>
      <c r="B692" s="364"/>
      <c r="C692" s="364"/>
      <c r="D692" s="364"/>
      <c r="E692" s="364"/>
      <c r="F692" s="364"/>
      <c r="G692" s="364"/>
      <c r="H692" s="364"/>
      <c r="I692" s="364"/>
      <c r="J692" s="364"/>
      <c r="K692" s="364"/>
      <c r="L692" s="364"/>
      <c r="M692" s="364"/>
      <c r="N692" s="364"/>
      <c r="O692" s="388"/>
      <c r="P692" s="364"/>
      <c r="Q692" s="364"/>
      <c r="R692" s="364"/>
      <c r="S692" s="364"/>
      <c r="T692" s="364"/>
      <c r="U692" s="364"/>
      <c r="V692" s="364"/>
      <c r="W692" s="364"/>
      <c r="X692" s="364"/>
      <c r="Y692" s="364"/>
      <c r="Z692" s="364"/>
      <c r="AA692" s="364"/>
      <c r="AB692" s="364"/>
      <c r="AC692" s="364"/>
      <c r="AD692" s="364"/>
    </row>
    <row r="693">
      <c r="A693" s="364"/>
      <c r="B693" s="364"/>
      <c r="C693" s="364"/>
      <c r="D693" s="364"/>
      <c r="E693" s="364"/>
      <c r="F693" s="364"/>
      <c r="G693" s="364"/>
      <c r="H693" s="364"/>
      <c r="I693" s="364"/>
      <c r="J693" s="364"/>
      <c r="K693" s="364"/>
      <c r="L693" s="364"/>
      <c r="M693" s="364"/>
      <c r="N693" s="364"/>
      <c r="O693" s="388"/>
      <c r="P693" s="364"/>
      <c r="Q693" s="364"/>
      <c r="R693" s="364"/>
      <c r="S693" s="364"/>
      <c r="T693" s="364"/>
      <c r="U693" s="364"/>
      <c r="V693" s="364"/>
      <c r="W693" s="364"/>
      <c r="X693" s="364"/>
      <c r="Y693" s="364"/>
      <c r="Z693" s="364"/>
      <c r="AA693" s="364"/>
      <c r="AB693" s="364"/>
      <c r="AC693" s="364"/>
      <c r="AD693" s="364"/>
    </row>
    <row r="694">
      <c r="A694" s="364"/>
      <c r="B694" s="364"/>
      <c r="C694" s="364"/>
      <c r="D694" s="364"/>
      <c r="E694" s="364"/>
      <c r="F694" s="364"/>
      <c r="G694" s="364"/>
      <c r="H694" s="364"/>
      <c r="I694" s="364"/>
      <c r="J694" s="364"/>
      <c r="K694" s="364"/>
      <c r="L694" s="364"/>
      <c r="M694" s="364"/>
      <c r="N694" s="364"/>
      <c r="O694" s="388"/>
      <c r="P694" s="364"/>
      <c r="Q694" s="364"/>
      <c r="R694" s="364"/>
      <c r="S694" s="364"/>
      <c r="T694" s="364"/>
      <c r="U694" s="364"/>
      <c r="V694" s="364"/>
      <c r="W694" s="364"/>
      <c r="X694" s="364"/>
      <c r="Y694" s="364"/>
      <c r="Z694" s="364"/>
      <c r="AA694" s="364"/>
      <c r="AB694" s="364"/>
      <c r="AC694" s="364"/>
      <c r="AD694" s="364"/>
    </row>
    <row r="695">
      <c r="A695" s="364"/>
      <c r="B695" s="364"/>
      <c r="C695" s="364"/>
      <c r="D695" s="364"/>
      <c r="E695" s="364"/>
      <c r="F695" s="364"/>
      <c r="G695" s="364"/>
      <c r="H695" s="364"/>
      <c r="I695" s="364"/>
      <c r="J695" s="364"/>
      <c r="K695" s="364"/>
      <c r="L695" s="364"/>
      <c r="M695" s="364"/>
      <c r="N695" s="364"/>
      <c r="O695" s="388"/>
      <c r="P695" s="364"/>
      <c r="Q695" s="364"/>
      <c r="R695" s="364"/>
      <c r="S695" s="364"/>
      <c r="T695" s="364"/>
      <c r="U695" s="364"/>
      <c r="V695" s="364"/>
      <c r="W695" s="364"/>
      <c r="X695" s="364"/>
      <c r="Y695" s="364"/>
      <c r="Z695" s="364"/>
      <c r="AA695" s="364"/>
      <c r="AB695" s="364"/>
      <c r="AC695" s="364"/>
      <c r="AD695" s="364"/>
    </row>
    <row r="696">
      <c r="A696" s="364"/>
      <c r="B696" s="364"/>
      <c r="C696" s="364"/>
      <c r="D696" s="364"/>
      <c r="E696" s="364"/>
      <c r="F696" s="364"/>
      <c r="G696" s="364"/>
      <c r="H696" s="364"/>
      <c r="I696" s="364"/>
      <c r="J696" s="364"/>
      <c r="K696" s="364"/>
      <c r="L696" s="364"/>
      <c r="M696" s="364"/>
      <c r="N696" s="364"/>
      <c r="O696" s="388"/>
      <c r="P696" s="364"/>
      <c r="Q696" s="364"/>
      <c r="R696" s="364"/>
      <c r="S696" s="364"/>
      <c r="T696" s="364"/>
      <c r="U696" s="364"/>
      <c r="V696" s="364"/>
      <c r="W696" s="364"/>
      <c r="X696" s="364"/>
      <c r="Y696" s="364"/>
      <c r="Z696" s="364"/>
      <c r="AA696" s="364"/>
      <c r="AB696" s="364"/>
      <c r="AC696" s="364"/>
      <c r="AD696" s="364"/>
    </row>
    <row r="697">
      <c r="A697" s="364"/>
      <c r="B697" s="364"/>
      <c r="C697" s="364"/>
      <c r="D697" s="364"/>
      <c r="E697" s="364"/>
      <c r="F697" s="364"/>
      <c r="G697" s="364"/>
      <c r="H697" s="364"/>
      <c r="I697" s="364"/>
      <c r="J697" s="364"/>
      <c r="K697" s="364"/>
      <c r="L697" s="364"/>
      <c r="M697" s="364"/>
      <c r="N697" s="364"/>
      <c r="O697" s="388"/>
      <c r="P697" s="364"/>
      <c r="Q697" s="364"/>
      <c r="R697" s="364"/>
      <c r="S697" s="364"/>
      <c r="T697" s="364"/>
      <c r="U697" s="364"/>
      <c r="V697" s="364"/>
      <c r="W697" s="364"/>
      <c r="X697" s="364"/>
      <c r="Y697" s="364"/>
      <c r="Z697" s="364"/>
      <c r="AA697" s="364"/>
      <c r="AB697" s="364"/>
      <c r="AC697" s="364"/>
      <c r="AD697" s="364"/>
    </row>
    <row r="698">
      <c r="A698" s="364"/>
      <c r="B698" s="364"/>
      <c r="C698" s="364"/>
      <c r="D698" s="364"/>
      <c r="E698" s="364"/>
      <c r="F698" s="364"/>
      <c r="G698" s="364"/>
      <c r="H698" s="364"/>
      <c r="I698" s="364"/>
      <c r="J698" s="364"/>
      <c r="K698" s="364"/>
      <c r="L698" s="364"/>
      <c r="M698" s="364"/>
      <c r="N698" s="364"/>
      <c r="O698" s="388"/>
      <c r="P698" s="364"/>
      <c r="Q698" s="364"/>
      <c r="R698" s="364"/>
      <c r="S698" s="364"/>
      <c r="T698" s="364"/>
      <c r="U698" s="364"/>
      <c r="V698" s="364"/>
      <c r="W698" s="364"/>
      <c r="X698" s="364"/>
      <c r="Y698" s="364"/>
      <c r="Z698" s="364"/>
      <c r="AA698" s="364"/>
      <c r="AB698" s="364"/>
      <c r="AC698" s="364"/>
      <c r="AD698" s="364"/>
    </row>
    <row r="699">
      <c r="A699" s="364"/>
      <c r="B699" s="364"/>
      <c r="C699" s="364"/>
      <c r="D699" s="364"/>
      <c r="E699" s="364"/>
      <c r="F699" s="364"/>
      <c r="G699" s="364"/>
      <c r="H699" s="364"/>
      <c r="I699" s="364"/>
      <c r="J699" s="364"/>
      <c r="K699" s="364"/>
      <c r="L699" s="364"/>
      <c r="M699" s="364"/>
      <c r="N699" s="364"/>
      <c r="O699" s="388"/>
      <c r="P699" s="364"/>
      <c r="Q699" s="364"/>
      <c r="R699" s="364"/>
      <c r="S699" s="364"/>
      <c r="T699" s="364"/>
      <c r="U699" s="364"/>
      <c r="V699" s="364"/>
      <c r="W699" s="364"/>
      <c r="X699" s="364"/>
      <c r="Y699" s="364"/>
      <c r="Z699" s="364"/>
      <c r="AA699" s="364"/>
      <c r="AB699" s="364"/>
      <c r="AC699" s="364"/>
      <c r="AD699" s="364"/>
    </row>
    <row r="700">
      <c r="A700" s="364"/>
      <c r="B700" s="364"/>
      <c r="C700" s="364"/>
      <c r="D700" s="364"/>
      <c r="E700" s="364"/>
      <c r="F700" s="364"/>
      <c r="G700" s="364"/>
      <c r="H700" s="364"/>
      <c r="I700" s="364"/>
      <c r="J700" s="364"/>
      <c r="K700" s="364"/>
      <c r="L700" s="364"/>
      <c r="M700" s="364"/>
      <c r="N700" s="364"/>
      <c r="O700" s="388"/>
      <c r="P700" s="364"/>
      <c r="Q700" s="364"/>
      <c r="R700" s="364"/>
      <c r="S700" s="364"/>
      <c r="T700" s="364"/>
      <c r="U700" s="364"/>
      <c r="V700" s="364"/>
      <c r="W700" s="364"/>
      <c r="X700" s="364"/>
      <c r="Y700" s="364"/>
      <c r="Z700" s="364"/>
      <c r="AA700" s="364"/>
      <c r="AB700" s="364"/>
      <c r="AC700" s="364"/>
      <c r="AD700" s="364"/>
    </row>
    <row r="701">
      <c r="A701" s="364"/>
      <c r="B701" s="364"/>
      <c r="C701" s="364"/>
      <c r="D701" s="364"/>
      <c r="E701" s="364"/>
      <c r="F701" s="364"/>
      <c r="G701" s="364"/>
      <c r="H701" s="364"/>
      <c r="I701" s="364"/>
      <c r="J701" s="364"/>
      <c r="K701" s="364"/>
      <c r="L701" s="364"/>
      <c r="M701" s="364"/>
      <c r="N701" s="364"/>
      <c r="O701" s="388"/>
      <c r="P701" s="364"/>
      <c r="Q701" s="364"/>
      <c r="R701" s="364"/>
      <c r="S701" s="364"/>
      <c r="T701" s="364"/>
      <c r="U701" s="364"/>
      <c r="V701" s="364"/>
      <c r="W701" s="364"/>
      <c r="X701" s="364"/>
      <c r="Y701" s="364"/>
      <c r="Z701" s="364"/>
      <c r="AA701" s="364"/>
      <c r="AB701" s="364"/>
      <c r="AC701" s="364"/>
      <c r="AD701" s="364"/>
    </row>
    <row r="702">
      <c r="A702" s="364"/>
      <c r="B702" s="364"/>
      <c r="C702" s="364"/>
      <c r="D702" s="364"/>
      <c r="E702" s="364"/>
      <c r="F702" s="364"/>
      <c r="G702" s="364"/>
      <c r="H702" s="364"/>
      <c r="I702" s="364"/>
      <c r="J702" s="364"/>
      <c r="K702" s="364"/>
      <c r="L702" s="364"/>
      <c r="M702" s="364"/>
      <c r="N702" s="364"/>
      <c r="O702" s="388"/>
      <c r="P702" s="364"/>
      <c r="Q702" s="364"/>
      <c r="R702" s="364"/>
      <c r="S702" s="364"/>
      <c r="T702" s="364"/>
      <c r="U702" s="364"/>
      <c r="V702" s="364"/>
      <c r="W702" s="364"/>
      <c r="X702" s="364"/>
      <c r="Y702" s="364"/>
      <c r="Z702" s="364"/>
      <c r="AA702" s="364"/>
      <c r="AB702" s="364"/>
      <c r="AC702" s="364"/>
      <c r="AD702" s="364"/>
    </row>
    <row r="703">
      <c r="A703" s="364"/>
      <c r="B703" s="364"/>
      <c r="C703" s="364"/>
      <c r="D703" s="364"/>
      <c r="E703" s="364"/>
      <c r="F703" s="364"/>
      <c r="G703" s="364"/>
      <c r="H703" s="364"/>
      <c r="I703" s="364"/>
      <c r="J703" s="364"/>
      <c r="K703" s="364"/>
      <c r="L703" s="364"/>
      <c r="M703" s="364"/>
      <c r="N703" s="364"/>
      <c r="O703" s="388"/>
      <c r="P703" s="364"/>
      <c r="Q703" s="364"/>
      <c r="R703" s="364"/>
      <c r="S703" s="364"/>
      <c r="T703" s="364"/>
      <c r="U703" s="364"/>
      <c r="V703" s="364"/>
      <c r="W703" s="364"/>
      <c r="X703" s="364"/>
      <c r="Y703" s="364"/>
      <c r="Z703" s="364"/>
      <c r="AA703" s="364"/>
      <c r="AB703" s="364"/>
      <c r="AC703" s="364"/>
      <c r="AD703" s="364"/>
    </row>
    <row r="704">
      <c r="A704" s="364"/>
      <c r="B704" s="364"/>
      <c r="C704" s="364"/>
      <c r="D704" s="364"/>
      <c r="E704" s="364"/>
      <c r="F704" s="364"/>
      <c r="G704" s="364"/>
      <c r="H704" s="364"/>
      <c r="I704" s="364"/>
      <c r="J704" s="364"/>
      <c r="K704" s="364"/>
      <c r="L704" s="364"/>
      <c r="M704" s="364"/>
      <c r="N704" s="364"/>
      <c r="O704" s="388"/>
      <c r="P704" s="364"/>
      <c r="Q704" s="364"/>
      <c r="R704" s="364"/>
      <c r="S704" s="364"/>
      <c r="T704" s="364"/>
      <c r="U704" s="364"/>
      <c r="V704" s="364"/>
      <c r="W704" s="364"/>
      <c r="X704" s="364"/>
      <c r="Y704" s="364"/>
      <c r="Z704" s="364"/>
      <c r="AA704" s="364"/>
      <c r="AB704" s="364"/>
      <c r="AC704" s="364"/>
      <c r="AD704" s="364"/>
    </row>
    <row r="705">
      <c r="A705" s="364"/>
      <c r="B705" s="364"/>
      <c r="C705" s="364"/>
      <c r="D705" s="364"/>
      <c r="E705" s="364"/>
      <c r="F705" s="364"/>
      <c r="G705" s="364"/>
      <c r="H705" s="364"/>
      <c r="I705" s="364"/>
      <c r="J705" s="364"/>
      <c r="K705" s="364"/>
      <c r="L705" s="364"/>
      <c r="M705" s="364"/>
      <c r="N705" s="364"/>
      <c r="O705" s="388"/>
      <c r="P705" s="364"/>
      <c r="Q705" s="364"/>
      <c r="R705" s="364"/>
      <c r="S705" s="364"/>
      <c r="T705" s="364"/>
      <c r="U705" s="364"/>
      <c r="V705" s="364"/>
      <c r="W705" s="364"/>
      <c r="X705" s="364"/>
      <c r="Y705" s="364"/>
      <c r="Z705" s="364"/>
      <c r="AA705" s="364"/>
      <c r="AB705" s="364"/>
      <c r="AC705" s="364"/>
      <c r="AD705" s="364"/>
    </row>
    <row r="706">
      <c r="A706" s="364"/>
      <c r="B706" s="364"/>
      <c r="C706" s="364"/>
      <c r="D706" s="364"/>
      <c r="E706" s="364"/>
      <c r="F706" s="364"/>
      <c r="G706" s="364"/>
      <c r="H706" s="364"/>
      <c r="I706" s="364"/>
      <c r="J706" s="364"/>
      <c r="K706" s="364"/>
      <c r="L706" s="364"/>
      <c r="M706" s="364"/>
      <c r="N706" s="364"/>
      <c r="O706" s="388"/>
      <c r="P706" s="364"/>
      <c r="Q706" s="364"/>
      <c r="R706" s="364"/>
      <c r="S706" s="364"/>
      <c r="T706" s="364"/>
      <c r="U706" s="364"/>
      <c r="V706" s="364"/>
      <c r="W706" s="364"/>
      <c r="X706" s="364"/>
      <c r="Y706" s="364"/>
      <c r="Z706" s="364"/>
      <c r="AA706" s="364"/>
      <c r="AB706" s="364"/>
      <c r="AC706" s="364"/>
      <c r="AD706" s="364"/>
    </row>
    <row r="707">
      <c r="A707" s="364"/>
      <c r="B707" s="364"/>
      <c r="C707" s="364"/>
      <c r="D707" s="364"/>
      <c r="E707" s="364"/>
      <c r="F707" s="364"/>
      <c r="G707" s="364"/>
      <c r="H707" s="364"/>
      <c r="I707" s="364"/>
      <c r="J707" s="364"/>
      <c r="K707" s="364"/>
      <c r="L707" s="364"/>
      <c r="M707" s="364"/>
      <c r="N707" s="364"/>
      <c r="O707" s="388"/>
      <c r="P707" s="364"/>
      <c r="Q707" s="364"/>
      <c r="R707" s="364"/>
      <c r="S707" s="364"/>
      <c r="T707" s="364"/>
      <c r="U707" s="364"/>
      <c r="V707" s="364"/>
      <c r="W707" s="364"/>
      <c r="X707" s="364"/>
      <c r="Y707" s="364"/>
      <c r="Z707" s="364"/>
      <c r="AA707" s="364"/>
      <c r="AB707" s="364"/>
      <c r="AC707" s="364"/>
      <c r="AD707" s="364"/>
    </row>
    <row r="708">
      <c r="A708" s="364"/>
      <c r="B708" s="364"/>
      <c r="C708" s="364"/>
      <c r="D708" s="364"/>
      <c r="E708" s="364"/>
      <c r="F708" s="364"/>
      <c r="G708" s="364"/>
      <c r="H708" s="364"/>
      <c r="I708" s="364"/>
      <c r="J708" s="364"/>
      <c r="K708" s="364"/>
      <c r="L708" s="364"/>
      <c r="M708" s="364"/>
      <c r="N708" s="364"/>
      <c r="O708" s="388"/>
      <c r="P708" s="364"/>
      <c r="Q708" s="364"/>
      <c r="R708" s="364"/>
      <c r="S708" s="364"/>
      <c r="T708" s="364"/>
      <c r="U708" s="364"/>
      <c r="V708" s="364"/>
      <c r="W708" s="364"/>
      <c r="X708" s="364"/>
      <c r="Y708" s="364"/>
      <c r="Z708" s="364"/>
      <c r="AA708" s="364"/>
      <c r="AB708" s="364"/>
      <c r="AC708" s="364"/>
      <c r="AD708" s="364"/>
    </row>
    <row r="709">
      <c r="A709" s="364"/>
      <c r="B709" s="364"/>
      <c r="C709" s="364"/>
      <c r="D709" s="364"/>
      <c r="E709" s="364"/>
      <c r="F709" s="364"/>
      <c r="G709" s="364"/>
      <c r="H709" s="364"/>
      <c r="I709" s="364"/>
      <c r="J709" s="364"/>
      <c r="K709" s="364"/>
      <c r="L709" s="364"/>
      <c r="M709" s="364"/>
      <c r="N709" s="364"/>
      <c r="O709" s="388"/>
      <c r="P709" s="364"/>
      <c r="Q709" s="364"/>
      <c r="R709" s="364"/>
      <c r="S709" s="364"/>
      <c r="T709" s="364"/>
      <c r="U709" s="364"/>
      <c r="V709" s="364"/>
      <c r="W709" s="364"/>
      <c r="X709" s="364"/>
      <c r="Y709" s="364"/>
      <c r="Z709" s="364"/>
      <c r="AA709" s="364"/>
      <c r="AB709" s="364"/>
      <c r="AC709" s="364"/>
      <c r="AD709" s="364"/>
    </row>
    <row r="710">
      <c r="A710" s="364"/>
      <c r="B710" s="364"/>
      <c r="C710" s="364"/>
      <c r="D710" s="364"/>
      <c r="E710" s="364"/>
      <c r="F710" s="364"/>
      <c r="G710" s="364"/>
      <c r="H710" s="364"/>
      <c r="I710" s="364"/>
      <c r="J710" s="364"/>
      <c r="K710" s="364"/>
      <c r="L710" s="364"/>
      <c r="M710" s="364"/>
      <c r="N710" s="364"/>
      <c r="O710" s="388"/>
      <c r="P710" s="364"/>
      <c r="Q710" s="364"/>
      <c r="R710" s="364"/>
      <c r="S710" s="364"/>
      <c r="T710" s="364"/>
      <c r="U710" s="364"/>
      <c r="V710" s="364"/>
      <c r="W710" s="364"/>
      <c r="X710" s="364"/>
      <c r="Y710" s="364"/>
      <c r="Z710" s="364"/>
      <c r="AA710" s="364"/>
      <c r="AB710" s="364"/>
      <c r="AC710" s="364"/>
      <c r="AD710" s="364"/>
    </row>
    <row r="711">
      <c r="A711" s="364"/>
      <c r="B711" s="364"/>
      <c r="C711" s="364"/>
      <c r="D711" s="364"/>
      <c r="E711" s="364"/>
      <c r="F711" s="364"/>
      <c r="G711" s="364"/>
      <c r="H711" s="364"/>
      <c r="I711" s="364"/>
      <c r="J711" s="364"/>
      <c r="K711" s="364"/>
      <c r="L711" s="364"/>
      <c r="M711" s="364"/>
      <c r="N711" s="364"/>
      <c r="O711" s="388"/>
      <c r="P711" s="364"/>
      <c r="Q711" s="364"/>
      <c r="R711" s="364"/>
      <c r="S711" s="364"/>
      <c r="T711" s="364"/>
      <c r="U711" s="364"/>
      <c r="V711" s="364"/>
      <c r="W711" s="364"/>
      <c r="X711" s="364"/>
      <c r="Y711" s="364"/>
      <c r="Z711" s="364"/>
      <c r="AA711" s="364"/>
      <c r="AB711" s="364"/>
      <c r="AC711" s="364"/>
      <c r="AD711" s="364"/>
    </row>
    <row r="712">
      <c r="A712" s="364"/>
      <c r="B712" s="364"/>
      <c r="C712" s="364"/>
      <c r="D712" s="364"/>
      <c r="E712" s="364"/>
      <c r="F712" s="364"/>
      <c r="G712" s="364"/>
      <c r="H712" s="364"/>
      <c r="I712" s="364"/>
      <c r="J712" s="364"/>
      <c r="K712" s="364"/>
      <c r="L712" s="364"/>
      <c r="M712" s="364"/>
      <c r="N712" s="364"/>
      <c r="O712" s="388"/>
      <c r="P712" s="364"/>
      <c r="Q712" s="364"/>
      <c r="R712" s="364"/>
      <c r="S712" s="364"/>
      <c r="T712" s="364"/>
      <c r="U712" s="364"/>
      <c r="V712" s="364"/>
      <c r="W712" s="364"/>
      <c r="X712" s="364"/>
      <c r="Y712" s="364"/>
      <c r="Z712" s="364"/>
      <c r="AA712" s="364"/>
      <c r="AB712" s="364"/>
      <c r="AC712" s="364"/>
      <c r="AD712" s="364"/>
    </row>
    <row r="713">
      <c r="A713" s="364"/>
      <c r="B713" s="364"/>
      <c r="C713" s="364"/>
      <c r="D713" s="364"/>
      <c r="E713" s="364"/>
      <c r="F713" s="364"/>
      <c r="G713" s="364"/>
      <c r="H713" s="364"/>
      <c r="I713" s="364"/>
      <c r="J713" s="364"/>
      <c r="K713" s="364"/>
      <c r="L713" s="364"/>
      <c r="M713" s="364"/>
      <c r="N713" s="364"/>
      <c r="O713" s="388"/>
      <c r="P713" s="364"/>
      <c r="Q713" s="364"/>
      <c r="R713" s="364"/>
      <c r="S713" s="364"/>
      <c r="T713" s="364"/>
      <c r="U713" s="364"/>
      <c r="V713" s="364"/>
      <c r="W713" s="364"/>
      <c r="X713" s="364"/>
      <c r="Y713" s="364"/>
      <c r="Z713" s="364"/>
      <c r="AA713" s="364"/>
      <c r="AB713" s="364"/>
      <c r="AC713" s="364"/>
      <c r="AD713" s="364"/>
    </row>
    <row r="714">
      <c r="A714" s="364"/>
      <c r="B714" s="364"/>
      <c r="C714" s="364"/>
      <c r="D714" s="364"/>
      <c r="E714" s="364"/>
      <c r="F714" s="364"/>
      <c r="G714" s="364"/>
      <c r="H714" s="364"/>
      <c r="I714" s="364"/>
      <c r="J714" s="364"/>
      <c r="K714" s="364"/>
      <c r="L714" s="364"/>
      <c r="M714" s="364"/>
      <c r="N714" s="364"/>
      <c r="O714" s="388"/>
      <c r="P714" s="364"/>
      <c r="Q714" s="364"/>
      <c r="R714" s="364"/>
      <c r="S714" s="364"/>
      <c r="T714" s="364"/>
      <c r="U714" s="364"/>
      <c r="V714" s="364"/>
      <c r="W714" s="364"/>
      <c r="X714" s="364"/>
      <c r="Y714" s="364"/>
      <c r="Z714" s="364"/>
      <c r="AA714" s="364"/>
      <c r="AB714" s="364"/>
      <c r="AC714" s="364"/>
      <c r="AD714" s="364"/>
    </row>
    <row r="715">
      <c r="A715" s="364"/>
      <c r="B715" s="364"/>
      <c r="C715" s="364"/>
      <c r="D715" s="364"/>
      <c r="E715" s="364"/>
      <c r="F715" s="364"/>
      <c r="G715" s="364"/>
      <c r="H715" s="364"/>
      <c r="I715" s="364"/>
      <c r="J715" s="364"/>
      <c r="K715" s="364"/>
      <c r="L715" s="364"/>
      <c r="M715" s="364"/>
      <c r="N715" s="364"/>
      <c r="O715" s="388"/>
      <c r="P715" s="364"/>
      <c r="Q715" s="364"/>
      <c r="R715" s="364"/>
      <c r="S715" s="364"/>
      <c r="T715" s="364"/>
      <c r="U715" s="364"/>
      <c r="V715" s="364"/>
      <c r="W715" s="364"/>
      <c r="X715" s="364"/>
      <c r="Y715" s="364"/>
      <c r="Z715" s="364"/>
      <c r="AA715" s="364"/>
      <c r="AB715" s="364"/>
      <c r="AC715" s="364"/>
      <c r="AD715" s="364"/>
    </row>
    <row r="716">
      <c r="A716" s="364"/>
      <c r="B716" s="364"/>
      <c r="C716" s="364"/>
      <c r="D716" s="364"/>
      <c r="E716" s="364"/>
      <c r="F716" s="364"/>
      <c r="G716" s="364"/>
      <c r="H716" s="364"/>
      <c r="I716" s="364"/>
      <c r="J716" s="364"/>
      <c r="K716" s="364"/>
      <c r="L716" s="364"/>
      <c r="M716" s="364"/>
      <c r="N716" s="364"/>
      <c r="O716" s="388"/>
      <c r="P716" s="364"/>
      <c r="Q716" s="364"/>
      <c r="R716" s="364"/>
      <c r="S716" s="364"/>
      <c r="T716" s="364"/>
      <c r="U716" s="364"/>
      <c r="V716" s="364"/>
      <c r="W716" s="364"/>
      <c r="X716" s="364"/>
      <c r="Y716" s="364"/>
      <c r="Z716" s="364"/>
      <c r="AA716" s="364"/>
      <c r="AB716" s="364"/>
      <c r="AC716" s="364"/>
      <c r="AD716" s="364"/>
    </row>
    <row r="717">
      <c r="A717" s="364"/>
      <c r="B717" s="364"/>
      <c r="C717" s="364"/>
      <c r="D717" s="364"/>
      <c r="E717" s="364"/>
      <c r="F717" s="364"/>
      <c r="G717" s="364"/>
      <c r="H717" s="364"/>
      <c r="I717" s="364"/>
      <c r="J717" s="364"/>
      <c r="K717" s="364"/>
      <c r="L717" s="364"/>
      <c r="M717" s="364"/>
      <c r="N717" s="364"/>
      <c r="O717" s="388"/>
      <c r="P717" s="364"/>
      <c r="Q717" s="364"/>
      <c r="R717" s="364"/>
      <c r="S717" s="364"/>
      <c r="T717" s="364"/>
      <c r="U717" s="364"/>
      <c r="V717" s="364"/>
      <c r="W717" s="364"/>
      <c r="X717" s="364"/>
      <c r="Y717" s="364"/>
      <c r="Z717" s="364"/>
      <c r="AA717" s="364"/>
      <c r="AB717" s="364"/>
      <c r="AC717" s="364"/>
      <c r="AD717" s="364"/>
    </row>
    <row r="718">
      <c r="A718" s="364"/>
      <c r="B718" s="364"/>
      <c r="C718" s="364"/>
      <c r="D718" s="364"/>
      <c r="E718" s="364"/>
      <c r="F718" s="364"/>
      <c r="G718" s="364"/>
      <c r="H718" s="364"/>
      <c r="I718" s="364"/>
      <c r="J718" s="364"/>
      <c r="K718" s="364"/>
      <c r="L718" s="364"/>
      <c r="M718" s="364"/>
      <c r="N718" s="364"/>
      <c r="O718" s="388"/>
      <c r="P718" s="364"/>
      <c r="Q718" s="364"/>
      <c r="R718" s="364"/>
      <c r="S718" s="364"/>
      <c r="T718" s="364"/>
      <c r="U718" s="364"/>
      <c r="V718" s="364"/>
      <c r="W718" s="364"/>
      <c r="X718" s="364"/>
      <c r="Y718" s="364"/>
      <c r="Z718" s="364"/>
      <c r="AA718" s="364"/>
      <c r="AB718" s="364"/>
      <c r="AC718" s="364"/>
      <c r="AD718" s="364"/>
    </row>
    <row r="719">
      <c r="A719" s="364"/>
      <c r="B719" s="364"/>
      <c r="C719" s="364"/>
      <c r="D719" s="364"/>
      <c r="E719" s="364"/>
      <c r="F719" s="364"/>
      <c r="G719" s="364"/>
      <c r="H719" s="364"/>
      <c r="I719" s="364"/>
      <c r="J719" s="364"/>
      <c r="K719" s="364"/>
      <c r="L719" s="364"/>
      <c r="M719" s="364"/>
      <c r="N719" s="364"/>
      <c r="O719" s="388"/>
      <c r="P719" s="364"/>
      <c r="Q719" s="364"/>
      <c r="R719" s="364"/>
      <c r="S719" s="364"/>
      <c r="T719" s="364"/>
      <c r="U719" s="364"/>
      <c r="V719" s="364"/>
      <c r="W719" s="364"/>
      <c r="X719" s="364"/>
      <c r="Y719" s="364"/>
      <c r="Z719" s="364"/>
      <c r="AA719" s="364"/>
      <c r="AB719" s="364"/>
      <c r="AC719" s="364"/>
      <c r="AD719" s="364"/>
    </row>
    <row r="720">
      <c r="A720" s="364"/>
      <c r="B720" s="364"/>
      <c r="C720" s="364"/>
      <c r="D720" s="364"/>
      <c r="E720" s="364"/>
      <c r="F720" s="364"/>
      <c r="G720" s="364"/>
      <c r="H720" s="364"/>
      <c r="I720" s="364"/>
      <c r="J720" s="364"/>
      <c r="K720" s="364"/>
      <c r="L720" s="364"/>
      <c r="M720" s="364"/>
      <c r="N720" s="364"/>
      <c r="O720" s="388"/>
      <c r="P720" s="364"/>
      <c r="Q720" s="364"/>
      <c r="R720" s="364"/>
      <c r="S720" s="364"/>
      <c r="T720" s="364"/>
      <c r="U720" s="364"/>
      <c r="V720" s="364"/>
      <c r="W720" s="364"/>
      <c r="X720" s="364"/>
      <c r="Y720" s="364"/>
      <c r="Z720" s="364"/>
      <c r="AA720" s="364"/>
      <c r="AB720" s="364"/>
      <c r="AC720" s="364"/>
      <c r="AD720" s="364"/>
    </row>
    <row r="721">
      <c r="A721" s="364"/>
      <c r="B721" s="364"/>
      <c r="C721" s="364"/>
      <c r="D721" s="364"/>
      <c r="E721" s="364"/>
      <c r="F721" s="364"/>
      <c r="G721" s="364"/>
      <c r="H721" s="364"/>
      <c r="I721" s="364"/>
      <c r="J721" s="364"/>
      <c r="K721" s="364"/>
      <c r="L721" s="364"/>
      <c r="M721" s="364"/>
      <c r="N721" s="364"/>
      <c r="O721" s="388"/>
      <c r="P721" s="364"/>
      <c r="Q721" s="364"/>
      <c r="R721" s="364"/>
      <c r="S721" s="364"/>
      <c r="T721" s="364"/>
      <c r="U721" s="364"/>
      <c r="V721" s="364"/>
      <c r="W721" s="364"/>
      <c r="X721" s="364"/>
      <c r="Y721" s="364"/>
      <c r="Z721" s="364"/>
      <c r="AA721" s="364"/>
      <c r="AB721" s="364"/>
      <c r="AC721" s="364"/>
      <c r="AD721" s="364"/>
    </row>
    <row r="722">
      <c r="A722" s="364"/>
      <c r="B722" s="364"/>
      <c r="C722" s="364"/>
      <c r="D722" s="364"/>
      <c r="E722" s="364"/>
      <c r="F722" s="364"/>
      <c r="G722" s="364"/>
      <c r="H722" s="364"/>
      <c r="I722" s="364"/>
      <c r="J722" s="364"/>
      <c r="K722" s="364"/>
      <c r="L722" s="364"/>
      <c r="M722" s="364"/>
      <c r="N722" s="364"/>
      <c r="O722" s="388"/>
      <c r="P722" s="364"/>
      <c r="Q722" s="364"/>
      <c r="R722" s="364"/>
      <c r="S722" s="364"/>
      <c r="T722" s="364"/>
      <c r="U722" s="364"/>
      <c r="V722" s="364"/>
      <c r="W722" s="364"/>
      <c r="X722" s="364"/>
      <c r="Y722" s="364"/>
      <c r="Z722" s="364"/>
      <c r="AA722" s="364"/>
      <c r="AB722" s="364"/>
      <c r="AC722" s="364"/>
      <c r="AD722" s="364"/>
    </row>
    <row r="723">
      <c r="A723" s="364"/>
      <c r="B723" s="364"/>
      <c r="C723" s="364"/>
      <c r="D723" s="364"/>
      <c r="E723" s="364"/>
      <c r="F723" s="364"/>
      <c r="G723" s="364"/>
      <c r="H723" s="364"/>
      <c r="I723" s="364"/>
      <c r="J723" s="364"/>
      <c r="K723" s="364"/>
      <c r="L723" s="364"/>
      <c r="M723" s="364"/>
      <c r="N723" s="364"/>
      <c r="O723" s="388"/>
      <c r="P723" s="364"/>
      <c r="Q723" s="364"/>
      <c r="R723" s="364"/>
      <c r="S723" s="364"/>
      <c r="T723" s="364"/>
      <c r="U723" s="364"/>
      <c r="V723" s="364"/>
      <c r="W723" s="364"/>
      <c r="X723" s="364"/>
      <c r="Y723" s="364"/>
      <c r="Z723" s="364"/>
      <c r="AA723" s="364"/>
      <c r="AB723" s="364"/>
      <c r="AC723" s="364"/>
      <c r="AD723" s="364"/>
    </row>
    <row r="724">
      <c r="A724" s="364"/>
      <c r="B724" s="364"/>
      <c r="C724" s="364"/>
      <c r="D724" s="364"/>
      <c r="E724" s="364"/>
      <c r="F724" s="364"/>
      <c r="G724" s="364"/>
      <c r="H724" s="364"/>
      <c r="I724" s="364"/>
      <c r="J724" s="364"/>
      <c r="K724" s="364"/>
      <c r="L724" s="364"/>
      <c r="M724" s="364"/>
      <c r="N724" s="364"/>
      <c r="O724" s="388"/>
      <c r="P724" s="364"/>
      <c r="Q724" s="364"/>
      <c r="R724" s="364"/>
      <c r="S724" s="364"/>
      <c r="T724" s="364"/>
      <c r="U724" s="364"/>
      <c r="V724" s="364"/>
      <c r="W724" s="364"/>
      <c r="X724" s="364"/>
      <c r="Y724" s="364"/>
      <c r="Z724" s="364"/>
      <c r="AA724" s="364"/>
      <c r="AB724" s="364"/>
      <c r="AC724" s="364"/>
      <c r="AD724" s="364"/>
    </row>
    <row r="725">
      <c r="A725" s="364"/>
      <c r="B725" s="364"/>
      <c r="C725" s="364"/>
      <c r="D725" s="364"/>
      <c r="E725" s="364"/>
      <c r="F725" s="364"/>
      <c r="G725" s="364"/>
      <c r="H725" s="364"/>
      <c r="I725" s="364"/>
      <c r="J725" s="364"/>
      <c r="K725" s="364"/>
      <c r="L725" s="364"/>
      <c r="M725" s="364"/>
      <c r="N725" s="364"/>
      <c r="O725" s="388"/>
      <c r="P725" s="364"/>
      <c r="Q725" s="364"/>
      <c r="R725" s="364"/>
      <c r="S725" s="364"/>
      <c r="T725" s="364"/>
      <c r="U725" s="364"/>
      <c r="V725" s="364"/>
      <c r="W725" s="364"/>
      <c r="X725" s="364"/>
      <c r="Y725" s="364"/>
      <c r="Z725" s="364"/>
      <c r="AA725" s="364"/>
      <c r="AB725" s="364"/>
      <c r="AC725" s="364"/>
      <c r="AD725" s="364"/>
    </row>
    <row r="726">
      <c r="A726" s="364"/>
      <c r="B726" s="364"/>
      <c r="C726" s="364"/>
      <c r="D726" s="364"/>
      <c r="E726" s="364"/>
      <c r="F726" s="364"/>
      <c r="G726" s="364"/>
      <c r="H726" s="364"/>
      <c r="I726" s="364"/>
      <c r="J726" s="364"/>
      <c r="K726" s="364"/>
      <c r="L726" s="364"/>
      <c r="M726" s="364"/>
      <c r="N726" s="364"/>
      <c r="O726" s="388"/>
      <c r="P726" s="364"/>
      <c r="Q726" s="364"/>
      <c r="R726" s="364"/>
      <c r="S726" s="364"/>
      <c r="T726" s="364"/>
      <c r="U726" s="364"/>
      <c r="V726" s="364"/>
      <c r="W726" s="364"/>
      <c r="X726" s="364"/>
      <c r="Y726" s="364"/>
      <c r="Z726" s="364"/>
      <c r="AA726" s="364"/>
      <c r="AB726" s="364"/>
      <c r="AC726" s="364"/>
      <c r="AD726" s="364"/>
    </row>
    <row r="727">
      <c r="A727" s="364"/>
      <c r="B727" s="364"/>
      <c r="C727" s="364"/>
      <c r="D727" s="364"/>
      <c r="E727" s="364"/>
      <c r="F727" s="364"/>
      <c r="G727" s="364"/>
      <c r="H727" s="364"/>
      <c r="I727" s="364"/>
      <c r="J727" s="364"/>
      <c r="K727" s="364"/>
      <c r="L727" s="364"/>
      <c r="M727" s="364"/>
      <c r="N727" s="364"/>
      <c r="O727" s="388"/>
      <c r="P727" s="364"/>
      <c r="Q727" s="364"/>
      <c r="R727" s="364"/>
      <c r="S727" s="364"/>
      <c r="T727" s="364"/>
      <c r="U727" s="364"/>
      <c r="V727" s="364"/>
      <c r="W727" s="364"/>
      <c r="X727" s="364"/>
      <c r="Y727" s="364"/>
      <c r="Z727" s="364"/>
      <c r="AA727" s="364"/>
      <c r="AB727" s="364"/>
      <c r="AC727" s="364"/>
      <c r="AD727" s="364"/>
    </row>
    <row r="728">
      <c r="A728" s="364"/>
      <c r="B728" s="364"/>
      <c r="C728" s="364"/>
      <c r="D728" s="364"/>
      <c r="E728" s="364"/>
      <c r="F728" s="364"/>
      <c r="G728" s="364"/>
      <c r="H728" s="364"/>
      <c r="I728" s="364"/>
      <c r="J728" s="364"/>
      <c r="K728" s="364"/>
      <c r="L728" s="364"/>
      <c r="M728" s="364"/>
      <c r="N728" s="364"/>
      <c r="O728" s="388"/>
      <c r="P728" s="364"/>
      <c r="Q728" s="364"/>
      <c r="R728" s="364"/>
      <c r="S728" s="364"/>
      <c r="T728" s="364"/>
      <c r="U728" s="364"/>
      <c r="V728" s="364"/>
      <c r="W728" s="364"/>
      <c r="X728" s="364"/>
      <c r="Y728" s="364"/>
      <c r="Z728" s="364"/>
      <c r="AA728" s="364"/>
      <c r="AB728" s="364"/>
      <c r="AC728" s="364"/>
      <c r="AD728" s="364"/>
    </row>
    <row r="729">
      <c r="A729" s="364"/>
      <c r="B729" s="364"/>
      <c r="C729" s="364"/>
      <c r="D729" s="364"/>
      <c r="E729" s="364"/>
      <c r="F729" s="364"/>
      <c r="G729" s="364"/>
      <c r="H729" s="364"/>
      <c r="I729" s="364"/>
      <c r="J729" s="364"/>
      <c r="K729" s="364"/>
      <c r="L729" s="364"/>
      <c r="M729" s="364"/>
      <c r="N729" s="364"/>
      <c r="O729" s="388"/>
      <c r="P729" s="364"/>
      <c r="Q729" s="364"/>
      <c r="R729" s="364"/>
      <c r="S729" s="364"/>
      <c r="T729" s="364"/>
      <c r="U729" s="364"/>
      <c r="V729" s="364"/>
      <c r="W729" s="364"/>
      <c r="X729" s="364"/>
      <c r="Y729" s="364"/>
      <c r="Z729" s="364"/>
      <c r="AA729" s="364"/>
      <c r="AB729" s="364"/>
      <c r="AC729" s="364"/>
      <c r="AD729" s="364"/>
    </row>
    <row r="730">
      <c r="A730" s="364"/>
      <c r="B730" s="364"/>
      <c r="C730" s="364"/>
      <c r="D730" s="364"/>
      <c r="E730" s="364"/>
      <c r="F730" s="364"/>
      <c r="G730" s="364"/>
      <c r="H730" s="364"/>
      <c r="I730" s="364"/>
      <c r="J730" s="364"/>
      <c r="K730" s="364"/>
      <c r="L730" s="364"/>
      <c r="M730" s="364"/>
      <c r="N730" s="364"/>
      <c r="O730" s="388"/>
      <c r="P730" s="364"/>
      <c r="Q730" s="364"/>
      <c r="R730" s="364"/>
      <c r="S730" s="364"/>
      <c r="T730" s="364"/>
      <c r="U730" s="364"/>
      <c r="V730" s="364"/>
      <c r="W730" s="364"/>
      <c r="X730" s="364"/>
      <c r="Y730" s="364"/>
      <c r="Z730" s="364"/>
      <c r="AA730" s="364"/>
      <c r="AB730" s="364"/>
      <c r="AC730" s="364"/>
      <c r="AD730" s="364"/>
    </row>
    <row r="731">
      <c r="A731" s="364"/>
      <c r="B731" s="364"/>
      <c r="C731" s="364"/>
      <c r="D731" s="364"/>
      <c r="E731" s="364"/>
      <c r="F731" s="364"/>
      <c r="G731" s="364"/>
      <c r="H731" s="364"/>
      <c r="I731" s="364"/>
      <c r="J731" s="364"/>
      <c r="K731" s="364"/>
      <c r="L731" s="364"/>
      <c r="M731" s="364"/>
      <c r="N731" s="364"/>
      <c r="O731" s="388"/>
      <c r="P731" s="364"/>
      <c r="Q731" s="364"/>
      <c r="R731" s="364"/>
      <c r="S731" s="364"/>
      <c r="T731" s="364"/>
      <c r="U731" s="364"/>
      <c r="V731" s="364"/>
      <c r="W731" s="364"/>
      <c r="X731" s="364"/>
      <c r="Y731" s="364"/>
      <c r="Z731" s="364"/>
      <c r="AA731" s="364"/>
      <c r="AB731" s="364"/>
      <c r="AC731" s="364"/>
      <c r="AD731" s="364"/>
    </row>
    <row r="732">
      <c r="A732" s="364"/>
      <c r="B732" s="364"/>
      <c r="C732" s="364"/>
      <c r="D732" s="364"/>
      <c r="E732" s="364"/>
      <c r="F732" s="364"/>
      <c r="G732" s="364"/>
      <c r="H732" s="364"/>
      <c r="I732" s="364"/>
      <c r="J732" s="364"/>
      <c r="K732" s="364"/>
      <c r="L732" s="364"/>
      <c r="M732" s="364"/>
      <c r="N732" s="364"/>
      <c r="O732" s="388"/>
      <c r="P732" s="364"/>
      <c r="Q732" s="364"/>
      <c r="R732" s="364"/>
      <c r="S732" s="364"/>
      <c r="T732" s="364"/>
      <c r="U732" s="364"/>
      <c r="V732" s="364"/>
      <c r="W732" s="364"/>
      <c r="X732" s="364"/>
      <c r="Y732" s="364"/>
      <c r="Z732" s="364"/>
      <c r="AA732" s="364"/>
      <c r="AB732" s="364"/>
      <c r="AC732" s="364"/>
      <c r="AD732" s="364"/>
    </row>
    <row r="733">
      <c r="A733" s="364"/>
      <c r="B733" s="364"/>
      <c r="C733" s="364"/>
      <c r="D733" s="364"/>
      <c r="E733" s="364"/>
      <c r="F733" s="364"/>
      <c r="G733" s="364"/>
      <c r="H733" s="364"/>
      <c r="I733" s="364"/>
      <c r="J733" s="364"/>
      <c r="K733" s="364"/>
      <c r="L733" s="364"/>
      <c r="M733" s="364"/>
      <c r="N733" s="364"/>
      <c r="O733" s="388"/>
      <c r="P733" s="364"/>
      <c r="Q733" s="364"/>
      <c r="R733" s="364"/>
      <c r="S733" s="364"/>
      <c r="T733" s="364"/>
      <c r="U733" s="364"/>
      <c r="V733" s="364"/>
      <c r="W733" s="364"/>
      <c r="X733" s="364"/>
      <c r="Y733" s="364"/>
      <c r="Z733" s="364"/>
      <c r="AA733" s="364"/>
      <c r="AB733" s="364"/>
      <c r="AC733" s="364"/>
      <c r="AD733" s="364"/>
    </row>
    <row r="734">
      <c r="A734" s="364"/>
      <c r="B734" s="364"/>
      <c r="C734" s="364"/>
      <c r="D734" s="364"/>
      <c r="E734" s="364"/>
      <c r="F734" s="364"/>
      <c r="G734" s="364"/>
      <c r="H734" s="364"/>
      <c r="I734" s="364"/>
      <c r="J734" s="364"/>
      <c r="K734" s="364"/>
      <c r="L734" s="364"/>
      <c r="M734" s="364"/>
      <c r="N734" s="364"/>
      <c r="O734" s="388"/>
      <c r="P734" s="364"/>
      <c r="Q734" s="364"/>
      <c r="R734" s="364"/>
      <c r="S734" s="364"/>
      <c r="T734" s="364"/>
      <c r="U734" s="364"/>
      <c r="V734" s="364"/>
      <c r="W734" s="364"/>
      <c r="X734" s="364"/>
      <c r="Y734" s="364"/>
      <c r="Z734" s="364"/>
      <c r="AA734" s="364"/>
      <c r="AB734" s="364"/>
      <c r="AC734" s="364"/>
      <c r="AD734" s="364"/>
    </row>
    <row r="735">
      <c r="A735" s="364"/>
      <c r="B735" s="364"/>
      <c r="C735" s="364"/>
      <c r="D735" s="364"/>
      <c r="E735" s="364"/>
      <c r="F735" s="364"/>
      <c r="G735" s="364"/>
      <c r="H735" s="364"/>
      <c r="I735" s="364"/>
      <c r="J735" s="364"/>
      <c r="K735" s="364"/>
      <c r="L735" s="364"/>
      <c r="M735" s="364"/>
      <c r="N735" s="364"/>
      <c r="O735" s="388"/>
      <c r="P735" s="364"/>
      <c r="Q735" s="364"/>
      <c r="R735" s="364"/>
      <c r="S735" s="364"/>
      <c r="T735" s="364"/>
      <c r="U735" s="364"/>
      <c r="V735" s="364"/>
      <c r="W735" s="364"/>
      <c r="X735" s="364"/>
      <c r="Y735" s="364"/>
      <c r="Z735" s="364"/>
      <c r="AA735" s="364"/>
      <c r="AB735" s="364"/>
      <c r="AC735" s="364"/>
      <c r="AD735" s="364"/>
    </row>
    <row r="736">
      <c r="A736" s="364"/>
      <c r="B736" s="364"/>
      <c r="C736" s="364"/>
      <c r="D736" s="364"/>
      <c r="E736" s="364"/>
      <c r="F736" s="364"/>
      <c r="G736" s="364"/>
      <c r="H736" s="364"/>
      <c r="I736" s="364"/>
      <c r="J736" s="364"/>
      <c r="K736" s="364"/>
      <c r="L736" s="364"/>
      <c r="M736" s="364"/>
      <c r="N736" s="364"/>
      <c r="O736" s="388"/>
      <c r="P736" s="364"/>
      <c r="Q736" s="364"/>
      <c r="R736" s="364"/>
      <c r="S736" s="364"/>
      <c r="T736" s="364"/>
      <c r="U736" s="364"/>
      <c r="V736" s="364"/>
      <c r="W736" s="364"/>
      <c r="X736" s="364"/>
      <c r="Y736" s="364"/>
      <c r="Z736" s="364"/>
      <c r="AA736" s="364"/>
      <c r="AB736" s="364"/>
      <c r="AC736" s="364"/>
      <c r="AD736" s="364"/>
    </row>
    <row r="737">
      <c r="A737" s="364"/>
      <c r="B737" s="364"/>
      <c r="C737" s="364"/>
      <c r="D737" s="364"/>
      <c r="E737" s="364"/>
      <c r="F737" s="364"/>
      <c r="G737" s="364"/>
      <c r="H737" s="364"/>
      <c r="I737" s="364"/>
      <c r="J737" s="364"/>
      <c r="K737" s="364"/>
      <c r="L737" s="364"/>
      <c r="M737" s="364"/>
      <c r="N737" s="364"/>
      <c r="O737" s="388"/>
      <c r="P737" s="364"/>
      <c r="Q737" s="364"/>
      <c r="R737" s="364"/>
      <c r="S737" s="364"/>
      <c r="T737" s="364"/>
      <c r="U737" s="364"/>
      <c r="V737" s="364"/>
      <c r="W737" s="364"/>
      <c r="X737" s="364"/>
      <c r="Y737" s="364"/>
      <c r="Z737" s="364"/>
      <c r="AA737" s="364"/>
      <c r="AB737" s="364"/>
      <c r="AC737" s="364"/>
      <c r="AD737" s="364"/>
    </row>
    <row r="738">
      <c r="A738" s="364"/>
      <c r="B738" s="364"/>
      <c r="C738" s="364"/>
      <c r="D738" s="364"/>
      <c r="E738" s="364"/>
      <c r="F738" s="364"/>
      <c r="G738" s="364"/>
      <c r="H738" s="364"/>
      <c r="I738" s="364"/>
      <c r="J738" s="364"/>
      <c r="K738" s="364"/>
      <c r="L738" s="364"/>
      <c r="M738" s="364"/>
      <c r="N738" s="364"/>
      <c r="O738" s="388"/>
      <c r="P738" s="364"/>
      <c r="Q738" s="364"/>
      <c r="R738" s="364"/>
      <c r="S738" s="364"/>
      <c r="T738" s="364"/>
      <c r="U738" s="364"/>
      <c r="V738" s="364"/>
      <c r="W738" s="364"/>
      <c r="X738" s="364"/>
      <c r="Y738" s="364"/>
      <c r="Z738" s="364"/>
      <c r="AA738" s="364"/>
      <c r="AB738" s="364"/>
      <c r="AC738" s="364"/>
      <c r="AD738" s="364"/>
    </row>
    <row r="739">
      <c r="A739" s="364"/>
      <c r="B739" s="364"/>
      <c r="C739" s="364"/>
      <c r="D739" s="364"/>
      <c r="E739" s="364"/>
      <c r="F739" s="364"/>
      <c r="G739" s="364"/>
      <c r="H739" s="364"/>
      <c r="I739" s="364"/>
      <c r="J739" s="364"/>
      <c r="K739" s="364"/>
      <c r="L739" s="364"/>
      <c r="M739" s="364"/>
      <c r="N739" s="364"/>
      <c r="O739" s="388"/>
      <c r="P739" s="364"/>
      <c r="Q739" s="364"/>
      <c r="R739" s="364"/>
      <c r="S739" s="364"/>
      <c r="T739" s="364"/>
      <c r="U739" s="364"/>
      <c r="V739" s="364"/>
      <c r="W739" s="364"/>
      <c r="X739" s="364"/>
      <c r="Y739" s="364"/>
      <c r="Z739" s="364"/>
      <c r="AA739" s="364"/>
      <c r="AB739" s="364"/>
      <c r="AC739" s="364"/>
      <c r="AD739" s="364"/>
    </row>
    <row r="740">
      <c r="A740" s="364"/>
      <c r="B740" s="364"/>
      <c r="C740" s="364"/>
      <c r="D740" s="364"/>
      <c r="E740" s="364"/>
      <c r="F740" s="364"/>
      <c r="G740" s="364"/>
      <c r="H740" s="364"/>
      <c r="I740" s="364"/>
      <c r="J740" s="364"/>
      <c r="K740" s="364"/>
      <c r="L740" s="364"/>
      <c r="M740" s="364"/>
      <c r="N740" s="364"/>
      <c r="O740" s="388"/>
      <c r="P740" s="364"/>
      <c r="Q740" s="364"/>
      <c r="R740" s="364"/>
      <c r="S740" s="364"/>
      <c r="T740" s="364"/>
      <c r="U740" s="364"/>
      <c r="V740" s="364"/>
      <c r="W740" s="364"/>
      <c r="X740" s="364"/>
      <c r="Y740" s="364"/>
      <c r="Z740" s="364"/>
      <c r="AA740" s="364"/>
      <c r="AB740" s="364"/>
      <c r="AC740" s="364"/>
      <c r="AD740" s="364"/>
    </row>
    <row r="741">
      <c r="A741" s="364"/>
      <c r="B741" s="364"/>
      <c r="C741" s="364"/>
      <c r="D741" s="364"/>
      <c r="E741" s="364"/>
      <c r="F741" s="364"/>
      <c r="G741" s="364"/>
      <c r="H741" s="364"/>
      <c r="I741" s="364"/>
      <c r="J741" s="364"/>
      <c r="K741" s="364"/>
      <c r="L741" s="364"/>
      <c r="M741" s="364"/>
      <c r="N741" s="364"/>
      <c r="O741" s="388"/>
      <c r="P741" s="364"/>
      <c r="Q741" s="364"/>
      <c r="R741" s="364"/>
      <c r="S741" s="364"/>
      <c r="T741" s="364"/>
      <c r="U741" s="364"/>
      <c r="V741" s="364"/>
      <c r="W741" s="364"/>
      <c r="X741" s="364"/>
      <c r="Y741" s="364"/>
      <c r="Z741" s="364"/>
      <c r="AA741" s="364"/>
      <c r="AB741" s="364"/>
      <c r="AC741" s="364"/>
      <c r="AD741" s="364"/>
    </row>
    <row r="742">
      <c r="A742" s="364"/>
      <c r="B742" s="364"/>
      <c r="C742" s="364"/>
      <c r="D742" s="364"/>
      <c r="E742" s="364"/>
      <c r="F742" s="364"/>
      <c r="G742" s="364"/>
      <c r="H742" s="364"/>
      <c r="I742" s="364"/>
      <c r="J742" s="364"/>
      <c r="K742" s="364"/>
      <c r="L742" s="364"/>
      <c r="M742" s="364"/>
      <c r="N742" s="364"/>
      <c r="O742" s="388"/>
      <c r="P742" s="364"/>
      <c r="Q742" s="364"/>
      <c r="R742" s="364"/>
      <c r="S742" s="364"/>
      <c r="T742" s="364"/>
      <c r="U742" s="364"/>
      <c r="V742" s="364"/>
      <c r="W742" s="364"/>
      <c r="X742" s="364"/>
      <c r="Y742" s="364"/>
      <c r="Z742" s="364"/>
      <c r="AA742" s="364"/>
      <c r="AB742" s="364"/>
      <c r="AC742" s="364"/>
      <c r="AD742" s="364"/>
    </row>
    <row r="743">
      <c r="A743" s="364"/>
      <c r="B743" s="364"/>
      <c r="C743" s="364"/>
      <c r="D743" s="364"/>
      <c r="E743" s="364"/>
      <c r="F743" s="364"/>
      <c r="G743" s="364"/>
      <c r="H743" s="364"/>
      <c r="I743" s="364"/>
      <c r="J743" s="364"/>
      <c r="K743" s="364"/>
      <c r="L743" s="364"/>
      <c r="M743" s="364"/>
      <c r="N743" s="364"/>
      <c r="O743" s="388"/>
      <c r="P743" s="364"/>
      <c r="Q743" s="364"/>
      <c r="R743" s="364"/>
      <c r="S743" s="364"/>
      <c r="T743" s="364"/>
      <c r="U743" s="364"/>
      <c r="V743" s="364"/>
      <c r="W743" s="364"/>
      <c r="X743" s="364"/>
      <c r="Y743" s="364"/>
      <c r="Z743" s="364"/>
      <c r="AA743" s="364"/>
      <c r="AB743" s="364"/>
      <c r="AC743" s="364"/>
      <c r="AD743" s="364"/>
    </row>
    <row r="744">
      <c r="A744" s="364"/>
      <c r="B744" s="364"/>
      <c r="C744" s="364"/>
      <c r="D744" s="364"/>
      <c r="E744" s="364"/>
      <c r="F744" s="364"/>
      <c r="G744" s="364"/>
      <c r="H744" s="364"/>
      <c r="I744" s="364"/>
      <c r="J744" s="364"/>
      <c r="K744" s="364"/>
      <c r="L744" s="364"/>
      <c r="M744" s="364"/>
      <c r="N744" s="364"/>
      <c r="O744" s="388"/>
      <c r="P744" s="364"/>
      <c r="Q744" s="364"/>
      <c r="R744" s="364"/>
      <c r="S744" s="364"/>
      <c r="T744" s="364"/>
      <c r="U744" s="364"/>
      <c r="V744" s="364"/>
      <c r="W744" s="364"/>
      <c r="X744" s="364"/>
      <c r="Y744" s="364"/>
      <c r="Z744" s="364"/>
      <c r="AA744" s="364"/>
      <c r="AB744" s="364"/>
      <c r="AC744" s="364"/>
      <c r="AD744" s="364"/>
    </row>
    <row r="745">
      <c r="A745" s="364"/>
      <c r="B745" s="364"/>
      <c r="C745" s="364"/>
      <c r="D745" s="364"/>
      <c r="E745" s="364"/>
      <c r="F745" s="364"/>
      <c r="G745" s="364"/>
      <c r="H745" s="364"/>
      <c r="I745" s="364"/>
      <c r="J745" s="364"/>
      <c r="K745" s="364"/>
      <c r="L745" s="364"/>
      <c r="M745" s="364"/>
      <c r="N745" s="364"/>
      <c r="O745" s="388"/>
      <c r="P745" s="364"/>
      <c r="Q745" s="364"/>
      <c r="R745" s="364"/>
      <c r="S745" s="364"/>
      <c r="T745" s="364"/>
      <c r="U745" s="364"/>
      <c r="V745" s="364"/>
      <c r="W745" s="364"/>
      <c r="X745" s="364"/>
      <c r="Y745" s="364"/>
      <c r="Z745" s="364"/>
      <c r="AA745" s="364"/>
      <c r="AB745" s="364"/>
      <c r="AC745" s="364"/>
      <c r="AD745" s="364"/>
    </row>
    <row r="746">
      <c r="A746" s="364"/>
      <c r="B746" s="364"/>
      <c r="C746" s="364"/>
      <c r="D746" s="364"/>
      <c r="E746" s="364"/>
      <c r="F746" s="364"/>
      <c r="G746" s="364"/>
      <c r="H746" s="364"/>
      <c r="I746" s="364"/>
      <c r="J746" s="364"/>
      <c r="K746" s="364"/>
      <c r="L746" s="364"/>
      <c r="M746" s="364"/>
      <c r="N746" s="364"/>
      <c r="O746" s="388"/>
      <c r="P746" s="364"/>
      <c r="Q746" s="364"/>
      <c r="R746" s="364"/>
      <c r="S746" s="364"/>
      <c r="T746" s="364"/>
      <c r="U746" s="364"/>
      <c r="V746" s="364"/>
      <c r="W746" s="364"/>
      <c r="X746" s="364"/>
      <c r="Y746" s="364"/>
      <c r="Z746" s="364"/>
      <c r="AA746" s="364"/>
      <c r="AB746" s="364"/>
      <c r="AC746" s="364"/>
      <c r="AD746" s="364"/>
    </row>
    <row r="747">
      <c r="A747" s="364"/>
      <c r="B747" s="364"/>
      <c r="C747" s="364"/>
      <c r="D747" s="364"/>
      <c r="E747" s="364"/>
      <c r="F747" s="364"/>
      <c r="G747" s="364"/>
      <c r="H747" s="364"/>
      <c r="I747" s="364"/>
      <c r="J747" s="364"/>
      <c r="K747" s="364"/>
      <c r="L747" s="364"/>
      <c r="M747" s="364"/>
      <c r="N747" s="364"/>
      <c r="O747" s="388"/>
      <c r="P747" s="364"/>
      <c r="Q747" s="364"/>
      <c r="R747" s="364"/>
      <c r="S747" s="364"/>
      <c r="T747" s="364"/>
      <c r="U747" s="364"/>
      <c r="V747" s="364"/>
      <c r="W747" s="364"/>
      <c r="X747" s="364"/>
      <c r="Y747" s="364"/>
      <c r="Z747" s="364"/>
      <c r="AA747" s="364"/>
      <c r="AB747" s="364"/>
      <c r="AC747" s="364"/>
      <c r="AD747" s="364"/>
    </row>
    <row r="748">
      <c r="A748" s="364"/>
      <c r="B748" s="364"/>
      <c r="C748" s="364"/>
      <c r="D748" s="364"/>
      <c r="E748" s="364"/>
      <c r="F748" s="364"/>
      <c r="G748" s="364"/>
      <c r="H748" s="364"/>
      <c r="I748" s="364"/>
      <c r="J748" s="364"/>
      <c r="K748" s="364"/>
      <c r="L748" s="364"/>
      <c r="M748" s="364"/>
      <c r="N748" s="364"/>
      <c r="O748" s="388"/>
      <c r="P748" s="364"/>
      <c r="Q748" s="364"/>
      <c r="R748" s="364"/>
      <c r="S748" s="364"/>
      <c r="T748" s="364"/>
      <c r="U748" s="364"/>
      <c r="V748" s="364"/>
      <c r="W748" s="364"/>
      <c r="X748" s="364"/>
      <c r="Y748" s="364"/>
      <c r="Z748" s="364"/>
      <c r="AA748" s="364"/>
      <c r="AB748" s="364"/>
      <c r="AC748" s="364"/>
      <c r="AD748" s="364"/>
    </row>
    <row r="749">
      <c r="A749" s="364"/>
      <c r="B749" s="364"/>
      <c r="C749" s="364"/>
      <c r="D749" s="364"/>
      <c r="E749" s="364"/>
      <c r="F749" s="364"/>
      <c r="G749" s="364"/>
      <c r="H749" s="364"/>
      <c r="I749" s="364"/>
      <c r="J749" s="364"/>
      <c r="K749" s="364"/>
      <c r="L749" s="364"/>
      <c r="M749" s="364"/>
      <c r="N749" s="364"/>
      <c r="O749" s="388"/>
      <c r="P749" s="364"/>
      <c r="Q749" s="364"/>
      <c r="R749" s="364"/>
      <c r="S749" s="364"/>
      <c r="T749" s="364"/>
      <c r="U749" s="364"/>
      <c r="V749" s="364"/>
      <c r="W749" s="364"/>
      <c r="X749" s="364"/>
      <c r="Y749" s="364"/>
      <c r="Z749" s="364"/>
      <c r="AA749" s="364"/>
      <c r="AB749" s="364"/>
      <c r="AC749" s="364"/>
      <c r="AD749" s="364"/>
    </row>
    <row r="750">
      <c r="A750" s="364"/>
      <c r="B750" s="364"/>
      <c r="C750" s="364"/>
      <c r="D750" s="364"/>
      <c r="E750" s="364"/>
      <c r="F750" s="364"/>
      <c r="G750" s="364"/>
      <c r="H750" s="364"/>
      <c r="I750" s="364"/>
      <c r="J750" s="364"/>
      <c r="K750" s="364"/>
      <c r="L750" s="364"/>
      <c r="M750" s="364"/>
      <c r="N750" s="364"/>
      <c r="O750" s="388"/>
      <c r="P750" s="364"/>
      <c r="Q750" s="364"/>
      <c r="R750" s="364"/>
      <c r="S750" s="364"/>
      <c r="T750" s="364"/>
      <c r="U750" s="364"/>
      <c r="V750" s="364"/>
      <c r="W750" s="364"/>
      <c r="X750" s="364"/>
      <c r="Y750" s="364"/>
      <c r="Z750" s="364"/>
      <c r="AA750" s="364"/>
      <c r="AB750" s="364"/>
      <c r="AC750" s="364"/>
      <c r="AD750" s="364"/>
    </row>
    <row r="751">
      <c r="A751" s="364"/>
      <c r="B751" s="364"/>
      <c r="C751" s="364"/>
      <c r="D751" s="364"/>
      <c r="E751" s="364"/>
      <c r="F751" s="364"/>
      <c r="G751" s="364"/>
      <c r="H751" s="364"/>
      <c r="I751" s="364"/>
      <c r="J751" s="364"/>
      <c r="K751" s="364"/>
      <c r="L751" s="364"/>
      <c r="M751" s="364"/>
      <c r="N751" s="364"/>
      <c r="O751" s="388"/>
      <c r="P751" s="364"/>
      <c r="Q751" s="364"/>
      <c r="R751" s="364"/>
      <c r="S751" s="364"/>
      <c r="T751" s="364"/>
      <c r="U751" s="364"/>
      <c r="V751" s="364"/>
      <c r="W751" s="364"/>
      <c r="X751" s="364"/>
      <c r="Y751" s="364"/>
      <c r="Z751" s="364"/>
      <c r="AA751" s="364"/>
      <c r="AB751" s="364"/>
      <c r="AC751" s="364"/>
      <c r="AD751" s="364"/>
    </row>
    <row r="752">
      <c r="A752" s="364"/>
      <c r="B752" s="364"/>
      <c r="C752" s="364"/>
      <c r="D752" s="364"/>
      <c r="E752" s="364"/>
      <c r="F752" s="364"/>
      <c r="G752" s="364"/>
      <c r="H752" s="364"/>
      <c r="I752" s="364"/>
      <c r="J752" s="364"/>
      <c r="K752" s="364"/>
      <c r="L752" s="364"/>
      <c r="M752" s="364"/>
      <c r="N752" s="364"/>
      <c r="O752" s="388"/>
      <c r="P752" s="364"/>
      <c r="Q752" s="364"/>
      <c r="R752" s="364"/>
      <c r="S752" s="364"/>
      <c r="T752" s="364"/>
      <c r="U752" s="364"/>
      <c r="V752" s="364"/>
      <c r="W752" s="364"/>
      <c r="X752" s="364"/>
      <c r="Y752" s="364"/>
      <c r="Z752" s="364"/>
      <c r="AA752" s="364"/>
      <c r="AB752" s="364"/>
      <c r="AC752" s="364"/>
      <c r="AD752" s="364"/>
    </row>
    <row r="753">
      <c r="A753" s="364"/>
      <c r="B753" s="364"/>
      <c r="C753" s="364"/>
      <c r="D753" s="364"/>
      <c r="E753" s="364"/>
      <c r="F753" s="364"/>
      <c r="G753" s="364"/>
      <c r="H753" s="364"/>
      <c r="I753" s="364"/>
      <c r="J753" s="364"/>
      <c r="K753" s="364"/>
      <c r="L753" s="364"/>
      <c r="M753" s="364"/>
      <c r="N753" s="364"/>
      <c r="O753" s="388"/>
      <c r="P753" s="364"/>
      <c r="Q753" s="364"/>
      <c r="R753" s="364"/>
      <c r="S753" s="364"/>
      <c r="T753" s="364"/>
      <c r="U753" s="364"/>
      <c r="V753" s="364"/>
      <c r="W753" s="364"/>
      <c r="X753" s="364"/>
      <c r="Y753" s="364"/>
      <c r="Z753" s="364"/>
      <c r="AA753" s="364"/>
      <c r="AB753" s="364"/>
      <c r="AC753" s="364"/>
      <c r="AD753" s="364"/>
    </row>
    <row r="754">
      <c r="A754" s="364"/>
      <c r="B754" s="364"/>
      <c r="C754" s="364"/>
      <c r="D754" s="364"/>
      <c r="E754" s="364"/>
      <c r="F754" s="364"/>
      <c r="G754" s="364"/>
      <c r="H754" s="364"/>
      <c r="I754" s="364"/>
      <c r="J754" s="364"/>
      <c r="K754" s="364"/>
      <c r="L754" s="364"/>
      <c r="M754" s="364"/>
      <c r="N754" s="364"/>
      <c r="O754" s="388"/>
      <c r="P754" s="364"/>
      <c r="Q754" s="364"/>
      <c r="R754" s="364"/>
      <c r="S754" s="364"/>
      <c r="T754" s="364"/>
      <c r="U754" s="364"/>
      <c r="V754" s="364"/>
      <c r="W754" s="364"/>
      <c r="X754" s="364"/>
      <c r="Y754" s="364"/>
      <c r="Z754" s="364"/>
      <c r="AA754" s="364"/>
      <c r="AB754" s="364"/>
      <c r="AC754" s="364"/>
      <c r="AD754" s="364"/>
    </row>
    <row r="755">
      <c r="A755" s="364"/>
      <c r="B755" s="364"/>
      <c r="C755" s="364"/>
      <c r="D755" s="364"/>
      <c r="E755" s="364"/>
      <c r="F755" s="364"/>
      <c r="G755" s="364"/>
      <c r="H755" s="364"/>
      <c r="I755" s="364"/>
      <c r="J755" s="364"/>
      <c r="K755" s="364"/>
      <c r="L755" s="364"/>
      <c r="M755" s="364"/>
      <c r="N755" s="364"/>
      <c r="O755" s="388"/>
      <c r="P755" s="364"/>
      <c r="Q755" s="364"/>
      <c r="R755" s="364"/>
      <c r="S755" s="364"/>
      <c r="T755" s="364"/>
      <c r="U755" s="364"/>
      <c r="V755" s="364"/>
      <c r="W755" s="364"/>
      <c r="X755" s="364"/>
      <c r="Y755" s="364"/>
      <c r="Z755" s="364"/>
      <c r="AA755" s="364"/>
      <c r="AB755" s="364"/>
      <c r="AC755" s="364"/>
      <c r="AD755" s="364"/>
    </row>
    <row r="756">
      <c r="A756" s="364"/>
      <c r="B756" s="364"/>
      <c r="C756" s="364"/>
      <c r="D756" s="364"/>
      <c r="E756" s="364"/>
      <c r="F756" s="364"/>
      <c r="G756" s="364"/>
      <c r="H756" s="364"/>
      <c r="I756" s="364"/>
      <c r="J756" s="364"/>
      <c r="K756" s="364"/>
      <c r="L756" s="364"/>
      <c r="M756" s="364"/>
      <c r="N756" s="364"/>
      <c r="O756" s="388"/>
      <c r="P756" s="364"/>
      <c r="Q756" s="364"/>
      <c r="R756" s="364"/>
      <c r="S756" s="364"/>
      <c r="T756" s="364"/>
      <c r="U756" s="364"/>
      <c r="V756" s="364"/>
      <c r="W756" s="364"/>
      <c r="X756" s="364"/>
      <c r="Y756" s="364"/>
      <c r="Z756" s="364"/>
      <c r="AA756" s="364"/>
      <c r="AB756" s="364"/>
      <c r="AC756" s="364"/>
      <c r="AD756" s="364"/>
    </row>
    <row r="757">
      <c r="A757" s="364"/>
      <c r="B757" s="364"/>
      <c r="C757" s="364"/>
      <c r="D757" s="364"/>
      <c r="E757" s="364"/>
      <c r="F757" s="364"/>
      <c r="G757" s="364"/>
      <c r="H757" s="364"/>
      <c r="I757" s="364"/>
      <c r="J757" s="364"/>
      <c r="K757" s="364"/>
      <c r="L757" s="364"/>
      <c r="M757" s="364"/>
      <c r="N757" s="364"/>
      <c r="O757" s="388"/>
      <c r="P757" s="364"/>
      <c r="Q757" s="364"/>
      <c r="R757" s="364"/>
      <c r="S757" s="364"/>
      <c r="T757" s="364"/>
      <c r="U757" s="364"/>
      <c r="V757" s="364"/>
      <c r="W757" s="364"/>
      <c r="X757" s="364"/>
      <c r="Y757" s="364"/>
      <c r="Z757" s="364"/>
      <c r="AA757" s="364"/>
      <c r="AB757" s="364"/>
      <c r="AC757" s="364"/>
      <c r="AD757" s="364"/>
    </row>
    <row r="758">
      <c r="A758" s="364"/>
      <c r="B758" s="364"/>
      <c r="C758" s="364"/>
      <c r="D758" s="364"/>
      <c r="E758" s="364"/>
      <c r="F758" s="364"/>
      <c r="G758" s="364"/>
      <c r="H758" s="364"/>
      <c r="I758" s="364"/>
      <c r="J758" s="364"/>
      <c r="K758" s="364"/>
      <c r="L758" s="364"/>
      <c r="M758" s="364"/>
      <c r="N758" s="364"/>
      <c r="O758" s="388"/>
      <c r="P758" s="364"/>
      <c r="Q758" s="364"/>
      <c r="R758" s="364"/>
      <c r="S758" s="364"/>
      <c r="T758" s="364"/>
      <c r="U758" s="364"/>
      <c r="V758" s="364"/>
      <c r="W758" s="364"/>
      <c r="X758" s="364"/>
      <c r="Y758" s="364"/>
      <c r="Z758" s="364"/>
      <c r="AA758" s="364"/>
      <c r="AB758" s="364"/>
      <c r="AC758" s="364"/>
      <c r="AD758" s="364"/>
    </row>
    <row r="759">
      <c r="A759" s="364"/>
      <c r="B759" s="364"/>
      <c r="C759" s="364"/>
      <c r="D759" s="364"/>
      <c r="E759" s="364"/>
      <c r="F759" s="364"/>
      <c r="G759" s="364"/>
      <c r="H759" s="364"/>
      <c r="I759" s="364"/>
      <c r="J759" s="364"/>
      <c r="K759" s="364"/>
      <c r="L759" s="364"/>
      <c r="M759" s="364"/>
      <c r="N759" s="364"/>
      <c r="O759" s="388"/>
      <c r="P759" s="364"/>
      <c r="Q759" s="364"/>
      <c r="R759" s="364"/>
      <c r="S759" s="364"/>
      <c r="T759" s="364"/>
      <c r="U759" s="364"/>
      <c r="V759" s="364"/>
      <c r="W759" s="364"/>
      <c r="X759" s="364"/>
      <c r="Y759" s="364"/>
      <c r="Z759" s="364"/>
      <c r="AA759" s="364"/>
      <c r="AB759" s="364"/>
      <c r="AC759" s="364"/>
      <c r="AD759" s="364"/>
    </row>
    <row r="760">
      <c r="A760" s="364"/>
      <c r="B760" s="364"/>
      <c r="C760" s="364"/>
      <c r="D760" s="364"/>
      <c r="E760" s="364"/>
      <c r="F760" s="364"/>
      <c r="G760" s="364"/>
      <c r="H760" s="364"/>
      <c r="I760" s="364"/>
      <c r="J760" s="364"/>
      <c r="K760" s="364"/>
      <c r="L760" s="364"/>
      <c r="M760" s="364"/>
      <c r="N760" s="364"/>
      <c r="O760" s="388"/>
      <c r="P760" s="364"/>
      <c r="Q760" s="364"/>
      <c r="R760" s="364"/>
      <c r="S760" s="364"/>
      <c r="T760" s="364"/>
      <c r="U760" s="364"/>
      <c r="V760" s="364"/>
      <c r="W760" s="364"/>
      <c r="X760" s="364"/>
      <c r="Y760" s="364"/>
      <c r="Z760" s="364"/>
      <c r="AA760" s="364"/>
      <c r="AB760" s="364"/>
      <c r="AC760" s="364"/>
      <c r="AD760" s="364"/>
    </row>
    <row r="761">
      <c r="A761" s="364"/>
      <c r="B761" s="364"/>
      <c r="C761" s="364"/>
      <c r="D761" s="364"/>
      <c r="E761" s="364"/>
      <c r="F761" s="364"/>
      <c r="G761" s="364"/>
      <c r="H761" s="364"/>
      <c r="I761" s="364"/>
      <c r="J761" s="364"/>
      <c r="K761" s="364"/>
      <c r="L761" s="364"/>
      <c r="M761" s="364"/>
      <c r="N761" s="364"/>
      <c r="O761" s="388"/>
      <c r="P761" s="364"/>
      <c r="Q761" s="364"/>
      <c r="R761" s="364"/>
      <c r="S761" s="364"/>
      <c r="T761" s="364"/>
      <c r="U761" s="364"/>
      <c r="V761" s="364"/>
      <c r="W761" s="364"/>
      <c r="X761" s="364"/>
      <c r="Y761" s="364"/>
      <c r="Z761" s="364"/>
      <c r="AA761" s="364"/>
      <c r="AB761" s="364"/>
      <c r="AC761" s="364"/>
      <c r="AD761" s="364"/>
    </row>
    <row r="762">
      <c r="A762" s="364"/>
      <c r="B762" s="364"/>
      <c r="C762" s="364"/>
      <c r="D762" s="364"/>
      <c r="E762" s="364"/>
      <c r="F762" s="364"/>
      <c r="G762" s="364"/>
      <c r="H762" s="364"/>
      <c r="I762" s="364"/>
      <c r="J762" s="364"/>
      <c r="K762" s="364"/>
      <c r="L762" s="364"/>
      <c r="M762" s="364"/>
      <c r="N762" s="364"/>
      <c r="O762" s="388"/>
      <c r="P762" s="364"/>
      <c r="Q762" s="364"/>
      <c r="R762" s="364"/>
      <c r="S762" s="364"/>
      <c r="T762" s="364"/>
      <c r="U762" s="364"/>
      <c r="V762" s="364"/>
      <c r="W762" s="364"/>
      <c r="X762" s="364"/>
      <c r="Y762" s="364"/>
      <c r="Z762" s="364"/>
      <c r="AA762" s="364"/>
      <c r="AB762" s="364"/>
      <c r="AC762" s="364"/>
      <c r="AD762" s="364"/>
    </row>
    <row r="763">
      <c r="A763" s="364"/>
      <c r="B763" s="364"/>
      <c r="C763" s="364"/>
      <c r="D763" s="364"/>
      <c r="E763" s="364"/>
      <c r="F763" s="364"/>
      <c r="G763" s="364"/>
      <c r="H763" s="364"/>
      <c r="I763" s="364"/>
      <c r="J763" s="364"/>
      <c r="K763" s="364"/>
      <c r="L763" s="364"/>
      <c r="M763" s="364"/>
      <c r="N763" s="364"/>
      <c r="O763" s="388"/>
      <c r="P763" s="364"/>
      <c r="Q763" s="364"/>
      <c r="R763" s="364"/>
      <c r="S763" s="364"/>
      <c r="T763" s="364"/>
      <c r="U763" s="364"/>
      <c r="V763" s="364"/>
      <c r="W763" s="364"/>
      <c r="X763" s="364"/>
      <c r="Y763" s="364"/>
      <c r="Z763" s="364"/>
      <c r="AA763" s="364"/>
      <c r="AB763" s="364"/>
      <c r="AC763" s="364"/>
      <c r="AD763" s="364"/>
    </row>
    <row r="764">
      <c r="A764" s="364"/>
      <c r="B764" s="364"/>
      <c r="C764" s="364"/>
      <c r="D764" s="364"/>
      <c r="E764" s="364"/>
      <c r="F764" s="364"/>
      <c r="G764" s="364"/>
      <c r="H764" s="364"/>
      <c r="I764" s="364"/>
      <c r="J764" s="364"/>
      <c r="K764" s="364"/>
      <c r="L764" s="364"/>
      <c r="M764" s="364"/>
      <c r="N764" s="364"/>
      <c r="O764" s="388"/>
      <c r="P764" s="364"/>
      <c r="Q764" s="364"/>
      <c r="R764" s="364"/>
      <c r="S764" s="364"/>
      <c r="T764" s="364"/>
      <c r="U764" s="364"/>
      <c r="V764" s="364"/>
      <c r="W764" s="364"/>
      <c r="X764" s="364"/>
      <c r="Y764" s="364"/>
      <c r="Z764" s="364"/>
      <c r="AA764" s="364"/>
      <c r="AB764" s="364"/>
      <c r="AC764" s="364"/>
      <c r="AD764" s="364"/>
    </row>
    <row r="765">
      <c r="A765" s="364"/>
      <c r="B765" s="364"/>
      <c r="C765" s="364"/>
      <c r="D765" s="364"/>
      <c r="E765" s="364"/>
      <c r="F765" s="364"/>
      <c r="G765" s="364"/>
      <c r="H765" s="364"/>
      <c r="I765" s="364"/>
      <c r="J765" s="364"/>
      <c r="K765" s="364"/>
      <c r="L765" s="364"/>
      <c r="M765" s="364"/>
      <c r="N765" s="364"/>
      <c r="O765" s="388"/>
      <c r="P765" s="364"/>
      <c r="Q765" s="364"/>
      <c r="R765" s="364"/>
      <c r="S765" s="364"/>
      <c r="T765" s="364"/>
      <c r="U765" s="364"/>
      <c r="V765" s="364"/>
      <c r="W765" s="364"/>
      <c r="X765" s="364"/>
      <c r="Y765" s="364"/>
      <c r="Z765" s="364"/>
      <c r="AA765" s="364"/>
      <c r="AB765" s="364"/>
      <c r="AC765" s="364"/>
      <c r="AD765" s="364"/>
    </row>
    <row r="766">
      <c r="A766" s="364"/>
      <c r="B766" s="364"/>
      <c r="C766" s="364"/>
      <c r="D766" s="364"/>
      <c r="E766" s="364"/>
      <c r="F766" s="364"/>
      <c r="G766" s="364"/>
      <c r="H766" s="364"/>
      <c r="I766" s="364"/>
      <c r="J766" s="364"/>
      <c r="K766" s="364"/>
      <c r="L766" s="364"/>
      <c r="M766" s="364"/>
      <c r="N766" s="364"/>
      <c r="O766" s="388"/>
      <c r="P766" s="364"/>
      <c r="Q766" s="364"/>
      <c r="R766" s="364"/>
      <c r="S766" s="364"/>
      <c r="T766" s="364"/>
      <c r="U766" s="364"/>
      <c r="V766" s="364"/>
      <c r="W766" s="364"/>
      <c r="X766" s="364"/>
      <c r="Y766" s="364"/>
      <c r="Z766" s="364"/>
      <c r="AA766" s="364"/>
      <c r="AB766" s="364"/>
      <c r="AC766" s="364"/>
      <c r="AD766" s="364"/>
    </row>
    <row r="767">
      <c r="A767" s="364"/>
      <c r="B767" s="364"/>
      <c r="C767" s="364"/>
      <c r="D767" s="364"/>
      <c r="E767" s="364"/>
      <c r="F767" s="364"/>
      <c r="G767" s="364"/>
      <c r="H767" s="364"/>
      <c r="I767" s="364"/>
      <c r="J767" s="364"/>
      <c r="K767" s="364"/>
      <c r="L767" s="364"/>
      <c r="M767" s="364"/>
      <c r="N767" s="364"/>
      <c r="O767" s="388"/>
      <c r="P767" s="364"/>
      <c r="Q767" s="364"/>
      <c r="R767" s="364"/>
      <c r="S767" s="364"/>
      <c r="T767" s="364"/>
      <c r="U767" s="364"/>
      <c r="V767" s="364"/>
      <c r="W767" s="364"/>
      <c r="X767" s="364"/>
      <c r="Y767" s="364"/>
      <c r="Z767" s="364"/>
      <c r="AA767" s="364"/>
      <c r="AB767" s="364"/>
      <c r="AC767" s="364"/>
      <c r="AD767" s="364"/>
    </row>
    <row r="768">
      <c r="A768" s="364"/>
      <c r="B768" s="364"/>
      <c r="C768" s="364"/>
      <c r="D768" s="364"/>
      <c r="E768" s="364"/>
      <c r="F768" s="364"/>
      <c r="G768" s="364"/>
      <c r="H768" s="364"/>
      <c r="I768" s="364"/>
      <c r="J768" s="364"/>
      <c r="K768" s="364"/>
      <c r="L768" s="364"/>
      <c r="M768" s="364"/>
      <c r="N768" s="364"/>
      <c r="O768" s="388"/>
      <c r="P768" s="364"/>
      <c r="Q768" s="364"/>
      <c r="R768" s="364"/>
      <c r="S768" s="364"/>
      <c r="T768" s="364"/>
      <c r="U768" s="364"/>
      <c r="V768" s="364"/>
      <c r="W768" s="364"/>
      <c r="X768" s="364"/>
      <c r="Y768" s="364"/>
      <c r="Z768" s="364"/>
      <c r="AA768" s="364"/>
      <c r="AB768" s="364"/>
      <c r="AC768" s="364"/>
      <c r="AD768" s="364"/>
    </row>
    <row r="769">
      <c r="A769" s="364"/>
      <c r="B769" s="364"/>
      <c r="C769" s="364"/>
      <c r="D769" s="364"/>
      <c r="E769" s="364"/>
      <c r="F769" s="364"/>
      <c r="G769" s="364"/>
      <c r="H769" s="364"/>
      <c r="I769" s="364"/>
      <c r="J769" s="364"/>
      <c r="K769" s="364"/>
      <c r="L769" s="364"/>
      <c r="M769" s="364"/>
      <c r="N769" s="364"/>
      <c r="O769" s="388"/>
      <c r="P769" s="364"/>
      <c r="Q769" s="364"/>
      <c r="R769" s="364"/>
      <c r="S769" s="364"/>
      <c r="T769" s="364"/>
      <c r="U769" s="364"/>
      <c r="V769" s="364"/>
      <c r="W769" s="364"/>
      <c r="X769" s="364"/>
      <c r="Y769" s="364"/>
      <c r="Z769" s="364"/>
      <c r="AA769" s="364"/>
      <c r="AB769" s="364"/>
      <c r="AC769" s="364"/>
      <c r="AD769" s="364"/>
    </row>
    <row r="770">
      <c r="A770" s="364"/>
      <c r="B770" s="364"/>
      <c r="C770" s="364"/>
      <c r="D770" s="364"/>
      <c r="E770" s="364"/>
      <c r="F770" s="364"/>
      <c r="G770" s="364"/>
      <c r="H770" s="364"/>
      <c r="I770" s="364"/>
      <c r="J770" s="364"/>
      <c r="K770" s="364"/>
      <c r="L770" s="364"/>
      <c r="M770" s="364"/>
      <c r="N770" s="364"/>
      <c r="O770" s="388"/>
      <c r="P770" s="364"/>
      <c r="Q770" s="364"/>
      <c r="R770" s="364"/>
      <c r="S770" s="364"/>
      <c r="T770" s="364"/>
      <c r="U770" s="364"/>
      <c r="V770" s="364"/>
      <c r="W770" s="364"/>
      <c r="X770" s="364"/>
      <c r="Y770" s="364"/>
      <c r="Z770" s="364"/>
      <c r="AA770" s="364"/>
      <c r="AB770" s="364"/>
      <c r="AC770" s="364"/>
      <c r="AD770" s="364"/>
    </row>
    <row r="771">
      <c r="A771" s="364"/>
      <c r="B771" s="364"/>
      <c r="C771" s="364"/>
      <c r="D771" s="364"/>
      <c r="E771" s="364"/>
      <c r="F771" s="364"/>
      <c r="G771" s="364"/>
      <c r="H771" s="364"/>
      <c r="I771" s="364"/>
      <c r="J771" s="364"/>
      <c r="K771" s="364"/>
      <c r="L771" s="364"/>
      <c r="M771" s="364"/>
      <c r="N771" s="364"/>
      <c r="O771" s="388"/>
      <c r="P771" s="364"/>
      <c r="Q771" s="364"/>
      <c r="R771" s="364"/>
      <c r="S771" s="364"/>
      <c r="T771" s="364"/>
      <c r="U771" s="364"/>
      <c r="V771" s="364"/>
      <c r="W771" s="364"/>
      <c r="X771" s="364"/>
      <c r="Y771" s="364"/>
      <c r="Z771" s="364"/>
      <c r="AA771" s="364"/>
      <c r="AB771" s="364"/>
      <c r="AC771" s="364"/>
      <c r="AD771" s="364"/>
    </row>
    <row r="772">
      <c r="A772" s="364"/>
      <c r="B772" s="364"/>
      <c r="C772" s="364"/>
      <c r="D772" s="364"/>
      <c r="E772" s="364"/>
      <c r="F772" s="364"/>
      <c r="G772" s="364"/>
      <c r="H772" s="364"/>
      <c r="I772" s="364"/>
      <c r="J772" s="364"/>
      <c r="K772" s="364"/>
      <c r="L772" s="364"/>
      <c r="M772" s="364"/>
      <c r="N772" s="364"/>
      <c r="O772" s="388"/>
      <c r="P772" s="364"/>
      <c r="Q772" s="364"/>
      <c r="R772" s="364"/>
      <c r="S772" s="364"/>
      <c r="T772" s="364"/>
      <c r="U772" s="364"/>
      <c r="V772" s="364"/>
      <c r="W772" s="364"/>
      <c r="X772" s="364"/>
      <c r="Y772" s="364"/>
      <c r="Z772" s="364"/>
      <c r="AA772" s="364"/>
      <c r="AB772" s="364"/>
      <c r="AC772" s="364"/>
      <c r="AD772" s="364"/>
    </row>
    <row r="773">
      <c r="A773" s="364"/>
      <c r="B773" s="364"/>
      <c r="C773" s="364"/>
      <c r="D773" s="364"/>
      <c r="E773" s="364"/>
      <c r="F773" s="364"/>
      <c r="G773" s="364"/>
      <c r="H773" s="364"/>
      <c r="I773" s="364"/>
      <c r="J773" s="364"/>
      <c r="K773" s="364"/>
      <c r="L773" s="364"/>
      <c r="M773" s="364"/>
      <c r="N773" s="364"/>
      <c r="O773" s="388"/>
      <c r="P773" s="364"/>
      <c r="Q773" s="364"/>
      <c r="R773" s="364"/>
      <c r="S773" s="364"/>
      <c r="T773" s="364"/>
      <c r="U773" s="364"/>
      <c r="V773" s="364"/>
      <c r="W773" s="364"/>
      <c r="X773" s="364"/>
      <c r="Y773" s="364"/>
      <c r="Z773" s="364"/>
      <c r="AA773" s="364"/>
      <c r="AB773" s="364"/>
      <c r="AC773" s="364"/>
      <c r="AD773" s="364"/>
    </row>
    <row r="774">
      <c r="A774" s="364"/>
      <c r="B774" s="364"/>
      <c r="C774" s="364"/>
      <c r="D774" s="364"/>
      <c r="E774" s="364"/>
      <c r="F774" s="364"/>
      <c r="G774" s="364"/>
      <c r="H774" s="364"/>
      <c r="I774" s="364"/>
      <c r="J774" s="364"/>
      <c r="K774" s="364"/>
      <c r="L774" s="364"/>
      <c r="M774" s="364"/>
      <c r="N774" s="364"/>
      <c r="O774" s="388"/>
      <c r="P774" s="364"/>
      <c r="Q774" s="364"/>
      <c r="R774" s="364"/>
      <c r="S774" s="364"/>
      <c r="T774" s="364"/>
      <c r="U774" s="364"/>
      <c r="V774" s="364"/>
      <c r="W774" s="364"/>
      <c r="X774" s="364"/>
      <c r="Y774" s="364"/>
      <c r="Z774" s="364"/>
      <c r="AA774" s="364"/>
      <c r="AB774" s="364"/>
      <c r="AC774" s="364"/>
      <c r="AD774" s="364"/>
    </row>
    <row r="775">
      <c r="A775" s="364"/>
      <c r="B775" s="364"/>
      <c r="C775" s="364"/>
      <c r="D775" s="364"/>
      <c r="E775" s="364"/>
      <c r="F775" s="364"/>
      <c r="G775" s="364"/>
      <c r="H775" s="364"/>
      <c r="I775" s="364"/>
      <c r="J775" s="364"/>
      <c r="K775" s="364"/>
      <c r="L775" s="364"/>
      <c r="M775" s="364"/>
      <c r="N775" s="364"/>
      <c r="O775" s="388"/>
      <c r="P775" s="364"/>
      <c r="Q775" s="364"/>
      <c r="R775" s="364"/>
      <c r="S775" s="364"/>
      <c r="T775" s="364"/>
      <c r="U775" s="364"/>
      <c r="V775" s="364"/>
      <c r="W775" s="364"/>
      <c r="X775" s="364"/>
      <c r="Y775" s="364"/>
      <c r="Z775" s="364"/>
      <c r="AA775" s="364"/>
      <c r="AB775" s="364"/>
      <c r="AC775" s="364"/>
      <c r="AD775" s="364"/>
    </row>
    <row r="776">
      <c r="A776" s="364"/>
      <c r="B776" s="364"/>
      <c r="C776" s="364"/>
      <c r="D776" s="364"/>
      <c r="E776" s="364"/>
      <c r="F776" s="364"/>
      <c r="G776" s="364"/>
      <c r="H776" s="364"/>
      <c r="I776" s="364"/>
      <c r="J776" s="364"/>
      <c r="K776" s="364"/>
      <c r="L776" s="364"/>
      <c r="M776" s="364"/>
      <c r="N776" s="364"/>
      <c r="O776" s="388"/>
      <c r="P776" s="364"/>
      <c r="Q776" s="364"/>
      <c r="R776" s="364"/>
      <c r="S776" s="364"/>
      <c r="T776" s="364"/>
      <c r="U776" s="364"/>
      <c r="V776" s="364"/>
      <c r="W776" s="364"/>
      <c r="X776" s="364"/>
      <c r="Y776" s="364"/>
      <c r="Z776" s="364"/>
      <c r="AA776" s="364"/>
      <c r="AB776" s="364"/>
      <c r="AC776" s="364"/>
      <c r="AD776" s="364"/>
    </row>
    <row r="777">
      <c r="A777" s="364"/>
      <c r="B777" s="364"/>
      <c r="C777" s="364"/>
      <c r="D777" s="364"/>
      <c r="E777" s="364"/>
      <c r="F777" s="364"/>
      <c r="G777" s="364"/>
      <c r="H777" s="364"/>
      <c r="I777" s="364"/>
      <c r="J777" s="364"/>
      <c r="K777" s="364"/>
      <c r="L777" s="364"/>
      <c r="M777" s="364"/>
      <c r="N777" s="364"/>
      <c r="O777" s="388"/>
      <c r="P777" s="364"/>
      <c r="Q777" s="364"/>
      <c r="R777" s="364"/>
      <c r="S777" s="364"/>
      <c r="T777" s="364"/>
      <c r="U777" s="364"/>
      <c r="V777" s="364"/>
      <c r="W777" s="364"/>
      <c r="X777" s="364"/>
      <c r="Y777" s="364"/>
      <c r="Z777" s="364"/>
      <c r="AA777" s="364"/>
      <c r="AB777" s="364"/>
      <c r="AC777" s="364"/>
      <c r="AD777" s="364"/>
    </row>
    <row r="778">
      <c r="A778" s="364"/>
      <c r="B778" s="364"/>
      <c r="C778" s="364"/>
      <c r="D778" s="364"/>
      <c r="E778" s="364"/>
      <c r="F778" s="364"/>
      <c r="G778" s="364"/>
      <c r="H778" s="364"/>
      <c r="I778" s="364"/>
      <c r="J778" s="364"/>
      <c r="K778" s="364"/>
      <c r="L778" s="364"/>
      <c r="M778" s="364"/>
      <c r="N778" s="364"/>
      <c r="O778" s="388"/>
      <c r="P778" s="364"/>
      <c r="Q778" s="364"/>
      <c r="R778" s="364"/>
      <c r="S778" s="364"/>
      <c r="T778" s="364"/>
      <c r="U778" s="364"/>
      <c r="V778" s="364"/>
      <c r="W778" s="364"/>
      <c r="X778" s="364"/>
      <c r="Y778" s="364"/>
      <c r="Z778" s="364"/>
      <c r="AA778" s="364"/>
      <c r="AB778" s="364"/>
      <c r="AC778" s="364"/>
      <c r="AD778" s="364"/>
    </row>
    <row r="779">
      <c r="A779" s="364"/>
      <c r="B779" s="364"/>
      <c r="C779" s="364"/>
      <c r="D779" s="364"/>
      <c r="E779" s="364"/>
      <c r="F779" s="364"/>
      <c r="G779" s="364"/>
      <c r="H779" s="364"/>
      <c r="I779" s="364"/>
      <c r="J779" s="364"/>
      <c r="K779" s="364"/>
      <c r="L779" s="364"/>
      <c r="M779" s="364"/>
      <c r="N779" s="364"/>
      <c r="O779" s="388"/>
      <c r="P779" s="364"/>
      <c r="Q779" s="364"/>
      <c r="R779" s="364"/>
      <c r="S779" s="364"/>
      <c r="T779" s="364"/>
      <c r="U779" s="364"/>
      <c r="V779" s="364"/>
      <c r="W779" s="364"/>
      <c r="X779" s="364"/>
      <c r="Y779" s="364"/>
      <c r="Z779" s="364"/>
      <c r="AA779" s="364"/>
      <c r="AB779" s="364"/>
      <c r="AC779" s="364"/>
      <c r="AD779" s="364"/>
    </row>
    <row r="780">
      <c r="A780" s="364"/>
      <c r="B780" s="364"/>
      <c r="C780" s="364"/>
      <c r="D780" s="364"/>
      <c r="E780" s="364"/>
      <c r="F780" s="364"/>
      <c r="G780" s="364"/>
      <c r="H780" s="364"/>
      <c r="I780" s="364"/>
      <c r="J780" s="364"/>
      <c r="K780" s="364"/>
      <c r="L780" s="364"/>
      <c r="M780" s="364"/>
      <c r="N780" s="364"/>
      <c r="O780" s="388"/>
      <c r="P780" s="364"/>
      <c r="Q780" s="364"/>
      <c r="R780" s="364"/>
      <c r="S780" s="364"/>
      <c r="T780" s="364"/>
      <c r="U780" s="364"/>
      <c r="V780" s="364"/>
      <c r="W780" s="364"/>
      <c r="X780" s="364"/>
      <c r="Y780" s="364"/>
      <c r="Z780" s="364"/>
      <c r="AA780" s="364"/>
      <c r="AB780" s="364"/>
      <c r="AC780" s="364"/>
      <c r="AD780" s="364"/>
    </row>
    <row r="781">
      <c r="A781" s="364"/>
      <c r="B781" s="364"/>
      <c r="C781" s="364"/>
      <c r="D781" s="364"/>
      <c r="E781" s="364"/>
      <c r="F781" s="364"/>
      <c r="G781" s="364"/>
      <c r="H781" s="364"/>
      <c r="I781" s="364"/>
      <c r="J781" s="364"/>
      <c r="K781" s="364"/>
      <c r="L781" s="364"/>
      <c r="M781" s="364"/>
      <c r="N781" s="364"/>
      <c r="O781" s="388"/>
      <c r="P781" s="364"/>
      <c r="Q781" s="364"/>
      <c r="R781" s="364"/>
      <c r="S781" s="364"/>
      <c r="T781" s="364"/>
      <c r="U781" s="364"/>
      <c r="V781" s="364"/>
      <c r="W781" s="364"/>
      <c r="X781" s="364"/>
      <c r="Y781" s="364"/>
      <c r="Z781" s="364"/>
      <c r="AA781" s="364"/>
      <c r="AB781" s="364"/>
      <c r="AC781" s="364"/>
      <c r="AD781" s="364"/>
    </row>
    <row r="782">
      <c r="A782" s="364"/>
      <c r="B782" s="364"/>
      <c r="C782" s="364"/>
      <c r="D782" s="364"/>
      <c r="E782" s="364"/>
      <c r="F782" s="364"/>
      <c r="G782" s="364"/>
      <c r="H782" s="364"/>
      <c r="I782" s="364"/>
      <c r="J782" s="364"/>
      <c r="K782" s="364"/>
      <c r="L782" s="364"/>
      <c r="M782" s="364"/>
      <c r="N782" s="364"/>
      <c r="O782" s="388"/>
      <c r="P782" s="364"/>
      <c r="Q782" s="364"/>
      <c r="R782" s="364"/>
      <c r="S782" s="364"/>
      <c r="T782" s="364"/>
      <c r="U782" s="364"/>
      <c r="V782" s="364"/>
      <c r="W782" s="364"/>
      <c r="X782" s="364"/>
      <c r="Y782" s="364"/>
      <c r="Z782" s="364"/>
      <c r="AA782" s="364"/>
      <c r="AB782" s="364"/>
      <c r="AC782" s="364"/>
      <c r="AD782" s="364"/>
    </row>
    <row r="783">
      <c r="A783" s="364"/>
      <c r="B783" s="364"/>
      <c r="C783" s="364"/>
      <c r="D783" s="364"/>
      <c r="E783" s="364"/>
      <c r="F783" s="364"/>
      <c r="G783" s="364"/>
      <c r="H783" s="364"/>
      <c r="I783" s="364"/>
      <c r="J783" s="364"/>
      <c r="K783" s="364"/>
      <c r="L783" s="364"/>
      <c r="M783" s="364"/>
      <c r="N783" s="364"/>
      <c r="O783" s="388"/>
      <c r="P783" s="364"/>
      <c r="Q783" s="364"/>
      <c r="R783" s="364"/>
      <c r="S783" s="364"/>
      <c r="T783" s="364"/>
      <c r="U783" s="364"/>
      <c r="V783" s="364"/>
      <c r="W783" s="364"/>
      <c r="X783" s="364"/>
      <c r="Y783" s="364"/>
      <c r="Z783" s="364"/>
      <c r="AA783" s="364"/>
      <c r="AB783" s="364"/>
      <c r="AC783" s="364"/>
      <c r="AD783" s="364"/>
    </row>
    <row r="784">
      <c r="A784" s="364"/>
      <c r="B784" s="364"/>
      <c r="C784" s="364"/>
      <c r="D784" s="364"/>
      <c r="E784" s="364"/>
      <c r="F784" s="364"/>
      <c r="G784" s="364"/>
      <c r="H784" s="364"/>
      <c r="I784" s="364"/>
      <c r="J784" s="364"/>
      <c r="K784" s="364"/>
      <c r="L784" s="364"/>
      <c r="M784" s="364"/>
      <c r="N784" s="364"/>
      <c r="O784" s="388"/>
      <c r="P784" s="364"/>
      <c r="Q784" s="364"/>
      <c r="R784" s="364"/>
      <c r="S784" s="364"/>
      <c r="T784" s="364"/>
      <c r="U784" s="364"/>
      <c r="V784" s="364"/>
      <c r="W784" s="364"/>
      <c r="X784" s="364"/>
      <c r="Y784" s="364"/>
      <c r="Z784" s="364"/>
      <c r="AA784" s="364"/>
      <c r="AB784" s="364"/>
      <c r="AC784" s="364"/>
      <c r="AD784" s="364"/>
    </row>
    <row r="785">
      <c r="A785" s="364"/>
      <c r="B785" s="364"/>
      <c r="C785" s="364"/>
      <c r="D785" s="364"/>
      <c r="E785" s="364"/>
      <c r="F785" s="364"/>
      <c r="G785" s="364"/>
      <c r="H785" s="364"/>
      <c r="I785" s="364"/>
      <c r="J785" s="364"/>
      <c r="K785" s="364"/>
      <c r="L785" s="364"/>
      <c r="M785" s="364"/>
      <c r="N785" s="364"/>
      <c r="O785" s="388"/>
      <c r="P785" s="364"/>
      <c r="Q785" s="364"/>
      <c r="R785" s="364"/>
      <c r="S785" s="364"/>
      <c r="T785" s="364"/>
      <c r="U785" s="364"/>
      <c r="V785" s="364"/>
      <c r="W785" s="364"/>
      <c r="X785" s="364"/>
      <c r="Y785" s="364"/>
      <c r="Z785" s="364"/>
      <c r="AA785" s="364"/>
      <c r="AB785" s="364"/>
      <c r="AC785" s="364"/>
      <c r="AD785" s="364"/>
    </row>
    <row r="786">
      <c r="A786" s="364"/>
      <c r="B786" s="364"/>
      <c r="C786" s="364"/>
      <c r="D786" s="364"/>
      <c r="E786" s="364"/>
      <c r="F786" s="364"/>
      <c r="G786" s="364"/>
      <c r="H786" s="364"/>
      <c r="I786" s="364"/>
      <c r="J786" s="364"/>
      <c r="K786" s="364"/>
      <c r="L786" s="364"/>
      <c r="M786" s="364"/>
      <c r="N786" s="364"/>
      <c r="O786" s="388"/>
      <c r="P786" s="364"/>
      <c r="Q786" s="364"/>
      <c r="R786" s="364"/>
      <c r="S786" s="364"/>
      <c r="T786" s="364"/>
      <c r="U786" s="364"/>
      <c r="V786" s="364"/>
      <c r="W786" s="364"/>
      <c r="X786" s="364"/>
      <c r="Y786" s="364"/>
      <c r="Z786" s="364"/>
      <c r="AA786" s="364"/>
      <c r="AB786" s="364"/>
      <c r="AC786" s="364"/>
      <c r="AD786" s="364"/>
    </row>
    <row r="787">
      <c r="A787" s="364"/>
      <c r="B787" s="364"/>
      <c r="C787" s="364"/>
      <c r="D787" s="364"/>
      <c r="E787" s="364"/>
      <c r="F787" s="364"/>
      <c r="G787" s="364"/>
      <c r="H787" s="364"/>
      <c r="I787" s="364"/>
      <c r="J787" s="364"/>
      <c r="K787" s="364"/>
      <c r="L787" s="364"/>
      <c r="M787" s="364"/>
      <c r="N787" s="364"/>
      <c r="O787" s="388"/>
      <c r="P787" s="364"/>
      <c r="Q787" s="364"/>
      <c r="R787" s="364"/>
      <c r="S787" s="364"/>
      <c r="T787" s="364"/>
      <c r="U787" s="364"/>
      <c r="V787" s="364"/>
      <c r="W787" s="364"/>
      <c r="X787" s="364"/>
      <c r="Y787" s="364"/>
      <c r="Z787" s="364"/>
      <c r="AA787" s="364"/>
      <c r="AB787" s="364"/>
      <c r="AC787" s="364"/>
      <c r="AD787" s="364"/>
    </row>
    <row r="788">
      <c r="A788" s="364"/>
      <c r="B788" s="364"/>
      <c r="C788" s="364"/>
      <c r="D788" s="364"/>
      <c r="E788" s="364"/>
      <c r="F788" s="364"/>
      <c r="G788" s="364"/>
      <c r="H788" s="364"/>
      <c r="I788" s="364"/>
      <c r="J788" s="364"/>
      <c r="K788" s="364"/>
      <c r="L788" s="364"/>
      <c r="M788" s="364"/>
      <c r="N788" s="364"/>
      <c r="O788" s="388"/>
      <c r="P788" s="364"/>
      <c r="Q788" s="364"/>
      <c r="R788" s="364"/>
      <c r="S788" s="364"/>
      <c r="T788" s="364"/>
      <c r="U788" s="364"/>
      <c r="V788" s="364"/>
      <c r="W788" s="364"/>
      <c r="X788" s="364"/>
      <c r="Y788" s="364"/>
      <c r="Z788" s="364"/>
      <c r="AA788" s="364"/>
      <c r="AB788" s="364"/>
      <c r="AC788" s="364"/>
      <c r="AD788" s="364"/>
    </row>
    <row r="789">
      <c r="A789" s="364"/>
      <c r="B789" s="364"/>
      <c r="C789" s="364"/>
      <c r="D789" s="364"/>
      <c r="E789" s="364"/>
      <c r="F789" s="364"/>
      <c r="G789" s="364"/>
      <c r="H789" s="364"/>
      <c r="I789" s="364"/>
      <c r="J789" s="364"/>
      <c r="K789" s="364"/>
      <c r="L789" s="364"/>
      <c r="M789" s="364"/>
      <c r="N789" s="364"/>
      <c r="O789" s="388"/>
      <c r="P789" s="364"/>
      <c r="Q789" s="364"/>
      <c r="R789" s="364"/>
      <c r="S789" s="364"/>
      <c r="T789" s="364"/>
      <c r="U789" s="364"/>
      <c r="V789" s="364"/>
      <c r="W789" s="364"/>
      <c r="X789" s="364"/>
      <c r="Y789" s="364"/>
      <c r="Z789" s="364"/>
      <c r="AA789" s="364"/>
      <c r="AB789" s="364"/>
      <c r="AC789" s="364"/>
      <c r="AD789" s="364"/>
    </row>
    <row r="790">
      <c r="A790" s="364"/>
      <c r="B790" s="364"/>
      <c r="C790" s="364"/>
      <c r="D790" s="364"/>
      <c r="E790" s="364"/>
      <c r="F790" s="364"/>
      <c r="G790" s="364"/>
      <c r="H790" s="364"/>
      <c r="I790" s="364"/>
      <c r="J790" s="364"/>
      <c r="K790" s="364"/>
      <c r="L790" s="364"/>
      <c r="M790" s="364"/>
      <c r="N790" s="364"/>
      <c r="O790" s="388"/>
      <c r="P790" s="364"/>
      <c r="Q790" s="364"/>
      <c r="R790" s="364"/>
      <c r="S790" s="364"/>
      <c r="T790" s="364"/>
      <c r="U790" s="364"/>
      <c r="V790" s="364"/>
      <c r="W790" s="364"/>
      <c r="X790" s="364"/>
      <c r="Y790" s="364"/>
      <c r="Z790" s="364"/>
      <c r="AA790" s="364"/>
      <c r="AB790" s="364"/>
      <c r="AC790" s="364"/>
      <c r="AD790" s="364"/>
    </row>
    <row r="791">
      <c r="A791" s="364"/>
      <c r="B791" s="364"/>
      <c r="C791" s="364"/>
      <c r="D791" s="364"/>
      <c r="E791" s="364"/>
      <c r="F791" s="364"/>
      <c r="G791" s="364"/>
      <c r="H791" s="364"/>
      <c r="I791" s="364"/>
      <c r="J791" s="364"/>
      <c r="K791" s="364"/>
      <c r="L791" s="364"/>
      <c r="M791" s="364"/>
      <c r="N791" s="364"/>
      <c r="O791" s="388"/>
      <c r="P791" s="364"/>
      <c r="Q791" s="364"/>
      <c r="R791" s="364"/>
      <c r="S791" s="364"/>
      <c r="T791" s="364"/>
      <c r="U791" s="364"/>
      <c r="V791" s="364"/>
      <c r="W791" s="364"/>
      <c r="X791" s="364"/>
      <c r="Y791" s="364"/>
      <c r="Z791" s="364"/>
      <c r="AA791" s="364"/>
      <c r="AB791" s="364"/>
      <c r="AC791" s="364"/>
      <c r="AD791" s="364"/>
    </row>
    <row r="792">
      <c r="A792" s="364"/>
      <c r="B792" s="364"/>
      <c r="C792" s="364"/>
      <c r="D792" s="364"/>
      <c r="E792" s="364"/>
      <c r="F792" s="364"/>
      <c r="G792" s="364"/>
      <c r="H792" s="364"/>
      <c r="I792" s="364"/>
      <c r="J792" s="364"/>
      <c r="K792" s="364"/>
      <c r="L792" s="364"/>
      <c r="M792" s="364"/>
      <c r="N792" s="364"/>
      <c r="O792" s="388"/>
      <c r="P792" s="364"/>
      <c r="Q792" s="364"/>
      <c r="R792" s="364"/>
      <c r="S792" s="364"/>
      <c r="T792" s="364"/>
      <c r="U792" s="364"/>
      <c r="V792" s="364"/>
      <c r="W792" s="364"/>
      <c r="X792" s="364"/>
      <c r="Y792" s="364"/>
      <c r="Z792" s="364"/>
      <c r="AA792" s="364"/>
      <c r="AB792" s="364"/>
      <c r="AC792" s="364"/>
      <c r="AD792" s="364"/>
    </row>
    <row r="793">
      <c r="A793" s="364"/>
      <c r="B793" s="364"/>
      <c r="C793" s="364"/>
      <c r="D793" s="364"/>
      <c r="E793" s="364"/>
      <c r="F793" s="364"/>
      <c r="G793" s="364"/>
      <c r="H793" s="364"/>
      <c r="I793" s="364"/>
      <c r="J793" s="364"/>
      <c r="K793" s="364"/>
      <c r="L793" s="364"/>
      <c r="M793" s="364"/>
      <c r="N793" s="364"/>
      <c r="O793" s="388"/>
      <c r="P793" s="364"/>
      <c r="Q793" s="364"/>
      <c r="R793" s="364"/>
      <c r="S793" s="364"/>
      <c r="T793" s="364"/>
      <c r="U793" s="364"/>
      <c r="V793" s="364"/>
      <c r="W793" s="364"/>
      <c r="X793" s="364"/>
      <c r="Y793" s="364"/>
      <c r="Z793" s="364"/>
      <c r="AA793" s="364"/>
      <c r="AB793" s="364"/>
      <c r="AC793" s="364"/>
      <c r="AD793" s="364"/>
    </row>
    <row r="794">
      <c r="A794" s="364"/>
      <c r="B794" s="364"/>
      <c r="C794" s="364"/>
      <c r="D794" s="364"/>
      <c r="E794" s="364"/>
      <c r="F794" s="364"/>
      <c r="G794" s="364"/>
      <c r="H794" s="364"/>
      <c r="I794" s="364"/>
      <c r="J794" s="364"/>
      <c r="K794" s="364"/>
      <c r="L794" s="364"/>
      <c r="M794" s="364"/>
      <c r="N794" s="364"/>
      <c r="O794" s="388"/>
      <c r="P794" s="364"/>
      <c r="Q794" s="364"/>
      <c r="R794" s="364"/>
      <c r="S794" s="364"/>
      <c r="T794" s="364"/>
      <c r="U794" s="364"/>
      <c r="V794" s="364"/>
      <c r="W794" s="364"/>
      <c r="X794" s="364"/>
      <c r="Y794" s="364"/>
      <c r="Z794" s="364"/>
      <c r="AA794" s="364"/>
      <c r="AB794" s="364"/>
      <c r="AC794" s="364"/>
      <c r="AD794" s="364"/>
    </row>
    <row r="795">
      <c r="A795" s="364"/>
      <c r="B795" s="364"/>
      <c r="C795" s="364"/>
      <c r="D795" s="364"/>
      <c r="E795" s="364"/>
      <c r="F795" s="364"/>
      <c r="G795" s="364"/>
      <c r="H795" s="364"/>
      <c r="I795" s="364"/>
      <c r="J795" s="364"/>
      <c r="K795" s="364"/>
      <c r="L795" s="364"/>
      <c r="M795" s="364"/>
      <c r="N795" s="364"/>
      <c r="O795" s="388"/>
      <c r="P795" s="364"/>
      <c r="Q795" s="364"/>
      <c r="R795" s="364"/>
      <c r="S795" s="364"/>
      <c r="T795" s="364"/>
      <c r="U795" s="364"/>
      <c r="V795" s="364"/>
      <c r="W795" s="364"/>
      <c r="X795" s="364"/>
      <c r="Y795" s="364"/>
      <c r="Z795" s="364"/>
      <c r="AA795" s="364"/>
      <c r="AB795" s="364"/>
      <c r="AC795" s="364"/>
      <c r="AD795" s="364"/>
    </row>
    <row r="796">
      <c r="A796" s="364"/>
      <c r="B796" s="364"/>
      <c r="C796" s="364"/>
      <c r="D796" s="364"/>
      <c r="E796" s="364"/>
      <c r="F796" s="364"/>
      <c r="G796" s="364"/>
      <c r="H796" s="364"/>
      <c r="I796" s="364"/>
      <c r="J796" s="364"/>
      <c r="K796" s="364"/>
      <c r="L796" s="364"/>
      <c r="M796" s="364"/>
      <c r="N796" s="364"/>
      <c r="O796" s="388"/>
      <c r="P796" s="364"/>
      <c r="Q796" s="364"/>
      <c r="R796" s="364"/>
      <c r="S796" s="364"/>
      <c r="T796" s="364"/>
      <c r="U796" s="364"/>
      <c r="V796" s="364"/>
      <c r="W796" s="364"/>
      <c r="X796" s="364"/>
      <c r="Y796" s="364"/>
      <c r="Z796" s="364"/>
      <c r="AA796" s="364"/>
      <c r="AB796" s="364"/>
      <c r="AC796" s="364"/>
      <c r="AD796" s="364"/>
    </row>
    <row r="797">
      <c r="A797" s="364"/>
      <c r="B797" s="364"/>
      <c r="C797" s="364"/>
      <c r="D797" s="364"/>
      <c r="E797" s="364"/>
      <c r="F797" s="364"/>
      <c r="G797" s="364"/>
      <c r="H797" s="364"/>
      <c r="I797" s="364"/>
      <c r="J797" s="364"/>
      <c r="K797" s="364"/>
      <c r="L797" s="364"/>
      <c r="M797" s="364"/>
      <c r="N797" s="364"/>
      <c r="O797" s="388"/>
      <c r="P797" s="364"/>
      <c r="Q797" s="364"/>
      <c r="R797" s="364"/>
      <c r="S797" s="364"/>
      <c r="T797" s="364"/>
      <c r="U797" s="364"/>
      <c r="V797" s="364"/>
      <c r="W797" s="364"/>
      <c r="X797" s="364"/>
      <c r="Y797" s="364"/>
      <c r="Z797" s="364"/>
      <c r="AA797" s="364"/>
      <c r="AB797" s="364"/>
      <c r="AC797" s="364"/>
      <c r="AD797" s="364"/>
    </row>
    <row r="798">
      <c r="A798" s="364"/>
      <c r="B798" s="364"/>
      <c r="C798" s="364"/>
      <c r="D798" s="364"/>
      <c r="E798" s="364"/>
      <c r="F798" s="364"/>
      <c r="G798" s="364"/>
      <c r="H798" s="364"/>
      <c r="I798" s="364"/>
      <c r="J798" s="364"/>
      <c r="K798" s="364"/>
      <c r="L798" s="364"/>
      <c r="M798" s="364"/>
      <c r="N798" s="364"/>
      <c r="O798" s="388"/>
      <c r="P798" s="364"/>
      <c r="Q798" s="364"/>
      <c r="R798" s="364"/>
      <c r="S798" s="364"/>
      <c r="T798" s="364"/>
      <c r="U798" s="364"/>
      <c r="V798" s="364"/>
      <c r="W798" s="364"/>
      <c r="X798" s="364"/>
      <c r="Y798" s="364"/>
      <c r="Z798" s="364"/>
      <c r="AA798" s="364"/>
      <c r="AB798" s="364"/>
      <c r="AC798" s="364"/>
      <c r="AD798" s="364"/>
    </row>
    <row r="799">
      <c r="A799" s="364"/>
      <c r="B799" s="364"/>
      <c r="C799" s="364"/>
      <c r="D799" s="364"/>
      <c r="E799" s="364"/>
      <c r="F799" s="364"/>
      <c r="G799" s="364"/>
      <c r="H799" s="364"/>
      <c r="I799" s="364"/>
      <c r="J799" s="364"/>
      <c r="K799" s="364"/>
      <c r="L799" s="364"/>
      <c r="M799" s="364"/>
      <c r="N799" s="364"/>
      <c r="O799" s="388"/>
      <c r="P799" s="364"/>
      <c r="Q799" s="364"/>
      <c r="R799" s="364"/>
      <c r="S799" s="364"/>
      <c r="T799" s="364"/>
      <c r="U799" s="364"/>
      <c r="V799" s="364"/>
      <c r="W799" s="364"/>
      <c r="X799" s="364"/>
      <c r="Y799" s="364"/>
      <c r="Z799" s="364"/>
      <c r="AA799" s="364"/>
      <c r="AB799" s="364"/>
      <c r="AC799" s="364"/>
      <c r="AD799" s="364"/>
    </row>
    <row r="800">
      <c r="A800" s="364"/>
      <c r="B800" s="364"/>
      <c r="C800" s="364"/>
      <c r="D800" s="364"/>
      <c r="E800" s="364"/>
      <c r="F800" s="364"/>
      <c r="G800" s="364"/>
      <c r="H800" s="364"/>
      <c r="I800" s="364"/>
      <c r="J800" s="364"/>
      <c r="K800" s="364"/>
      <c r="L800" s="364"/>
      <c r="M800" s="364"/>
      <c r="N800" s="364"/>
      <c r="O800" s="388"/>
      <c r="P800" s="364"/>
      <c r="Q800" s="364"/>
      <c r="R800" s="364"/>
      <c r="S800" s="364"/>
      <c r="T800" s="364"/>
      <c r="U800" s="364"/>
      <c r="V800" s="364"/>
      <c r="W800" s="364"/>
      <c r="X800" s="364"/>
      <c r="Y800" s="364"/>
      <c r="Z800" s="364"/>
      <c r="AA800" s="364"/>
      <c r="AB800" s="364"/>
      <c r="AC800" s="364"/>
      <c r="AD800" s="364"/>
    </row>
    <row r="801">
      <c r="A801" s="364"/>
      <c r="B801" s="364"/>
      <c r="C801" s="364"/>
      <c r="D801" s="364"/>
      <c r="E801" s="364"/>
      <c r="F801" s="364"/>
      <c r="G801" s="364"/>
      <c r="H801" s="364"/>
      <c r="I801" s="364"/>
      <c r="J801" s="364"/>
      <c r="K801" s="364"/>
      <c r="L801" s="364"/>
      <c r="M801" s="364"/>
      <c r="N801" s="364"/>
      <c r="O801" s="388"/>
      <c r="P801" s="364"/>
      <c r="Q801" s="364"/>
      <c r="R801" s="364"/>
      <c r="S801" s="364"/>
      <c r="T801" s="364"/>
      <c r="U801" s="364"/>
      <c r="V801" s="364"/>
      <c r="W801" s="364"/>
      <c r="X801" s="364"/>
      <c r="Y801" s="364"/>
      <c r="Z801" s="364"/>
      <c r="AA801" s="364"/>
      <c r="AB801" s="364"/>
      <c r="AC801" s="364"/>
      <c r="AD801" s="364"/>
    </row>
    <row r="802">
      <c r="A802" s="364"/>
      <c r="B802" s="364"/>
      <c r="C802" s="364"/>
      <c r="D802" s="364"/>
      <c r="E802" s="364"/>
      <c r="F802" s="364"/>
      <c r="G802" s="364"/>
      <c r="H802" s="364"/>
      <c r="I802" s="364"/>
      <c r="J802" s="364"/>
      <c r="K802" s="364"/>
      <c r="L802" s="364"/>
      <c r="M802" s="364"/>
      <c r="N802" s="364"/>
      <c r="O802" s="388"/>
      <c r="P802" s="364"/>
      <c r="Q802" s="364"/>
      <c r="R802" s="364"/>
      <c r="S802" s="364"/>
      <c r="T802" s="364"/>
      <c r="U802" s="364"/>
      <c r="V802" s="364"/>
      <c r="W802" s="364"/>
      <c r="X802" s="364"/>
      <c r="Y802" s="364"/>
      <c r="Z802" s="364"/>
      <c r="AA802" s="364"/>
      <c r="AB802" s="364"/>
      <c r="AC802" s="364"/>
      <c r="AD802" s="364"/>
    </row>
    <row r="803">
      <c r="A803" s="364"/>
      <c r="B803" s="364"/>
      <c r="C803" s="364"/>
      <c r="D803" s="364"/>
      <c r="E803" s="364"/>
      <c r="F803" s="364"/>
      <c r="G803" s="364"/>
      <c r="H803" s="364"/>
      <c r="I803" s="364"/>
      <c r="J803" s="364"/>
      <c r="K803" s="364"/>
      <c r="L803" s="364"/>
      <c r="M803" s="364"/>
      <c r="N803" s="364"/>
      <c r="O803" s="388"/>
      <c r="P803" s="364"/>
      <c r="Q803" s="364"/>
      <c r="R803" s="364"/>
      <c r="S803" s="364"/>
      <c r="T803" s="364"/>
      <c r="U803" s="364"/>
      <c r="V803" s="364"/>
      <c r="W803" s="364"/>
      <c r="X803" s="364"/>
      <c r="Y803" s="364"/>
      <c r="Z803" s="364"/>
      <c r="AA803" s="364"/>
      <c r="AB803" s="364"/>
      <c r="AC803" s="364"/>
      <c r="AD803" s="364"/>
    </row>
    <row r="804">
      <c r="A804" s="364"/>
      <c r="B804" s="364"/>
      <c r="C804" s="364"/>
      <c r="D804" s="364"/>
      <c r="E804" s="364"/>
      <c r="F804" s="364"/>
      <c r="G804" s="364"/>
      <c r="H804" s="364"/>
      <c r="I804" s="364"/>
      <c r="J804" s="364"/>
      <c r="K804" s="364"/>
      <c r="L804" s="364"/>
      <c r="M804" s="364"/>
      <c r="N804" s="364"/>
      <c r="O804" s="388"/>
      <c r="P804" s="364"/>
      <c r="Q804" s="364"/>
      <c r="R804" s="364"/>
      <c r="S804" s="364"/>
      <c r="T804" s="364"/>
      <c r="U804" s="364"/>
      <c r="V804" s="364"/>
      <c r="W804" s="364"/>
      <c r="X804" s="364"/>
      <c r="Y804" s="364"/>
      <c r="Z804" s="364"/>
      <c r="AA804" s="364"/>
      <c r="AB804" s="364"/>
      <c r="AC804" s="364"/>
      <c r="AD804" s="364"/>
    </row>
    <row r="805">
      <c r="A805" s="364"/>
      <c r="B805" s="364"/>
      <c r="C805" s="364"/>
      <c r="D805" s="364"/>
      <c r="E805" s="364"/>
      <c r="F805" s="364"/>
      <c r="G805" s="364"/>
      <c r="H805" s="364"/>
      <c r="I805" s="364"/>
      <c r="J805" s="364"/>
      <c r="K805" s="364"/>
      <c r="L805" s="364"/>
      <c r="M805" s="364"/>
      <c r="N805" s="364"/>
      <c r="O805" s="388"/>
      <c r="P805" s="364"/>
      <c r="Q805" s="364"/>
      <c r="R805" s="364"/>
      <c r="S805" s="364"/>
      <c r="T805" s="364"/>
      <c r="U805" s="364"/>
      <c r="V805" s="364"/>
      <c r="W805" s="364"/>
      <c r="X805" s="364"/>
      <c r="Y805" s="364"/>
      <c r="Z805" s="364"/>
      <c r="AA805" s="364"/>
      <c r="AB805" s="364"/>
      <c r="AC805" s="364"/>
      <c r="AD805" s="364"/>
    </row>
    <row r="806">
      <c r="A806" s="364"/>
      <c r="B806" s="364"/>
      <c r="C806" s="364"/>
      <c r="D806" s="364"/>
      <c r="E806" s="364"/>
      <c r="F806" s="364"/>
      <c r="G806" s="364"/>
      <c r="H806" s="364"/>
      <c r="I806" s="364"/>
      <c r="J806" s="364"/>
      <c r="K806" s="364"/>
      <c r="L806" s="364"/>
      <c r="M806" s="364"/>
      <c r="N806" s="364"/>
      <c r="O806" s="388"/>
      <c r="P806" s="364"/>
      <c r="Q806" s="364"/>
      <c r="R806" s="364"/>
      <c r="S806" s="364"/>
      <c r="T806" s="364"/>
      <c r="U806" s="364"/>
      <c r="V806" s="364"/>
      <c r="W806" s="364"/>
      <c r="X806" s="364"/>
      <c r="Y806" s="364"/>
      <c r="Z806" s="364"/>
      <c r="AA806" s="364"/>
      <c r="AB806" s="364"/>
      <c r="AC806" s="364"/>
      <c r="AD806" s="364"/>
    </row>
    <row r="807">
      <c r="A807" s="364"/>
      <c r="B807" s="364"/>
      <c r="C807" s="364"/>
      <c r="D807" s="364"/>
      <c r="E807" s="364"/>
      <c r="F807" s="364"/>
      <c r="G807" s="364"/>
      <c r="H807" s="364"/>
      <c r="I807" s="364"/>
      <c r="J807" s="364"/>
      <c r="K807" s="364"/>
      <c r="L807" s="364"/>
      <c r="M807" s="364"/>
      <c r="N807" s="364"/>
      <c r="O807" s="388"/>
      <c r="P807" s="364"/>
      <c r="Q807" s="364"/>
      <c r="R807" s="364"/>
      <c r="S807" s="364"/>
      <c r="T807" s="364"/>
      <c r="U807" s="364"/>
      <c r="V807" s="364"/>
      <c r="W807" s="364"/>
      <c r="X807" s="364"/>
      <c r="Y807" s="364"/>
      <c r="Z807" s="364"/>
      <c r="AA807" s="364"/>
      <c r="AB807" s="364"/>
      <c r="AC807" s="364"/>
      <c r="AD807" s="364"/>
    </row>
    <row r="808">
      <c r="A808" s="364"/>
      <c r="B808" s="364"/>
      <c r="C808" s="364"/>
      <c r="D808" s="364"/>
      <c r="E808" s="364"/>
      <c r="F808" s="364"/>
      <c r="G808" s="364"/>
      <c r="H808" s="364"/>
      <c r="I808" s="364"/>
      <c r="J808" s="364"/>
      <c r="K808" s="364"/>
      <c r="L808" s="364"/>
      <c r="M808" s="364"/>
      <c r="N808" s="364"/>
      <c r="O808" s="388"/>
      <c r="P808" s="364"/>
      <c r="Q808" s="364"/>
      <c r="R808" s="364"/>
      <c r="S808" s="364"/>
      <c r="T808" s="364"/>
      <c r="U808" s="364"/>
      <c r="V808" s="364"/>
      <c r="W808" s="364"/>
      <c r="X808" s="364"/>
      <c r="Y808" s="364"/>
      <c r="Z808" s="364"/>
      <c r="AA808" s="364"/>
      <c r="AB808" s="364"/>
      <c r="AC808" s="364"/>
      <c r="AD808" s="364"/>
    </row>
    <row r="809">
      <c r="A809" s="364"/>
      <c r="B809" s="364"/>
      <c r="C809" s="364"/>
      <c r="D809" s="364"/>
      <c r="E809" s="364"/>
      <c r="F809" s="364"/>
      <c r="G809" s="364"/>
      <c r="H809" s="364"/>
      <c r="I809" s="364"/>
      <c r="J809" s="364"/>
      <c r="K809" s="364"/>
      <c r="L809" s="364"/>
      <c r="M809" s="364"/>
      <c r="N809" s="364"/>
      <c r="O809" s="388"/>
      <c r="P809" s="364"/>
      <c r="Q809" s="364"/>
      <c r="R809" s="364"/>
      <c r="S809" s="364"/>
      <c r="T809" s="364"/>
      <c r="U809" s="364"/>
      <c r="V809" s="364"/>
      <c r="W809" s="364"/>
      <c r="X809" s="364"/>
      <c r="Y809" s="364"/>
      <c r="Z809" s="364"/>
      <c r="AA809" s="364"/>
      <c r="AB809" s="364"/>
      <c r="AC809" s="364"/>
      <c r="AD809" s="364"/>
    </row>
    <row r="810">
      <c r="A810" s="364"/>
      <c r="B810" s="364"/>
      <c r="C810" s="364"/>
      <c r="D810" s="364"/>
      <c r="E810" s="364"/>
      <c r="F810" s="364"/>
      <c r="G810" s="364"/>
      <c r="H810" s="364"/>
      <c r="I810" s="364"/>
      <c r="J810" s="364"/>
      <c r="K810" s="364"/>
      <c r="L810" s="364"/>
      <c r="M810" s="364"/>
      <c r="N810" s="364"/>
      <c r="O810" s="388"/>
      <c r="P810" s="364"/>
      <c r="Q810" s="364"/>
      <c r="R810" s="364"/>
      <c r="S810" s="364"/>
      <c r="T810" s="364"/>
      <c r="U810" s="364"/>
      <c r="V810" s="364"/>
      <c r="W810" s="364"/>
      <c r="X810" s="364"/>
      <c r="Y810" s="364"/>
      <c r="Z810" s="364"/>
      <c r="AA810" s="364"/>
      <c r="AB810" s="364"/>
      <c r="AC810" s="364"/>
      <c r="AD810" s="364"/>
    </row>
    <row r="811">
      <c r="A811" s="364"/>
      <c r="B811" s="364"/>
      <c r="C811" s="364"/>
      <c r="D811" s="364"/>
      <c r="E811" s="364"/>
      <c r="F811" s="364"/>
      <c r="G811" s="364"/>
      <c r="H811" s="364"/>
      <c r="I811" s="364"/>
      <c r="J811" s="364"/>
      <c r="K811" s="364"/>
      <c r="L811" s="364"/>
      <c r="M811" s="364"/>
      <c r="N811" s="364"/>
      <c r="O811" s="388"/>
      <c r="P811" s="364"/>
      <c r="Q811" s="364"/>
      <c r="R811" s="364"/>
      <c r="S811" s="364"/>
      <c r="T811" s="364"/>
      <c r="U811" s="364"/>
      <c r="V811" s="364"/>
      <c r="W811" s="364"/>
      <c r="X811" s="364"/>
      <c r="Y811" s="364"/>
      <c r="Z811" s="364"/>
      <c r="AA811" s="364"/>
      <c r="AB811" s="364"/>
      <c r="AC811" s="364"/>
      <c r="AD811" s="364"/>
    </row>
    <row r="812">
      <c r="A812" s="364"/>
      <c r="B812" s="364"/>
      <c r="C812" s="364"/>
      <c r="D812" s="364"/>
      <c r="E812" s="364"/>
      <c r="F812" s="364"/>
      <c r="G812" s="364"/>
      <c r="H812" s="364"/>
      <c r="I812" s="364"/>
      <c r="J812" s="364"/>
      <c r="K812" s="364"/>
      <c r="L812" s="364"/>
      <c r="M812" s="364"/>
      <c r="N812" s="364"/>
      <c r="O812" s="388"/>
      <c r="P812" s="364"/>
      <c r="Q812" s="364"/>
      <c r="R812" s="364"/>
      <c r="S812" s="364"/>
      <c r="T812" s="364"/>
      <c r="U812" s="364"/>
      <c r="V812" s="364"/>
      <c r="W812" s="364"/>
      <c r="X812" s="364"/>
      <c r="Y812" s="364"/>
      <c r="Z812" s="364"/>
      <c r="AA812" s="364"/>
      <c r="AB812" s="364"/>
      <c r="AC812" s="364"/>
      <c r="AD812" s="364"/>
    </row>
    <row r="813">
      <c r="A813" s="364"/>
      <c r="B813" s="364"/>
      <c r="C813" s="364"/>
      <c r="D813" s="364"/>
      <c r="E813" s="364"/>
      <c r="F813" s="364"/>
      <c r="G813" s="364"/>
      <c r="H813" s="364"/>
      <c r="I813" s="364"/>
      <c r="J813" s="364"/>
      <c r="K813" s="364"/>
      <c r="L813" s="364"/>
      <c r="M813" s="364"/>
      <c r="N813" s="364"/>
      <c r="O813" s="388"/>
      <c r="P813" s="364"/>
      <c r="Q813" s="364"/>
      <c r="R813" s="364"/>
      <c r="S813" s="364"/>
      <c r="T813" s="364"/>
      <c r="U813" s="364"/>
      <c r="V813" s="364"/>
      <c r="W813" s="364"/>
      <c r="X813" s="364"/>
      <c r="Y813" s="364"/>
      <c r="Z813" s="364"/>
      <c r="AA813" s="364"/>
      <c r="AB813" s="364"/>
      <c r="AC813" s="364"/>
      <c r="AD813" s="364"/>
    </row>
    <row r="814">
      <c r="A814" s="364"/>
      <c r="B814" s="364"/>
      <c r="C814" s="364"/>
      <c r="D814" s="364"/>
      <c r="E814" s="364"/>
      <c r="F814" s="364"/>
      <c r="G814" s="364"/>
      <c r="H814" s="364"/>
      <c r="I814" s="364"/>
      <c r="J814" s="364"/>
      <c r="K814" s="364"/>
      <c r="L814" s="364"/>
      <c r="M814" s="364"/>
      <c r="N814" s="364"/>
      <c r="O814" s="388"/>
      <c r="P814" s="364"/>
      <c r="Q814" s="364"/>
      <c r="R814" s="364"/>
      <c r="S814" s="364"/>
      <c r="T814" s="364"/>
      <c r="U814" s="364"/>
      <c r="V814" s="364"/>
      <c r="W814" s="364"/>
      <c r="X814" s="364"/>
      <c r="Y814" s="364"/>
      <c r="Z814" s="364"/>
      <c r="AA814" s="364"/>
      <c r="AB814" s="364"/>
      <c r="AC814" s="364"/>
      <c r="AD814" s="364"/>
    </row>
    <row r="815">
      <c r="A815" s="364"/>
      <c r="B815" s="364"/>
      <c r="C815" s="364"/>
      <c r="D815" s="364"/>
      <c r="E815" s="364"/>
      <c r="F815" s="364"/>
      <c r="G815" s="364"/>
      <c r="H815" s="364"/>
      <c r="I815" s="364"/>
      <c r="J815" s="364"/>
      <c r="K815" s="364"/>
      <c r="L815" s="364"/>
      <c r="M815" s="364"/>
      <c r="N815" s="364"/>
      <c r="O815" s="388"/>
      <c r="P815" s="364"/>
      <c r="Q815" s="364"/>
      <c r="R815" s="364"/>
      <c r="S815" s="364"/>
      <c r="T815" s="364"/>
      <c r="U815" s="364"/>
      <c r="V815" s="364"/>
      <c r="W815" s="364"/>
      <c r="X815" s="364"/>
      <c r="Y815" s="364"/>
      <c r="Z815" s="364"/>
      <c r="AA815" s="364"/>
      <c r="AB815" s="364"/>
      <c r="AC815" s="364"/>
      <c r="AD815" s="364"/>
    </row>
    <row r="816">
      <c r="A816" s="364"/>
      <c r="B816" s="364"/>
      <c r="C816" s="364"/>
      <c r="D816" s="364"/>
      <c r="E816" s="364"/>
      <c r="F816" s="364"/>
      <c r="G816" s="364"/>
      <c r="H816" s="364"/>
      <c r="I816" s="364"/>
      <c r="J816" s="364"/>
      <c r="K816" s="364"/>
      <c r="L816" s="364"/>
      <c r="M816" s="364"/>
      <c r="N816" s="364"/>
      <c r="O816" s="388"/>
      <c r="P816" s="364"/>
      <c r="Q816" s="364"/>
      <c r="R816" s="364"/>
      <c r="S816" s="364"/>
      <c r="T816" s="364"/>
      <c r="U816" s="364"/>
      <c r="V816" s="364"/>
      <c r="W816" s="364"/>
      <c r="X816" s="364"/>
      <c r="Y816" s="364"/>
      <c r="Z816" s="364"/>
      <c r="AA816" s="364"/>
      <c r="AB816" s="364"/>
      <c r="AC816" s="364"/>
      <c r="AD816" s="364"/>
    </row>
    <row r="817">
      <c r="A817" s="364"/>
      <c r="B817" s="364"/>
      <c r="C817" s="364"/>
      <c r="D817" s="364"/>
      <c r="E817" s="364"/>
      <c r="F817" s="364"/>
      <c r="G817" s="364"/>
      <c r="H817" s="364"/>
      <c r="I817" s="364"/>
      <c r="J817" s="364"/>
      <c r="K817" s="364"/>
      <c r="L817" s="364"/>
      <c r="M817" s="364"/>
      <c r="N817" s="364"/>
      <c r="O817" s="388"/>
      <c r="P817" s="364"/>
      <c r="Q817" s="364"/>
      <c r="R817" s="364"/>
      <c r="S817" s="364"/>
      <c r="T817" s="364"/>
      <c r="U817" s="364"/>
      <c r="V817" s="364"/>
      <c r="W817" s="364"/>
      <c r="X817" s="364"/>
      <c r="Y817" s="364"/>
      <c r="Z817" s="364"/>
      <c r="AA817" s="364"/>
      <c r="AB817" s="364"/>
      <c r="AC817" s="364"/>
      <c r="AD817" s="364"/>
    </row>
    <row r="818">
      <c r="A818" s="364"/>
      <c r="B818" s="364"/>
      <c r="C818" s="364"/>
      <c r="D818" s="364"/>
      <c r="E818" s="364"/>
      <c r="F818" s="364"/>
      <c r="G818" s="364"/>
      <c r="H818" s="364"/>
      <c r="I818" s="364"/>
      <c r="J818" s="364"/>
      <c r="K818" s="364"/>
      <c r="L818" s="364"/>
      <c r="M818" s="364"/>
      <c r="N818" s="364"/>
      <c r="O818" s="388"/>
      <c r="P818" s="364"/>
      <c r="Q818" s="364"/>
      <c r="R818" s="364"/>
      <c r="S818" s="364"/>
      <c r="T818" s="364"/>
      <c r="U818" s="364"/>
      <c r="V818" s="364"/>
      <c r="W818" s="364"/>
      <c r="X818" s="364"/>
      <c r="Y818" s="364"/>
      <c r="Z818" s="364"/>
      <c r="AA818" s="364"/>
      <c r="AB818" s="364"/>
      <c r="AC818" s="364"/>
      <c r="AD818" s="364"/>
    </row>
    <row r="819">
      <c r="A819" s="364"/>
      <c r="B819" s="364"/>
      <c r="C819" s="364"/>
      <c r="D819" s="364"/>
      <c r="E819" s="364"/>
      <c r="F819" s="364"/>
      <c r="G819" s="364"/>
      <c r="H819" s="364"/>
      <c r="I819" s="364"/>
      <c r="J819" s="364"/>
      <c r="K819" s="364"/>
      <c r="L819" s="364"/>
      <c r="M819" s="364"/>
      <c r="N819" s="364"/>
      <c r="O819" s="388"/>
      <c r="P819" s="364"/>
      <c r="Q819" s="364"/>
      <c r="R819" s="364"/>
      <c r="S819" s="364"/>
      <c r="T819" s="364"/>
      <c r="U819" s="364"/>
      <c r="V819" s="364"/>
      <c r="W819" s="364"/>
      <c r="X819" s="364"/>
      <c r="Y819" s="364"/>
      <c r="Z819" s="364"/>
      <c r="AA819" s="364"/>
      <c r="AB819" s="364"/>
      <c r="AC819" s="364"/>
      <c r="AD819" s="364"/>
    </row>
    <row r="820">
      <c r="A820" s="364"/>
      <c r="B820" s="364"/>
      <c r="C820" s="364"/>
      <c r="D820" s="364"/>
      <c r="E820" s="364"/>
      <c r="F820" s="364"/>
      <c r="G820" s="364"/>
      <c r="H820" s="364"/>
      <c r="I820" s="364"/>
      <c r="J820" s="364"/>
      <c r="K820" s="364"/>
      <c r="L820" s="364"/>
      <c r="M820" s="364"/>
      <c r="N820" s="364"/>
      <c r="O820" s="388"/>
      <c r="P820" s="364"/>
      <c r="Q820" s="364"/>
      <c r="R820" s="364"/>
      <c r="S820" s="364"/>
      <c r="T820" s="364"/>
      <c r="U820" s="364"/>
      <c r="V820" s="364"/>
      <c r="W820" s="364"/>
      <c r="X820" s="364"/>
      <c r="Y820" s="364"/>
      <c r="Z820" s="364"/>
      <c r="AA820" s="364"/>
      <c r="AB820" s="364"/>
      <c r="AC820" s="364"/>
      <c r="AD820" s="364"/>
    </row>
    <row r="821">
      <c r="A821" s="364"/>
      <c r="B821" s="364"/>
      <c r="C821" s="364"/>
      <c r="D821" s="364"/>
      <c r="E821" s="364"/>
      <c r="F821" s="364"/>
      <c r="G821" s="364"/>
      <c r="H821" s="364"/>
      <c r="I821" s="364"/>
      <c r="J821" s="364"/>
      <c r="K821" s="364"/>
      <c r="L821" s="364"/>
      <c r="M821" s="364"/>
      <c r="N821" s="364"/>
      <c r="O821" s="388"/>
      <c r="P821" s="364"/>
      <c r="Q821" s="364"/>
      <c r="R821" s="364"/>
      <c r="S821" s="364"/>
      <c r="T821" s="364"/>
      <c r="U821" s="364"/>
      <c r="V821" s="364"/>
      <c r="W821" s="364"/>
      <c r="X821" s="364"/>
      <c r="Y821" s="364"/>
      <c r="Z821" s="364"/>
      <c r="AA821" s="364"/>
      <c r="AB821" s="364"/>
      <c r="AC821" s="364"/>
      <c r="AD821" s="364"/>
    </row>
    <row r="822">
      <c r="A822" s="364"/>
      <c r="B822" s="364"/>
      <c r="C822" s="364"/>
      <c r="D822" s="364"/>
      <c r="E822" s="364"/>
      <c r="F822" s="364"/>
      <c r="G822" s="364"/>
      <c r="H822" s="364"/>
      <c r="I822" s="364"/>
      <c r="J822" s="364"/>
      <c r="K822" s="364"/>
      <c r="L822" s="364"/>
      <c r="M822" s="364"/>
      <c r="N822" s="364"/>
      <c r="O822" s="388"/>
      <c r="P822" s="364"/>
      <c r="Q822" s="364"/>
      <c r="R822" s="364"/>
      <c r="S822" s="364"/>
      <c r="T822" s="364"/>
      <c r="U822" s="364"/>
      <c r="V822" s="364"/>
      <c r="W822" s="364"/>
      <c r="X822" s="364"/>
      <c r="Y822" s="364"/>
      <c r="Z822" s="364"/>
      <c r="AA822" s="364"/>
      <c r="AB822" s="364"/>
      <c r="AC822" s="364"/>
      <c r="AD822" s="364"/>
    </row>
    <row r="823">
      <c r="A823" s="364"/>
      <c r="B823" s="364"/>
      <c r="C823" s="364"/>
      <c r="D823" s="364"/>
      <c r="E823" s="364"/>
      <c r="F823" s="364"/>
      <c r="G823" s="364"/>
      <c r="H823" s="364"/>
      <c r="I823" s="364"/>
      <c r="J823" s="364"/>
      <c r="K823" s="364"/>
      <c r="L823" s="364"/>
      <c r="M823" s="364"/>
      <c r="N823" s="364"/>
      <c r="O823" s="388"/>
      <c r="P823" s="364"/>
      <c r="Q823" s="364"/>
      <c r="R823" s="364"/>
      <c r="S823" s="364"/>
      <c r="T823" s="364"/>
      <c r="U823" s="364"/>
      <c r="V823" s="364"/>
      <c r="W823" s="364"/>
      <c r="X823" s="364"/>
      <c r="Y823" s="364"/>
      <c r="Z823" s="364"/>
      <c r="AA823" s="364"/>
      <c r="AB823" s="364"/>
      <c r="AC823" s="364"/>
      <c r="AD823" s="364"/>
    </row>
    <row r="824">
      <c r="A824" s="364"/>
      <c r="B824" s="364"/>
      <c r="C824" s="364"/>
      <c r="D824" s="364"/>
      <c r="E824" s="364"/>
      <c r="F824" s="364"/>
      <c r="G824" s="364"/>
      <c r="H824" s="364"/>
      <c r="I824" s="364"/>
      <c r="J824" s="364"/>
      <c r="K824" s="364"/>
      <c r="L824" s="364"/>
      <c r="M824" s="364"/>
      <c r="N824" s="364"/>
      <c r="O824" s="388"/>
      <c r="P824" s="364"/>
      <c r="Q824" s="364"/>
      <c r="R824" s="364"/>
      <c r="S824" s="364"/>
      <c r="T824" s="364"/>
      <c r="U824" s="364"/>
      <c r="V824" s="364"/>
      <c r="W824" s="364"/>
      <c r="X824" s="364"/>
      <c r="Y824" s="364"/>
      <c r="Z824" s="364"/>
      <c r="AA824" s="364"/>
      <c r="AB824" s="364"/>
      <c r="AC824" s="364"/>
      <c r="AD824" s="364"/>
    </row>
    <row r="825">
      <c r="A825" s="364"/>
      <c r="B825" s="364"/>
      <c r="C825" s="364"/>
      <c r="D825" s="364"/>
      <c r="E825" s="364"/>
      <c r="F825" s="364"/>
      <c r="G825" s="364"/>
      <c r="H825" s="364"/>
      <c r="I825" s="364"/>
      <c r="J825" s="364"/>
      <c r="K825" s="364"/>
      <c r="L825" s="364"/>
      <c r="M825" s="364"/>
      <c r="N825" s="364"/>
      <c r="O825" s="388"/>
      <c r="P825" s="364"/>
      <c r="Q825" s="364"/>
      <c r="R825" s="364"/>
      <c r="S825" s="364"/>
      <c r="T825" s="364"/>
      <c r="U825" s="364"/>
      <c r="V825" s="364"/>
      <c r="W825" s="364"/>
      <c r="X825" s="364"/>
      <c r="Y825" s="364"/>
      <c r="Z825" s="364"/>
      <c r="AA825" s="364"/>
      <c r="AB825" s="364"/>
      <c r="AC825" s="364"/>
      <c r="AD825" s="364"/>
    </row>
    <row r="826">
      <c r="A826" s="364"/>
      <c r="B826" s="364"/>
      <c r="C826" s="364"/>
      <c r="D826" s="364"/>
      <c r="E826" s="364"/>
      <c r="F826" s="364"/>
      <c r="G826" s="364"/>
      <c r="H826" s="364"/>
      <c r="I826" s="364"/>
      <c r="J826" s="364"/>
      <c r="K826" s="364"/>
      <c r="L826" s="364"/>
      <c r="M826" s="364"/>
      <c r="N826" s="364"/>
      <c r="O826" s="388"/>
      <c r="P826" s="364"/>
      <c r="Q826" s="364"/>
      <c r="R826" s="364"/>
      <c r="S826" s="364"/>
      <c r="T826" s="364"/>
      <c r="U826" s="364"/>
      <c r="V826" s="364"/>
      <c r="W826" s="364"/>
      <c r="X826" s="364"/>
      <c r="Y826" s="364"/>
      <c r="Z826" s="364"/>
      <c r="AA826" s="364"/>
      <c r="AB826" s="364"/>
      <c r="AC826" s="364"/>
      <c r="AD826" s="364"/>
    </row>
    <row r="827">
      <c r="A827" s="364"/>
      <c r="B827" s="364"/>
      <c r="C827" s="364"/>
      <c r="D827" s="364"/>
      <c r="E827" s="364"/>
      <c r="F827" s="364"/>
      <c r="G827" s="364"/>
      <c r="H827" s="364"/>
      <c r="I827" s="364"/>
      <c r="J827" s="364"/>
      <c r="K827" s="364"/>
      <c r="L827" s="364"/>
      <c r="M827" s="364"/>
      <c r="N827" s="364"/>
      <c r="O827" s="388"/>
      <c r="P827" s="364"/>
      <c r="Q827" s="364"/>
      <c r="R827" s="364"/>
      <c r="S827" s="364"/>
      <c r="T827" s="364"/>
      <c r="U827" s="364"/>
      <c r="V827" s="364"/>
      <c r="W827" s="364"/>
      <c r="X827" s="364"/>
      <c r="Y827" s="364"/>
      <c r="Z827" s="364"/>
      <c r="AA827" s="364"/>
      <c r="AB827" s="364"/>
      <c r="AC827" s="364"/>
      <c r="AD827" s="364"/>
    </row>
    <row r="828">
      <c r="A828" s="364"/>
      <c r="B828" s="364"/>
      <c r="C828" s="364"/>
      <c r="D828" s="364"/>
      <c r="E828" s="364"/>
      <c r="F828" s="364"/>
      <c r="G828" s="364"/>
      <c r="H828" s="364"/>
      <c r="I828" s="364"/>
      <c r="J828" s="364"/>
      <c r="K828" s="364"/>
      <c r="L828" s="364"/>
      <c r="M828" s="364"/>
      <c r="N828" s="364"/>
      <c r="O828" s="388"/>
      <c r="P828" s="364"/>
      <c r="Q828" s="364"/>
      <c r="R828" s="364"/>
      <c r="S828" s="364"/>
      <c r="T828" s="364"/>
      <c r="U828" s="364"/>
      <c r="V828" s="364"/>
      <c r="W828" s="364"/>
      <c r="X828" s="364"/>
      <c r="Y828" s="364"/>
      <c r="Z828" s="364"/>
      <c r="AA828" s="364"/>
      <c r="AB828" s="364"/>
      <c r="AC828" s="364"/>
      <c r="AD828" s="364"/>
    </row>
    <row r="829">
      <c r="A829" s="364"/>
      <c r="B829" s="364"/>
      <c r="C829" s="364"/>
      <c r="D829" s="364"/>
      <c r="E829" s="364"/>
      <c r="F829" s="364"/>
      <c r="G829" s="364"/>
      <c r="H829" s="364"/>
      <c r="I829" s="364"/>
      <c r="J829" s="364"/>
      <c r="K829" s="364"/>
      <c r="L829" s="364"/>
      <c r="M829" s="364"/>
      <c r="N829" s="364"/>
      <c r="O829" s="388"/>
      <c r="P829" s="364"/>
      <c r="Q829" s="364"/>
      <c r="R829" s="364"/>
      <c r="S829" s="364"/>
      <c r="T829" s="364"/>
      <c r="U829" s="364"/>
      <c r="V829" s="364"/>
      <c r="W829" s="364"/>
      <c r="X829" s="364"/>
      <c r="Y829" s="364"/>
      <c r="Z829" s="364"/>
      <c r="AA829" s="364"/>
      <c r="AB829" s="364"/>
      <c r="AC829" s="364"/>
      <c r="AD829" s="364"/>
    </row>
    <row r="830">
      <c r="A830" s="364"/>
      <c r="B830" s="364"/>
      <c r="C830" s="364"/>
      <c r="D830" s="364"/>
      <c r="E830" s="364"/>
      <c r="F830" s="364"/>
      <c r="G830" s="364"/>
      <c r="H830" s="364"/>
      <c r="I830" s="364"/>
      <c r="J830" s="364"/>
      <c r="K830" s="364"/>
      <c r="L830" s="364"/>
      <c r="M830" s="364"/>
      <c r="N830" s="364"/>
      <c r="O830" s="388"/>
      <c r="P830" s="364"/>
      <c r="Q830" s="364"/>
      <c r="R830" s="364"/>
      <c r="S830" s="364"/>
      <c r="T830" s="364"/>
      <c r="U830" s="364"/>
      <c r="V830" s="364"/>
      <c r="W830" s="364"/>
      <c r="X830" s="364"/>
      <c r="Y830" s="364"/>
      <c r="Z830" s="364"/>
      <c r="AA830" s="364"/>
      <c r="AB830" s="364"/>
      <c r="AC830" s="364"/>
      <c r="AD830" s="364"/>
    </row>
    <row r="831">
      <c r="A831" s="364"/>
      <c r="B831" s="364"/>
      <c r="C831" s="364"/>
      <c r="D831" s="364"/>
      <c r="E831" s="364"/>
      <c r="F831" s="364"/>
      <c r="G831" s="364"/>
      <c r="H831" s="364"/>
      <c r="I831" s="364"/>
      <c r="J831" s="364"/>
      <c r="K831" s="364"/>
      <c r="L831" s="364"/>
      <c r="M831" s="364"/>
      <c r="N831" s="364"/>
      <c r="O831" s="388"/>
      <c r="P831" s="364"/>
      <c r="Q831" s="364"/>
      <c r="R831" s="364"/>
      <c r="S831" s="364"/>
      <c r="T831" s="364"/>
      <c r="U831" s="364"/>
      <c r="V831" s="364"/>
      <c r="W831" s="364"/>
      <c r="X831" s="364"/>
      <c r="Y831" s="364"/>
      <c r="Z831" s="364"/>
      <c r="AA831" s="364"/>
      <c r="AB831" s="364"/>
      <c r="AC831" s="364"/>
      <c r="AD831" s="364"/>
    </row>
    <row r="832">
      <c r="A832" s="364"/>
      <c r="B832" s="364"/>
      <c r="C832" s="364"/>
      <c r="D832" s="364"/>
      <c r="E832" s="364"/>
      <c r="F832" s="364"/>
      <c r="G832" s="364"/>
      <c r="H832" s="364"/>
      <c r="I832" s="364"/>
      <c r="J832" s="364"/>
      <c r="K832" s="364"/>
      <c r="L832" s="364"/>
      <c r="M832" s="364"/>
      <c r="N832" s="364"/>
      <c r="O832" s="388"/>
      <c r="P832" s="364"/>
      <c r="Q832" s="364"/>
      <c r="R832" s="364"/>
      <c r="S832" s="364"/>
      <c r="T832" s="364"/>
      <c r="U832" s="364"/>
      <c r="V832" s="364"/>
      <c r="W832" s="364"/>
      <c r="X832" s="364"/>
      <c r="Y832" s="364"/>
      <c r="Z832" s="364"/>
      <c r="AA832" s="364"/>
      <c r="AB832" s="364"/>
      <c r="AC832" s="364"/>
      <c r="AD832" s="364"/>
    </row>
    <row r="833">
      <c r="A833" s="364"/>
      <c r="B833" s="364"/>
      <c r="C833" s="364"/>
      <c r="D833" s="364"/>
      <c r="E833" s="364"/>
      <c r="F833" s="364"/>
      <c r="G833" s="364"/>
      <c r="H833" s="364"/>
      <c r="I833" s="364"/>
      <c r="J833" s="364"/>
      <c r="K833" s="364"/>
      <c r="L833" s="364"/>
      <c r="M833" s="364"/>
      <c r="N833" s="364"/>
      <c r="O833" s="388"/>
      <c r="P833" s="364"/>
      <c r="Q833" s="364"/>
      <c r="R833" s="364"/>
      <c r="S833" s="364"/>
      <c r="T833" s="364"/>
      <c r="U833" s="364"/>
      <c r="V833" s="364"/>
      <c r="W833" s="364"/>
      <c r="X833" s="364"/>
      <c r="Y833" s="364"/>
      <c r="Z833" s="364"/>
      <c r="AA833" s="364"/>
      <c r="AB833" s="364"/>
      <c r="AC833" s="364"/>
      <c r="AD833" s="364"/>
    </row>
    <row r="834">
      <c r="A834" s="364"/>
      <c r="B834" s="364"/>
      <c r="C834" s="364"/>
      <c r="D834" s="364"/>
      <c r="E834" s="364"/>
      <c r="F834" s="364"/>
      <c r="G834" s="364"/>
      <c r="H834" s="364"/>
      <c r="I834" s="364"/>
      <c r="J834" s="364"/>
      <c r="K834" s="364"/>
      <c r="L834" s="364"/>
      <c r="M834" s="364"/>
      <c r="N834" s="364"/>
      <c r="O834" s="388"/>
      <c r="P834" s="364"/>
      <c r="Q834" s="364"/>
      <c r="R834" s="364"/>
      <c r="S834" s="364"/>
      <c r="T834" s="364"/>
      <c r="U834" s="364"/>
      <c r="V834" s="364"/>
      <c r="W834" s="364"/>
      <c r="X834" s="364"/>
      <c r="Y834" s="364"/>
      <c r="Z834" s="364"/>
      <c r="AA834" s="364"/>
      <c r="AB834" s="364"/>
      <c r="AC834" s="364"/>
      <c r="AD834" s="364"/>
    </row>
    <row r="835">
      <c r="A835" s="364"/>
      <c r="B835" s="364"/>
      <c r="C835" s="364"/>
      <c r="D835" s="364"/>
      <c r="E835" s="364"/>
      <c r="F835" s="364"/>
      <c r="G835" s="364"/>
      <c r="H835" s="364"/>
      <c r="I835" s="364"/>
      <c r="J835" s="364"/>
      <c r="K835" s="364"/>
      <c r="L835" s="364"/>
      <c r="M835" s="364"/>
      <c r="N835" s="364"/>
      <c r="O835" s="388"/>
      <c r="P835" s="364"/>
      <c r="Q835" s="364"/>
      <c r="R835" s="364"/>
      <c r="S835" s="364"/>
      <c r="T835" s="364"/>
      <c r="U835" s="364"/>
      <c r="V835" s="364"/>
      <c r="W835" s="364"/>
      <c r="X835" s="364"/>
      <c r="Y835" s="364"/>
      <c r="Z835" s="364"/>
      <c r="AA835" s="364"/>
      <c r="AB835" s="364"/>
      <c r="AC835" s="364"/>
      <c r="AD835" s="364"/>
    </row>
    <row r="836">
      <c r="A836" s="364"/>
      <c r="B836" s="364"/>
      <c r="C836" s="364"/>
      <c r="D836" s="364"/>
      <c r="E836" s="364"/>
      <c r="F836" s="364"/>
      <c r="G836" s="364"/>
      <c r="H836" s="364"/>
      <c r="I836" s="364"/>
      <c r="J836" s="364"/>
      <c r="K836" s="364"/>
      <c r="L836" s="364"/>
      <c r="M836" s="364"/>
      <c r="N836" s="364"/>
      <c r="O836" s="388"/>
      <c r="P836" s="364"/>
      <c r="Q836" s="364"/>
      <c r="R836" s="364"/>
      <c r="S836" s="364"/>
      <c r="T836" s="364"/>
      <c r="U836" s="364"/>
      <c r="V836" s="364"/>
      <c r="W836" s="364"/>
      <c r="X836" s="364"/>
      <c r="Y836" s="364"/>
      <c r="Z836" s="364"/>
      <c r="AA836" s="364"/>
      <c r="AB836" s="364"/>
      <c r="AC836" s="364"/>
      <c r="AD836" s="364"/>
    </row>
    <row r="837">
      <c r="A837" s="364"/>
      <c r="B837" s="364"/>
      <c r="C837" s="364"/>
      <c r="D837" s="364"/>
      <c r="E837" s="364"/>
      <c r="F837" s="364"/>
      <c r="G837" s="364"/>
      <c r="H837" s="364"/>
      <c r="I837" s="364"/>
      <c r="J837" s="364"/>
      <c r="K837" s="364"/>
      <c r="L837" s="364"/>
      <c r="M837" s="364"/>
      <c r="N837" s="364"/>
      <c r="O837" s="388"/>
      <c r="P837" s="364"/>
      <c r="Q837" s="364"/>
      <c r="R837" s="364"/>
      <c r="S837" s="364"/>
      <c r="T837" s="364"/>
      <c r="U837" s="364"/>
      <c r="V837" s="364"/>
      <c r="W837" s="364"/>
      <c r="X837" s="364"/>
      <c r="Y837" s="364"/>
      <c r="Z837" s="364"/>
      <c r="AA837" s="364"/>
      <c r="AB837" s="364"/>
      <c r="AC837" s="364"/>
      <c r="AD837" s="364"/>
    </row>
    <row r="838">
      <c r="A838" s="364"/>
      <c r="B838" s="364"/>
      <c r="C838" s="364"/>
      <c r="D838" s="364"/>
      <c r="E838" s="364"/>
      <c r="F838" s="364"/>
      <c r="G838" s="364"/>
      <c r="H838" s="364"/>
      <c r="I838" s="364"/>
      <c r="J838" s="364"/>
      <c r="K838" s="364"/>
      <c r="L838" s="364"/>
      <c r="M838" s="364"/>
      <c r="N838" s="364"/>
      <c r="O838" s="388"/>
      <c r="P838" s="364"/>
      <c r="Q838" s="364"/>
      <c r="R838" s="364"/>
      <c r="S838" s="364"/>
      <c r="T838" s="364"/>
      <c r="U838" s="364"/>
      <c r="V838" s="364"/>
      <c r="W838" s="364"/>
      <c r="X838" s="364"/>
      <c r="Y838" s="364"/>
      <c r="Z838" s="364"/>
      <c r="AA838" s="364"/>
      <c r="AB838" s="364"/>
      <c r="AC838" s="364"/>
      <c r="AD838" s="364"/>
    </row>
    <row r="839">
      <c r="A839" s="364"/>
      <c r="B839" s="364"/>
      <c r="C839" s="364"/>
      <c r="D839" s="364"/>
      <c r="E839" s="364"/>
      <c r="F839" s="364"/>
      <c r="G839" s="364"/>
      <c r="H839" s="364"/>
      <c r="I839" s="364"/>
      <c r="J839" s="364"/>
      <c r="K839" s="364"/>
      <c r="L839" s="364"/>
      <c r="M839" s="364"/>
      <c r="N839" s="364"/>
      <c r="O839" s="388"/>
      <c r="P839" s="364"/>
      <c r="Q839" s="364"/>
      <c r="R839" s="364"/>
      <c r="S839" s="364"/>
      <c r="T839" s="364"/>
      <c r="U839" s="364"/>
      <c r="V839" s="364"/>
      <c r="W839" s="364"/>
      <c r="X839" s="364"/>
      <c r="Y839" s="364"/>
      <c r="Z839" s="364"/>
      <c r="AA839" s="364"/>
      <c r="AB839" s="364"/>
      <c r="AC839" s="364"/>
      <c r="AD839" s="364"/>
    </row>
    <row r="840">
      <c r="A840" s="364"/>
      <c r="B840" s="364"/>
      <c r="C840" s="364"/>
      <c r="D840" s="364"/>
      <c r="E840" s="364"/>
      <c r="F840" s="364"/>
      <c r="G840" s="364"/>
      <c r="H840" s="364"/>
      <c r="I840" s="364"/>
      <c r="J840" s="364"/>
      <c r="K840" s="364"/>
      <c r="L840" s="364"/>
      <c r="M840" s="364"/>
      <c r="N840" s="364"/>
      <c r="O840" s="388"/>
      <c r="P840" s="364"/>
      <c r="Q840" s="364"/>
      <c r="R840" s="364"/>
      <c r="S840" s="364"/>
      <c r="T840" s="364"/>
      <c r="U840" s="364"/>
      <c r="V840" s="364"/>
      <c r="W840" s="364"/>
      <c r="X840" s="364"/>
      <c r="Y840" s="364"/>
      <c r="Z840" s="364"/>
      <c r="AA840" s="364"/>
      <c r="AB840" s="364"/>
      <c r="AC840" s="364"/>
      <c r="AD840" s="364"/>
    </row>
    <row r="841">
      <c r="A841" s="364"/>
      <c r="B841" s="364"/>
      <c r="C841" s="364"/>
      <c r="D841" s="364"/>
      <c r="E841" s="364"/>
      <c r="F841" s="364"/>
      <c r="G841" s="364"/>
      <c r="H841" s="364"/>
      <c r="I841" s="364"/>
      <c r="J841" s="364"/>
      <c r="K841" s="364"/>
      <c r="L841" s="364"/>
      <c r="M841" s="364"/>
      <c r="N841" s="364"/>
      <c r="O841" s="388"/>
      <c r="P841" s="364"/>
      <c r="Q841" s="364"/>
      <c r="R841" s="364"/>
      <c r="S841" s="364"/>
      <c r="T841" s="364"/>
      <c r="U841" s="364"/>
      <c r="V841" s="364"/>
      <c r="W841" s="364"/>
      <c r="X841" s="364"/>
      <c r="Y841" s="364"/>
      <c r="Z841" s="364"/>
      <c r="AA841" s="364"/>
      <c r="AB841" s="364"/>
      <c r="AC841" s="364"/>
      <c r="AD841" s="364"/>
    </row>
    <row r="842">
      <c r="A842" s="364"/>
      <c r="B842" s="364"/>
      <c r="C842" s="364"/>
      <c r="D842" s="364"/>
      <c r="E842" s="364"/>
      <c r="F842" s="364"/>
      <c r="G842" s="364"/>
      <c r="H842" s="364"/>
      <c r="I842" s="364"/>
      <c r="J842" s="364"/>
      <c r="K842" s="364"/>
      <c r="L842" s="364"/>
      <c r="M842" s="364"/>
      <c r="N842" s="364"/>
      <c r="O842" s="388"/>
      <c r="P842" s="364"/>
      <c r="Q842" s="364"/>
      <c r="R842" s="364"/>
      <c r="S842" s="364"/>
      <c r="T842" s="364"/>
      <c r="U842" s="364"/>
      <c r="V842" s="364"/>
      <c r="W842" s="364"/>
      <c r="X842" s="364"/>
      <c r="Y842" s="364"/>
      <c r="Z842" s="364"/>
      <c r="AA842" s="364"/>
      <c r="AB842" s="364"/>
      <c r="AC842" s="364"/>
      <c r="AD842" s="364"/>
    </row>
    <row r="843">
      <c r="A843" s="364"/>
      <c r="B843" s="364"/>
      <c r="C843" s="364"/>
      <c r="D843" s="364"/>
      <c r="E843" s="364"/>
      <c r="F843" s="364"/>
      <c r="G843" s="364"/>
      <c r="H843" s="364"/>
      <c r="I843" s="364"/>
      <c r="J843" s="364"/>
      <c r="K843" s="364"/>
      <c r="L843" s="364"/>
      <c r="M843" s="364"/>
      <c r="N843" s="364"/>
      <c r="O843" s="388"/>
      <c r="P843" s="364"/>
      <c r="Q843" s="364"/>
      <c r="R843" s="364"/>
      <c r="S843" s="364"/>
      <c r="T843" s="364"/>
      <c r="U843" s="364"/>
      <c r="V843" s="364"/>
      <c r="W843" s="364"/>
      <c r="X843" s="364"/>
      <c r="Y843" s="364"/>
      <c r="Z843" s="364"/>
      <c r="AA843" s="364"/>
      <c r="AB843" s="364"/>
      <c r="AC843" s="364"/>
      <c r="AD843" s="364"/>
    </row>
    <row r="844">
      <c r="A844" s="364"/>
      <c r="B844" s="364"/>
      <c r="C844" s="364"/>
      <c r="D844" s="364"/>
      <c r="E844" s="364"/>
      <c r="F844" s="364"/>
      <c r="G844" s="364"/>
      <c r="H844" s="364"/>
      <c r="I844" s="364"/>
      <c r="J844" s="364"/>
      <c r="K844" s="364"/>
      <c r="L844" s="364"/>
      <c r="M844" s="364"/>
      <c r="N844" s="364"/>
      <c r="O844" s="388"/>
      <c r="P844" s="364"/>
      <c r="Q844" s="364"/>
      <c r="R844" s="364"/>
      <c r="S844" s="364"/>
      <c r="T844" s="364"/>
      <c r="U844" s="364"/>
      <c r="V844" s="364"/>
      <c r="W844" s="364"/>
      <c r="X844" s="364"/>
      <c r="Y844" s="364"/>
      <c r="Z844" s="364"/>
      <c r="AA844" s="364"/>
      <c r="AB844" s="364"/>
      <c r="AC844" s="364"/>
      <c r="AD844" s="364"/>
    </row>
    <row r="845">
      <c r="A845" s="364"/>
      <c r="B845" s="364"/>
      <c r="C845" s="364"/>
      <c r="D845" s="364"/>
      <c r="E845" s="364"/>
      <c r="F845" s="364"/>
      <c r="G845" s="364"/>
      <c r="H845" s="364"/>
      <c r="I845" s="364"/>
      <c r="J845" s="364"/>
      <c r="K845" s="364"/>
      <c r="L845" s="364"/>
      <c r="M845" s="364"/>
      <c r="N845" s="364"/>
      <c r="O845" s="388"/>
      <c r="P845" s="364"/>
      <c r="Q845" s="364"/>
      <c r="R845" s="364"/>
      <c r="S845" s="364"/>
      <c r="T845" s="364"/>
      <c r="U845" s="364"/>
      <c r="V845" s="364"/>
      <c r="W845" s="364"/>
      <c r="X845" s="364"/>
      <c r="Y845" s="364"/>
      <c r="Z845" s="364"/>
      <c r="AA845" s="364"/>
      <c r="AB845" s="364"/>
      <c r="AC845" s="364"/>
      <c r="AD845" s="364"/>
    </row>
    <row r="846">
      <c r="A846" s="364"/>
      <c r="B846" s="364"/>
      <c r="C846" s="364"/>
      <c r="D846" s="364"/>
      <c r="E846" s="364"/>
      <c r="F846" s="364"/>
      <c r="G846" s="364"/>
      <c r="H846" s="364"/>
      <c r="I846" s="364"/>
      <c r="J846" s="364"/>
      <c r="K846" s="364"/>
      <c r="L846" s="364"/>
      <c r="M846" s="364"/>
      <c r="N846" s="364"/>
      <c r="O846" s="388"/>
      <c r="P846" s="364"/>
      <c r="Q846" s="364"/>
      <c r="R846" s="364"/>
      <c r="S846" s="364"/>
      <c r="T846" s="364"/>
      <c r="U846" s="364"/>
      <c r="V846" s="364"/>
      <c r="W846" s="364"/>
      <c r="X846" s="364"/>
      <c r="Y846" s="364"/>
      <c r="Z846" s="364"/>
      <c r="AA846" s="364"/>
      <c r="AB846" s="364"/>
      <c r="AC846" s="364"/>
      <c r="AD846" s="364"/>
    </row>
    <row r="847">
      <c r="A847" s="364"/>
      <c r="B847" s="364"/>
      <c r="C847" s="364"/>
      <c r="D847" s="364"/>
      <c r="E847" s="364"/>
      <c r="F847" s="364"/>
      <c r="G847" s="364"/>
      <c r="H847" s="364"/>
      <c r="I847" s="364"/>
      <c r="J847" s="364"/>
      <c r="K847" s="364"/>
      <c r="L847" s="364"/>
      <c r="M847" s="364"/>
      <c r="N847" s="364"/>
      <c r="O847" s="388"/>
      <c r="P847" s="364"/>
      <c r="Q847" s="364"/>
      <c r="R847" s="364"/>
      <c r="S847" s="364"/>
      <c r="T847" s="364"/>
      <c r="U847" s="364"/>
      <c r="V847" s="364"/>
      <c r="W847" s="364"/>
      <c r="X847" s="364"/>
      <c r="Y847" s="364"/>
      <c r="Z847" s="364"/>
      <c r="AA847" s="364"/>
      <c r="AB847" s="364"/>
      <c r="AC847" s="364"/>
      <c r="AD847" s="364"/>
    </row>
    <row r="848">
      <c r="A848" s="364"/>
      <c r="B848" s="364"/>
      <c r="C848" s="364"/>
      <c r="D848" s="364"/>
      <c r="E848" s="364"/>
      <c r="F848" s="364"/>
      <c r="G848" s="364"/>
      <c r="H848" s="364"/>
      <c r="I848" s="364"/>
      <c r="J848" s="364"/>
      <c r="K848" s="364"/>
      <c r="L848" s="364"/>
      <c r="M848" s="364"/>
      <c r="N848" s="364"/>
      <c r="O848" s="388"/>
      <c r="P848" s="364"/>
      <c r="Q848" s="364"/>
      <c r="R848" s="364"/>
      <c r="S848" s="364"/>
      <c r="T848" s="364"/>
      <c r="U848" s="364"/>
      <c r="V848" s="364"/>
      <c r="W848" s="364"/>
      <c r="X848" s="364"/>
      <c r="Y848" s="364"/>
      <c r="Z848" s="364"/>
      <c r="AA848" s="364"/>
      <c r="AB848" s="364"/>
      <c r="AC848" s="364"/>
      <c r="AD848" s="364"/>
    </row>
    <row r="849">
      <c r="A849" s="364"/>
      <c r="B849" s="364"/>
      <c r="C849" s="364"/>
      <c r="D849" s="364"/>
      <c r="E849" s="364"/>
      <c r="F849" s="364"/>
      <c r="G849" s="364"/>
      <c r="H849" s="364"/>
      <c r="I849" s="364"/>
      <c r="J849" s="364"/>
      <c r="K849" s="364"/>
      <c r="L849" s="364"/>
      <c r="M849" s="364"/>
      <c r="N849" s="364"/>
      <c r="O849" s="388"/>
      <c r="P849" s="364"/>
      <c r="Q849" s="364"/>
      <c r="R849" s="364"/>
      <c r="S849" s="364"/>
      <c r="T849" s="364"/>
      <c r="U849" s="364"/>
      <c r="V849" s="364"/>
      <c r="W849" s="364"/>
      <c r="X849" s="364"/>
      <c r="Y849" s="364"/>
      <c r="Z849" s="364"/>
      <c r="AA849" s="364"/>
      <c r="AB849" s="364"/>
      <c r="AC849" s="364"/>
      <c r="AD849" s="364"/>
    </row>
    <row r="850">
      <c r="A850" s="364"/>
      <c r="B850" s="364"/>
      <c r="C850" s="364"/>
      <c r="D850" s="364"/>
      <c r="E850" s="364"/>
      <c r="F850" s="364"/>
      <c r="G850" s="364"/>
      <c r="H850" s="364"/>
      <c r="I850" s="364"/>
      <c r="J850" s="364"/>
      <c r="K850" s="364"/>
      <c r="L850" s="364"/>
      <c r="M850" s="364"/>
      <c r="N850" s="364"/>
      <c r="O850" s="388"/>
      <c r="P850" s="364"/>
      <c r="Q850" s="364"/>
      <c r="R850" s="364"/>
      <c r="S850" s="364"/>
      <c r="T850" s="364"/>
      <c r="U850" s="364"/>
      <c r="V850" s="364"/>
      <c r="W850" s="364"/>
      <c r="X850" s="364"/>
      <c r="Y850" s="364"/>
      <c r="Z850" s="364"/>
      <c r="AA850" s="364"/>
      <c r="AB850" s="364"/>
      <c r="AC850" s="364"/>
      <c r="AD850" s="364"/>
    </row>
    <row r="851">
      <c r="A851" s="364"/>
      <c r="B851" s="364"/>
      <c r="C851" s="364"/>
      <c r="D851" s="364"/>
      <c r="E851" s="364"/>
      <c r="F851" s="364"/>
      <c r="G851" s="364"/>
      <c r="H851" s="364"/>
      <c r="I851" s="364"/>
      <c r="J851" s="364"/>
      <c r="K851" s="364"/>
      <c r="L851" s="364"/>
      <c r="M851" s="364"/>
      <c r="N851" s="364"/>
      <c r="O851" s="388"/>
      <c r="P851" s="364"/>
      <c r="Q851" s="364"/>
      <c r="R851" s="364"/>
      <c r="S851" s="364"/>
      <c r="T851" s="364"/>
      <c r="U851" s="364"/>
      <c r="V851" s="364"/>
      <c r="W851" s="364"/>
      <c r="X851" s="364"/>
      <c r="Y851" s="364"/>
      <c r="Z851" s="364"/>
      <c r="AA851" s="364"/>
      <c r="AB851" s="364"/>
      <c r="AC851" s="364"/>
      <c r="AD851" s="364"/>
    </row>
    <row r="852">
      <c r="A852" s="364"/>
      <c r="B852" s="364"/>
      <c r="C852" s="364"/>
      <c r="D852" s="364"/>
      <c r="E852" s="364"/>
      <c r="F852" s="364"/>
      <c r="G852" s="364"/>
      <c r="H852" s="364"/>
      <c r="I852" s="364"/>
      <c r="J852" s="364"/>
      <c r="K852" s="364"/>
      <c r="L852" s="364"/>
      <c r="M852" s="364"/>
      <c r="N852" s="364"/>
      <c r="O852" s="388"/>
      <c r="P852" s="364"/>
      <c r="Q852" s="364"/>
      <c r="R852" s="364"/>
      <c r="S852" s="364"/>
      <c r="T852" s="364"/>
      <c r="U852" s="364"/>
      <c r="V852" s="364"/>
      <c r="W852" s="364"/>
      <c r="X852" s="364"/>
      <c r="Y852" s="364"/>
      <c r="Z852" s="364"/>
      <c r="AA852" s="364"/>
      <c r="AB852" s="364"/>
      <c r="AC852" s="364"/>
      <c r="AD852" s="364"/>
    </row>
    <row r="853">
      <c r="A853" s="364"/>
      <c r="B853" s="364"/>
      <c r="C853" s="364"/>
      <c r="D853" s="364"/>
      <c r="E853" s="364"/>
      <c r="F853" s="364"/>
      <c r="G853" s="364"/>
      <c r="H853" s="364"/>
      <c r="I853" s="364"/>
      <c r="J853" s="364"/>
      <c r="K853" s="364"/>
      <c r="L853" s="364"/>
      <c r="M853" s="364"/>
      <c r="N853" s="364"/>
      <c r="O853" s="388"/>
      <c r="P853" s="364"/>
      <c r="Q853" s="364"/>
      <c r="R853" s="364"/>
      <c r="S853" s="364"/>
      <c r="T853" s="364"/>
      <c r="U853" s="364"/>
      <c r="V853" s="364"/>
      <c r="W853" s="364"/>
      <c r="X853" s="364"/>
      <c r="Y853" s="364"/>
      <c r="Z853" s="364"/>
      <c r="AA853" s="364"/>
      <c r="AB853" s="364"/>
      <c r="AC853" s="364"/>
      <c r="AD853" s="364"/>
    </row>
    <row r="854">
      <c r="A854" s="364"/>
      <c r="B854" s="364"/>
      <c r="C854" s="364"/>
      <c r="D854" s="364"/>
      <c r="E854" s="364"/>
      <c r="F854" s="364"/>
      <c r="G854" s="364"/>
      <c r="H854" s="364"/>
      <c r="I854" s="364"/>
      <c r="J854" s="364"/>
      <c r="K854" s="364"/>
      <c r="L854" s="364"/>
      <c r="M854" s="364"/>
      <c r="N854" s="364"/>
      <c r="O854" s="388"/>
      <c r="P854" s="364"/>
      <c r="Q854" s="364"/>
      <c r="R854" s="364"/>
      <c r="S854" s="364"/>
      <c r="T854" s="364"/>
      <c r="U854" s="364"/>
      <c r="V854" s="364"/>
      <c r="W854" s="364"/>
      <c r="X854" s="364"/>
      <c r="Y854" s="364"/>
      <c r="Z854" s="364"/>
      <c r="AA854" s="364"/>
      <c r="AB854" s="364"/>
      <c r="AC854" s="364"/>
      <c r="AD854" s="364"/>
    </row>
    <row r="855">
      <c r="A855" s="364"/>
      <c r="B855" s="364"/>
      <c r="C855" s="364"/>
      <c r="D855" s="364"/>
      <c r="E855" s="364"/>
      <c r="F855" s="364"/>
      <c r="G855" s="364"/>
      <c r="H855" s="364"/>
      <c r="I855" s="364"/>
      <c r="J855" s="364"/>
      <c r="K855" s="364"/>
      <c r="L855" s="364"/>
      <c r="M855" s="364"/>
      <c r="N855" s="364"/>
      <c r="O855" s="388"/>
      <c r="P855" s="364"/>
      <c r="Q855" s="364"/>
      <c r="R855" s="364"/>
      <c r="S855" s="364"/>
      <c r="T855" s="364"/>
      <c r="U855" s="364"/>
      <c r="V855" s="364"/>
      <c r="W855" s="364"/>
      <c r="X855" s="364"/>
      <c r="Y855" s="364"/>
      <c r="Z855" s="364"/>
      <c r="AA855" s="364"/>
      <c r="AB855" s="364"/>
      <c r="AC855" s="364"/>
      <c r="AD855" s="364"/>
    </row>
    <row r="856">
      <c r="A856" s="364"/>
      <c r="B856" s="364"/>
      <c r="C856" s="364"/>
      <c r="D856" s="364"/>
      <c r="E856" s="364"/>
      <c r="F856" s="364"/>
      <c r="G856" s="364"/>
      <c r="H856" s="364"/>
      <c r="I856" s="364"/>
      <c r="J856" s="364"/>
      <c r="K856" s="364"/>
      <c r="L856" s="364"/>
      <c r="M856" s="364"/>
      <c r="N856" s="364"/>
      <c r="O856" s="388"/>
      <c r="P856" s="364"/>
      <c r="Q856" s="364"/>
      <c r="R856" s="364"/>
      <c r="S856" s="364"/>
      <c r="T856" s="364"/>
      <c r="U856" s="364"/>
      <c r="V856" s="364"/>
      <c r="W856" s="364"/>
      <c r="X856" s="364"/>
      <c r="Y856" s="364"/>
      <c r="Z856" s="364"/>
      <c r="AA856" s="364"/>
      <c r="AB856" s="364"/>
      <c r="AC856" s="364"/>
      <c r="AD856" s="364"/>
    </row>
    <row r="857">
      <c r="A857" s="364"/>
      <c r="B857" s="364"/>
      <c r="C857" s="364"/>
      <c r="D857" s="364"/>
      <c r="E857" s="364"/>
      <c r="F857" s="364"/>
      <c r="G857" s="364"/>
      <c r="H857" s="364"/>
      <c r="I857" s="364"/>
      <c r="J857" s="364"/>
      <c r="K857" s="364"/>
      <c r="L857" s="364"/>
      <c r="M857" s="364"/>
      <c r="N857" s="364"/>
      <c r="O857" s="388"/>
      <c r="P857" s="364"/>
      <c r="Q857" s="364"/>
      <c r="R857" s="364"/>
      <c r="S857" s="364"/>
      <c r="T857" s="364"/>
      <c r="U857" s="364"/>
      <c r="V857" s="364"/>
      <c r="W857" s="364"/>
      <c r="X857" s="364"/>
      <c r="Y857" s="364"/>
      <c r="Z857" s="364"/>
      <c r="AA857" s="364"/>
      <c r="AB857" s="364"/>
      <c r="AC857" s="364"/>
      <c r="AD857" s="364"/>
    </row>
    <row r="858">
      <c r="A858" s="364"/>
      <c r="B858" s="364"/>
      <c r="C858" s="364"/>
      <c r="D858" s="364"/>
      <c r="E858" s="364"/>
      <c r="F858" s="364"/>
      <c r="G858" s="364"/>
      <c r="H858" s="364"/>
      <c r="I858" s="364"/>
      <c r="J858" s="364"/>
      <c r="K858" s="364"/>
      <c r="L858" s="364"/>
      <c r="M858" s="364"/>
      <c r="N858" s="364"/>
      <c r="O858" s="388"/>
      <c r="P858" s="364"/>
      <c r="Q858" s="364"/>
      <c r="R858" s="364"/>
      <c r="S858" s="364"/>
      <c r="T858" s="364"/>
      <c r="U858" s="364"/>
      <c r="V858" s="364"/>
      <c r="W858" s="364"/>
      <c r="X858" s="364"/>
      <c r="Y858" s="364"/>
      <c r="Z858" s="364"/>
      <c r="AA858" s="364"/>
      <c r="AB858" s="364"/>
      <c r="AC858" s="364"/>
      <c r="AD858" s="364"/>
    </row>
    <row r="859">
      <c r="A859" s="364"/>
      <c r="B859" s="364"/>
      <c r="C859" s="364"/>
      <c r="D859" s="364"/>
      <c r="E859" s="364"/>
      <c r="F859" s="364"/>
      <c r="G859" s="364"/>
      <c r="H859" s="364"/>
      <c r="I859" s="364"/>
      <c r="J859" s="364"/>
      <c r="K859" s="364"/>
      <c r="L859" s="364"/>
      <c r="M859" s="364"/>
      <c r="N859" s="364"/>
      <c r="O859" s="388"/>
      <c r="P859" s="364"/>
      <c r="Q859" s="364"/>
      <c r="R859" s="364"/>
      <c r="S859" s="364"/>
      <c r="T859" s="364"/>
      <c r="U859" s="364"/>
      <c r="V859" s="364"/>
      <c r="W859" s="364"/>
      <c r="X859" s="364"/>
      <c r="Y859" s="364"/>
      <c r="Z859" s="364"/>
      <c r="AA859" s="364"/>
      <c r="AB859" s="364"/>
      <c r="AC859" s="364"/>
      <c r="AD859" s="364"/>
    </row>
    <row r="860">
      <c r="A860" s="364"/>
      <c r="B860" s="364"/>
      <c r="C860" s="364"/>
      <c r="D860" s="364"/>
      <c r="E860" s="364"/>
      <c r="F860" s="364"/>
      <c r="G860" s="364"/>
      <c r="H860" s="364"/>
      <c r="I860" s="364"/>
      <c r="J860" s="364"/>
      <c r="K860" s="364"/>
      <c r="L860" s="364"/>
      <c r="M860" s="364"/>
      <c r="N860" s="364"/>
      <c r="O860" s="388"/>
      <c r="P860" s="364"/>
      <c r="Q860" s="364"/>
      <c r="R860" s="364"/>
      <c r="S860" s="364"/>
      <c r="T860" s="364"/>
      <c r="U860" s="364"/>
      <c r="V860" s="364"/>
      <c r="W860" s="364"/>
      <c r="X860" s="364"/>
      <c r="Y860" s="364"/>
      <c r="Z860" s="364"/>
      <c r="AA860" s="364"/>
      <c r="AB860" s="364"/>
      <c r="AC860" s="364"/>
      <c r="AD860" s="364"/>
    </row>
    <row r="861">
      <c r="A861" s="364"/>
      <c r="B861" s="364"/>
      <c r="C861" s="364"/>
      <c r="D861" s="364"/>
      <c r="E861" s="364"/>
      <c r="F861" s="364"/>
      <c r="G861" s="364"/>
      <c r="H861" s="364"/>
      <c r="I861" s="364"/>
      <c r="J861" s="364"/>
      <c r="K861" s="364"/>
      <c r="L861" s="364"/>
      <c r="M861" s="364"/>
      <c r="N861" s="364"/>
      <c r="O861" s="388"/>
      <c r="P861" s="364"/>
      <c r="Q861" s="364"/>
      <c r="R861" s="364"/>
      <c r="S861" s="364"/>
      <c r="T861" s="364"/>
      <c r="U861" s="364"/>
      <c r="V861" s="364"/>
      <c r="W861" s="364"/>
      <c r="X861" s="364"/>
      <c r="Y861" s="364"/>
      <c r="Z861" s="364"/>
      <c r="AA861" s="364"/>
      <c r="AB861" s="364"/>
      <c r="AC861" s="364"/>
      <c r="AD861" s="364"/>
    </row>
    <row r="862">
      <c r="A862" s="364"/>
      <c r="B862" s="364"/>
      <c r="C862" s="364"/>
      <c r="D862" s="364"/>
      <c r="E862" s="364"/>
      <c r="F862" s="364"/>
      <c r="G862" s="364"/>
      <c r="H862" s="364"/>
      <c r="I862" s="364"/>
      <c r="J862" s="364"/>
      <c r="K862" s="364"/>
      <c r="L862" s="364"/>
      <c r="M862" s="364"/>
      <c r="N862" s="364"/>
      <c r="O862" s="388"/>
      <c r="P862" s="364"/>
      <c r="Q862" s="364"/>
      <c r="R862" s="364"/>
      <c r="S862" s="364"/>
      <c r="T862" s="364"/>
      <c r="U862" s="364"/>
      <c r="V862" s="364"/>
      <c r="W862" s="364"/>
      <c r="X862" s="364"/>
      <c r="Y862" s="364"/>
      <c r="Z862" s="364"/>
      <c r="AA862" s="364"/>
      <c r="AB862" s="364"/>
      <c r="AC862" s="364"/>
      <c r="AD862" s="364"/>
    </row>
    <row r="863">
      <c r="A863" s="364"/>
      <c r="B863" s="364"/>
      <c r="C863" s="364"/>
      <c r="D863" s="364"/>
      <c r="E863" s="364"/>
      <c r="F863" s="364"/>
      <c r="G863" s="364"/>
      <c r="H863" s="364"/>
      <c r="I863" s="364"/>
      <c r="J863" s="364"/>
      <c r="K863" s="364"/>
      <c r="L863" s="364"/>
      <c r="M863" s="364"/>
      <c r="N863" s="364"/>
      <c r="O863" s="388"/>
      <c r="P863" s="364"/>
      <c r="Q863" s="364"/>
      <c r="R863" s="364"/>
      <c r="S863" s="364"/>
      <c r="T863" s="364"/>
      <c r="U863" s="364"/>
      <c r="V863" s="364"/>
      <c r="W863" s="364"/>
      <c r="X863" s="364"/>
      <c r="Y863" s="364"/>
      <c r="Z863" s="364"/>
      <c r="AA863" s="364"/>
      <c r="AB863" s="364"/>
      <c r="AC863" s="364"/>
      <c r="AD863" s="364"/>
    </row>
    <row r="864">
      <c r="A864" s="364"/>
      <c r="B864" s="364"/>
      <c r="C864" s="364"/>
      <c r="D864" s="364"/>
      <c r="E864" s="364"/>
      <c r="F864" s="364"/>
      <c r="G864" s="364"/>
      <c r="H864" s="364"/>
      <c r="I864" s="364"/>
      <c r="J864" s="364"/>
      <c r="K864" s="364"/>
      <c r="L864" s="364"/>
      <c r="M864" s="364"/>
      <c r="N864" s="364"/>
      <c r="O864" s="388"/>
      <c r="P864" s="364"/>
      <c r="Q864" s="364"/>
      <c r="R864" s="364"/>
      <c r="S864" s="364"/>
      <c r="T864" s="364"/>
      <c r="U864" s="364"/>
      <c r="V864" s="364"/>
      <c r="W864" s="364"/>
      <c r="X864" s="364"/>
      <c r="Y864" s="364"/>
      <c r="Z864" s="364"/>
      <c r="AA864" s="364"/>
      <c r="AB864" s="364"/>
      <c r="AC864" s="364"/>
      <c r="AD864" s="364"/>
    </row>
    <row r="865">
      <c r="A865" s="364"/>
      <c r="B865" s="364"/>
      <c r="C865" s="364"/>
      <c r="D865" s="364"/>
      <c r="E865" s="364"/>
      <c r="F865" s="364"/>
      <c r="G865" s="364"/>
      <c r="H865" s="364"/>
      <c r="I865" s="364"/>
      <c r="J865" s="364"/>
      <c r="K865" s="364"/>
      <c r="L865" s="364"/>
      <c r="M865" s="364"/>
      <c r="N865" s="364"/>
      <c r="O865" s="388"/>
      <c r="P865" s="364"/>
      <c r="Q865" s="364"/>
      <c r="R865" s="364"/>
      <c r="S865" s="364"/>
      <c r="T865" s="364"/>
      <c r="U865" s="364"/>
      <c r="V865" s="364"/>
      <c r="W865" s="364"/>
      <c r="X865" s="364"/>
      <c r="Y865" s="364"/>
      <c r="Z865" s="364"/>
      <c r="AA865" s="364"/>
      <c r="AB865" s="364"/>
      <c r="AC865" s="364"/>
      <c r="AD865" s="364"/>
    </row>
    <row r="866">
      <c r="A866" s="364"/>
      <c r="B866" s="364"/>
      <c r="C866" s="364"/>
      <c r="D866" s="364"/>
      <c r="E866" s="364"/>
      <c r="F866" s="364"/>
      <c r="G866" s="364"/>
      <c r="H866" s="364"/>
      <c r="I866" s="364"/>
      <c r="J866" s="364"/>
      <c r="K866" s="364"/>
      <c r="L866" s="364"/>
      <c r="M866" s="364"/>
      <c r="N866" s="364"/>
      <c r="O866" s="388"/>
      <c r="P866" s="364"/>
      <c r="Q866" s="364"/>
      <c r="R866" s="364"/>
      <c r="S866" s="364"/>
      <c r="T866" s="364"/>
      <c r="U866" s="364"/>
      <c r="V866" s="364"/>
      <c r="W866" s="364"/>
      <c r="X866" s="364"/>
      <c r="Y866" s="364"/>
      <c r="Z866" s="364"/>
      <c r="AA866" s="364"/>
      <c r="AB866" s="364"/>
      <c r="AC866" s="364"/>
      <c r="AD866" s="364"/>
    </row>
    <row r="867">
      <c r="A867" s="364"/>
      <c r="B867" s="364"/>
      <c r="C867" s="364"/>
      <c r="D867" s="364"/>
      <c r="E867" s="364"/>
      <c r="F867" s="364"/>
      <c r="G867" s="364"/>
      <c r="H867" s="364"/>
      <c r="I867" s="364"/>
      <c r="J867" s="364"/>
      <c r="K867" s="364"/>
      <c r="L867" s="364"/>
      <c r="M867" s="364"/>
      <c r="N867" s="364"/>
      <c r="O867" s="388"/>
      <c r="P867" s="364"/>
      <c r="Q867" s="364"/>
      <c r="R867" s="364"/>
      <c r="S867" s="364"/>
      <c r="T867" s="364"/>
      <c r="U867" s="364"/>
      <c r="V867" s="364"/>
      <c r="W867" s="364"/>
      <c r="X867" s="364"/>
      <c r="Y867" s="364"/>
      <c r="Z867" s="364"/>
      <c r="AA867" s="364"/>
      <c r="AB867" s="364"/>
      <c r="AC867" s="364"/>
      <c r="AD867" s="364"/>
    </row>
    <row r="868">
      <c r="A868" s="364"/>
      <c r="B868" s="364"/>
      <c r="C868" s="364"/>
      <c r="D868" s="364"/>
      <c r="E868" s="364"/>
      <c r="F868" s="364"/>
      <c r="G868" s="364"/>
      <c r="H868" s="364"/>
      <c r="I868" s="364"/>
      <c r="J868" s="364"/>
      <c r="K868" s="364"/>
      <c r="L868" s="364"/>
      <c r="M868" s="364"/>
      <c r="N868" s="364"/>
      <c r="O868" s="388"/>
      <c r="P868" s="364"/>
      <c r="Q868" s="364"/>
      <c r="R868" s="364"/>
      <c r="S868" s="364"/>
      <c r="T868" s="364"/>
      <c r="U868" s="364"/>
      <c r="V868" s="364"/>
      <c r="W868" s="364"/>
      <c r="X868" s="364"/>
      <c r="Y868" s="364"/>
      <c r="Z868" s="364"/>
      <c r="AA868" s="364"/>
      <c r="AB868" s="364"/>
      <c r="AC868" s="364"/>
      <c r="AD868" s="364"/>
    </row>
    <row r="869">
      <c r="A869" s="364"/>
      <c r="B869" s="364"/>
      <c r="C869" s="364"/>
      <c r="D869" s="364"/>
      <c r="E869" s="364"/>
      <c r="F869" s="364"/>
      <c r="G869" s="364"/>
      <c r="H869" s="364"/>
      <c r="I869" s="364"/>
      <c r="J869" s="364"/>
      <c r="K869" s="364"/>
      <c r="L869" s="364"/>
      <c r="M869" s="364"/>
      <c r="N869" s="364"/>
      <c r="O869" s="388"/>
      <c r="P869" s="364"/>
      <c r="Q869" s="364"/>
      <c r="R869" s="364"/>
      <c r="S869" s="364"/>
      <c r="T869" s="364"/>
      <c r="U869" s="364"/>
      <c r="V869" s="364"/>
      <c r="W869" s="364"/>
      <c r="X869" s="364"/>
      <c r="Y869" s="364"/>
      <c r="Z869" s="364"/>
      <c r="AA869" s="364"/>
      <c r="AB869" s="364"/>
      <c r="AC869" s="364"/>
      <c r="AD869" s="364"/>
    </row>
    <row r="870">
      <c r="A870" s="364"/>
      <c r="B870" s="364"/>
      <c r="C870" s="364"/>
      <c r="D870" s="364"/>
      <c r="E870" s="364"/>
      <c r="F870" s="364"/>
      <c r="G870" s="364"/>
      <c r="H870" s="364"/>
      <c r="I870" s="364"/>
      <c r="J870" s="364"/>
      <c r="K870" s="364"/>
      <c r="L870" s="364"/>
      <c r="M870" s="364"/>
      <c r="N870" s="364"/>
      <c r="O870" s="388"/>
      <c r="P870" s="364"/>
      <c r="Q870" s="364"/>
      <c r="R870" s="364"/>
      <c r="S870" s="364"/>
      <c r="T870" s="364"/>
      <c r="U870" s="364"/>
      <c r="V870" s="364"/>
      <c r="W870" s="364"/>
      <c r="X870" s="364"/>
      <c r="Y870" s="364"/>
      <c r="Z870" s="364"/>
      <c r="AA870" s="364"/>
      <c r="AB870" s="364"/>
      <c r="AC870" s="364"/>
      <c r="AD870" s="364"/>
    </row>
    <row r="871">
      <c r="A871" s="364"/>
      <c r="B871" s="364"/>
      <c r="C871" s="364"/>
      <c r="D871" s="364"/>
      <c r="E871" s="364"/>
      <c r="F871" s="364"/>
      <c r="G871" s="364"/>
      <c r="H871" s="364"/>
      <c r="I871" s="364"/>
      <c r="J871" s="364"/>
      <c r="K871" s="364"/>
      <c r="L871" s="364"/>
      <c r="M871" s="364"/>
      <c r="N871" s="364"/>
      <c r="O871" s="388"/>
      <c r="P871" s="364"/>
      <c r="Q871" s="364"/>
      <c r="R871" s="364"/>
      <c r="S871" s="364"/>
      <c r="T871" s="364"/>
      <c r="U871" s="364"/>
      <c r="V871" s="364"/>
      <c r="W871" s="364"/>
      <c r="X871" s="364"/>
      <c r="Y871" s="364"/>
      <c r="Z871" s="364"/>
      <c r="AA871" s="364"/>
      <c r="AB871" s="364"/>
      <c r="AC871" s="364"/>
      <c r="AD871" s="364"/>
    </row>
    <row r="872">
      <c r="A872" s="364"/>
      <c r="B872" s="364"/>
      <c r="C872" s="364"/>
      <c r="D872" s="364"/>
      <c r="E872" s="364"/>
      <c r="F872" s="364"/>
      <c r="G872" s="364"/>
      <c r="H872" s="364"/>
      <c r="I872" s="364"/>
      <c r="J872" s="364"/>
      <c r="K872" s="364"/>
      <c r="L872" s="364"/>
      <c r="M872" s="364"/>
      <c r="N872" s="364"/>
      <c r="O872" s="388"/>
      <c r="P872" s="364"/>
      <c r="Q872" s="364"/>
      <c r="R872" s="364"/>
      <c r="S872" s="364"/>
      <c r="T872" s="364"/>
      <c r="U872" s="364"/>
      <c r="V872" s="364"/>
      <c r="W872" s="364"/>
      <c r="X872" s="364"/>
      <c r="Y872" s="364"/>
      <c r="Z872" s="364"/>
      <c r="AA872" s="364"/>
      <c r="AB872" s="364"/>
      <c r="AC872" s="364"/>
      <c r="AD872" s="364"/>
    </row>
    <row r="873">
      <c r="A873" s="364"/>
      <c r="B873" s="364"/>
      <c r="C873" s="364"/>
      <c r="D873" s="364"/>
      <c r="E873" s="364"/>
      <c r="F873" s="364"/>
      <c r="G873" s="364"/>
      <c r="H873" s="364"/>
      <c r="I873" s="364"/>
      <c r="J873" s="364"/>
      <c r="K873" s="364"/>
      <c r="L873" s="364"/>
      <c r="M873" s="364"/>
      <c r="N873" s="364"/>
      <c r="O873" s="388"/>
      <c r="P873" s="364"/>
      <c r="Q873" s="364"/>
      <c r="R873" s="364"/>
      <c r="S873" s="364"/>
      <c r="T873" s="364"/>
      <c r="U873" s="364"/>
      <c r="V873" s="364"/>
      <c r="W873" s="364"/>
      <c r="X873" s="364"/>
      <c r="Y873" s="364"/>
      <c r="Z873" s="364"/>
      <c r="AA873" s="364"/>
      <c r="AB873" s="364"/>
      <c r="AC873" s="364"/>
      <c r="AD873" s="364"/>
    </row>
    <row r="874">
      <c r="A874" s="364"/>
      <c r="B874" s="364"/>
      <c r="C874" s="364"/>
      <c r="D874" s="364"/>
      <c r="E874" s="364"/>
      <c r="F874" s="364"/>
      <c r="G874" s="364"/>
      <c r="H874" s="364"/>
      <c r="I874" s="364"/>
      <c r="J874" s="364"/>
      <c r="K874" s="364"/>
      <c r="L874" s="364"/>
      <c r="M874" s="364"/>
      <c r="N874" s="364"/>
      <c r="O874" s="388"/>
      <c r="P874" s="364"/>
      <c r="Q874" s="364"/>
      <c r="R874" s="364"/>
      <c r="S874" s="364"/>
      <c r="T874" s="364"/>
      <c r="U874" s="364"/>
      <c r="V874" s="364"/>
      <c r="W874" s="364"/>
      <c r="X874" s="364"/>
      <c r="Y874" s="364"/>
      <c r="Z874" s="364"/>
      <c r="AA874" s="364"/>
      <c r="AB874" s="364"/>
      <c r="AC874" s="364"/>
      <c r="AD874" s="364"/>
    </row>
    <row r="875">
      <c r="A875" s="364"/>
      <c r="B875" s="364"/>
      <c r="C875" s="364"/>
      <c r="D875" s="364"/>
      <c r="E875" s="364"/>
      <c r="F875" s="364"/>
      <c r="G875" s="364"/>
      <c r="H875" s="364"/>
      <c r="I875" s="364"/>
      <c r="J875" s="364"/>
      <c r="K875" s="364"/>
      <c r="L875" s="364"/>
      <c r="M875" s="364"/>
      <c r="N875" s="364"/>
      <c r="O875" s="388"/>
      <c r="P875" s="364"/>
      <c r="Q875" s="364"/>
      <c r="R875" s="364"/>
      <c r="S875" s="364"/>
      <c r="T875" s="364"/>
      <c r="U875" s="364"/>
      <c r="V875" s="364"/>
      <c r="W875" s="364"/>
      <c r="X875" s="364"/>
      <c r="Y875" s="364"/>
      <c r="Z875" s="364"/>
      <c r="AA875" s="364"/>
      <c r="AB875" s="364"/>
      <c r="AC875" s="364"/>
      <c r="AD875" s="364"/>
    </row>
    <row r="876">
      <c r="A876" s="364"/>
      <c r="B876" s="364"/>
      <c r="C876" s="364"/>
      <c r="D876" s="364"/>
      <c r="E876" s="364"/>
      <c r="F876" s="364"/>
      <c r="G876" s="364"/>
      <c r="H876" s="364"/>
      <c r="I876" s="364"/>
      <c r="J876" s="364"/>
      <c r="K876" s="364"/>
      <c r="L876" s="364"/>
      <c r="M876" s="364"/>
      <c r="N876" s="364"/>
      <c r="O876" s="388"/>
      <c r="P876" s="364"/>
      <c r="Q876" s="364"/>
      <c r="R876" s="364"/>
      <c r="S876" s="364"/>
      <c r="T876" s="364"/>
      <c r="U876" s="364"/>
      <c r="V876" s="364"/>
      <c r="W876" s="364"/>
      <c r="X876" s="364"/>
      <c r="Y876" s="364"/>
      <c r="Z876" s="364"/>
      <c r="AA876" s="364"/>
      <c r="AB876" s="364"/>
      <c r="AC876" s="364"/>
      <c r="AD876" s="364"/>
    </row>
    <row r="877">
      <c r="A877" s="364"/>
      <c r="B877" s="364"/>
      <c r="C877" s="364"/>
      <c r="D877" s="364"/>
      <c r="E877" s="364"/>
      <c r="F877" s="364"/>
      <c r="G877" s="364"/>
      <c r="H877" s="364"/>
      <c r="I877" s="364"/>
      <c r="J877" s="364"/>
      <c r="K877" s="364"/>
      <c r="L877" s="364"/>
      <c r="M877" s="364"/>
      <c r="N877" s="364"/>
      <c r="O877" s="388"/>
      <c r="P877" s="364"/>
      <c r="Q877" s="364"/>
      <c r="R877" s="364"/>
      <c r="S877" s="364"/>
      <c r="T877" s="364"/>
      <c r="U877" s="364"/>
      <c r="V877" s="364"/>
      <c r="W877" s="364"/>
      <c r="X877" s="364"/>
      <c r="Y877" s="364"/>
      <c r="Z877" s="364"/>
      <c r="AA877" s="364"/>
      <c r="AB877" s="364"/>
      <c r="AC877" s="364"/>
      <c r="AD877" s="364"/>
    </row>
    <row r="878">
      <c r="A878" s="364"/>
      <c r="B878" s="364"/>
      <c r="C878" s="364"/>
      <c r="D878" s="364"/>
      <c r="E878" s="364"/>
      <c r="F878" s="364"/>
      <c r="G878" s="364"/>
      <c r="H878" s="364"/>
      <c r="I878" s="364"/>
      <c r="J878" s="364"/>
      <c r="K878" s="364"/>
      <c r="L878" s="364"/>
      <c r="M878" s="364"/>
      <c r="N878" s="364"/>
      <c r="O878" s="388"/>
      <c r="P878" s="364"/>
      <c r="Q878" s="364"/>
      <c r="R878" s="364"/>
      <c r="S878" s="364"/>
      <c r="T878" s="364"/>
      <c r="U878" s="364"/>
      <c r="V878" s="364"/>
      <c r="W878" s="364"/>
      <c r="X878" s="364"/>
      <c r="Y878" s="364"/>
      <c r="Z878" s="364"/>
      <c r="AA878" s="364"/>
      <c r="AB878" s="364"/>
      <c r="AC878" s="364"/>
      <c r="AD878" s="364"/>
    </row>
    <row r="879">
      <c r="A879" s="364"/>
      <c r="B879" s="364"/>
      <c r="C879" s="364"/>
      <c r="D879" s="364"/>
      <c r="E879" s="364"/>
      <c r="F879" s="364"/>
      <c r="G879" s="364"/>
      <c r="H879" s="364"/>
      <c r="I879" s="364"/>
      <c r="J879" s="364"/>
      <c r="K879" s="364"/>
      <c r="L879" s="364"/>
      <c r="M879" s="364"/>
      <c r="N879" s="364"/>
      <c r="O879" s="388"/>
      <c r="P879" s="364"/>
      <c r="Q879" s="364"/>
      <c r="R879" s="364"/>
      <c r="S879" s="364"/>
      <c r="T879" s="364"/>
      <c r="U879" s="364"/>
      <c r="V879" s="364"/>
      <c r="W879" s="364"/>
      <c r="X879" s="364"/>
      <c r="Y879" s="364"/>
      <c r="Z879" s="364"/>
      <c r="AA879" s="364"/>
      <c r="AB879" s="364"/>
      <c r="AC879" s="364"/>
      <c r="AD879" s="364"/>
    </row>
    <row r="880">
      <c r="A880" s="364"/>
      <c r="B880" s="364"/>
      <c r="C880" s="364"/>
      <c r="D880" s="364"/>
      <c r="E880" s="364"/>
      <c r="F880" s="364"/>
      <c r="G880" s="364"/>
      <c r="H880" s="364"/>
      <c r="I880" s="364"/>
      <c r="J880" s="364"/>
      <c r="K880" s="364"/>
      <c r="L880" s="364"/>
      <c r="M880" s="364"/>
      <c r="N880" s="364"/>
      <c r="O880" s="388"/>
      <c r="P880" s="364"/>
      <c r="Q880" s="364"/>
      <c r="R880" s="364"/>
      <c r="S880" s="364"/>
      <c r="T880" s="364"/>
      <c r="U880" s="364"/>
      <c r="V880" s="364"/>
      <c r="W880" s="364"/>
      <c r="X880" s="364"/>
      <c r="Y880" s="364"/>
      <c r="Z880" s="364"/>
      <c r="AA880" s="364"/>
      <c r="AB880" s="364"/>
      <c r="AC880" s="364"/>
      <c r="AD880" s="364"/>
    </row>
    <row r="881">
      <c r="A881" s="364"/>
      <c r="B881" s="364"/>
      <c r="C881" s="364"/>
      <c r="D881" s="364"/>
      <c r="E881" s="364"/>
      <c r="F881" s="364"/>
      <c r="G881" s="364"/>
      <c r="H881" s="364"/>
      <c r="I881" s="364"/>
      <c r="J881" s="364"/>
      <c r="K881" s="364"/>
      <c r="L881" s="364"/>
      <c r="M881" s="364"/>
      <c r="N881" s="364"/>
      <c r="O881" s="388"/>
      <c r="P881" s="364"/>
      <c r="Q881" s="364"/>
      <c r="R881" s="364"/>
      <c r="S881" s="364"/>
      <c r="T881" s="364"/>
      <c r="U881" s="364"/>
      <c r="V881" s="364"/>
      <c r="W881" s="364"/>
      <c r="X881" s="364"/>
      <c r="Y881" s="364"/>
      <c r="Z881" s="364"/>
      <c r="AA881" s="364"/>
      <c r="AB881" s="364"/>
      <c r="AC881" s="364"/>
      <c r="AD881" s="364"/>
    </row>
    <row r="882">
      <c r="A882" s="364"/>
      <c r="B882" s="364"/>
      <c r="C882" s="364"/>
      <c r="D882" s="364"/>
      <c r="E882" s="364"/>
      <c r="F882" s="364"/>
      <c r="G882" s="364"/>
      <c r="H882" s="364"/>
      <c r="I882" s="364"/>
      <c r="J882" s="364"/>
      <c r="K882" s="364"/>
      <c r="L882" s="364"/>
      <c r="M882" s="364"/>
      <c r="N882" s="364"/>
      <c r="O882" s="388"/>
      <c r="P882" s="364"/>
      <c r="Q882" s="364"/>
      <c r="R882" s="364"/>
      <c r="S882" s="364"/>
      <c r="T882" s="364"/>
      <c r="U882" s="364"/>
      <c r="V882" s="364"/>
      <c r="W882" s="364"/>
      <c r="X882" s="364"/>
      <c r="Y882" s="364"/>
      <c r="Z882" s="364"/>
      <c r="AA882" s="364"/>
      <c r="AB882" s="364"/>
      <c r="AC882" s="364"/>
      <c r="AD882" s="364"/>
    </row>
    <row r="883">
      <c r="A883" s="364"/>
      <c r="B883" s="364"/>
      <c r="C883" s="364"/>
      <c r="D883" s="364"/>
      <c r="E883" s="364"/>
      <c r="F883" s="364"/>
      <c r="G883" s="364"/>
      <c r="H883" s="364"/>
      <c r="I883" s="364"/>
      <c r="J883" s="364"/>
      <c r="K883" s="364"/>
      <c r="L883" s="364"/>
      <c r="M883" s="364"/>
      <c r="N883" s="364"/>
      <c r="O883" s="388"/>
      <c r="P883" s="364"/>
      <c r="Q883" s="364"/>
      <c r="R883" s="364"/>
      <c r="S883" s="364"/>
      <c r="T883" s="364"/>
      <c r="U883" s="364"/>
      <c r="V883" s="364"/>
      <c r="W883" s="364"/>
      <c r="X883" s="364"/>
      <c r="Y883" s="364"/>
      <c r="Z883" s="364"/>
      <c r="AA883" s="364"/>
      <c r="AB883" s="364"/>
      <c r="AC883" s="364"/>
      <c r="AD883" s="364"/>
    </row>
    <row r="884">
      <c r="A884" s="364"/>
      <c r="B884" s="364"/>
      <c r="C884" s="364"/>
      <c r="D884" s="364"/>
      <c r="E884" s="364"/>
      <c r="F884" s="364"/>
      <c r="G884" s="364"/>
      <c r="H884" s="364"/>
      <c r="I884" s="364"/>
      <c r="J884" s="364"/>
      <c r="K884" s="364"/>
      <c r="L884" s="364"/>
      <c r="M884" s="364"/>
      <c r="N884" s="364"/>
      <c r="O884" s="388"/>
      <c r="P884" s="364"/>
      <c r="Q884" s="364"/>
      <c r="R884" s="364"/>
      <c r="S884" s="364"/>
      <c r="T884" s="364"/>
      <c r="U884" s="364"/>
      <c r="V884" s="364"/>
      <c r="W884" s="364"/>
      <c r="X884" s="364"/>
      <c r="Y884" s="364"/>
      <c r="Z884" s="364"/>
      <c r="AA884" s="364"/>
      <c r="AB884" s="364"/>
      <c r="AC884" s="364"/>
      <c r="AD884" s="364"/>
    </row>
    <row r="885">
      <c r="A885" s="364"/>
      <c r="B885" s="364"/>
      <c r="C885" s="364"/>
      <c r="D885" s="364"/>
      <c r="E885" s="364"/>
      <c r="F885" s="364"/>
      <c r="G885" s="364"/>
      <c r="H885" s="364"/>
      <c r="I885" s="364"/>
      <c r="J885" s="364"/>
      <c r="K885" s="364"/>
      <c r="L885" s="364"/>
      <c r="M885" s="364"/>
      <c r="N885" s="364"/>
      <c r="O885" s="388"/>
      <c r="P885" s="364"/>
      <c r="Q885" s="364"/>
      <c r="R885" s="364"/>
      <c r="S885" s="364"/>
      <c r="T885" s="364"/>
      <c r="U885" s="364"/>
      <c r="V885" s="364"/>
      <c r="W885" s="364"/>
      <c r="X885" s="364"/>
      <c r="Y885" s="364"/>
      <c r="Z885" s="364"/>
      <c r="AA885" s="364"/>
      <c r="AB885" s="364"/>
      <c r="AC885" s="364"/>
      <c r="AD885" s="364"/>
    </row>
    <row r="886">
      <c r="A886" s="364"/>
      <c r="B886" s="364"/>
      <c r="C886" s="364"/>
      <c r="D886" s="364"/>
      <c r="E886" s="364"/>
      <c r="F886" s="364"/>
      <c r="G886" s="364"/>
      <c r="H886" s="364"/>
      <c r="I886" s="364"/>
      <c r="J886" s="364"/>
      <c r="K886" s="364"/>
      <c r="L886" s="364"/>
      <c r="M886" s="364"/>
      <c r="N886" s="364"/>
      <c r="O886" s="388"/>
      <c r="P886" s="364"/>
      <c r="Q886" s="364"/>
      <c r="R886" s="364"/>
      <c r="S886" s="364"/>
      <c r="T886" s="364"/>
      <c r="U886" s="364"/>
      <c r="V886" s="364"/>
      <c r="W886" s="364"/>
      <c r="X886" s="364"/>
      <c r="Y886" s="364"/>
      <c r="Z886" s="364"/>
      <c r="AA886" s="364"/>
      <c r="AB886" s="364"/>
      <c r="AC886" s="364"/>
      <c r="AD886" s="364"/>
    </row>
    <row r="887">
      <c r="A887" s="364"/>
      <c r="B887" s="364"/>
      <c r="C887" s="364"/>
      <c r="D887" s="364"/>
      <c r="E887" s="364"/>
      <c r="F887" s="364"/>
      <c r="G887" s="364"/>
      <c r="H887" s="364"/>
      <c r="I887" s="364"/>
      <c r="J887" s="364"/>
      <c r="K887" s="364"/>
      <c r="L887" s="364"/>
      <c r="M887" s="364"/>
      <c r="N887" s="364"/>
      <c r="O887" s="388"/>
      <c r="P887" s="364"/>
      <c r="Q887" s="364"/>
      <c r="R887" s="364"/>
      <c r="S887" s="364"/>
      <c r="T887" s="364"/>
      <c r="U887" s="364"/>
      <c r="V887" s="364"/>
      <c r="W887" s="364"/>
      <c r="X887" s="364"/>
      <c r="Y887" s="364"/>
      <c r="Z887" s="364"/>
      <c r="AA887" s="364"/>
      <c r="AB887" s="364"/>
      <c r="AC887" s="364"/>
      <c r="AD887" s="364"/>
    </row>
    <row r="888">
      <c r="A888" s="364"/>
      <c r="B888" s="364"/>
      <c r="C888" s="364"/>
      <c r="D888" s="364"/>
      <c r="E888" s="364"/>
      <c r="F888" s="364"/>
      <c r="G888" s="364"/>
      <c r="H888" s="364"/>
      <c r="I888" s="364"/>
      <c r="J888" s="364"/>
      <c r="K888" s="364"/>
      <c r="L888" s="364"/>
      <c r="M888" s="364"/>
      <c r="N888" s="364"/>
      <c r="O888" s="388"/>
      <c r="P888" s="364"/>
      <c r="Q888" s="364"/>
      <c r="R888" s="364"/>
      <c r="S888" s="364"/>
      <c r="T888" s="364"/>
      <c r="U888" s="364"/>
      <c r="V888" s="364"/>
      <c r="W888" s="364"/>
      <c r="X888" s="364"/>
      <c r="Y888" s="364"/>
      <c r="Z888" s="364"/>
      <c r="AA888" s="364"/>
      <c r="AB888" s="364"/>
      <c r="AC888" s="364"/>
      <c r="AD888" s="364"/>
    </row>
    <row r="889">
      <c r="A889" s="364"/>
      <c r="B889" s="364"/>
      <c r="C889" s="364"/>
      <c r="D889" s="364"/>
      <c r="E889" s="364"/>
      <c r="F889" s="364"/>
      <c r="G889" s="364"/>
      <c r="H889" s="364"/>
      <c r="I889" s="364"/>
      <c r="J889" s="364"/>
      <c r="K889" s="364"/>
      <c r="L889" s="364"/>
      <c r="M889" s="364"/>
      <c r="N889" s="364"/>
      <c r="O889" s="388"/>
      <c r="P889" s="364"/>
      <c r="Q889" s="364"/>
      <c r="R889" s="364"/>
      <c r="S889" s="364"/>
      <c r="T889" s="364"/>
      <c r="U889" s="364"/>
      <c r="V889" s="364"/>
      <c r="W889" s="364"/>
      <c r="X889" s="364"/>
      <c r="Y889" s="364"/>
      <c r="Z889" s="364"/>
      <c r="AA889" s="364"/>
      <c r="AB889" s="364"/>
      <c r="AC889" s="364"/>
      <c r="AD889" s="364"/>
    </row>
    <row r="890">
      <c r="A890" s="364"/>
      <c r="B890" s="364"/>
      <c r="C890" s="364"/>
      <c r="D890" s="364"/>
      <c r="E890" s="364"/>
      <c r="F890" s="364"/>
      <c r="G890" s="364"/>
      <c r="H890" s="364"/>
      <c r="I890" s="364"/>
      <c r="J890" s="364"/>
      <c r="K890" s="364"/>
      <c r="L890" s="364"/>
      <c r="M890" s="364"/>
      <c r="N890" s="364"/>
      <c r="O890" s="388"/>
      <c r="P890" s="364"/>
      <c r="Q890" s="364"/>
      <c r="R890" s="364"/>
      <c r="S890" s="364"/>
      <c r="T890" s="364"/>
      <c r="U890" s="364"/>
      <c r="V890" s="364"/>
      <c r="W890" s="364"/>
      <c r="X890" s="364"/>
      <c r="Y890" s="364"/>
      <c r="Z890" s="364"/>
      <c r="AA890" s="364"/>
      <c r="AB890" s="364"/>
      <c r="AC890" s="364"/>
      <c r="AD890" s="364"/>
    </row>
    <row r="891">
      <c r="A891" s="364"/>
      <c r="B891" s="364"/>
      <c r="C891" s="364"/>
      <c r="D891" s="364"/>
      <c r="E891" s="364"/>
      <c r="F891" s="364"/>
      <c r="G891" s="364"/>
      <c r="H891" s="364"/>
      <c r="I891" s="364"/>
      <c r="J891" s="364"/>
      <c r="K891" s="364"/>
      <c r="L891" s="364"/>
      <c r="M891" s="364"/>
      <c r="N891" s="364"/>
      <c r="O891" s="388"/>
      <c r="P891" s="364"/>
      <c r="Q891" s="364"/>
      <c r="R891" s="364"/>
      <c r="S891" s="364"/>
      <c r="T891" s="364"/>
      <c r="U891" s="364"/>
      <c r="V891" s="364"/>
      <c r="W891" s="364"/>
      <c r="X891" s="364"/>
      <c r="Y891" s="364"/>
      <c r="Z891" s="364"/>
      <c r="AA891" s="364"/>
      <c r="AB891" s="364"/>
      <c r="AC891" s="364"/>
      <c r="AD891" s="364"/>
    </row>
    <row r="892">
      <c r="A892" s="364"/>
      <c r="B892" s="364"/>
      <c r="C892" s="364"/>
      <c r="D892" s="364"/>
      <c r="E892" s="364"/>
      <c r="F892" s="364"/>
      <c r="G892" s="364"/>
      <c r="H892" s="364"/>
      <c r="I892" s="364"/>
      <c r="J892" s="364"/>
      <c r="K892" s="364"/>
      <c r="L892" s="364"/>
      <c r="M892" s="364"/>
      <c r="N892" s="364"/>
      <c r="O892" s="388"/>
      <c r="P892" s="364"/>
      <c r="Q892" s="364"/>
      <c r="R892" s="364"/>
      <c r="S892" s="364"/>
      <c r="T892" s="364"/>
      <c r="U892" s="364"/>
      <c r="V892" s="364"/>
      <c r="W892" s="364"/>
      <c r="X892" s="364"/>
      <c r="Y892" s="364"/>
      <c r="Z892" s="364"/>
      <c r="AA892" s="364"/>
      <c r="AB892" s="364"/>
      <c r="AC892" s="364"/>
      <c r="AD892" s="364"/>
    </row>
    <row r="893">
      <c r="A893" s="364"/>
      <c r="B893" s="364"/>
      <c r="C893" s="364"/>
      <c r="D893" s="364"/>
      <c r="E893" s="364"/>
      <c r="F893" s="364"/>
      <c r="G893" s="364"/>
      <c r="H893" s="364"/>
      <c r="I893" s="364"/>
      <c r="J893" s="364"/>
      <c r="K893" s="364"/>
      <c r="L893" s="364"/>
      <c r="M893" s="364"/>
      <c r="N893" s="364"/>
      <c r="O893" s="388"/>
      <c r="P893" s="364"/>
      <c r="Q893" s="364"/>
      <c r="R893" s="364"/>
      <c r="S893" s="364"/>
      <c r="T893" s="364"/>
      <c r="U893" s="364"/>
      <c r="V893" s="364"/>
      <c r="W893" s="364"/>
      <c r="X893" s="364"/>
      <c r="Y893" s="364"/>
      <c r="Z893" s="364"/>
      <c r="AA893" s="364"/>
      <c r="AB893" s="364"/>
      <c r="AC893" s="364"/>
      <c r="AD893" s="364"/>
    </row>
    <row r="894">
      <c r="A894" s="364"/>
      <c r="B894" s="364"/>
      <c r="C894" s="364"/>
      <c r="D894" s="364"/>
      <c r="E894" s="364"/>
      <c r="F894" s="364"/>
      <c r="G894" s="364"/>
      <c r="H894" s="364"/>
      <c r="I894" s="364"/>
      <c r="J894" s="364"/>
      <c r="K894" s="364"/>
      <c r="L894" s="364"/>
      <c r="M894" s="364"/>
      <c r="N894" s="364"/>
      <c r="O894" s="388"/>
      <c r="P894" s="364"/>
      <c r="Q894" s="364"/>
      <c r="R894" s="364"/>
      <c r="S894" s="364"/>
      <c r="T894" s="364"/>
      <c r="U894" s="364"/>
      <c r="V894" s="364"/>
      <c r="W894" s="364"/>
      <c r="X894" s="364"/>
      <c r="Y894" s="364"/>
      <c r="Z894" s="364"/>
      <c r="AA894" s="364"/>
      <c r="AB894" s="364"/>
      <c r="AC894" s="364"/>
      <c r="AD894" s="364"/>
    </row>
    <row r="895">
      <c r="A895" s="364"/>
      <c r="B895" s="364"/>
      <c r="C895" s="364"/>
      <c r="D895" s="364"/>
      <c r="E895" s="364"/>
      <c r="F895" s="364"/>
      <c r="G895" s="364"/>
      <c r="H895" s="364"/>
      <c r="I895" s="364"/>
      <c r="J895" s="364"/>
      <c r="K895" s="364"/>
      <c r="L895" s="364"/>
      <c r="M895" s="364"/>
      <c r="N895" s="364"/>
      <c r="O895" s="388"/>
      <c r="P895" s="364"/>
      <c r="Q895" s="364"/>
      <c r="R895" s="364"/>
      <c r="S895" s="364"/>
      <c r="T895" s="364"/>
      <c r="U895" s="364"/>
      <c r="V895" s="364"/>
      <c r="W895" s="364"/>
      <c r="X895" s="364"/>
      <c r="Y895" s="364"/>
      <c r="Z895" s="364"/>
      <c r="AA895" s="364"/>
      <c r="AB895" s="364"/>
      <c r="AC895" s="364"/>
      <c r="AD895" s="364"/>
    </row>
    <row r="896">
      <c r="A896" s="364"/>
      <c r="B896" s="364"/>
      <c r="C896" s="364"/>
      <c r="D896" s="364"/>
      <c r="E896" s="364"/>
      <c r="F896" s="364"/>
      <c r="G896" s="364"/>
      <c r="H896" s="364"/>
      <c r="I896" s="364"/>
      <c r="J896" s="364"/>
      <c r="K896" s="364"/>
      <c r="L896" s="364"/>
      <c r="M896" s="364"/>
      <c r="N896" s="364"/>
      <c r="O896" s="388"/>
      <c r="P896" s="364"/>
      <c r="Q896" s="364"/>
      <c r="R896" s="364"/>
      <c r="S896" s="364"/>
      <c r="T896" s="364"/>
      <c r="U896" s="364"/>
      <c r="V896" s="364"/>
      <c r="W896" s="364"/>
      <c r="X896" s="364"/>
      <c r="Y896" s="364"/>
      <c r="Z896" s="364"/>
      <c r="AA896" s="364"/>
      <c r="AB896" s="364"/>
      <c r="AC896" s="364"/>
      <c r="AD896" s="364"/>
    </row>
    <row r="897">
      <c r="A897" s="364"/>
      <c r="B897" s="364"/>
      <c r="C897" s="364"/>
      <c r="D897" s="364"/>
      <c r="E897" s="364"/>
      <c r="F897" s="364"/>
      <c r="G897" s="364"/>
      <c r="H897" s="364"/>
      <c r="I897" s="364"/>
      <c r="J897" s="364"/>
      <c r="K897" s="364"/>
      <c r="L897" s="364"/>
      <c r="M897" s="364"/>
      <c r="N897" s="364"/>
      <c r="O897" s="388"/>
      <c r="P897" s="364"/>
      <c r="Q897" s="364"/>
      <c r="R897" s="364"/>
      <c r="S897" s="364"/>
      <c r="T897" s="364"/>
      <c r="U897" s="364"/>
      <c r="V897" s="364"/>
      <c r="W897" s="364"/>
      <c r="X897" s="364"/>
      <c r="Y897" s="364"/>
      <c r="Z897" s="364"/>
      <c r="AA897" s="364"/>
      <c r="AB897" s="364"/>
      <c r="AC897" s="364"/>
      <c r="AD897" s="364"/>
    </row>
    <row r="898">
      <c r="A898" s="364"/>
      <c r="B898" s="364"/>
      <c r="C898" s="364"/>
      <c r="D898" s="364"/>
      <c r="E898" s="364"/>
      <c r="F898" s="364"/>
      <c r="G898" s="364"/>
      <c r="H898" s="364"/>
      <c r="I898" s="364"/>
      <c r="J898" s="364"/>
      <c r="K898" s="364"/>
      <c r="L898" s="364"/>
      <c r="M898" s="364"/>
      <c r="N898" s="364"/>
      <c r="O898" s="388"/>
      <c r="P898" s="364"/>
      <c r="Q898" s="364"/>
      <c r="R898" s="364"/>
      <c r="S898" s="364"/>
      <c r="T898" s="364"/>
      <c r="U898" s="364"/>
      <c r="V898" s="364"/>
      <c r="W898" s="364"/>
      <c r="X898" s="364"/>
      <c r="Y898" s="364"/>
      <c r="Z898" s="364"/>
      <c r="AA898" s="364"/>
      <c r="AB898" s="364"/>
      <c r="AC898" s="364"/>
      <c r="AD898" s="364"/>
    </row>
    <row r="899">
      <c r="A899" s="364"/>
      <c r="B899" s="364"/>
      <c r="C899" s="364"/>
      <c r="D899" s="364"/>
      <c r="E899" s="364"/>
      <c r="F899" s="364"/>
      <c r="G899" s="364"/>
      <c r="H899" s="364"/>
      <c r="I899" s="364"/>
      <c r="J899" s="364"/>
      <c r="K899" s="364"/>
      <c r="L899" s="364"/>
      <c r="M899" s="364"/>
      <c r="N899" s="364"/>
      <c r="O899" s="388"/>
      <c r="P899" s="364"/>
      <c r="Q899" s="364"/>
      <c r="R899" s="364"/>
      <c r="S899" s="364"/>
      <c r="T899" s="364"/>
      <c r="U899" s="364"/>
      <c r="V899" s="364"/>
      <c r="W899" s="364"/>
      <c r="X899" s="364"/>
      <c r="Y899" s="364"/>
      <c r="Z899" s="364"/>
      <c r="AA899" s="364"/>
      <c r="AB899" s="364"/>
      <c r="AC899" s="364"/>
      <c r="AD899" s="364"/>
    </row>
    <row r="900">
      <c r="A900" s="364"/>
      <c r="B900" s="364"/>
      <c r="C900" s="364"/>
      <c r="D900" s="364"/>
      <c r="E900" s="364"/>
      <c r="F900" s="364"/>
      <c r="G900" s="364"/>
      <c r="H900" s="364"/>
      <c r="I900" s="364"/>
      <c r="J900" s="364"/>
      <c r="K900" s="364"/>
      <c r="L900" s="364"/>
      <c r="M900" s="364"/>
      <c r="N900" s="364"/>
      <c r="O900" s="388"/>
      <c r="P900" s="364"/>
      <c r="Q900" s="364"/>
      <c r="R900" s="364"/>
      <c r="S900" s="364"/>
      <c r="T900" s="364"/>
      <c r="U900" s="364"/>
      <c r="V900" s="364"/>
      <c r="W900" s="364"/>
      <c r="X900" s="364"/>
      <c r="Y900" s="364"/>
      <c r="Z900" s="364"/>
      <c r="AA900" s="364"/>
      <c r="AB900" s="364"/>
      <c r="AC900" s="364"/>
      <c r="AD900" s="364"/>
    </row>
    <row r="901">
      <c r="A901" s="364"/>
      <c r="B901" s="364"/>
      <c r="C901" s="364"/>
      <c r="D901" s="364"/>
      <c r="E901" s="364"/>
      <c r="F901" s="364"/>
      <c r="G901" s="364"/>
      <c r="H901" s="364"/>
      <c r="I901" s="364"/>
      <c r="J901" s="364"/>
      <c r="K901" s="364"/>
      <c r="L901" s="364"/>
      <c r="M901" s="364"/>
      <c r="N901" s="364"/>
      <c r="O901" s="388"/>
      <c r="P901" s="364"/>
      <c r="Q901" s="364"/>
      <c r="R901" s="364"/>
      <c r="S901" s="364"/>
      <c r="T901" s="364"/>
      <c r="U901" s="364"/>
      <c r="V901" s="364"/>
      <c r="W901" s="364"/>
      <c r="X901" s="364"/>
      <c r="Y901" s="364"/>
      <c r="Z901" s="364"/>
      <c r="AA901" s="364"/>
      <c r="AB901" s="364"/>
      <c r="AC901" s="364"/>
      <c r="AD901" s="364"/>
    </row>
    <row r="902">
      <c r="A902" s="364"/>
      <c r="B902" s="364"/>
      <c r="C902" s="364"/>
      <c r="D902" s="364"/>
      <c r="E902" s="364"/>
      <c r="F902" s="364"/>
      <c r="G902" s="364"/>
      <c r="H902" s="364"/>
      <c r="I902" s="364"/>
      <c r="J902" s="364"/>
      <c r="K902" s="364"/>
      <c r="L902" s="364"/>
      <c r="M902" s="364"/>
      <c r="N902" s="364"/>
      <c r="O902" s="388"/>
      <c r="P902" s="364"/>
      <c r="Q902" s="364"/>
      <c r="R902" s="364"/>
      <c r="S902" s="364"/>
      <c r="T902" s="364"/>
      <c r="U902" s="364"/>
      <c r="V902" s="364"/>
      <c r="W902" s="364"/>
      <c r="X902" s="364"/>
      <c r="Y902" s="364"/>
      <c r="Z902" s="364"/>
      <c r="AA902" s="364"/>
      <c r="AB902" s="364"/>
      <c r="AC902" s="364"/>
      <c r="AD902" s="364"/>
    </row>
    <row r="903">
      <c r="A903" s="364"/>
      <c r="B903" s="364"/>
      <c r="C903" s="364"/>
      <c r="D903" s="364"/>
      <c r="E903" s="364"/>
      <c r="F903" s="364"/>
      <c r="G903" s="364"/>
      <c r="H903" s="364"/>
      <c r="I903" s="364"/>
      <c r="J903" s="364"/>
      <c r="K903" s="364"/>
      <c r="L903" s="364"/>
      <c r="M903" s="364"/>
      <c r="N903" s="364"/>
      <c r="O903" s="388"/>
      <c r="P903" s="364"/>
      <c r="Q903" s="364"/>
      <c r="R903" s="364"/>
      <c r="S903" s="364"/>
      <c r="T903" s="364"/>
      <c r="U903" s="364"/>
      <c r="V903" s="364"/>
      <c r="W903" s="364"/>
      <c r="X903" s="364"/>
      <c r="Y903" s="364"/>
      <c r="Z903" s="364"/>
      <c r="AA903" s="364"/>
      <c r="AB903" s="364"/>
      <c r="AC903" s="364"/>
      <c r="AD903" s="364"/>
    </row>
    <row r="904">
      <c r="A904" s="364"/>
      <c r="B904" s="364"/>
      <c r="C904" s="364"/>
      <c r="D904" s="364"/>
      <c r="E904" s="364"/>
      <c r="F904" s="364"/>
      <c r="G904" s="364"/>
      <c r="H904" s="364"/>
      <c r="I904" s="364"/>
      <c r="J904" s="364"/>
      <c r="K904" s="364"/>
      <c r="L904" s="364"/>
      <c r="M904" s="364"/>
      <c r="N904" s="364"/>
      <c r="O904" s="388"/>
      <c r="P904" s="364"/>
      <c r="Q904" s="364"/>
      <c r="R904" s="364"/>
      <c r="S904" s="364"/>
      <c r="T904" s="364"/>
      <c r="U904" s="364"/>
      <c r="V904" s="364"/>
      <c r="W904" s="364"/>
      <c r="X904" s="364"/>
      <c r="Y904" s="364"/>
      <c r="Z904" s="364"/>
      <c r="AA904" s="364"/>
      <c r="AB904" s="364"/>
      <c r="AC904" s="364"/>
      <c r="AD904" s="364"/>
    </row>
    <row r="905">
      <c r="A905" s="364"/>
      <c r="B905" s="364"/>
      <c r="C905" s="364"/>
      <c r="D905" s="364"/>
      <c r="E905" s="364"/>
      <c r="F905" s="364"/>
      <c r="G905" s="364"/>
      <c r="H905" s="364"/>
      <c r="I905" s="364"/>
      <c r="J905" s="364"/>
      <c r="K905" s="364"/>
      <c r="L905" s="364"/>
      <c r="M905" s="364"/>
      <c r="N905" s="364"/>
      <c r="O905" s="388"/>
      <c r="P905" s="364"/>
      <c r="Q905" s="364"/>
      <c r="R905" s="364"/>
      <c r="S905" s="364"/>
      <c r="T905" s="364"/>
      <c r="U905" s="364"/>
      <c r="V905" s="364"/>
      <c r="W905" s="364"/>
      <c r="X905" s="364"/>
      <c r="Y905" s="364"/>
      <c r="Z905" s="364"/>
      <c r="AA905" s="364"/>
      <c r="AB905" s="364"/>
      <c r="AC905" s="364"/>
      <c r="AD905" s="364"/>
    </row>
    <row r="906">
      <c r="A906" s="364"/>
      <c r="B906" s="364"/>
      <c r="C906" s="364"/>
      <c r="D906" s="364"/>
      <c r="E906" s="364"/>
      <c r="F906" s="364"/>
      <c r="G906" s="364"/>
      <c r="H906" s="364"/>
      <c r="I906" s="364"/>
      <c r="J906" s="364"/>
      <c r="K906" s="364"/>
      <c r="L906" s="364"/>
      <c r="M906" s="364"/>
      <c r="N906" s="364"/>
      <c r="O906" s="388"/>
      <c r="P906" s="364"/>
      <c r="Q906" s="364"/>
      <c r="R906" s="364"/>
      <c r="S906" s="364"/>
      <c r="T906" s="364"/>
      <c r="U906" s="364"/>
      <c r="V906" s="364"/>
      <c r="W906" s="364"/>
      <c r="X906" s="364"/>
      <c r="Y906" s="364"/>
      <c r="Z906" s="364"/>
      <c r="AA906" s="364"/>
      <c r="AB906" s="364"/>
      <c r="AC906" s="364"/>
      <c r="AD906" s="364"/>
    </row>
    <row r="907">
      <c r="A907" s="364"/>
      <c r="B907" s="364"/>
      <c r="C907" s="364"/>
      <c r="D907" s="364"/>
      <c r="E907" s="364"/>
      <c r="F907" s="364"/>
      <c r="G907" s="364"/>
      <c r="H907" s="364"/>
      <c r="I907" s="364"/>
      <c r="J907" s="364"/>
      <c r="K907" s="364"/>
      <c r="L907" s="364"/>
      <c r="M907" s="364"/>
      <c r="N907" s="364"/>
      <c r="O907" s="388"/>
      <c r="P907" s="364"/>
      <c r="Q907" s="364"/>
      <c r="R907" s="364"/>
      <c r="S907" s="364"/>
      <c r="T907" s="364"/>
      <c r="U907" s="364"/>
      <c r="V907" s="364"/>
      <c r="W907" s="364"/>
      <c r="X907" s="364"/>
      <c r="Y907" s="364"/>
      <c r="Z907" s="364"/>
      <c r="AA907" s="364"/>
      <c r="AB907" s="364"/>
      <c r="AC907" s="364"/>
      <c r="AD907" s="364"/>
    </row>
    <row r="908">
      <c r="A908" s="364"/>
      <c r="B908" s="364"/>
      <c r="C908" s="364"/>
      <c r="D908" s="364"/>
      <c r="E908" s="364"/>
      <c r="F908" s="364"/>
      <c r="G908" s="364"/>
      <c r="H908" s="364"/>
      <c r="I908" s="364"/>
      <c r="J908" s="364"/>
      <c r="K908" s="364"/>
      <c r="L908" s="364"/>
      <c r="M908" s="364"/>
      <c r="N908" s="364"/>
      <c r="O908" s="388"/>
      <c r="P908" s="364"/>
      <c r="Q908" s="364"/>
      <c r="R908" s="364"/>
      <c r="S908" s="364"/>
      <c r="T908" s="364"/>
      <c r="U908" s="364"/>
      <c r="V908" s="364"/>
      <c r="W908" s="364"/>
      <c r="X908" s="364"/>
      <c r="Y908" s="364"/>
      <c r="Z908" s="364"/>
      <c r="AA908" s="364"/>
      <c r="AB908" s="364"/>
      <c r="AC908" s="364"/>
      <c r="AD908" s="364"/>
    </row>
    <row r="909">
      <c r="A909" s="364"/>
      <c r="B909" s="364"/>
      <c r="C909" s="364"/>
      <c r="D909" s="364"/>
      <c r="E909" s="364"/>
      <c r="F909" s="364"/>
      <c r="G909" s="364"/>
      <c r="H909" s="364"/>
      <c r="I909" s="364"/>
      <c r="J909" s="364"/>
      <c r="K909" s="364"/>
      <c r="L909" s="364"/>
      <c r="M909" s="364"/>
      <c r="N909" s="364"/>
      <c r="O909" s="388"/>
      <c r="P909" s="364"/>
      <c r="Q909" s="364"/>
      <c r="R909" s="364"/>
      <c r="S909" s="364"/>
      <c r="T909" s="364"/>
      <c r="U909" s="364"/>
      <c r="V909" s="364"/>
      <c r="W909" s="364"/>
      <c r="X909" s="364"/>
      <c r="Y909" s="364"/>
      <c r="Z909" s="364"/>
      <c r="AA909" s="364"/>
      <c r="AB909" s="364"/>
      <c r="AC909" s="364"/>
      <c r="AD909" s="364"/>
    </row>
    <row r="910">
      <c r="A910" s="364"/>
      <c r="B910" s="364"/>
      <c r="C910" s="364"/>
      <c r="D910" s="364"/>
      <c r="E910" s="364"/>
      <c r="F910" s="364"/>
      <c r="G910" s="364"/>
      <c r="H910" s="364"/>
      <c r="I910" s="364"/>
      <c r="J910" s="364"/>
      <c r="K910" s="364"/>
      <c r="L910" s="364"/>
      <c r="M910" s="364"/>
      <c r="N910" s="364"/>
      <c r="O910" s="388"/>
      <c r="P910" s="364"/>
      <c r="Q910" s="364"/>
      <c r="R910" s="364"/>
      <c r="S910" s="364"/>
      <c r="T910" s="364"/>
      <c r="U910" s="364"/>
      <c r="V910" s="364"/>
      <c r="W910" s="364"/>
      <c r="X910" s="364"/>
      <c r="Y910" s="364"/>
      <c r="Z910" s="364"/>
      <c r="AA910" s="364"/>
      <c r="AB910" s="364"/>
      <c r="AC910" s="364"/>
      <c r="AD910" s="364"/>
    </row>
    <row r="911">
      <c r="A911" s="364"/>
      <c r="B911" s="364"/>
      <c r="C911" s="364"/>
      <c r="D911" s="364"/>
      <c r="E911" s="364"/>
      <c r="F911" s="364"/>
      <c r="G911" s="364"/>
      <c r="H911" s="364"/>
      <c r="I911" s="364"/>
      <c r="J911" s="364"/>
      <c r="K911" s="364"/>
      <c r="L911" s="364"/>
      <c r="M911" s="364"/>
      <c r="N911" s="364"/>
      <c r="O911" s="388"/>
      <c r="P911" s="364"/>
      <c r="Q911" s="364"/>
      <c r="R911" s="364"/>
      <c r="S911" s="364"/>
      <c r="T911" s="364"/>
      <c r="U911" s="364"/>
      <c r="V911" s="364"/>
      <c r="W911" s="364"/>
      <c r="X911" s="364"/>
      <c r="Y911" s="364"/>
      <c r="Z911" s="364"/>
      <c r="AA911" s="364"/>
      <c r="AB911" s="364"/>
      <c r="AC911" s="364"/>
      <c r="AD911" s="364"/>
    </row>
    <row r="912">
      <c r="A912" s="364"/>
      <c r="B912" s="364"/>
      <c r="C912" s="364"/>
      <c r="D912" s="364"/>
      <c r="E912" s="364"/>
      <c r="F912" s="364"/>
      <c r="G912" s="364"/>
      <c r="H912" s="364"/>
      <c r="I912" s="364"/>
      <c r="J912" s="364"/>
      <c r="K912" s="364"/>
      <c r="L912" s="364"/>
      <c r="M912" s="364"/>
      <c r="N912" s="364"/>
      <c r="O912" s="388"/>
      <c r="P912" s="364"/>
      <c r="Q912" s="364"/>
      <c r="R912" s="364"/>
      <c r="S912" s="364"/>
      <c r="T912" s="364"/>
      <c r="U912" s="364"/>
      <c r="V912" s="364"/>
      <c r="W912" s="364"/>
      <c r="X912" s="364"/>
      <c r="Y912" s="364"/>
      <c r="Z912" s="364"/>
      <c r="AA912" s="364"/>
      <c r="AB912" s="364"/>
      <c r="AC912" s="364"/>
      <c r="AD912" s="364"/>
    </row>
    <row r="913">
      <c r="A913" s="364"/>
      <c r="B913" s="364"/>
      <c r="C913" s="364"/>
      <c r="D913" s="364"/>
      <c r="E913" s="364"/>
      <c r="F913" s="364"/>
      <c r="G913" s="364"/>
      <c r="H913" s="364"/>
      <c r="I913" s="364"/>
      <c r="J913" s="364"/>
      <c r="K913" s="364"/>
      <c r="L913" s="364"/>
      <c r="M913" s="364"/>
      <c r="N913" s="364"/>
      <c r="O913" s="388"/>
      <c r="P913" s="364"/>
      <c r="Q913" s="364"/>
      <c r="R913" s="364"/>
      <c r="S913" s="364"/>
      <c r="T913" s="364"/>
      <c r="U913" s="364"/>
      <c r="V913" s="364"/>
      <c r="W913" s="364"/>
      <c r="X913" s="364"/>
      <c r="Y913" s="364"/>
      <c r="Z913" s="364"/>
      <c r="AA913" s="364"/>
      <c r="AB913" s="364"/>
      <c r="AC913" s="364"/>
      <c r="AD913" s="364"/>
    </row>
    <row r="914">
      <c r="A914" s="364"/>
      <c r="B914" s="364"/>
      <c r="C914" s="364"/>
      <c r="D914" s="364"/>
      <c r="E914" s="364"/>
      <c r="F914" s="364"/>
      <c r="G914" s="364"/>
      <c r="H914" s="364"/>
      <c r="I914" s="364"/>
      <c r="J914" s="364"/>
      <c r="K914" s="364"/>
      <c r="L914" s="364"/>
      <c r="M914" s="364"/>
      <c r="N914" s="364"/>
      <c r="O914" s="388"/>
      <c r="P914" s="364"/>
      <c r="Q914" s="364"/>
      <c r="R914" s="364"/>
      <c r="S914" s="364"/>
      <c r="T914" s="364"/>
      <c r="U914" s="364"/>
      <c r="V914" s="364"/>
      <c r="W914" s="364"/>
      <c r="X914" s="364"/>
      <c r="Y914" s="364"/>
      <c r="Z914" s="364"/>
      <c r="AA914" s="364"/>
      <c r="AB914" s="364"/>
      <c r="AC914" s="364"/>
      <c r="AD914" s="364"/>
    </row>
    <row r="915">
      <c r="A915" s="364"/>
      <c r="B915" s="364"/>
      <c r="C915" s="364"/>
      <c r="D915" s="364"/>
      <c r="E915" s="364"/>
      <c r="F915" s="364"/>
      <c r="G915" s="364"/>
      <c r="H915" s="364"/>
      <c r="I915" s="364"/>
      <c r="J915" s="364"/>
      <c r="K915" s="364"/>
      <c r="L915" s="364"/>
      <c r="M915" s="364"/>
      <c r="N915" s="364"/>
      <c r="O915" s="388"/>
      <c r="P915" s="364"/>
      <c r="Q915" s="364"/>
      <c r="R915" s="364"/>
      <c r="S915" s="364"/>
      <c r="T915" s="364"/>
      <c r="U915" s="364"/>
      <c r="V915" s="364"/>
      <c r="W915" s="364"/>
      <c r="X915" s="364"/>
      <c r="Y915" s="364"/>
      <c r="Z915" s="364"/>
      <c r="AA915" s="364"/>
      <c r="AB915" s="364"/>
      <c r="AC915" s="364"/>
      <c r="AD915" s="364"/>
    </row>
    <row r="916">
      <c r="A916" s="364"/>
      <c r="B916" s="364"/>
      <c r="C916" s="364"/>
      <c r="D916" s="364"/>
      <c r="E916" s="364"/>
      <c r="F916" s="364"/>
      <c r="G916" s="364"/>
      <c r="H916" s="364"/>
      <c r="I916" s="364"/>
      <c r="J916" s="364"/>
      <c r="K916" s="364"/>
      <c r="L916" s="364"/>
      <c r="M916" s="364"/>
      <c r="N916" s="364"/>
      <c r="O916" s="388"/>
      <c r="P916" s="364"/>
      <c r="Q916" s="364"/>
      <c r="R916" s="364"/>
      <c r="S916" s="364"/>
      <c r="T916" s="364"/>
      <c r="U916" s="364"/>
      <c r="V916" s="364"/>
      <c r="W916" s="364"/>
      <c r="X916" s="364"/>
      <c r="Y916" s="364"/>
      <c r="Z916" s="364"/>
      <c r="AA916" s="364"/>
      <c r="AB916" s="364"/>
      <c r="AC916" s="364"/>
      <c r="AD916" s="364"/>
    </row>
    <row r="917">
      <c r="A917" s="364"/>
      <c r="B917" s="364"/>
      <c r="C917" s="364"/>
      <c r="D917" s="364"/>
      <c r="E917" s="364"/>
      <c r="F917" s="364"/>
      <c r="G917" s="364"/>
      <c r="H917" s="364"/>
      <c r="I917" s="364"/>
      <c r="J917" s="364"/>
      <c r="K917" s="364"/>
      <c r="L917" s="364"/>
      <c r="M917" s="364"/>
      <c r="N917" s="364"/>
      <c r="O917" s="388"/>
      <c r="P917" s="364"/>
      <c r="Q917" s="364"/>
      <c r="R917" s="364"/>
      <c r="S917" s="364"/>
      <c r="T917" s="364"/>
      <c r="U917" s="364"/>
      <c r="V917" s="364"/>
      <c r="W917" s="364"/>
      <c r="X917" s="364"/>
      <c r="Y917" s="364"/>
      <c r="Z917" s="364"/>
      <c r="AA917" s="364"/>
      <c r="AB917" s="364"/>
      <c r="AC917" s="364"/>
      <c r="AD917" s="364"/>
    </row>
    <row r="918">
      <c r="A918" s="364"/>
      <c r="B918" s="364"/>
      <c r="C918" s="364"/>
      <c r="D918" s="364"/>
      <c r="E918" s="364"/>
      <c r="F918" s="364"/>
      <c r="G918" s="364"/>
      <c r="H918" s="364"/>
      <c r="I918" s="364"/>
      <c r="J918" s="364"/>
      <c r="K918" s="364"/>
      <c r="L918" s="364"/>
      <c r="M918" s="364"/>
      <c r="N918" s="364"/>
      <c r="O918" s="388"/>
      <c r="P918" s="364"/>
      <c r="Q918" s="364"/>
      <c r="R918" s="364"/>
      <c r="S918" s="364"/>
      <c r="T918" s="364"/>
      <c r="U918" s="364"/>
      <c r="V918" s="364"/>
      <c r="W918" s="364"/>
      <c r="X918" s="364"/>
      <c r="Y918" s="364"/>
      <c r="Z918" s="364"/>
      <c r="AA918" s="364"/>
      <c r="AB918" s="364"/>
      <c r="AC918" s="364"/>
      <c r="AD918" s="364"/>
    </row>
    <row r="919">
      <c r="A919" s="364"/>
      <c r="B919" s="364"/>
      <c r="C919" s="364"/>
      <c r="D919" s="364"/>
      <c r="E919" s="364"/>
      <c r="F919" s="364"/>
      <c r="G919" s="364"/>
      <c r="H919" s="364"/>
      <c r="I919" s="364"/>
      <c r="J919" s="364"/>
      <c r="K919" s="364"/>
      <c r="L919" s="364"/>
      <c r="M919" s="364"/>
      <c r="N919" s="364"/>
      <c r="O919" s="388"/>
      <c r="P919" s="364"/>
      <c r="Q919" s="364"/>
      <c r="R919" s="364"/>
      <c r="S919" s="364"/>
      <c r="T919" s="364"/>
      <c r="U919" s="364"/>
      <c r="V919" s="364"/>
      <c r="W919" s="364"/>
      <c r="X919" s="364"/>
      <c r="Y919" s="364"/>
      <c r="Z919" s="364"/>
      <c r="AA919" s="364"/>
      <c r="AB919" s="364"/>
      <c r="AC919" s="364"/>
      <c r="AD919" s="364"/>
    </row>
    <row r="920">
      <c r="A920" s="364"/>
      <c r="B920" s="364"/>
      <c r="C920" s="364"/>
      <c r="D920" s="364"/>
      <c r="E920" s="364"/>
      <c r="F920" s="364"/>
      <c r="G920" s="364"/>
      <c r="H920" s="364"/>
      <c r="I920" s="364"/>
      <c r="J920" s="364"/>
      <c r="K920" s="364"/>
      <c r="L920" s="364"/>
      <c r="M920" s="364"/>
      <c r="N920" s="364"/>
      <c r="O920" s="388"/>
      <c r="P920" s="364"/>
      <c r="Q920" s="364"/>
      <c r="R920" s="364"/>
      <c r="S920" s="364"/>
      <c r="T920" s="364"/>
      <c r="U920" s="364"/>
      <c r="V920" s="364"/>
      <c r="W920" s="364"/>
      <c r="X920" s="364"/>
      <c r="Y920" s="364"/>
      <c r="Z920" s="364"/>
      <c r="AA920" s="364"/>
      <c r="AB920" s="364"/>
      <c r="AC920" s="364"/>
      <c r="AD920" s="364"/>
    </row>
    <row r="921">
      <c r="A921" s="364"/>
      <c r="B921" s="364"/>
      <c r="C921" s="364"/>
      <c r="D921" s="364"/>
      <c r="E921" s="364"/>
      <c r="F921" s="364"/>
      <c r="G921" s="364"/>
      <c r="H921" s="364"/>
      <c r="I921" s="364"/>
      <c r="J921" s="364"/>
      <c r="K921" s="364"/>
      <c r="L921" s="364"/>
      <c r="M921" s="364"/>
      <c r="N921" s="364"/>
      <c r="O921" s="388"/>
      <c r="P921" s="364"/>
      <c r="Q921" s="364"/>
      <c r="R921" s="364"/>
      <c r="S921" s="364"/>
      <c r="T921" s="364"/>
      <c r="U921" s="364"/>
      <c r="V921" s="364"/>
      <c r="W921" s="364"/>
      <c r="X921" s="364"/>
      <c r="Y921" s="364"/>
      <c r="Z921" s="364"/>
      <c r="AA921" s="364"/>
      <c r="AB921" s="364"/>
      <c r="AC921" s="364"/>
      <c r="AD921" s="364"/>
    </row>
    <row r="922">
      <c r="A922" s="364"/>
      <c r="B922" s="364"/>
      <c r="C922" s="364"/>
      <c r="D922" s="364"/>
      <c r="E922" s="364"/>
      <c r="F922" s="364"/>
      <c r="G922" s="364"/>
      <c r="H922" s="364"/>
      <c r="I922" s="364"/>
      <c r="J922" s="364"/>
      <c r="K922" s="364"/>
      <c r="L922" s="364"/>
      <c r="M922" s="364"/>
      <c r="N922" s="364"/>
      <c r="O922" s="388"/>
      <c r="P922" s="364"/>
      <c r="Q922" s="364"/>
      <c r="R922" s="364"/>
      <c r="S922" s="364"/>
      <c r="T922" s="364"/>
      <c r="U922" s="364"/>
      <c r="V922" s="364"/>
      <c r="W922" s="364"/>
      <c r="X922" s="364"/>
      <c r="Y922" s="364"/>
      <c r="Z922" s="364"/>
      <c r="AA922" s="364"/>
      <c r="AB922" s="364"/>
      <c r="AC922" s="364"/>
      <c r="AD922" s="364"/>
    </row>
    <row r="923">
      <c r="A923" s="364"/>
      <c r="B923" s="364"/>
      <c r="C923" s="364"/>
      <c r="D923" s="364"/>
      <c r="E923" s="364"/>
      <c r="F923" s="364"/>
      <c r="G923" s="364"/>
      <c r="H923" s="364"/>
      <c r="I923" s="364"/>
      <c r="J923" s="364"/>
      <c r="K923" s="364"/>
      <c r="L923" s="364"/>
      <c r="M923" s="364"/>
      <c r="N923" s="364"/>
      <c r="O923" s="388"/>
      <c r="P923" s="364"/>
      <c r="Q923" s="364"/>
      <c r="R923" s="364"/>
      <c r="S923" s="364"/>
      <c r="T923" s="364"/>
      <c r="U923" s="364"/>
      <c r="V923" s="364"/>
      <c r="W923" s="364"/>
      <c r="X923" s="364"/>
      <c r="Y923" s="364"/>
      <c r="Z923" s="364"/>
      <c r="AA923" s="364"/>
      <c r="AB923" s="364"/>
      <c r="AC923" s="364"/>
      <c r="AD923" s="364"/>
    </row>
    <row r="924">
      <c r="A924" s="364"/>
      <c r="B924" s="364"/>
      <c r="C924" s="364"/>
      <c r="D924" s="364"/>
      <c r="E924" s="364"/>
      <c r="F924" s="364"/>
      <c r="G924" s="364"/>
      <c r="H924" s="364"/>
      <c r="I924" s="364"/>
      <c r="J924" s="364"/>
      <c r="K924" s="364"/>
      <c r="L924" s="364"/>
      <c r="M924" s="364"/>
      <c r="N924" s="364"/>
      <c r="O924" s="388"/>
      <c r="P924" s="364"/>
      <c r="Q924" s="364"/>
      <c r="R924" s="364"/>
      <c r="S924" s="364"/>
      <c r="T924" s="364"/>
      <c r="U924" s="364"/>
      <c r="V924" s="364"/>
      <c r="W924" s="364"/>
      <c r="X924" s="364"/>
      <c r="Y924" s="364"/>
      <c r="Z924" s="364"/>
      <c r="AA924" s="364"/>
      <c r="AB924" s="364"/>
      <c r="AC924" s="364"/>
      <c r="AD924" s="364"/>
    </row>
    <row r="925">
      <c r="A925" s="364"/>
      <c r="B925" s="364"/>
      <c r="C925" s="364"/>
      <c r="D925" s="364"/>
      <c r="E925" s="364"/>
      <c r="F925" s="364"/>
      <c r="G925" s="364"/>
      <c r="H925" s="364"/>
      <c r="I925" s="364"/>
      <c r="J925" s="364"/>
      <c r="K925" s="364"/>
      <c r="L925" s="364"/>
      <c r="M925" s="364"/>
      <c r="N925" s="364"/>
      <c r="O925" s="388"/>
      <c r="P925" s="364"/>
      <c r="Q925" s="364"/>
      <c r="R925" s="364"/>
      <c r="S925" s="364"/>
      <c r="T925" s="364"/>
      <c r="U925" s="364"/>
      <c r="V925" s="364"/>
      <c r="W925" s="364"/>
      <c r="X925" s="364"/>
      <c r="Y925" s="364"/>
      <c r="Z925" s="364"/>
      <c r="AA925" s="364"/>
      <c r="AB925" s="364"/>
      <c r="AC925" s="364"/>
      <c r="AD925" s="364"/>
    </row>
    <row r="926">
      <c r="A926" s="364"/>
      <c r="B926" s="364"/>
      <c r="C926" s="364"/>
      <c r="D926" s="364"/>
      <c r="E926" s="364"/>
      <c r="F926" s="364"/>
      <c r="G926" s="364"/>
      <c r="H926" s="364"/>
      <c r="I926" s="364"/>
      <c r="J926" s="364"/>
      <c r="K926" s="364"/>
      <c r="L926" s="364"/>
      <c r="M926" s="364"/>
      <c r="N926" s="364"/>
      <c r="O926" s="388"/>
      <c r="P926" s="364"/>
      <c r="Q926" s="364"/>
      <c r="R926" s="364"/>
      <c r="S926" s="364"/>
      <c r="T926" s="364"/>
      <c r="U926" s="364"/>
      <c r="V926" s="364"/>
      <c r="W926" s="364"/>
      <c r="X926" s="364"/>
      <c r="Y926" s="364"/>
      <c r="Z926" s="364"/>
      <c r="AA926" s="364"/>
      <c r="AB926" s="364"/>
      <c r="AC926" s="364"/>
      <c r="AD926" s="364"/>
    </row>
    <row r="927">
      <c r="A927" s="364"/>
      <c r="B927" s="364"/>
      <c r="C927" s="364"/>
      <c r="D927" s="364"/>
      <c r="E927" s="364"/>
      <c r="F927" s="364"/>
      <c r="G927" s="364"/>
      <c r="H927" s="364"/>
      <c r="I927" s="364"/>
      <c r="J927" s="364"/>
      <c r="K927" s="364"/>
      <c r="L927" s="364"/>
      <c r="M927" s="364"/>
      <c r="N927" s="364"/>
      <c r="O927" s="388"/>
      <c r="P927" s="364"/>
      <c r="Q927" s="364"/>
      <c r="R927" s="364"/>
      <c r="S927" s="364"/>
      <c r="T927" s="364"/>
      <c r="U927" s="364"/>
      <c r="V927" s="364"/>
      <c r="W927" s="364"/>
      <c r="X927" s="364"/>
      <c r="Y927" s="364"/>
      <c r="Z927" s="364"/>
      <c r="AA927" s="364"/>
      <c r="AB927" s="364"/>
      <c r="AC927" s="364"/>
      <c r="AD927" s="364"/>
    </row>
    <row r="928">
      <c r="A928" s="364"/>
      <c r="B928" s="364"/>
      <c r="C928" s="364"/>
      <c r="D928" s="364"/>
      <c r="E928" s="364"/>
      <c r="F928" s="364"/>
      <c r="G928" s="364"/>
      <c r="H928" s="364"/>
      <c r="I928" s="364"/>
      <c r="J928" s="364"/>
      <c r="K928" s="364"/>
      <c r="L928" s="364"/>
      <c r="M928" s="364"/>
      <c r="N928" s="364"/>
      <c r="O928" s="388"/>
      <c r="P928" s="364"/>
      <c r="Q928" s="364"/>
      <c r="R928" s="364"/>
      <c r="S928" s="364"/>
      <c r="T928" s="364"/>
      <c r="U928" s="364"/>
      <c r="V928" s="364"/>
      <c r="W928" s="364"/>
      <c r="X928" s="364"/>
      <c r="Y928" s="364"/>
      <c r="Z928" s="364"/>
      <c r="AA928" s="364"/>
      <c r="AB928" s="364"/>
      <c r="AC928" s="364"/>
      <c r="AD928" s="364"/>
    </row>
    <row r="929">
      <c r="A929" s="364"/>
      <c r="B929" s="364"/>
      <c r="C929" s="364"/>
      <c r="D929" s="364"/>
      <c r="E929" s="364"/>
      <c r="F929" s="364"/>
      <c r="G929" s="364"/>
      <c r="H929" s="364"/>
      <c r="I929" s="364"/>
      <c r="J929" s="364"/>
      <c r="K929" s="364"/>
      <c r="L929" s="364"/>
      <c r="M929" s="364"/>
      <c r="N929" s="364"/>
      <c r="O929" s="388"/>
      <c r="P929" s="364"/>
      <c r="Q929" s="364"/>
      <c r="R929" s="364"/>
      <c r="S929" s="364"/>
      <c r="T929" s="364"/>
      <c r="U929" s="364"/>
      <c r="V929" s="364"/>
      <c r="W929" s="364"/>
      <c r="X929" s="364"/>
      <c r="Y929" s="364"/>
      <c r="Z929" s="364"/>
      <c r="AA929" s="364"/>
      <c r="AB929" s="364"/>
      <c r="AC929" s="364"/>
      <c r="AD929" s="364"/>
    </row>
    <row r="930">
      <c r="A930" s="364"/>
      <c r="B930" s="364"/>
      <c r="C930" s="364"/>
      <c r="D930" s="364"/>
      <c r="E930" s="364"/>
      <c r="F930" s="364"/>
      <c r="G930" s="364"/>
      <c r="H930" s="364"/>
      <c r="I930" s="364"/>
      <c r="J930" s="364"/>
      <c r="K930" s="364"/>
      <c r="L930" s="364"/>
      <c r="M930" s="364"/>
      <c r="N930" s="364"/>
      <c r="O930" s="388"/>
      <c r="P930" s="364"/>
      <c r="Q930" s="364"/>
      <c r="R930" s="364"/>
      <c r="S930" s="364"/>
      <c r="T930" s="364"/>
      <c r="U930" s="364"/>
      <c r="V930" s="364"/>
      <c r="W930" s="364"/>
      <c r="X930" s="364"/>
      <c r="Y930" s="364"/>
      <c r="Z930" s="364"/>
      <c r="AA930" s="364"/>
      <c r="AB930" s="364"/>
      <c r="AC930" s="364"/>
      <c r="AD930" s="364"/>
    </row>
    <row r="931">
      <c r="A931" s="364"/>
      <c r="B931" s="364"/>
      <c r="C931" s="364"/>
      <c r="D931" s="364"/>
      <c r="E931" s="364"/>
      <c r="F931" s="364"/>
      <c r="G931" s="364"/>
      <c r="H931" s="364"/>
      <c r="I931" s="364"/>
      <c r="J931" s="364"/>
      <c r="K931" s="364"/>
      <c r="L931" s="364"/>
      <c r="M931" s="364"/>
      <c r="N931" s="364"/>
      <c r="O931" s="388"/>
      <c r="P931" s="364"/>
      <c r="Q931" s="364"/>
      <c r="R931" s="364"/>
      <c r="S931" s="364"/>
      <c r="T931" s="364"/>
      <c r="U931" s="364"/>
      <c r="V931" s="364"/>
      <c r="W931" s="364"/>
      <c r="X931" s="364"/>
      <c r="Y931" s="364"/>
      <c r="Z931" s="364"/>
      <c r="AA931" s="364"/>
      <c r="AB931" s="364"/>
      <c r="AC931" s="364"/>
      <c r="AD931" s="364"/>
    </row>
    <row r="932">
      <c r="A932" s="364"/>
      <c r="B932" s="364"/>
      <c r="C932" s="364"/>
      <c r="D932" s="364"/>
      <c r="E932" s="364"/>
      <c r="F932" s="364"/>
      <c r="G932" s="364"/>
      <c r="H932" s="364"/>
      <c r="I932" s="364"/>
      <c r="J932" s="364"/>
      <c r="K932" s="364"/>
      <c r="L932" s="364"/>
      <c r="M932" s="364"/>
      <c r="N932" s="364"/>
      <c r="O932" s="388"/>
      <c r="P932" s="364"/>
      <c r="Q932" s="364"/>
      <c r="R932" s="364"/>
      <c r="S932" s="364"/>
      <c r="T932" s="364"/>
      <c r="U932" s="364"/>
      <c r="V932" s="364"/>
      <c r="W932" s="364"/>
      <c r="X932" s="364"/>
      <c r="Y932" s="364"/>
      <c r="Z932" s="364"/>
      <c r="AA932" s="364"/>
      <c r="AB932" s="364"/>
      <c r="AC932" s="364"/>
      <c r="AD932" s="364"/>
    </row>
    <row r="933">
      <c r="A933" s="364"/>
      <c r="B933" s="364"/>
      <c r="C933" s="364"/>
      <c r="D933" s="364"/>
      <c r="E933" s="364"/>
      <c r="F933" s="364"/>
      <c r="G933" s="364"/>
      <c r="H933" s="364"/>
      <c r="I933" s="364"/>
      <c r="J933" s="364"/>
      <c r="K933" s="364"/>
      <c r="L933" s="364"/>
      <c r="M933" s="364"/>
      <c r="N933" s="364"/>
      <c r="O933" s="388"/>
      <c r="P933" s="364"/>
      <c r="Q933" s="364"/>
      <c r="R933" s="364"/>
      <c r="S933" s="364"/>
      <c r="T933" s="364"/>
      <c r="U933" s="364"/>
      <c r="V933" s="364"/>
      <c r="W933" s="364"/>
      <c r="X933" s="364"/>
      <c r="Y933" s="364"/>
      <c r="Z933" s="364"/>
      <c r="AA933" s="364"/>
      <c r="AB933" s="364"/>
      <c r="AC933" s="364"/>
      <c r="AD933" s="364"/>
    </row>
    <row r="934">
      <c r="A934" s="364"/>
      <c r="B934" s="364"/>
      <c r="C934" s="364"/>
      <c r="D934" s="364"/>
      <c r="E934" s="364"/>
      <c r="F934" s="364"/>
      <c r="G934" s="364"/>
      <c r="H934" s="364"/>
      <c r="I934" s="364"/>
      <c r="J934" s="364"/>
      <c r="K934" s="364"/>
      <c r="L934" s="364"/>
      <c r="M934" s="364"/>
      <c r="N934" s="364"/>
      <c r="O934" s="388"/>
      <c r="P934" s="364"/>
      <c r="Q934" s="364"/>
      <c r="R934" s="364"/>
      <c r="S934" s="364"/>
      <c r="T934" s="364"/>
      <c r="U934" s="364"/>
      <c r="V934" s="364"/>
      <c r="W934" s="364"/>
      <c r="X934" s="364"/>
      <c r="Y934" s="364"/>
      <c r="Z934" s="364"/>
      <c r="AA934" s="364"/>
      <c r="AB934" s="364"/>
      <c r="AC934" s="364"/>
      <c r="AD934" s="364"/>
    </row>
    <row r="935">
      <c r="A935" s="364"/>
      <c r="B935" s="364"/>
      <c r="C935" s="364"/>
      <c r="D935" s="364"/>
      <c r="E935" s="364"/>
      <c r="F935" s="364"/>
      <c r="G935" s="364"/>
      <c r="H935" s="364"/>
      <c r="I935" s="364"/>
      <c r="J935" s="364"/>
      <c r="K935" s="364"/>
      <c r="L935" s="364"/>
      <c r="M935" s="364"/>
      <c r="N935" s="364"/>
      <c r="O935" s="388"/>
      <c r="P935" s="364"/>
      <c r="Q935" s="364"/>
      <c r="R935" s="364"/>
      <c r="S935" s="364"/>
      <c r="T935" s="364"/>
      <c r="U935" s="364"/>
      <c r="V935" s="364"/>
      <c r="W935" s="364"/>
      <c r="X935" s="364"/>
      <c r="Y935" s="364"/>
      <c r="Z935" s="364"/>
      <c r="AA935" s="364"/>
      <c r="AB935" s="364"/>
      <c r="AC935" s="364"/>
      <c r="AD935" s="364"/>
    </row>
    <row r="936">
      <c r="A936" s="364"/>
      <c r="B936" s="364"/>
      <c r="C936" s="364"/>
      <c r="D936" s="364"/>
      <c r="E936" s="364"/>
      <c r="F936" s="364"/>
      <c r="G936" s="364"/>
      <c r="H936" s="364"/>
      <c r="I936" s="364"/>
      <c r="J936" s="364"/>
      <c r="K936" s="364"/>
      <c r="L936" s="364"/>
      <c r="M936" s="364"/>
      <c r="N936" s="364"/>
      <c r="O936" s="388"/>
      <c r="P936" s="364"/>
      <c r="Q936" s="364"/>
      <c r="R936" s="364"/>
      <c r="S936" s="364"/>
      <c r="T936" s="364"/>
      <c r="U936" s="364"/>
      <c r="V936" s="364"/>
      <c r="W936" s="364"/>
      <c r="X936" s="364"/>
      <c r="Y936" s="364"/>
      <c r="Z936" s="364"/>
      <c r="AA936" s="364"/>
      <c r="AB936" s="364"/>
      <c r="AC936" s="364"/>
      <c r="AD936" s="364"/>
    </row>
    <row r="937">
      <c r="A937" s="364"/>
      <c r="B937" s="364"/>
      <c r="C937" s="364"/>
      <c r="D937" s="364"/>
      <c r="E937" s="364"/>
      <c r="F937" s="364"/>
      <c r="G937" s="364"/>
      <c r="H937" s="364"/>
      <c r="I937" s="364"/>
      <c r="J937" s="364"/>
      <c r="K937" s="364"/>
      <c r="L937" s="364"/>
      <c r="M937" s="364"/>
      <c r="N937" s="364"/>
      <c r="O937" s="388"/>
      <c r="P937" s="364"/>
      <c r="Q937" s="364"/>
      <c r="R937" s="364"/>
      <c r="S937" s="364"/>
      <c r="T937" s="364"/>
      <c r="U937" s="364"/>
      <c r="V937" s="364"/>
      <c r="W937" s="364"/>
      <c r="X937" s="364"/>
      <c r="Y937" s="364"/>
      <c r="Z937" s="364"/>
      <c r="AA937" s="364"/>
      <c r="AB937" s="364"/>
      <c r="AC937" s="364"/>
      <c r="AD937" s="364"/>
    </row>
    <row r="938">
      <c r="A938" s="364"/>
      <c r="B938" s="364"/>
      <c r="C938" s="364"/>
      <c r="D938" s="364"/>
      <c r="E938" s="364"/>
      <c r="F938" s="364"/>
      <c r="G938" s="364"/>
      <c r="H938" s="364"/>
      <c r="I938" s="364"/>
      <c r="J938" s="364"/>
      <c r="K938" s="364"/>
      <c r="L938" s="364"/>
      <c r="M938" s="364"/>
      <c r="N938" s="364"/>
      <c r="O938" s="388"/>
      <c r="P938" s="364"/>
      <c r="Q938" s="364"/>
      <c r="R938" s="364"/>
      <c r="S938" s="364"/>
      <c r="T938" s="364"/>
      <c r="U938" s="364"/>
      <c r="V938" s="364"/>
      <c r="W938" s="364"/>
      <c r="X938" s="364"/>
      <c r="Y938" s="364"/>
      <c r="Z938" s="364"/>
      <c r="AA938" s="364"/>
      <c r="AB938" s="364"/>
      <c r="AC938" s="364"/>
      <c r="AD938" s="364"/>
    </row>
    <row r="939">
      <c r="A939" s="364"/>
      <c r="B939" s="364"/>
      <c r="C939" s="364"/>
      <c r="D939" s="364"/>
      <c r="E939" s="364"/>
      <c r="F939" s="364"/>
      <c r="G939" s="364"/>
      <c r="H939" s="364"/>
      <c r="I939" s="364"/>
      <c r="J939" s="364"/>
      <c r="K939" s="364"/>
      <c r="L939" s="364"/>
      <c r="M939" s="364"/>
      <c r="N939" s="364"/>
      <c r="O939" s="388"/>
      <c r="P939" s="364"/>
      <c r="Q939" s="364"/>
      <c r="R939" s="364"/>
      <c r="S939" s="364"/>
      <c r="T939" s="364"/>
      <c r="U939" s="364"/>
      <c r="V939" s="364"/>
      <c r="W939" s="364"/>
      <c r="X939" s="364"/>
      <c r="Y939" s="364"/>
      <c r="Z939" s="364"/>
      <c r="AA939" s="364"/>
      <c r="AB939" s="364"/>
      <c r="AC939" s="364"/>
      <c r="AD939" s="364"/>
    </row>
    <row r="940">
      <c r="A940" s="364"/>
      <c r="B940" s="364"/>
      <c r="C940" s="364"/>
      <c r="D940" s="364"/>
      <c r="E940" s="364"/>
      <c r="F940" s="364"/>
      <c r="G940" s="364"/>
      <c r="H940" s="364"/>
      <c r="I940" s="364"/>
      <c r="J940" s="364"/>
      <c r="K940" s="364"/>
      <c r="L940" s="364"/>
      <c r="M940" s="364"/>
      <c r="N940" s="364"/>
      <c r="O940" s="388"/>
      <c r="P940" s="364"/>
      <c r="Q940" s="364"/>
      <c r="R940" s="364"/>
      <c r="S940" s="364"/>
      <c r="T940" s="364"/>
      <c r="U940" s="364"/>
      <c r="V940" s="364"/>
      <c r="W940" s="364"/>
      <c r="X940" s="364"/>
      <c r="Y940" s="364"/>
      <c r="Z940" s="364"/>
      <c r="AA940" s="364"/>
      <c r="AB940" s="364"/>
      <c r="AC940" s="364"/>
      <c r="AD940" s="364"/>
    </row>
    <row r="941">
      <c r="A941" s="364"/>
      <c r="B941" s="364"/>
      <c r="C941" s="364"/>
      <c r="D941" s="364"/>
      <c r="E941" s="364"/>
      <c r="F941" s="364"/>
      <c r="G941" s="364"/>
      <c r="H941" s="364"/>
      <c r="I941" s="364"/>
      <c r="J941" s="364"/>
      <c r="K941" s="364"/>
      <c r="L941" s="364"/>
      <c r="M941" s="364"/>
      <c r="N941" s="364"/>
      <c r="O941" s="388"/>
      <c r="P941" s="364"/>
      <c r="Q941" s="364"/>
      <c r="R941" s="364"/>
      <c r="S941" s="364"/>
      <c r="T941" s="364"/>
      <c r="U941" s="364"/>
      <c r="V941" s="364"/>
      <c r="W941" s="364"/>
      <c r="X941" s="364"/>
      <c r="Y941" s="364"/>
      <c r="Z941" s="364"/>
      <c r="AA941" s="364"/>
      <c r="AB941" s="364"/>
      <c r="AC941" s="364"/>
      <c r="AD941" s="364"/>
    </row>
    <row r="942">
      <c r="A942" s="364"/>
      <c r="B942" s="364"/>
      <c r="C942" s="364"/>
      <c r="D942" s="364"/>
      <c r="E942" s="364"/>
      <c r="F942" s="364"/>
      <c r="G942" s="364"/>
      <c r="H942" s="364"/>
      <c r="I942" s="364"/>
      <c r="J942" s="364"/>
      <c r="K942" s="364"/>
      <c r="L942" s="364"/>
      <c r="M942" s="364"/>
      <c r="N942" s="364"/>
      <c r="O942" s="388"/>
      <c r="P942" s="364"/>
      <c r="Q942" s="364"/>
      <c r="R942" s="364"/>
      <c r="S942" s="364"/>
      <c r="T942" s="364"/>
      <c r="U942" s="364"/>
      <c r="V942" s="364"/>
      <c r="W942" s="364"/>
      <c r="X942" s="364"/>
      <c r="Y942" s="364"/>
      <c r="Z942" s="364"/>
      <c r="AA942" s="364"/>
      <c r="AB942" s="364"/>
      <c r="AC942" s="364"/>
      <c r="AD942" s="364"/>
    </row>
    <row r="943">
      <c r="A943" s="364"/>
      <c r="B943" s="364"/>
      <c r="C943" s="364"/>
      <c r="D943" s="364"/>
      <c r="E943" s="364"/>
      <c r="F943" s="364"/>
      <c r="G943" s="364"/>
      <c r="H943" s="364"/>
      <c r="I943" s="364"/>
      <c r="J943" s="364"/>
      <c r="K943" s="364"/>
      <c r="L943" s="364"/>
      <c r="M943" s="364"/>
      <c r="N943" s="364"/>
      <c r="O943" s="388"/>
      <c r="P943" s="364"/>
      <c r="Q943" s="364"/>
      <c r="R943" s="364"/>
      <c r="S943" s="364"/>
      <c r="T943" s="364"/>
      <c r="U943" s="364"/>
      <c r="V943" s="364"/>
      <c r="W943" s="364"/>
      <c r="X943" s="364"/>
      <c r="Y943" s="364"/>
      <c r="Z943" s="364"/>
      <c r="AA943" s="364"/>
      <c r="AB943" s="364"/>
      <c r="AC943" s="364"/>
      <c r="AD943" s="364"/>
    </row>
    <row r="944">
      <c r="A944" s="364"/>
      <c r="B944" s="364"/>
      <c r="C944" s="364"/>
      <c r="D944" s="364"/>
      <c r="E944" s="364"/>
      <c r="F944" s="364"/>
      <c r="G944" s="364"/>
      <c r="H944" s="364"/>
      <c r="I944" s="364"/>
      <c r="J944" s="364"/>
      <c r="K944" s="364"/>
      <c r="L944" s="364"/>
      <c r="M944" s="364"/>
      <c r="N944" s="364"/>
      <c r="O944" s="388"/>
      <c r="P944" s="364"/>
      <c r="Q944" s="364"/>
      <c r="R944" s="364"/>
      <c r="S944" s="364"/>
      <c r="T944" s="364"/>
      <c r="U944" s="364"/>
      <c r="V944" s="364"/>
      <c r="W944" s="364"/>
      <c r="X944" s="364"/>
      <c r="Y944" s="364"/>
      <c r="Z944" s="364"/>
      <c r="AA944" s="364"/>
      <c r="AB944" s="364"/>
      <c r="AC944" s="364"/>
      <c r="AD944" s="364"/>
    </row>
    <row r="945">
      <c r="A945" s="364"/>
      <c r="B945" s="364"/>
      <c r="C945" s="364"/>
      <c r="D945" s="364"/>
      <c r="E945" s="364"/>
      <c r="F945" s="364"/>
      <c r="G945" s="364"/>
      <c r="H945" s="364"/>
      <c r="I945" s="364"/>
      <c r="J945" s="364"/>
      <c r="K945" s="364"/>
      <c r="L945" s="364"/>
      <c r="M945" s="364"/>
      <c r="N945" s="364"/>
      <c r="O945" s="388"/>
      <c r="P945" s="364"/>
      <c r="Q945" s="364"/>
      <c r="R945" s="364"/>
      <c r="S945" s="364"/>
      <c r="T945" s="364"/>
      <c r="U945" s="364"/>
      <c r="V945" s="364"/>
      <c r="W945" s="364"/>
      <c r="X945" s="364"/>
      <c r="Y945" s="364"/>
      <c r="Z945" s="364"/>
      <c r="AA945" s="364"/>
      <c r="AB945" s="364"/>
      <c r="AC945" s="364"/>
      <c r="AD945" s="364"/>
    </row>
    <row r="946">
      <c r="A946" s="364"/>
      <c r="B946" s="364"/>
      <c r="C946" s="364"/>
      <c r="D946" s="364"/>
      <c r="E946" s="364"/>
      <c r="F946" s="364"/>
      <c r="G946" s="364"/>
      <c r="H946" s="364"/>
      <c r="I946" s="364"/>
      <c r="J946" s="364"/>
      <c r="K946" s="364"/>
      <c r="L946" s="364"/>
      <c r="M946" s="364"/>
      <c r="N946" s="364"/>
      <c r="O946" s="388"/>
      <c r="P946" s="364"/>
      <c r="Q946" s="364"/>
      <c r="R946" s="364"/>
      <c r="S946" s="364"/>
      <c r="T946" s="364"/>
      <c r="U946" s="364"/>
      <c r="V946" s="364"/>
      <c r="W946" s="364"/>
      <c r="X946" s="364"/>
      <c r="Y946" s="364"/>
      <c r="Z946" s="364"/>
      <c r="AA946" s="364"/>
      <c r="AB946" s="364"/>
      <c r="AC946" s="364"/>
      <c r="AD946" s="364"/>
    </row>
    <row r="947">
      <c r="A947" s="364"/>
      <c r="B947" s="364"/>
      <c r="C947" s="364"/>
      <c r="D947" s="364"/>
      <c r="E947" s="364"/>
      <c r="F947" s="364"/>
      <c r="G947" s="364"/>
      <c r="H947" s="364"/>
      <c r="I947" s="364"/>
      <c r="J947" s="364"/>
      <c r="K947" s="364"/>
      <c r="L947" s="364"/>
      <c r="M947" s="364"/>
      <c r="N947" s="364"/>
      <c r="O947" s="388"/>
      <c r="P947" s="364"/>
      <c r="Q947" s="364"/>
      <c r="R947" s="364"/>
      <c r="S947" s="364"/>
      <c r="T947" s="364"/>
      <c r="U947" s="364"/>
      <c r="V947" s="364"/>
      <c r="W947" s="364"/>
      <c r="X947" s="364"/>
      <c r="Y947" s="364"/>
      <c r="Z947" s="364"/>
      <c r="AA947" s="364"/>
      <c r="AB947" s="364"/>
      <c r="AC947" s="364"/>
      <c r="AD947" s="364"/>
    </row>
    <row r="948">
      <c r="A948" s="364"/>
      <c r="B948" s="364"/>
      <c r="C948" s="364"/>
      <c r="D948" s="364"/>
      <c r="E948" s="364"/>
      <c r="F948" s="364"/>
      <c r="G948" s="364"/>
      <c r="H948" s="364"/>
      <c r="I948" s="364"/>
      <c r="J948" s="364"/>
      <c r="K948" s="364"/>
      <c r="L948" s="364"/>
      <c r="M948" s="364"/>
      <c r="N948" s="364"/>
      <c r="O948" s="388"/>
      <c r="P948" s="364"/>
      <c r="Q948" s="364"/>
      <c r="R948" s="364"/>
      <c r="S948" s="364"/>
      <c r="T948" s="364"/>
      <c r="U948" s="364"/>
      <c r="V948" s="364"/>
      <c r="W948" s="364"/>
      <c r="X948" s="364"/>
      <c r="Y948" s="364"/>
      <c r="Z948" s="364"/>
      <c r="AA948" s="364"/>
      <c r="AB948" s="364"/>
      <c r="AC948" s="364"/>
      <c r="AD948" s="364"/>
    </row>
    <row r="949">
      <c r="A949" s="364"/>
      <c r="B949" s="364"/>
      <c r="C949" s="364"/>
      <c r="D949" s="364"/>
      <c r="E949" s="364"/>
      <c r="F949" s="364"/>
      <c r="G949" s="364"/>
      <c r="H949" s="364"/>
      <c r="I949" s="364"/>
      <c r="J949" s="364"/>
      <c r="K949" s="364"/>
      <c r="L949" s="364"/>
      <c r="M949" s="364"/>
      <c r="N949" s="364"/>
      <c r="O949" s="388"/>
      <c r="P949" s="364"/>
      <c r="Q949" s="364"/>
      <c r="R949" s="364"/>
      <c r="S949" s="364"/>
      <c r="T949" s="364"/>
      <c r="U949" s="364"/>
      <c r="V949" s="364"/>
      <c r="W949" s="364"/>
      <c r="X949" s="364"/>
      <c r="Y949" s="364"/>
      <c r="Z949" s="364"/>
      <c r="AA949" s="364"/>
      <c r="AB949" s="364"/>
      <c r="AC949" s="364"/>
      <c r="AD949" s="364"/>
    </row>
    <row r="950">
      <c r="A950" s="364"/>
      <c r="B950" s="364"/>
      <c r="C950" s="364"/>
      <c r="D950" s="364"/>
      <c r="E950" s="364"/>
      <c r="F950" s="364"/>
      <c r="G950" s="364"/>
      <c r="H950" s="364"/>
      <c r="I950" s="364"/>
      <c r="J950" s="364"/>
      <c r="K950" s="364"/>
      <c r="L950" s="364"/>
      <c r="M950" s="364"/>
      <c r="N950" s="364"/>
      <c r="O950" s="388"/>
      <c r="P950" s="364"/>
      <c r="Q950" s="364"/>
      <c r="R950" s="364"/>
      <c r="S950" s="364"/>
      <c r="T950" s="364"/>
      <c r="U950" s="364"/>
      <c r="V950" s="364"/>
      <c r="W950" s="364"/>
      <c r="X950" s="364"/>
      <c r="Y950" s="364"/>
      <c r="Z950" s="364"/>
      <c r="AA950" s="364"/>
      <c r="AB950" s="364"/>
      <c r="AC950" s="364"/>
      <c r="AD950" s="364"/>
    </row>
    <row r="951">
      <c r="A951" s="364"/>
      <c r="B951" s="364"/>
      <c r="C951" s="364"/>
      <c r="D951" s="364"/>
      <c r="E951" s="364"/>
      <c r="F951" s="364"/>
      <c r="G951" s="364"/>
      <c r="H951" s="364"/>
      <c r="I951" s="364"/>
      <c r="J951" s="364"/>
      <c r="K951" s="364"/>
      <c r="L951" s="364"/>
      <c r="M951" s="364"/>
      <c r="N951" s="364"/>
      <c r="O951" s="388"/>
      <c r="P951" s="364"/>
      <c r="Q951" s="364"/>
      <c r="R951" s="364"/>
      <c r="S951" s="364"/>
      <c r="T951" s="364"/>
      <c r="U951" s="364"/>
      <c r="V951" s="364"/>
      <c r="W951" s="364"/>
      <c r="X951" s="364"/>
      <c r="Y951" s="364"/>
      <c r="Z951" s="364"/>
      <c r="AA951" s="364"/>
      <c r="AB951" s="364"/>
      <c r="AC951" s="364"/>
      <c r="AD951" s="364"/>
    </row>
    <row r="952">
      <c r="A952" s="364"/>
      <c r="B952" s="364"/>
      <c r="C952" s="364"/>
      <c r="D952" s="364"/>
      <c r="E952" s="364"/>
      <c r="F952" s="364"/>
      <c r="G952" s="364"/>
      <c r="H952" s="364"/>
      <c r="I952" s="364"/>
      <c r="J952" s="364"/>
      <c r="K952" s="364"/>
      <c r="L952" s="364"/>
      <c r="M952" s="364"/>
      <c r="N952" s="364"/>
      <c r="O952" s="388"/>
      <c r="P952" s="364"/>
      <c r="Q952" s="364"/>
      <c r="R952" s="364"/>
      <c r="S952" s="364"/>
      <c r="T952" s="364"/>
      <c r="U952" s="364"/>
      <c r="V952" s="364"/>
      <c r="W952" s="364"/>
      <c r="X952" s="364"/>
      <c r="Y952" s="364"/>
      <c r="Z952" s="364"/>
      <c r="AA952" s="364"/>
      <c r="AB952" s="364"/>
      <c r="AC952" s="364"/>
      <c r="AD952" s="364"/>
    </row>
    <row r="953">
      <c r="A953" s="364"/>
      <c r="B953" s="364"/>
      <c r="C953" s="364"/>
      <c r="D953" s="364"/>
      <c r="E953" s="364"/>
      <c r="F953" s="364"/>
      <c r="G953" s="364"/>
      <c r="H953" s="364"/>
      <c r="I953" s="364"/>
      <c r="J953" s="364"/>
      <c r="K953" s="364"/>
      <c r="L953" s="364"/>
      <c r="M953" s="364"/>
      <c r="N953" s="364"/>
      <c r="O953" s="388"/>
      <c r="P953" s="364"/>
      <c r="Q953" s="364"/>
      <c r="R953" s="364"/>
      <c r="S953" s="364"/>
      <c r="T953" s="364"/>
      <c r="U953" s="364"/>
      <c r="V953" s="364"/>
      <c r="W953" s="364"/>
      <c r="X953" s="364"/>
      <c r="Y953" s="364"/>
      <c r="Z953" s="364"/>
      <c r="AA953" s="364"/>
      <c r="AB953" s="364"/>
      <c r="AC953" s="364"/>
      <c r="AD953" s="364"/>
    </row>
    <row r="954">
      <c r="A954" s="364"/>
      <c r="B954" s="364"/>
      <c r="C954" s="364"/>
      <c r="D954" s="364"/>
      <c r="E954" s="364"/>
      <c r="F954" s="364"/>
      <c r="G954" s="364"/>
      <c r="H954" s="364"/>
      <c r="I954" s="364"/>
      <c r="J954" s="364"/>
      <c r="K954" s="364"/>
      <c r="L954" s="364"/>
      <c r="M954" s="364"/>
      <c r="N954" s="364"/>
      <c r="O954" s="388"/>
      <c r="P954" s="364"/>
      <c r="Q954" s="364"/>
      <c r="R954" s="364"/>
      <c r="S954" s="364"/>
      <c r="T954" s="364"/>
      <c r="U954" s="364"/>
      <c r="V954" s="364"/>
      <c r="W954" s="364"/>
      <c r="X954" s="364"/>
      <c r="Y954" s="364"/>
      <c r="Z954" s="364"/>
      <c r="AA954" s="364"/>
      <c r="AB954" s="364"/>
      <c r="AC954" s="364"/>
      <c r="AD954" s="364"/>
    </row>
    <row r="955">
      <c r="A955" s="364"/>
      <c r="B955" s="364"/>
      <c r="C955" s="364"/>
      <c r="D955" s="364"/>
      <c r="E955" s="364"/>
      <c r="F955" s="364"/>
      <c r="G955" s="364"/>
      <c r="H955" s="364"/>
      <c r="I955" s="364"/>
      <c r="J955" s="364"/>
      <c r="K955" s="364"/>
      <c r="L955" s="364"/>
      <c r="M955" s="364"/>
      <c r="N955" s="364"/>
      <c r="O955" s="388"/>
      <c r="P955" s="364"/>
      <c r="Q955" s="364"/>
      <c r="R955" s="364"/>
      <c r="S955" s="364"/>
      <c r="T955" s="364"/>
      <c r="U955" s="364"/>
      <c r="V955" s="364"/>
      <c r="W955" s="364"/>
      <c r="X955" s="364"/>
      <c r="Y955" s="364"/>
      <c r="Z955" s="364"/>
      <c r="AA955" s="364"/>
      <c r="AB955" s="364"/>
      <c r="AC955" s="364"/>
      <c r="AD955" s="364"/>
    </row>
    <row r="956">
      <c r="A956" s="364"/>
      <c r="B956" s="364"/>
      <c r="C956" s="364"/>
      <c r="D956" s="364"/>
      <c r="E956" s="364"/>
      <c r="F956" s="364"/>
      <c r="G956" s="364"/>
      <c r="H956" s="364"/>
      <c r="I956" s="364"/>
      <c r="J956" s="364"/>
      <c r="K956" s="364"/>
      <c r="L956" s="364"/>
      <c r="M956" s="364"/>
      <c r="N956" s="364"/>
      <c r="O956" s="388"/>
      <c r="P956" s="364"/>
      <c r="Q956" s="364"/>
      <c r="R956" s="364"/>
      <c r="S956" s="364"/>
      <c r="T956" s="364"/>
      <c r="U956" s="364"/>
      <c r="V956" s="364"/>
      <c r="W956" s="364"/>
      <c r="X956" s="364"/>
      <c r="Y956" s="364"/>
      <c r="Z956" s="364"/>
      <c r="AA956" s="364"/>
      <c r="AB956" s="364"/>
      <c r="AC956" s="364"/>
      <c r="AD956" s="364"/>
    </row>
    <row r="957">
      <c r="A957" s="364"/>
      <c r="B957" s="364"/>
      <c r="C957" s="364"/>
      <c r="D957" s="364"/>
      <c r="E957" s="364"/>
      <c r="F957" s="364"/>
      <c r="G957" s="364"/>
      <c r="H957" s="364"/>
      <c r="I957" s="364"/>
      <c r="J957" s="364"/>
      <c r="K957" s="364"/>
      <c r="L957" s="364"/>
      <c r="M957" s="364"/>
      <c r="N957" s="364"/>
      <c r="O957" s="388"/>
      <c r="P957" s="364"/>
      <c r="Q957" s="364"/>
      <c r="R957" s="364"/>
      <c r="S957" s="364"/>
      <c r="T957" s="364"/>
      <c r="U957" s="364"/>
      <c r="V957" s="364"/>
      <c r="W957" s="364"/>
      <c r="X957" s="364"/>
      <c r="Y957" s="364"/>
      <c r="Z957" s="364"/>
      <c r="AA957" s="364"/>
      <c r="AB957" s="364"/>
      <c r="AC957" s="364"/>
      <c r="AD957" s="364"/>
    </row>
    <row r="958">
      <c r="A958" s="364"/>
      <c r="B958" s="364"/>
      <c r="C958" s="364"/>
      <c r="D958" s="364"/>
      <c r="E958" s="364"/>
      <c r="F958" s="364"/>
      <c r="G958" s="364"/>
      <c r="H958" s="364"/>
      <c r="I958" s="364"/>
      <c r="J958" s="364"/>
      <c r="K958" s="364"/>
      <c r="L958" s="364"/>
      <c r="M958" s="364"/>
      <c r="N958" s="364"/>
      <c r="O958" s="388"/>
      <c r="P958" s="364"/>
      <c r="Q958" s="364"/>
      <c r="R958" s="364"/>
      <c r="S958" s="364"/>
      <c r="T958" s="364"/>
      <c r="U958" s="364"/>
      <c r="V958" s="364"/>
      <c r="W958" s="364"/>
      <c r="X958" s="364"/>
      <c r="Y958" s="364"/>
      <c r="Z958" s="364"/>
      <c r="AA958" s="364"/>
      <c r="AB958" s="364"/>
      <c r="AC958" s="364"/>
      <c r="AD958" s="364"/>
    </row>
    <row r="959">
      <c r="A959" s="364"/>
      <c r="B959" s="364"/>
      <c r="C959" s="364"/>
      <c r="D959" s="364"/>
      <c r="E959" s="364"/>
      <c r="F959" s="364"/>
      <c r="G959" s="364"/>
      <c r="H959" s="364"/>
      <c r="I959" s="364"/>
      <c r="J959" s="364"/>
      <c r="K959" s="364"/>
      <c r="L959" s="364"/>
      <c r="M959" s="364"/>
      <c r="N959" s="364"/>
      <c r="O959" s="388"/>
      <c r="P959" s="364"/>
      <c r="Q959" s="364"/>
      <c r="R959" s="364"/>
      <c r="S959" s="364"/>
      <c r="T959" s="364"/>
      <c r="U959" s="364"/>
      <c r="V959" s="364"/>
      <c r="W959" s="364"/>
      <c r="X959" s="364"/>
      <c r="Y959" s="364"/>
      <c r="Z959" s="364"/>
      <c r="AA959" s="364"/>
      <c r="AB959" s="364"/>
      <c r="AC959" s="364"/>
      <c r="AD959" s="364"/>
    </row>
    <row r="960">
      <c r="A960" s="364"/>
      <c r="B960" s="364"/>
      <c r="C960" s="364"/>
      <c r="D960" s="364"/>
      <c r="E960" s="364"/>
      <c r="F960" s="364"/>
      <c r="G960" s="364"/>
      <c r="H960" s="364"/>
      <c r="I960" s="364"/>
      <c r="J960" s="364"/>
      <c r="K960" s="364"/>
      <c r="L960" s="364"/>
      <c r="M960" s="364"/>
      <c r="N960" s="364"/>
      <c r="O960" s="388"/>
      <c r="P960" s="364"/>
      <c r="Q960" s="364"/>
      <c r="R960" s="364"/>
      <c r="S960" s="364"/>
      <c r="T960" s="364"/>
      <c r="U960" s="364"/>
      <c r="V960" s="364"/>
      <c r="W960" s="364"/>
      <c r="X960" s="364"/>
      <c r="Y960" s="364"/>
      <c r="Z960" s="364"/>
      <c r="AA960" s="364"/>
      <c r="AB960" s="364"/>
      <c r="AC960" s="364"/>
      <c r="AD960" s="364"/>
    </row>
    <row r="961">
      <c r="A961" s="364"/>
      <c r="B961" s="364"/>
      <c r="C961" s="364"/>
      <c r="D961" s="364"/>
      <c r="E961" s="364"/>
      <c r="F961" s="364"/>
      <c r="G961" s="364"/>
      <c r="H961" s="364"/>
      <c r="I961" s="364"/>
      <c r="J961" s="364"/>
      <c r="K961" s="364"/>
      <c r="L961" s="364"/>
      <c r="M961" s="364"/>
      <c r="N961" s="364"/>
      <c r="O961" s="388"/>
      <c r="P961" s="364"/>
      <c r="Q961" s="364"/>
      <c r="R961" s="364"/>
      <c r="S961" s="364"/>
      <c r="T961" s="364"/>
      <c r="U961" s="364"/>
      <c r="V961" s="364"/>
      <c r="W961" s="364"/>
      <c r="X961" s="364"/>
      <c r="Y961" s="364"/>
      <c r="Z961" s="364"/>
      <c r="AA961" s="364"/>
      <c r="AB961" s="364"/>
      <c r="AC961" s="364"/>
      <c r="AD961" s="364"/>
    </row>
    <row r="962">
      <c r="A962" s="364"/>
      <c r="B962" s="364"/>
      <c r="C962" s="364"/>
      <c r="D962" s="364"/>
      <c r="E962" s="364"/>
      <c r="F962" s="364"/>
      <c r="G962" s="364"/>
      <c r="H962" s="364"/>
      <c r="I962" s="364"/>
      <c r="J962" s="364"/>
      <c r="K962" s="364"/>
      <c r="L962" s="364"/>
      <c r="M962" s="364"/>
      <c r="N962" s="364"/>
      <c r="O962" s="388"/>
      <c r="P962" s="364"/>
      <c r="Q962" s="364"/>
      <c r="R962" s="364"/>
      <c r="S962" s="364"/>
      <c r="T962" s="364"/>
      <c r="U962" s="364"/>
      <c r="V962" s="364"/>
      <c r="W962" s="364"/>
      <c r="X962" s="364"/>
      <c r="Y962" s="364"/>
      <c r="Z962" s="364"/>
      <c r="AA962" s="364"/>
      <c r="AB962" s="364"/>
      <c r="AC962" s="364"/>
      <c r="AD962" s="364"/>
    </row>
    <row r="963">
      <c r="A963" s="364"/>
      <c r="B963" s="364"/>
      <c r="C963" s="364"/>
      <c r="D963" s="364"/>
      <c r="E963" s="364"/>
      <c r="F963" s="364"/>
      <c r="G963" s="364"/>
      <c r="H963" s="364"/>
      <c r="I963" s="364"/>
      <c r="J963" s="364"/>
      <c r="K963" s="364"/>
      <c r="L963" s="364"/>
      <c r="M963" s="364"/>
      <c r="N963" s="364"/>
      <c r="O963" s="388"/>
      <c r="P963" s="364"/>
      <c r="Q963" s="364"/>
      <c r="R963" s="364"/>
      <c r="S963" s="364"/>
      <c r="T963" s="364"/>
      <c r="U963" s="364"/>
      <c r="V963" s="364"/>
      <c r="W963" s="364"/>
      <c r="X963" s="364"/>
      <c r="Y963" s="364"/>
      <c r="Z963" s="364"/>
      <c r="AA963" s="364"/>
      <c r="AB963" s="364"/>
      <c r="AC963" s="364"/>
      <c r="AD963" s="364"/>
    </row>
    <row r="964">
      <c r="A964" s="364"/>
      <c r="B964" s="364"/>
      <c r="C964" s="364"/>
      <c r="D964" s="364"/>
      <c r="E964" s="364"/>
      <c r="F964" s="364"/>
      <c r="G964" s="364"/>
      <c r="H964" s="364"/>
      <c r="I964" s="364"/>
      <c r="J964" s="364"/>
      <c r="K964" s="364"/>
      <c r="L964" s="364"/>
      <c r="M964" s="364"/>
      <c r="N964" s="364"/>
      <c r="O964" s="388"/>
      <c r="P964" s="364"/>
      <c r="Q964" s="364"/>
      <c r="R964" s="364"/>
      <c r="S964" s="364"/>
      <c r="T964" s="364"/>
      <c r="U964" s="364"/>
      <c r="V964" s="364"/>
      <c r="W964" s="364"/>
      <c r="X964" s="364"/>
      <c r="Y964" s="364"/>
      <c r="Z964" s="364"/>
      <c r="AA964" s="364"/>
      <c r="AB964" s="364"/>
      <c r="AC964" s="364"/>
      <c r="AD964" s="364"/>
    </row>
    <row r="965">
      <c r="A965" s="364"/>
      <c r="B965" s="364"/>
      <c r="C965" s="364"/>
      <c r="D965" s="364"/>
      <c r="E965" s="364"/>
      <c r="F965" s="364"/>
      <c r="G965" s="364"/>
      <c r="H965" s="364"/>
      <c r="I965" s="364"/>
      <c r="J965" s="364"/>
      <c r="K965" s="364"/>
      <c r="L965" s="364"/>
      <c r="M965" s="364"/>
      <c r="N965" s="364"/>
      <c r="O965" s="388"/>
      <c r="P965" s="364"/>
      <c r="Q965" s="364"/>
      <c r="R965" s="364"/>
      <c r="S965" s="364"/>
      <c r="T965" s="364"/>
      <c r="U965" s="364"/>
      <c r="V965" s="364"/>
      <c r="W965" s="364"/>
      <c r="X965" s="364"/>
      <c r="Y965" s="364"/>
      <c r="Z965" s="364"/>
      <c r="AA965" s="364"/>
      <c r="AB965" s="364"/>
      <c r="AC965" s="364"/>
      <c r="AD965" s="364"/>
    </row>
    <row r="966">
      <c r="A966" s="364"/>
      <c r="B966" s="364"/>
      <c r="C966" s="364"/>
      <c r="D966" s="364"/>
      <c r="E966" s="364"/>
      <c r="F966" s="364"/>
      <c r="G966" s="364"/>
      <c r="H966" s="364"/>
      <c r="I966" s="364"/>
      <c r="J966" s="364"/>
      <c r="K966" s="364"/>
      <c r="L966" s="364"/>
      <c r="M966" s="364"/>
      <c r="N966" s="364"/>
      <c r="O966" s="388"/>
      <c r="P966" s="364"/>
      <c r="Q966" s="364"/>
      <c r="R966" s="364"/>
      <c r="S966" s="364"/>
      <c r="T966" s="364"/>
      <c r="U966" s="364"/>
      <c r="V966" s="364"/>
      <c r="W966" s="364"/>
      <c r="X966" s="364"/>
      <c r="Y966" s="364"/>
      <c r="Z966" s="364"/>
      <c r="AA966" s="364"/>
      <c r="AB966" s="364"/>
      <c r="AC966" s="364"/>
      <c r="AD966" s="364"/>
    </row>
    <row r="967">
      <c r="A967" s="364"/>
      <c r="B967" s="364"/>
      <c r="C967" s="364"/>
      <c r="D967" s="364"/>
      <c r="E967" s="364"/>
      <c r="F967" s="364"/>
      <c r="G967" s="364"/>
      <c r="H967" s="364"/>
      <c r="I967" s="364"/>
      <c r="J967" s="364"/>
      <c r="K967" s="364"/>
      <c r="L967" s="364"/>
      <c r="M967" s="364"/>
      <c r="N967" s="364"/>
      <c r="O967" s="388"/>
      <c r="P967" s="364"/>
      <c r="Q967" s="364"/>
      <c r="R967" s="364"/>
      <c r="S967" s="364"/>
      <c r="T967" s="364"/>
      <c r="U967" s="364"/>
      <c r="V967" s="364"/>
      <c r="W967" s="364"/>
      <c r="X967" s="364"/>
      <c r="Y967" s="364"/>
      <c r="Z967" s="364"/>
      <c r="AA967" s="364"/>
      <c r="AB967" s="364"/>
      <c r="AC967" s="364"/>
      <c r="AD967" s="364"/>
    </row>
    <row r="968">
      <c r="A968" s="364"/>
      <c r="B968" s="364"/>
      <c r="C968" s="364"/>
      <c r="D968" s="364"/>
      <c r="E968" s="364"/>
      <c r="F968" s="364"/>
      <c r="G968" s="364"/>
      <c r="H968" s="364"/>
      <c r="I968" s="364"/>
      <c r="J968" s="364"/>
      <c r="K968" s="364"/>
      <c r="L968" s="364"/>
      <c r="M968" s="364"/>
      <c r="N968" s="364"/>
      <c r="O968" s="388"/>
      <c r="P968" s="364"/>
      <c r="Q968" s="364"/>
      <c r="R968" s="364"/>
      <c r="S968" s="364"/>
      <c r="T968" s="364"/>
      <c r="U968" s="364"/>
      <c r="V968" s="364"/>
      <c r="W968" s="364"/>
      <c r="X968" s="364"/>
      <c r="Y968" s="364"/>
      <c r="Z968" s="364"/>
      <c r="AA968" s="364"/>
      <c r="AB968" s="364"/>
      <c r="AC968" s="364"/>
      <c r="AD968" s="364"/>
    </row>
    <row r="969">
      <c r="A969" s="364"/>
      <c r="B969" s="364"/>
      <c r="C969" s="364"/>
      <c r="D969" s="364"/>
      <c r="E969" s="364"/>
      <c r="F969" s="364"/>
      <c r="G969" s="364"/>
      <c r="H969" s="364"/>
      <c r="I969" s="364"/>
      <c r="J969" s="364"/>
      <c r="K969" s="364"/>
      <c r="L969" s="364"/>
      <c r="M969" s="364"/>
      <c r="N969" s="364"/>
      <c r="O969" s="388"/>
      <c r="P969" s="364"/>
      <c r="Q969" s="364"/>
      <c r="R969" s="364"/>
      <c r="S969" s="364"/>
      <c r="T969" s="364"/>
      <c r="U969" s="364"/>
      <c r="V969" s="364"/>
      <c r="W969" s="364"/>
      <c r="X969" s="364"/>
      <c r="Y969" s="364"/>
      <c r="Z969" s="364"/>
      <c r="AA969" s="364"/>
      <c r="AB969" s="364"/>
      <c r="AC969" s="364"/>
      <c r="AD969" s="364"/>
    </row>
    <row r="970">
      <c r="A970" s="364"/>
      <c r="B970" s="364"/>
      <c r="C970" s="364"/>
      <c r="D970" s="364"/>
      <c r="E970" s="364"/>
      <c r="F970" s="364"/>
      <c r="G970" s="364"/>
      <c r="H970" s="364"/>
      <c r="I970" s="364"/>
      <c r="J970" s="364"/>
      <c r="K970" s="364"/>
      <c r="L970" s="364"/>
      <c r="M970" s="364"/>
      <c r="N970" s="364"/>
      <c r="O970" s="388"/>
      <c r="P970" s="364"/>
      <c r="Q970" s="364"/>
      <c r="R970" s="364"/>
      <c r="S970" s="364"/>
      <c r="T970" s="364"/>
      <c r="U970" s="364"/>
      <c r="V970" s="364"/>
      <c r="W970" s="364"/>
      <c r="X970" s="364"/>
      <c r="Y970" s="364"/>
      <c r="Z970" s="364"/>
      <c r="AA970" s="364"/>
      <c r="AB970" s="364"/>
      <c r="AC970" s="364"/>
      <c r="AD970" s="364"/>
    </row>
    <row r="971">
      <c r="A971" s="364"/>
      <c r="B971" s="364"/>
      <c r="C971" s="364"/>
      <c r="D971" s="364"/>
      <c r="E971" s="364"/>
      <c r="F971" s="364"/>
      <c r="G971" s="364"/>
      <c r="H971" s="364"/>
      <c r="I971" s="364"/>
      <c r="J971" s="364"/>
      <c r="K971" s="364"/>
      <c r="L971" s="364"/>
      <c r="M971" s="364"/>
      <c r="N971" s="364"/>
      <c r="O971" s="388"/>
      <c r="P971" s="364"/>
      <c r="Q971" s="364"/>
      <c r="R971" s="364"/>
      <c r="S971" s="364"/>
      <c r="T971" s="364"/>
      <c r="U971" s="364"/>
      <c r="V971" s="364"/>
      <c r="W971" s="364"/>
      <c r="X971" s="364"/>
      <c r="Y971" s="364"/>
      <c r="Z971" s="364"/>
      <c r="AA971" s="364"/>
      <c r="AB971" s="364"/>
      <c r="AC971" s="364"/>
      <c r="AD971" s="364"/>
    </row>
    <row r="972">
      <c r="A972" s="364"/>
      <c r="B972" s="364"/>
      <c r="C972" s="364"/>
      <c r="D972" s="364"/>
      <c r="E972" s="364"/>
      <c r="F972" s="364"/>
      <c r="G972" s="364"/>
      <c r="H972" s="364"/>
      <c r="I972" s="364"/>
      <c r="J972" s="364"/>
      <c r="K972" s="364"/>
      <c r="L972" s="364"/>
      <c r="M972" s="364"/>
      <c r="N972" s="364"/>
      <c r="O972" s="388"/>
      <c r="P972" s="364"/>
      <c r="Q972" s="364"/>
      <c r="R972" s="364"/>
      <c r="S972" s="364"/>
      <c r="T972" s="364"/>
      <c r="U972" s="364"/>
      <c r="V972" s="364"/>
      <c r="W972" s="364"/>
      <c r="X972" s="364"/>
      <c r="Y972" s="364"/>
      <c r="Z972" s="364"/>
      <c r="AA972" s="364"/>
      <c r="AB972" s="364"/>
      <c r="AC972" s="364"/>
      <c r="AD972" s="364"/>
    </row>
    <row r="973">
      <c r="A973" s="364"/>
      <c r="B973" s="364"/>
      <c r="C973" s="364"/>
      <c r="D973" s="364"/>
      <c r="E973" s="364"/>
      <c r="F973" s="364"/>
      <c r="G973" s="364"/>
      <c r="H973" s="364"/>
      <c r="I973" s="364"/>
      <c r="J973" s="364"/>
      <c r="K973" s="364"/>
      <c r="L973" s="364"/>
      <c r="M973" s="364"/>
      <c r="N973" s="364"/>
      <c r="O973" s="388"/>
      <c r="P973" s="364"/>
      <c r="Q973" s="364"/>
      <c r="R973" s="364"/>
      <c r="S973" s="364"/>
      <c r="T973" s="364"/>
      <c r="U973" s="364"/>
      <c r="V973" s="364"/>
      <c r="W973" s="364"/>
      <c r="X973" s="364"/>
      <c r="Y973" s="364"/>
      <c r="Z973" s="364"/>
      <c r="AA973" s="364"/>
      <c r="AB973" s="364"/>
      <c r="AC973" s="364"/>
      <c r="AD973" s="364"/>
    </row>
    <row r="974">
      <c r="A974" s="364"/>
      <c r="B974" s="364"/>
      <c r="C974" s="364"/>
      <c r="D974" s="364"/>
      <c r="E974" s="364"/>
      <c r="F974" s="364"/>
      <c r="G974" s="364"/>
      <c r="H974" s="364"/>
      <c r="I974" s="364"/>
      <c r="J974" s="364"/>
      <c r="K974" s="364"/>
      <c r="L974" s="364"/>
      <c r="M974" s="364"/>
      <c r="N974" s="364"/>
      <c r="O974" s="388"/>
      <c r="P974" s="364"/>
      <c r="Q974" s="364"/>
      <c r="R974" s="364"/>
      <c r="S974" s="364"/>
      <c r="T974" s="364"/>
      <c r="U974" s="364"/>
      <c r="V974" s="364"/>
      <c r="W974" s="364"/>
      <c r="X974" s="364"/>
      <c r="Y974" s="364"/>
      <c r="Z974" s="364"/>
      <c r="AA974" s="364"/>
      <c r="AB974" s="364"/>
      <c r="AC974" s="364"/>
      <c r="AD974" s="364"/>
    </row>
    <row r="975">
      <c r="A975" s="364"/>
      <c r="B975" s="364"/>
      <c r="C975" s="364"/>
      <c r="D975" s="364"/>
      <c r="E975" s="364"/>
      <c r="F975" s="364"/>
      <c r="G975" s="364"/>
      <c r="H975" s="364"/>
      <c r="I975" s="364"/>
      <c r="J975" s="364"/>
      <c r="K975" s="364"/>
      <c r="L975" s="364"/>
      <c r="M975" s="364"/>
      <c r="N975" s="364"/>
      <c r="O975" s="388"/>
      <c r="P975" s="364"/>
      <c r="Q975" s="364"/>
      <c r="R975" s="364"/>
      <c r="S975" s="364"/>
      <c r="T975" s="364"/>
      <c r="U975" s="364"/>
      <c r="V975" s="364"/>
      <c r="W975" s="364"/>
      <c r="X975" s="364"/>
      <c r="Y975" s="364"/>
      <c r="Z975" s="364"/>
      <c r="AA975" s="364"/>
      <c r="AB975" s="364"/>
      <c r="AC975" s="364"/>
      <c r="AD975" s="364"/>
    </row>
    <row r="976">
      <c r="A976" s="364"/>
      <c r="B976" s="364"/>
      <c r="C976" s="364"/>
      <c r="D976" s="364"/>
      <c r="E976" s="364"/>
      <c r="F976" s="364"/>
      <c r="G976" s="364"/>
      <c r="H976" s="364"/>
      <c r="I976" s="364"/>
      <c r="J976" s="364"/>
      <c r="K976" s="364"/>
      <c r="L976" s="364"/>
      <c r="M976" s="364"/>
      <c r="N976" s="364"/>
      <c r="O976" s="388"/>
      <c r="P976" s="364"/>
      <c r="Q976" s="364"/>
      <c r="R976" s="364"/>
      <c r="S976" s="364"/>
      <c r="T976" s="364"/>
      <c r="U976" s="364"/>
      <c r="V976" s="364"/>
      <c r="W976" s="364"/>
      <c r="X976" s="364"/>
      <c r="Y976" s="364"/>
      <c r="Z976" s="364"/>
      <c r="AA976" s="364"/>
      <c r="AB976" s="364"/>
      <c r="AC976" s="364"/>
      <c r="AD976" s="364"/>
    </row>
    <row r="977">
      <c r="A977" s="364"/>
      <c r="B977" s="364"/>
      <c r="C977" s="364"/>
      <c r="D977" s="364"/>
      <c r="E977" s="364"/>
      <c r="F977" s="364"/>
      <c r="G977" s="364"/>
      <c r="H977" s="364"/>
      <c r="I977" s="364"/>
      <c r="J977" s="364"/>
      <c r="K977" s="364"/>
      <c r="L977" s="364"/>
      <c r="M977" s="364"/>
      <c r="N977" s="364"/>
      <c r="O977" s="388"/>
      <c r="P977" s="364"/>
      <c r="Q977" s="364"/>
      <c r="R977" s="364"/>
      <c r="S977" s="364"/>
      <c r="T977" s="364"/>
      <c r="U977" s="364"/>
      <c r="V977" s="364"/>
      <c r="W977" s="364"/>
      <c r="X977" s="364"/>
      <c r="Y977" s="364"/>
      <c r="Z977" s="364"/>
      <c r="AA977" s="364"/>
      <c r="AB977" s="364"/>
      <c r="AC977" s="364"/>
      <c r="AD977" s="364"/>
    </row>
    <row r="978">
      <c r="A978" s="364"/>
      <c r="B978" s="364"/>
      <c r="C978" s="364"/>
      <c r="D978" s="364"/>
      <c r="E978" s="364"/>
      <c r="F978" s="364"/>
      <c r="G978" s="364"/>
      <c r="H978" s="364"/>
      <c r="I978" s="364"/>
      <c r="J978" s="364"/>
      <c r="K978" s="364"/>
      <c r="L978" s="364"/>
      <c r="M978" s="364"/>
      <c r="N978" s="364"/>
      <c r="O978" s="388"/>
      <c r="P978" s="364"/>
      <c r="Q978" s="364"/>
      <c r="R978" s="364"/>
      <c r="S978" s="364"/>
      <c r="T978" s="364"/>
      <c r="U978" s="364"/>
      <c r="V978" s="364"/>
      <c r="W978" s="364"/>
      <c r="X978" s="364"/>
      <c r="Y978" s="364"/>
      <c r="Z978" s="364"/>
      <c r="AA978" s="364"/>
      <c r="AB978" s="364"/>
      <c r="AC978" s="364"/>
      <c r="AD978" s="364"/>
    </row>
    <row r="979">
      <c r="A979" s="364"/>
      <c r="B979" s="364"/>
      <c r="C979" s="364"/>
      <c r="D979" s="364"/>
      <c r="E979" s="364"/>
      <c r="F979" s="364"/>
      <c r="G979" s="364"/>
      <c r="H979" s="364"/>
      <c r="I979" s="364"/>
      <c r="J979" s="364"/>
      <c r="K979" s="364"/>
      <c r="L979" s="364"/>
      <c r="M979" s="364"/>
      <c r="N979" s="364"/>
      <c r="O979" s="388"/>
      <c r="P979" s="364"/>
      <c r="Q979" s="364"/>
      <c r="R979" s="364"/>
      <c r="S979" s="364"/>
      <c r="T979" s="364"/>
      <c r="U979" s="364"/>
      <c r="V979" s="364"/>
      <c r="W979" s="364"/>
      <c r="X979" s="364"/>
      <c r="Y979" s="364"/>
      <c r="Z979" s="364"/>
      <c r="AA979" s="364"/>
      <c r="AB979" s="364"/>
      <c r="AC979" s="364"/>
      <c r="AD979" s="364"/>
    </row>
    <row r="980">
      <c r="A980" s="364"/>
      <c r="B980" s="364"/>
      <c r="C980" s="364"/>
      <c r="D980" s="364"/>
      <c r="E980" s="364"/>
      <c r="F980" s="364"/>
      <c r="G980" s="364"/>
      <c r="H980" s="364"/>
      <c r="I980" s="364"/>
      <c r="J980" s="364"/>
      <c r="K980" s="364"/>
      <c r="L980" s="364"/>
      <c r="M980" s="364"/>
      <c r="N980" s="364"/>
      <c r="O980" s="388"/>
      <c r="P980" s="364"/>
      <c r="Q980" s="364"/>
      <c r="R980" s="364"/>
      <c r="S980" s="364"/>
      <c r="T980" s="364"/>
      <c r="U980" s="364"/>
      <c r="V980" s="364"/>
      <c r="W980" s="364"/>
      <c r="X980" s="364"/>
      <c r="Y980" s="364"/>
      <c r="Z980" s="364"/>
      <c r="AA980" s="364"/>
      <c r="AB980" s="364"/>
      <c r="AC980" s="364"/>
      <c r="AD980" s="364"/>
    </row>
    <row r="981">
      <c r="A981" s="364"/>
      <c r="B981" s="364"/>
      <c r="C981" s="364"/>
      <c r="D981" s="364"/>
      <c r="E981" s="364"/>
      <c r="F981" s="364"/>
      <c r="G981" s="364"/>
      <c r="H981" s="364"/>
      <c r="I981" s="364"/>
      <c r="J981" s="364"/>
      <c r="K981" s="364"/>
      <c r="L981" s="364"/>
      <c r="M981" s="364"/>
      <c r="N981" s="364"/>
      <c r="O981" s="388"/>
      <c r="P981" s="364"/>
      <c r="Q981" s="364"/>
      <c r="R981" s="364"/>
      <c r="S981" s="364"/>
      <c r="T981" s="364"/>
      <c r="U981" s="364"/>
      <c r="V981" s="364"/>
      <c r="W981" s="364"/>
      <c r="X981" s="364"/>
      <c r="Y981" s="364"/>
      <c r="Z981" s="364"/>
      <c r="AA981" s="364"/>
      <c r="AB981" s="364"/>
      <c r="AC981" s="364"/>
      <c r="AD981" s="364"/>
    </row>
    <row r="982">
      <c r="A982" s="364"/>
      <c r="B982" s="364"/>
      <c r="C982" s="364"/>
      <c r="D982" s="364"/>
      <c r="E982" s="364"/>
      <c r="F982" s="364"/>
      <c r="G982" s="364"/>
      <c r="H982" s="364"/>
      <c r="I982" s="364"/>
      <c r="J982" s="364"/>
      <c r="K982" s="364"/>
      <c r="L982" s="364"/>
      <c r="M982" s="364"/>
      <c r="N982" s="364"/>
      <c r="O982" s="388"/>
      <c r="P982" s="364"/>
      <c r="Q982" s="364"/>
      <c r="R982" s="364"/>
      <c r="S982" s="364"/>
      <c r="T982" s="364"/>
      <c r="U982" s="364"/>
      <c r="V982" s="364"/>
      <c r="W982" s="364"/>
      <c r="X982" s="364"/>
      <c r="Y982" s="364"/>
      <c r="Z982" s="364"/>
      <c r="AA982" s="364"/>
      <c r="AB982" s="364"/>
      <c r="AC982" s="364"/>
      <c r="AD982" s="364"/>
    </row>
    <row r="983">
      <c r="A983" s="364"/>
      <c r="B983" s="364"/>
      <c r="C983" s="364"/>
      <c r="D983" s="364"/>
      <c r="E983" s="364"/>
      <c r="F983" s="364"/>
      <c r="G983" s="364"/>
      <c r="H983" s="364"/>
      <c r="I983" s="364"/>
      <c r="J983" s="364"/>
      <c r="K983" s="364"/>
      <c r="L983" s="364"/>
      <c r="M983" s="364"/>
      <c r="N983" s="364"/>
      <c r="O983" s="388"/>
      <c r="P983" s="364"/>
      <c r="Q983" s="364"/>
      <c r="R983" s="364"/>
      <c r="S983" s="364"/>
      <c r="T983" s="364"/>
      <c r="U983" s="364"/>
      <c r="V983" s="364"/>
      <c r="W983" s="364"/>
      <c r="X983" s="364"/>
      <c r="Y983" s="364"/>
      <c r="Z983" s="364"/>
      <c r="AA983" s="364"/>
      <c r="AB983" s="364"/>
      <c r="AC983" s="364"/>
      <c r="AD983" s="364"/>
    </row>
    <row r="984">
      <c r="A984" s="364"/>
      <c r="B984" s="364"/>
      <c r="C984" s="364"/>
      <c r="D984" s="364"/>
      <c r="E984" s="364"/>
      <c r="F984" s="364"/>
      <c r="G984" s="364"/>
      <c r="H984" s="364"/>
      <c r="I984" s="364"/>
      <c r="J984" s="364"/>
      <c r="K984" s="364"/>
      <c r="L984" s="364"/>
      <c r="M984" s="364"/>
      <c r="N984" s="364"/>
      <c r="O984" s="388"/>
      <c r="P984" s="364"/>
      <c r="Q984" s="364"/>
      <c r="R984" s="364"/>
      <c r="S984" s="364"/>
      <c r="T984" s="364"/>
      <c r="U984" s="364"/>
      <c r="V984" s="364"/>
      <c r="W984" s="364"/>
      <c r="X984" s="364"/>
      <c r="Y984" s="364"/>
      <c r="Z984" s="364"/>
      <c r="AA984" s="364"/>
      <c r="AB984" s="364"/>
      <c r="AC984" s="364"/>
      <c r="AD984" s="364"/>
    </row>
    <row r="985">
      <c r="A985" s="364"/>
      <c r="B985" s="364"/>
      <c r="C985" s="364"/>
      <c r="D985" s="364"/>
      <c r="E985" s="364"/>
      <c r="F985" s="364"/>
      <c r="G985" s="364"/>
      <c r="H985" s="364"/>
      <c r="I985" s="364"/>
      <c r="J985" s="364"/>
      <c r="K985" s="364"/>
      <c r="L985" s="364"/>
      <c r="M985" s="364"/>
      <c r="N985" s="364"/>
      <c r="O985" s="388"/>
      <c r="P985" s="364"/>
      <c r="Q985" s="364"/>
      <c r="R985" s="364"/>
      <c r="S985" s="364"/>
      <c r="T985" s="364"/>
      <c r="U985" s="364"/>
      <c r="V985" s="364"/>
      <c r="W985" s="364"/>
      <c r="X985" s="364"/>
      <c r="Y985" s="364"/>
      <c r="Z985" s="364"/>
      <c r="AA985" s="364"/>
      <c r="AB985" s="364"/>
      <c r="AC985" s="364"/>
      <c r="AD985" s="364"/>
    </row>
    <row r="986">
      <c r="A986" s="364"/>
      <c r="B986" s="364"/>
      <c r="C986" s="364"/>
      <c r="D986" s="364"/>
      <c r="E986" s="364"/>
      <c r="F986" s="364"/>
      <c r="G986" s="364"/>
      <c r="H986" s="364"/>
      <c r="I986" s="364"/>
      <c r="J986" s="364"/>
      <c r="K986" s="364"/>
      <c r="L986" s="364"/>
      <c r="M986" s="364"/>
      <c r="N986" s="364"/>
      <c r="O986" s="388"/>
      <c r="P986" s="364"/>
      <c r="Q986" s="364"/>
      <c r="R986" s="364"/>
      <c r="S986" s="364"/>
      <c r="T986" s="364"/>
      <c r="U986" s="364"/>
      <c r="V986" s="364"/>
      <c r="W986" s="364"/>
      <c r="X986" s="364"/>
      <c r="Y986" s="364"/>
      <c r="Z986" s="364"/>
      <c r="AA986" s="364"/>
      <c r="AB986" s="364"/>
      <c r="AC986" s="364"/>
      <c r="AD986" s="364"/>
    </row>
    <row r="987">
      <c r="A987" s="364"/>
      <c r="B987" s="364"/>
      <c r="C987" s="364"/>
      <c r="D987" s="364"/>
      <c r="E987" s="364"/>
      <c r="F987" s="364"/>
      <c r="G987" s="364"/>
      <c r="H987" s="364"/>
      <c r="I987" s="364"/>
      <c r="J987" s="364"/>
      <c r="K987" s="364"/>
      <c r="L987" s="364"/>
      <c r="M987" s="364"/>
      <c r="N987" s="364"/>
      <c r="O987" s="388"/>
      <c r="P987" s="364"/>
      <c r="Q987" s="364"/>
      <c r="R987" s="364"/>
      <c r="S987" s="364"/>
      <c r="T987" s="364"/>
      <c r="U987" s="364"/>
      <c r="V987" s="364"/>
      <c r="W987" s="364"/>
      <c r="X987" s="364"/>
      <c r="Y987" s="364"/>
      <c r="Z987" s="364"/>
      <c r="AA987" s="364"/>
      <c r="AB987" s="364"/>
      <c r="AC987" s="364"/>
      <c r="AD987" s="364"/>
    </row>
    <row r="988">
      <c r="A988" s="364"/>
      <c r="B988" s="364"/>
      <c r="C988" s="364"/>
      <c r="D988" s="364"/>
      <c r="E988" s="364"/>
      <c r="F988" s="364"/>
      <c r="G988" s="364"/>
      <c r="H988" s="364"/>
      <c r="I988" s="364"/>
      <c r="J988" s="364"/>
      <c r="K988" s="364"/>
      <c r="L988" s="364"/>
      <c r="M988" s="364"/>
      <c r="N988" s="364"/>
      <c r="O988" s="388"/>
      <c r="P988" s="364"/>
      <c r="Q988" s="364"/>
      <c r="R988" s="364"/>
      <c r="S988" s="364"/>
      <c r="T988" s="364"/>
      <c r="U988" s="364"/>
      <c r="V988" s="364"/>
      <c r="W988" s="364"/>
      <c r="X988" s="364"/>
      <c r="Y988" s="364"/>
      <c r="Z988" s="364"/>
      <c r="AA988" s="364"/>
      <c r="AB988" s="364"/>
      <c r="AC988" s="364"/>
      <c r="AD988" s="364"/>
    </row>
    <row r="989">
      <c r="A989" s="364"/>
      <c r="B989" s="364"/>
      <c r="C989" s="364"/>
      <c r="D989" s="364"/>
      <c r="E989" s="364"/>
      <c r="F989" s="364"/>
      <c r="G989" s="364"/>
      <c r="H989" s="364"/>
      <c r="I989" s="364"/>
      <c r="J989" s="364"/>
      <c r="K989" s="364"/>
      <c r="L989" s="364"/>
      <c r="M989" s="364"/>
      <c r="N989" s="364"/>
      <c r="O989" s="388"/>
      <c r="P989" s="364"/>
      <c r="Q989" s="364"/>
      <c r="R989" s="364"/>
      <c r="S989" s="364"/>
      <c r="T989" s="364"/>
      <c r="U989" s="364"/>
      <c r="V989" s="364"/>
      <c r="W989" s="364"/>
      <c r="X989" s="364"/>
      <c r="Y989" s="364"/>
      <c r="Z989" s="364"/>
      <c r="AA989" s="364"/>
      <c r="AB989" s="364"/>
      <c r="AC989" s="364"/>
      <c r="AD989" s="364"/>
    </row>
    <row r="990">
      <c r="A990" s="364"/>
      <c r="B990" s="364"/>
      <c r="C990" s="364"/>
      <c r="D990" s="364"/>
      <c r="E990" s="364"/>
      <c r="F990" s="364"/>
      <c r="G990" s="364"/>
      <c r="H990" s="364"/>
      <c r="I990" s="364"/>
      <c r="J990" s="364"/>
      <c r="K990" s="364"/>
      <c r="L990" s="364"/>
      <c r="M990" s="364"/>
      <c r="N990" s="364"/>
      <c r="O990" s="388"/>
      <c r="P990" s="364"/>
      <c r="Q990" s="364"/>
      <c r="R990" s="364"/>
      <c r="S990" s="364"/>
      <c r="T990" s="364"/>
      <c r="U990" s="364"/>
      <c r="V990" s="364"/>
      <c r="W990" s="364"/>
      <c r="X990" s="364"/>
      <c r="Y990" s="364"/>
      <c r="Z990" s="364"/>
      <c r="AA990" s="364"/>
      <c r="AB990" s="364"/>
      <c r="AC990" s="364"/>
      <c r="AD990" s="364"/>
    </row>
    <row r="991">
      <c r="A991" s="364"/>
      <c r="B991" s="364"/>
      <c r="C991" s="364"/>
      <c r="D991" s="364"/>
      <c r="E991" s="364"/>
      <c r="F991" s="364"/>
      <c r="G991" s="364"/>
      <c r="H991" s="364"/>
      <c r="I991" s="364"/>
      <c r="J991" s="364"/>
      <c r="K991" s="364"/>
      <c r="L991" s="364"/>
      <c r="M991" s="364"/>
      <c r="N991" s="364"/>
      <c r="O991" s="388"/>
      <c r="P991" s="364"/>
      <c r="Q991" s="364"/>
      <c r="R991" s="364"/>
      <c r="S991" s="364"/>
      <c r="T991" s="364"/>
      <c r="U991" s="364"/>
      <c r="V991" s="364"/>
      <c r="W991" s="364"/>
      <c r="X991" s="364"/>
      <c r="Y991" s="364"/>
      <c r="Z991" s="364"/>
      <c r="AA991" s="364"/>
      <c r="AB991" s="364"/>
      <c r="AC991" s="364"/>
      <c r="AD991" s="364"/>
    </row>
    <row r="992">
      <c r="A992" s="364"/>
      <c r="B992" s="364"/>
      <c r="C992" s="364"/>
      <c r="D992" s="364"/>
      <c r="E992" s="364"/>
      <c r="F992" s="364"/>
      <c r="G992" s="364"/>
      <c r="H992" s="364"/>
      <c r="I992" s="364"/>
      <c r="J992" s="364"/>
      <c r="K992" s="364"/>
      <c r="L992" s="364"/>
      <c r="M992" s="364"/>
      <c r="N992" s="364"/>
      <c r="O992" s="388"/>
      <c r="P992" s="364"/>
      <c r="Q992" s="364"/>
      <c r="R992" s="364"/>
      <c r="S992" s="364"/>
      <c r="T992" s="364"/>
      <c r="U992" s="364"/>
      <c r="V992" s="364"/>
      <c r="W992" s="364"/>
      <c r="X992" s="364"/>
      <c r="Y992" s="364"/>
      <c r="Z992" s="364"/>
      <c r="AA992" s="364"/>
      <c r="AB992" s="364"/>
      <c r="AC992" s="364"/>
      <c r="AD992" s="364"/>
    </row>
    <row r="993">
      <c r="A993" s="364"/>
      <c r="B993" s="364"/>
      <c r="C993" s="364"/>
      <c r="D993" s="364"/>
      <c r="E993" s="364"/>
      <c r="F993" s="364"/>
      <c r="G993" s="364"/>
      <c r="H993" s="364"/>
      <c r="I993" s="364"/>
      <c r="J993" s="364"/>
      <c r="K993" s="364"/>
      <c r="L993" s="364"/>
      <c r="M993" s="364"/>
      <c r="N993" s="364"/>
      <c r="O993" s="388"/>
      <c r="P993" s="364"/>
      <c r="Q993" s="364"/>
      <c r="R993" s="364"/>
      <c r="S993" s="364"/>
      <c r="T993" s="364"/>
      <c r="U993" s="364"/>
      <c r="V993" s="364"/>
      <c r="W993" s="364"/>
      <c r="X993" s="364"/>
      <c r="Y993" s="364"/>
      <c r="Z993" s="364"/>
      <c r="AA993" s="364"/>
      <c r="AB993" s="364"/>
      <c r="AC993" s="364"/>
      <c r="AD993" s="364"/>
    </row>
    <row r="994">
      <c r="A994" s="364"/>
      <c r="B994" s="364"/>
      <c r="C994" s="364"/>
      <c r="D994" s="364"/>
      <c r="E994" s="364"/>
      <c r="F994" s="364"/>
      <c r="G994" s="364"/>
      <c r="H994" s="364"/>
      <c r="I994" s="364"/>
      <c r="J994" s="364"/>
      <c r="K994" s="364"/>
      <c r="L994" s="364"/>
      <c r="M994" s="364"/>
      <c r="N994" s="364"/>
      <c r="O994" s="388"/>
      <c r="P994" s="364"/>
      <c r="Q994" s="364"/>
      <c r="R994" s="364"/>
      <c r="S994" s="364"/>
      <c r="T994" s="364"/>
      <c r="U994" s="364"/>
      <c r="V994" s="364"/>
      <c r="W994" s="364"/>
      <c r="X994" s="364"/>
      <c r="Y994" s="364"/>
      <c r="Z994" s="364"/>
      <c r="AA994" s="364"/>
      <c r="AB994" s="364"/>
      <c r="AC994" s="364"/>
      <c r="AD994" s="364"/>
    </row>
    <row r="995">
      <c r="A995" s="364"/>
      <c r="B995" s="364"/>
      <c r="C995" s="364"/>
      <c r="D995" s="364"/>
      <c r="E995" s="364"/>
      <c r="F995" s="364"/>
      <c r="G995" s="364"/>
      <c r="H995" s="364"/>
      <c r="I995" s="364"/>
      <c r="J995" s="364"/>
      <c r="K995" s="364"/>
      <c r="L995" s="364"/>
      <c r="M995" s="364"/>
      <c r="N995" s="364"/>
      <c r="O995" s="388"/>
      <c r="P995" s="364"/>
      <c r="Q995" s="364"/>
      <c r="R995" s="364"/>
      <c r="S995" s="364"/>
      <c r="T995" s="364"/>
      <c r="U995" s="364"/>
      <c r="V995" s="364"/>
      <c r="W995" s="364"/>
      <c r="X995" s="364"/>
      <c r="Y995" s="364"/>
      <c r="Z995" s="364"/>
      <c r="AA995" s="364"/>
      <c r="AB995" s="364"/>
      <c r="AC995" s="364"/>
      <c r="AD995" s="364"/>
    </row>
    <row r="996">
      <c r="A996" s="364"/>
      <c r="B996" s="364"/>
      <c r="C996" s="364"/>
      <c r="D996" s="364"/>
      <c r="E996" s="364"/>
      <c r="F996" s="364"/>
      <c r="G996" s="364"/>
      <c r="H996" s="364"/>
      <c r="I996" s="364"/>
      <c r="J996" s="364"/>
      <c r="K996" s="364"/>
      <c r="L996" s="364"/>
      <c r="M996" s="364"/>
      <c r="N996" s="364"/>
      <c r="O996" s="388"/>
      <c r="P996" s="364"/>
      <c r="Q996" s="364"/>
      <c r="R996" s="364"/>
      <c r="S996" s="364"/>
      <c r="T996" s="364"/>
      <c r="U996" s="364"/>
      <c r="V996" s="364"/>
      <c r="W996" s="364"/>
      <c r="X996" s="364"/>
      <c r="Y996" s="364"/>
      <c r="Z996" s="364"/>
      <c r="AA996" s="364"/>
      <c r="AB996" s="364"/>
      <c r="AC996" s="364"/>
      <c r="AD996" s="364"/>
    </row>
    <row r="997">
      <c r="A997" s="364"/>
      <c r="B997" s="364"/>
      <c r="C997" s="364"/>
      <c r="D997" s="364"/>
      <c r="E997" s="364"/>
      <c r="F997" s="364"/>
      <c r="G997" s="364"/>
      <c r="H997" s="364"/>
      <c r="I997" s="364"/>
      <c r="J997" s="364"/>
      <c r="K997" s="364"/>
      <c r="L997" s="364"/>
      <c r="M997" s="364"/>
      <c r="N997" s="364"/>
      <c r="O997" s="388"/>
      <c r="P997" s="364"/>
      <c r="Q997" s="364"/>
      <c r="R997" s="364"/>
      <c r="S997" s="364"/>
      <c r="T997" s="364"/>
      <c r="U997" s="364"/>
      <c r="V997" s="364"/>
      <c r="W997" s="364"/>
      <c r="X997" s="364"/>
      <c r="Y997" s="364"/>
      <c r="Z997" s="364"/>
      <c r="AA997" s="364"/>
      <c r="AB997" s="364"/>
      <c r="AC997" s="364"/>
      <c r="AD997" s="364"/>
    </row>
  </sheetData>
  <conditionalFormatting sqref="O2:O997">
    <cfRule type="containsText" dxfId="0" priority="1" operator="containsText" text="Hito">
      <formula>NOT(ISERROR(SEARCH(("Hito"),(O2))))</formula>
    </cfRule>
  </conditionalFormatting>
  <conditionalFormatting sqref="O2:O997">
    <cfRule type="containsText" dxfId="1" priority="2" operator="containsText" text="Actividad">
      <formula>NOT(ISERROR(SEARCH(("Actividad"),(O2))))</formula>
    </cfRule>
  </conditionalFormatting>
  <dataValidations>
    <dataValidation type="list" allowBlank="1" showErrorMessage="1" sqref="L2:L322">
      <formula1>"1: Costo Base (Hasta 1.000 UTM),2: Costo Medio (Entre 1.001 y 5.000 UTM),3: Costo Significativo (Entre 5.001 y 10.000 UTM),4: Alto Costo (Entre 10.001 y 15.000 UTM),5: Muy Alto Costo (Más de 15.000 UTM)"</formula1>
    </dataValidation>
    <dataValidation type="list" allowBlank="1" showErrorMessage="1" sqref="K2:K322">
      <formula1>"Administración y Finanzas ,Control de gestión,Fiscalía - jurídica,Gestión de personas,Atención de usuarios - clientes,Oficina de partes,Tecnología,Comunicaciones,Gabinete,Áreas asociadas al mandato institucional"</formula1>
    </dataValidation>
  </dataValidations>
  <drawing r:id="rId2"/>
  <legacyDrawing r:id="rId3"/>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25.63"/>
    <col customWidth="1" min="7" max="7" width="25.63"/>
    <col customWidth="1" min="8" max="8" width="58.88"/>
  </cols>
  <sheetData>
    <row r="2">
      <c r="A2" s="402" t="s">
        <v>3503</v>
      </c>
      <c r="B2" s="403"/>
      <c r="C2" s="403"/>
      <c r="D2" s="403"/>
      <c r="E2" s="403"/>
      <c r="F2" s="402"/>
      <c r="G2" s="402" t="s">
        <v>3504</v>
      </c>
      <c r="H2" s="403"/>
      <c r="I2" s="403"/>
      <c r="J2" s="403"/>
      <c r="K2" s="403"/>
      <c r="L2" s="403"/>
      <c r="M2" s="403"/>
      <c r="N2" s="403"/>
      <c r="O2" s="403"/>
      <c r="P2" s="403"/>
      <c r="Q2" s="403"/>
      <c r="R2" s="403"/>
      <c r="S2" s="403"/>
      <c r="T2" s="403"/>
      <c r="U2" s="403"/>
      <c r="V2" s="403"/>
      <c r="W2" s="403"/>
      <c r="X2" s="403"/>
      <c r="Y2" s="403"/>
      <c r="Z2" s="403"/>
      <c r="AA2" s="403"/>
      <c r="AB2" s="403"/>
      <c r="AC2" s="403"/>
      <c r="AD2" s="403"/>
      <c r="AE2" s="403"/>
      <c r="AF2" s="403"/>
      <c r="AG2" s="403"/>
      <c r="AH2" s="403"/>
      <c r="AI2" s="403"/>
      <c r="AJ2" s="403"/>
      <c r="AK2" s="403"/>
      <c r="AL2" s="403"/>
      <c r="AM2" s="403"/>
      <c r="AN2" s="403"/>
      <c r="AO2" s="403"/>
      <c r="AP2" s="403"/>
      <c r="AQ2" s="403"/>
      <c r="AR2" s="403"/>
      <c r="AS2" s="403"/>
      <c r="AT2" s="403"/>
      <c r="AU2" s="403"/>
      <c r="AV2" s="403"/>
      <c r="AW2" s="403"/>
      <c r="AX2" s="403"/>
      <c r="AY2" s="403"/>
      <c r="AZ2" s="403"/>
      <c r="BA2" s="403"/>
      <c r="BB2" s="403"/>
      <c r="BC2" s="403"/>
      <c r="BD2" s="403"/>
      <c r="BE2" s="403"/>
      <c r="BF2" s="403"/>
      <c r="BG2" s="403"/>
      <c r="BH2" s="403"/>
      <c r="BI2" s="403"/>
      <c r="BJ2" s="403"/>
      <c r="BK2" s="403"/>
      <c r="BL2" s="403"/>
      <c r="BM2" s="403"/>
      <c r="BN2" s="403"/>
      <c r="BO2" s="403"/>
      <c r="BP2" s="403"/>
      <c r="BQ2" s="403"/>
      <c r="BR2" s="403"/>
      <c r="BS2" s="403"/>
      <c r="BT2" s="403"/>
      <c r="BU2" s="403"/>
      <c r="BV2" s="403"/>
      <c r="BW2" s="403"/>
      <c r="BX2" s="403"/>
      <c r="BY2" s="403"/>
      <c r="BZ2" s="403"/>
      <c r="CA2" s="403"/>
      <c r="CB2" s="403"/>
      <c r="CC2" s="403"/>
      <c r="CD2" s="403"/>
      <c r="CE2" s="403"/>
      <c r="CF2" s="403"/>
      <c r="CG2" s="403"/>
      <c r="CH2" s="403"/>
      <c r="CI2" s="403"/>
      <c r="CJ2" s="403"/>
      <c r="CK2" s="403"/>
      <c r="CL2" s="403"/>
      <c r="CM2" s="403"/>
      <c r="CN2" s="403"/>
      <c r="CO2" s="403"/>
      <c r="CP2" s="403"/>
      <c r="CQ2" s="403"/>
      <c r="CR2" s="403"/>
      <c r="CS2" s="403"/>
      <c r="CT2" s="403"/>
      <c r="CU2" s="403"/>
      <c r="CV2" s="403"/>
      <c r="CW2" s="403"/>
      <c r="CX2" s="403"/>
      <c r="CY2" s="403"/>
      <c r="CZ2" s="403"/>
      <c r="DA2" s="403"/>
      <c r="DB2" s="403"/>
      <c r="DC2" s="403"/>
      <c r="DD2" s="403"/>
      <c r="DE2" s="403"/>
      <c r="DF2" s="403"/>
      <c r="DG2" s="403"/>
      <c r="DH2" s="403"/>
      <c r="DI2" s="403"/>
      <c r="DJ2" s="403"/>
      <c r="DK2" s="403"/>
      <c r="DL2" s="403"/>
      <c r="DM2" s="403"/>
      <c r="DN2" s="403"/>
      <c r="DO2" s="403"/>
      <c r="DP2" s="403"/>
      <c r="DQ2" s="403"/>
      <c r="DR2" s="403"/>
      <c r="DS2" s="403"/>
      <c r="DT2" s="403"/>
      <c r="DU2" s="403"/>
      <c r="DV2" s="403"/>
      <c r="DW2" s="403"/>
      <c r="DX2" s="403"/>
      <c r="DY2" s="403"/>
      <c r="DZ2" s="403"/>
      <c r="EA2" s="403"/>
      <c r="EB2" s="403"/>
      <c r="EC2" s="403"/>
      <c r="ED2" s="403"/>
      <c r="EE2" s="403"/>
      <c r="EF2" s="403"/>
      <c r="EG2" s="403"/>
      <c r="EH2" s="403"/>
      <c r="EI2" s="403"/>
      <c r="EJ2" s="403"/>
      <c r="EK2" s="403"/>
      <c r="EL2" s="403"/>
      <c r="EM2" s="403"/>
      <c r="EN2" s="403"/>
      <c r="EO2" s="403"/>
      <c r="EP2" s="403"/>
      <c r="EQ2" s="403"/>
      <c r="ER2" s="403"/>
      <c r="ES2" s="403"/>
      <c r="ET2" s="403"/>
      <c r="EU2" s="403"/>
      <c r="EV2" s="403"/>
    </row>
    <row r="4"/>
    <row r="5"/>
    <row r="6"/>
    <row r="7"/>
    <row r="8"/>
    <row r="9"/>
    <row r="10"/>
    <row r="11"/>
    <row r="15">
      <c r="G15" s="20" t="s">
        <v>2580</v>
      </c>
      <c r="H15" s="20" t="s">
        <v>2581</v>
      </c>
      <c r="I15" s="20" t="s">
        <v>3507</v>
      </c>
    </row>
    <row r="16">
      <c r="G16" s="20"/>
      <c r="H16" s="20"/>
      <c r="I16" s="20">
        <v>0.0</v>
      </c>
    </row>
    <row r="17">
      <c r="G17" s="20" t="s">
        <v>660</v>
      </c>
      <c r="H17" s="20" t="s">
        <v>1540</v>
      </c>
      <c r="I17" s="20">
        <v>20.0</v>
      </c>
    </row>
    <row r="18">
      <c r="G18" s="20"/>
      <c r="H18" s="20" t="s">
        <v>661</v>
      </c>
      <c r="I18" s="20">
        <v>20.0</v>
      </c>
    </row>
    <row r="19">
      <c r="G19" s="20" t="s">
        <v>127</v>
      </c>
      <c r="H19" s="20" t="s">
        <v>128</v>
      </c>
      <c r="I19" s="20">
        <v>12.0</v>
      </c>
    </row>
    <row r="20">
      <c r="G20" s="20" t="s">
        <v>100</v>
      </c>
      <c r="H20" s="20" t="s">
        <v>101</v>
      </c>
      <c r="I20" s="20">
        <v>6.0</v>
      </c>
    </row>
    <row r="21">
      <c r="G21" s="20" t="s">
        <v>2273</v>
      </c>
      <c r="H21" s="20"/>
      <c r="I21" s="20">
        <v>58.0</v>
      </c>
    </row>
  </sheetData>
  <drawing r:id="rId3"/>
</worksheet>
</file>